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How to update" sheetId="2" state="visible" r:id="rId4"/>
    <sheet name="Parcels" sheetId="3" state="visible" r:id="rId5"/>
    <sheet name="Permissions" sheetId="4" state="visible" r:id="rId6"/>
    <sheet name="Lists" sheetId="5" state="visible" r:id="rId7"/>
    <sheet name="Data dictionary" sheetId="6" state="visible" r:id="rId8"/>
  </sheets>
  <definedNames>
    <definedName function="false" hidden="true" localSheetId="2" name="_xlnm._FilterDatabase" vbProcedure="false">Parcels!$A$1:$AK$323</definedName>
    <definedName function="false" hidden="true" localSheetId="3" name="_xlnm._FilterDatabase" vbProcedure="false">Permissions!$A$1:$AD$266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<sst xmlns="http://schemas.openxmlformats.org/spreadsheetml/2006/main" count="8524" uniqueCount="1941">
  <si>
    <t xml:space="preserve">Limerick housing land register</t>
  </si>
  <si>
    <t xml:space="preserve">Council audit parcels plus parcels for residential consents outside the audit. Every permission is linked to one parcel; totals are calculated from the Permissions sheet.</t>
  </si>
  <si>
    <t xml:space="preserve">By parcel source</t>
  </si>
  <si>
    <t xml:space="preserve">Parcels</t>
  </si>
  <si>
    <t xml:space="preserve">Developable ha</t>
  </si>
  <si>
    <t xml:space="preserve">Consented</t>
  </si>
  <si>
    <t xml:space="preserve">of which complete</t>
  </si>
  <si>
    <t xml:space="preserve">Unconsented capacity</t>
  </si>
  <si>
    <t xml:space="preserve">Total supply</t>
  </si>
  <si>
    <t xml:space="preserve">Future supply</t>
  </si>
  <si>
    <t xml:space="preserve">Council audit</t>
  </si>
  <si>
    <t xml:space="preserve">Council audit – reinstated</t>
  </si>
  <si>
    <t xml:space="preserve">Planning consent – not in council audit</t>
  </si>
  <si>
    <t xml:space="preserve">Total</t>
  </si>
  <si>
    <t xml:space="preserve">By scope</t>
  </si>
  <si>
    <t xml:space="preserve">City</t>
  </si>
  <si>
    <t xml:space="preserve">County</t>
  </si>
  <si>
    <t xml:space="preserve">Expected completions (consented schemes; estimates)</t>
  </si>
  <si>
    <t xml:space="preserve">Q4 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</si>
  <si>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</si>
  <si>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</si>
  <si>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</si>
  <si>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</si>
  <si>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</si>
  <si>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All parcels</t>
  </si>
  <si>
    <t xml:space="preserve">Checks (all should be zero)</t>
  </si>
  <si>
    <t xml:space="preserve">Permissions with a problem (see check column)</t>
  </si>
  <si>
    <t xml:space="preserve">Parcels with a flag</t>
  </si>
  <si>
    <t xml:space="preserve">Units on Permissions not reaching a parcel</t>
  </si>
  <si>
    <t xml:space="preserve">Permissions with no parcel_id</t>
  </si>
  <si>
    <t xml:space="preserve">Parcels consented above council capacity (review capacity)</t>
  </si>
  <si>
    <t xml:space="preserve">Blue-grey columns are calculated. Edit only the white columns. The council capacity of an audit parcel is the only unit figure typed on the Parcels sheet.</t>
  </si>
  <si>
    <t xml:space="preserve">The rule</t>
  </si>
  <si>
    <t xml:space="preserve">One permission, one parcel. Units live only on the Permissions sheet. Parcel totals add them up, so a home cannot be counted twice. Parcels do not overlap.</t>
  </si>
  <si>
    <t xml:space="preserve">New permission on an existing parcel</t>
  </si>
  <si>
    <t xml:space="preserve">Add a row to Permissions with a new perm_id, pick the parcel_id from the list, enter units and status, counts_toward_totals = Yes. The parcel totals update.</t>
  </si>
  <si>
    <t xml:space="preserve">New permission on new land</t>
  </si>
  <si>
    <t xml:space="preserve">Draw a parcel in the GeoPackage from the planning boundary (clip out any existing parcel), id PC-&lt;planning ref without slashes&gt;, parcel_source = Planning consent – not in council audit. Add the same parcel row here, then the permission row.</t>
  </si>
  <si>
    <t xml:space="preserve">Amendment, repeat or extension of duration</t>
  </si>
  <si>
    <t xml:space="preserve">Add the row with counts_toward_totals = No unless it replaces the counted permission. If it replaces it (e.g. a new scheme on the same land), set the old row to No and the new row to Yes.</t>
  </si>
  <si>
    <t xml:space="preserve">Status changes</t>
  </si>
  <si>
    <t xml:space="preserve">Change status on the Permissions row (Permitted – not started → Under construction → Complete). Use building control commencement and completion notices as the source; note it in notes and update last_updated.</t>
  </si>
  <si>
    <t xml:space="preserve">Expired permissions</t>
  </si>
  <si>
    <t xml:space="preserve">Set status to Expired – not started. The units drop out of consented supply; on an audit parcel the council capacity becomes unconsented capacity again.</t>
  </si>
  <si>
    <t xml:space="preserve">Council capacity</t>
  </si>
  <si>
    <t xml:space="preserve">Audit parcels only. If a permission shows the capacity was wrong, update council_capacity_units and say why in notes. Consent parcels have no capacity figure: their supply is the consented units.</t>
  </si>
  <si>
    <t xml:space="preserve">County audit</t>
  </si>
  <si>
    <t xml:space="preserve">Add county audit parcels with parcel_source = Council audit – county and scope = County. Move county permissions onto them by changing parcel_id, then retire any consent parcel left empty (flag: Consent parcel with no permission).</t>
  </si>
  <si>
    <t xml:space="preserve">Checks</t>
  </si>
  <si>
    <t xml:space="preserve">Summary sheet checks must all be zero before figures are reported. Red cells on Permissions (check column) and Parcels (flag) show what to fix.</t>
  </si>
  <si>
    <t xml:space="preserve">parcel_id</t>
  </si>
  <si>
    <t xml:space="preserve">parcel_source</t>
  </si>
  <si>
    <t xml:space="preserve">scope</t>
  </si>
  <si>
    <t xml:space="preserve">rsca</t>
  </si>
  <si>
    <t xml:space="preserve">neighbourhood</t>
  </si>
  <si>
    <t xml:space="preserve">lea</t>
  </si>
  <si>
    <t xml:space="preserve">local_name</t>
  </si>
  <si>
    <t xml:space="preserve">landowner</t>
  </si>
  <si>
    <t xml:space="preserve">zoning</t>
  </si>
  <si>
    <t xml:space="preserve">site_type</t>
  </si>
  <si>
    <t xml:space="preserve">density_band</t>
  </si>
  <si>
    <t xml:space="preserve">developable_area_ha</t>
  </si>
  <si>
    <t xml:space="preserve">mapped_area_ha</t>
  </si>
  <si>
    <t xml:space="preserve">council_capacity_units</t>
  </si>
  <si>
    <t xml:space="preserve">capacity_basis</t>
  </si>
  <si>
    <t xml:space="preserve">register_status</t>
  </si>
  <si>
    <t xml:space="preserve">notes</t>
  </si>
  <si>
    <t xml:space="preserve">last_reviewed</t>
  </si>
  <si>
    <t xml:space="preserve">reviewed_by</t>
  </si>
  <si>
    <t xml:space="preserve">complete_units</t>
  </si>
  <si>
    <t xml:space="preserve">under_construction_units</t>
  </si>
  <si>
    <t xml:space="preserve">permitted_not_started_units</t>
  </si>
  <si>
    <t xml:space="preserve">stalled_units</t>
  </si>
  <si>
    <t xml:space="preserve">consented_units</t>
  </si>
  <si>
    <t xml:space="preserve">expired_units</t>
  </si>
  <si>
    <t xml:space="preserve">in_planning_units</t>
  </si>
  <si>
    <t xml:space="preserve">unconsented_capacity</t>
  </si>
  <si>
    <t xml:space="preserve">total_supply_units</t>
  </si>
  <si>
    <t xml:space="preserve">future_supply_units</t>
  </si>
  <si>
    <t xml:space="preserve">est_q4_2026</t>
  </si>
  <si>
    <t xml:space="preserve">est_2027</t>
  </si>
  <si>
    <t xml:space="preserve">est_2028</t>
  </si>
  <si>
    <t xml:space="preserve">est_2029</t>
  </si>
  <si>
    <t xml:space="preserve">est_2030</t>
  </si>
  <si>
    <t xml:space="preserve">est_2031_plus</t>
  </si>
  <si>
    <t xml:space="preserve">permissions</t>
  </si>
  <si>
    <t xml:space="preserve">flag</t>
  </si>
  <si>
    <t xml:space="preserve">CITY-129</t>
  </si>
  <si>
    <t xml:space="preserve">Ballinacurra</t>
  </si>
  <si>
    <t xml:space="preserve">LIMERICK CITY WEST LEA-7</t>
  </si>
  <si>
    <t xml:space="preserve">City Centre</t>
  </si>
  <si>
    <t xml:space="preserve">Council</t>
  </si>
  <si>
    <t xml:space="preserve">New Resi</t>
  </si>
  <si>
    <t xml:space="preserve">Brownfield</t>
  </si>
  <si>
    <t xml:space="preserve">45+</t>
  </si>
  <si>
    <t xml:space="preserve">Council estimate (area × density band)</t>
  </si>
  <si>
    <t xml:space="preserve">Undeveloped/Permission Sought</t>
  </si>
  <si>
    <t xml:space="preserve">Unchanged</t>
  </si>
  <si>
    <t xml:space="preserve">2026-10-11</t>
  </si>
  <si>
    <t xml:space="preserve">CITY-130</t>
  </si>
  <si>
    <t xml:space="preserve">Exist Resi</t>
  </si>
  <si>
    <t xml:space="preserve">Infill</t>
  </si>
  <si>
    <t xml:space="preserve">CITY-131</t>
  </si>
  <si>
    <t xml:space="preserve">CITY-132</t>
  </si>
  <si>
    <t xml:space="preserve">Dock Rd</t>
  </si>
  <si>
    <t xml:space="preserve">Private</t>
  </si>
  <si>
    <t xml:space="preserve">CITY-133</t>
  </si>
  <si>
    <t xml:space="preserve">6.659 in 45+ 2.284 in 35+</t>
  </si>
  <si>
    <t xml:space="preserve">Complete/Commenced</t>
  </si>
  <si>
    <t xml:space="preserve">Reduced Area</t>
  </si>
  <si>
    <t xml:space="preserve">CITY-1</t>
  </si>
  <si>
    <t xml:space="preserve">Caherdavin</t>
  </si>
  <si>
    <t xml:space="preserve">LIMERICK CITY NORTH LEA-7</t>
  </si>
  <si>
    <t xml:space="preserve">Northside</t>
  </si>
  <si>
    <t xml:space="preserve">Greenfield</t>
  </si>
  <si>
    <t xml:space="preserve">35+</t>
  </si>
  <si>
    <t xml:space="preserve">Permission Granted</t>
  </si>
  <si>
    <t xml:space="preserve">CITY-10</t>
  </si>
  <si>
    <t xml:space="preserve">CITY-12</t>
  </si>
  <si>
    <t xml:space="preserve">Unknown</t>
  </si>
  <si>
    <t xml:space="preserve">Mixed Use</t>
  </si>
  <si>
    <t xml:space="preserve">6.207 in 45+ 3.224 in 35+</t>
  </si>
  <si>
    <t xml:space="preserve">Unchanged (council file landowner "EOI", owner not stated: shown as Unknown)</t>
  </si>
  <si>
    <t xml:space="preserve">CITY-13</t>
  </si>
  <si>
    <t xml:space="preserve">CITY-14</t>
  </si>
  <si>
    <t xml:space="preserve">CITY-15</t>
  </si>
  <si>
    <t xml:space="preserve">CITY-16</t>
  </si>
  <si>
    <t xml:space="preserve">CITY-164</t>
  </si>
  <si>
    <t xml:space="preserve">Addition</t>
  </si>
  <si>
    <t xml:space="preserve">CITY-20</t>
  </si>
  <si>
    <t xml:space="preserve">CITY-21</t>
  </si>
  <si>
    <t xml:space="preserve">CITY-24</t>
  </si>
  <si>
    <t xml:space="preserve">CITY-25</t>
  </si>
  <si>
    <t xml:space="preserve">CITY-3</t>
  </si>
  <si>
    <t xml:space="preserve">CITY-5</t>
  </si>
  <si>
    <t xml:space="preserve">CITY-6</t>
  </si>
  <si>
    <t xml:space="preserve">Local Centre</t>
  </si>
  <si>
    <t xml:space="preserve">CITY-7</t>
  </si>
  <si>
    <t xml:space="preserve">CITY-8</t>
  </si>
  <si>
    <t xml:space="preserve">CITY-9</t>
  </si>
  <si>
    <t xml:space="preserve">CITY-159</t>
  </si>
  <si>
    <t xml:space="preserve">Castletroy/Annacotty</t>
  </si>
  <si>
    <t xml:space="preserve">LIMERICK CITY EAST LEA-7</t>
  </si>
  <si>
    <t xml:space="preserve">Castletroy</t>
  </si>
  <si>
    <t xml:space="preserve">0.145 in 45+ 2.589 in 35+</t>
  </si>
  <si>
    <t xml:space="preserve">CITY-53</t>
  </si>
  <si>
    <t xml:space="preserve">CITY-54</t>
  </si>
  <si>
    <t xml:space="preserve">CITY-56</t>
  </si>
  <si>
    <t xml:space="preserve">CITY-57</t>
  </si>
  <si>
    <t xml:space="preserve">7.544 in 45+ 4.816 in 35+</t>
  </si>
  <si>
    <t xml:space="preserve">CITY-60</t>
  </si>
  <si>
    <t xml:space="preserve">CITY-61</t>
  </si>
  <si>
    <t xml:space="preserve">CITY-62</t>
  </si>
  <si>
    <t xml:space="preserve">CITY-63</t>
  </si>
  <si>
    <t xml:space="preserve">CITY-65</t>
  </si>
  <si>
    <t xml:space="preserve">CITY-66</t>
  </si>
  <si>
    <t xml:space="preserve">CITY-67</t>
  </si>
  <si>
    <t xml:space="preserve">CITY-69</t>
  </si>
  <si>
    <t xml:space="preserve">0.397 in 45+ 8.349 in 35+</t>
  </si>
  <si>
    <t xml:space="preserve">CITY-70</t>
  </si>
  <si>
    <t xml:space="preserve">7.515 in 45+ 1.045 in 35+</t>
  </si>
  <si>
    <t xml:space="preserve">CITY-71</t>
  </si>
  <si>
    <t xml:space="preserve">2.979 in 45+ 0.188 in 35+</t>
  </si>
  <si>
    <t xml:space="preserve">CITY-72</t>
  </si>
  <si>
    <t xml:space="preserve">CITY-101</t>
  </si>
  <si>
    <t xml:space="preserve">City C</t>
  </si>
  <si>
    <t xml:space="preserve">100+</t>
  </si>
  <si>
    <t xml:space="preserve">CITY-102</t>
  </si>
  <si>
    <t xml:space="preserve">CITY-104</t>
  </si>
  <si>
    <t xml:space="preserve">CITY-105</t>
  </si>
  <si>
    <t xml:space="preserve">CITY-106</t>
  </si>
  <si>
    <t xml:space="preserve">CITY-107</t>
  </si>
  <si>
    <t xml:space="preserve">CITY-108</t>
  </si>
  <si>
    <t xml:space="preserve">CITY-162</t>
  </si>
  <si>
    <t xml:space="preserve">CITY-163</t>
  </si>
  <si>
    <t xml:space="preserve">CITY-22</t>
  </si>
  <si>
    <t xml:space="preserve">CITY-23</t>
  </si>
  <si>
    <t xml:space="preserve">CITY-86</t>
  </si>
  <si>
    <t xml:space="preserve">CITY-87</t>
  </si>
  <si>
    <t xml:space="preserve">CITY-88</t>
  </si>
  <si>
    <t xml:space="preserve">CITY-89</t>
  </si>
  <si>
    <t xml:space="preserve">CITY-91</t>
  </si>
  <si>
    <t xml:space="preserve">CITY-92</t>
  </si>
  <si>
    <t xml:space="preserve">CITY-93</t>
  </si>
  <si>
    <t xml:space="preserve">CITY-95</t>
  </si>
  <si>
    <t xml:space="preserve">CITY-97</t>
  </si>
  <si>
    <t xml:space="preserve">CITY-99</t>
  </si>
  <si>
    <t xml:space="preserve">CITY-26</t>
  </si>
  <si>
    <t xml:space="preserve">Corbally/Grove Island</t>
  </si>
  <si>
    <t xml:space="preserve">Corbally</t>
  </si>
  <si>
    <t xml:space="preserve">CITY-27</t>
  </si>
  <si>
    <t xml:space="preserve">0.08 in 45+ 2.34 in 35+</t>
  </si>
  <si>
    <t xml:space="preserve">CITY-28</t>
  </si>
  <si>
    <t xml:space="preserve">0.478 in 45+ 0.108 in 35+</t>
  </si>
  <si>
    <t xml:space="preserve">CITY-29</t>
  </si>
  <si>
    <t xml:space="preserve">CITY-30</t>
  </si>
  <si>
    <t xml:space="preserve">CITY-31</t>
  </si>
  <si>
    <t xml:space="preserve">0.007 in 45+ 1.054 in 35+</t>
  </si>
  <si>
    <t xml:space="preserve">CITY-32</t>
  </si>
  <si>
    <t xml:space="preserve">2.893 in 45+ 1.38 in 35+</t>
  </si>
  <si>
    <t xml:space="preserve">CITY-33</t>
  </si>
  <si>
    <t xml:space="preserve">CITY-34</t>
  </si>
  <si>
    <t xml:space="preserve">CITY-134</t>
  </si>
  <si>
    <t xml:space="preserve">Dooradoyle</t>
  </si>
  <si>
    <t xml:space="preserve">0.194 in 45+ 0.412 in 35+</t>
  </si>
  <si>
    <t xml:space="preserve">CITY-135</t>
  </si>
  <si>
    <t xml:space="preserve">CITY-136</t>
  </si>
  <si>
    <t xml:space="preserve">CITY-137</t>
  </si>
  <si>
    <t xml:space="preserve">CITY-139</t>
  </si>
  <si>
    <t xml:space="preserve">CITY-141</t>
  </si>
  <si>
    <t xml:space="preserve">CITY-142</t>
  </si>
  <si>
    <t xml:space="preserve">CITY-143</t>
  </si>
  <si>
    <t xml:space="preserve">CITY-144</t>
  </si>
  <si>
    <t xml:space="preserve">CITY-145</t>
  </si>
  <si>
    <t xml:space="preserve">CITY-146</t>
  </si>
  <si>
    <t xml:space="preserve">CITY-147</t>
  </si>
  <si>
    <t xml:space="preserve">CITY-148</t>
  </si>
  <si>
    <t xml:space="preserve">CITY-149</t>
  </si>
  <si>
    <t xml:space="preserve">CITY-151</t>
  </si>
  <si>
    <t xml:space="preserve">7.869 in 45+ 3.1017 in 35+</t>
  </si>
  <si>
    <t xml:space="preserve">CITY-152</t>
  </si>
  <si>
    <t xml:space="preserve">0.775 in 45+ 3.345 in 35+</t>
  </si>
  <si>
    <t xml:space="preserve">CITY-153</t>
  </si>
  <si>
    <t xml:space="preserve">CITY-154</t>
  </si>
  <si>
    <t xml:space="preserve">CITY-155</t>
  </si>
  <si>
    <t xml:space="preserve">CITY-156</t>
  </si>
  <si>
    <t xml:space="preserve">CITY-160</t>
  </si>
  <si>
    <t xml:space="preserve">CITY-168</t>
  </si>
  <si>
    <t xml:space="preserve">Kings Island</t>
  </si>
  <si>
    <t xml:space="preserve">CITY-40</t>
  </si>
  <si>
    <t xml:space="preserve">CITY-41</t>
  </si>
  <si>
    <t xml:space="preserve">CITY-109</t>
  </si>
  <si>
    <t xml:space="preserve">Singland/Garryowen</t>
  </si>
  <si>
    <t xml:space="preserve">Garryowen</t>
  </si>
  <si>
    <t xml:space="preserve">CITY-169</t>
  </si>
  <si>
    <t xml:space="preserve">CITY-43</t>
  </si>
  <si>
    <t xml:space="preserve">CITY-45</t>
  </si>
  <si>
    <t xml:space="preserve">CITY-46</t>
  </si>
  <si>
    <t xml:space="preserve">CITY-47</t>
  </si>
  <si>
    <t xml:space="preserve">CITY-49</t>
  </si>
  <si>
    <t xml:space="preserve">CITY-50</t>
  </si>
  <si>
    <t xml:space="preserve">CITY-51</t>
  </si>
  <si>
    <t xml:space="preserve">CITY-52</t>
  </si>
  <si>
    <t xml:space="preserve">CITY-75</t>
  </si>
  <si>
    <t xml:space="preserve">0.171 in 45+ 0.056 in 35+</t>
  </si>
  <si>
    <t xml:space="preserve">CITY-77</t>
  </si>
  <si>
    <t xml:space="preserve">CITY-78</t>
  </si>
  <si>
    <t xml:space="preserve">CITY-79</t>
  </si>
  <si>
    <t xml:space="preserve">CITY-80</t>
  </si>
  <si>
    <t xml:space="preserve">CITY-81</t>
  </si>
  <si>
    <t xml:space="preserve">CITY-82</t>
  </si>
  <si>
    <t xml:space="preserve">CITY-83</t>
  </si>
  <si>
    <t xml:space="preserve">CITY-84</t>
  </si>
  <si>
    <t xml:space="preserve">CITY-110</t>
  </si>
  <si>
    <t xml:space="preserve">Southhill</t>
  </si>
  <si>
    <t xml:space="preserve">CITY-111</t>
  </si>
  <si>
    <t xml:space="preserve">CITY-113</t>
  </si>
  <si>
    <t xml:space="preserve">CITY-114</t>
  </si>
  <si>
    <t xml:space="preserve">CITY-115</t>
  </si>
  <si>
    <t xml:space="preserve">Southill</t>
  </si>
  <si>
    <t xml:space="preserve">CITY-116</t>
  </si>
  <si>
    <t xml:space="preserve">CITY-117</t>
  </si>
  <si>
    <t xml:space="preserve">CITY-118</t>
  </si>
  <si>
    <t xml:space="preserve">CITY-119</t>
  </si>
  <si>
    <t xml:space="preserve">CITY-120</t>
  </si>
  <si>
    <t xml:space="preserve">CITY-121</t>
  </si>
  <si>
    <t xml:space="preserve">CITY-123</t>
  </si>
  <si>
    <t xml:space="preserve">0.467 in 45+</t>
  </si>
  <si>
    <t xml:space="preserve">CITY-124</t>
  </si>
  <si>
    <t xml:space="preserve">CITY-125</t>
  </si>
  <si>
    <t xml:space="preserve">CITY-127</t>
  </si>
  <si>
    <t xml:space="preserve">CITY-128</t>
  </si>
  <si>
    <t xml:space="preserve">CITY-158</t>
  </si>
  <si>
    <t xml:space="preserve">CITY-74</t>
  </si>
  <si>
    <t xml:space="preserve">CITY-76</t>
  </si>
  <si>
    <t xml:space="preserve">CITY-2</t>
  </si>
  <si>
    <t xml:space="preserve">Reinstated: removed in council review with no reason recorded; adjoining land built under 17/470, this remainder undeveloped</t>
  </si>
  <si>
    <t xml:space="preserve">CITY-35</t>
  </si>
  <si>
    <t xml:space="preserve">Reinstated: removed because it already had approval (Part 8 19/8004, 27 older persons homes, not started), unlike the 28 permitted sites the council kept</t>
  </si>
  <si>
    <t xml:space="preserve">CITY-112</t>
  </si>
  <si>
    <t xml:space="preserve">Reinstated: removed in council review with no reason recorded; council-owned, undeveloped, no permission. Irregular narrow shape, so the density-based capacity may overstate what fits</t>
  </si>
  <si>
    <t xml:space="preserve">PC-188014</t>
  </si>
  <si>
    <t xml:space="preserve">€1.7m - Residential Development, Rosbrien Road</t>
  </si>
  <si>
    <t xml:space="preserve">Consented units (no council estimate)</t>
  </si>
  <si>
    <t xml:space="preserve">PC-18892</t>
  </si>
  <si>
    <t xml:space="preserve">€870k - Apartments  </t>
  </si>
  <si>
    <t xml:space="preserve">PC-2360025</t>
  </si>
  <si>
    <t xml:space="preserve">€3.8m - Apartment Development, Limerick</t>
  </si>
  <si>
    <t xml:space="preserve">PC-188004</t>
  </si>
  <si>
    <t xml:space="preserve">Part 8: (i) provision of 5 no. residential units (3 no. 2 bedroom houses and 2</t>
  </si>
  <si>
    <t xml:space="preserve">PC-188008</t>
  </si>
  <si>
    <t xml:space="preserve">€7m - Residential Development, Condell Road</t>
  </si>
  <si>
    <t xml:space="preserve">PC-188009</t>
  </si>
  <si>
    <t xml:space="preserve">€1.1m - Residential Units </t>
  </si>
  <si>
    <t xml:space="preserve">PC-19302</t>
  </si>
  <si>
    <t xml:space="preserve">€2.6m - Apartments</t>
  </si>
  <si>
    <t xml:space="preserve">PC-198003</t>
  </si>
  <si>
    <t xml:space="preserve">€3.9m - Residential Development, Moyross</t>
  </si>
  <si>
    <t xml:space="preserve">PC-19970</t>
  </si>
  <si>
    <t xml:space="preserve">€16m - Residential Development, Ennis Road</t>
  </si>
  <si>
    <t xml:space="preserve">PC-21147</t>
  </si>
  <si>
    <t xml:space="preserve">€1.4m - Housing Development </t>
  </si>
  <si>
    <t xml:space="preserve">PC-21342</t>
  </si>
  <si>
    <t xml:space="preserve">€864k - 6 Dwellings</t>
  </si>
  <si>
    <t xml:space="preserve">PC-221189</t>
  </si>
  <si>
    <t xml:space="preserve">€6.3m - Apartment Development, Limerick</t>
  </si>
  <si>
    <t xml:space="preserve">PC-268363</t>
  </si>
  <si>
    <t xml:space="preserve">€1.4m - 6 Houses, Caherdavin</t>
  </si>
  <si>
    <t xml:space="preserve">Approximate – 25 m circle round scheme point (no boundary)</t>
  </si>
  <si>
    <t xml:space="preserve">PC-CE2019087</t>
  </si>
  <si>
    <t xml:space="preserve">€1.5m - Housing Development</t>
  </si>
  <si>
    <t xml:space="preserve">PC-CIS1417205</t>
  </si>
  <si>
    <t xml:space="preserve">€1.4m - Architect Led Integrated Design Team for College Avenue Infill Housing S</t>
  </si>
  <si>
    <t xml:space="preserve">Approximate – 25 m circle round scheme point (no boundary); was matched as Edge (≤50 m) – check</t>
  </si>
  <si>
    <t xml:space="preserve">PC-PT8LL283</t>
  </si>
  <si>
    <t xml:space="preserve">€5.4m - Cosgrave Park Phase 2, Moyross</t>
  </si>
  <si>
    <t xml:space="preserve">PC-Part81063948</t>
  </si>
  <si>
    <t xml:space="preserve">€9m - Rapid Housing Delivery</t>
  </si>
  <si>
    <t xml:space="preserve">PC-181104</t>
  </si>
  <si>
    <t xml:space="preserve">€11.8m - Residential Development, Castletroy</t>
  </si>
  <si>
    <t xml:space="preserve">PC-18496</t>
  </si>
  <si>
    <t xml:space="preserve">€1.3m - Housing Development</t>
  </si>
  <si>
    <t xml:space="preserve">PC-187020</t>
  </si>
  <si>
    <t xml:space="preserve">€1m - Residential Development</t>
  </si>
  <si>
    <t xml:space="preserve">PC-191037</t>
  </si>
  <si>
    <t xml:space="preserve">€2.3m - 8 Residential Units </t>
  </si>
  <si>
    <t xml:space="preserve">PC-197025</t>
  </si>
  <si>
    <t xml:space="preserve">Housing Development </t>
  </si>
  <si>
    <t xml:space="preserve">PC-201074</t>
  </si>
  <si>
    <t xml:space="preserve">€13m - Residential Development, Castletroy</t>
  </si>
  <si>
    <t xml:space="preserve">PC-20361</t>
  </si>
  <si>
    <t xml:space="preserve">€648k - 3 Houses </t>
  </si>
  <si>
    <t xml:space="preserve">PC-211152</t>
  </si>
  <si>
    <t xml:space="preserve">€16.6m - Residential Development, Castletroy</t>
  </si>
  <si>
    <t xml:space="preserve">PC-21350</t>
  </si>
  <si>
    <t xml:space="preserve">€14m - Residential Development,Castletroy</t>
  </si>
  <si>
    <t xml:space="preserve">PC-21853</t>
  </si>
  <si>
    <t xml:space="preserve">€622k - 2 Houses</t>
  </si>
  <si>
    <t xml:space="preserve">PC-2360263</t>
  </si>
  <si>
    <t xml:space="preserve">€3.8m - Housing Development, Castletroy</t>
  </si>
  <si>
    <t xml:space="preserve">PC-2360842</t>
  </si>
  <si>
    <t xml:space="preserve">€22m - Golf Links Road LRD, Monaleen</t>
  </si>
  <si>
    <t xml:space="preserve">PC-248132</t>
  </si>
  <si>
    <t xml:space="preserve">€1.4m - 6 Houses, Annacotty</t>
  </si>
  <si>
    <t xml:space="preserve">PC-2561323</t>
  </si>
  <si>
    <t xml:space="preserve">€757k - 4 Apartments, Castletroy</t>
  </si>
  <si>
    <t xml:space="preserve">PC-ABPREF307631</t>
  </si>
  <si>
    <t xml:space="preserve">€44m - Residential Development, Castletroy</t>
  </si>
  <si>
    <t xml:space="preserve">PC-178017</t>
  </si>
  <si>
    <t xml:space="preserve">Part 8: (a) Provision of 13 no. residential terraced units (11 no. two storey </t>
  </si>
  <si>
    <t xml:space="preserve">PC-18219</t>
  </si>
  <si>
    <t xml:space="preserve">€2m - Apartment Development </t>
  </si>
  <si>
    <t xml:space="preserve">PC-188001</t>
  </si>
  <si>
    <t xml:space="preserve">€3m - Residential Development, Mulgrave Street</t>
  </si>
  <si>
    <t xml:space="preserve">PC-191060</t>
  </si>
  <si>
    <t xml:space="preserve">€50m - 1 BQ Development, Limerick City</t>
  </si>
  <si>
    <t xml:space="preserve">PC-19769</t>
  </si>
  <si>
    <t xml:space="preserve">€782k - Apartment Change of Use, Henry Street</t>
  </si>
  <si>
    <t xml:space="preserve">PC-198008</t>
  </si>
  <si>
    <t xml:space="preserve">Part 8: (a) provision of 3 no. residential two-storey terraced units comprisin</t>
  </si>
  <si>
    <t xml:space="preserve">PC-19841</t>
  </si>
  <si>
    <t xml:space="preserve">€618k - 2 Apartments </t>
  </si>
  <si>
    <t xml:space="preserve">PC-201142</t>
  </si>
  <si>
    <t xml:space="preserve">€919k - Student Accommodation Development, Saint Gerard Street</t>
  </si>
  <si>
    <t xml:space="preserve">PC-20622</t>
  </si>
  <si>
    <t xml:space="preserve">€3.2m - Change of Use to Apartment Development </t>
  </si>
  <si>
    <t xml:space="preserve">PC-211454</t>
  </si>
  <si>
    <t xml:space="preserve">€2.1m - Apartment Development </t>
  </si>
  <si>
    <t xml:space="preserve">PC-221003</t>
  </si>
  <si>
    <t xml:space="preserve">€6.5m - Apartment Development, Limerick</t>
  </si>
  <si>
    <t xml:space="preserve">PC-221172</t>
  </si>
  <si>
    <t xml:space="preserve">€5.9m - Student Accommodation Development </t>
  </si>
  <si>
    <t xml:space="preserve">PC-221367</t>
  </si>
  <si>
    <t xml:space="preserve">€5.2m - Residential Development, Limerick</t>
  </si>
  <si>
    <t xml:space="preserve">PC-221381</t>
  </si>
  <si>
    <t xml:space="preserve">€2m - 9 Apartments</t>
  </si>
  <si>
    <t xml:space="preserve">PC-228023</t>
  </si>
  <si>
    <t xml:space="preserve">€5.45m - Apartment Development, Limerick</t>
  </si>
  <si>
    <t xml:space="preserve">PC-23283</t>
  </si>
  <si>
    <t xml:space="preserve">€907k - Change of Use to 4 Apartments </t>
  </si>
  <si>
    <t xml:space="preserve">PC-2360150</t>
  </si>
  <si>
    <t xml:space="preserve">€3m - Apartment Development, Limerick</t>
  </si>
  <si>
    <t xml:space="preserve">PC-2360345</t>
  </si>
  <si>
    <t xml:space="preserve">€3.7m - Residential Development, Limerick City</t>
  </si>
  <si>
    <t xml:space="preserve">PC-2460004</t>
  </si>
  <si>
    <t xml:space="preserve">€755k - Change of Use to 3 Apartments </t>
  </si>
  <si>
    <t xml:space="preserve">PC-2460020</t>
  </si>
  <si>
    <t xml:space="preserve">€200k - Change of Use to 8 Apartments </t>
  </si>
  <si>
    <t xml:space="preserve">PC-2460075</t>
  </si>
  <si>
    <t xml:space="preserve">€816k - 8 Apartment </t>
  </si>
  <si>
    <t xml:space="preserve">PC-2460151</t>
  </si>
  <si>
    <t xml:space="preserve">€1.6m - Change of Use to 7 Apartments, Limerick</t>
  </si>
  <si>
    <t xml:space="preserve">PC-2460570</t>
  </si>
  <si>
    <t xml:space="preserve">€4.5m - Apartment Development, Limerick City</t>
  </si>
  <si>
    <t xml:space="preserve">PC-2460633</t>
  </si>
  <si>
    <t xml:space="preserve">€2.7m - Residential Development, Limerick</t>
  </si>
  <si>
    <t xml:space="preserve">PC-2461298</t>
  </si>
  <si>
    <t xml:space="preserve">€975k - Change of Use to Restaurant/Apartments</t>
  </si>
  <si>
    <t xml:space="preserve">PC-2560001</t>
  </si>
  <si>
    <t xml:space="preserve">€1.3m - 6 Apartments, Thomondgate</t>
  </si>
  <si>
    <t xml:space="preserve">PC-2560365</t>
  </si>
  <si>
    <t xml:space="preserve">€2.4m - Apartment Development</t>
  </si>
  <si>
    <t xml:space="preserve">PC-2560540</t>
  </si>
  <si>
    <t xml:space="preserve">€7m - Apartment Development, Limerick City</t>
  </si>
  <si>
    <t xml:space="preserve">PC-2560546</t>
  </si>
  <si>
    <t xml:space="preserve">€7m - Residential/Commercial Development, Limerick</t>
  </si>
  <si>
    <t xml:space="preserve">PC-2560595</t>
  </si>
  <si>
    <t xml:space="preserve">€819k - 6 Apartments</t>
  </si>
  <si>
    <t xml:space="preserve">PC-2560771</t>
  </si>
  <si>
    <t xml:space="preserve">€4.5m - Mixed Use Development</t>
  </si>
  <si>
    <t xml:space="preserve">PC-2561242</t>
  </si>
  <si>
    <t xml:space="preserve">€14.5m - Residential Development, Limerick</t>
  </si>
  <si>
    <t xml:space="preserve">PC-268371</t>
  </si>
  <si>
    <t xml:space="preserve">€3.2m - Residential Development, Thomondgate</t>
  </si>
  <si>
    <t xml:space="preserve">PC-Part81264155</t>
  </si>
  <si>
    <t xml:space="preserve">€590k - Residential Development / Living Georgian Project, 58 O’Connell Street</t>
  </si>
  <si>
    <t xml:space="preserve">PC-Part826255726</t>
  </si>
  <si>
    <t xml:space="preserve">€3m - Part 8 Residential Development, Limerick</t>
  </si>
  <si>
    <t xml:space="preserve">PC-187029</t>
  </si>
  <si>
    <t xml:space="preserve">€1.9m - Housing Development </t>
  </si>
  <si>
    <t xml:space="preserve">PC-2460864</t>
  </si>
  <si>
    <t xml:space="preserve">€4.2m - Residential Development</t>
  </si>
  <si>
    <t xml:space="preserve">was matched as Partly on site – check</t>
  </si>
  <si>
    <t xml:space="preserve">PC-268364</t>
  </si>
  <si>
    <t xml:space="preserve">€883k - Part 8 - 6 Apartments, Corbally</t>
  </si>
  <si>
    <t xml:space="preserve">PC-19990</t>
  </si>
  <si>
    <t xml:space="preserve">€521k - 8 Houses </t>
  </si>
  <si>
    <t xml:space="preserve">PC-201115</t>
  </si>
  <si>
    <t xml:space="preserve">€16.5m - Residential Development, Mungret</t>
  </si>
  <si>
    <t xml:space="preserve">PC-201195</t>
  </si>
  <si>
    <t xml:space="preserve">€9m - Residential Development, Mungret</t>
  </si>
  <si>
    <t xml:space="preserve">PC-20467</t>
  </si>
  <si>
    <t xml:space="preserve">€5.4m - Patricks Well Housing Development, Mungret</t>
  </si>
  <si>
    <t xml:space="preserve">PC-211216</t>
  </si>
  <si>
    <t xml:space="preserve">€21m - Residential Development, Mungret</t>
  </si>
  <si>
    <t xml:space="preserve">PC-211217</t>
  </si>
  <si>
    <t xml:space="preserve">€15.2m - Residential Development Mungret</t>
  </si>
  <si>
    <t xml:space="preserve">PC-21364</t>
  </si>
  <si>
    <t xml:space="preserve">€2.5m - Residential Development, Mungret</t>
  </si>
  <si>
    <t xml:space="preserve">PC-21532</t>
  </si>
  <si>
    <t xml:space="preserve">€858k - Residential Development, Mungret</t>
  </si>
  <si>
    <t xml:space="preserve">PC-221107</t>
  </si>
  <si>
    <t xml:space="preserve">€5m - Apartment/Retail Development, Dooradoyle</t>
  </si>
  <si>
    <t xml:space="preserve">PC-22471</t>
  </si>
  <si>
    <t xml:space="preserve">€4.5m - Housing Development, Mungret</t>
  </si>
  <si>
    <t xml:space="preserve">PC-2360615</t>
  </si>
  <si>
    <t xml:space="preserve">€11.3m - Housing Development, Mungret</t>
  </si>
  <si>
    <t xml:space="preserve">PC-2360703</t>
  </si>
  <si>
    <t xml:space="preserve">€27m - Mixed Use Development, Dooradoyle</t>
  </si>
  <si>
    <t xml:space="preserve">PC-2560425</t>
  </si>
  <si>
    <t xml:space="preserve">€4.4m - Apartment Development </t>
  </si>
  <si>
    <t xml:space="preserve">PC-Part81371977</t>
  </si>
  <si>
    <t xml:space="preserve">€3.4m - Residential Development</t>
  </si>
  <si>
    <t xml:space="preserve">PC-CIS1422145</t>
  </si>
  <si>
    <t xml:space="preserve">€719k - Architect Led Integrated Design Team Services for 23 Residential Units, </t>
  </si>
  <si>
    <t xml:space="preserve">PC-178001</t>
  </si>
  <si>
    <t xml:space="preserve">Part 8: (1)Provision of 7no. residential units, 2no. two storey and 5no. singl</t>
  </si>
  <si>
    <t xml:space="preserve">PC-178012</t>
  </si>
  <si>
    <t xml:space="preserve">Part 8: (i) provision of 7 no. residential units (2 no. three-storey, 3 bedroo</t>
  </si>
  <si>
    <t xml:space="preserve">PC-187040</t>
  </si>
  <si>
    <t xml:space="preserve">€5.7m - Residential Development, Rhebogue</t>
  </si>
  <si>
    <t xml:space="preserve">PC-211257</t>
  </si>
  <si>
    <t xml:space="preserve">€1.8m - Social Housing Development, Limerick</t>
  </si>
  <si>
    <t xml:space="preserve">PC-211395</t>
  </si>
  <si>
    <t xml:space="preserve">€1.3m - 6 Houses </t>
  </si>
  <si>
    <t xml:space="preserve">PC-2360759</t>
  </si>
  <si>
    <t xml:space="preserve">€1.4m - Retail Units/Apartments</t>
  </si>
  <si>
    <t xml:space="preserve">PC-2561232</t>
  </si>
  <si>
    <t xml:space="preserve">€9.4m - Student Accommodation Development, Limerick</t>
  </si>
  <si>
    <t xml:space="preserve">PC-178015</t>
  </si>
  <si>
    <t xml:space="preserve">Part 8: provision of 5 no. residential terraced units (all two storey) and all</t>
  </si>
  <si>
    <t xml:space="preserve">PC-181243</t>
  </si>
  <si>
    <t xml:space="preserve">€6.4m - Residential Development, Crossagalla</t>
  </si>
  <si>
    <t xml:space="preserve">PC-18434</t>
  </si>
  <si>
    <t xml:space="preserve">€10m - Residential Development, Singland</t>
  </si>
  <si>
    <t xml:space="preserve">PC-18618</t>
  </si>
  <si>
    <t xml:space="preserve">€529k - 4 Houses </t>
  </si>
  <si>
    <t xml:space="preserve">PC-1872</t>
  </si>
  <si>
    <t xml:space="preserve">€554k - 4 Houses </t>
  </si>
  <si>
    <t xml:space="preserve">PC-188007</t>
  </si>
  <si>
    <t xml:space="preserve">€8.9m - Residential Development </t>
  </si>
  <si>
    <t xml:space="preserve">PC-2460468</t>
  </si>
  <si>
    <t xml:space="preserve">€3.6m - Housing/Creche Development, Crossagalla</t>
  </si>
  <si>
    <t xml:space="preserve">PC-CIS1419395</t>
  </si>
  <si>
    <t xml:space="preserve">€2.1m - Part 8 Residential Development, Limerick</t>
  </si>
  <si>
    <t xml:space="preserve">PC-PT8LL277</t>
  </si>
  <si>
    <t xml:space="preserve">€1.5m - 5 Residential Units, Limerick</t>
  </si>
  <si>
    <t xml:space="preserve">PC-Part81363543</t>
  </si>
  <si>
    <t xml:space="preserve">€4m - Housing Development</t>
  </si>
  <si>
    <t xml:space="preserve">PC-Part81378081</t>
  </si>
  <si>
    <t xml:space="preserve">€879k - 4 Houses</t>
  </si>
  <si>
    <t xml:space="preserve">PC-15577</t>
  </si>
  <si>
    <t xml:space="preserve">Outside city neighbourhoods</t>
  </si>
  <si>
    <t xml:space="preserve">CAPPAMORE-KILMALLOCK LEA-7</t>
  </si>
  <si>
    <t xml:space="preserve">€588k - 3 Houses</t>
  </si>
  <si>
    <t xml:space="preserve">PC-178013</t>
  </si>
  <si>
    <t xml:space="preserve">Part 8: (i) Provision of 16no. residential terraced units (15no. two storey an</t>
  </si>
  <si>
    <t xml:space="preserve">PC-181193</t>
  </si>
  <si>
    <t xml:space="preserve">€9m - Housing Development</t>
  </si>
  <si>
    <t xml:space="preserve">PC-188002</t>
  </si>
  <si>
    <t xml:space="preserve">€1.9m - Residential Development </t>
  </si>
  <si>
    <t xml:space="preserve">PC-188013</t>
  </si>
  <si>
    <t xml:space="preserve">NEWCASTLE WEST LEA-6</t>
  </si>
  <si>
    <t xml:space="preserve">€701k - 7 Houses </t>
  </si>
  <si>
    <t xml:space="preserve">PC-18994</t>
  </si>
  <si>
    <t xml:space="preserve">€553k - 6 Houses</t>
  </si>
  <si>
    <t xml:space="preserve">PC-191255</t>
  </si>
  <si>
    <t xml:space="preserve">€572k - Residential Development, Kilmallock</t>
  </si>
  <si>
    <t xml:space="preserve">PC-191298</t>
  </si>
  <si>
    <t xml:space="preserve">€5.6m - Housing Development</t>
  </si>
  <si>
    <t xml:space="preserve">PC-19149</t>
  </si>
  <si>
    <t xml:space="preserve">€567k - Change of Use to Care Residential Units </t>
  </si>
  <si>
    <t xml:space="preserve">PC-19233</t>
  </si>
  <si>
    <t xml:space="preserve">€931k - 5 Houses </t>
  </si>
  <si>
    <t xml:space="preserve">PC-19518</t>
  </si>
  <si>
    <t xml:space="preserve">€11m - Mixed Use Development, Castleconnell</t>
  </si>
  <si>
    <t xml:space="preserve">PC-19552</t>
  </si>
  <si>
    <t xml:space="preserve">ADARE-RATHKEALE LEA-6</t>
  </si>
  <si>
    <t xml:space="preserve">PC-19689</t>
  </si>
  <si>
    <t xml:space="preserve">€2.2m - 9 Houses </t>
  </si>
  <si>
    <t xml:space="preserve">PC-197016</t>
  </si>
  <si>
    <t xml:space="preserve">€800k - Residential Development, Ballingarry</t>
  </si>
  <si>
    <t xml:space="preserve">PC-198005</t>
  </si>
  <si>
    <t xml:space="preserve">€1.7m - Residential Development </t>
  </si>
  <si>
    <t xml:space="preserve">PC-198007</t>
  </si>
  <si>
    <t xml:space="preserve">PC-198009</t>
  </si>
  <si>
    <t xml:space="preserve">€1.8m - Housing Development </t>
  </si>
  <si>
    <t xml:space="preserve">PC-198010</t>
  </si>
  <si>
    <t xml:space="preserve">€5m - Housing Development </t>
  </si>
  <si>
    <t xml:space="preserve">PC-19872</t>
  </si>
  <si>
    <t xml:space="preserve">€1.3m - Care Residential Units </t>
  </si>
  <si>
    <t xml:space="preserve">PC-201101</t>
  </si>
  <si>
    <t xml:space="preserve">€1m - 5 Houses </t>
  </si>
  <si>
    <t xml:space="preserve">PC-20314</t>
  </si>
  <si>
    <t xml:space="preserve">€1.1m - 6 Houses </t>
  </si>
  <si>
    <t xml:space="preserve">PC-20341</t>
  </si>
  <si>
    <t xml:space="preserve">€574k - Extension to Pub </t>
  </si>
  <si>
    <t xml:space="preserve">PC-20525</t>
  </si>
  <si>
    <t xml:space="preserve">Register: the construction of 14 dwelling houses, including 2 no semi-detached 2</t>
  </si>
  <si>
    <t xml:space="preserve">PC-20678</t>
  </si>
  <si>
    <t xml:space="preserve">€864k - Residential Development, Tournafulla</t>
  </si>
  <si>
    <t xml:space="preserve">PC-20857</t>
  </si>
  <si>
    <t xml:space="preserve">€543k - 2 Houses </t>
  </si>
  <si>
    <t xml:space="preserve">PC-211170</t>
  </si>
  <si>
    <t xml:space="preserve">€3m - Modifications to Housing Development, Kilfinane</t>
  </si>
  <si>
    <t xml:space="preserve">PC-21240</t>
  </si>
  <si>
    <t xml:space="preserve">€561k - Main Street Housing Development, Ballylanders </t>
  </si>
  <si>
    <t xml:space="preserve">PC-2148</t>
  </si>
  <si>
    <t xml:space="preserve">€1.9m - Change of Use to 9 Apartments, St. Paul's Convent</t>
  </si>
  <si>
    <t xml:space="preserve">PC-21531</t>
  </si>
  <si>
    <t xml:space="preserve">€9.7m - Housing Development, Newcastle West</t>
  </si>
  <si>
    <t xml:space="preserve">PC-21550</t>
  </si>
  <si>
    <t xml:space="preserve">€1.9m - 9 Houses </t>
  </si>
  <si>
    <t xml:space="preserve">PC-21594</t>
  </si>
  <si>
    <t xml:space="preserve">€11.3m - Residential Development </t>
  </si>
  <si>
    <t xml:space="preserve">PC-21630</t>
  </si>
  <si>
    <t xml:space="preserve">€10.8m - Residential Development, Croom</t>
  </si>
  <si>
    <t xml:space="preserve">PC-218012</t>
  </si>
  <si>
    <t xml:space="preserve">€2.4m - Residential Development</t>
  </si>
  <si>
    <t xml:space="preserve">PC-218013</t>
  </si>
  <si>
    <t xml:space="preserve">€3m - Housing Development</t>
  </si>
  <si>
    <t xml:space="preserve">PC-21873</t>
  </si>
  <si>
    <t xml:space="preserve">€1.7 - 9 Houses, Patrickswell</t>
  </si>
  <si>
    <t xml:space="preserve">PC-221318</t>
  </si>
  <si>
    <t xml:space="preserve">€10.9m - Residential Development, Patrickswell</t>
  </si>
  <si>
    <t xml:space="preserve">PC-221352</t>
  </si>
  <si>
    <t xml:space="preserve">€5.5m - Housing Development, Cappamore</t>
  </si>
  <si>
    <t xml:space="preserve">PC-22394</t>
  </si>
  <si>
    <t xml:space="preserve">€2.9m - Housing Development, Castleconnell</t>
  </si>
  <si>
    <t xml:space="preserve">PC-22410</t>
  </si>
  <si>
    <t xml:space="preserve">€18.8m - Nursing Home Development, Croom</t>
  </si>
  <si>
    <t xml:space="preserve">PC-228000</t>
  </si>
  <si>
    <t xml:space="preserve">€2.5m - 9 Houses</t>
  </si>
  <si>
    <t xml:space="preserve">PC-228013</t>
  </si>
  <si>
    <t xml:space="preserve">€2.2m - Housing Development, Ardagh</t>
  </si>
  <si>
    <t xml:space="preserve">PC-228017</t>
  </si>
  <si>
    <t xml:space="preserve">€4.4m - Residential Development, Patrickswell</t>
  </si>
  <si>
    <t xml:space="preserve">PC-228020</t>
  </si>
  <si>
    <t xml:space="preserve">€4.9m - Residential Development, Newcastle West</t>
  </si>
  <si>
    <t xml:space="preserve">PC-22840</t>
  </si>
  <si>
    <t xml:space="preserve">€21m - Residential Development, Newcastle West</t>
  </si>
  <si>
    <t xml:space="preserve">PC-22990</t>
  </si>
  <si>
    <t xml:space="preserve">€22m - Residential Development, Adare</t>
  </si>
  <si>
    <t xml:space="preserve">PC-2326</t>
  </si>
  <si>
    <t xml:space="preserve">€6.3m - Housing Development, Kilmallock</t>
  </si>
  <si>
    <t xml:space="preserve">PC-23529</t>
  </si>
  <si>
    <t xml:space="preserve">€4.4m - Housing Development</t>
  </si>
  <si>
    <t xml:space="preserve">PC-2360144</t>
  </si>
  <si>
    <t xml:space="preserve">€9m - Housing Development, Patrickswell</t>
  </si>
  <si>
    <t xml:space="preserve">PC-2360207</t>
  </si>
  <si>
    <t xml:space="preserve">€680k - 3 Houses </t>
  </si>
  <si>
    <t xml:space="preserve">PC-2360393</t>
  </si>
  <si>
    <t xml:space="preserve">€604k - 8 Residential Units </t>
  </si>
  <si>
    <t xml:space="preserve">PC-2360493</t>
  </si>
  <si>
    <t xml:space="preserve">€1.4m - 3 Houses </t>
  </si>
  <si>
    <t xml:space="preserve">PC-2360546</t>
  </si>
  <si>
    <t xml:space="preserve">€686k - 4 Dwellings</t>
  </si>
  <si>
    <t xml:space="preserve">PC-2360706</t>
  </si>
  <si>
    <t xml:space="preserve">€8.9m - Housing Development, Newcastle West</t>
  </si>
  <si>
    <t xml:space="preserve">PC-2360794</t>
  </si>
  <si>
    <t xml:space="preserve">€15.3m - Residential Development, Bruff</t>
  </si>
  <si>
    <t xml:space="preserve">PC-2360798</t>
  </si>
  <si>
    <t xml:space="preserve">€1.2m - 6 Houses </t>
  </si>
  <si>
    <t xml:space="preserve">PC-2360826</t>
  </si>
  <si>
    <t xml:space="preserve">€2.2m - Residential Development, Newcastle West</t>
  </si>
  <si>
    <t xml:space="preserve">PC-2360866</t>
  </si>
  <si>
    <t xml:space="preserve">€16.8m - Residential Development, Castleconnell</t>
  </si>
  <si>
    <t xml:space="preserve">PC-24151</t>
  </si>
  <si>
    <t xml:space="preserve">Register: the construction of 10 dwelling units to include 2 no. detached 5 bedr</t>
  </si>
  <si>
    <t xml:space="preserve">PC-24352</t>
  </si>
  <si>
    <t xml:space="preserve">€7.3m - Residential Development</t>
  </si>
  <si>
    <t xml:space="preserve">PC-2460028</t>
  </si>
  <si>
    <t xml:space="preserve">€2.5m - Assisted Living Dwelling Units, Glin</t>
  </si>
  <si>
    <t xml:space="preserve">PC-2460046</t>
  </si>
  <si>
    <t xml:space="preserve">€2m - 7 Houses, Broadford</t>
  </si>
  <si>
    <t xml:space="preserve">PC-2460299</t>
  </si>
  <si>
    <t xml:space="preserve">€884k - 3 Houses</t>
  </si>
  <si>
    <t xml:space="preserve">PC-2460304</t>
  </si>
  <si>
    <t xml:space="preserve">€6.2m - Residential Development,  Adare</t>
  </si>
  <si>
    <t xml:space="preserve">PC-2460568</t>
  </si>
  <si>
    <t xml:space="preserve">€3.9m - Residential Development, Castlemahon</t>
  </si>
  <si>
    <t xml:space="preserve">PC-2460788</t>
  </si>
  <si>
    <t xml:space="preserve">€7.4m - Residential Development, Kilmallock</t>
  </si>
  <si>
    <t xml:space="preserve">PC-2461101</t>
  </si>
  <si>
    <t xml:space="preserve">€1.4m - 7 Houses</t>
  </si>
  <si>
    <t xml:space="preserve">PC-2461182</t>
  </si>
  <si>
    <t xml:space="preserve">€5.4m - Residential Development </t>
  </si>
  <si>
    <t xml:space="preserve">PC-2560156</t>
  </si>
  <si>
    <t xml:space="preserve">€15.9m - Residential Development, Patrickswell</t>
  </si>
  <si>
    <t xml:space="preserve">PC-2560211</t>
  </si>
  <si>
    <t xml:space="preserve">€800k - 4 Apartments </t>
  </si>
  <si>
    <t xml:space="preserve">PC-2560633</t>
  </si>
  <si>
    <t xml:space="preserve">€2.4m - 6 Houses</t>
  </si>
  <si>
    <t xml:space="preserve">PC-2560947</t>
  </si>
  <si>
    <t xml:space="preserve">€1m - 8 Houses, Bruff</t>
  </si>
  <si>
    <t xml:space="preserve">PC-2560977</t>
  </si>
  <si>
    <t xml:space="preserve">€2.7m - Self Catering Accommodation Lodges, Adare</t>
  </si>
  <si>
    <t xml:space="preserve">PC-2561211</t>
  </si>
  <si>
    <t xml:space="preserve">€1.8m - Residential Development, Newcastle West</t>
  </si>
  <si>
    <t xml:space="preserve">PC-2561228</t>
  </si>
  <si>
    <t xml:space="preserve">€18.4m - Residential Development, Patrickswell</t>
  </si>
  <si>
    <t xml:space="preserve">PC-258297</t>
  </si>
  <si>
    <t xml:space="preserve">€4.5m - Residential Development, Abbeyfeale</t>
  </si>
  <si>
    <t xml:space="preserve">PC-2660063</t>
  </si>
  <si>
    <t xml:space="preserve">€1.8m - 7 House/Apartment/Community Office, Feenagh</t>
  </si>
  <si>
    <t xml:space="preserve">PC-2660575</t>
  </si>
  <si>
    <t xml:space="preserve">€4.3m - Apartment Development, Newcastle West</t>
  </si>
  <si>
    <t xml:space="preserve">PC-2660779</t>
  </si>
  <si>
    <t xml:space="preserve">€8.6m - Staff Accommodation/8Apartments, Adare</t>
  </si>
  <si>
    <t xml:space="preserve">PC-CIS1015929</t>
  </si>
  <si>
    <t xml:space="preserve">€2m - Housing Development </t>
  </si>
  <si>
    <t xml:space="preserve">PC-Part81033981</t>
  </si>
  <si>
    <t xml:space="preserve">€960k - Residential Development</t>
  </si>
  <si>
    <t xml:space="preserve">PC-Part81248404</t>
  </si>
  <si>
    <t xml:space="preserve">€4.6m - Residential Development, Patrickswell</t>
  </si>
  <si>
    <t xml:space="preserve">PC-Part81316160</t>
  </si>
  <si>
    <t xml:space="preserve">€705k - Radharc an Ghleanna Residential Development, Mountcollins</t>
  </si>
  <si>
    <t xml:space="preserve">PC-Part81345677</t>
  </si>
  <si>
    <t xml:space="preserve">€1.5m - New Traveller Welfare Units, Hillview Park</t>
  </si>
  <si>
    <t xml:space="preserve">PC-Part81378805</t>
  </si>
  <si>
    <t xml:space="preserve">€800k - Housing Development</t>
  </si>
  <si>
    <t xml:space="preserve">PC-Part81392454</t>
  </si>
  <si>
    <t xml:space="preserve">€5.9m - Residential Development, Bruff</t>
  </si>
  <si>
    <t xml:space="preserve">perm_id</t>
  </si>
  <si>
    <t xml:space="preserve">planning_ref</t>
  </si>
  <si>
    <t xml:space="preserve">register_ref</t>
  </si>
  <si>
    <t xml:space="preserve">scheme</t>
  </si>
  <si>
    <t xml:space="preserve">units</t>
  </si>
  <si>
    <t xml:space="preserve">student_bedspaces</t>
  </si>
  <si>
    <t xml:space="preserve">status</t>
  </si>
  <si>
    <t xml:space="preserve">counts_toward_totals</t>
  </si>
  <si>
    <t xml:space="preserve">relationship</t>
  </si>
  <si>
    <t xml:space="preserve">tenure</t>
  </si>
  <si>
    <t xml:space="preserve">delivery_body</t>
  </si>
  <si>
    <t xml:space="preserve">route</t>
  </si>
  <si>
    <t xml:space="preserve">final_grant</t>
  </si>
  <si>
    <t xml:space="preserve">expiry</t>
  </si>
  <si>
    <t xml:space="preserve">start_on_site</t>
  </si>
  <si>
    <t xml:space="preserve">est_start</t>
  </si>
  <si>
    <t xml:space="preserve">est_last_completions</t>
  </si>
  <si>
    <t xml:space="preserve">confidence</t>
  </si>
  <si>
    <t xml:space="preserve">match_basis</t>
  </si>
  <si>
    <t xml:space="preserve">source</t>
  </si>
  <si>
    <t xml:space="preserve">last_updated</t>
  </si>
  <si>
    <t xml:space="preserve">check</t>
  </si>
  <si>
    <t xml:space="preserve">1214059</t>
  </si>
  <si>
    <t xml:space="preserve">ABPREF312683</t>
  </si>
  <si>
    <t xml:space="preserve">€27.5m - Clonmacken Gardens Housing Development, Limerick</t>
  </si>
  <si>
    <t xml:space="preserve">Permitted – not started</t>
  </si>
  <si>
    <t xml:space="preserve">Yes</t>
  </si>
  <si>
    <t xml:space="preserve">Primary</t>
  </si>
  <si>
    <t xml:space="preserve">Market (incl. Part V)</t>
  </si>
  <si>
    <t xml:space="preserve">SHD (An Bord Pleanála)</t>
  </si>
  <si>
    <t xml:space="preserve">2022-05-26</t>
  </si>
  <si>
    <t xml:space="preserve">2027-05-25</t>
  </si>
  <si>
    <t xml:space="preserve">2027 Q3</t>
  </si>
  <si>
    <t xml:space="preserve">2030 Q4</t>
  </si>
  <si>
    <t xml:space="preserve">Low</t>
  </si>
  <si>
    <t xml:space="preserve">Within site</t>
  </si>
  <si>
    <t xml:space="preserve">CIS</t>
  </si>
  <si>
    <t xml:space="preserve">978022</t>
  </si>
  <si>
    <t xml:space="preserve">18168</t>
  </si>
  <si>
    <t xml:space="preserve">€3m - Mixed Use Development</t>
  </si>
  <si>
    <t xml:space="preserve">Expired – not started</t>
  </si>
  <si>
    <t xml:space="preserve">Standard planning application</t>
  </si>
  <si>
    <t xml:space="preserve">2018-07-19</t>
  </si>
  <si>
    <t xml:space="preserve">2023-07-18</t>
  </si>
  <si>
    <t xml:space="preserve">Not projected</t>
  </si>
  <si>
    <t xml:space="preserve">1245933</t>
  </si>
  <si>
    <t xml:space="preserve">228016</t>
  </si>
  <si>
    <t xml:space="preserve">€6m - Apartment Development, Limerick</t>
  </si>
  <si>
    <t xml:space="preserve">Under construction</t>
  </si>
  <si>
    <t xml:space="preserve">Additional application on site</t>
  </si>
  <si>
    <t xml:space="preserve">Social</t>
  </si>
  <si>
    <t xml:space="preserve">Local authority</t>
  </si>
  <si>
    <t xml:space="preserve">Part 8 / council</t>
  </si>
  <si>
    <t xml:space="preserve">2022-11-21</t>
  </si>
  <si>
    <t xml:space="preserve">2024-09-25</t>
  </si>
  <si>
    <t xml:space="preserve">2024 Q3</t>
  </si>
  <si>
    <t xml:space="preserve">2027 Q4</t>
  </si>
  <si>
    <t xml:space="preserve">High</t>
  </si>
  <si>
    <t xml:space="preserve">1442414</t>
  </si>
  <si>
    <t xml:space="preserve">2660652</t>
  </si>
  <si>
    <t xml:space="preserve">€540k - 4 Apartments, Limerick</t>
  </si>
  <si>
    <t xml:space="preserve">In planning</t>
  </si>
  <si>
    <t xml:space="preserve">999958</t>
  </si>
  <si>
    <t xml:space="preserve">188010</t>
  </si>
  <si>
    <t xml:space="preserve">€2.2m - Residential Development </t>
  </si>
  <si>
    <t xml:space="preserve">Complete</t>
  </si>
  <si>
    <t xml:space="preserve">2018-08-31</t>
  </si>
  <si>
    <t xml:space="preserve">2020-02-13</t>
  </si>
  <si>
    <t xml:space="preserve">Delivered</t>
  </si>
  <si>
    <t xml:space="preserve">1412257</t>
  </si>
  <si>
    <t xml:space="preserve">2560778</t>
  </si>
  <si>
    <t xml:space="preserve">€1.2m - 10 Houses, Crossagalla</t>
  </si>
  <si>
    <t xml:space="preserve">2026-02-24</t>
  </si>
  <si>
    <t xml:space="preserve">2031-02-23</t>
  </si>
  <si>
    <t xml:space="preserve">2027 Q2</t>
  </si>
  <si>
    <t xml:space="preserve">2029 Q1</t>
  </si>
  <si>
    <t xml:space="preserve">Medium</t>
  </si>
  <si>
    <t xml:space="preserve">1325143</t>
  </si>
  <si>
    <t xml:space="preserve">2360951</t>
  </si>
  <si>
    <t xml:space="preserve">€28m - Mixed Use Development, Moyross</t>
  </si>
  <si>
    <t xml:space="preserve">Approved housing body</t>
  </si>
  <si>
    <t xml:space="preserve">2024-03-27</t>
  </si>
  <si>
    <t xml:space="preserve">2029-03-26</t>
  </si>
  <si>
    <t xml:space="preserve">2026-06-04</t>
  </si>
  <si>
    <t xml:space="preserve">2026 Q2</t>
  </si>
  <si>
    <t xml:space="preserve">2028 Q3</t>
  </si>
  <si>
    <t xml:space="preserve">1425841</t>
  </si>
  <si>
    <t xml:space="preserve">258328</t>
  </si>
  <si>
    <t xml:space="preserve">€14m - Residential Development, Limerick</t>
  </si>
  <si>
    <t xml:space="preserve">1194302</t>
  </si>
  <si>
    <t xml:space="preserve">ABPREF311588</t>
  </si>
  <si>
    <t xml:space="preserve">€66m - Greenpark SHD Residential Development, Dock Road, Limerick </t>
  </si>
  <si>
    <t xml:space="preserve">2022-03-30</t>
  </si>
  <si>
    <t xml:space="preserve">2027-03-29</t>
  </si>
  <si>
    <t xml:space="preserve">2023-07-31</t>
  </si>
  <si>
    <t xml:space="preserve">2023 Q3</t>
  </si>
  <si>
    <t xml:space="preserve">1221693</t>
  </si>
  <si>
    <t xml:space="preserve">ABPREF313124</t>
  </si>
  <si>
    <t xml:space="preserve">€76m - Residential Development, Raheen</t>
  </si>
  <si>
    <t xml:space="preserve">2022-06-30</t>
  </si>
  <si>
    <t xml:space="preserve">2032-06-29</t>
  </si>
  <si>
    <t xml:space="preserve">2024-04-24</t>
  </si>
  <si>
    <t xml:space="preserve">2024 Q2</t>
  </si>
  <si>
    <t xml:space="preserve">2031 Q4</t>
  </si>
  <si>
    <t xml:space="preserve">1382991</t>
  </si>
  <si>
    <t xml:space="preserve">2461282</t>
  </si>
  <si>
    <t xml:space="preserve">€32m - LRD, Mungret</t>
  </si>
  <si>
    <t xml:space="preserve">LRD</t>
  </si>
  <si>
    <t xml:space="preserve">2025-09-24</t>
  </si>
  <si>
    <t xml:space="preserve">2030-09-23</t>
  </si>
  <si>
    <t xml:space="preserve">2030 Q1</t>
  </si>
  <si>
    <t xml:space="preserve">1417769</t>
  </si>
  <si>
    <t xml:space="preserve">2561231</t>
  </si>
  <si>
    <t xml:space="preserve">€32.5m - Large Residential Development, Mungret</t>
  </si>
  <si>
    <t xml:space="preserve">2026-07-30</t>
  </si>
  <si>
    <t xml:space="preserve">2031-07-30</t>
  </si>
  <si>
    <t xml:space="preserve">2028 Q2</t>
  </si>
  <si>
    <t xml:space="preserve">2031 Q3</t>
  </si>
  <si>
    <t xml:space="preserve">1432711</t>
  </si>
  <si>
    <t xml:space="preserve">2660396</t>
  </si>
  <si>
    <t xml:space="preserve">€39m - Large Residential Development, Mungret</t>
  </si>
  <si>
    <t xml:space="preserve">2026-09-15</t>
  </si>
  <si>
    <t xml:space="preserve">2031-09-15</t>
  </si>
  <si>
    <t xml:space="preserve">2032 Q1</t>
  </si>
  <si>
    <t xml:space="preserve">1147240</t>
  </si>
  <si>
    <t xml:space="preserve">218000</t>
  </si>
  <si>
    <t xml:space="preserve">€47m - The Mungret Project</t>
  </si>
  <si>
    <t xml:space="preserve">2021-07-13</t>
  </si>
  <si>
    <t xml:space="preserve">2026-07-29</t>
  </si>
  <si>
    <t xml:space="preserve">2026 Q3</t>
  </si>
  <si>
    <t xml:space="preserve">1058796</t>
  </si>
  <si>
    <t xml:space="preserve">19710</t>
  </si>
  <si>
    <t xml:space="preserve">€8.5m - Student Accommodation Development, Former Hassett’s Bar</t>
  </si>
  <si>
    <t xml:space="preserve">Stalled</t>
  </si>
  <si>
    <t xml:space="preserve">Student (PBSA)</t>
  </si>
  <si>
    <t xml:space="preserve">2021-03-15</t>
  </si>
  <si>
    <t xml:space="preserve">2029-03-13</t>
  </si>
  <si>
    <t xml:space="preserve">1265188</t>
  </si>
  <si>
    <t xml:space="preserve">221400</t>
  </si>
  <si>
    <t xml:space="preserve">€10.4m - Residential Development, Thomondgate</t>
  </si>
  <si>
    <t xml:space="preserve">2024-07-26</t>
  </si>
  <si>
    <t xml:space="preserve">2029-07-25</t>
  </si>
  <si>
    <t xml:space="preserve">2029 Q3</t>
  </si>
  <si>
    <t xml:space="preserve">1447625</t>
  </si>
  <si>
    <t xml:space="preserve">248153</t>
  </si>
  <si>
    <t xml:space="preserve">€1.4m - Part 8 - 2 Houses &amp; 4 Apartments, Thomondghate</t>
  </si>
  <si>
    <t xml:space="preserve">1172151</t>
  </si>
  <si>
    <t xml:space="preserve">217025</t>
  </si>
  <si>
    <t xml:space="preserve">€3.7m - Ardhú Apartments Refurbishment, Ennis Road</t>
  </si>
  <si>
    <t xml:space="preserve">Extension of duration (parent not in CIS)</t>
  </si>
  <si>
    <t xml:space="preserve">2021-07-14</t>
  </si>
  <si>
    <t xml:space="preserve">2026-11-19</t>
  </si>
  <si>
    <t xml:space="preserve">2022-08-29</t>
  </si>
  <si>
    <t xml:space="preserve">1319462</t>
  </si>
  <si>
    <t xml:space="preserve">23557</t>
  </si>
  <si>
    <t xml:space="preserve">€33m - LRD Development, Limerick</t>
  </si>
  <si>
    <t xml:space="preserve">Additional phase</t>
  </si>
  <si>
    <t xml:space="preserve">2024-08-23</t>
  </si>
  <si>
    <t xml:space="preserve">2029-08-22</t>
  </si>
  <si>
    <t xml:space="preserve">2025-09-04</t>
  </si>
  <si>
    <t xml:space="preserve">2025 Q3</t>
  </si>
  <si>
    <t xml:space="preserve">1414128</t>
  </si>
  <si>
    <t xml:space="preserve">2560953</t>
  </si>
  <si>
    <t xml:space="preserve">€4.8m - Residential Development, Limerick</t>
  </si>
  <si>
    <t xml:space="preserve">2026-04-29</t>
  </si>
  <si>
    <t xml:space="preserve">2031-04-28</t>
  </si>
  <si>
    <t xml:space="preserve">1162677</t>
  </si>
  <si>
    <t xml:space="preserve">21520</t>
  </si>
  <si>
    <t xml:space="preserve">€6.5m - Housing Development Limerick</t>
  </si>
  <si>
    <t xml:space="preserve">2023-12-04</t>
  </si>
  <si>
    <t xml:space="preserve">2028-12-03</t>
  </si>
  <si>
    <t xml:space="preserve">2024-07-17</t>
  </si>
  <si>
    <t xml:space="preserve">1054214</t>
  </si>
  <si>
    <t xml:space="preserve">198004</t>
  </si>
  <si>
    <t xml:space="preserve">€6m - Residential Development, King's Island</t>
  </si>
  <si>
    <t xml:space="preserve">2019-10-02</t>
  </si>
  <si>
    <t xml:space="preserve">1419614</t>
  </si>
  <si>
    <t xml:space="preserve">258327</t>
  </si>
  <si>
    <t xml:space="preserve">€4.8m - Apartment Development, Limerick</t>
  </si>
  <si>
    <t xml:space="preserve">1357447</t>
  </si>
  <si>
    <t xml:space="preserve">2460713</t>
  </si>
  <si>
    <t xml:space="preserve">€4.2m - Apartment Development, Limerick City</t>
  </si>
  <si>
    <t xml:space="preserve">2025-10-31</t>
  </si>
  <si>
    <t xml:space="preserve">2030-10-30</t>
  </si>
  <si>
    <t xml:space="preserve">1327848</t>
  </si>
  <si>
    <t xml:space="preserve">2460032</t>
  </si>
  <si>
    <t xml:space="preserve">€18.9m - Residential Development, Old Cratloe Road</t>
  </si>
  <si>
    <t xml:space="preserve">2024-08-20</t>
  </si>
  <si>
    <t xml:space="preserve">2029-08-19</t>
  </si>
  <si>
    <t xml:space="preserve">2025-08-20</t>
  </si>
  <si>
    <t xml:space="preserve">1120093</t>
  </si>
  <si>
    <t xml:space="preserve">20827</t>
  </si>
  <si>
    <t xml:space="preserve">€864k - 4 Houses </t>
  </si>
  <si>
    <t xml:space="preserve">2021-08-26</t>
  </si>
  <si>
    <t xml:space="preserve">2026-08-25</t>
  </si>
  <si>
    <t xml:space="preserve">1259753</t>
  </si>
  <si>
    <t xml:space="preserve">221216</t>
  </si>
  <si>
    <t xml:space="preserve">€14m - Old Dublin Road Student Village LRD, Limerick City</t>
  </si>
  <si>
    <t xml:space="preserve">2023-05-17</t>
  </si>
  <si>
    <t xml:space="preserve">2028-05-16</t>
  </si>
  <si>
    <t xml:space="preserve">2024-12-27</t>
  </si>
  <si>
    <t xml:space="preserve">2024 Q4</t>
  </si>
  <si>
    <t xml:space="preserve">1389800</t>
  </si>
  <si>
    <t xml:space="preserve">2560113</t>
  </si>
  <si>
    <t xml:space="preserve">€87m - Student Accommodation, Castletroy</t>
  </si>
  <si>
    <t xml:space="preserve">2025-10-29</t>
  </si>
  <si>
    <t xml:space="preserve">2030-10-28</t>
  </si>
  <si>
    <t xml:space="preserve">2029 Q2</t>
  </si>
  <si>
    <t xml:space="preserve">1397299</t>
  </si>
  <si>
    <t xml:space="preserve">2560271</t>
  </si>
  <si>
    <t xml:space="preserve">€21m - Residential Development, Castletroy</t>
  </si>
  <si>
    <t xml:space="preserve">2026-04-15</t>
  </si>
  <si>
    <t xml:space="preserve">2031-04-14</t>
  </si>
  <si>
    <t xml:space="preserve">2028 Q1</t>
  </si>
  <si>
    <t xml:space="preserve">2030 Q2</t>
  </si>
  <si>
    <t xml:space="preserve">973082</t>
  </si>
  <si>
    <t xml:space="preserve">1855</t>
  </si>
  <si>
    <t xml:space="preserve">€4.8m - Residential Development, Castletroy</t>
  </si>
  <si>
    <t xml:space="preserve">2018-07-04</t>
  </si>
  <si>
    <t xml:space="preserve">2023-07-03</t>
  </si>
  <si>
    <t xml:space="preserve">2018-08-08</t>
  </si>
  <si>
    <t xml:space="preserve">2018 Q3</t>
  </si>
  <si>
    <t xml:space="preserve">1446288</t>
  </si>
  <si>
    <t xml:space="preserve">2660241</t>
  </si>
  <si>
    <t xml:space="preserve">€125.6m - Large Residential Development, Castletroy</t>
  </si>
  <si>
    <t xml:space="preserve">2026-04-28</t>
  </si>
  <si>
    <t xml:space="preserve">2031-09-01</t>
  </si>
  <si>
    <t xml:space="preserve">2038 Q2</t>
  </si>
  <si>
    <t xml:space="preserve">1245941</t>
  </si>
  <si>
    <t xml:space="preserve">22917</t>
  </si>
  <si>
    <t xml:space="preserve">€3.6m - Mixed Use Development, Limerick</t>
  </si>
  <si>
    <t xml:space="preserve">2023-10-03</t>
  </si>
  <si>
    <t xml:space="preserve">2028-10-02</t>
  </si>
  <si>
    <t xml:space="preserve">1163033</t>
  </si>
  <si>
    <t xml:space="preserve">ABPREF309999</t>
  </si>
  <si>
    <t xml:space="preserve">€30m - Residential Development, Annacotty</t>
  </si>
  <si>
    <t xml:space="preserve">2021-08-05</t>
  </si>
  <si>
    <t xml:space="preserve">2026-08-04</t>
  </si>
  <si>
    <t xml:space="preserve">1402906</t>
  </si>
  <si>
    <t xml:space="preserve">2560399</t>
  </si>
  <si>
    <t xml:space="preserve">€16.4m - Residential Development </t>
  </si>
  <si>
    <t xml:space="preserve">2026-07-13</t>
  </si>
  <si>
    <t xml:space="preserve">2031-07-12</t>
  </si>
  <si>
    <t xml:space="preserve">2029 Q4</t>
  </si>
  <si>
    <t xml:space="preserve">1207014</t>
  </si>
  <si>
    <t xml:space="preserve">211800</t>
  </si>
  <si>
    <t xml:space="preserve">€21m - Residential Development, Old Cratloe Road</t>
  </si>
  <si>
    <t xml:space="preserve">2024-04-08</t>
  </si>
  <si>
    <t xml:space="preserve">2029-04-07</t>
  </si>
  <si>
    <t xml:space="preserve">1248019</t>
  </si>
  <si>
    <t xml:space="preserve">22959</t>
  </si>
  <si>
    <t xml:space="preserve">€20m - Residential Development, Limerick.</t>
  </si>
  <si>
    <t xml:space="preserve">2024-11-21</t>
  </si>
  <si>
    <t xml:space="preserve">2029-11-20</t>
  </si>
  <si>
    <t xml:space="preserve">1254544</t>
  </si>
  <si>
    <t xml:space="preserve">221114</t>
  </si>
  <si>
    <t xml:space="preserve">€12.2m - Residential Development, Limerick</t>
  </si>
  <si>
    <t xml:space="preserve">2024-10-18</t>
  </si>
  <si>
    <t xml:space="preserve">2029-10-17</t>
  </si>
  <si>
    <t xml:space="preserve">1423228</t>
  </si>
  <si>
    <t xml:space="preserve">2660089</t>
  </si>
  <si>
    <t xml:space="preserve">€42m - Large Residential Development, Castletroy</t>
  </si>
  <si>
    <t xml:space="preserve">2026-07-22</t>
  </si>
  <si>
    <t xml:space="preserve">2031-07-21</t>
  </si>
  <si>
    <t xml:space="preserve">2037 Q3</t>
  </si>
  <si>
    <t xml:space="preserve">1247398</t>
  </si>
  <si>
    <t xml:space="preserve">22950</t>
  </si>
  <si>
    <t xml:space="preserve">€13.9m - Lidl Mixed Use Development , Ballysimon</t>
  </si>
  <si>
    <t xml:space="preserve">2023-09-05</t>
  </si>
  <si>
    <t xml:space="preserve">2028-09-04</t>
  </si>
  <si>
    <t xml:space="preserve">2024-07-15</t>
  </si>
  <si>
    <t xml:space="preserve">1428325</t>
  </si>
  <si>
    <t xml:space="preserve">2660275</t>
  </si>
  <si>
    <t xml:space="preserve">€42m - Large Residential Development,Limerick</t>
  </si>
  <si>
    <t xml:space="preserve">2026-09-23</t>
  </si>
  <si>
    <t xml:space="preserve">2031-09-22</t>
  </si>
  <si>
    <t xml:space="preserve">2032 Q3</t>
  </si>
  <si>
    <t xml:space="preserve">1391659</t>
  </si>
  <si>
    <t xml:space="preserve">2560151</t>
  </si>
  <si>
    <t xml:space="preserve">€6.2m - Residential Development, Limerick</t>
  </si>
  <si>
    <t xml:space="preserve">2025-11-27</t>
  </si>
  <si>
    <t xml:space="preserve">2030-11-26</t>
  </si>
  <si>
    <t xml:space="preserve">2026-05-12</t>
  </si>
  <si>
    <t xml:space="preserve">1437215</t>
  </si>
  <si>
    <t xml:space="preserve">2660603</t>
  </si>
  <si>
    <t xml:space="preserve">€84m - Parkway Valley LRD, Singland</t>
  </si>
  <si>
    <t xml:space="preserve">2031-07-22</t>
  </si>
  <si>
    <t xml:space="preserve">2036 Q2</t>
  </si>
  <si>
    <t xml:space="preserve">1164424</t>
  </si>
  <si>
    <t xml:space="preserve">21580</t>
  </si>
  <si>
    <t xml:space="preserve">€9.6m - Residential Development </t>
  </si>
  <si>
    <t xml:space="preserve">2025-05-13</t>
  </si>
  <si>
    <t xml:space="preserve">2030-05-12</t>
  </si>
  <si>
    <t xml:space="preserve">2027 Q1</t>
  </si>
  <si>
    <t xml:space="preserve">1242233</t>
  </si>
  <si>
    <t xml:space="preserve">22817</t>
  </si>
  <si>
    <t xml:space="preserve">€11m - Residential Development, Limerick</t>
  </si>
  <si>
    <t xml:space="preserve">2023-07-04</t>
  </si>
  <si>
    <t xml:space="preserve">2028-07-03</t>
  </si>
  <si>
    <t xml:space="preserve">1241529</t>
  </si>
  <si>
    <t xml:space="preserve">22793</t>
  </si>
  <si>
    <t xml:space="preserve">€4.5m - Housing Development, Limerick City</t>
  </si>
  <si>
    <t xml:space="preserve">2024-02-01</t>
  </si>
  <si>
    <t xml:space="preserve">2029-01-31</t>
  </si>
  <si>
    <t xml:space="preserve">2024-12-31</t>
  </si>
  <si>
    <t xml:space="preserve">2025 Q1</t>
  </si>
  <si>
    <t xml:space="preserve">1173364</t>
  </si>
  <si>
    <t xml:space="preserve">21835</t>
  </si>
  <si>
    <t xml:space="preserve">€3.5m - Apartment Development, Limerick</t>
  </si>
  <si>
    <t xml:space="preserve">2022-02-17</t>
  </si>
  <si>
    <t xml:space="preserve">2027-02-16</t>
  </si>
  <si>
    <t xml:space="preserve">1393371</t>
  </si>
  <si>
    <t xml:space="preserve">2560169</t>
  </si>
  <si>
    <t xml:space="preserve">€4.8m - Mixed Use Development, Limerick</t>
  </si>
  <si>
    <t xml:space="preserve">2025-08-13</t>
  </si>
  <si>
    <t xml:space="preserve">2030-08-12</t>
  </si>
  <si>
    <t xml:space="preserve">2028 Q4</t>
  </si>
  <si>
    <t xml:space="preserve">1202244</t>
  </si>
  <si>
    <t xml:space="preserve">211640</t>
  </si>
  <si>
    <t xml:space="preserve">€3.8m - Residential Development, Curry Lane</t>
  </si>
  <si>
    <t xml:space="preserve">2022-03-08</t>
  </si>
  <si>
    <t xml:space="preserve">2027-03-07</t>
  </si>
  <si>
    <t xml:space="preserve">2024-07-11</t>
  </si>
  <si>
    <t xml:space="preserve">1412002</t>
  </si>
  <si>
    <t xml:space="preserve">2560780</t>
  </si>
  <si>
    <t xml:space="preserve">€95m - Dock Road LRD, Limerick</t>
  </si>
  <si>
    <t xml:space="preserve">Affordable / cost rental</t>
  </si>
  <si>
    <t xml:space="preserve">Land Development Agency</t>
  </si>
  <si>
    <t xml:space="preserve">2026-02-11</t>
  </si>
  <si>
    <t xml:space="preserve">2031-02-10</t>
  </si>
  <si>
    <t xml:space="preserve">2033 Q3</t>
  </si>
  <si>
    <t xml:space="preserve">1278179</t>
  </si>
  <si>
    <t xml:space="preserve">2360148</t>
  </si>
  <si>
    <t xml:space="preserve">€1.5m - 3 Community Houses</t>
  </si>
  <si>
    <t xml:space="preserve">2023-11-02</t>
  </si>
  <si>
    <t xml:space="preserve">2028-11-01</t>
  </si>
  <si>
    <t xml:space="preserve">2024-08-26</t>
  </si>
  <si>
    <t xml:space="preserve">Own consent parcel</t>
  </si>
  <si>
    <t xml:space="preserve">837963</t>
  </si>
  <si>
    <t xml:space="preserve">15577</t>
  </si>
  <si>
    <t xml:space="preserve">2015-09-09</t>
  </si>
  <si>
    <t xml:space="preserve">REG-178001</t>
  </si>
  <si>
    <t xml:space="preserve">178001</t>
  </si>
  <si>
    <t xml:space="preserve">2018-09-24</t>
  </si>
  <si>
    <t xml:space="preserve">Register only (Part 8, not in CIS)</t>
  </si>
  <si>
    <t xml:space="preserve">REG-178012</t>
  </si>
  <si>
    <t xml:space="preserve">178012</t>
  </si>
  <si>
    <t xml:space="preserve">REG-178013</t>
  </si>
  <si>
    <t xml:space="preserve">178013</t>
  </si>
  <si>
    <t xml:space="preserve">2017-12-13</t>
  </si>
  <si>
    <t xml:space="preserve">2019-04-12</t>
  </si>
  <si>
    <t xml:space="preserve">2019 Q2</t>
  </si>
  <si>
    <t xml:space="preserve">REG-178015</t>
  </si>
  <si>
    <t xml:space="preserve">178015</t>
  </si>
  <si>
    <t xml:space="preserve">2019-01-07</t>
  </si>
  <si>
    <t xml:space="preserve">2019 Q1</t>
  </si>
  <si>
    <t xml:space="preserve">REG-178017</t>
  </si>
  <si>
    <t xml:space="preserve">178017</t>
  </si>
  <si>
    <t xml:space="preserve">2019-05-15</t>
  </si>
  <si>
    <t xml:space="preserve">1019118</t>
  </si>
  <si>
    <t xml:space="preserve">181104</t>
  </si>
  <si>
    <t xml:space="preserve">2019-06-04</t>
  </si>
  <si>
    <t xml:space="preserve">2027-06-02</t>
  </si>
  <si>
    <t xml:space="preserve">2023-07-07</t>
  </si>
  <si>
    <t xml:space="preserve">1019119</t>
  </si>
  <si>
    <t xml:space="preserve">181105</t>
  </si>
  <si>
    <t xml:space="preserve">€2.3m - Housing Development</t>
  </si>
  <si>
    <t xml:space="preserve">2019-09-19</t>
  </si>
  <si>
    <t xml:space="preserve">2024-09-18</t>
  </si>
  <si>
    <t xml:space="preserve">2023-07-06</t>
  </si>
  <si>
    <t xml:space="preserve">1023413</t>
  </si>
  <si>
    <t xml:space="preserve">181193</t>
  </si>
  <si>
    <t xml:space="preserve">2019-05-28</t>
  </si>
  <si>
    <t xml:space="preserve">2027-05-26</t>
  </si>
  <si>
    <t xml:space="preserve">1045778</t>
  </si>
  <si>
    <t xml:space="preserve">19444</t>
  </si>
  <si>
    <t xml:space="preserve">€2.2m - Housing Development </t>
  </si>
  <si>
    <t xml:space="preserve">2019-11-05</t>
  </si>
  <si>
    <t xml:space="preserve">2024-11-04</t>
  </si>
  <si>
    <t xml:space="preserve">979081</t>
  </si>
  <si>
    <t xml:space="preserve">18200</t>
  </si>
  <si>
    <t xml:space="preserve">€5.9m - Residential Development, Patrickswell</t>
  </si>
  <si>
    <t xml:space="preserve">2018-12-11</t>
  </si>
  <si>
    <t xml:space="preserve">2026-12-08</t>
  </si>
  <si>
    <t xml:space="preserve">2022-12-09</t>
  </si>
  <si>
    <t xml:space="preserve">2022 Q4</t>
  </si>
  <si>
    <t xml:space="preserve">1024750</t>
  </si>
  <si>
    <t xml:space="preserve">181243</t>
  </si>
  <si>
    <t xml:space="preserve">2019-09-04</t>
  </si>
  <si>
    <t xml:space="preserve">2024-09-03</t>
  </si>
  <si>
    <t xml:space="preserve">2021-04-28</t>
  </si>
  <si>
    <t xml:space="preserve">980328</t>
  </si>
  <si>
    <t xml:space="preserve">18219</t>
  </si>
  <si>
    <t xml:space="preserve">2018-09-11</t>
  </si>
  <si>
    <t xml:space="preserve">2023-09-10</t>
  </si>
  <si>
    <t xml:space="preserve">1025215</t>
  </si>
  <si>
    <t xml:space="preserve">181270</t>
  </si>
  <si>
    <t xml:space="preserve">€5.8m - Housing Development</t>
  </si>
  <si>
    <t xml:space="preserve">2019-05-29</t>
  </si>
  <si>
    <t xml:space="preserve">2024-05-28</t>
  </si>
  <si>
    <t xml:space="preserve">2021-05-25</t>
  </si>
  <si>
    <t xml:space="preserve">990309</t>
  </si>
  <si>
    <t xml:space="preserve">18434</t>
  </si>
  <si>
    <t xml:space="preserve">2018-11-06</t>
  </si>
  <si>
    <t xml:space="preserve">2023-11-05</t>
  </si>
  <si>
    <t xml:space="preserve">2020-06-22</t>
  </si>
  <si>
    <t xml:space="preserve">991834</t>
  </si>
  <si>
    <t xml:space="preserve">18496</t>
  </si>
  <si>
    <t xml:space="preserve">2019-01-22</t>
  </si>
  <si>
    <t xml:space="preserve">2024-01-21</t>
  </si>
  <si>
    <t xml:space="preserve">2019-08-12</t>
  </si>
  <si>
    <t xml:space="preserve">997554</t>
  </si>
  <si>
    <t xml:space="preserve">18618</t>
  </si>
  <si>
    <t xml:space="preserve">2018-11-27</t>
  </si>
  <si>
    <t xml:space="preserve">2023-11-26</t>
  </si>
  <si>
    <t xml:space="preserve">2019-07-19</t>
  </si>
  <si>
    <t xml:space="preserve">2019 Q3</t>
  </si>
  <si>
    <t xml:space="preserve">997576</t>
  </si>
  <si>
    <t xml:space="preserve">187020</t>
  </si>
  <si>
    <t xml:space="preserve">2023-05-13</t>
  </si>
  <si>
    <t xml:space="preserve">2019-04-05</t>
  </si>
  <si>
    <t xml:space="preserve">1005377</t>
  </si>
  <si>
    <t xml:space="preserve">187029</t>
  </si>
  <si>
    <t xml:space="preserve">2018-10-04</t>
  </si>
  <si>
    <t xml:space="preserve">2021-12-31</t>
  </si>
  <si>
    <t xml:space="preserve">2018-03-13</t>
  </si>
  <si>
    <t xml:space="preserve">1022341</t>
  </si>
  <si>
    <t xml:space="preserve">187040</t>
  </si>
  <si>
    <t xml:space="preserve">2018-12-14</t>
  </si>
  <si>
    <t xml:space="preserve">2023-12-30</t>
  </si>
  <si>
    <t xml:space="preserve">2020-10-21</t>
  </si>
  <si>
    <t xml:space="preserve">2020 Q4</t>
  </si>
  <si>
    <t xml:space="preserve">974045</t>
  </si>
  <si>
    <t xml:space="preserve">1872</t>
  </si>
  <si>
    <t xml:space="preserve">2019-01-18</t>
  </si>
  <si>
    <t xml:space="preserve">2024-01-17</t>
  </si>
  <si>
    <t xml:space="preserve">2020-08-07</t>
  </si>
  <si>
    <t xml:space="preserve">1045472</t>
  </si>
  <si>
    <t xml:space="preserve">188001</t>
  </si>
  <si>
    <t xml:space="preserve">2018-05-16</t>
  </si>
  <si>
    <t xml:space="preserve">2020-02-10</t>
  </si>
  <si>
    <t xml:space="preserve">981494</t>
  </si>
  <si>
    <t xml:space="preserve">188002</t>
  </si>
  <si>
    <t xml:space="preserve">2018-05-14</t>
  </si>
  <si>
    <t xml:space="preserve">2020-03-18</t>
  </si>
  <si>
    <t xml:space="preserve">REG-188004</t>
  </si>
  <si>
    <t xml:space="preserve">188004</t>
  </si>
  <si>
    <t xml:space="preserve">2018-06-13</t>
  </si>
  <si>
    <t xml:space="preserve">998747</t>
  </si>
  <si>
    <t xml:space="preserve">188007</t>
  </si>
  <si>
    <t xml:space="preserve">2018-09-12</t>
  </si>
  <si>
    <t xml:space="preserve">2020-04-30</t>
  </si>
  <si>
    <t xml:space="preserve">999956</t>
  </si>
  <si>
    <t xml:space="preserve">188008</t>
  </si>
  <si>
    <t xml:space="preserve">2019-09-24</t>
  </si>
  <si>
    <t xml:space="preserve">999957</t>
  </si>
  <si>
    <t xml:space="preserve">188009</t>
  </si>
  <si>
    <t xml:space="preserve">2020-07-20</t>
  </si>
  <si>
    <t xml:space="preserve">1007351</t>
  </si>
  <si>
    <t xml:space="preserve">188013</t>
  </si>
  <si>
    <t xml:space="preserve">2018-09-25</t>
  </si>
  <si>
    <t xml:space="preserve">1015932</t>
  </si>
  <si>
    <t xml:space="preserve">188014</t>
  </si>
  <si>
    <t xml:space="preserve">2020-11-06</t>
  </si>
  <si>
    <t xml:space="preserve">1009370</t>
  </si>
  <si>
    <t xml:space="preserve">18892</t>
  </si>
  <si>
    <t xml:space="preserve">2019-02-26</t>
  </si>
  <si>
    <t xml:space="preserve">2024-02-25</t>
  </si>
  <si>
    <t xml:space="preserve">2019-08-30</t>
  </si>
  <si>
    <t xml:space="preserve">1014706</t>
  </si>
  <si>
    <t xml:space="preserve">18994</t>
  </si>
  <si>
    <t xml:space="preserve">2019-11-13</t>
  </si>
  <si>
    <t xml:space="preserve">2024-11-12</t>
  </si>
  <si>
    <t xml:space="preserve">2023-07-12</t>
  </si>
  <si>
    <t xml:space="preserve">1072840</t>
  </si>
  <si>
    <t xml:space="preserve">191037</t>
  </si>
  <si>
    <t xml:space="preserve">2020-10-13</t>
  </si>
  <si>
    <t xml:space="preserve">2025-10-12</t>
  </si>
  <si>
    <t xml:space="preserve">2024-04-18</t>
  </si>
  <si>
    <t xml:space="preserve">895586</t>
  </si>
  <si>
    <t xml:space="preserve">191060</t>
  </si>
  <si>
    <t xml:space="preserve">2020-03-04</t>
  </si>
  <si>
    <t xml:space="preserve">2022-06-18</t>
  </si>
  <si>
    <t xml:space="preserve">2022-06-20</t>
  </si>
  <si>
    <t xml:space="preserve">1081912</t>
  </si>
  <si>
    <t xml:space="preserve">191255</t>
  </si>
  <si>
    <t xml:space="preserve">2025-03-17</t>
  </si>
  <si>
    <t xml:space="preserve">2022-04-27</t>
  </si>
  <si>
    <t xml:space="preserve">1084266</t>
  </si>
  <si>
    <t xml:space="preserve">191298</t>
  </si>
  <si>
    <t xml:space="preserve">2020-11-26</t>
  </si>
  <si>
    <t xml:space="preserve">2028-11-25</t>
  </si>
  <si>
    <t xml:space="preserve">1034286</t>
  </si>
  <si>
    <t xml:space="preserve">19149</t>
  </si>
  <si>
    <t xml:space="preserve">2019-09-11</t>
  </si>
  <si>
    <t xml:space="preserve">2024-09-10</t>
  </si>
  <si>
    <t xml:space="preserve">1036712</t>
  </si>
  <si>
    <t xml:space="preserve">19233</t>
  </si>
  <si>
    <t xml:space="preserve">2020-03-02</t>
  </si>
  <si>
    <t xml:space="preserve">2025-03-01</t>
  </si>
  <si>
    <t xml:space="preserve">2024-04-19</t>
  </si>
  <si>
    <t xml:space="preserve">1040199</t>
  </si>
  <si>
    <t xml:space="preserve">19302</t>
  </si>
  <si>
    <t xml:space="preserve">2019-06-19</t>
  </si>
  <si>
    <t xml:space="preserve">2024-06-18</t>
  </si>
  <si>
    <t xml:space="preserve">1049430</t>
  </si>
  <si>
    <t xml:space="preserve">19518</t>
  </si>
  <si>
    <t xml:space="preserve">2020-12-21</t>
  </si>
  <si>
    <t xml:space="preserve">2025-12-20</t>
  </si>
  <si>
    <t xml:space="preserve">2022-01-14</t>
  </si>
  <si>
    <t xml:space="preserve">2022 Q1</t>
  </si>
  <si>
    <t xml:space="preserve">1327846</t>
  </si>
  <si>
    <t xml:space="preserve">2460030</t>
  </si>
  <si>
    <t xml:space="preserve">€2.9m - Residential Development</t>
  </si>
  <si>
    <t xml:space="preserve">2025-03-12</t>
  </si>
  <si>
    <t xml:space="preserve">2030-03-11</t>
  </si>
  <si>
    <t xml:space="preserve">1051821</t>
  </si>
  <si>
    <t xml:space="preserve">19552</t>
  </si>
  <si>
    <t xml:space="preserve">2020-11-13</t>
  </si>
  <si>
    <t xml:space="preserve">2028-11-13</t>
  </si>
  <si>
    <t xml:space="preserve">1057729</t>
  </si>
  <si>
    <t xml:space="preserve">19689</t>
  </si>
  <si>
    <t xml:space="preserve">2020-02-27</t>
  </si>
  <si>
    <t xml:space="preserve">2026-09-05</t>
  </si>
  <si>
    <t xml:space="preserve">2024-03-21</t>
  </si>
  <si>
    <t xml:space="preserve">2024 Q1</t>
  </si>
  <si>
    <t xml:space="preserve">1053166</t>
  </si>
  <si>
    <t xml:space="preserve">197016</t>
  </si>
  <si>
    <t xml:space="preserve">2019-09-03</t>
  </si>
  <si>
    <t xml:space="preserve">2024-07-28</t>
  </si>
  <si>
    <t xml:space="preserve">2021-08-19</t>
  </si>
  <si>
    <t xml:space="preserve">2021 Q3</t>
  </si>
  <si>
    <t xml:space="preserve">1075116</t>
  </si>
  <si>
    <t xml:space="preserve">197025</t>
  </si>
  <si>
    <t xml:space="preserve">2020-02-07</t>
  </si>
  <si>
    <t xml:space="preserve">2024-12-01</t>
  </si>
  <si>
    <t xml:space="preserve">1061120</t>
  </si>
  <si>
    <t xml:space="preserve">19769</t>
  </si>
  <si>
    <t xml:space="preserve">2019-10-30</t>
  </si>
  <si>
    <t xml:space="preserve">2025-10-28</t>
  </si>
  <si>
    <t xml:space="preserve">2021-03-22</t>
  </si>
  <si>
    <t xml:space="preserve">2021 Q1</t>
  </si>
  <si>
    <t xml:space="preserve">1050624</t>
  </si>
  <si>
    <t xml:space="preserve">198003</t>
  </si>
  <si>
    <t xml:space="preserve">2019-09-10</t>
  </si>
  <si>
    <t xml:space="preserve">2022-07-18</t>
  </si>
  <si>
    <t xml:space="preserve">2022 Q3</t>
  </si>
  <si>
    <t xml:space="preserve">1058813</t>
  </si>
  <si>
    <t xml:space="preserve">198005</t>
  </si>
  <si>
    <t xml:space="preserve">2021-10-29</t>
  </si>
  <si>
    <t xml:space="preserve">2024-01-22</t>
  </si>
  <si>
    <t xml:space="preserve">1065269</t>
  </si>
  <si>
    <t xml:space="preserve">198007</t>
  </si>
  <si>
    <t xml:space="preserve">2019-11-15</t>
  </si>
  <si>
    <t xml:space="preserve">2021-08-13</t>
  </si>
  <si>
    <t xml:space="preserve">1079275</t>
  </si>
  <si>
    <t xml:space="preserve">191184</t>
  </si>
  <si>
    <t xml:space="preserve">€790k -  5 Houses </t>
  </si>
  <si>
    <t xml:space="preserve">2020-07-28</t>
  </si>
  <si>
    <t xml:space="preserve">2025-07-27</t>
  </si>
  <si>
    <t xml:space="preserve">2021-05-05</t>
  </si>
  <si>
    <t xml:space="preserve">2021 Q2</t>
  </si>
  <si>
    <t xml:space="preserve">REG-198008</t>
  </si>
  <si>
    <t xml:space="preserve">198008</t>
  </si>
  <si>
    <t xml:space="preserve">2019-12-12</t>
  </si>
  <si>
    <t xml:space="preserve">2020-04-21</t>
  </si>
  <si>
    <t xml:space="preserve">2020 Q2</t>
  </si>
  <si>
    <t xml:space="preserve">1071780</t>
  </si>
  <si>
    <t xml:space="preserve">198009</t>
  </si>
  <si>
    <t xml:space="preserve">1073938</t>
  </si>
  <si>
    <t xml:space="preserve">198010</t>
  </si>
  <si>
    <t xml:space="preserve">2020-01-27</t>
  </si>
  <si>
    <t xml:space="preserve">1064271</t>
  </si>
  <si>
    <t xml:space="preserve">19841</t>
  </si>
  <si>
    <t xml:space="preserve">2020-09-16</t>
  </si>
  <si>
    <t xml:space="preserve">2025-09-15</t>
  </si>
  <si>
    <t xml:space="preserve">1065293</t>
  </si>
  <si>
    <t xml:space="preserve">19872</t>
  </si>
  <si>
    <t xml:space="preserve">2020-02-25</t>
  </si>
  <si>
    <t xml:space="preserve">2025-02-24</t>
  </si>
  <si>
    <t xml:space="preserve">2024-05-08</t>
  </si>
  <si>
    <t xml:space="preserve">1069596</t>
  </si>
  <si>
    <t xml:space="preserve">19970</t>
  </si>
  <si>
    <t xml:space="preserve">2020-11-16</t>
  </si>
  <si>
    <t xml:space="preserve">2028-11-14</t>
  </si>
  <si>
    <t xml:space="preserve">2023-04-10</t>
  </si>
  <si>
    <t xml:space="preserve">2023 Q2</t>
  </si>
  <si>
    <t xml:space="preserve">1070656</t>
  </si>
  <si>
    <t xml:space="preserve">19990</t>
  </si>
  <si>
    <t xml:space="preserve">2020-01-10</t>
  </si>
  <si>
    <t xml:space="preserve">2023-02-26</t>
  </si>
  <si>
    <t xml:space="preserve">2020-12-04</t>
  </si>
  <si>
    <t xml:space="preserve">1129627</t>
  </si>
  <si>
    <t xml:space="preserve">201074</t>
  </si>
  <si>
    <t xml:space="preserve">2021-05-06</t>
  </si>
  <si>
    <t xml:space="preserve">2026-05-05</t>
  </si>
  <si>
    <t xml:space="preserve">2023-06-01</t>
  </si>
  <si>
    <t xml:space="preserve">1130829</t>
  </si>
  <si>
    <t xml:space="preserve">201101</t>
  </si>
  <si>
    <t xml:space="preserve">2021-05-17</t>
  </si>
  <si>
    <t xml:space="preserve">2024-05-16</t>
  </si>
  <si>
    <t xml:space="preserve">2024-09-19</t>
  </si>
  <si>
    <t xml:space="preserve">1131237</t>
  </si>
  <si>
    <t xml:space="preserve">201115</t>
  </si>
  <si>
    <t xml:space="preserve">2021-05-27</t>
  </si>
  <si>
    <t xml:space="preserve">2029-07-09</t>
  </si>
  <si>
    <t xml:space="preserve">2026-04-07</t>
  </si>
  <si>
    <t xml:space="preserve">1136132</t>
  </si>
  <si>
    <t xml:space="preserve">201114</t>
  </si>
  <si>
    <t xml:space="preserve">€19.4m - Residential Development, Mungret</t>
  </si>
  <si>
    <t xml:space="preserve">2026-05-26</t>
  </si>
  <si>
    <t xml:space="preserve">2022-02-21</t>
  </si>
  <si>
    <t xml:space="preserve">1132789</t>
  </si>
  <si>
    <t xml:space="preserve">201142</t>
  </si>
  <si>
    <t xml:space="preserve">2021-09-21</t>
  </si>
  <si>
    <t xml:space="preserve">2026-09-20</t>
  </si>
  <si>
    <t xml:space="preserve">1134847</t>
  </si>
  <si>
    <t xml:space="preserve">201195</t>
  </si>
  <si>
    <t xml:space="preserve">2021-06-23</t>
  </si>
  <si>
    <t xml:space="preserve">2026-06-22</t>
  </si>
  <si>
    <t xml:space="preserve">2022-04-08</t>
  </si>
  <si>
    <t xml:space="preserve">1098119</t>
  </si>
  <si>
    <t xml:space="preserve">20314</t>
  </si>
  <si>
    <t xml:space="preserve">2020-08-11</t>
  </si>
  <si>
    <t xml:space="preserve">2025-08-10</t>
  </si>
  <si>
    <t xml:space="preserve">2021-12-09</t>
  </si>
  <si>
    <t xml:space="preserve">2021 Q4</t>
  </si>
  <si>
    <t xml:space="preserve">1099323</t>
  </si>
  <si>
    <t xml:space="preserve">20341</t>
  </si>
  <si>
    <t xml:space="preserve">2020-09-24</t>
  </si>
  <si>
    <t xml:space="preserve">2025-09-23</t>
  </si>
  <si>
    <t xml:space="preserve">1100331</t>
  </si>
  <si>
    <t xml:space="preserve">20361</t>
  </si>
  <si>
    <t xml:space="preserve">2021-06-15</t>
  </si>
  <si>
    <t xml:space="preserve">2026-06-14</t>
  </si>
  <si>
    <t xml:space="preserve">2022-09-26</t>
  </si>
  <si>
    <t xml:space="preserve">1103803</t>
  </si>
  <si>
    <t xml:space="preserve">20467</t>
  </si>
  <si>
    <t xml:space="preserve">2021-01-29</t>
  </si>
  <si>
    <t xml:space="preserve">2029-03-12</t>
  </si>
  <si>
    <t xml:space="preserve">2021-10-11</t>
  </si>
  <si>
    <t xml:space="preserve">971158</t>
  </si>
  <si>
    <t xml:space="preserve">187001</t>
  </si>
  <si>
    <t xml:space="preserve">€18.9m - Housing Development </t>
  </si>
  <si>
    <t xml:space="preserve">2018-04-10</t>
  </si>
  <si>
    <t xml:space="preserve">990340</t>
  </si>
  <si>
    <t xml:space="preserve">18465</t>
  </si>
  <si>
    <t xml:space="preserve">€3.4m - Residential Development, Mungret</t>
  </si>
  <si>
    <t xml:space="preserve">2018-09-18</t>
  </si>
  <si>
    <t xml:space="preserve">2023-09-17</t>
  </si>
  <si>
    <t xml:space="preserve">2020-07-16</t>
  </si>
  <si>
    <t xml:space="preserve">REG-20525</t>
  </si>
  <si>
    <t xml:space="preserve">20525</t>
  </si>
  <si>
    <t xml:space="preserve">2021-12-02</t>
  </si>
  <si>
    <t xml:space="preserve">2026-12-01</t>
  </si>
  <si>
    <t xml:space="preserve">Register only (private, not in CIS)</t>
  </si>
  <si>
    <t xml:space="preserve">1112715</t>
  </si>
  <si>
    <t xml:space="preserve">20622</t>
  </si>
  <si>
    <t xml:space="preserve">2020-10-07</t>
  </si>
  <si>
    <t xml:space="preserve">2025-10-06</t>
  </si>
  <si>
    <t xml:space="preserve">1114096</t>
  </si>
  <si>
    <t xml:space="preserve">20678</t>
  </si>
  <si>
    <t xml:space="preserve">2021-07-22</t>
  </si>
  <si>
    <t xml:space="preserve">2026-07-21</t>
  </si>
  <si>
    <t xml:space="preserve">2021-11-06</t>
  </si>
  <si>
    <t xml:space="preserve">1121263</t>
  </si>
  <si>
    <t xml:space="preserve">20857</t>
  </si>
  <si>
    <t xml:space="preserve">2020-11-25</t>
  </si>
  <si>
    <t xml:space="preserve">2025-11-24</t>
  </si>
  <si>
    <t xml:space="preserve">2022-11-04</t>
  </si>
  <si>
    <t xml:space="preserve">1051816</t>
  </si>
  <si>
    <t xml:space="preserve">19547</t>
  </si>
  <si>
    <t xml:space="preserve">€18m - Residential Development, Castletroy</t>
  </si>
  <si>
    <t xml:space="preserve">2020-05-28</t>
  </si>
  <si>
    <t xml:space="preserve">2025-05-27</t>
  </si>
  <si>
    <t xml:space="preserve">2022 Q2</t>
  </si>
  <si>
    <t xml:space="preserve">1081200</t>
  </si>
  <si>
    <t xml:space="preserve">191236</t>
  </si>
  <si>
    <t xml:space="preserve">€16m - Housing Development</t>
  </si>
  <si>
    <t xml:space="preserve">2021-03-04</t>
  </si>
  <si>
    <t xml:space="preserve">2026-03-03</t>
  </si>
  <si>
    <t xml:space="preserve">2022-11-01</t>
  </si>
  <si>
    <t xml:space="preserve">1184347</t>
  </si>
  <si>
    <t xml:space="preserve">211152</t>
  </si>
  <si>
    <t xml:space="preserve">2022-04-20</t>
  </si>
  <si>
    <t xml:space="preserve">2027-04-19</t>
  </si>
  <si>
    <t xml:space="preserve">2024-04-11</t>
  </si>
  <si>
    <t xml:space="preserve">1193936</t>
  </si>
  <si>
    <t xml:space="preserve">211400</t>
  </si>
  <si>
    <t xml:space="preserve">€21m - Newtow Meadows Development, Phase 4, Castletroy</t>
  </si>
  <si>
    <t xml:space="preserve">2022-06-09</t>
  </si>
  <si>
    <t xml:space="preserve">2027-06-08</t>
  </si>
  <si>
    <t xml:space="preserve">2024-07-01</t>
  </si>
  <si>
    <t xml:space="preserve">1184979</t>
  </si>
  <si>
    <t xml:space="preserve">211170</t>
  </si>
  <si>
    <t xml:space="preserve">2022-09-16</t>
  </si>
  <si>
    <t xml:space="preserve">2027-09-15</t>
  </si>
  <si>
    <t xml:space="preserve">2024-04-22</t>
  </si>
  <si>
    <t xml:space="preserve">1187172</t>
  </si>
  <si>
    <t xml:space="preserve">211216</t>
  </si>
  <si>
    <t xml:space="preserve">2023-07-28</t>
  </si>
  <si>
    <t xml:space="preserve">2028-07-27</t>
  </si>
  <si>
    <t xml:space="preserve">2024-04-20</t>
  </si>
  <si>
    <t xml:space="preserve">1186980</t>
  </si>
  <si>
    <t xml:space="preserve">211217</t>
  </si>
  <si>
    <t xml:space="preserve">2024-02-13</t>
  </si>
  <si>
    <t xml:space="preserve">1188558</t>
  </si>
  <si>
    <t xml:space="preserve">211257</t>
  </si>
  <si>
    <t xml:space="preserve">2023-09-25</t>
  </si>
  <si>
    <t xml:space="preserve">2028-09-24</t>
  </si>
  <si>
    <t xml:space="preserve">2024-02-21</t>
  </si>
  <si>
    <t xml:space="preserve">1193931</t>
  </si>
  <si>
    <t xml:space="preserve">211395</t>
  </si>
  <si>
    <t xml:space="preserve">2022-06-21</t>
  </si>
  <si>
    <t xml:space="preserve">2027-06-20</t>
  </si>
  <si>
    <t xml:space="preserve">2026-02-13</t>
  </si>
  <si>
    <t xml:space="preserve">2026 Q1</t>
  </si>
  <si>
    <t xml:space="preserve">1195465</t>
  </si>
  <si>
    <t xml:space="preserve">211454</t>
  </si>
  <si>
    <t xml:space="preserve">2022-09-21</t>
  </si>
  <si>
    <t xml:space="preserve">2027-09-20</t>
  </si>
  <si>
    <t xml:space="preserve">1148944</t>
  </si>
  <si>
    <t xml:space="preserve">21147</t>
  </si>
  <si>
    <t xml:space="preserve">2022-02-07</t>
  </si>
  <si>
    <t xml:space="preserve">2027-02-06</t>
  </si>
  <si>
    <t xml:space="preserve">1152091</t>
  </si>
  <si>
    <t xml:space="preserve">21240</t>
  </si>
  <si>
    <t xml:space="preserve">2022-05-17</t>
  </si>
  <si>
    <t xml:space="preserve">2027-05-16</t>
  </si>
  <si>
    <t xml:space="preserve">2023-07-21</t>
  </si>
  <si>
    <t xml:space="preserve">1156999</t>
  </si>
  <si>
    <t xml:space="preserve">21342</t>
  </si>
  <si>
    <t xml:space="preserve">2022-04-13</t>
  </si>
  <si>
    <t xml:space="preserve">2027-04-12</t>
  </si>
  <si>
    <t xml:space="preserve">2023-03-20</t>
  </si>
  <si>
    <t xml:space="preserve">1157003</t>
  </si>
  <si>
    <t xml:space="preserve">21350</t>
  </si>
  <si>
    <t xml:space="preserve">Replaces earlier</t>
  </si>
  <si>
    <t xml:space="preserve">2021-12-03</t>
  </si>
  <si>
    <t xml:space="preserve">2026-12-02</t>
  </si>
  <si>
    <t xml:space="preserve">2022-03-25</t>
  </si>
  <si>
    <t xml:space="preserve">999946</t>
  </si>
  <si>
    <t xml:space="preserve">18698</t>
  </si>
  <si>
    <t xml:space="preserve">€4.6m - Residential Development </t>
  </si>
  <si>
    <t xml:space="preserve">2018-11-21</t>
  </si>
  <si>
    <t xml:space="preserve">2029-01-23</t>
  </si>
  <si>
    <t xml:space="preserve">2019-09-18</t>
  </si>
  <si>
    <t xml:space="preserve">1157017</t>
  </si>
  <si>
    <t xml:space="preserve">21364</t>
  </si>
  <si>
    <t xml:space="preserve">2023-06-22</t>
  </si>
  <si>
    <t xml:space="preserve">2028-06-21</t>
  </si>
  <si>
    <t xml:space="preserve">1144674</t>
  </si>
  <si>
    <t xml:space="preserve">2148</t>
  </si>
  <si>
    <t xml:space="preserve">2021-10-06</t>
  </si>
  <si>
    <t xml:space="preserve">2026-10-05</t>
  </si>
  <si>
    <t xml:space="preserve">2023-11-20</t>
  </si>
  <si>
    <t xml:space="preserve">1163124</t>
  </si>
  <si>
    <t xml:space="preserve">21531</t>
  </si>
  <si>
    <t xml:space="preserve">2022-05-03</t>
  </si>
  <si>
    <t xml:space="preserve">2027-05-02</t>
  </si>
  <si>
    <t xml:space="preserve">1330186</t>
  </si>
  <si>
    <t xml:space="preserve">2460082</t>
  </si>
  <si>
    <t xml:space="preserve">€1.9m - Apartment Development </t>
  </si>
  <si>
    <t xml:space="preserve">2024-05-01</t>
  </si>
  <si>
    <t xml:space="preserve">2024-09-30</t>
  </si>
  <si>
    <t xml:space="preserve">1163125</t>
  </si>
  <si>
    <t xml:space="preserve">21532</t>
  </si>
  <si>
    <t xml:space="preserve">2022-01-13</t>
  </si>
  <si>
    <t xml:space="preserve">2027-01-12</t>
  </si>
  <si>
    <t xml:space="preserve">1164066</t>
  </si>
  <si>
    <t xml:space="preserve">21550</t>
  </si>
  <si>
    <t xml:space="preserve">2022-02-23</t>
  </si>
  <si>
    <t xml:space="preserve">2027-02-22</t>
  </si>
  <si>
    <t xml:space="preserve">1165485</t>
  </si>
  <si>
    <t xml:space="preserve">21594</t>
  </si>
  <si>
    <t xml:space="preserve">2022-09-06</t>
  </si>
  <si>
    <t xml:space="preserve">2027-09-05</t>
  </si>
  <si>
    <t xml:space="preserve">1446285</t>
  </si>
  <si>
    <t xml:space="preserve">2660232</t>
  </si>
  <si>
    <t xml:space="preserve">€7.8m - Residential Development, Abbeyfeale</t>
  </si>
  <si>
    <t xml:space="preserve">1166991</t>
  </si>
  <si>
    <t xml:space="preserve">21630</t>
  </si>
  <si>
    <t xml:space="preserve">2022-05-12</t>
  </si>
  <si>
    <t xml:space="preserve">2027-05-11</t>
  </si>
  <si>
    <t xml:space="preserve">1201358</t>
  </si>
  <si>
    <t xml:space="preserve">Part 8 - 1201358</t>
  </si>
  <si>
    <t xml:space="preserve">218005</t>
  </si>
  <si>
    <t xml:space="preserve">€2.4m - Residential Development, Broadford </t>
  </si>
  <si>
    <t xml:space="preserve">2022-02-22</t>
  </si>
  <si>
    <t xml:space="preserve">1203836</t>
  </si>
  <si>
    <t xml:space="preserve">218012</t>
  </si>
  <si>
    <t xml:space="preserve">2022-02-25</t>
  </si>
  <si>
    <t xml:space="preserve">2025-06-26</t>
  </si>
  <si>
    <t xml:space="preserve">2025 Q2</t>
  </si>
  <si>
    <t xml:space="preserve">1205019</t>
  </si>
  <si>
    <t xml:space="preserve">218013</t>
  </si>
  <si>
    <t xml:space="preserve">2022-03-09</t>
  </si>
  <si>
    <t xml:space="preserve">2024-03-19</t>
  </si>
  <si>
    <t xml:space="preserve">1174250</t>
  </si>
  <si>
    <t xml:space="preserve">21853</t>
  </si>
  <si>
    <t xml:space="preserve">2021-12-15</t>
  </si>
  <si>
    <t xml:space="preserve">2026-12-14</t>
  </si>
  <si>
    <t xml:space="preserve">1174682</t>
  </si>
  <si>
    <t xml:space="preserve">21873</t>
  </si>
  <si>
    <t xml:space="preserve">2022-07-14</t>
  </si>
  <si>
    <t xml:space="preserve">2027-07-13</t>
  </si>
  <si>
    <t xml:space="preserve">2024-03-18</t>
  </si>
  <si>
    <t xml:space="preserve">1250272</t>
  </si>
  <si>
    <t xml:space="preserve">221003</t>
  </si>
  <si>
    <t xml:space="preserve">2028-07-11</t>
  </si>
  <si>
    <t xml:space="preserve">1254537</t>
  </si>
  <si>
    <t xml:space="preserve">221107</t>
  </si>
  <si>
    <t xml:space="preserve">2023-06-14</t>
  </si>
  <si>
    <t xml:space="preserve">2028-06-13</t>
  </si>
  <si>
    <t xml:space="preserve">1256924</t>
  </si>
  <si>
    <t xml:space="preserve">221172</t>
  </si>
  <si>
    <t xml:space="preserve">2024-05-30</t>
  </si>
  <si>
    <t xml:space="preserve">2029-05-29</t>
  </si>
  <si>
    <t xml:space="preserve">1258052</t>
  </si>
  <si>
    <t xml:space="preserve">221189</t>
  </si>
  <si>
    <t xml:space="preserve">2024-12-19</t>
  </si>
  <si>
    <t xml:space="preserve">2029-12-18</t>
  </si>
  <si>
    <t xml:space="preserve">2026-02-20</t>
  </si>
  <si>
    <t xml:space="preserve">1262614</t>
  </si>
  <si>
    <t xml:space="preserve">221318</t>
  </si>
  <si>
    <t xml:space="preserve">2023-10-24</t>
  </si>
  <si>
    <t xml:space="preserve">2028-10-23</t>
  </si>
  <si>
    <t xml:space="preserve">2025-02-05</t>
  </si>
  <si>
    <t xml:space="preserve">1263448</t>
  </si>
  <si>
    <t xml:space="preserve">221352</t>
  </si>
  <si>
    <t xml:space="preserve">2023-07-11</t>
  </si>
  <si>
    <t xml:space="preserve">2028-07-10</t>
  </si>
  <si>
    <t xml:space="preserve">2025-03-18</t>
  </si>
  <si>
    <t xml:space="preserve">1263713</t>
  </si>
  <si>
    <t xml:space="preserve">221367</t>
  </si>
  <si>
    <t xml:space="preserve">2023-09-13</t>
  </si>
  <si>
    <t xml:space="preserve">2028-09-12</t>
  </si>
  <si>
    <t xml:space="preserve">1103802</t>
  </si>
  <si>
    <t xml:space="preserve">20466</t>
  </si>
  <si>
    <t xml:space="preserve">€1.7m - 8 Apartments</t>
  </si>
  <si>
    <t xml:space="preserve">2021-04-20</t>
  </si>
  <si>
    <t xml:space="preserve">2026-04-19</t>
  </si>
  <si>
    <t xml:space="preserve">1264538</t>
  </si>
  <si>
    <t xml:space="preserve">221381</t>
  </si>
  <si>
    <t xml:space="preserve">2023-08-29</t>
  </si>
  <si>
    <t xml:space="preserve">2028-08-28</t>
  </si>
  <si>
    <t xml:space="preserve">2024-04-15</t>
  </si>
  <si>
    <t xml:space="preserve">1223809</t>
  </si>
  <si>
    <t xml:space="preserve">22394</t>
  </si>
  <si>
    <t xml:space="preserve">2022-10-27</t>
  </si>
  <si>
    <t xml:space="preserve">2027-10-26</t>
  </si>
  <si>
    <t xml:space="preserve">2022-12-07</t>
  </si>
  <si>
    <t xml:space="preserve">1225380</t>
  </si>
  <si>
    <t xml:space="preserve">22410</t>
  </si>
  <si>
    <t xml:space="preserve">2023-02-20</t>
  </si>
  <si>
    <t xml:space="preserve">2028-02-19</t>
  </si>
  <si>
    <t xml:space="preserve">1227182</t>
  </si>
  <si>
    <t xml:space="preserve">22471</t>
  </si>
  <si>
    <t xml:space="preserve">2029-01-21</t>
  </si>
  <si>
    <t xml:space="preserve">1213266</t>
  </si>
  <si>
    <t xml:space="preserve">228000</t>
  </si>
  <si>
    <t xml:space="preserve">2022-04-07</t>
  </si>
  <si>
    <t xml:space="preserve">2025-04-22</t>
  </si>
  <si>
    <t xml:space="preserve">1237333</t>
  </si>
  <si>
    <t xml:space="preserve">228013</t>
  </si>
  <si>
    <t xml:space="preserve">2025-10-13</t>
  </si>
  <si>
    <t xml:space="preserve">2025 Q4</t>
  </si>
  <si>
    <t xml:space="preserve">1248017</t>
  </si>
  <si>
    <t xml:space="preserve">228017</t>
  </si>
  <si>
    <t xml:space="preserve">2022-12-12</t>
  </si>
  <si>
    <t xml:space="preserve">2026-07-17</t>
  </si>
  <si>
    <t xml:space="preserve">REG-188012</t>
  </si>
  <si>
    <t xml:space="preserve">188012</t>
  </si>
  <si>
    <t xml:space="preserve">Part 8: (a) provision of 24 no. two storey residential housing units. The unit</t>
  </si>
  <si>
    <t xml:space="preserve">2018-10-11</t>
  </si>
  <si>
    <t xml:space="preserve">2026 Q4</t>
  </si>
  <si>
    <t xml:space="preserve">1258895</t>
  </si>
  <si>
    <t xml:space="preserve">228020</t>
  </si>
  <si>
    <t xml:space="preserve">2023-02-10</t>
  </si>
  <si>
    <t xml:space="preserve">1265040</t>
  </si>
  <si>
    <t xml:space="preserve">228023</t>
  </si>
  <si>
    <t xml:space="preserve">2026-02-09</t>
  </si>
  <si>
    <t xml:space="preserve">1243349</t>
  </si>
  <si>
    <t xml:space="preserve">22840</t>
  </si>
  <si>
    <t xml:space="preserve">2023-06-26</t>
  </si>
  <si>
    <t xml:space="preserve">2028-06-25</t>
  </si>
  <si>
    <t xml:space="preserve">2024-01-31</t>
  </si>
  <si>
    <t xml:space="preserve">1250091</t>
  </si>
  <si>
    <t xml:space="preserve">22990</t>
  </si>
  <si>
    <t xml:space="preserve">2025-02-25</t>
  </si>
  <si>
    <t xml:space="preserve">2030-02-24</t>
  </si>
  <si>
    <t xml:space="preserve">1316491</t>
  </si>
  <si>
    <t xml:space="preserve">2360793</t>
  </si>
  <si>
    <t xml:space="preserve">€6.1m - Residential Development, Adare</t>
  </si>
  <si>
    <t xml:space="preserve">2025-03-21</t>
  </si>
  <si>
    <t xml:space="preserve">2030-03-20</t>
  </si>
  <si>
    <t xml:space="preserve">1266613</t>
  </si>
  <si>
    <t xml:space="preserve">2326</t>
  </si>
  <si>
    <t xml:space="preserve">2024-01-29</t>
  </si>
  <si>
    <t xml:space="preserve">2029-01-28</t>
  </si>
  <si>
    <t xml:space="preserve">2026-03-28</t>
  </si>
  <si>
    <t xml:space="preserve">1292276</t>
  </si>
  <si>
    <t xml:space="preserve">23283</t>
  </si>
  <si>
    <t xml:space="preserve">2023-08-16</t>
  </si>
  <si>
    <t xml:space="preserve">2028-08-15</t>
  </si>
  <si>
    <t xml:space="preserve">1317302</t>
  </si>
  <si>
    <t xml:space="preserve">23529</t>
  </si>
  <si>
    <t xml:space="preserve">2029-09-02</t>
  </si>
  <si>
    <t xml:space="preserve">2025-10-09</t>
  </si>
  <si>
    <t xml:space="preserve">1270045</t>
  </si>
  <si>
    <t xml:space="preserve">2360025</t>
  </si>
  <si>
    <t xml:space="preserve">2024-08-28</t>
  </si>
  <si>
    <t xml:space="preserve">2029-08-27</t>
  </si>
  <si>
    <t xml:space="preserve">2025-10-23</t>
  </si>
  <si>
    <t xml:space="preserve">1277663</t>
  </si>
  <si>
    <t xml:space="preserve">2360144</t>
  </si>
  <si>
    <t xml:space="preserve">2023-11-15</t>
  </si>
  <si>
    <t xml:space="preserve">1278374</t>
  </si>
  <si>
    <t xml:space="preserve">2360150</t>
  </si>
  <si>
    <t xml:space="preserve">2023-08-22</t>
  </si>
  <si>
    <t xml:space="preserve">2028-08-21</t>
  </si>
  <si>
    <t xml:space="preserve">2025-12-01</t>
  </si>
  <si>
    <t xml:space="preserve">1283723</t>
  </si>
  <si>
    <t xml:space="preserve">2360207</t>
  </si>
  <si>
    <t xml:space="preserve">2023-09-18</t>
  </si>
  <si>
    <t xml:space="preserve">2026-09-17</t>
  </si>
  <si>
    <t xml:space="preserve">1286254</t>
  </si>
  <si>
    <t xml:space="preserve">2360263</t>
  </si>
  <si>
    <t xml:space="preserve">2024-02-26</t>
  </si>
  <si>
    <t xml:space="preserve">1290708</t>
  </si>
  <si>
    <t xml:space="preserve">2360345</t>
  </si>
  <si>
    <t xml:space="preserve">2024-07-09</t>
  </si>
  <si>
    <t xml:space="preserve">2029-07-08</t>
  </si>
  <si>
    <t xml:space="preserve">1293390</t>
  </si>
  <si>
    <t xml:space="preserve">2360393</t>
  </si>
  <si>
    <t xml:space="preserve">2023-12-05</t>
  </si>
  <si>
    <t xml:space="preserve">2028-12-04</t>
  </si>
  <si>
    <t xml:space="preserve">1299520</t>
  </si>
  <si>
    <t xml:space="preserve">2360493</t>
  </si>
  <si>
    <t xml:space="preserve">2024-01-02</t>
  </si>
  <si>
    <t xml:space="preserve">2029-01-01</t>
  </si>
  <si>
    <t xml:space="preserve">2024-04-01</t>
  </si>
  <si>
    <t xml:space="preserve">1302251</t>
  </si>
  <si>
    <t xml:space="preserve">2360546</t>
  </si>
  <si>
    <t xml:space="preserve">2024-01-24</t>
  </si>
  <si>
    <t xml:space="preserve">1306162</t>
  </si>
  <si>
    <t xml:space="preserve">2360615</t>
  </si>
  <si>
    <t xml:space="preserve">2024-01-15</t>
  </si>
  <si>
    <t xml:space="preserve">2029-01-14</t>
  </si>
  <si>
    <t xml:space="preserve">1310780</t>
  </si>
  <si>
    <t xml:space="preserve">2360703</t>
  </si>
  <si>
    <t xml:space="preserve">2025-04-14</t>
  </si>
  <si>
    <t xml:space="preserve">2030-04-13</t>
  </si>
  <si>
    <t xml:space="preserve">1310783</t>
  </si>
  <si>
    <t xml:space="preserve">2360706</t>
  </si>
  <si>
    <t xml:space="preserve">1314456</t>
  </si>
  <si>
    <t xml:space="preserve">2360759</t>
  </si>
  <si>
    <t xml:space="preserve">2029-07-16</t>
  </si>
  <si>
    <t xml:space="preserve">1316492</t>
  </si>
  <si>
    <t xml:space="preserve">2360794</t>
  </si>
  <si>
    <t xml:space="preserve">2024-05-07</t>
  </si>
  <si>
    <t xml:space="preserve">2029-05-06</t>
  </si>
  <si>
    <t xml:space="preserve">1316698</t>
  </si>
  <si>
    <t xml:space="preserve">2360798</t>
  </si>
  <si>
    <t xml:space="preserve">2024-10-31</t>
  </si>
  <si>
    <t xml:space="preserve">2029-10-30</t>
  </si>
  <si>
    <t xml:space="preserve">2025-07-07</t>
  </si>
  <si>
    <t xml:space="preserve">1318536</t>
  </si>
  <si>
    <t xml:space="preserve">2360826</t>
  </si>
  <si>
    <t xml:space="preserve">2024-05-15</t>
  </si>
  <si>
    <t xml:space="preserve">2029-05-14</t>
  </si>
  <si>
    <t xml:space="preserve">1319159</t>
  </si>
  <si>
    <t xml:space="preserve">2360842</t>
  </si>
  <si>
    <t xml:space="preserve">2024-05-23</t>
  </si>
  <si>
    <t xml:space="preserve">2029-05-22</t>
  </si>
  <si>
    <t xml:space="preserve">2024-12-20</t>
  </si>
  <si>
    <t xml:space="preserve">1320420</t>
  </si>
  <si>
    <t xml:space="preserve">2360866</t>
  </si>
  <si>
    <t xml:space="preserve">2024-06-12</t>
  </si>
  <si>
    <t xml:space="preserve">2029-06-11</t>
  </si>
  <si>
    <t xml:space="preserve">REG-24151</t>
  </si>
  <si>
    <t xml:space="preserve">24151</t>
  </si>
  <si>
    <t xml:space="preserve">2025-01-15</t>
  </si>
  <si>
    <t xml:space="preserve">2030-01-14</t>
  </si>
  <si>
    <t xml:space="preserve">1366163</t>
  </si>
  <si>
    <t xml:space="preserve">24352</t>
  </si>
  <si>
    <t xml:space="preserve">2025-09-17</t>
  </si>
  <si>
    <t xml:space="preserve">2030-09-16</t>
  </si>
  <si>
    <t xml:space="preserve">2025-12-22</t>
  </si>
  <si>
    <t xml:space="preserve">1326040</t>
  </si>
  <si>
    <t xml:space="preserve">2460004</t>
  </si>
  <si>
    <t xml:space="preserve">2024-12-30</t>
  </si>
  <si>
    <t xml:space="preserve">1327311</t>
  </si>
  <si>
    <t xml:space="preserve">2460020</t>
  </si>
  <si>
    <t xml:space="preserve">2024-04-04</t>
  </si>
  <si>
    <t xml:space="preserve">2029-04-03</t>
  </si>
  <si>
    <t xml:space="preserve">2025-05-07</t>
  </si>
  <si>
    <t xml:space="preserve">1327665</t>
  </si>
  <si>
    <t xml:space="preserve">2460028</t>
  </si>
  <si>
    <t xml:space="preserve">2024-09-02</t>
  </si>
  <si>
    <t xml:space="preserve">2029-09-01</t>
  </si>
  <si>
    <t xml:space="preserve">1328561</t>
  </si>
  <si>
    <t xml:space="preserve">2460046</t>
  </si>
  <si>
    <t xml:space="preserve">2024-08-16</t>
  </si>
  <si>
    <t xml:space="preserve">2029-08-15</t>
  </si>
  <si>
    <t xml:space="preserve">1329797</t>
  </si>
  <si>
    <t xml:space="preserve">2460075</t>
  </si>
  <si>
    <t xml:space="preserve">1333345</t>
  </si>
  <si>
    <t xml:space="preserve">2460151</t>
  </si>
  <si>
    <t xml:space="preserve">2026-04-24</t>
  </si>
  <si>
    <t xml:space="preserve">1339954</t>
  </si>
  <si>
    <t xml:space="preserve">2460299</t>
  </si>
  <si>
    <t xml:space="preserve">2024-07-02</t>
  </si>
  <si>
    <t xml:space="preserve">2029-07-01</t>
  </si>
  <si>
    <t xml:space="preserve">1340202</t>
  </si>
  <si>
    <t xml:space="preserve">2460304</t>
  </si>
  <si>
    <t xml:space="preserve">1347165</t>
  </si>
  <si>
    <t xml:space="preserve">2460468</t>
  </si>
  <si>
    <t xml:space="preserve">2024-10-24</t>
  </si>
  <si>
    <t xml:space="preserve">2029-10-23</t>
  </si>
  <si>
    <t xml:space="preserve">2025-01-08</t>
  </si>
  <si>
    <t xml:space="preserve">1350850</t>
  </si>
  <si>
    <t xml:space="preserve">2460568</t>
  </si>
  <si>
    <t xml:space="preserve">2025-03-07</t>
  </si>
  <si>
    <t xml:space="preserve">2030-03-06</t>
  </si>
  <si>
    <t xml:space="preserve">1350852</t>
  </si>
  <si>
    <t xml:space="preserve">2460570</t>
  </si>
  <si>
    <t xml:space="preserve">2025-02-06</t>
  </si>
  <si>
    <t xml:space="preserve">2030-02-05</t>
  </si>
  <si>
    <t xml:space="preserve">1353358</t>
  </si>
  <si>
    <t xml:space="preserve">2460633</t>
  </si>
  <si>
    <t xml:space="preserve">2025-04-24</t>
  </si>
  <si>
    <t xml:space="preserve">2030-04-23</t>
  </si>
  <si>
    <t xml:space="preserve">1360674</t>
  </si>
  <si>
    <t xml:space="preserve">2460788</t>
  </si>
  <si>
    <t xml:space="preserve">2025-07-15</t>
  </si>
  <si>
    <t xml:space="preserve">2030-07-14</t>
  </si>
  <si>
    <t xml:space="preserve">2026-04-06</t>
  </si>
  <si>
    <t xml:space="preserve">1363929</t>
  </si>
  <si>
    <t xml:space="preserve">2460864</t>
  </si>
  <si>
    <t xml:space="preserve">2025-09-18</t>
  </si>
  <si>
    <t xml:space="preserve">2030-09-17</t>
  </si>
  <si>
    <t xml:space="preserve">1375398</t>
  </si>
  <si>
    <t xml:space="preserve">2461101</t>
  </si>
  <si>
    <t xml:space="preserve">2025-07-30</t>
  </si>
  <si>
    <t xml:space="preserve">2028-10-16</t>
  </si>
  <si>
    <t xml:space="preserve">1379266</t>
  </si>
  <si>
    <t xml:space="preserve">2461182</t>
  </si>
  <si>
    <t xml:space="preserve">2026-03-30</t>
  </si>
  <si>
    <t xml:space="preserve">2031-03-29</t>
  </si>
  <si>
    <t xml:space="preserve">1383405</t>
  </si>
  <si>
    <t xml:space="preserve">2461298</t>
  </si>
  <si>
    <t xml:space="preserve">2025-06-24</t>
  </si>
  <si>
    <t xml:space="preserve">2030-06-23</t>
  </si>
  <si>
    <t xml:space="preserve">2026-02-23</t>
  </si>
  <si>
    <t xml:space="preserve">1360553</t>
  </si>
  <si>
    <t xml:space="preserve">248132</t>
  </si>
  <si>
    <t xml:space="preserve">2024-12-04</t>
  </si>
  <si>
    <t xml:space="preserve">2026-05-13</t>
  </si>
  <si>
    <t xml:space="preserve">1384661</t>
  </si>
  <si>
    <t xml:space="preserve">2560001</t>
  </si>
  <si>
    <t xml:space="preserve">2025-12-03</t>
  </si>
  <si>
    <t xml:space="preserve">2030-12-02</t>
  </si>
  <si>
    <t xml:space="preserve">2026-03-16</t>
  </si>
  <si>
    <t xml:space="preserve">1391914</t>
  </si>
  <si>
    <t xml:space="preserve">2560156</t>
  </si>
  <si>
    <t xml:space="preserve">2025-11-11</t>
  </si>
  <si>
    <t xml:space="preserve">2030-11-10</t>
  </si>
  <si>
    <t xml:space="preserve">1409934</t>
  </si>
  <si>
    <t xml:space="preserve">2560653</t>
  </si>
  <si>
    <t xml:space="preserve">€9.4m - Residential Development</t>
  </si>
  <si>
    <t xml:space="preserve">2026-01-20</t>
  </si>
  <si>
    <t xml:space="preserve">2031-01-19</t>
  </si>
  <si>
    <t xml:space="preserve">985986</t>
  </si>
  <si>
    <t xml:space="preserve">18346</t>
  </si>
  <si>
    <t xml:space="preserve">€6.3m - Residential Development, Patrickswell</t>
  </si>
  <si>
    <t xml:space="preserve">2018-10-23</t>
  </si>
  <si>
    <t xml:space="preserve">2023-10-22</t>
  </si>
  <si>
    <t xml:space="preserve">1395070</t>
  </si>
  <si>
    <t xml:space="preserve">2560211</t>
  </si>
  <si>
    <t xml:space="preserve">2025-06-10</t>
  </si>
  <si>
    <t xml:space="preserve">2030-06-09</t>
  </si>
  <si>
    <t xml:space="preserve">2026-03-21</t>
  </si>
  <si>
    <t xml:space="preserve">1401743</t>
  </si>
  <si>
    <t xml:space="preserve">2560365</t>
  </si>
  <si>
    <t xml:space="preserve">2026-06-16</t>
  </si>
  <si>
    <t xml:space="preserve">2031-06-15</t>
  </si>
  <si>
    <t xml:space="preserve">1403973</t>
  </si>
  <si>
    <t xml:space="preserve">2560425</t>
  </si>
  <si>
    <t xml:space="preserve">2026-04-14</t>
  </si>
  <si>
    <t xml:space="preserve">2031-04-13</t>
  </si>
  <si>
    <t xml:space="preserve">2030 Q3</t>
  </si>
  <si>
    <t xml:space="preserve">1408292</t>
  </si>
  <si>
    <t xml:space="preserve">2560540</t>
  </si>
  <si>
    <t xml:space="preserve">2025-11-10</t>
  </si>
  <si>
    <t xml:space="preserve">2030-11-09</t>
  </si>
  <si>
    <t xml:space="preserve">1201033</t>
  </si>
  <si>
    <t xml:space="preserve">211598</t>
  </si>
  <si>
    <t xml:space="preserve">€5.8m - Apartment/Retail Development, Limerick </t>
  </si>
  <si>
    <t xml:space="preserve">2022-05-25</t>
  </si>
  <si>
    <t xml:space="preserve">2027-05-24</t>
  </si>
  <si>
    <t xml:space="preserve">1408496</t>
  </si>
  <si>
    <t xml:space="preserve">2560546</t>
  </si>
  <si>
    <t xml:space="preserve">2030-09-03</t>
  </si>
  <si>
    <t xml:space="preserve">1409292</t>
  </si>
  <si>
    <t xml:space="preserve">2560595</t>
  </si>
  <si>
    <t xml:space="preserve">1409727</t>
  </si>
  <si>
    <t xml:space="preserve">2560633</t>
  </si>
  <si>
    <t xml:space="preserve">2026-04-01</t>
  </si>
  <si>
    <t xml:space="preserve">2031-03-31</t>
  </si>
  <si>
    <t xml:space="preserve">1411773</t>
  </si>
  <si>
    <t xml:space="preserve">2560771</t>
  </si>
  <si>
    <t xml:space="preserve">2026-06-08</t>
  </si>
  <si>
    <t xml:space="preserve">2031-06-07</t>
  </si>
  <si>
    <t xml:space="preserve">1414007</t>
  </si>
  <si>
    <t xml:space="preserve">2560947</t>
  </si>
  <si>
    <t xml:space="preserve">2026-09-02</t>
  </si>
  <si>
    <t xml:space="preserve">2031-09-02</t>
  </si>
  <si>
    <t xml:space="preserve">1424781</t>
  </si>
  <si>
    <t xml:space="preserve">2560977</t>
  </si>
  <si>
    <t xml:space="preserve">2026-03-23</t>
  </si>
  <si>
    <t xml:space="preserve">2031-03-22</t>
  </si>
  <si>
    <t xml:space="preserve">2026-06-01</t>
  </si>
  <si>
    <t xml:space="preserve">1417331</t>
  </si>
  <si>
    <t xml:space="preserve">2561211</t>
  </si>
  <si>
    <t xml:space="preserve">2026-02-26</t>
  </si>
  <si>
    <t xml:space="preserve">2031-02-25</t>
  </si>
  <si>
    <t xml:space="preserve">1097151</t>
  </si>
  <si>
    <t xml:space="preserve">20281</t>
  </si>
  <si>
    <t xml:space="preserve">€12m - Residential Development, Patrickswell</t>
  </si>
  <si>
    <t xml:space="preserve">2021-01-15</t>
  </si>
  <si>
    <t xml:space="preserve">2023-06-09</t>
  </si>
  <si>
    <t xml:space="preserve">1417511</t>
  </si>
  <si>
    <t xml:space="preserve">2561228</t>
  </si>
  <si>
    <t xml:space="preserve">2026-05-06</t>
  </si>
  <si>
    <t xml:space="preserve">2031-05-05</t>
  </si>
  <si>
    <t xml:space="preserve">2026-07-14</t>
  </si>
  <si>
    <t xml:space="preserve">1417746</t>
  </si>
  <si>
    <t xml:space="preserve">2561232</t>
  </si>
  <si>
    <t xml:space="preserve">2026-07-28</t>
  </si>
  <si>
    <t xml:space="preserve">2031-07-27</t>
  </si>
  <si>
    <t xml:space="preserve">1094519</t>
  </si>
  <si>
    <t xml:space="preserve">20222</t>
  </si>
  <si>
    <t xml:space="preserve">€8.9m - Mixed Use Development, 34-41 Catherine Street</t>
  </si>
  <si>
    <t xml:space="preserve">2021-01-06</t>
  </si>
  <si>
    <t xml:space="preserve">2026-01-05</t>
  </si>
  <si>
    <t xml:space="preserve">1417885</t>
  </si>
  <si>
    <t xml:space="preserve">2561242</t>
  </si>
  <si>
    <t xml:space="preserve">2026-06-10</t>
  </si>
  <si>
    <t xml:space="preserve">2031-06-09</t>
  </si>
  <si>
    <t xml:space="preserve">1419374</t>
  </si>
  <si>
    <t xml:space="preserve">2561323</t>
  </si>
  <si>
    <t xml:space="preserve">1414882</t>
  </si>
  <si>
    <t xml:space="preserve">258297</t>
  </si>
  <si>
    <t xml:space="preserve">1422361</t>
  </si>
  <si>
    <t xml:space="preserve">2660063</t>
  </si>
  <si>
    <t xml:space="preserve">1360912</t>
  </si>
  <si>
    <t xml:space="preserve">2660575</t>
  </si>
  <si>
    <t xml:space="preserve">1444384</t>
  </si>
  <si>
    <t xml:space="preserve">2660779</t>
  </si>
  <si>
    <t xml:space="preserve">1439022</t>
  </si>
  <si>
    <t xml:space="preserve">268363</t>
  </si>
  <si>
    <t xml:space="preserve">1438136</t>
  </si>
  <si>
    <t xml:space="preserve">268364</t>
  </si>
  <si>
    <t xml:space="preserve">1431510</t>
  </si>
  <si>
    <t xml:space="preserve">268371</t>
  </si>
  <si>
    <t xml:space="preserve">1010675</t>
  </si>
  <si>
    <t xml:space="preserve">187031</t>
  </si>
  <si>
    <t xml:space="preserve">€11m - Residential Development, Castletroy</t>
  </si>
  <si>
    <t xml:space="preserve">2021-04-12</t>
  </si>
  <si>
    <t xml:space="preserve">1114461</t>
  </si>
  <si>
    <t xml:space="preserve">ABPREF307631</t>
  </si>
  <si>
    <t xml:space="preserve">2020-11-02</t>
  </si>
  <si>
    <t xml:space="preserve">2025-11-01</t>
  </si>
  <si>
    <t xml:space="preserve">2022-08-30</t>
  </si>
  <si>
    <t xml:space="preserve">1139440</t>
  </si>
  <si>
    <t xml:space="preserve">201320</t>
  </si>
  <si>
    <t xml:space="preserve">€3.7m - Residential Development, Newcastle</t>
  </si>
  <si>
    <t xml:space="preserve">2021-04-27</t>
  </si>
  <si>
    <t xml:space="preserve">2026-04-26</t>
  </si>
  <si>
    <t xml:space="preserve">2022-01-26</t>
  </si>
  <si>
    <t xml:space="preserve">1196488</t>
  </si>
  <si>
    <t xml:space="preserve">211475</t>
  </si>
  <si>
    <t xml:space="preserve">€4.9m - Residential Development, Castletroy</t>
  </si>
  <si>
    <t xml:space="preserve">2022-08-15</t>
  </si>
  <si>
    <t xml:space="preserve">1363541</t>
  </si>
  <si>
    <t xml:space="preserve">CE/2019/087</t>
  </si>
  <si>
    <t xml:space="preserve">2024-05-04</t>
  </si>
  <si>
    <t xml:space="preserve">2024-08-19</t>
  </si>
  <si>
    <t xml:space="preserve">1015929</t>
  </si>
  <si>
    <t xml:space="preserve">2019-09-27</t>
  </si>
  <si>
    <t xml:space="preserve">2024-09-27</t>
  </si>
  <si>
    <t xml:space="preserve">1417205</t>
  </si>
  <si>
    <t xml:space="preserve">€1.4m - Architect Led Integrated Design Team for College Avenue Infill Housing Scheme,  Moyross</t>
  </si>
  <si>
    <t xml:space="preserve">1419395</t>
  </si>
  <si>
    <t xml:space="preserve">1422145</t>
  </si>
  <si>
    <t xml:space="preserve">€719k - Architect Led Integrated Design Team Services for 23 Residential Units, Limerick</t>
  </si>
  <si>
    <t xml:space="preserve">1412368</t>
  </si>
  <si>
    <t xml:space="preserve">PT8LL277</t>
  </si>
  <si>
    <t xml:space="preserve">2025-12-15</t>
  </si>
  <si>
    <t xml:space="preserve">1412942</t>
  </si>
  <si>
    <t xml:space="preserve">PT8LL283</t>
  </si>
  <si>
    <t xml:space="preserve">258283</t>
  </si>
  <si>
    <t xml:space="preserve">1033981</t>
  </si>
  <si>
    <t xml:space="preserve">Part 8 / 1033981</t>
  </si>
  <si>
    <t xml:space="preserve">188003</t>
  </si>
  <si>
    <t xml:space="preserve">2019-08-27</t>
  </si>
  <si>
    <t xml:space="preserve">1063948</t>
  </si>
  <si>
    <t xml:space="preserve">Part 8 - 1063948</t>
  </si>
  <si>
    <t xml:space="preserve">2019-12-06</t>
  </si>
  <si>
    <t xml:space="preserve">2021-04-22</t>
  </si>
  <si>
    <t xml:space="preserve">1248404</t>
  </si>
  <si>
    <t xml:space="preserve">Part 8 - 1248404</t>
  </si>
  <si>
    <t xml:space="preserve">2023-01-24</t>
  </si>
  <si>
    <t xml:space="preserve">1264155</t>
  </si>
  <si>
    <t xml:space="preserve">Part 8 - 1264155</t>
  </si>
  <si>
    <t xml:space="preserve">1316160</t>
  </si>
  <si>
    <t xml:space="preserve">Part 8 - 1316160</t>
  </si>
  <si>
    <t xml:space="preserve">1345677</t>
  </si>
  <si>
    <t xml:space="preserve">Part 8 - 1345677</t>
  </si>
  <si>
    <t xml:space="preserve">2024-11-18</t>
  </si>
  <si>
    <t xml:space="preserve">1363543</t>
  </si>
  <si>
    <t xml:space="preserve">Part 8 - 1363543</t>
  </si>
  <si>
    <t xml:space="preserve">1371977</t>
  </si>
  <si>
    <t xml:space="preserve">Part 8 - 1371977</t>
  </si>
  <si>
    <t xml:space="preserve">2025-01-20</t>
  </si>
  <si>
    <t xml:space="preserve">1378081</t>
  </si>
  <si>
    <t xml:space="preserve">Part 8 - 1378081</t>
  </si>
  <si>
    <t xml:space="preserve">1378805</t>
  </si>
  <si>
    <t xml:space="preserve">Part 8 - 1378805</t>
  </si>
  <si>
    <t xml:space="preserve">1392454</t>
  </si>
  <si>
    <t xml:space="preserve">Part 8 - 1392454</t>
  </si>
  <si>
    <t xml:space="preserve">2024-10-04</t>
  </si>
  <si>
    <t xml:space="preserve">2026-05-08</t>
  </si>
  <si>
    <t xml:space="preserve">1433772</t>
  </si>
  <si>
    <t xml:space="preserve">Part 8-  26255726</t>
  </si>
  <si>
    <t xml:space="preserve">No</t>
  </si>
  <si>
    <t xml:space="preserve">Council audit – county</t>
  </si>
  <si>
    <t xml:space="preserve">table</t>
  </si>
  <si>
    <t xml:space="preserve">field</t>
  </si>
  <si>
    <t xml:space="preserve">meaning</t>
  </si>
  <si>
    <t xml:space="preserve">parcels</t>
  </si>
  <si>
    <t xml:space="preserve">Unique parcel key. CITY-&lt;rsca&gt; for council audit parcels; PC-&lt;planning ref&gt; for consent parcels outside the audit. Never reuse a retired id.</t>
  </si>
  <si>
    <t xml:space="preserve">Council audit / Council audit – reinstated / Planning consent – not in council audit. County audit parcels: Council audit – county.</t>
  </si>
  <si>
    <t xml:space="preserve">City or County.</t>
  </si>
  <si>
    <t xml:space="preserve">Council audit reference (audit parcels only).</t>
  </si>
  <si>
    <t xml:space="preserve">Council estimate of homes the parcel can take (audit parcels). Blank on consent parcels: their capacity is the consented units.</t>
  </si>
  <si>
    <t xml:space="preserve">How capacity is set.</t>
  </si>
  <si>
    <t xml:space="preserve">Audit parcels: the council’s net developable area, the basis of its capacity estimate. Consent parcels: mapped area.</t>
  </si>
  <si>
    <t xml:space="preserve">Area of the polygon as drawn. Larger than the developable area where the council netted off roads, open space or constrained land.</t>
  </si>
  <si>
    <t xml:space="preserve">Status in the council audit file (audit parcels).</t>
  </si>
  <si>
    <t xml:space="preserve">Why a parcel was reinstated, matched approximately, or needs checking.</t>
  </si>
  <si>
    <t xml:space="preserve">last_reviewed / reviewed_by</t>
  </si>
  <si>
    <t xml:space="preserve">Update on each review.</t>
  </si>
  <si>
    <t xml:space="preserve">parcel_permissions</t>
  </si>
  <si>
    <t xml:space="preserve">Unique permission key (CIS project id or REG-&lt;ref&gt;). One row per permission.</t>
  </si>
  <si>
    <t xml:space="preserve">The one parcel this permission sits on. Must exist in parcels.</t>
  </si>
  <si>
    <t xml:space="preserve">Homes in this permission as counted (after amendments and repeats are removed). PBSA: units as recorded, bedspaces separate.</t>
  </si>
  <si>
    <t xml:space="preserve">Complete / Under construction / Permitted – not started / Stalled / Expired – not started / In planning.</t>
  </si>
  <si>
    <t xml:space="preserve">Yes for the permission being counted. Set to No when a later permission replaces it on the same land (keep the row for the record).</t>
  </si>
  <si>
    <t xml:space="preserve">How the permission relates to others on the land (primary, additional phase, additional application, replaces earlier, extension of duration).</t>
  </si>
  <si>
    <t xml:space="preserve">est_start / est_last_completions / confidence / est_*</t>
  </si>
  <si>
    <t xml:space="preserve">Estimated delivery years (method on the dashboard Assumptions sheet). Update when programmes are known.</t>
  </si>
  <si>
    <t xml:space="preserve">Within site (boundary or point on an audit parcel); Mostly on audit parcel; Own consent parcel.</t>
  </si>
  <si>
    <t xml:space="preserve">parcel_summary</t>
  </si>
  <si>
    <t xml:space="preserve">Complete + under construction + permitted not started + stalled, from parcel_permissions where counts_toward_totals = Yes.</t>
  </si>
  <si>
    <t xml:space="preserve">Council capacity minus consented units, not below zero. Zero on consent parcels.</t>
  </si>
  <si>
    <t xml:space="preserve">Consented units + unconsented capacity. Sums across parcels with no double counting.</t>
  </si>
  <si>
    <t xml:space="preserve">Total supply minus homes already complete.</t>
  </si>
  <si>
    <t xml:space="preserve">rules</t>
  </si>
  <si>
    <t xml:space="preserve">One permission, one parcel</t>
  </si>
  <si>
    <t xml:space="preserve">Each permission row has exactly one parcel_id; parcels never overlap; totals are calculated, not typed.</t>
  </si>
  <si>
    <t xml:space="preserve">New permission</t>
  </si>
  <si>
    <t xml:space="preserve">Add a row to parcel_permissions. If it is on an existing parcel, use that parcel_id. If not, draw a parcel from the planning boundary (clipped to exclude existing parcels) with id PC-&lt;ref&gt;.</t>
  </si>
  <si>
    <t xml:space="preserve">Amendment / repeat / extension</t>
  </si>
  <si>
    <t xml:space="preserve">Add the row with counts_toward_totals = No unless it replaces the counted permission, in which case switch the old row to No and the new row to Yes.</t>
  </si>
  <si>
    <t xml:space="preserve">Refused / withdrawn</t>
  </si>
  <si>
    <t xml:space="preserve">Do not add to parcel_permissions. Record land interest in notes if useful.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</si>
</sst>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CE4EE"/>
        <bgColor rgb="FFEEF2F7"/>
      </patternFill>
    </fill>
    <fill>
      <patternFill patternType="solid">
        <fgColor rgb="FF4F6F94"/>
        <bgColor rgb="FF808080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8D7DA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F6F94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DC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4F6F94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9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2.35" hidden="false" customHeight="false" outlineLevel="0" collapsed="false">
      <c r="A5" s="4"/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</row>
    <row r="6" customFormat="false" ht="15" hidden="false" customHeight="false" outlineLevel="0" collapsed="false">
      <c r="A6" s="5" t="s">
        <v>10</v>
      </c>
      <c r="B6" s="6" t="n">
        <f aca="false">COUNTIFS(Parcels!$B$2:$B$3000,$A6)</f>
        <v>131</v>
      </c>
      <c r="C6" s="7" t="n">
        <f aca="false">SUMIFS(Parcels!$L$2:$L$3000,Parcels!$B$2:$B$3000,$A6)</f>
        <v>312.219</v>
      </c>
      <c r="D6" s="6" t="n">
        <f aca="false">SUMIFS(Parcels!$X$2:$X$3000,Parcels!$B$2:$B$3000,$A6)</f>
        <v>5225</v>
      </c>
      <c r="E6" s="6" t="n">
        <f aca="false">SUMIFS(Parcels!$T$2:$T$3000,Parcels!$B$2:$B$3000,$A6)</f>
        <v>76</v>
      </c>
      <c r="F6" s="6" t="n">
        <f aca="false">SUMIFS(Parcels!$AA$2:$AA$3000,Parcels!$B$2:$B$3000,$A6)</f>
        <v>10005</v>
      </c>
      <c r="G6" s="6" t="n">
        <f aca="false">SUMIFS(Parcels!$AB$2:$AB$3000,Parcels!$B$2:$B$3000,$A6)</f>
        <v>15230</v>
      </c>
      <c r="H6" s="6" t="n">
        <f aca="false">SUMIFS(Parcels!$AC$2:$AC$3000,Parcels!$B$2:$B$3000,$A6)</f>
        <v>15154</v>
      </c>
    </row>
    <row r="7" customFormat="false" ht="15" hidden="false" customHeight="false" outlineLevel="0" collapsed="false">
      <c r="A7" s="5" t="s">
        <v>11</v>
      </c>
      <c r="B7" s="6" t="n">
        <f aca="false">COUNTIFS(Parcels!$B$2:$B$3000,$A7)</f>
        <v>3</v>
      </c>
      <c r="C7" s="7" t="n">
        <f aca="false">SUMIFS(Parcels!$L$2:$L$3000,Parcels!$B$2:$B$3000,$A7)</f>
        <v>3.993</v>
      </c>
      <c r="D7" s="6" t="n">
        <f aca="false">SUMIFS(Parcels!$X$2:$X$3000,Parcels!$B$2:$B$3000,$A7)</f>
        <v>27</v>
      </c>
      <c r="E7" s="6" t="n">
        <f aca="false">SUMIFS(Parcels!$T$2:$T$3000,Parcels!$B$2:$B$3000,$A7)</f>
        <v>0</v>
      </c>
      <c r="F7" s="6" t="n">
        <f aca="false">SUMIFS(Parcels!$AA$2:$AA$3000,Parcels!$B$2:$B$3000,$A7)</f>
        <v>138</v>
      </c>
      <c r="G7" s="6" t="n">
        <f aca="false">SUMIFS(Parcels!$AB$2:$AB$3000,Parcels!$B$2:$B$3000,$A7)</f>
        <v>165</v>
      </c>
      <c r="H7" s="6" t="n">
        <f aca="false">SUMIFS(Parcels!$AC$2:$AC$3000,Parcels!$B$2:$B$3000,$A7)</f>
        <v>165</v>
      </c>
    </row>
    <row r="8" customFormat="false" ht="15" hidden="false" customHeight="false" outlineLevel="0" collapsed="false">
      <c r="A8" s="5" t="s">
        <v>12</v>
      </c>
      <c r="B8" s="6" t="n">
        <f aca="false">COUNTIFS(Parcels!$B$2:$B$3000,$A8)</f>
        <v>188</v>
      </c>
      <c r="C8" s="7" t="n">
        <f aca="false">SUMIFS(Parcels!$L$2:$L$3000,Parcels!$B$2:$B$3000,$A8)</f>
        <v>218.494</v>
      </c>
      <c r="D8" s="6" t="n">
        <f aca="false">SUMIFS(Parcels!$X$2:$X$3000,Parcels!$B$2:$B$3000,$A8)</f>
        <v>5248</v>
      </c>
      <c r="E8" s="6" t="n">
        <f aca="false">SUMIFS(Parcels!$T$2:$T$3000,Parcels!$B$2:$B$3000,$A8)</f>
        <v>1199</v>
      </c>
      <c r="F8" s="6" t="n">
        <f aca="false">SUMIFS(Parcels!$AA$2:$AA$3000,Parcels!$B$2:$B$3000,$A8)</f>
        <v>0</v>
      </c>
      <c r="G8" s="6" t="n">
        <f aca="false">SUMIFS(Parcels!$AB$2:$AB$3000,Parcels!$B$2:$B$3000,$A8)</f>
        <v>5248</v>
      </c>
      <c r="H8" s="6" t="n">
        <f aca="false">SUMIFS(Parcels!$AC$2:$AC$3000,Parcels!$B$2:$B$3000,$A8)</f>
        <v>4049</v>
      </c>
    </row>
    <row r="9" customFormat="false" ht="15" hidden="false" customHeight="false" outlineLevel="0" collapsed="false">
      <c r="A9" s="8" t="s">
        <v>13</v>
      </c>
      <c r="B9" s="9" t="n">
        <f aca="false">SUM(B6:B8)</f>
        <v>322</v>
      </c>
      <c r="C9" s="10" t="n">
        <f aca="false">SUM(C6:C8)</f>
        <v>534.706</v>
      </c>
      <c r="D9" s="9" t="n">
        <f aca="false">SUM(D6:D8)</f>
        <v>10500</v>
      </c>
      <c r="E9" s="9" t="n">
        <f aca="false">SUM(E6:E8)</f>
        <v>1275</v>
      </c>
      <c r="F9" s="9" t="n">
        <f aca="false">SUM(F6:F8)</f>
        <v>10143</v>
      </c>
      <c r="G9" s="9" t="n">
        <f aca="false">SUM(G6:G8)</f>
        <v>20643</v>
      </c>
      <c r="H9" s="9" t="n">
        <f aca="false">SUM(H6:H8)</f>
        <v>19368</v>
      </c>
    </row>
    <row r="11" customFormat="false" ht="15" hidden="false" customHeight="false" outlineLevel="0" collapsed="false">
      <c r="A11" s="3" t="s">
        <v>14</v>
      </c>
    </row>
    <row r="12" customFormat="false" ht="22.35" hidden="false" customHeight="false" outlineLevel="0" collapsed="false">
      <c r="A12" s="4"/>
      <c r="B12" s="4" t="s">
        <v>3</v>
      </c>
      <c r="C12" s="4" t="s">
        <v>4</v>
      </c>
      <c r="D12" s="4" t="s">
        <v>5</v>
      </c>
      <c r="E12" s="4" t="s">
        <v>6</v>
      </c>
      <c r="F12" s="4" t="s">
        <v>7</v>
      </c>
      <c r="G12" s="4" t="s">
        <v>8</v>
      </c>
      <c r="H12" s="4" t="s">
        <v>9</v>
      </c>
    </row>
    <row r="13" customFormat="false" ht="15" hidden="false" customHeight="false" outlineLevel="0" collapsed="false">
      <c r="A13" s="5" t="s">
        <v>15</v>
      </c>
      <c r="B13" s="6" t="n">
        <f aca="false">COUNTIFS(Parcels!$C$2:$C$3000,$A13)</f>
        <v>237</v>
      </c>
      <c r="C13" s="7" t="n">
        <f aca="false">SUMIFS(Parcels!$L$2:$L$3000,Parcels!$C$2:$C$3000,$A13)</f>
        <v>418.591</v>
      </c>
      <c r="D13" s="6" t="n">
        <f aca="false">SUMIFS(Parcels!$X$2:$X$3000,Parcels!$C$2:$C$3000,$A13)</f>
        <v>8531</v>
      </c>
      <c r="E13" s="6" t="n">
        <f aca="false">SUMIFS(Parcels!$T$2:$T$3000,Parcels!$C$2:$C$3000,$A13)</f>
        <v>1127</v>
      </c>
      <c r="F13" s="6" t="n">
        <f aca="false">SUMIFS(Parcels!$AA$2:$AA$3000,Parcels!$C$2:$C$3000,$A13)</f>
        <v>10143</v>
      </c>
      <c r="G13" s="6" t="n">
        <f aca="false">SUMIFS(Parcels!$AB$2:$AB$3000,Parcels!$C$2:$C$3000,$A13)</f>
        <v>18674</v>
      </c>
      <c r="H13" s="6" t="n">
        <f aca="false">SUMIFS(Parcels!$AC$2:$AC$3000,Parcels!$C$2:$C$3000,$A13)</f>
        <v>17547</v>
      </c>
    </row>
    <row r="14" customFormat="false" ht="15" hidden="false" customHeight="false" outlineLevel="0" collapsed="false">
      <c r="A14" s="5" t="s">
        <v>16</v>
      </c>
      <c r="B14" s="6" t="n">
        <f aca="false">COUNTIFS(Parcels!$C$2:$C$3000,$A14)</f>
        <v>85</v>
      </c>
      <c r="C14" s="7" t="n">
        <f aca="false">SUMIFS(Parcels!$L$2:$L$3000,Parcels!$C$2:$C$3000,$A14)</f>
        <v>116.115</v>
      </c>
      <c r="D14" s="6" t="n">
        <f aca="false">SUMIFS(Parcels!$X$2:$X$3000,Parcels!$C$2:$C$3000,$A14)</f>
        <v>1969</v>
      </c>
      <c r="E14" s="6" t="n">
        <f aca="false">SUMIFS(Parcels!$T$2:$T$3000,Parcels!$C$2:$C$3000,$A14)</f>
        <v>148</v>
      </c>
      <c r="F14" s="6" t="n">
        <f aca="false">SUMIFS(Parcels!$AA$2:$AA$3000,Parcels!$C$2:$C$3000,$A14)</f>
        <v>0</v>
      </c>
      <c r="G14" s="6" t="n">
        <f aca="false">SUMIFS(Parcels!$AB$2:$AB$3000,Parcels!$C$2:$C$3000,$A14)</f>
        <v>1969</v>
      </c>
      <c r="H14" s="6" t="n">
        <f aca="false">SUMIFS(Parcels!$AC$2:$AC$3000,Parcels!$C$2:$C$3000,$A14)</f>
        <v>1821</v>
      </c>
    </row>
    <row r="15" customFormat="false" ht="15" hidden="false" customHeight="false" outlineLevel="0" collapsed="false">
      <c r="A15" s="8" t="s">
        <v>13</v>
      </c>
      <c r="B15" s="9" t="n">
        <f aca="false">SUM(B13:B14)</f>
        <v>322</v>
      </c>
      <c r="C15" s="10" t="n">
        <f aca="false">SUM(C13:C14)</f>
        <v>534.706</v>
      </c>
      <c r="D15" s="9" t="n">
        <f aca="false">SUM(D13:D14)</f>
        <v>10500</v>
      </c>
      <c r="E15" s="9" t="n">
        <f aca="false">SUM(E13:E14)</f>
        <v>1275</v>
      </c>
      <c r="F15" s="9" t="n">
        <f aca="false">SUM(F13:F14)</f>
        <v>10143</v>
      </c>
      <c r="G15" s="9" t="n">
        <f aca="false">SUM(G13:G14)</f>
        <v>20643</v>
      </c>
      <c r="H15" s="9" t="n">
        <f aca="false">SUM(H13:H14)</f>
        <v>19368</v>
      </c>
    </row>
    <row r="17" customFormat="false" ht="15" hidden="false" customHeight="false" outlineLevel="0" collapsed="false">
      <c r="A17" s="3" t="s">
        <v>17</v>
      </c>
    </row>
    <row r="18" customFormat="false" ht="15" hidden="false" customHeight="false" outlineLevel="0" collapsed="false">
      <c r="A18" s="11"/>
      <c r="B18" s="12" t="s">
        <v>18</v>
      </c>
      <c r="C18" s="12" t="s">
        <v>19</v>
      </c>
      <c r="D18" s="12" t="s">
        <v>20</v>
      </c>
      <c r="E18" s="12" t="s">
        <v>21</v>
      </c>
      <c r="F18" s="12" t="s">
        <v>22</v>
      </c>
      <c r="G18" s="12" t="s">
        <v>23</v>
      </c>
    </row>
    <row r="19" customFormat="false" ht="15" hidden="false" customHeight="false" outlineLevel="0" collapsed="false">
      <c r="A19" s="5" t="s">
        <v>24</v>
      </c>
      <c r="B19" s="6" t="n">
        <f aca="false">SUM(Parcels!$AD$2:$AD$3000)</f>
        <v>588.4</v>
      </c>
      <c r="C19" s="6" t="n">
        <f aca="false">SUM(Parcels!$AE$2:$AE$3000)</f>
        <v>2355.5</v>
      </c>
      <c r="D19" s="6" t="n">
        <f aca="false">SUM(Parcels!$AF$2:$AF$3000)</f>
        <v>1735.3</v>
      </c>
      <c r="E19" s="6" t="n">
        <f aca="false">SUM(Parcels!$AG$2:$AG$3000)</f>
        <v>1965.6</v>
      </c>
      <c r="F19" s="6" t="n">
        <f aca="false">SUM(Parcels!$AH$2:$AH$3000)</f>
        <v>851</v>
      </c>
      <c r="G19" s="6" t="n">
        <f aca="false">SUM(Parcels!$AI$2:$AI$3000)</f>
        <v>1573.2</v>
      </c>
    </row>
    <row r="21" customFormat="false" ht="15" hidden="false" customHeight="false" outlineLevel="0" collapsed="false">
      <c r="A21" s="3" t="s">
        <v>25</v>
      </c>
    </row>
    <row r="22" customFormat="false" ht="15" hidden="false" customHeight="false" outlineLevel="0" collapsed="false">
      <c r="A22" s="5" t="s">
        <v>26</v>
      </c>
      <c r="B22" s="13" t="n">
        <f aca="false">COUNTIF(Permissions!$AD$2:$AD$3000,"?*")</f>
        <v>0</v>
      </c>
    </row>
    <row r="23" customFormat="false" ht="15" hidden="false" customHeight="false" outlineLevel="0" collapsed="false">
      <c r="A23" s="5" t="s">
        <v>27</v>
      </c>
      <c r="B23" s="13" t="n">
        <f aca="false">COUNTIF(Parcels!$AK$2:$AK$3000,"?*")-COUNTIF(Parcels!$AK$2:$AK$3000,"Consented above capacity")</f>
        <v>0</v>
      </c>
    </row>
    <row r="24" customFormat="false" ht="15" hidden="false" customHeight="false" outlineLevel="0" collapsed="false">
      <c r="A24" s="5" t="s">
        <v>28</v>
      </c>
      <c r="B24" s="13" t="n">
        <f aca="false">SUMIFS(Permissions!$F$2:$F$3000,Permissions!$I$2:$I$3000,"Yes")-SUM(Parcels!$X$2:$X$3000)-SUM(Parcels!$Y$2:$Y$3000)-SUM(Parcels!$Z$2:$Z$3000)</f>
        <v>0</v>
      </c>
    </row>
    <row r="25" customFormat="false" ht="15" hidden="false" customHeight="false" outlineLevel="0" collapsed="false">
      <c r="A25" s="5" t="s">
        <v>29</v>
      </c>
      <c r="B25" s="13" t="n">
        <f aca="false">COUNTIFS(Permissions!$A$2:$A$3000,"?*",Permissions!$B$2:$B$3000,"")</f>
        <v>0</v>
      </c>
    </row>
    <row r="26" customFormat="false" ht="15" hidden="false" customHeight="false" outlineLevel="0" collapsed="false">
      <c r="A26" s="5" t="s">
        <v>30</v>
      </c>
      <c r="B26" s="6" t="n">
        <f aca="false">COUNTIF(Parcels!$AK$2:$AK$3000,"Consented above capacity")</f>
        <v>14</v>
      </c>
    </row>
    <row r="28" customFormat="false" ht="15" hidden="false" customHeight="false" outlineLevel="0" collapsed="false">
      <c r="A28" s="2" t="s">
        <v>31</v>
      </c>
    </row>
  </sheetData>
  <conditionalFormatting sqref="B22:B25">
    <cfRule type="expression" priority="2" aboveAverage="0" equalAverage="0" bottom="0" percent="0" rank="0" text="" dxfId="0">
      <formula>B22&lt;&gt;0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4" t="s">
        <v>32</v>
      </c>
      <c r="B1" s="15" t="s">
        <v>33</v>
      </c>
    </row>
    <row r="2" customFormat="false" ht="15" hidden="false" customHeight="false" outlineLevel="0" collapsed="false">
      <c r="A2" s="14" t="s">
        <v>34</v>
      </c>
      <c r="B2" s="15" t="s">
        <v>35</v>
      </c>
    </row>
    <row r="3" customFormat="false" ht="23.85" hidden="false" customHeight="false" outlineLevel="0" collapsed="false">
      <c r="A3" s="14" t="s">
        <v>36</v>
      </c>
      <c r="B3" s="15" t="s">
        <v>37</v>
      </c>
    </row>
    <row r="4" customFormat="false" ht="23.85" hidden="false" customHeight="false" outlineLevel="0" collapsed="false">
      <c r="A4" s="14" t="s">
        <v>38</v>
      </c>
      <c r="B4" s="15" t="s">
        <v>39</v>
      </c>
    </row>
    <row r="5" customFormat="false" ht="23.85" hidden="false" customHeight="false" outlineLevel="0" collapsed="false">
      <c r="A5" s="14" t="s">
        <v>40</v>
      </c>
      <c r="B5" s="15" t="s">
        <v>41</v>
      </c>
    </row>
    <row r="6" customFormat="false" ht="15" hidden="false" customHeight="false" outlineLevel="0" collapsed="false">
      <c r="A6" s="14" t="s">
        <v>42</v>
      </c>
      <c r="B6" s="15" t="s">
        <v>43</v>
      </c>
    </row>
    <row r="7" customFormat="false" ht="23.85" hidden="false" customHeight="false" outlineLevel="0" collapsed="false">
      <c r="A7" s="14" t="s">
        <v>44</v>
      </c>
      <c r="B7" s="15" t="s">
        <v>45</v>
      </c>
    </row>
    <row r="8" customFormat="false" ht="23.85" hidden="false" customHeight="false" outlineLevel="0" collapsed="false">
      <c r="A8" s="14" t="s">
        <v>46</v>
      </c>
      <c r="B8" s="15" t="s">
        <v>47</v>
      </c>
    </row>
    <row r="9" customFormat="false" ht="15" hidden="false" customHeight="false" outlineLevel="0" collapsed="false">
      <c r="A9" s="14" t="s">
        <v>48</v>
      </c>
      <c r="B9" s="15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4"/>
    <col collapsed="false" customWidth="true" hidden="false" outlineLevel="0" max="4" min="3" style="0" width="10"/>
    <col collapsed="false" customWidth="true" hidden="false" outlineLevel="0" max="6" min="5" style="0" width="16"/>
    <col collapsed="false" customWidth="true" hidden="false" outlineLevel="0" max="7" min="7" style="0" width="32"/>
    <col collapsed="false" customWidth="true" hidden="false" outlineLevel="0" max="14" min="8" style="0" width="10"/>
    <col collapsed="false" customWidth="true" hidden="false" outlineLevel="0" max="15" min="15" style="0" width="22"/>
    <col collapsed="false" customWidth="true" hidden="false" outlineLevel="0" max="16" min="16" style="0" width="18"/>
    <col collapsed="false" customWidth="true" hidden="false" outlineLevel="0" max="17" min="17" style="0" width="34"/>
    <col collapsed="false" customWidth="true" hidden="false" outlineLevel="0" max="36" min="18" style="0" width="10"/>
    <col collapsed="false" customWidth="true" hidden="false" outlineLevel="0" max="37" min="37" style="0" width="22"/>
  </cols>
  <sheetData>
    <row r="1" customFormat="false" ht="42" hidden="false" customHeight="true" outlineLevel="0" collapsed="false">
      <c r="A1" s="16" t="s">
        <v>50</v>
      </c>
      <c r="B1" s="16" t="s">
        <v>51</v>
      </c>
      <c r="C1" s="16" t="s">
        <v>52</v>
      </c>
      <c r="D1" s="16" t="s">
        <v>53</v>
      </c>
      <c r="E1" s="16" t="s">
        <v>54</v>
      </c>
      <c r="F1" s="16" t="s">
        <v>55</v>
      </c>
      <c r="G1" s="16" t="s">
        <v>56</v>
      </c>
      <c r="H1" s="16" t="s">
        <v>57</v>
      </c>
      <c r="I1" s="16" t="s">
        <v>58</v>
      </c>
      <c r="J1" s="16" t="s">
        <v>59</v>
      </c>
      <c r="K1" s="16" t="s">
        <v>60</v>
      </c>
      <c r="L1" s="16" t="s">
        <v>61</v>
      </c>
      <c r="M1" s="16" t="s">
        <v>62</v>
      </c>
      <c r="N1" s="16" t="s">
        <v>63</v>
      </c>
      <c r="O1" s="16" t="s">
        <v>64</v>
      </c>
      <c r="P1" s="16" t="s">
        <v>65</v>
      </c>
      <c r="Q1" s="16" t="s">
        <v>66</v>
      </c>
      <c r="R1" s="16" t="s">
        <v>67</v>
      </c>
      <c r="S1" s="16" t="s">
        <v>68</v>
      </c>
      <c r="T1" s="17" t="s">
        <v>69</v>
      </c>
      <c r="U1" s="17" t="s">
        <v>70</v>
      </c>
      <c r="V1" s="17" t="s">
        <v>71</v>
      </c>
      <c r="W1" s="17" t="s">
        <v>72</v>
      </c>
      <c r="X1" s="17" t="s">
        <v>73</v>
      </c>
      <c r="Y1" s="17" t="s">
        <v>74</v>
      </c>
      <c r="Z1" s="17" t="s">
        <v>75</v>
      </c>
      <c r="AA1" s="17" t="s">
        <v>76</v>
      </c>
      <c r="AB1" s="17" t="s">
        <v>77</v>
      </c>
      <c r="AC1" s="17" t="s">
        <v>78</v>
      </c>
      <c r="AD1" s="17" t="s">
        <v>79</v>
      </c>
      <c r="AE1" s="17" t="s">
        <v>80</v>
      </c>
      <c r="AF1" s="17" t="s">
        <v>81</v>
      </c>
      <c r="AG1" s="17" t="s">
        <v>82</v>
      </c>
      <c r="AH1" s="17" t="s">
        <v>83</v>
      </c>
      <c r="AI1" s="17" t="s">
        <v>84</v>
      </c>
      <c r="AJ1" s="17" t="s">
        <v>85</v>
      </c>
      <c r="AK1" s="17" t="s">
        <v>86</v>
      </c>
    </row>
    <row r="2" customFormat="false" ht="15" hidden="false" customHeight="false" outlineLevel="0" collapsed="false">
      <c r="A2" s="18" t="s">
        <v>87</v>
      </c>
      <c r="B2" s="18" t="s">
        <v>10</v>
      </c>
      <c r="C2" s="18" t="s">
        <v>15</v>
      </c>
      <c r="D2" s="18" t="n">
        <v>129</v>
      </c>
      <c r="E2" s="18" t="s">
        <v>88</v>
      </c>
      <c r="F2" s="18" t="s">
        <v>89</v>
      </c>
      <c r="G2" s="18" t="s">
        <v>90</v>
      </c>
      <c r="H2" s="18" t="s">
        <v>91</v>
      </c>
      <c r="I2" s="18" t="s">
        <v>92</v>
      </c>
      <c r="J2" s="18" t="s">
        <v>93</v>
      </c>
      <c r="K2" s="18" t="s">
        <v>94</v>
      </c>
      <c r="L2" s="18" t="n">
        <v>2.208</v>
      </c>
      <c r="M2" s="18" t="n">
        <v>2.208</v>
      </c>
      <c r="N2" s="18" t="n">
        <v>99</v>
      </c>
      <c r="O2" s="18" t="s">
        <v>95</v>
      </c>
      <c r="P2" s="18" t="s">
        <v>96</v>
      </c>
      <c r="Q2" s="18" t="s">
        <v>97</v>
      </c>
      <c r="R2" s="18" t="s">
        <v>98</v>
      </c>
      <c r="S2" s="18"/>
      <c r="T2" s="19" t="n">
        <f aca="false">SUMIFS(Permissions!$F$2:$F$3000,Permissions!$B$2:$B$3000,$A2,Permissions!$H$2:$H$3000,"Complete",Permissions!$I$2:$I$3000,"Yes")</f>
        <v>0</v>
      </c>
      <c r="U2" s="19" t="n">
        <f aca="false">SUMIFS(Permissions!$F$2:$F$3000,Permissions!$B$2:$B$3000,$A2,Permissions!$H$2:$H$3000,"Under construction",Permissions!$I$2:$I$3000,"Yes")</f>
        <v>0</v>
      </c>
      <c r="V2" s="19" t="n">
        <f aca="false">SUMIFS(Permissions!$F$2:$F$3000,Permissions!$B$2:$B$3000,$A2,Permissions!$H$2:$H$3000,"Permitted – not started",Permissions!$I$2:$I$3000,"Yes")</f>
        <v>0</v>
      </c>
      <c r="W2" s="19" t="n">
        <f aca="false">SUMIFS(Permissions!$F$2:$F$3000,Permissions!$B$2:$B$3000,$A2,Permissions!$H$2:$H$3000,"Stalled",Permissions!$I$2:$I$3000,"Yes")</f>
        <v>0</v>
      </c>
      <c r="X2" s="19" t="n">
        <f aca="false">T2+U2+V2+W2</f>
        <v>0</v>
      </c>
      <c r="Y2" s="19" t="n">
        <f aca="false">SUMIFS(Permissions!$F$2:$F$3000,Permissions!$B$2:$B$3000,$A2,Permissions!$H$2:$H$3000,"Expired – not started",Permissions!$I$2:$I$3000,"Yes")</f>
        <v>0</v>
      </c>
      <c r="Z2" s="19" t="n">
        <f aca="false">SUMIFS(Permissions!$F$2:$F$3000,Permissions!$B$2:$B$3000,$A2,Permissions!$H$2:$H$3000,"In planning",Permissions!$I$2:$I$3000,"Yes")</f>
        <v>0</v>
      </c>
      <c r="AA2" s="19" t="n">
        <f aca="false">IF(N2="",0,MAX(N2-X2,0))</f>
        <v>99</v>
      </c>
      <c r="AB2" s="20" t="n">
        <f aca="false">X2+AA2</f>
        <v>99</v>
      </c>
      <c r="AC2" s="19" t="n">
        <f aca="false">AB2-T2</f>
        <v>99</v>
      </c>
      <c r="AD2" s="21" t="n">
        <f aca="false">SUMIFS(Permissions!$T$2:$T$3000,Permissions!$B$2:$B$3000,$A2,Permissions!$I$2:$I$3000,"Yes")</f>
        <v>0</v>
      </c>
      <c r="AE2" s="21" t="n">
        <f aca="false">SUMIFS(Permissions!$U$2:$U$3000,Permissions!$B$2:$B$3000,$A2,Permissions!$I$2:$I$3000,"Yes")</f>
        <v>0</v>
      </c>
      <c r="AF2" s="21" t="n">
        <f aca="false">SUMIFS(Permissions!$V$2:$V$3000,Permissions!$B$2:$B$3000,$A2,Permissions!$I$2:$I$3000,"Yes")</f>
        <v>0</v>
      </c>
      <c r="AG2" s="21" t="n">
        <f aca="false">SUMIFS(Permissions!$W$2:$W$3000,Permissions!$B$2:$B$3000,$A2,Permissions!$I$2:$I$3000,"Yes")</f>
        <v>0</v>
      </c>
      <c r="AH2" s="21" t="n">
        <f aca="false">SUMIFS(Permissions!$X$2:$X$3000,Permissions!$B$2:$B$3000,$A2,Permissions!$I$2:$I$3000,"Yes")</f>
        <v>0</v>
      </c>
      <c r="AI2" s="21" t="n">
        <f aca="false">SUMIFS(Permissions!$Y$2:$Y$3000,Permissions!$B$2:$B$3000,$A2,Permissions!$I$2:$I$3000,"Yes")</f>
        <v>0</v>
      </c>
      <c r="AJ2" s="19" t="n">
        <f aca="false">COUNTIFS(Permissions!$B$2:$B$3000,$A2,Permissions!$I$2:$I$3000,"Yes")</f>
        <v>0</v>
      </c>
      <c r="AK2" s="22" t="str">
        <f aca="false">IF(AND(N2&lt;&gt;"",X2&gt;1.1*N2),"Consented above capacity",IF(AND(LEFT(B2,8)="Planning",AJ2=0),"Consent parcel with no permission",IF(COUNTIF($A$2:$A$3000,$A2)&gt;1,"Duplicate parcel_id","")))</f>
        <v/>
      </c>
    </row>
    <row r="3" customFormat="false" ht="15" hidden="false" customHeight="false" outlineLevel="0" collapsed="false">
      <c r="A3" s="18" t="s">
        <v>99</v>
      </c>
      <c r="B3" s="18" t="s">
        <v>10</v>
      </c>
      <c r="C3" s="18" t="s">
        <v>15</v>
      </c>
      <c r="D3" s="18" t="n">
        <v>130</v>
      </c>
      <c r="E3" s="18" t="s">
        <v>88</v>
      </c>
      <c r="F3" s="18" t="s">
        <v>89</v>
      </c>
      <c r="G3" s="18" t="s">
        <v>90</v>
      </c>
      <c r="H3" s="18" t="s">
        <v>91</v>
      </c>
      <c r="I3" s="18" t="s">
        <v>100</v>
      </c>
      <c r="J3" s="18" t="s">
        <v>101</v>
      </c>
      <c r="K3" s="18" t="s">
        <v>94</v>
      </c>
      <c r="L3" s="18" t="n">
        <v>0.144</v>
      </c>
      <c r="M3" s="18" t="n">
        <v>0.144</v>
      </c>
      <c r="N3" s="18" t="n">
        <v>6</v>
      </c>
      <c r="O3" s="18" t="s">
        <v>95</v>
      </c>
      <c r="P3" s="18" t="s">
        <v>96</v>
      </c>
      <c r="Q3" s="18" t="s">
        <v>97</v>
      </c>
      <c r="R3" s="18" t="s">
        <v>98</v>
      </c>
      <c r="S3" s="18"/>
      <c r="T3" s="19" t="n">
        <f aca="false">SUMIFS(Permissions!$F$2:$F$3000,Permissions!$B$2:$B$3000,$A3,Permissions!$H$2:$H$3000,"Complete",Permissions!$I$2:$I$3000,"Yes")</f>
        <v>0</v>
      </c>
      <c r="U3" s="19" t="n">
        <f aca="false">SUMIFS(Permissions!$F$2:$F$3000,Permissions!$B$2:$B$3000,$A3,Permissions!$H$2:$H$3000,"Under construction",Permissions!$I$2:$I$3000,"Yes")</f>
        <v>0</v>
      </c>
      <c r="V3" s="19" t="n">
        <f aca="false">SUMIFS(Permissions!$F$2:$F$3000,Permissions!$B$2:$B$3000,$A3,Permissions!$H$2:$H$3000,"Permitted – not started",Permissions!$I$2:$I$3000,"Yes")</f>
        <v>0</v>
      </c>
      <c r="W3" s="19" t="n">
        <f aca="false">SUMIFS(Permissions!$F$2:$F$3000,Permissions!$B$2:$B$3000,$A3,Permissions!$H$2:$H$3000,"Stalled",Permissions!$I$2:$I$3000,"Yes")</f>
        <v>0</v>
      </c>
      <c r="X3" s="19" t="n">
        <f aca="false">T3+U3+V3+W3</f>
        <v>0</v>
      </c>
      <c r="Y3" s="19" t="n">
        <f aca="false">SUMIFS(Permissions!$F$2:$F$3000,Permissions!$B$2:$B$3000,$A3,Permissions!$H$2:$H$3000,"Expired – not started",Permissions!$I$2:$I$3000,"Yes")</f>
        <v>0</v>
      </c>
      <c r="Z3" s="19" t="n">
        <f aca="false">SUMIFS(Permissions!$F$2:$F$3000,Permissions!$B$2:$B$3000,$A3,Permissions!$H$2:$H$3000,"In planning",Permissions!$I$2:$I$3000,"Yes")</f>
        <v>0</v>
      </c>
      <c r="AA3" s="19" t="n">
        <f aca="false">IF(N3="",0,MAX(N3-X3,0))</f>
        <v>6</v>
      </c>
      <c r="AB3" s="20" t="n">
        <f aca="false">X3+AA3</f>
        <v>6</v>
      </c>
      <c r="AC3" s="19" t="n">
        <f aca="false">AB3-T3</f>
        <v>6</v>
      </c>
      <c r="AD3" s="21" t="n">
        <f aca="false">SUMIFS(Permissions!$T$2:$T$3000,Permissions!$B$2:$B$3000,$A3,Permissions!$I$2:$I$3000,"Yes")</f>
        <v>0</v>
      </c>
      <c r="AE3" s="21" t="n">
        <f aca="false">SUMIFS(Permissions!$U$2:$U$3000,Permissions!$B$2:$B$3000,$A3,Permissions!$I$2:$I$3000,"Yes")</f>
        <v>0</v>
      </c>
      <c r="AF3" s="21" t="n">
        <f aca="false">SUMIFS(Permissions!$V$2:$V$3000,Permissions!$B$2:$B$3000,$A3,Permissions!$I$2:$I$3000,"Yes")</f>
        <v>0</v>
      </c>
      <c r="AG3" s="21" t="n">
        <f aca="false">SUMIFS(Permissions!$W$2:$W$3000,Permissions!$B$2:$B$3000,$A3,Permissions!$I$2:$I$3000,"Yes")</f>
        <v>0</v>
      </c>
      <c r="AH3" s="21" t="n">
        <f aca="false">SUMIFS(Permissions!$X$2:$X$3000,Permissions!$B$2:$B$3000,$A3,Permissions!$I$2:$I$3000,"Yes")</f>
        <v>0</v>
      </c>
      <c r="AI3" s="21" t="n">
        <f aca="false">SUMIFS(Permissions!$Y$2:$Y$3000,Permissions!$B$2:$B$3000,$A3,Permissions!$I$2:$I$3000,"Yes")</f>
        <v>0</v>
      </c>
      <c r="AJ3" s="19" t="n">
        <f aca="false">COUNTIFS(Permissions!$B$2:$B$3000,$A3,Permissions!$I$2:$I$3000,"Yes")</f>
        <v>0</v>
      </c>
      <c r="AK3" s="22" t="str">
        <f aca="false">IF(AND(N3&lt;&gt;"",X3&gt;1.1*N3),"Consented above capacity",IF(AND(LEFT(B3,8)="Planning",AJ3=0),"Consent parcel with no permission",IF(COUNTIF($A$2:$A$3000,$A3)&gt;1,"Duplicate parcel_id","")))</f>
        <v/>
      </c>
    </row>
    <row r="4" customFormat="false" ht="15" hidden="false" customHeight="false" outlineLevel="0" collapsed="false">
      <c r="A4" s="18" t="s">
        <v>102</v>
      </c>
      <c r="B4" s="18" t="s">
        <v>10</v>
      </c>
      <c r="C4" s="18" t="s">
        <v>15</v>
      </c>
      <c r="D4" s="18" t="n">
        <v>131</v>
      </c>
      <c r="E4" s="18" t="s">
        <v>88</v>
      </c>
      <c r="F4" s="18" t="s">
        <v>89</v>
      </c>
      <c r="G4" s="18" t="s">
        <v>90</v>
      </c>
      <c r="H4" s="18" t="s">
        <v>91</v>
      </c>
      <c r="I4" s="18" t="s">
        <v>92</v>
      </c>
      <c r="J4" s="18" t="s">
        <v>101</v>
      </c>
      <c r="K4" s="18" t="s">
        <v>94</v>
      </c>
      <c r="L4" s="18" t="n">
        <v>0.252</v>
      </c>
      <c r="M4" s="18" t="n">
        <v>0.252</v>
      </c>
      <c r="N4" s="18" t="n">
        <v>11</v>
      </c>
      <c r="O4" s="18" t="s">
        <v>95</v>
      </c>
      <c r="P4" s="18" t="s">
        <v>96</v>
      </c>
      <c r="Q4" s="18" t="s">
        <v>97</v>
      </c>
      <c r="R4" s="18" t="s">
        <v>98</v>
      </c>
      <c r="S4" s="18"/>
      <c r="T4" s="19" t="n">
        <f aca="false">SUMIFS(Permissions!$F$2:$F$3000,Permissions!$B$2:$B$3000,$A4,Permissions!$H$2:$H$3000,"Complete",Permissions!$I$2:$I$3000,"Yes")</f>
        <v>0</v>
      </c>
      <c r="U4" s="19" t="n">
        <f aca="false">SUMIFS(Permissions!$F$2:$F$3000,Permissions!$B$2:$B$3000,$A4,Permissions!$H$2:$H$3000,"Under construction",Permissions!$I$2:$I$3000,"Yes")</f>
        <v>0</v>
      </c>
      <c r="V4" s="19" t="n">
        <f aca="false">SUMIFS(Permissions!$F$2:$F$3000,Permissions!$B$2:$B$3000,$A4,Permissions!$H$2:$H$3000,"Permitted – not started",Permissions!$I$2:$I$3000,"Yes")</f>
        <v>0</v>
      </c>
      <c r="W4" s="19" t="n">
        <f aca="false">SUMIFS(Permissions!$F$2:$F$3000,Permissions!$B$2:$B$3000,$A4,Permissions!$H$2:$H$3000,"Stalled",Permissions!$I$2:$I$3000,"Yes")</f>
        <v>0</v>
      </c>
      <c r="X4" s="19" t="n">
        <f aca="false">T4+U4+V4+W4</f>
        <v>0</v>
      </c>
      <c r="Y4" s="19" t="n">
        <f aca="false">SUMIFS(Permissions!$F$2:$F$3000,Permissions!$B$2:$B$3000,$A4,Permissions!$H$2:$H$3000,"Expired – not started",Permissions!$I$2:$I$3000,"Yes")</f>
        <v>0</v>
      </c>
      <c r="Z4" s="19" t="n">
        <f aca="false">SUMIFS(Permissions!$F$2:$F$3000,Permissions!$B$2:$B$3000,$A4,Permissions!$H$2:$H$3000,"In planning",Permissions!$I$2:$I$3000,"Yes")</f>
        <v>0</v>
      </c>
      <c r="AA4" s="19" t="n">
        <f aca="false">IF(N4="",0,MAX(N4-X4,0))</f>
        <v>11</v>
      </c>
      <c r="AB4" s="20" t="n">
        <f aca="false">X4+AA4</f>
        <v>11</v>
      </c>
      <c r="AC4" s="19" t="n">
        <f aca="false">AB4-T4</f>
        <v>11</v>
      </c>
      <c r="AD4" s="21" t="n">
        <f aca="false">SUMIFS(Permissions!$T$2:$T$3000,Permissions!$B$2:$B$3000,$A4,Permissions!$I$2:$I$3000,"Yes")</f>
        <v>0</v>
      </c>
      <c r="AE4" s="21" t="n">
        <f aca="false">SUMIFS(Permissions!$U$2:$U$3000,Permissions!$B$2:$B$3000,$A4,Permissions!$I$2:$I$3000,"Yes")</f>
        <v>0</v>
      </c>
      <c r="AF4" s="21" t="n">
        <f aca="false">SUMIFS(Permissions!$V$2:$V$3000,Permissions!$B$2:$B$3000,$A4,Permissions!$I$2:$I$3000,"Yes")</f>
        <v>0</v>
      </c>
      <c r="AG4" s="21" t="n">
        <f aca="false">SUMIFS(Permissions!$W$2:$W$3000,Permissions!$B$2:$B$3000,$A4,Permissions!$I$2:$I$3000,"Yes")</f>
        <v>0</v>
      </c>
      <c r="AH4" s="21" t="n">
        <f aca="false">SUMIFS(Permissions!$X$2:$X$3000,Permissions!$B$2:$B$3000,$A4,Permissions!$I$2:$I$3000,"Yes")</f>
        <v>0</v>
      </c>
      <c r="AI4" s="21" t="n">
        <f aca="false">SUMIFS(Permissions!$Y$2:$Y$3000,Permissions!$B$2:$B$3000,$A4,Permissions!$I$2:$I$3000,"Yes")</f>
        <v>0</v>
      </c>
      <c r="AJ4" s="19" t="n">
        <f aca="false">COUNTIFS(Permissions!$B$2:$B$3000,$A4,Permissions!$I$2:$I$3000,"Yes")</f>
        <v>0</v>
      </c>
      <c r="AK4" s="22" t="str">
        <f aca="false">IF(AND(N4&lt;&gt;"",X4&gt;1.1*N4),"Consented above capacity",IF(AND(LEFT(B4,8)="Planning",AJ4=0),"Consent parcel with no permission",IF(COUNTIF($A$2:$A$3000,$A4)&gt;1,"Duplicate parcel_id","")))</f>
        <v/>
      </c>
    </row>
    <row r="5" customFormat="false" ht="15" hidden="false" customHeight="false" outlineLevel="0" collapsed="false">
      <c r="A5" s="18" t="s">
        <v>103</v>
      </c>
      <c r="B5" s="18" t="s">
        <v>10</v>
      </c>
      <c r="C5" s="18" t="s">
        <v>15</v>
      </c>
      <c r="D5" s="18" t="n">
        <v>132</v>
      </c>
      <c r="E5" s="18" t="s">
        <v>88</v>
      </c>
      <c r="F5" s="18" t="s">
        <v>89</v>
      </c>
      <c r="G5" s="18" t="s">
        <v>104</v>
      </c>
      <c r="H5" s="18" t="s">
        <v>105</v>
      </c>
      <c r="I5" s="18" t="s">
        <v>100</v>
      </c>
      <c r="J5" s="18" t="s">
        <v>93</v>
      </c>
      <c r="K5" s="18" t="s">
        <v>94</v>
      </c>
      <c r="L5" s="18" t="n">
        <v>0.706</v>
      </c>
      <c r="M5" s="18" t="n">
        <v>0.706</v>
      </c>
      <c r="N5" s="18" t="n">
        <v>32</v>
      </c>
      <c r="O5" s="18" t="s">
        <v>95</v>
      </c>
      <c r="P5" s="18" t="s">
        <v>96</v>
      </c>
      <c r="Q5" s="18" t="s">
        <v>97</v>
      </c>
      <c r="R5" s="18" t="s">
        <v>98</v>
      </c>
      <c r="S5" s="18"/>
      <c r="T5" s="19" t="n">
        <f aca="false">SUMIFS(Permissions!$F$2:$F$3000,Permissions!$B$2:$B$3000,$A5,Permissions!$H$2:$H$3000,"Complete",Permissions!$I$2:$I$3000,"Yes")</f>
        <v>0</v>
      </c>
      <c r="U5" s="19" t="n">
        <f aca="false">SUMIFS(Permissions!$F$2:$F$3000,Permissions!$B$2:$B$3000,$A5,Permissions!$H$2:$H$3000,"Under construction",Permissions!$I$2:$I$3000,"Yes")</f>
        <v>0</v>
      </c>
      <c r="V5" s="19" t="n">
        <f aca="false">SUMIFS(Permissions!$F$2:$F$3000,Permissions!$B$2:$B$3000,$A5,Permissions!$H$2:$H$3000,"Permitted – not started",Permissions!$I$2:$I$3000,"Yes")</f>
        <v>0</v>
      </c>
      <c r="W5" s="19" t="n">
        <f aca="false">SUMIFS(Permissions!$F$2:$F$3000,Permissions!$B$2:$B$3000,$A5,Permissions!$H$2:$H$3000,"Stalled",Permissions!$I$2:$I$3000,"Yes")</f>
        <v>0</v>
      </c>
      <c r="X5" s="19" t="n">
        <f aca="false">T5+U5+V5+W5</f>
        <v>0</v>
      </c>
      <c r="Y5" s="19" t="n">
        <f aca="false">SUMIFS(Permissions!$F$2:$F$3000,Permissions!$B$2:$B$3000,$A5,Permissions!$H$2:$H$3000,"Expired – not started",Permissions!$I$2:$I$3000,"Yes")</f>
        <v>0</v>
      </c>
      <c r="Z5" s="19" t="n">
        <f aca="false">SUMIFS(Permissions!$F$2:$F$3000,Permissions!$B$2:$B$3000,$A5,Permissions!$H$2:$H$3000,"In planning",Permissions!$I$2:$I$3000,"Yes")</f>
        <v>0</v>
      </c>
      <c r="AA5" s="19" t="n">
        <f aca="false">IF(N5="",0,MAX(N5-X5,0))</f>
        <v>32</v>
      </c>
      <c r="AB5" s="20" t="n">
        <f aca="false">X5+AA5</f>
        <v>32</v>
      </c>
      <c r="AC5" s="19" t="n">
        <f aca="false">AB5-T5</f>
        <v>32</v>
      </c>
      <c r="AD5" s="21" t="n">
        <f aca="false">SUMIFS(Permissions!$T$2:$T$3000,Permissions!$B$2:$B$3000,$A5,Permissions!$I$2:$I$3000,"Yes")</f>
        <v>0</v>
      </c>
      <c r="AE5" s="21" t="n">
        <f aca="false">SUMIFS(Permissions!$U$2:$U$3000,Permissions!$B$2:$B$3000,$A5,Permissions!$I$2:$I$3000,"Yes")</f>
        <v>0</v>
      </c>
      <c r="AF5" s="21" t="n">
        <f aca="false">SUMIFS(Permissions!$V$2:$V$3000,Permissions!$B$2:$B$3000,$A5,Permissions!$I$2:$I$3000,"Yes")</f>
        <v>0</v>
      </c>
      <c r="AG5" s="21" t="n">
        <f aca="false">SUMIFS(Permissions!$W$2:$W$3000,Permissions!$B$2:$B$3000,$A5,Permissions!$I$2:$I$3000,"Yes")</f>
        <v>0</v>
      </c>
      <c r="AH5" s="21" t="n">
        <f aca="false">SUMIFS(Permissions!$X$2:$X$3000,Permissions!$B$2:$B$3000,$A5,Permissions!$I$2:$I$3000,"Yes")</f>
        <v>0</v>
      </c>
      <c r="AI5" s="21" t="n">
        <f aca="false">SUMIFS(Permissions!$Y$2:$Y$3000,Permissions!$B$2:$B$3000,$A5,Permissions!$I$2:$I$3000,"Yes")</f>
        <v>0</v>
      </c>
      <c r="AJ5" s="19" t="n">
        <f aca="false">COUNTIFS(Permissions!$B$2:$B$3000,$A5,Permissions!$I$2:$I$3000,"Yes")</f>
        <v>0</v>
      </c>
      <c r="AK5" s="22" t="str">
        <f aca="false">IF(AND(N5&lt;&gt;"",X5&gt;1.1*N5),"Consented above capacity",IF(AND(LEFT(B5,8)="Planning",AJ5=0),"Consent parcel with no permission",IF(COUNTIF($A$2:$A$3000,$A5)&gt;1,"Duplicate parcel_id","")))</f>
        <v/>
      </c>
    </row>
    <row r="6" customFormat="false" ht="15" hidden="false" customHeight="false" outlineLevel="0" collapsed="false">
      <c r="A6" s="18" t="s">
        <v>106</v>
      </c>
      <c r="B6" s="18" t="s">
        <v>10</v>
      </c>
      <c r="C6" s="18" t="s">
        <v>15</v>
      </c>
      <c r="D6" s="18" t="n">
        <v>133</v>
      </c>
      <c r="E6" s="18" t="s">
        <v>88</v>
      </c>
      <c r="F6" s="18" t="s">
        <v>89</v>
      </c>
      <c r="G6" s="18" t="s">
        <v>104</v>
      </c>
      <c r="H6" s="18" t="s">
        <v>105</v>
      </c>
      <c r="I6" s="18" t="s">
        <v>92</v>
      </c>
      <c r="J6" s="18" t="s">
        <v>101</v>
      </c>
      <c r="K6" s="18" t="s">
        <v>107</v>
      </c>
      <c r="L6" s="18" t="n">
        <v>1.22</v>
      </c>
      <c r="M6" s="18" t="n">
        <v>9.479</v>
      </c>
      <c r="N6" s="18" t="n">
        <v>55</v>
      </c>
      <c r="O6" s="18" t="s">
        <v>95</v>
      </c>
      <c r="P6" s="18" t="s">
        <v>108</v>
      </c>
      <c r="Q6" s="18" t="s">
        <v>109</v>
      </c>
      <c r="R6" s="18" t="s">
        <v>98</v>
      </c>
      <c r="S6" s="18"/>
      <c r="T6" s="19" t="n">
        <f aca="false">SUMIFS(Permissions!$F$2:$F$3000,Permissions!$B$2:$B$3000,$A6,Permissions!$H$2:$H$3000,"Complete",Permissions!$I$2:$I$3000,"Yes")</f>
        <v>0</v>
      </c>
      <c r="U6" s="19" t="n">
        <f aca="false">SUMIFS(Permissions!$F$2:$F$3000,Permissions!$B$2:$B$3000,$A6,Permissions!$H$2:$H$3000,"Under construction",Permissions!$I$2:$I$3000,"Yes")</f>
        <v>371</v>
      </c>
      <c r="V6" s="19" t="n">
        <f aca="false">SUMIFS(Permissions!$F$2:$F$3000,Permissions!$B$2:$B$3000,$A6,Permissions!$H$2:$H$3000,"Permitted – not started",Permissions!$I$2:$I$3000,"Yes")</f>
        <v>0</v>
      </c>
      <c r="W6" s="19" t="n">
        <f aca="false">SUMIFS(Permissions!$F$2:$F$3000,Permissions!$B$2:$B$3000,$A6,Permissions!$H$2:$H$3000,"Stalled",Permissions!$I$2:$I$3000,"Yes")</f>
        <v>0</v>
      </c>
      <c r="X6" s="19" t="n">
        <f aca="false">T6+U6+V6+W6</f>
        <v>371</v>
      </c>
      <c r="Y6" s="19" t="n">
        <f aca="false">SUMIFS(Permissions!$F$2:$F$3000,Permissions!$B$2:$B$3000,$A6,Permissions!$H$2:$H$3000,"Expired – not started",Permissions!$I$2:$I$3000,"Yes")</f>
        <v>0</v>
      </c>
      <c r="Z6" s="19" t="n">
        <f aca="false">SUMIFS(Permissions!$F$2:$F$3000,Permissions!$B$2:$B$3000,$A6,Permissions!$H$2:$H$3000,"In planning",Permissions!$I$2:$I$3000,"Yes")</f>
        <v>0</v>
      </c>
      <c r="AA6" s="19" t="n">
        <f aca="false">IF(N6="",0,MAX(N6-X6,0))</f>
        <v>0</v>
      </c>
      <c r="AB6" s="20" t="n">
        <f aca="false">X6+AA6</f>
        <v>371</v>
      </c>
      <c r="AC6" s="19" t="n">
        <f aca="false">AB6-T6</f>
        <v>371</v>
      </c>
      <c r="AD6" s="21" t="n">
        <f aca="false">SUMIFS(Permissions!$T$2:$T$3000,Permissions!$B$2:$B$3000,$A6,Permissions!$I$2:$I$3000,"Yes")</f>
        <v>20.6</v>
      </c>
      <c r="AE6" s="21" t="n">
        <f aca="false">SUMIFS(Permissions!$U$2:$U$3000,Permissions!$B$2:$B$3000,$A6,Permissions!$I$2:$I$3000,"Yes")</f>
        <v>88.5</v>
      </c>
      <c r="AF6" s="21" t="n">
        <f aca="false">SUMIFS(Permissions!$V$2:$V$3000,Permissions!$B$2:$B$3000,$A6,Permissions!$I$2:$I$3000,"Yes")</f>
        <v>88.5</v>
      </c>
      <c r="AG6" s="21" t="n">
        <f aca="false">SUMIFS(Permissions!$W$2:$W$3000,Permissions!$B$2:$B$3000,$A6,Permissions!$I$2:$I$3000,"Yes")</f>
        <v>88.5</v>
      </c>
      <c r="AH6" s="21" t="n">
        <f aca="false">SUMIFS(Permissions!$X$2:$X$3000,Permissions!$B$2:$B$3000,$A6,Permissions!$I$2:$I$3000,"Yes")</f>
        <v>84.9</v>
      </c>
      <c r="AI6" s="21" t="n">
        <f aca="false">SUMIFS(Permissions!$Y$2:$Y$3000,Permissions!$B$2:$B$3000,$A6,Permissions!$I$2:$I$3000,"Yes")</f>
        <v>0</v>
      </c>
      <c r="AJ6" s="19" t="n">
        <f aca="false">COUNTIFS(Permissions!$B$2:$B$3000,$A6,Permissions!$I$2:$I$3000,"Yes")</f>
        <v>1</v>
      </c>
      <c r="AK6" s="22" t="str">
        <f aca="false">IF(AND(N6&lt;&gt;"",X6&gt;1.1*N6),"Consented above capacity",IF(AND(LEFT(B6,8)="Planning",AJ6=0),"Consent parcel with no permission",IF(COUNTIF($A$2:$A$3000,$A6)&gt;1,"Duplicate parcel_id","")))</f>
        <v>Consented above capacity</v>
      </c>
    </row>
    <row r="7" customFormat="false" ht="15" hidden="false" customHeight="false" outlineLevel="0" collapsed="false">
      <c r="A7" s="18" t="s">
        <v>110</v>
      </c>
      <c r="B7" s="18" t="s">
        <v>10</v>
      </c>
      <c r="C7" s="18" t="s">
        <v>15</v>
      </c>
      <c r="D7" s="18" t="n">
        <v>1</v>
      </c>
      <c r="E7" s="18" t="s">
        <v>111</v>
      </c>
      <c r="F7" s="18" t="s">
        <v>112</v>
      </c>
      <c r="G7" s="18" t="s">
        <v>113</v>
      </c>
      <c r="H7" s="18" t="s">
        <v>105</v>
      </c>
      <c r="I7" s="18" t="s">
        <v>92</v>
      </c>
      <c r="J7" s="18" t="s">
        <v>114</v>
      </c>
      <c r="K7" s="18" t="s">
        <v>115</v>
      </c>
      <c r="L7" s="18" t="n">
        <v>2.408</v>
      </c>
      <c r="M7" s="18" t="n">
        <v>2.4</v>
      </c>
      <c r="N7" s="18" t="n">
        <v>165</v>
      </c>
      <c r="O7" s="18" t="s">
        <v>95</v>
      </c>
      <c r="P7" s="18" t="s">
        <v>116</v>
      </c>
      <c r="Q7" s="18" t="s">
        <v>97</v>
      </c>
      <c r="R7" s="18" t="s">
        <v>98</v>
      </c>
      <c r="S7" s="18"/>
      <c r="T7" s="19" t="n">
        <f aca="false">SUMIFS(Permissions!$F$2:$F$3000,Permissions!$B$2:$B$3000,$A7,Permissions!$H$2:$H$3000,"Complete",Permissions!$I$2:$I$3000,"Yes")</f>
        <v>0</v>
      </c>
      <c r="U7" s="19" t="n">
        <f aca="false">SUMIFS(Permissions!$F$2:$F$3000,Permissions!$B$2:$B$3000,$A7,Permissions!$H$2:$H$3000,"Under construction",Permissions!$I$2:$I$3000,"Yes")</f>
        <v>0</v>
      </c>
      <c r="V7" s="19" t="n">
        <f aca="false">SUMIFS(Permissions!$F$2:$F$3000,Permissions!$B$2:$B$3000,$A7,Permissions!$H$2:$H$3000,"Permitted – not started",Permissions!$I$2:$I$3000,"Yes")</f>
        <v>165</v>
      </c>
      <c r="W7" s="19" t="n">
        <f aca="false">SUMIFS(Permissions!$F$2:$F$3000,Permissions!$B$2:$B$3000,$A7,Permissions!$H$2:$H$3000,"Stalled",Permissions!$I$2:$I$3000,"Yes")</f>
        <v>0</v>
      </c>
      <c r="X7" s="19" t="n">
        <f aca="false">T7+U7+V7+W7</f>
        <v>165</v>
      </c>
      <c r="Y7" s="19" t="n">
        <f aca="false">SUMIFS(Permissions!$F$2:$F$3000,Permissions!$B$2:$B$3000,$A7,Permissions!$H$2:$H$3000,"Expired – not started",Permissions!$I$2:$I$3000,"Yes")</f>
        <v>0</v>
      </c>
      <c r="Z7" s="19" t="n">
        <f aca="false">SUMIFS(Permissions!$F$2:$F$3000,Permissions!$B$2:$B$3000,$A7,Permissions!$H$2:$H$3000,"In planning",Permissions!$I$2:$I$3000,"Yes")</f>
        <v>0</v>
      </c>
      <c r="AA7" s="19" t="n">
        <f aca="false">IF(N7="",0,MAX(N7-X7,0))</f>
        <v>0</v>
      </c>
      <c r="AB7" s="20" t="n">
        <f aca="false">X7+AA7</f>
        <v>165</v>
      </c>
      <c r="AC7" s="19" t="n">
        <f aca="false">AB7-T7</f>
        <v>165</v>
      </c>
      <c r="AD7" s="21" t="n">
        <f aca="false">SUMIFS(Permissions!$T$2:$T$3000,Permissions!$B$2:$B$3000,$A7,Permissions!$I$2:$I$3000,"Yes")</f>
        <v>0</v>
      </c>
      <c r="AE7" s="21" t="n">
        <f aca="false">SUMIFS(Permissions!$U$2:$U$3000,Permissions!$B$2:$B$3000,$A7,Permissions!$I$2:$I$3000,"Yes")</f>
        <v>0</v>
      </c>
      <c r="AF7" s="21" t="n">
        <f aca="false">SUMIFS(Permissions!$V$2:$V$3000,Permissions!$B$2:$B$3000,$A7,Permissions!$I$2:$I$3000,"Yes")</f>
        <v>34.9</v>
      </c>
      <c r="AG7" s="21" t="n">
        <f aca="false">SUMIFS(Permissions!$W$2:$W$3000,Permissions!$B$2:$B$3000,$A7,Permissions!$I$2:$I$3000,"Yes")</f>
        <v>72.3</v>
      </c>
      <c r="AH7" s="21" t="n">
        <f aca="false">SUMIFS(Permissions!$X$2:$X$3000,Permissions!$B$2:$B$3000,$A7,Permissions!$I$2:$I$3000,"Yes")</f>
        <v>57.8</v>
      </c>
      <c r="AI7" s="21" t="n">
        <f aca="false">SUMIFS(Permissions!$Y$2:$Y$3000,Permissions!$B$2:$B$3000,$A7,Permissions!$I$2:$I$3000,"Yes")</f>
        <v>0</v>
      </c>
      <c r="AJ7" s="19" t="n">
        <f aca="false">COUNTIFS(Permissions!$B$2:$B$3000,$A7,Permissions!$I$2:$I$3000,"Yes")</f>
        <v>1</v>
      </c>
      <c r="AK7" s="22" t="str">
        <f aca="false">IF(AND(N7&lt;&gt;"",X7&gt;1.1*N7),"Consented above capacity",IF(AND(LEFT(B7,8)="Planning",AJ7=0),"Consent parcel with no permission",IF(COUNTIF($A$2:$A$3000,$A7)&gt;1,"Duplicate parcel_id","")))</f>
        <v/>
      </c>
    </row>
    <row r="8" customFormat="false" ht="15" hidden="false" customHeight="false" outlineLevel="0" collapsed="false">
      <c r="A8" s="18" t="s">
        <v>117</v>
      </c>
      <c r="B8" s="18" t="s">
        <v>10</v>
      </c>
      <c r="C8" s="18" t="s">
        <v>15</v>
      </c>
      <c r="D8" s="18" t="n">
        <v>10</v>
      </c>
      <c r="E8" s="18" t="s">
        <v>111</v>
      </c>
      <c r="F8" s="18" t="s">
        <v>112</v>
      </c>
      <c r="G8" s="18" t="s">
        <v>113</v>
      </c>
      <c r="H8" s="18" t="s">
        <v>91</v>
      </c>
      <c r="I8" s="18" t="s">
        <v>100</v>
      </c>
      <c r="J8" s="18" t="s">
        <v>101</v>
      </c>
      <c r="K8" s="18" t="s">
        <v>94</v>
      </c>
      <c r="L8" s="18" t="n">
        <v>1.991</v>
      </c>
      <c r="M8" s="18" t="n">
        <v>1.991</v>
      </c>
      <c r="N8" s="18" t="n">
        <v>90</v>
      </c>
      <c r="O8" s="18" t="s">
        <v>95</v>
      </c>
      <c r="P8" s="18" t="s">
        <v>96</v>
      </c>
      <c r="Q8" s="18" t="s">
        <v>97</v>
      </c>
      <c r="R8" s="18" t="s">
        <v>98</v>
      </c>
      <c r="S8" s="18"/>
      <c r="T8" s="19" t="n">
        <f aca="false">SUMIFS(Permissions!$F$2:$F$3000,Permissions!$B$2:$B$3000,$A8,Permissions!$H$2:$H$3000,"Complete",Permissions!$I$2:$I$3000,"Yes")</f>
        <v>0</v>
      </c>
      <c r="U8" s="19" t="n">
        <f aca="false">SUMIFS(Permissions!$F$2:$F$3000,Permissions!$B$2:$B$3000,$A8,Permissions!$H$2:$H$3000,"Under construction",Permissions!$I$2:$I$3000,"Yes")</f>
        <v>0</v>
      </c>
      <c r="V8" s="19" t="n">
        <f aca="false">SUMIFS(Permissions!$F$2:$F$3000,Permissions!$B$2:$B$3000,$A8,Permissions!$H$2:$H$3000,"Permitted – not started",Permissions!$I$2:$I$3000,"Yes")</f>
        <v>0</v>
      </c>
      <c r="W8" s="19" t="n">
        <f aca="false">SUMIFS(Permissions!$F$2:$F$3000,Permissions!$B$2:$B$3000,$A8,Permissions!$H$2:$H$3000,"Stalled",Permissions!$I$2:$I$3000,"Yes")</f>
        <v>0</v>
      </c>
      <c r="X8" s="19" t="n">
        <f aca="false">T8+U8+V8+W8</f>
        <v>0</v>
      </c>
      <c r="Y8" s="19" t="n">
        <f aca="false">SUMIFS(Permissions!$F$2:$F$3000,Permissions!$B$2:$B$3000,$A8,Permissions!$H$2:$H$3000,"Expired – not started",Permissions!$I$2:$I$3000,"Yes")</f>
        <v>0</v>
      </c>
      <c r="Z8" s="19" t="n">
        <f aca="false">SUMIFS(Permissions!$F$2:$F$3000,Permissions!$B$2:$B$3000,$A8,Permissions!$H$2:$H$3000,"In planning",Permissions!$I$2:$I$3000,"Yes")</f>
        <v>0</v>
      </c>
      <c r="AA8" s="19" t="n">
        <f aca="false">IF(N8="",0,MAX(N8-X8,0))</f>
        <v>90</v>
      </c>
      <c r="AB8" s="20" t="n">
        <f aca="false">X8+AA8</f>
        <v>90</v>
      </c>
      <c r="AC8" s="19" t="n">
        <f aca="false">AB8-T8</f>
        <v>90</v>
      </c>
      <c r="AD8" s="21" t="n">
        <f aca="false">SUMIFS(Permissions!$T$2:$T$3000,Permissions!$B$2:$B$3000,$A8,Permissions!$I$2:$I$3000,"Yes")</f>
        <v>0</v>
      </c>
      <c r="AE8" s="21" t="n">
        <f aca="false">SUMIFS(Permissions!$U$2:$U$3000,Permissions!$B$2:$B$3000,$A8,Permissions!$I$2:$I$3000,"Yes")</f>
        <v>0</v>
      </c>
      <c r="AF8" s="21" t="n">
        <f aca="false">SUMIFS(Permissions!$V$2:$V$3000,Permissions!$B$2:$B$3000,$A8,Permissions!$I$2:$I$3000,"Yes")</f>
        <v>0</v>
      </c>
      <c r="AG8" s="21" t="n">
        <f aca="false">SUMIFS(Permissions!$W$2:$W$3000,Permissions!$B$2:$B$3000,$A8,Permissions!$I$2:$I$3000,"Yes")</f>
        <v>0</v>
      </c>
      <c r="AH8" s="21" t="n">
        <f aca="false">SUMIFS(Permissions!$X$2:$X$3000,Permissions!$B$2:$B$3000,$A8,Permissions!$I$2:$I$3000,"Yes")</f>
        <v>0</v>
      </c>
      <c r="AI8" s="21" t="n">
        <f aca="false">SUMIFS(Permissions!$Y$2:$Y$3000,Permissions!$B$2:$B$3000,$A8,Permissions!$I$2:$I$3000,"Yes")</f>
        <v>0</v>
      </c>
      <c r="AJ8" s="19" t="n">
        <f aca="false">COUNTIFS(Permissions!$B$2:$B$3000,$A8,Permissions!$I$2:$I$3000,"Yes")</f>
        <v>0</v>
      </c>
      <c r="AK8" s="22" t="str">
        <f aca="false">IF(AND(N8&lt;&gt;"",X8&gt;1.1*N8),"Consented above capacity",IF(AND(LEFT(B8,8)="Planning",AJ8=0),"Consent parcel with no permission",IF(COUNTIF($A$2:$A$3000,$A8)&gt;1,"Duplicate parcel_id","")))</f>
        <v/>
      </c>
    </row>
    <row r="9" customFormat="false" ht="15" hidden="false" customHeight="false" outlineLevel="0" collapsed="false">
      <c r="A9" s="18" t="s">
        <v>118</v>
      </c>
      <c r="B9" s="18" t="s">
        <v>10</v>
      </c>
      <c r="C9" s="18" t="s">
        <v>15</v>
      </c>
      <c r="D9" s="18" t="n">
        <v>12</v>
      </c>
      <c r="E9" s="18" t="s">
        <v>111</v>
      </c>
      <c r="F9" s="18" t="s">
        <v>112</v>
      </c>
      <c r="G9" s="18" t="s">
        <v>113</v>
      </c>
      <c r="H9" s="18" t="s">
        <v>119</v>
      </c>
      <c r="I9" s="18" t="s">
        <v>120</v>
      </c>
      <c r="J9" s="18" t="s">
        <v>114</v>
      </c>
      <c r="K9" s="18" t="s">
        <v>121</v>
      </c>
      <c r="L9" s="18" t="n">
        <v>9.431</v>
      </c>
      <c r="M9" s="18" t="n">
        <v>9.427</v>
      </c>
      <c r="N9" s="18" t="n">
        <v>73</v>
      </c>
      <c r="O9" s="18" t="s">
        <v>95</v>
      </c>
      <c r="P9" s="18" t="s">
        <v>116</v>
      </c>
      <c r="Q9" s="18" t="s">
        <v>122</v>
      </c>
      <c r="R9" s="18" t="s">
        <v>98</v>
      </c>
      <c r="S9" s="18"/>
      <c r="T9" s="19" t="n">
        <f aca="false">SUMIFS(Permissions!$F$2:$F$3000,Permissions!$B$2:$B$3000,$A9,Permissions!$H$2:$H$3000,"Complete",Permissions!$I$2:$I$3000,"Yes")</f>
        <v>0</v>
      </c>
      <c r="U9" s="19" t="n">
        <f aca="false">SUMIFS(Permissions!$F$2:$F$3000,Permissions!$B$2:$B$3000,$A9,Permissions!$H$2:$H$3000,"Under construction",Permissions!$I$2:$I$3000,"Yes")</f>
        <v>115</v>
      </c>
      <c r="V9" s="19" t="n">
        <f aca="false">SUMIFS(Permissions!$F$2:$F$3000,Permissions!$B$2:$B$3000,$A9,Permissions!$H$2:$H$3000,"Permitted – not started",Permissions!$I$2:$I$3000,"Yes")</f>
        <v>0</v>
      </c>
      <c r="W9" s="19" t="n">
        <f aca="false">SUMIFS(Permissions!$F$2:$F$3000,Permissions!$B$2:$B$3000,$A9,Permissions!$H$2:$H$3000,"Stalled",Permissions!$I$2:$I$3000,"Yes")</f>
        <v>0</v>
      </c>
      <c r="X9" s="19" t="n">
        <f aca="false">T9+U9+V9+W9</f>
        <v>115</v>
      </c>
      <c r="Y9" s="19" t="n">
        <f aca="false">SUMIFS(Permissions!$F$2:$F$3000,Permissions!$B$2:$B$3000,$A9,Permissions!$H$2:$H$3000,"Expired – not started",Permissions!$I$2:$I$3000,"Yes")</f>
        <v>0</v>
      </c>
      <c r="Z9" s="19" t="n">
        <f aca="false">SUMIFS(Permissions!$F$2:$F$3000,Permissions!$B$2:$B$3000,$A9,Permissions!$H$2:$H$3000,"In planning",Permissions!$I$2:$I$3000,"Yes")</f>
        <v>0</v>
      </c>
      <c r="AA9" s="19" t="n">
        <f aca="false">IF(N9="",0,MAX(N9-X9,0))</f>
        <v>0</v>
      </c>
      <c r="AB9" s="20" t="n">
        <f aca="false">X9+AA9</f>
        <v>115</v>
      </c>
      <c r="AC9" s="19" t="n">
        <f aca="false">AB9-T9</f>
        <v>115</v>
      </c>
      <c r="AD9" s="21" t="n">
        <f aca="false">SUMIFS(Permissions!$T$2:$T$3000,Permissions!$B$2:$B$3000,$A9,Permissions!$I$2:$I$3000,"Yes")</f>
        <v>0</v>
      </c>
      <c r="AE9" s="21" t="n">
        <f aca="false">SUMIFS(Permissions!$U$2:$U$3000,Permissions!$B$2:$B$3000,$A9,Permissions!$I$2:$I$3000,"Yes")</f>
        <v>51.6</v>
      </c>
      <c r="AF9" s="21" t="n">
        <f aca="false">SUMIFS(Permissions!$V$2:$V$3000,Permissions!$B$2:$B$3000,$A9,Permissions!$I$2:$I$3000,"Yes")</f>
        <v>63.4</v>
      </c>
      <c r="AG9" s="21" t="n">
        <f aca="false">SUMIFS(Permissions!$W$2:$W$3000,Permissions!$B$2:$B$3000,$A9,Permissions!$I$2:$I$3000,"Yes")</f>
        <v>0</v>
      </c>
      <c r="AH9" s="21" t="n">
        <f aca="false">SUMIFS(Permissions!$X$2:$X$3000,Permissions!$B$2:$B$3000,$A9,Permissions!$I$2:$I$3000,"Yes")</f>
        <v>0</v>
      </c>
      <c r="AI9" s="21" t="n">
        <f aca="false">SUMIFS(Permissions!$Y$2:$Y$3000,Permissions!$B$2:$B$3000,$A9,Permissions!$I$2:$I$3000,"Yes")</f>
        <v>0</v>
      </c>
      <c r="AJ9" s="19" t="n">
        <f aca="false">COUNTIFS(Permissions!$B$2:$B$3000,$A9,Permissions!$I$2:$I$3000,"Yes")</f>
        <v>1</v>
      </c>
      <c r="AK9" s="22" t="str">
        <f aca="false">IF(AND(N9&lt;&gt;"",X9&gt;1.1*N9),"Consented above capacity",IF(AND(LEFT(B9,8)="Planning",AJ9=0),"Consent parcel with no permission",IF(COUNTIF($A$2:$A$3000,$A9)&gt;1,"Duplicate parcel_id","")))</f>
        <v>Consented above capacity</v>
      </c>
    </row>
    <row r="10" customFormat="false" ht="15" hidden="false" customHeight="false" outlineLevel="0" collapsed="false">
      <c r="A10" s="18" t="s">
        <v>123</v>
      </c>
      <c r="B10" s="18" t="s">
        <v>10</v>
      </c>
      <c r="C10" s="18" t="s">
        <v>15</v>
      </c>
      <c r="D10" s="18" t="n">
        <v>13</v>
      </c>
      <c r="E10" s="18" t="s">
        <v>111</v>
      </c>
      <c r="F10" s="18" t="s">
        <v>112</v>
      </c>
      <c r="G10" s="18" t="s">
        <v>113</v>
      </c>
      <c r="H10" s="18" t="s">
        <v>91</v>
      </c>
      <c r="I10" s="18" t="s">
        <v>100</v>
      </c>
      <c r="J10" s="18" t="s">
        <v>101</v>
      </c>
      <c r="K10" s="18" t="s">
        <v>94</v>
      </c>
      <c r="L10" s="18" t="n">
        <v>0.899</v>
      </c>
      <c r="M10" s="18" t="n">
        <v>0.899</v>
      </c>
      <c r="N10" s="18" t="n">
        <v>40</v>
      </c>
      <c r="O10" s="18" t="s">
        <v>95</v>
      </c>
      <c r="P10" s="18" t="s">
        <v>96</v>
      </c>
      <c r="Q10" s="18" t="s">
        <v>97</v>
      </c>
      <c r="R10" s="18" t="s">
        <v>98</v>
      </c>
      <c r="S10" s="18"/>
      <c r="T10" s="19" t="n">
        <f aca="false">SUMIFS(Permissions!$F$2:$F$3000,Permissions!$B$2:$B$3000,$A10,Permissions!$H$2:$H$3000,"Complete",Permissions!$I$2:$I$3000,"Yes")</f>
        <v>0</v>
      </c>
      <c r="U10" s="19" t="n">
        <f aca="false">SUMIFS(Permissions!$F$2:$F$3000,Permissions!$B$2:$B$3000,$A10,Permissions!$H$2:$H$3000,"Under construction",Permissions!$I$2:$I$3000,"Yes")</f>
        <v>0</v>
      </c>
      <c r="V10" s="19" t="n">
        <f aca="false">SUMIFS(Permissions!$F$2:$F$3000,Permissions!$B$2:$B$3000,$A10,Permissions!$H$2:$H$3000,"Permitted – not started",Permissions!$I$2:$I$3000,"Yes")</f>
        <v>0</v>
      </c>
      <c r="W10" s="19" t="n">
        <f aca="false">SUMIFS(Permissions!$F$2:$F$3000,Permissions!$B$2:$B$3000,$A10,Permissions!$H$2:$H$3000,"Stalled",Permissions!$I$2:$I$3000,"Yes")</f>
        <v>0</v>
      </c>
      <c r="X10" s="19" t="n">
        <f aca="false">T10+U10+V10+W10</f>
        <v>0</v>
      </c>
      <c r="Y10" s="19" t="n">
        <f aca="false">SUMIFS(Permissions!$F$2:$F$3000,Permissions!$B$2:$B$3000,$A10,Permissions!$H$2:$H$3000,"Expired – not started",Permissions!$I$2:$I$3000,"Yes")</f>
        <v>0</v>
      </c>
      <c r="Z10" s="19" t="n">
        <f aca="false">SUMIFS(Permissions!$F$2:$F$3000,Permissions!$B$2:$B$3000,$A10,Permissions!$H$2:$H$3000,"In planning",Permissions!$I$2:$I$3000,"Yes")</f>
        <v>0</v>
      </c>
      <c r="AA10" s="19" t="n">
        <f aca="false">IF(N10="",0,MAX(N10-X10,0))</f>
        <v>40</v>
      </c>
      <c r="AB10" s="20" t="n">
        <f aca="false">X10+AA10</f>
        <v>40</v>
      </c>
      <c r="AC10" s="19" t="n">
        <f aca="false">AB10-T10</f>
        <v>40</v>
      </c>
      <c r="AD10" s="21" t="n">
        <f aca="false">SUMIFS(Permissions!$T$2:$T$3000,Permissions!$B$2:$B$3000,$A10,Permissions!$I$2:$I$3000,"Yes")</f>
        <v>0</v>
      </c>
      <c r="AE10" s="21" t="n">
        <f aca="false">SUMIFS(Permissions!$U$2:$U$3000,Permissions!$B$2:$B$3000,$A10,Permissions!$I$2:$I$3000,"Yes")</f>
        <v>0</v>
      </c>
      <c r="AF10" s="21" t="n">
        <f aca="false">SUMIFS(Permissions!$V$2:$V$3000,Permissions!$B$2:$B$3000,$A10,Permissions!$I$2:$I$3000,"Yes")</f>
        <v>0</v>
      </c>
      <c r="AG10" s="21" t="n">
        <f aca="false">SUMIFS(Permissions!$W$2:$W$3000,Permissions!$B$2:$B$3000,$A10,Permissions!$I$2:$I$3000,"Yes")</f>
        <v>0</v>
      </c>
      <c r="AH10" s="21" t="n">
        <f aca="false">SUMIFS(Permissions!$X$2:$X$3000,Permissions!$B$2:$B$3000,$A10,Permissions!$I$2:$I$3000,"Yes")</f>
        <v>0</v>
      </c>
      <c r="AI10" s="21" t="n">
        <f aca="false">SUMIFS(Permissions!$Y$2:$Y$3000,Permissions!$B$2:$B$3000,$A10,Permissions!$I$2:$I$3000,"Yes")</f>
        <v>0</v>
      </c>
      <c r="AJ10" s="19" t="n">
        <f aca="false">COUNTIFS(Permissions!$B$2:$B$3000,$A10,Permissions!$I$2:$I$3000,"Yes")</f>
        <v>0</v>
      </c>
      <c r="AK10" s="22" t="str">
        <f aca="false">IF(AND(N10&lt;&gt;"",X10&gt;1.1*N10),"Consented above capacity",IF(AND(LEFT(B10,8)="Planning",AJ10=0),"Consent parcel with no permission",IF(COUNTIF($A$2:$A$3000,$A10)&gt;1,"Duplicate parcel_id","")))</f>
        <v/>
      </c>
    </row>
    <row r="11" customFormat="false" ht="15" hidden="false" customHeight="false" outlineLevel="0" collapsed="false">
      <c r="A11" s="18" t="s">
        <v>124</v>
      </c>
      <c r="B11" s="18" t="s">
        <v>10</v>
      </c>
      <c r="C11" s="18" t="s">
        <v>15</v>
      </c>
      <c r="D11" s="18" t="n">
        <v>14</v>
      </c>
      <c r="E11" s="18" t="s">
        <v>111</v>
      </c>
      <c r="F11" s="18" t="s">
        <v>112</v>
      </c>
      <c r="G11" s="18" t="s">
        <v>113</v>
      </c>
      <c r="H11" s="18" t="s">
        <v>91</v>
      </c>
      <c r="I11" s="18" t="s">
        <v>100</v>
      </c>
      <c r="J11" s="18" t="s">
        <v>101</v>
      </c>
      <c r="K11" s="18" t="s">
        <v>94</v>
      </c>
      <c r="L11" s="18" t="n">
        <v>0.654</v>
      </c>
      <c r="M11" s="18" t="n">
        <v>2.014</v>
      </c>
      <c r="N11" s="18" t="n">
        <v>30</v>
      </c>
      <c r="O11" s="18" t="s">
        <v>95</v>
      </c>
      <c r="P11" s="18" t="s">
        <v>108</v>
      </c>
      <c r="Q11" s="18" t="s">
        <v>109</v>
      </c>
      <c r="R11" s="18" t="s">
        <v>98</v>
      </c>
      <c r="S11" s="18"/>
      <c r="T11" s="19" t="n">
        <f aca="false">SUMIFS(Permissions!$F$2:$F$3000,Permissions!$B$2:$B$3000,$A11,Permissions!$H$2:$H$3000,"Complete",Permissions!$I$2:$I$3000,"Yes")</f>
        <v>0</v>
      </c>
      <c r="U11" s="19" t="n">
        <f aca="false">SUMIFS(Permissions!$F$2:$F$3000,Permissions!$B$2:$B$3000,$A11,Permissions!$H$2:$H$3000,"Under construction",Permissions!$I$2:$I$3000,"Yes")</f>
        <v>0</v>
      </c>
      <c r="V11" s="19" t="n">
        <f aca="false">SUMIFS(Permissions!$F$2:$F$3000,Permissions!$B$2:$B$3000,$A11,Permissions!$H$2:$H$3000,"Permitted – not started",Permissions!$I$2:$I$3000,"Yes")</f>
        <v>0</v>
      </c>
      <c r="W11" s="19" t="n">
        <f aca="false">SUMIFS(Permissions!$F$2:$F$3000,Permissions!$B$2:$B$3000,$A11,Permissions!$H$2:$H$3000,"Stalled",Permissions!$I$2:$I$3000,"Yes")</f>
        <v>0</v>
      </c>
      <c r="X11" s="19" t="n">
        <f aca="false">T11+U11+V11+W11</f>
        <v>0</v>
      </c>
      <c r="Y11" s="19" t="n">
        <f aca="false">SUMIFS(Permissions!$F$2:$F$3000,Permissions!$B$2:$B$3000,$A11,Permissions!$H$2:$H$3000,"Expired – not started",Permissions!$I$2:$I$3000,"Yes")</f>
        <v>0</v>
      </c>
      <c r="Z11" s="19" t="n">
        <f aca="false">SUMIFS(Permissions!$F$2:$F$3000,Permissions!$B$2:$B$3000,$A11,Permissions!$H$2:$H$3000,"In planning",Permissions!$I$2:$I$3000,"Yes")</f>
        <v>0</v>
      </c>
      <c r="AA11" s="19" t="n">
        <f aca="false">IF(N11="",0,MAX(N11-X11,0))</f>
        <v>30</v>
      </c>
      <c r="AB11" s="20" t="n">
        <f aca="false">X11+AA11</f>
        <v>30</v>
      </c>
      <c r="AC11" s="19" t="n">
        <f aca="false">AB11-T11</f>
        <v>30</v>
      </c>
      <c r="AD11" s="21" t="n">
        <f aca="false">SUMIFS(Permissions!$T$2:$T$3000,Permissions!$B$2:$B$3000,$A11,Permissions!$I$2:$I$3000,"Yes")</f>
        <v>0</v>
      </c>
      <c r="AE11" s="21" t="n">
        <f aca="false">SUMIFS(Permissions!$U$2:$U$3000,Permissions!$B$2:$B$3000,$A11,Permissions!$I$2:$I$3000,"Yes")</f>
        <v>0</v>
      </c>
      <c r="AF11" s="21" t="n">
        <f aca="false">SUMIFS(Permissions!$V$2:$V$3000,Permissions!$B$2:$B$3000,$A11,Permissions!$I$2:$I$3000,"Yes")</f>
        <v>0</v>
      </c>
      <c r="AG11" s="21" t="n">
        <f aca="false">SUMIFS(Permissions!$W$2:$W$3000,Permissions!$B$2:$B$3000,$A11,Permissions!$I$2:$I$3000,"Yes")</f>
        <v>0</v>
      </c>
      <c r="AH11" s="21" t="n">
        <f aca="false">SUMIFS(Permissions!$X$2:$X$3000,Permissions!$B$2:$B$3000,$A11,Permissions!$I$2:$I$3000,"Yes")</f>
        <v>0</v>
      </c>
      <c r="AI11" s="21" t="n">
        <f aca="false">SUMIFS(Permissions!$Y$2:$Y$3000,Permissions!$B$2:$B$3000,$A11,Permissions!$I$2:$I$3000,"Yes")</f>
        <v>0</v>
      </c>
      <c r="AJ11" s="19" t="n">
        <f aca="false">COUNTIFS(Permissions!$B$2:$B$3000,$A11,Permissions!$I$2:$I$3000,"Yes")</f>
        <v>0</v>
      </c>
      <c r="AK11" s="22" t="str">
        <f aca="false">IF(AND(N11&lt;&gt;"",X11&gt;1.1*N11),"Consented above capacity",IF(AND(LEFT(B11,8)="Planning",AJ11=0),"Consent parcel with no permission",IF(COUNTIF($A$2:$A$3000,$A11)&gt;1,"Duplicate parcel_id","")))</f>
        <v/>
      </c>
    </row>
    <row r="12" customFormat="false" ht="15" hidden="false" customHeight="false" outlineLevel="0" collapsed="false">
      <c r="A12" s="18" t="s">
        <v>125</v>
      </c>
      <c r="B12" s="18" t="s">
        <v>10</v>
      </c>
      <c r="C12" s="18" t="s">
        <v>15</v>
      </c>
      <c r="D12" s="18" t="n">
        <v>15</v>
      </c>
      <c r="E12" s="18" t="s">
        <v>111</v>
      </c>
      <c r="F12" s="18" t="s">
        <v>112</v>
      </c>
      <c r="G12" s="18" t="s">
        <v>113</v>
      </c>
      <c r="H12" s="18" t="s">
        <v>91</v>
      </c>
      <c r="I12" s="18" t="s">
        <v>92</v>
      </c>
      <c r="J12" s="18" t="s">
        <v>101</v>
      </c>
      <c r="K12" s="18" t="s">
        <v>94</v>
      </c>
      <c r="L12" s="18" t="n">
        <v>3.003</v>
      </c>
      <c r="M12" s="18" t="n">
        <v>3.003</v>
      </c>
      <c r="N12" s="18" t="n">
        <v>135</v>
      </c>
      <c r="O12" s="18" t="s">
        <v>95</v>
      </c>
      <c r="P12" s="18" t="s">
        <v>96</v>
      </c>
      <c r="Q12" s="18" t="s">
        <v>97</v>
      </c>
      <c r="R12" s="18" t="s">
        <v>98</v>
      </c>
      <c r="S12" s="18"/>
      <c r="T12" s="19" t="n">
        <f aca="false">SUMIFS(Permissions!$F$2:$F$3000,Permissions!$B$2:$B$3000,$A12,Permissions!$H$2:$H$3000,"Complete",Permissions!$I$2:$I$3000,"Yes")</f>
        <v>0</v>
      </c>
      <c r="U12" s="19" t="n">
        <f aca="false">SUMIFS(Permissions!$F$2:$F$3000,Permissions!$B$2:$B$3000,$A12,Permissions!$H$2:$H$3000,"Under construction",Permissions!$I$2:$I$3000,"Yes")</f>
        <v>0</v>
      </c>
      <c r="V12" s="19" t="n">
        <f aca="false">SUMIFS(Permissions!$F$2:$F$3000,Permissions!$B$2:$B$3000,$A12,Permissions!$H$2:$H$3000,"Permitted – not started",Permissions!$I$2:$I$3000,"Yes")</f>
        <v>0</v>
      </c>
      <c r="W12" s="19" t="n">
        <f aca="false">SUMIFS(Permissions!$F$2:$F$3000,Permissions!$B$2:$B$3000,$A12,Permissions!$H$2:$H$3000,"Stalled",Permissions!$I$2:$I$3000,"Yes")</f>
        <v>0</v>
      </c>
      <c r="X12" s="19" t="n">
        <f aca="false">T12+U12+V12+W12</f>
        <v>0</v>
      </c>
      <c r="Y12" s="19" t="n">
        <f aca="false">SUMIFS(Permissions!$F$2:$F$3000,Permissions!$B$2:$B$3000,$A12,Permissions!$H$2:$H$3000,"Expired – not started",Permissions!$I$2:$I$3000,"Yes")</f>
        <v>0</v>
      </c>
      <c r="Z12" s="19" t="n">
        <f aca="false">SUMIFS(Permissions!$F$2:$F$3000,Permissions!$B$2:$B$3000,$A12,Permissions!$H$2:$H$3000,"In planning",Permissions!$I$2:$I$3000,"Yes")</f>
        <v>0</v>
      </c>
      <c r="AA12" s="19" t="n">
        <f aca="false">IF(N12="",0,MAX(N12-X12,0))</f>
        <v>135</v>
      </c>
      <c r="AB12" s="20" t="n">
        <f aca="false">X12+AA12</f>
        <v>135</v>
      </c>
      <c r="AC12" s="19" t="n">
        <f aca="false">AB12-T12</f>
        <v>135</v>
      </c>
      <c r="AD12" s="21" t="n">
        <f aca="false">SUMIFS(Permissions!$T$2:$T$3000,Permissions!$B$2:$B$3000,$A12,Permissions!$I$2:$I$3000,"Yes")</f>
        <v>0</v>
      </c>
      <c r="AE12" s="21" t="n">
        <f aca="false">SUMIFS(Permissions!$U$2:$U$3000,Permissions!$B$2:$B$3000,$A12,Permissions!$I$2:$I$3000,"Yes")</f>
        <v>0</v>
      </c>
      <c r="AF12" s="21" t="n">
        <f aca="false">SUMIFS(Permissions!$V$2:$V$3000,Permissions!$B$2:$B$3000,$A12,Permissions!$I$2:$I$3000,"Yes")</f>
        <v>0</v>
      </c>
      <c r="AG12" s="21" t="n">
        <f aca="false">SUMIFS(Permissions!$W$2:$W$3000,Permissions!$B$2:$B$3000,$A12,Permissions!$I$2:$I$3000,"Yes")</f>
        <v>0</v>
      </c>
      <c r="AH12" s="21" t="n">
        <f aca="false">SUMIFS(Permissions!$X$2:$X$3000,Permissions!$B$2:$B$3000,$A12,Permissions!$I$2:$I$3000,"Yes")</f>
        <v>0</v>
      </c>
      <c r="AI12" s="21" t="n">
        <f aca="false">SUMIFS(Permissions!$Y$2:$Y$3000,Permissions!$B$2:$B$3000,$A12,Permissions!$I$2:$I$3000,"Yes")</f>
        <v>0</v>
      </c>
      <c r="AJ12" s="19" t="n">
        <f aca="false">COUNTIFS(Permissions!$B$2:$B$3000,$A12,Permissions!$I$2:$I$3000,"Yes")</f>
        <v>0</v>
      </c>
      <c r="AK12" s="22" t="str">
        <f aca="false">IF(AND(N12&lt;&gt;"",X12&gt;1.1*N12),"Consented above capacity",IF(AND(LEFT(B12,8)="Planning",AJ12=0),"Consent parcel with no permission",IF(COUNTIF($A$2:$A$3000,$A12)&gt;1,"Duplicate parcel_id","")))</f>
        <v/>
      </c>
    </row>
    <row r="13" customFormat="false" ht="15" hidden="false" customHeight="false" outlineLevel="0" collapsed="false">
      <c r="A13" s="18" t="s">
        <v>126</v>
      </c>
      <c r="B13" s="18" t="s">
        <v>10</v>
      </c>
      <c r="C13" s="18" t="s">
        <v>15</v>
      </c>
      <c r="D13" s="18" t="n">
        <v>16</v>
      </c>
      <c r="E13" s="18" t="s">
        <v>111</v>
      </c>
      <c r="F13" s="18" t="s">
        <v>112</v>
      </c>
      <c r="G13" s="18" t="s">
        <v>113</v>
      </c>
      <c r="H13" s="18" t="s">
        <v>91</v>
      </c>
      <c r="I13" s="18" t="s">
        <v>100</v>
      </c>
      <c r="J13" s="18" t="s">
        <v>101</v>
      </c>
      <c r="K13" s="18" t="s">
        <v>94</v>
      </c>
      <c r="L13" s="18" t="n">
        <v>0.436</v>
      </c>
      <c r="M13" s="18" t="n">
        <v>0.436</v>
      </c>
      <c r="N13" s="18" t="n">
        <v>20</v>
      </c>
      <c r="O13" s="18" t="s">
        <v>95</v>
      </c>
      <c r="P13" s="18" t="s">
        <v>96</v>
      </c>
      <c r="Q13" s="18" t="s">
        <v>97</v>
      </c>
      <c r="R13" s="18" t="s">
        <v>98</v>
      </c>
      <c r="S13" s="18"/>
      <c r="T13" s="19" t="n">
        <f aca="false">SUMIFS(Permissions!$F$2:$F$3000,Permissions!$B$2:$B$3000,$A13,Permissions!$H$2:$H$3000,"Complete",Permissions!$I$2:$I$3000,"Yes")</f>
        <v>0</v>
      </c>
      <c r="U13" s="19" t="n">
        <f aca="false">SUMIFS(Permissions!$F$2:$F$3000,Permissions!$B$2:$B$3000,$A13,Permissions!$H$2:$H$3000,"Under construction",Permissions!$I$2:$I$3000,"Yes")</f>
        <v>0</v>
      </c>
      <c r="V13" s="19" t="n">
        <f aca="false">SUMIFS(Permissions!$F$2:$F$3000,Permissions!$B$2:$B$3000,$A13,Permissions!$H$2:$H$3000,"Permitted – not started",Permissions!$I$2:$I$3000,"Yes")</f>
        <v>0</v>
      </c>
      <c r="W13" s="19" t="n">
        <f aca="false">SUMIFS(Permissions!$F$2:$F$3000,Permissions!$B$2:$B$3000,$A13,Permissions!$H$2:$H$3000,"Stalled",Permissions!$I$2:$I$3000,"Yes")</f>
        <v>0</v>
      </c>
      <c r="X13" s="19" t="n">
        <f aca="false">T13+U13+V13+W13</f>
        <v>0</v>
      </c>
      <c r="Y13" s="19" t="n">
        <f aca="false">SUMIFS(Permissions!$F$2:$F$3000,Permissions!$B$2:$B$3000,$A13,Permissions!$H$2:$H$3000,"Expired – not started",Permissions!$I$2:$I$3000,"Yes")</f>
        <v>0</v>
      </c>
      <c r="Z13" s="19" t="n">
        <f aca="false">SUMIFS(Permissions!$F$2:$F$3000,Permissions!$B$2:$B$3000,$A13,Permissions!$H$2:$H$3000,"In planning",Permissions!$I$2:$I$3000,"Yes")</f>
        <v>0</v>
      </c>
      <c r="AA13" s="19" t="n">
        <f aca="false">IF(N13="",0,MAX(N13-X13,0))</f>
        <v>20</v>
      </c>
      <c r="AB13" s="20" t="n">
        <f aca="false">X13+AA13</f>
        <v>20</v>
      </c>
      <c r="AC13" s="19" t="n">
        <f aca="false">AB13-T13</f>
        <v>20</v>
      </c>
      <c r="AD13" s="21" t="n">
        <f aca="false">SUMIFS(Permissions!$T$2:$T$3000,Permissions!$B$2:$B$3000,$A13,Permissions!$I$2:$I$3000,"Yes")</f>
        <v>0</v>
      </c>
      <c r="AE13" s="21" t="n">
        <f aca="false">SUMIFS(Permissions!$U$2:$U$3000,Permissions!$B$2:$B$3000,$A13,Permissions!$I$2:$I$3000,"Yes")</f>
        <v>0</v>
      </c>
      <c r="AF13" s="21" t="n">
        <f aca="false">SUMIFS(Permissions!$V$2:$V$3000,Permissions!$B$2:$B$3000,$A13,Permissions!$I$2:$I$3000,"Yes")</f>
        <v>0</v>
      </c>
      <c r="AG13" s="21" t="n">
        <f aca="false">SUMIFS(Permissions!$W$2:$W$3000,Permissions!$B$2:$B$3000,$A13,Permissions!$I$2:$I$3000,"Yes")</f>
        <v>0</v>
      </c>
      <c r="AH13" s="21" t="n">
        <f aca="false">SUMIFS(Permissions!$X$2:$X$3000,Permissions!$B$2:$B$3000,$A13,Permissions!$I$2:$I$3000,"Yes")</f>
        <v>0</v>
      </c>
      <c r="AI13" s="21" t="n">
        <f aca="false">SUMIFS(Permissions!$Y$2:$Y$3000,Permissions!$B$2:$B$3000,$A13,Permissions!$I$2:$I$3000,"Yes")</f>
        <v>0</v>
      </c>
      <c r="AJ13" s="19" t="n">
        <f aca="false">COUNTIFS(Permissions!$B$2:$B$3000,$A13,Permissions!$I$2:$I$3000,"Yes")</f>
        <v>0</v>
      </c>
      <c r="AK13" s="22" t="str">
        <f aca="false">IF(AND(N13&lt;&gt;"",X13&gt;1.1*N13),"Consented above capacity",IF(AND(LEFT(B13,8)="Planning",AJ13=0),"Consent parcel with no permission",IF(COUNTIF($A$2:$A$3000,$A13)&gt;1,"Duplicate parcel_id","")))</f>
        <v/>
      </c>
    </row>
    <row r="14" customFormat="false" ht="15" hidden="false" customHeight="false" outlineLevel="0" collapsed="false">
      <c r="A14" s="18" t="s">
        <v>127</v>
      </c>
      <c r="B14" s="18" t="s">
        <v>10</v>
      </c>
      <c r="C14" s="18" t="s">
        <v>15</v>
      </c>
      <c r="D14" s="18" t="n">
        <v>164</v>
      </c>
      <c r="E14" s="18" t="s">
        <v>111</v>
      </c>
      <c r="F14" s="18" t="s">
        <v>112</v>
      </c>
      <c r="G14" s="18"/>
      <c r="H14" s="18" t="s">
        <v>119</v>
      </c>
      <c r="I14" s="18"/>
      <c r="J14" s="18"/>
      <c r="K14" s="18"/>
      <c r="L14" s="18" t="n">
        <v>5.112</v>
      </c>
      <c r="M14" s="18" t="n">
        <v>5.11</v>
      </c>
      <c r="N14" s="18" t="n">
        <v>179</v>
      </c>
      <c r="O14" s="18" t="s">
        <v>95</v>
      </c>
      <c r="P14" s="18"/>
      <c r="Q14" s="18" t="s">
        <v>128</v>
      </c>
      <c r="R14" s="18" t="s">
        <v>98</v>
      </c>
      <c r="S14" s="18"/>
      <c r="T14" s="19" t="n">
        <f aca="false">SUMIFS(Permissions!$F$2:$F$3000,Permissions!$B$2:$B$3000,$A14,Permissions!$H$2:$H$3000,"Complete",Permissions!$I$2:$I$3000,"Yes")</f>
        <v>0</v>
      </c>
      <c r="U14" s="19" t="n">
        <f aca="false">SUMIFS(Permissions!$F$2:$F$3000,Permissions!$B$2:$B$3000,$A14,Permissions!$H$2:$H$3000,"Under construction",Permissions!$I$2:$I$3000,"Yes")</f>
        <v>0</v>
      </c>
      <c r="V14" s="19" t="n">
        <f aca="false">SUMIFS(Permissions!$F$2:$F$3000,Permissions!$B$2:$B$3000,$A14,Permissions!$H$2:$H$3000,"Permitted – not started",Permissions!$I$2:$I$3000,"Yes")</f>
        <v>0</v>
      </c>
      <c r="W14" s="19" t="n">
        <f aca="false">SUMIFS(Permissions!$F$2:$F$3000,Permissions!$B$2:$B$3000,$A14,Permissions!$H$2:$H$3000,"Stalled",Permissions!$I$2:$I$3000,"Yes")</f>
        <v>0</v>
      </c>
      <c r="X14" s="19" t="n">
        <f aca="false">T14+U14+V14+W14</f>
        <v>0</v>
      </c>
      <c r="Y14" s="19" t="n">
        <f aca="false">SUMIFS(Permissions!$F$2:$F$3000,Permissions!$B$2:$B$3000,$A14,Permissions!$H$2:$H$3000,"Expired – not started",Permissions!$I$2:$I$3000,"Yes")</f>
        <v>0</v>
      </c>
      <c r="Z14" s="19" t="n">
        <f aca="false">SUMIFS(Permissions!$F$2:$F$3000,Permissions!$B$2:$B$3000,$A14,Permissions!$H$2:$H$3000,"In planning",Permissions!$I$2:$I$3000,"Yes")</f>
        <v>0</v>
      </c>
      <c r="AA14" s="19" t="n">
        <f aca="false">IF(N14="",0,MAX(N14-X14,0))</f>
        <v>179</v>
      </c>
      <c r="AB14" s="20" t="n">
        <f aca="false">X14+AA14</f>
        <v>179</v>
      </c>
      <c r="AC14" s="19" t="n">
        <f aca="false">AB14-T14</f>
        <v>179</v>
      </c>
      <c r="AD14" s="21" t="n">
        <f aca="false">SUMIFS(Permissions!$T$2:$T$3000,Permissions!$B$2:$B$3000,$A14,Permissions!$I$2:$I$3000,"Yes")</f>
        <v>0</v>
      </c>
      <c r="AE14" s="21" t="n">
        <f aca="false">SUMIFS(Permissions!$U$2:$U$3000,Permissions!$B$2:$B$3000,$A14,Permissions!$I$2:$I$3000,"Yes")</f>
        <v>0</v>
      </c>
      <c r="AF14" s="21" t="n">
        <f aca="false">SUMIFS(Permissions!$V$2:$V$3000,Permissions!$B$2:$B$3000,$A14,Permissions!$I$2:$I$3000,"Yes")</f>
        <v>0</v>
      </c>
      <c r="AG14" s="21" t="n">
        <f aca="false">SUMIFS(Permissions!$W$2:$W$3000,Permissions!$B$2:$B$3000,$A14,Permissions!$I$2:$I$3000,"Yes")</f>
        <v>0</v>
      </c>
      <c r="AH14" s="21" t="n">
        <f aca="false">SUMIFS(Permissions!$X$2:$X$3000,Permissions!$B$2:$B$3000,$A14,Permissions!$I$2:$I$3000,"Yes")</f>
        <v>0</v>
      </c>
      <c r="AI14" s="21" t="n">
        <f aca="false">SUMIFS(Permissions!$Y$2:$Y$3000,Permissions!$B$2:$B$3000,$A14,Permissions!$I$2:$I$3000,"Yes")</f>
        <v>0</v>
      </c>
      <c r="AJ14" s="19" t="n">
        <f aca="false">COUNTIFS(Permissions!$B$2:$B$3000,$A14,Permissions!$I$2:$I$3000,"Yes")</f>
        <v>0</v>
      </c>
      <c r="AK14" s="22" t="str">
        <f aca="false">IF(AND(N14&lt;&gt;"",X14&gt;1.1*N14),"Consented above capacity",IF(AND(LEFT(B14,8)="Planning",AJ14=0),"Consent parcel with no permission",IF(COUNTIF($A$2:$A$3000,$A14)&gt;1,"Duplicate parcel_id","")))</f>
        <v/>
      </c>
    </row>
    <row r="15" customFormat="false" ht="15" hidden="false" customHeight="false" outlineLevel="0" collapsed="false">
      <c r="A15" s="18" t="s">
        <v>129</v>
      </c>
      <c r="B15" s="18" t="s">
        <v>10</v>
      </c>
      <c r="C15" s="18" t="s">
        <v>15</v>
      </c>
      <c r="D15" s="18" t="n">
        <v>20</v>
      </c>
      <c r="E15" s="18" t="s">
        <v>111</v>
      </c>
      <c r="F15" s="18" t="s">
        <v>112</v>
      </c>
      <c r="G15" s="18" t="s">
        <v>113</v>
      </c>
      <c r="H15" s="18" t="s">
        <v>105</v>
      </c>
      <c r="I15" s="18" t="s">
        <v>120</v>
      </c>
      <c r="J15" s="18" t="s">
        <v>101</v>
      </c>
      <c r="K15" s="18" t="s">
        <v>94</v>
      </c>
      <c r="L15" s="18" t="n">
        <v>0.641</v>
      </c>
      <c r="M15" s="18" t="n">
        <v>0.641</v>
      </c>
      <c r="N15" s="18" t="n">
        <v>29</v>
      </c>
      <c r="O15" s="18" t="s">
        <v>95</v>
      </c>
      <c r="P15" s="18" t="s">
        <v>96</v>
      </c>
      <c r="Q15" s="18" t="s">
        <v>97</v>
      </c>
      <c r="R15" s="18" t="s">
        <v>98</v>
      </c>
      <c r="S15" s="18"/>
      <c r="T15" s="19" t="n">
        <f aca="false">SUMIFS(Permissions!$F$2:$F$3000,Permissions!$B$2:$B$3000,$A15,Permissions!$H$2:$H$3000,"Complete",Permissions!$I$2:$I$3000,"Yes")</f>
        <v>0</v>
      </c>
      <c r="U15" s="19" t="n">
        <f aca="false">SUMIFS(Permissions!$F$2:$F$3000,Permissions!$B$2:$B$3000,$A15,Permissions!$H$2:$H$3000,"Under construction",Permissions!$I$2:$I$3000,"Yes")</f>
        <v>0</v>
      </c>
      <c r="V15" s="19" t="n">
        <f aca="false">SUMIFS(Permissions!$F$2:$F$3000,Permissions!$B$2:$B$3000,$A15,Permissions!$H$2:$H$3000,"Permitted – not started",Permissions!$I$2:$I$3000,"Yes")</f>
        <v>0</v>
      </c>
      <c r="W15" s="19" t="n">
        <f aca="false">SUMIFS(Permissions!$F$2:$F$3000,Permissions!$B$2:$B$3000,$A15,Permissions!$H$2:$H$3000,"Stalled",Permissions!$I$2:$I$3000,"Yes")</f>
        <v>0</v>
      </c>
      <c r="X15" s="19" t="n">
        <f aca="false">T15+U15+V15+W15</f>
        <v>0</v>
      </c>
      <c r="Y15" s="19" t="n">
        <f aca="false">SUMIFS(Permissions!$F$2:$F$3000,Permissions!$B$2:$B$3000,$A15,Permissions!$H$2:$H$3000,"Expired – not started",Permissions!$I$2:$I$3000,"Yes")</f>
        <v>0</v>
      </c>
      <c r="Z15" s="19" t="n">
        <f aca="false">SUMIFS(Permissions!$F$2:$F$3000,Permissions!$B$2:$B$3000,$A15,Permissions!$H$2:$H$3000,"In planning",Permissions!$I$2:$I$3000,"Yes")</f>
        <v>0</v>
      </c>
      <c r="AA15" s="19" t="n">
        <f aca="false">IF(N15="",0,MAX(N15-X15,0))</f>
        <v>29</v>
      </c>
      <c r="AB15" s="20" t="n">
        <f aca="false">X15+AA15</f>
        <v>29</v>
      </c>
      <c r="AC15" s="19" t="n">
        <f aca="false">AB15-T15</f>
        <v>29</v>
      </c>
      <c r="AD15" s="21" t="n">
        <f aca="false">SUMIFS(Permissions!$T$2:$T$3000,Permissions!$B$2:$B$3000,$A15,Permissions!$I$2:$I$3000,"Yes")</f>
        <v>0</v>
      </c>
      <c r="AE15" s="21" t="n">
        <f aca="false">SUMIFS(Permissions!$U$2:$U$3000,Permissions!$B$2:$B$3000,$A15,Permissions!$I$2:$I$3000,"Yes")</f>
        <v>0</v>
      </c>
      <c r="AF15" s="21" t="n">
        <f aca="false">SUMIFS(Permissions!$V$2:$V$3000,Permissions!$B$2:$B$3000,$A15,Permissions!$I$2:$I$3000,"Yes")</f>
        <v>0</v>
      </c>
      <c r="AG15" s="21" t="n">
        <f aca="false">SUMIFS(Permissions!$W$2:$W$3000,Permissions!$B$2:$B$3000,$A15,Permissions!$I$2:$I$3000,"Yes")</f>
        <v>0</v>
      </c>
      <c r="AH15" s="21" t="n">
        <f aca="false">SUMIFS(Permissions!$X$2:$X$3000,Permissions!$B$2:$B$3000,$A15,Permissions!$I$2:$I$3000,"Yes")</f>
        <v>0</v>
      </c>
      <c r="AI15" s="21" t="n">
        <f aca="false">SUMIFS(Permissions!$Y$2:$Y$3000,Permissions!$B$2:$B$3000,$A15,Permissions!$I$2:$I$3000,"Yes")</f>
        <v>0</v>
      </c>
      <c r="AJ15" s="19" t="n">
        <f aca="false">COUNTIFS(Permissions!$B$2:$B$3000,$A15,Permissions!$I$2:$I$3000,"Yes")</f>
        <v>0</v>
      </c>
      <c r="AK15" s="22" t="str">
        <f aca="false">IF(AND(N15&lt;&gt;"",X15&gt;1.1*N15),"Consented above capacity",IF(AND(LEFT(B15,8)="Planning",AJ15=0),"Consent parcel with no permission",IF(COUNTIF($A$2:$A$3000,$A15)&gt;1,"Duplicate parcel_id","")))</f>
        <v/>
      </c>
    </row>
    <row r="16" customFormat="false" ht="15" hidden="false" customHeight="false" outlineLevel="0" collapsed="false">
      <c r="A16" s="18" t="s">
        <v>130</v>
      </c>
      <c r="B16" s="18" t="s">
        <v>10</v>
      </c>
      <c r="C16" s="18" t="s">
        <v>15</v>
      </c>
      <c r="D16" s="18" t="n">
        <v>21</v>
      </c>
      <c r="E16" s="18" t="s">
        <v>111</v>
      </c>
      <c r="F16" s="18" t="s">
        <v>112</v>
      </c>
      <c r="G16" s="18" t="s">
        <v>113</v>
      </c>
      <c r="H16" s="18" t="s">
        <v>105</v>
      </c>
      <c r="I16" s="18" t="s">
        <v>92</v>
      </c>
      <c r="J16" s="18" t="s">
        <v>93</v>
      </c>
      <c r="K16" s="18" t="s">
        <v>94</v>
      </c>
      <c r="L16" s="18" t="n">
        <v>0.172</v>
      </c>
      <c r="M16" s="18" t="n">
        <v>0.173</v>
      </c>
      <c r="N16" s="18" t="n">
        <v>31</v>
      </c>
      <c r="O16" s="18" t="s">
        <v>95</v>
      </c>
      <c r="P16" s="18" t="s">
        <v>116</v>
      </c>
      <c r="Q16" s="18" t="s">
        <v>97</v>
      </c>
      <c r="R16" s="18" t="s">
        <v>98</v>
      </c>
      <c r="S16" s="18"/>
      <c r="T16" s="19" t="n">
        <f aca="false">SUMIFS(Permissions!$F$2:$F$3000,Permissions!$B$2:$B$3000,$A16,Permissions!$H$2:$H$3000,"Complete",Permissions!$I$2:$I$3000,"Yes")</f>
        <v>0</v>
      </c>
      <c r="U16" s="19" t="n">
        <f aca="false">SUMIFS(Permissions!$F$2:$F$3000,Permissions!$B$2:$B$3000,$A16,Permissions!$H$2:$H$3000,"Under construction",Permissions!$I$2:$I$3000,"Yes")</f>
        <v>0</v>
      </c>
      <c r="V16" s="19" t="n">
        <f aca="false">SUMIFS(Permissions!$F$2:$F$3000,Permissions!$B$2:$B$3000,$A16,Permissions!$H$2:$H$3000,"Permitted – not started",Permissions!$I$2:$I$3000,"Yes")</f>
        <v>0</v>
      </c>
      <c r="W16" s="19" t="n">
        <f aca="false">SUMIFS(Permissions!$F$2:$F$3000,Permissions!$B$2:$B$3000,$A16,Permissions!$H$2:$H$3000,"Stalled",Permissions!$I$2:$I$3000,"Yes")</f>
        <v>31</v>
      </c>
      <c r="X16" s="19" t="n">
        <f aca="false">T16+U16+V16+W16</f>
        <v>31</v>
      </c>
      <c r="Y16" s="19" t="n">
        <f aca="false">SUMIFS(Permissions!$F$2:$F$3000,Permissions!$B$2:$B$3000,$A16,Permissions!$H$2:$H$3000,"Expired – not started",Permissions!$I$2:$I$3000,"Yes")</f>
        <v>0</v>
      </c>
      <c r="Z16" s="19" t="n">
        <f aca="false">SUMIFS(Permissions!$F$2:$F$3000,Permissions!$B$2:$B$3000,$A16,Permissions!$H$2:$H$3000,"In planning",Permissions!$I$2:$I$3000,"Yes")</f>
        <v>0</v>
      </c>
      <c r="AA16" s="19" t="n">
        <f aca="false">IF(N16="",0,MAX(N16-X16,0))</f>
        <v>0</v>
      </c>
      <c r="AB16" s="20" t="n">
        <f aca="false">X16+AA16</f>
        <v>31</v>
      </c>
      <c r="AC16" s="19" t="n">
        <f aca="false">AB16-T16</f>
        <v>31</v>
      </c>
      <c r="AD16" s="21" t="n">
        <f aca="false">SUMIFS(Permissions!$T$2:$T$3000,Permissions!$B$2:$B$3000,$A16,Permissions!$I$2:$I$3000,"Yes")</f>
        <v>0</v>
      </c>
      <c r="AE16" s="21" t="n">
        <f aca="false">SUMIFS(Permissions!$U$2:$U$3000,Permissions!$B$2:$B$3000,$A16,Permissions!$I$2:$I$3000,"Yes")</f>
        <v>0</v>
      </c>
      <c r="AF16" s="21" t="n">
        <f aca="false">SUMIFS(Permissions!$V$2:$V$3000,Permissions!$B$2:$B$3000,$A16,Permissions!$I$2:$I$3000,"Yes")</f>
        <v>0</v>
      </c>
      <c r="AG16" s="21" t="n">
        <f aca="false">SUMIFS(Permissions!$W$2:$W$3000,Permissions!$B$2:$B$3000,$A16,Permissions!$I$2:$I$3000,"Yes")</f>
        <v>0</v>
      </c>
      <c r="AH16" s="21" t="n">
        <f aca="false">SUMIFS(Permissions!$X$2:$X$3000,Permissions!$B$2:$B$3000,$A16,Permissions!$I$2:$I$3000,"Yes")</f>
        <v>0</v>
      </c>
      <c r="AI16" s="21" t="n">
        <f aca="false">SUMIFS(Permissions!$Y$2:$Y$3000,Permissions!$B$2:$B$3000,$A16,Permissions!$I$2:$I$3000,"Yes")</f>
        <v>0</v>
      </c>
      <c r="AJ16" s="19" t="n">
        <f aca="false">COUNTIFS(Permissions!$B$2:$B$3000,$A16,Permissions!$I$2:$I$3000,"Yes")</f>
        <v>1</v>
      </c>
      <c r="AK16" s="22" t="str">
        <f aca="false">IF(AND(N16&lt;&gt;"",X16&gt;1.1*N16),"Consented above capacity",IF(AND(LEFT(B16,8)="Planning",AJ16=0),"Consent parcel with no permission",IF(COUNTIF($A$2:$A$3000,$A16)&gt;1,"Duplicate parcel_id","")))</f>
        <v/>
      </c>
    </row>
    <row r="17" customFormat="false" ht="15" hidden="false" customHeight="false" outlineLevel="0" collapsed="false">
      <c r="A17" s="18" t="s">
        <v>131</v>
      </c>
      <c r="B17" s="18" t="s">
        <v>10</v>
      </c>
      <c r="C17" s="18" t="s">
        <v>15</v>
      </c>
      <c r="D17" s="18" t="n">
        <v>24</v>
      </c>
      <c r="E17" s="18" t="s">
        <v>111</v>
      </c>
      <c r="F17" s="18" t="s">
        <v>112</v>
      </c>
      <c r="G17" s="18" t="s">
        <v>113</v>
      </c>
      <c r="H17" s="18" t="s">
        <v>119</v>
      </c>
      <c r="I17" s="18" t="s">
        <v>92</v>
      </c>
      <c r="J17" s="18" t="s">
        <v>101</v>
      </c>
      <c r="K17" s="18" t="s">
        <v>94</v>
      </c>
      <c r="L17" s="18" t="n">
        <v>0.249</v>
      </c>
      <c r="M17" s="18" t="n">
        <v>0.249</v>
      </c>
      <c r="N17" s="18" t="n">
        <v>46</v>
      </c>
      <c r="O17" s="18" t="s">
        <v>95</v>
      </c>
      <c r="P17" s="18" t="s">
        <v>116</v>
      </c>
      <c r="Q17" s="18" t="s">
        <v>97</v>
      </c>
      <c r="R17" s="18" t="s">
        <v>98</v>
      </c>
      <c r="S17" s="18"/>
      <c r="T17" s="19" t="n">
        <f aca="false">SUMIFS(Permissions!$F$2:$F$3000,Permissions!$B$2:$B$3000,$A17,Permissions!$H$2:$H$3000,"Complete",Permissions!$I$2:$I$3000,"Yes")</f>
        <v>0</v>
      </c>
      <c r="U17" s="19" t="n">
        <f aca="false">SUMIFS(Permissions!$F$2:$F$3000,Permissions!$B$2:$B$3000,$A17,Permissions!$H$2:$H$3000,"Under construction",Permissions!$I$2:$I$3000,"Yes")</f>
        <v>0</v>
      </c>
      <c r="V17" s="19" t="n">
        <f aca="false">SUMIFS(Permissions!$F$2:$F$3000,Permissions!$B$2:$B$3000,$A17,Permissions!$H$2:$H$3000,"Permitted – not started",Permissions!$I$2:$I$3000,"Yes")</f>
        <v>46</v>
      </c>
      <c r="W17" s="19" t="n">
        <f aca="false">SUMIFS(Permissions!$F$2:$F$3000,Permissions!$B$2:$B$3000,$A17,Permissions!$H$2:$H$3000,"Stalled",Permissions!$I$2:$I$3000,"Yes")</f>
        <v>0</v>
      </c>
      <c r="X17" s="19" t="n">
        <f aca="false">T17+U17+V17+W17</f>
        <v>46</v>
      </c>
      <c r="Y17" s="19" t="n">
        <f aca="false">SUMIFS(Permissions!$F$2:$F$3000,Permissions!$B$2:$B$3000,$A17,Permissions!$H$2:$H$3000,"Expired – not started",Permissions!$I$2:$I$3000,"Yes")</f>
        <v>0</v>
      </c>
      <c r="Z17" s="19" t="n">
        <f aca="false">SUMIFS(Permissions!$F$2:$F$3000,Permissions!$B$2:$B$3000,$A17,Permissions!$H$2:$H$3000,"In planning",Permissions!$I$2:$I$3000,"Yes")</f>
        <v>0</v>
      </c>
      <c r="AA17" s="19" t="n">
        <f aca="false">IF(N17="",0,MAX(N17-X17,0))</f>
        <v>0</v>
      </c>
      <c r="AB17" s="20" t="n">
        <f aca="false">X17+AA17</f>
        <v>46</v>
      </c>
      <c r="AC17" s="19" t="n">
        <f aca="false">AB17-T17</f>
        <v>46</v>
      </c>
      <c r="AD17" s="21" t="n">
        <f aca="false">SUMIFS(Permissions!$T$2:$T$3000,Permissions!$B$2:$B$3000,$A17,Permissions!$I$2:$I$3000,"Yes")</f>
        <v>0</v>
      </c>
      <c r="AE17" s="21" t="n">
        <f aca="false">SUMIFS(Permissions!$U$2:$U$3000,Permissions!$B$2:$B$3000,$A17,Permissions!$I$2:$I$3000,"Yes")</f>
        <v>0</v>
      </c>
      <c r="AF17" s="21" t="n">
        <f aca="false">SUMIFS(Permissions!$V$2:$V$3000,Permissions!$B$2:$B$3000,$A17,Permissions!$I$2:$I$3000,"Yes")</f>
        <v>19.4</v>
      </c>
      <c r="AG17" s="21" t="n">
        <f aca="false">SUMIFS(Permissions!$W$2:$W$3000,Permissions!$B$2:$B$3000,$A17,Permissions!$I$2:$I$3000,"Yes")</f>
        <v>26.6</v>
      </c>
      <c r="AH17" s="21" t="n">
        <f aca="false">SUMIFS(Permissions!$X$2:$X$3000,Permissions!$B$2:$B$3000,$A17,Permissions!$I$2:$I$3000,"Yes")</f>
        <v>0</v>
      </c>
      <c r="AI17" s="21" t="n">
        <f aca="false">SUMIFS(Permissions!$Y$2:$Y$3000,Permissions!$B$2:$B$3000,$A17,Permissions!$I$2:$I$3000,"Yes")</f>
        <v>0</v>
      </c>
      <c r="AJ17" s="19" t="n">
        <f aca="false">COUNTIFS(Permissions!$B$2:$B$3000,$A17,Permissions!$I$2:$I$3000,"Yes")</f>
        <v>1</v>
      </c>
      <c r="AK17" s="22" t="str">
        <f aca="false">IF(AND(N17&lt;&gt;"",X17&gt;1.1*N17),"Consented above capacity",IF(AND(LEFT(B17,8)="Planning",AJ17=0),"Consent parcel with no permission",IF(COUNTIF($A$2:$A$3000,$A17)&gt;1,"Duplicate parcel_id","")))</f>
        <v/>
      </c>
    </row>
    <row r="18" customFormat="false" ht="15" hidden="false" customHeight="false" outlineLevel="0" collapsed="false">
      <c r="A18" s="18" t="s">
        <v>132</v>
      </c>
      <c r="B18" s="18" t="s">
        <v>10</v>
      </c>
      <c r="C18" s="18" t="s">
        <v>15</v>
      </c>
      <c r="D18" s="18" t="n">
        <v>25</v>
      </c>
      <c r="E18" s="18" t="s">
        <v>111</v>
      </c>
      <c r="F18" s="18" t="s">
        <v>112</v>
      </c>
      <c r="G18" s="18" t="s">
        <v>113</v>
      </c>
      <c r="H18" s="18" t="s">
        <v>91</v>
      </c>
      <c r="I18" s="18" t="s">
        <v>100</v>
      </c>
      <c r="J18" s="18" t="s">
        <v>101</v>
      </c>
      <c r="K18" s="18" t="s">
        <v>94</v>
      </c>
      <c r="L18" s="18" t="n">
        <v>0.125</v>
      </c>
      <c r="M18" s="18" t="n">
        <v>0.125</v>
      </c>
      <c r="N18" s="18" t="n">
        <v>6</v>
      </c>
      <c r="O18" s="18" t="s">
        <v>95</v>
      </c>
      <c r="P18" s="18" t="s">
        <v>96</v>
      </c>
      <c r="Q18" s="18" t="s">
        <v>97</v>
      </c>
      <c r="R18" s="18" t="s">
        <v>98</v>
      </c>
      <c r="S18" s="18"/>
      <c r="T18" s="19" t="n">
        <f aca="false">SUMIFS(Permissions!$F$2:$F$3000,Permissions!$B$2:$B$3000,$A18,Permissions!$H$2:$H$3000,"Complete",Permissions!$I$2:$I$3000,"Yes")</f>
        <v>0</v>
      </c>
      <c r="U18" s="19" t="n">
        <f aca="false">SUMIFS(Permissions!$F$2:$F$3000,Permissions!$B$2:$B$3000,$A18,Permissions!$H$2:$H$3000,"Under construction",Permissions!$I$2:$I$3000,"Yes")</f>
        <v>0</v>
      </c>
      <c r="V18" s="19" t="n">
        <f aca="false">SUMIFS(Permissions!$F$2:$F$3000,Permissions!$B$2:$B$3000,$A18,Permissions!$H$2:$H$3000,"Permitted – not started",Permissions!$I$2:$I$3000,"Yes")</f>
        <v>0</v>
      </c>
      <c r="W18" s="19" t="n">
        <f aca="false">SUMIFS(Permissions!$F$2:$F$3000,Permissions!$B$2:$B$3000,$A18,Permissions!$H$2:$H$3000,"Stalled",Permissions!$I$2:$I$3000,"Yes")</f>
        <v>0</v>
      </c>
      <c r="X18" s="19" t="n">
        <f aca="false">T18+U18+V18+W18</f>
        <v>0</v>
      </c>
      <c r="Y18" s="19" t="n">
        <f aca="false">SUMIFS(Permissions!$F$2:$F$3000,Permissions!$B$2:$B$3000,$A18,Permissions!$H$2:$H$3000,"Expired – not started",Permissions!$I$2:$I$3000,"Yes")</f>
        <v>0</v>
      </c>
      <c r="Z18" s="19" t="n">
        <f aca="false">SUMIFS(Permissions!$F$2:$F$3000,Permissions!$B$2:$B$3000,$A18,Permissions!$H$2:$H$3000,"In planning",Permissions!$I$2:$I$3000,"Yes")</f>
        <v>6</v>
      </c>
      <c r="AA18" s="19" t="n">
        <f aca="false">IF(N18="",0,MAX(N18-X18,0))</f>
        <v>6</v>
      </c>
      <c r="AB18" s="20" t="n">
        <f aca="false">X18+AA18</f>
        <v>6</v>
      </c>
      <c r="AC18" s="19" t="n">
        <f aca="false">AB18-T18</f>
        <v>6</v>
      </c>
      <c r="AD18" s="21" t="n">
        <f aca="false">SUMIFS(Permissions!$T$2:$T$3000,Permissions!$B$2:$B$3000,$A18,Permissions!$I$2:$I$3000,"Yes")</f>
        <v>0</v>
      </c>
      <c r="AE18" s="21" t="n">
        <f aca="false">SUMIFS(Permissions!$U$2:$U$3000,Permissions!$B$2:$B$3000,$A18,Permissions!$I$2:$I$3000,"Yes")</f>
        <v>0</v>
      </c>
      <c r="AF18" s="21" t="n">
        <f aca="false">SUMIFS(Permissions!$V$2:$V$3000,Permissions!$B$2:$B$3000,$A18,Permissions!$I$2:$I$3000,"Yes")</f>
        <v>0</v>
      </c>
      <c r="AG18" s="21" t="n">
        <f aca="false">SUMIFS(Permissions!$W$2:$W$3000,Permissions!$B$2:$B$3000,$A18,Permissions!$I$2:$I$3000,"Yes")</f>
        <v>0</v>
      </c>
      <c r="AH18" s="21" t="n">
        <f aca="false">SUMIFS(Permissions!$X$2:$X$3000,Permissions!$B$2:$B$3000,$A18,Permissions!$I$2:$I$3000,"Yes")</f>
        <v>0</v>
      </c>
      <c r="AI18" s="21" t="n">
        <f aca="false">SUMIFS(Permissions!$Y$2:$Y$3000,Permissions!$B$2:$B$3000,$A18,Permissions!$I$2:$I$3000,"Yes")</f>
        <v>0</v>
      </c>
      <c r="AJ18" s="19" t="n">
        <f aca="false">COUNTIFS(Permissions!$B$2:$B$3000,$A18,Permissions!$I$2:$I$3000,"Yes")</f>
        <v>1</v>
      </c>
      <c r="AK18" s="22" t="str">
        <f aca="false">IF(AND(N18&lt;&gt;"",X18&gt;1.1*N18),"Consented above capacity",IF(AND(LEFT(B18,8)="Planning",AJ18=0),"Consent parcel with no permission",IF(COUNTIF($A$2:$A$3000,$A18)&gt;1,"Duplicate parcel_id","")))</f>
        <v/>
      </c>
    </row>
    <row r="19" customFormat="false" ht="15" hidden="false" customHeight="false" outlineLevel="0" collapsed="false">
      <c r="A19" s="18" t="s">
        <v>133</v>
      </c>
      <c r="B19" s="18" t="s">
        <v>10</v>
      </c>
      <c r="C19" s="18" t="s">
        <v>15</v>
      </c>
      <c r="D19" s="18" t="n">
        <v>3</v>
      </c>
      <c r="E19" s="18" t="s">
        <v>111</v>
      </c>
      <c r="F19" s="18" t="s">
        <v>112</v>
      </c>
      <c r="G19" s="18" t="s">
        <v>113</v>
      </c>
      <c r="H19" s="18" t="s">
        <v>105</v>
      </c>
      <c r="I19" s="18" t="s">
        <v>92</v>
      </c>
      <c r="J19" s="18" t="s">
        <v>93</v>
      </c>
      <c r="K19" s="18" t="s">
        <v>94</v>
      </c>
      <c r="L19" s="18" t="n">
        <v>2.013</v>
      </c>
      <c r="M19" s="18" t="n">
        <v>2.012</v>
      </c>
      <c r="N19" s="18" t="n">
        <v>343</v>
      </c>
      <c r="O19" s="18" t="s">
        <v>95</v>
      </c>
      <c r="P19" s="18" t="s">
        <v>116</v>
      </c>
      <c r="Q19" s="18" t="s">
        <v>97</v>
      </c>
      <c r="R19" s="18" t="s">
        <v>98</v>
      </c>
      <c r="S19" s="18"/>
      <c r="T19" s="19" t="n">
        <f aca="false">SUMIFS(Permissions!$F$2:$F$3000,Permissions!$B$2:$B$3000,$A19,Permissions!$H$2:$H$3000,"Complete",Permissions!$I$2:$I$3000,"Yes")</f>
        <v>65</v>
      </c>
      <c r="U19" s="19" t="n">
        <f aca="false">SUMIFS(Permissions!$F$2:$F$3000,Permissions!$B$2:$B$3000,$A19,Permissions!$H$2:$H$3000,"Under construction",Permissions!$I$2:$I$3000,"Yes")</f>
        <v>167</v>
      </c>
      <c r="V19" s="19" t="n">
        <f aca="false">SUMIFS(Permissions!$F$2:$F$3000,Permissions!$B$2:$B$3000,$A19,Permissions!$H$2:$H$3000,"Permitted – not started",Permissions!$I$2:$I$3000,"Yes")</f>
        <v>0</v>
      </c>
      <c r="W19" s="19" t="n">
        <f aca="false">SUMIFS(Permissions!$F$2:$F$3000,Permissions!$B$2:$B$3000,$A19,Permissions!$H$2:$H$3000,"Stalled",Permissions!$I$2:$I$3000,"Yes")</f>
        <v>0</v>
      </c>
      <c r="X19" s="19" t="n">
        <f aca="false">T19+U19+V19+W19</f>
        <v>232</v>
      </c>
      <c r="Y19" s="19" t="n">
        <f aca="false">SUMIFS(Permissions!$F$2:$F$3000,Permissions!$B$2:$B$3000,$A19,Permissions!$H$2:$H$3000,"Expired – not started",Permissions!$I$2:$I$3000,"Yes")</f>
        <v>0</v>
      </c>
      <c r="Z19" s="19" t="n">
        <f aca="false">SUMIFS(Permissions!$F$2:$F$3000,Permissions!$B$2:$B$3000,$A19,Permissions!$H$2:$H$3000,"In planning",Permissions!$I$2:$I$3000,"Yes")</f>
        <v>0</v>
      </c>
      <c r="AA19" s="19" t="n">
        <f aca="false">IF(N19="",0,MAX(N19-X19,0))</f>
        <v>111</v>
      </c>
      <c r="AB19" s="20" t="n">
        <f aca="false">X19+AA19</f>
        <v>343</v>
      </c>
      <c r="AC19" s="19" t="n">
        <f aca="false">AB19-T19</f>
        <v>278</v>
      </c>
      <c r="AD19" s="21" t="n">
        <f aca="false">SUMIFS(Permissions!$T$2:$T$3000,Permissions!$B$2:$B$3000,$A19,Permissions!$I$2:$I$3000,"Yes")</f>
        <v>17.4</v>
      </c>
      <c r="AE19" s="21" t="n">
        <f aca="false">SUMIFS(Permissions!$U$2:$U$3000,Permissions!$B$2:$B$3000,$A19,Permissions!$I$2:$I$3000,"Yes")</f>
        <v>74.9</v>
      </c>
      <c r="AF19" s="21" t="n">
        <f aca="false">SUMIFS(Permissions!$V$2:$V$3000,Permissions!$B$2:$B$3000,$A19,Permissions!$I$2:$I$3000,"Yes")</f>
        <v>74.6</v>
      </c>
      <c r="AG19" s="21" t="n">
        <f aca="false">SUMIFS(Permissions!$W$2:$W$3000,Permissions!$B$2:$B$3000,$A19,Permissions!$I$2:$I$3000,"Yes")</f>
        <v>0</v>
      </c>
      <c r="AH19" s="21" t="n">
        <f aca="false">SUMIFS(Permissions!$X$2:$X$3000,Permissions!$B$2:$B$3000,$A19,Permissions!$I$2:$I$3000,"Yes")</f>
        <v>0</v>
      </c>
      <c r="AI19" s="21" t="n">
        <f aca="false">SUMIFS(Permissions!$Y$2:$Y$3000,Permissions!$B$2:$B$3000,$A19,Permissions!$I$2:$I$3000,"Yes")</f>
        <v>0.1</v>
      </c>
      <c r="AJ19" s="19" t="n">
        <f aca="false">COUNTIFS(Permissions!$B$2:$B$3000,$A19,Permissions!$I$2:$I$3000,"Yes")</f>
        <v>2</v>
      </c>
      <c r="AK19" s="22" t="str">
        <f aca="false">IF(AND(N19&lt;&gt;"",X19&gt;1.1*N19),"Consented above capacity",IF(AND(LEFT(B19,8)="Planning",AJ19=0),"Consent parcel with no permission",IF(COUNTIF($A$2:$A$3000,$A19)&gt;1,"Duplicate parcel_id","")))</f>
        <v/>
      </c>
    </row>
    <row r="20" customFormat="false" ht="15" hidden="false" customHeight="false" outlineLevel="0" collapsed="false">
      <c r="A20" s="18" t="s">
        <v>134</v>
      </c>
      <c r="B20" s="18" t="s">
        <v>10</v>
      </c>
      <c r="C20" s="18" t="s">
        <v>15</v>
      </c>
      <c r="D20" s="18" t="n">
        <v>5</v>
      </c>
      <c r="E20" s="18" t="s">
        <v>111</v>
      </c>
      <c r="F20" s="18" t="s">
        <v>112</v>
      </c>
      <c r="G20" s="18" t="s">
        <v>113</v>
      </c>
      <c r="H20" s="18" t="s">
        <v>119</v>
      </c>
      <c r="I20" s="18" t="s">
        <v>92</v>
      </c>
      <c r="J20" s="18" t="s">
        <v>114</v>
      </c>
      <c r="K20" s="18" t="s">
        <v>115</v>
      </c>
      <c r="L20" s="18" t="n">
        <v>2.729</v>
      </c>
      <c r="M20" s="18" t="n">
        <v>2.729</v>
      </c>
      <c r="N20" s="18" t="n">
        <v>99</v>
      </c>
      <c r="O20" s="18" t="s">
        <v>95</v>
      </c>
      <c r="P20" s="18" t="s">
        <v>116</v>
      </c>
      <c r="Q20" s="18" t="s">
        <v>97</v>
      </c>
      <c r="R20" s="18" t="s">
        <v>98</v>
      </c>
      <c r="S20" s="18"/>
      <c r="T20" s="19" t="n">
        <f aca="false">SUMIFS(Permissions!$F$2:$F$3000,Permissions!$B$2:$B$3000,$A20,Permissions!$H$2:$H$3000,"Complete",Permissions!$I$2:$I$3000,"Yes")</f>
        <v>0</v>
      </c>
      <c r="U20" s="19" t="n">
        <f aca="false">SUMIFS(Permissions!$F$2:$F$3000,Permissions!$B$2:$B$3000,$A20,Permissions!$H$2:$H$3000,"Under construction",Permissions!$I$2:$I$3000,"Yes")</f>
        <v>99</v>
      </c>
      <c r="V20" s="19" t="n">
        <f aca="false">SUMIFS(Permissions!$F$2:$F$3000,Permissions!$B$2:$B$3000,$A20,Permissions!$H$2:$H$3000,"Permitted – not started",Permissions!$I$2:$I$3000,"Yes")</f>
        <v>0</v>
      </c>
      <c r="W20" s="19" t="n">
        <f aca="false">SUMIFS(Permissions!$F$2:$F$3000,Permissions!$B$2:$B$3000,$A20,Permissions!$H$2:$H$3000,"Stalled",Permissions!$I$2:$I$3000,"Yes")</f>
        <v>0</v>
      </c>
      <c r="X20" s="19" t="n">
        <f aca="false">T20+U20+V20+W20</f>
        <v>99</v>
      </c>
      <c r="Y20" s="19" t="n">
        <f aca="false">SUMIFS(Permissions!$F$2:$F$3000,Permissions!$B$2:$B$3000,$A20,Permissions!$H$2:$H$3000,"Expired – not started",Permissions!$I$2:$I$3000,"Yes")</f>
        <v>0</v>
      </c>
      <c r="Z20" s="19" t="n">
        <f aca="false">SUMIFS(Permissions!$F$2:$F$3000,Permissions!$B$2:$B$3000,$A20,Permissions!$H$2:$H$3000,"In planning",Permissions!$I$2:$I$3000,"Yes")</f>
        <v>0</v>
      </c>
      <c r="AA20" s="19" t="n">
        <f aca="false">IF(N20="",0,MAX(N20-X20,0))</f>
        <v>0</v>
      </c>
      <c r="AB20" s="20" t="n">
        <f aca="false">X20+AA20</f>
        <v>99</v>
      </c>
      <c r="AC20" s="19" t="n">
        <f aca="false">AB20-T20</f>
        <v>99</v>
      </c>
      <c r="AD20" s="21" t="n">
        <f aca="false">SUMIFS(Permissions!$T$2:$T$3000,Permissions!$B$2:$B$3000,$A20,Permissions!$I$2:$I$3000,"Yes")</f>
        <v>13</v>
      </c>
      <c r="AE20" s="21" t="n">
        <f aca="false">SUMIFS(Permissions!$U$2:$U$3000,Permissions!$B$2:$B$3000,$A20,Permissions!$I$2:$I$3000,"Yes")</f>
        <v>55.8</v>
      </c>
      <c r="AF20" s="21" t="n">
        <f aca="false">SUMIFS(Permissions!$V$2:$V$3000,Permissions!$B$2:$B$3000,$A20,Permissions!$I$2:$I$3000,"Yes")</f>
        <v>30.2</v>
      </c>
      <c r="AG20" s="21" t="n">
        <f aca="false">SUMIFS(Permissions!$W$2:$W$3000,Permissions!$B$2:$B$3000,$A20,Permissions!$I$2:$I$3000,"Yes")</f>
        <v>0</v>
      </c>
      <c r="AH20" s="21" t="n">
        <f aca="false">SUMIFS(Permissions!$X$2:$X$3000,Permissions!$B$2:$B$3000,$A20,Permissions!$I$2:$I$3000,"Yes")</f>
        <v>0</v>
      </c>
      <c r="AI20" s="21" t="n">
        <f aca="false">SUMIFS(Permissions!$Y$2:$Y$3000,Permissions!$B$2:$B$3000,$A20,Permissions!$I$2:$I$3000,"Yes")</f>
        <v>0</v>
      </c>
      <c r="AJ20" s="19" t="n">
        <f aca="false">COUNTIFS(Permissions!$B$2:$B$3000,$A20,Permissions!$I$2:$I$3000,"Yes")</f>
        <v>1</v>
      </c>
      <c r="AK20" s="22" t="str">
        <f aca="false">IF(AND(N20&lt;&gt;"",X20&gt;1.1*N20),"Consented above capacity",IF(AND(LEFT(B20,8)="Planning",AJ20=0),"Consent parcel with no permission",IF(COUNTIF($A$2:$A$3000,$A20)&gt;1,"Duplicate parcel_id","")))</f>
        <v/>
      </c>
    </row>
    <row r="21" customFormat="false" ht="15" hidden="false" customHeight="false" outlineLevel="0" collapsed="false">
      <c r="A21" s="18" t="s">
        <v>135</v>
      </c>
      <c r="B21" s="18" t="s">
        <v>10</v>
      </c>
      <c r="C21" s="18" t="s">
        <v>15</v>
      </c>
      <c r="D21" s="18" t="n">
        <v>6</v>
      </c>
      <c r="E21" s="18" t="s">
        <v>111</v>
      </c>
      <c r="F21" s="18" t="s">
        <v>112</v>
      </c>
      <c r="G21" s="18" t="s">
        <v>113</v>
      </c>
      <c r="H21" s="18" t="s">
        <v>119</v>
      </c>
      <c r="I21" s="18" t="s">
        <v>136</v>
      </c>
      <c r="J21" s="18" t="s">
        <v>114</v>
      </c>
      <c r="K21" s="18" t="s">
        <v>115</v>
      </c>
      <c r="L21" s="18" t="n">
        <v>0.162</v>
      </c>
      <c r="M21" s="18" t="n">
        <v>0.651</v>
      </c>
      <c r="N21" s="18" t="n">
        <v>12</v>
      </c>
      <c r="O21" s="18" t="s">
        <v>95</v>
      </c>
      <c r="P21" s="18" t="s">
        <v>116</v>
      </c>
      <c r="Q21" s="18" t="s">
        <v>97</v>
      </c>
      <c r="R21" s="18" t="s">
        <v>98</v>
      </c>
      <c r="S21" s="18"/>
      <c r="T21" s="19" t="n">
        <f aca="false">SUMIFS(Permissions!$F$2:$F$3000,Permissions!$B$2:$B$3000,$A21,Permissions!$H$2:$H$3000,"Complete",Permissions!$I$2:$I$3000,"Yes")</f>
        <v>0</v>
      </c>
      <c r="U21" s="19" t="n">
        <f aca="false">SUMIFS(Permissions!$F$2:$F$3000,Permissions!$B$2:$B$3000,$A21,Permissions!$H$2:$H$3000,"Under construction",Permissions!$I$2:$I$3000,"Yes")</f>
        <v>0</v>
      </c>
      <c r="V21" s="19" t="n">
        <f aca="false">SUMIFS(Permissions!$F$2:$F$3000,Permissions!$B$2:$B$3000,$A21,Permissions!$H$2:$H$3000,"Permitted – not started",Permissions!$I$2:$I$3000,"Yes")</f>
        <v>12</v>
      </c>
      <c r="W21" s="19" t="n">
        <f aca="false">SUMIFS(Permissions!$F$2:$F$3000,Permissions!$B$2:$B$3000,$A21,Permissions!$H$2:$H$3000,"Stalled",Permissions!$I$2:$I$3000,"Yes")</f>
        <v>0</v>
      </c>
      <c r="X21" s="19" t="n">
        <f aca="false">T21+U21+V21+W21</f>
        <v>12</v>
      </c>
      <c r="Y21" s="19" t="n">
        <f aca="false">SUMIFS(Permissions!$F$2:$F$3000,Permissions!$B$2:$B$3000,$A21,Permissions!$H$2:$H$3000,"Expired – not started",Permissions!$I$2:$I$3000,"Yes")</f>
        <v>0</v>
      </c>
      <c r="Z21" s="19" t="n">
        <f aca="false">SUMIFS(Permissions!$F$2:$F$3000,Permissions!$B$2:$B$3000,$A21,Permissions!$H$2:$H$3000,"In planning",Permissions!$I$2:$I$3000,"Yes")</f>
        <v>0</v>
      </c>
      <c r="AA21" s="19" t="n">
        <f aca="false">IF(N21="",0,MAX(N21-X21,0))</f>
        <v>0</v>
      </c>
      <c r="AB21" s="20" t="n">
        <f aca="false">X21+AA21</f>
        <v>12</v>
      </c>
      <c r="AC21" s="19" t="n">
        <f aca="false">AB21-T21</f>
        <v>12</v>
      </c>
      <c r="AD21" s="21" t="n">
        <f aca="false">SUMIFS(Permissions!$T$2:$T$3000,Permissions!$B$2:$B$3000,$A21,Permissions!$I$2:$I$3000,"Yes")</f>
        <v>0</v>
      </c>
      <c r="AE21" s="21" t="n">
        <f aca="false">SUMIFS(Permissions!$U$2:$U$3000,Permissions!$B$2:$B$3000,$A21,Permissions!$I$2:$I$3000,"Yes")</f>
        <v>0</v>
      </c>
      <c r="AF21" s="21" t="n">
        <f aca="false">SUMIFS(Permissions!$V$2:$V$3000,Permissions!$B$2:$B$3000,$A21,Permissions!$I$2:$I$3000,"Yes")</f>
        <v>7</v>
      </c>
      <c r="AG21" s="21" t="n">
        <f aca="false">SUMIFS(Permissions!$W$2:$W$3000,Permissions!$B$2:$B$3000,$A21,Permissions!$I$2:$I$3000,"Yes")</f>
        <v>5</v>
      </c>
      <c r="AH21" s="21" t="n">
        <f aca="false">SUMIFS(Permissions!$X$2:$X$3000,Permissions!$B$2:$B$3000,$A21,Permissions!$I$2:$I$3000,"Yes")</f>
        <v>0</v>
      </c>
      <c r="AI21" s="21" t="n">
        <f aca="false">SUMIFS(Permissions!$Y$2:$Y$3000,Permissions!$B$2:$B$3000,$A21,Permissions!$I$2:$I$3000,"Yes")</f>
        <v>0</v>
      </c>
      <c r="AJ21" s="19" t="n">
        <f aca="false">COUNTIFS(Permissions!$B$2:$B$3000,$A21,Permissions!$I$2:$I$3000,"Yes")</f>
        <v>1</v>
      </c>
      <c r="AK21" s="22" t="str">
        <f aca="false">IF(AND(N21&lt;&gt;"",X21&gt;1.1*N21),"Consented above capacity",IF(AND(LEFT(B21,8)="Planning",AJ21=0),"Consent parcel with no permission",IF(COUNTIF($A$2:$A$3000,$A21)&gt;1,"Duplicate parcel_id","")))</f>
        <v/>
      </c>
    </row>
    <row r="22" customFormat="false" ht="15" hidden="false" customHeight="false" outlineLevel="0" collapsed="false">
      <c r="A22" s="18" t="s">
        <v>137</v>
      </c>
      <c r="B22" s="18" t="s">
        <v>10</v>
      </c>
      <c r="C22" s="18" t="s">
        <v>15</v>
      </c>
      <c r="D22" s="18" t="n">
        <v>7</v>
      </c>
      <c r="E22" s="18" t="s">
        <v>111</v>
      </c>
      <c r="F22" s="18" t="s">
        <v>112</v>
      </c>
      <c r="G22" s="18" t="s">
        <v>113</v>
      </c>
      <c r="H22" s="18" t="s">
        <v>119</v>
      </c>
      <c r="I22" s="18" t="s">
        <v>92</v>
      </c>
      <c r="J22" s="18" t="s">
        <v>114</v>
      </c>
      <c r="K22" s="18" t="s">
        <v>115</v>
      </c>
      <c r="L22" s="18" t="n">
        <v>11.8</v>
      </c>
      <c r="M22" s="18" t="n">
        <v>11.8</v>
      </c>
      <c r="N22" s="18" t="n">
        <v>413</v>
      </c>
      <c r="O22" s="18" t="s">
        <v>95</v>
      </c>
      <c r="P22" s="18" t="s">
        <v>116</v>
      </c>
      <c r="Q22" s="18" t="s">
        <v>97</v>
      </c>
      <c r="R22" s="18" t="s">
        <v>98</v>
      </c>
      <c r="S22" s="18"/>
      <c r="T22" s="19" t="n">
        <f aca="false">SUMIFS(Permissions!$F$2:$F$3000,Permissions!$B$2:$B$3000,$A22,Permissions!$H$2:$H$3000,"Complete",Permissions!$I$2:$I$3000,"Yes")</f>
        <v>0</v>
      </c>
      <c r="U22" s="19" t="n">
        <f aca="false">SUMIFS(Permissions!$F$2:$F$3000,Permissions!$B$2:$B$3000,$A22,Permissions!$H$2:$H$3000,"Under construction",Permissions!$I$2:$I$3000,"Yes")</f>
        <v>0</v>
      </c>
      <c r="V22" s="19" t="n">
        <f aca="false">SUMIFS(Permissions!$F$2:$F$3000,Permissions!$B$2:$B$3000,$A22,Permissions!$H$2:$H$3000,"Permitted – not started",Permissions!$I$2:$I$3000,"Yes")</f>
        <v>251</v>
      </c>
      <c r="W22" s="19" t="n">
        <f aca="false">SUMIFS(Permissions!$F$2:$F$3000,Permissions!$B$2:$B$3000,$A22,Permissions!$H$2:$H$3000,"Stalled",Permissions!$I$2:$I$3000,"Yes")</f>
        <v>0</v>
      </c>
      <c r="X22" s="19" t="n">
        <f aca="false">T22+U22+V22+W22</f>
        <v>251</v>
      </c>
      <c r="Y22" s="19" t="n">
        <f aca="false">SUMIFS(Permissions!$F$2:$F$3000,Permissions!$B$2:$B$3000,$A22,Permissions!$H$2:$H$3000,"Expired – not started",Permissions!$I$2:$I$3000,"Yes")</f>
        <v>0</v>
      </c>
      <c r="Z22" s="19" t="n">
        <f aca="false">SUMIFS(Permissions!$F$2:$F$3000,Permissions!$B$2:$B$3000,$A22,Permissions!$H$2:$H$3000,"In planning",Permissions!$I$2:$I$3000,"Yes")</f>
        <v>0</v>
      </c>
      <c r="AA22" s="19" t="n">
        <f aca="false">IF(N22="",0,MAX(N22-X22,0))</f>
        <v>162</v>
      </c>
      <c r="AB22" s="20" t="n">
        <f aca="false">X22+AA22</f>
        <v>413</v>
      </c>
      <c r="AC22" s="19" t="n">
        <f aca="false">AB22-T22</f>
        <v>413</v>
      </c>
      <c r="AD22" s="21" t="n">
        <f aca="false">SUMIFS(Permissions!$T$2:$T$3000,Permissions!$B$2:$B$3000,$A22,Permissions!$I$2:$I$3000,"Yes")</f>
        <v>0</v>
      </c>
      <c r="AE22" s="21" t="n">
        <f aca="false">SUMIFS(Permissions!$U$2:$U$3000,Permissions!$B$2:$B$3000,$A22,Permissions!$I$2:$I$3000,"Yes")</f>
        <v>0</v>
      </c>
      <c r="AF22" s="21" t="n">
        <f aca="false">SUMIFS(Permissions!$V$2:$V$3000,Permissions!$B$2:$B$3000,$A22,Permissions!$I$2:$I$3000,"Yes")</f>
        <v>71</v>
      </c>
      <c r="AG22" s="21" t="n">
        <f aca="false">SUMIFS(Permissions!$W$2:$W$3000,Permissions!$B$2:$B$3000,$A22,Permissions!$I$2:$I$3000,"Yes")</f>
        <v>137.4</v>
      </c>
      <c r="AH22" s="21" t="n">
        <f aca="false">SUMIFS(Permissions!$X$2:$X$3000,Permissions!$B$2:$B$3000,$A22,Permissions!$I$2:$I$3000,"Yes")</f>
        <v>42.6</v>
      </c>
      <c r="AI22" s="21" t="n">
        <f aca="false">SUMIFS(Permissions!$Y$2:$Y$3000,Permissions!$B$2:$B$3000,$A22,Permissions!$I$2:$I$3000,"Yes")</f>
        <v>0</v>
      </c>
      <c r="AJ22" s="19" t="n">
        <f aca="false">COUNTIFS(Permissions!$B$2:$B$3000,$A22,Permissions!$I$2:$I$3000,"Yes")</f>
        <v>3</v>
      </c>
      <c r="AK22" s="22" t="str">
        <f aca="false">IF(AND(N22&lt;&gt;"",X22&gt;1.1*N22),"Consented above capacity",IF(AND(LEFT(B22,8)="Planning",AJ22=0),"Consent parcel with no permission",IF(COUNTIF($A$2:$A$3000,$A22)&gt;1,"Duplicate parcel_id","")))</f>
        <v/>
      </c>
    </row>
    <row r="23" customFormat="false" ht="15" hidden="false" customHeight="false" outlineLevel="0" collapsed="false">
      <c r="A23" s="18" t="s">
        <v>138</v>
      </c>
      <c r="B23" s="18" t="s">
        <v>10</v>
      </c>
      <c r="C23" s="18" t="s">
        <v>15</v>
      </c>
      <c r="D23" s="18" t="n">
        <v>8</v>
      </c>
      <c r="E23" s="18" t="s">
        <v>111</v>
      </c>
      <c r="F23" s="18" t="s">
        <v>112</v>
      </c>
      <c r="G23" s="18" t="s">
        <v>113</v>
      </c>
      <c r="H23" s="18" t="s">
        <v>119</v>
      </c>
      <c r="I23" s="18" t="s">
        <v>92</v>
      </c>
      <c r="J23" s="18" t="s">
        <v>114</v>
      </c>
      <c r="K23" s="18" t="s">
        <v>115</v>
      </c>
      <c r="L23" s="18" t="n">
        <v>2.772</v>
      </c>
      <c r="M23" s="18" t="n">
        <v>2.771</v>
      </c>
      <c r="N23" s="18" t="n">
        <v>97</v>
      </c>
      <c r="O23" s="18" t="s">
        <v>95</v>
      </c>
      <c r="P23" s="18" t="s">
        <v>116</v>
      </c>
      <c r="Q23" s="18" t="s">
        <v>97</v>
      </c>
      <c r="R23" s="18" t="s">
        <v>98</v>
      </c>
      <c r="S23" s="18"/>
      <c r="T23" s="19" t="n">
        <f aca="false">SUMIFS(Permissions!$F$2:$F$3000,Permissions!$B$2:$B$3000,$A23,Permissions!$H$2:$H$3000,"Complete",Permissions!$I$2:$I$3000,"Yes")</f>
        <v>0</v>
      </c>
      <c r="U23" s="19" t="n">
        <f aca="false">SUMIFS(Permissions!$F$2:$F$3000,Permissions!$B$2:$B$3000,$A23,Permissions!$H$2:$H$3000,"Under construction",Permissions!$I$2:$I$3000,"Yes")</f>
        <v>0</v>
      </c>
      <c r="V23" s="19" t="n">
        <f aca="false">SUMIFS(Permissions!$F$2:$F$3000,Permissions!$B$2:$B$3000,$A23,Permissions!$H$2:$H$3000,"Permitted – not started",Permissions!$I$2:$I$3000,"Yes")</f>
        <v>86</v>
      </c>
      <c r="W23" s="19" t="n">
        <f aca="false">SUMIFS(Permissions!$F$2:$F$3000,Permissions!$B$2:$B$3000,$A23,Permissions!$H$2:$H$3000,"Stalled",Permissions!$I$2:$I$3000,"Yes")</f>
        <v>0</v>
      </c>
      <c r="X23" s="19" t="n">
        <f aca="false">T23+U23+V23+W23</f>
        <v>86</v>
      </c>
      <c r="Y23" s="19" t="n">
        <f aca="false">SUMIFS(Permissions!$F$2:$F$3000,Permissions!$B$2:$B$3000,$A23,Permissions!$H$2:$H$3000,"Expired – not started",Permissions!$I$2:$I$3000,"Yes")</f>
        <v>0</v>
      </c>
      <c r="Z23" s="19" t="n">
        <f aca="false">SUMIFS(Permissions!$F$2:$F$3000,Permissions!$B$2:$B$3000,$A23,Permissions!$H$2:$H$3000,"In planning",Permissions!$I$2:$I$3000,"Yes")</f>
        <v>0</v>
      </c>
      <c r="AA23" s="19" t="n">
        <f aca="false">IF(N23="",0,MAX(N23-X23,0))</f>
        <v>11</v>
      </c>
      <c r="AB23" s="20" t="n">
        <f aca="false">X23+AA23</f>
        <v>97</v>
      </c>
      <c r="AC23" s="19" t="n">
        <f aca="false">AB23-T23</f>
        <v>97</v>
      </c>
      <c r="AD23" s="21" t="n">
        <f aca="false">SUMIFS(Permissions!$T$2:$T$3000,Permissions!$B$2:$B$3000,$A23,Permissions!$I$2:$I$3000,"Yes")</f>
        <v>0</v>
      </c>
      <c r="AE23" s="21" t="n">
        <f aca="false">SUMIFS(Permissions!$U$2:$U$3000,Permissions!$B$2:$B$3000,$A23,Permissions!$I$2:$I$3000,"Yes")</f>
        <v>0</v>
      </c>
      <c r="AF23" s="21" t="n">
        <f aca="false">SUMIFS(Permissions!$V$2:$V$3000,Permissions!$B$2:$B$3000,$A23,Permissions!$I$2:$I$3000,"Yes")</f>
        <v>27.2</v>
      </c>
      <c r="AG23" s="21" t="n">
        <f aca="false">SUMIFS(Permissions!$W$2:$W$3000,Permissions!$B$2:$B$3000,$A23,Permissions!$I$2:$I$3000,"Yes")</f>
        <v>56.4</v>
      </c>
      <c r="AH23" s="21" t="n">
        <f aca="false">SUMIFS(Permissions!$X$2:$X$3000,Permissions!$B$2:$B$3000,$A23,Permissions!$I$2:$I$3000,"Yes")</f>
        <v>2.4</v>
      </c>
      <c r="AI23" s="21" t="n">
        <f aca="false">SUMIFS(Permissions!$Y$2:$Y$3000,Permissions!$B$2:$B$3000,$A23,Permissions!$I$2:$I$3000,"Yes")</f>
        <v>0</v>
      </c>
      <c r="AJ23" s="19" t="n">
        <f aca="false">COUNTIFS(Permissions!$B$2:$B$3000,$A23,Permissions!$I$2:$I$3000,"Yes")</f>
        <v>1</v>
      </c>
      <c r="AK23" s="22" t="str">
        <f aca="false">IF(AND(N23&lt;&gt;"",X23&gt;1.1*N23),"Consented above capacity",IF(AND(LEFT(B23,8)="Planning",AJ23=0),"Consent parcel with no permission",IF(COUNTIF($A$2:$A$3000,$A23)&gt;1,"Duplicate parcel_id","")))</f>
        <v/>
      </c>
    </row>
    <row r="24" customFormat="false" ht="15" hidden="false" customHeight="false" outlineLevel="0" collapsed="false">
      <c r="A24" s="18" t="s">
        <v>139</v>
      </c>
      <c r="B24" s="18" t="s">
        <v>10</v>
      </c>
      <c r="C24" s="18" t="s">
        <v>15</v>
      </c>
      <c r="D24" s="18" t="n">
        <v>9</v>
      </c>
      <c r="E24" s="18" t="s">
        <v>111</v>
      </c>
      <c r="F24" s="18" t="s">
        <v>112</v>
      </c>
      <c r="G24" s="18" t="s">
        <v>113</v>
      </c>
      <c r="H24" s="18" t="s">
        <v>91</v>
      </c>
      <c r="I24" s="18" t="s">
        <v>100</v>
      </c>
      <c r="J24" s="18" t="s">
        <v>101</v>
      </c>
      <c r="K24" s="18" t="s">
        <v>94</v>
      </c>
      <c r="L24" s="18" t="n">
        <v>1.07</v>
      </c>
      <c r="M24" s="18" t="n">
        <v>1.071</v>
      </c>
      <c r="N24" s="18" t="n">
        <v>48</v>
      </c>
      <c r="O24" s="18" t="s">
        <v>95</v>
      </c>
      <c r="P24" s="18" t="s">
        <v>96</v>
      </c>
      <c r="Q24" s="18" t="s">
        <v>97</v>
      </c>
      <c r="R24" s="18" t="s">
        <v>98</v>
      </c>
      <c r="S24" s="18"/>
      <c r="T24" s="19" t="n">
        <f aca="false">SUMIFS(Permissions!$F$2:$F$3000,Permissions!$B$2:$B$3000,$A24,Permissions!$H$2:$H$3000,"Complete",Permissions!$I$2:$I$3000,"Yes")</f>
        <v>0</v>
      </c>
      <c r="U24" s="19" t="n">
        <f aca="false">SUMIFS(Permissions!$F$2:$F$3000,Permissions!$B$2:$B$3000,$A24,Permissions!$H$2:$H$3000,"Under construction",Permissions!$I$2:$I$3000,"Yes")</f>
        <v>0</v>
      </c>
      <c r="V24" s="19" t="n">
        <f aca="false">SUMIFS(Permissions!$F$2:$F$3000,Permissions!$B$2:$B$3000,$A24,Permissions!$H$2:$H$3000,"Permitted – not started",Permissions!$I$2:$I$3000,"Yes")</f>
        <v>0</v>
      </c>
      <c r="W24" s="19" t="n">
        <f aca="false">SUMIFS(Permissions!$F$2:$F$3000,Permissions!$B$2:$B$3000,$A24,Permissions!$H$2:$H$3000,"Stalled",Permissions!$I$2:$I$3000,"Yes")</f>
        <v>0</v>
      </c>
      <c r="X24" s="19" t="n">
        <f aca="false">T24+U24+V24+W24</f>
        <v>0</v>
      </c>
      <c r="Y24" s="19" t="n">
        <f aca="false">SUMIFS(Permissions!$F$2:$F$3000,Permissions!$B$2:$B$3000,$A24,Permissions!$H$2:$H$3000,"Expired – not started",Permissions!$I$2:$I$3000,"Yes")</f>
        <v>0</v>
      </c>
      <c r="Z24" s="19" t="n">
        <f aca="false">SUMIFS(Permissions!$F$2:$F$3000,Permissions!$B$2:$B$3000,$A24,Permissions!$H$2:$H$3000,"In planning",Permissions!$I$2:$I$3000,"Yes")</f>
        <v>0</v>
      </c>
      <c r="AA24" s="19" t="n">
        <f aca="false">IF(N24="",0,MAX(N24-X24,0))</f>
        <v>48</v>
      </c>
      <c r="AB24" s="20" t="n">
        <f aca="false">X24+AA24</f>
        <v>48</v>
      </c>
      <c r="AC24" s="19" t="n">
        <f aca="false">AB24-T24</f>
        <v>48</v>
      </c>
      <c r="AD24" s="21" t="n">
        <f aca="false">SUMIFS(Permissions!$T$2:$T$3000,Permissions!$B$2:$B$3000,$A24,Permissions!$I$2:$I$3000,"Yes")</f>
        <v>0</v>
      </c>
      <c r="AE24" s="21" t="n">
        <f aca="false">SUMIFS(Permissions!$U$2:$U$3000,Permissions!$B$2:$B$3000,$A24,Permissions!$I$2:$I$3000,"Yes")</f>
        <v>0</v>
      </c>
      <c r="AF24" s="21" t="n">
        <f aca="false">SUMIFS(Permissions!$V$2:$V$3000,Permissions!$B$2:$B$3000,$A24,Permissions!$I$2:$I$3000,"Yes")</f>
        <v>0</v>
      </c>
      <c r="AG24" s="21" t="n">
        <f aca="false">SUMIFS(Permissions!$W$2:$W$3000,Permissions!$B$2:$B$3000,$A24,Permissions!$I$2:$I$3000,"Yes")</f>
        <v>0</v>
      </c>
      <c r="AH24" s="21" t="n">
        <f aca="false">SUMIFS(Permissions!$X$2:$X$3000,Permissions!$B$2:$B$3000,$A24,Permissions!$I$2:$I$3000,"Yes")</f>
        <v>0</v>
      </c>
      <c r="AI24" s="21" t="n">
        <f aca="false">SUMIFS(Permissions!$Y$2:$Y$3000,Permissions!$B$2:$B$3000,$A24,Permissions!$I$2:$I$3000,"Yes")</f>
        <v>0</v>
      </c>
      <c r="AJ24" s="19" t="n">
        <f aca="false">COUNTIFS(Permissions!$B$2:$B$3000,$A24,Permissions!$I$2:$I$3000,"Yes")</f>
        <v>0</v>
      </c>
      <c r="AK24" s="22" t="str">
        <f aca="false">IF(AND(N24&lt;&gt;"",X24&gt;1.1*N24),"Consented above capacity",IF(AND(LEFT(B24,8)="Planning",AJ24=0),"Consent parcel with no permission",IF(COUNTIF($A$2:$A$3000,$A24)&gt;1,"Duplicate parcel_id","")))</f>
        <v/>
      </c>
    </row>
    <row r="25" customFormat="false" ht="15" hidden="false" customHeight="false" outlineLevel="0" collapsed="false">
      <c r="A25" s="18" t="s">
        <v>140</v>
      </c>
      <c r="B25" s="18" t="s">
        <v>10</v>
      </c>
      <c r="C25" s="18" t="s">
        <v>15</v>
      </c>
      <c r="D25" s="18" t="n">
        <v>159</v>
      </c>
      <c r="E25" s="18" t="s">
        <v>141</v>
      </c>
      <c r="F25" s="18" t="s">
        <v>142</v>
      </c>
      <c r="G25" s="18" t="s">
        <v>143</v>
      </c>
      <c r="H25" s="18" t="s">
        <v>105</v>
      </c>
      <c r="I25" s="18" t="s">
        <v>92</v>
      </c>
      <c r="J25" s="18" t="s">
        <v>114</v>
      </c>
      <c r="K25" s="18" t="s">
        <v>144</v>
      </c>
      <c r="L25" s="18" t="n">
        <v>2.734</v>
      </c>
      <c r="M25" s="18" t="n">
        <v>2.733</v>
      </c>
      <c r="N25" s="18" t="n">
        <v>97</v>
      </c>
      <c r="O25" s="18" t="s">
        <v>95</v>
      </c>
      <c r="P25" s="18" t="s">
        <v>96</v>
      </c>
      <c r="Q25" s="18" t="s">
        <v>97</v>
      </c>
      <c r="R25" s="18" t="s">
        <v>98</v>
      </c>
      <c r="S25" s="18"/>
      <c r="T25" s="19" t="n">
        <f aca="false">SUMIFS(Permissions!$F$2:$F$3000,Permissions!$B$2:$B$3000,$A25,Permissions!$H$2:$H$3000,"Complete",Permissions!$I$2:$I$3000,"Yes")</f>
        <v>0</v>
      </c>
      <c r="U25" s="19" t="n">
        <f aca="false">SUMIFS(Permissions!$F$2:$F$3000,Permissions!$B$2:$B$3000,$A25,Permissions!$H$2:$H$3000,"Under construction",Permissions!$I$2:$I$3000,"Yes")</f>
        <v>0</v>
      </c>
      <c r="V25" s="19" t="n">
        <f aca="false">SUMIFS(Permissions!$F$2:$F$3000,Permissions!$B$2:$B$3000,$A25,Permissions!$H$2:$H$3000,"Permitted – not started",Permissions!$I$2:$I$3000,"Yes")</f>
        <v>0</v>
      </c>
      <c r="W25" s="19" t="n">
        <f aca="false">SUMIFS(Permissions!$F$2:$F$3000,Permissions!$B$2:$B$3000,$A25,Permissions!$H$2:$H$3000,"Stalled",Permissions!$I$2:$I$3000,"Yes")</f>
        <v>0</v>
      </c>
      <c r="X25" s="19" t="n">
        <f aca="false">T25+U25+V25+W25</f>
        <v>0</v>
      </c>
      <c r="Y25" s="19" t="n">
        <f aca="false">SUMIFS(Permissions!$F$2:$F$3000,Permissions!$B$2:$B$3000,$A25,Permissions!$H$2:$H$3000,"Expired – not started",Permissions!$I$2:$I$3000,"Yes")</f>
        <v>0</v>
      </c>
      <c r="Z25" s="19" t="n">
        <f aca="false">SUMIFS(Permissions!$F$2:$F$3000,Permissions!$B$2:$B$3000,$A25,Permissions!$H$2:$H$3000,"In planning",Permissions!$I$2:$I$3000,"Yes")</f>
        <v>0</v>
      </c>
      <c r="AA25" s="19" t="n">
        <f aca="false">IF(N25="",0,MAX(N25-X25,0))</f>
        <v>97</v>
      </c>
      <c r="AB25" s="20" t="n">
        <f aca="false">X25+AA25</f>
        <v>97</v>
      </c>
      <c r="AC25" s="19" t="n">
        <f aca="false">AB25-T25</f>
        <v>97</v>
      </c>
      <c r="AD25" s="21" t="n">
        <f aca="false">SUMIFS(Permissions!$T$2:$T$3000,Permissions!$B$2:$B$3000,$A25,Permissions!$I$2:$I$3000,"Yes")</f>
        <v>0</v>
      </c>
      <c r="AE25" s="21" t="n">
        <f aca="false">SUMIFS(Permissions!$U$2:$U$3000,Permissions!$B$2:$B$3000,$A25,Permissions!$I$2:$I$3000,"Yes")</f>
        <v>0</v>
      </c>
      <c r="AF25" s="21" t="n">
        <f aca="false">SUMIFS(Permissions!$V$2:$V$3000,Permissions!$B$2:$B$3000,$A25,Permissions!$I$2:$I$3000,"Yes")</f>
        <v>0</v>
      </c>
      <c r="AG25" s="21" t="n">
        <f aca="false">SUMIFS(Permissions!$W$2:$W$3000,Permissions!$B$2:$B$3000,$A25,Permissions!$I$2:$I$3000,"Yes")</f>
        <v>0</v>
      </c>
      <c r="AH25" s="21" t="n">
        <f aca="false">SUMIFS(Permissions!$X$2:$X$3000,Permissions!$B$2:$B$3000,$A25,Permissions!$I$2:$I$3000,"Yes")</f>
        <v>0</v>
      </c>
      <c r="AI25" s="21" t="n">
        <f aca="false">SUMIFS(Permissions!$Y$2:$Y$3000,Permissions!$B$2:$B$3000,$A25,Permissions!$I$2:$I$3000,"Yes")</f>
        <v>0</v>
      </c>
      <c r="AJ25" s="19" t="n">
        <f aca="false">COUNTIFS(Permissions!$B$2:$B$3000,$A25,Permissions!$I$2:$I$3000,"Yes")</f>
        <v>0</v>
      </c>
      <c r="AK25" s="22" t="str">
        <f aca="false">IF(AND(N25&lt;&gt;"",X25&gt;1.1*N25),"Consented above capacity",IF(AND(LEFT(B25,8)="Planning",AJ25=0),"Consent parcel with no permission",IF(COUNTIF($A$2:$A$3000,$A25)&gt;1,"Duplicate parcel_id","")))</f>
        <v/>
      </c>
    </row>
    <row r="26" customFormat="false" ht="15" hidden="false" customHeight="false" outlineLevel="0" collapsed="false">
      <c r="A26" s="18" t="s">
        <v>145</v>
      </c>
      <c r="B26" s="18" t="s">
        <v>10</v>
      </c>
      <c r="C26" s="18" t="s">
        <v>15</v>
      </c>
      <c r="D26" s="18" t="n">
        <v>53</v>
      </c>
      <c r="E26" s="18" t="s">
        <v>141</v>
      </c>
      <c r="F26" s="18" t="s">
        <v>142</v>
      </c>
      <c r="G26" s="18" t="s">
        <v>143</v>
      </c>
      <c r="H26" s="18" t="s">
        <v>105</v>
      </c>
      <c r="I26" s="18" t="s">
        <v>92</v>
      </c>
      <c r="J26" s="18" t="s">
        <v>101</v>
      </c>
      <c r="K26" s="18" t="s">
        <v>94</v>
      </c>
      <c r="L26" s="18" t="n">
        <v>2.401</v>
      </c>
      <c r="M26" s="18" t="n">
        <v>2.401</v>
      </c>
      <c r="N26" s="18" t="n">
        <v>108</v>
      </c>
      <c r="O26" s="18" t="s">
        <v>95</v>
      </c>
      <c r="P26" s="18" t="s">
        <v>116</v>
      </c>
      <c r="Q26" s="18" t="s">
        <v>97</v>
      </c>
      <c r="R26" s="18" t="s">
        <v>98</v>
      </c>
      <c r="S26" s="18"/>
      <c r="T26" s="19" t="n">
        <f aca="false">SUMIFS(Permissions!$F$2:$F$3000,Permissions!$B$2:$B$3000,$A26,Permissions!$H$2:$H$3000,"Complete",Permissions!$I$2:$I$3000,"Yes")</f>
        <v>0</v>
      </c>
      <c r="U26" s="19" t="n">
        <f aca="false">SUMIFS(Permissions!$F$2:$F$3000,Permissions!$B$2:$B$3000,$A26,Permissions!$H$2:$H$3000,"Under construction",Permissions!$I$2:$I$3000,"Yes")</f>
        <v>0</v>
      </c>
      <c r="V26" s="19" t="n">
        <f aca="false">SUMIFS(Permissions!$F$2:$F$3000,Permissions!$B$2:$B$3000,$A26,Permissions!$H$2:$H$3000,"Permitted – not started",Permissions!$I$2:$I$3000,"Yes")</f>
        <v>196</v>
      </c>
      <c r="W26" s="19" t="n">
        <f aca="false">SUMIFS(Permissions!$F$2:$F$3000,Permissions!$B$2:$B$3000,$A26,Permissions!$H$2:$H$3000,"Stalled",Permissions!$I$2:$I$3000,"Yes")</f>
        <v>0</v>
      </c>
      <c r="X26" s="19" t="n">
        <f aca="false">T26+U26+V26+W26</f>
        <v>196</v>
      </c>
      <c r="Y26" s="19" t="n">
        <f aca="false">SUMIFS(Permissions!$F$2:$F$3000,Permissions!$B$2:$B$3000,$A26,Permissions!$H$2:$H$3000,"Expired – not started",Permissions!$I$2:$I$3000,"Yes")</f>
        <v>0</v>
      </c>
      <c r="Z26" s="19" t="n">
        <f aca="false">SUMIFS(Permissions!$F$2:$F$3000,Permissions!$B$2:$B$3000,$A26,Permissions!$H$2:$H$3000,"In planning",Permissions!$I$2:$I$3000,"Yes")</f>
        <v>0</v>
      </c>
      <c r="AA26" s="19" t="n">
        <f aca="false">IF(N26="",0,MAX(N26-X26,0))</f>
        <v>0</v>
      </c>
      <c r="AB26" s="20" t="n">
        <f aca="false">X26+AA26</f>
        <v>196</v>
      </c>
      <c r="AC26" s="19" t="n">
        <f aca="false">AB26-T26</f>
        <v>196</v>
      </c>
      <c r="AD26" s="21" t="n">
        <f aca="false">SUMIFS(Permissions!$T$2:$T$3000,Permissions!$B$2:$B$3000,$A26,Permissions!$I$2:$I$3000,"Yes")</f>
        <v>0</v>
      </c>
      <c r="AE26" s="21" t="n">
        <f aca="false">SUMIFS(Permissions!$U$2:$U$3000,Permissions!$B$2:$B$3000,$A26,Permissions!$I$2:$I$3000,"Yes")</f>
        <v>0</v>
      </c>
      <c r="AF26" s="21" t="n">
        <f aca="false">SUMIFS(Permissions!$V$2:$V$3000,Permissions!$B$2:$B$3000,$A26,Permissions!$I$2:$I$3000,"Yes")</f>
        <v>0</v>
      </c>
      <c r="AG26" s="21" t="n">
        <f aca="false">SUMIFS(Permissions!$W$2:$W$3000,Permissions!$B$2:$B$3000,$A26,Permissions!$I$2:$I$3000,"Yes")</f>
        <v>196</v>
      </c>
      <c r="AH26" s="21" t="n">
        <f aca="false">SUMIFS(Permissions!$X$2:$X$3000,Permissions!$B$2:$B$3000,$A26,Permissions!$I$2:$I$3000,"Yes")</f>
        <v>0</v>
      </c>
      <c r="AI26" s="21" t="n">
        <f aca="false">SUMIFS(Permissions!$Y$2:$Y$3000,Permissions!$B$2:$B$3000,$A26,Permissions!$I$2:$I$3000,"Yes")</f>
        <v>0</v>
      </c>
      <c r="AJ26" s="19" t="n">
        <f aca="false">COUNTIFS(Permissions!$B$2:$B$3000,$A26,Permissions!$I$2:$I$3000,"Yes")</f>
        <v>1</v>
      </c>
      <c r="AK26" s="22" t="str">
        <f aca="false">IF(AND(N26&lt;&gt;"",X26&gt;1.1*N26),"Consented above capacity",IF(AND(LEFT(B26,8)="Planning",AJ26=0),"Consent parcel with no permission",IF(COUNTIF($A$2:$A$3000,$A26)&gt;1,"Duplicate parcel_id","")))</f>
        <v>Consented above capacity</v>
      </c>
    </row>
    <row r="27" customFormat="false" ht="15" hidden="false" customHeight="false" outlineLevel="0" collapsed="false">
      <c r="A27" s="18" t="s">
        <v>146</v>
      </c>
      <c r="B27" s="18" t="s">
        <v>10</v>
      </c>
      <c r="C27" s="18" t="s">
        <v>15</v>
      </c>
      <c r="D27" s="18" t="n">
        <v>54</v>
      </c>
      <c r="E27" s="18" t="s">
        <v>141</v>
      </c>
      <c r="F27" s="18" t="s">
        <v>142</v>
      </c>
      <c r="G27" s="18" t="s">
        <v>143</v>
      </c>
      <c r="H27" s="18" t="s">
        <v>105</v>
      </c>
      <c r="I27" s="18" t="s">
        <v>92</v>
      </c>
      <c r="J27" s="18" t="s">
        <v>101</v>
      </c>
      <c r="K27" s="18" t="s">
        <v>94</v>
      </c>
      <c r="L27" s="18" t="n">
        <v>1.435</v>
      </c>
      <c r="M27" s="18" t="n">
        <v>1.435</v>
      </c>
      <c r="N27" s="18" t="n">
        <v>65</v>
      </c>
      <c r="O27" s="18" t="s">
        <v>95</v>
      </c>
      <c r="P27" s="18" t="s">
        <v>96</v>
      </c>
      <c r="Q27" s="18" t="s">
        <v>97</v>
      </c>
      <c r="R27" s="18" t="s">
        <v>98</v>
      </c>
      <c r="S27" s="18"/>
      <c r="T27" s="19" t="n">
        <f aca="false">SUMIFS(Permissions!$F$2:$F$3000,Permissions!$B$2:$B$3000,$A27,Permissions!$H$2:$H$3000,"Complete",Permissions!$I$2:$I$3000,"Yes")</f>
        <v>0</v>
      </c>
      <c r="U27" s="19" t="n">
        <f aca="false">SUMIFS(Permissions!$F$2:$F$3000,Permissions!$B$2:$B$3000,$A27,Permissions!$H$2:$H$3000,"Under construction",Permissions!$I$2:$I$3000,"Yes")</f>
        <v>0</v>
      </c>
      <c r="V27" s="19" t="n">
        <f aca="false">SUMIFS(Permissions!$F$2:$F$3000,Permissions!$B$2:$B$3000,$A27,Permissions!$H$2:$H$3000,"Permitted – not started",Permissions!$I$2:$I$3000,"Yes")</f>
        <v>0</v>
      </c>
      <c r="W27" s="19" t="n">
        <f aca="false">SUMIFS(Permissions!$F$2:$F$3000,Permissions!$B$2:$B$3000,$A27,Permissions!$H$2:$H$3000,"Stalled",Permissions!$I$2:$I$3000,"Yes")</f>
        <v>0</v>
      </c>
      <c r="X27" s="19" t="n">
        <f aca="false">T27+U27+V27+W27</f>
        <v>0</v>
      </c>
      <c r="Y27" s="19" t="n">
        <f aca="false">SUMIFS(Permissions!$F$2:$F$3000,Permissions!$B$2:$B$3000,$A27,Permissions!$H$2:$H$3000,"Expired – not started",Permissions!$I$2:$I$3000,"Yes")</f>
        <v>0</v>
      </c>
      <c r="Z27" s="19" t="n">
        <f aca="false">SUMIFS(Permissions!$F$2:$F$3000,Permissions!$B$2:$B$3000,$A27,Permissions!$H$2:$H$3000,"In planning",Permissions!$I$2:$I$3000,"Yes")</f>
        <v>0</v>
      </c>
      <c r="AA27" s="19" t="n">
        <f aca="false">IF(N27="",0,MAX(N27-X27,0))</f>
        <v>65</v>
      </c>
      <c r="AB27" s="20" t="n">
        <f aca="false">X27+AA27</f>
        <v>65</v>
      </c>
      <c r="AC27" s="19" t="n">
        <f aca="false">AB27-T27</f>
        <v>65</v>
      </c>
      <c r="AD27" s="21" t="n">
        <f aca="false">SUMIFS(Permissions!$T$2:$T$3000,Permissions!$B$2:$B$3000,$A27,Permissions!$I$2:$I$3000,"Yes")</f>
        <v>0</v>
      </c>
      <c r="AE27" s="21" t="n">
        <f aca="false">SUMIFS(Permissions!$U$2:$U$3000,Permissions!$B$2:$B$3000,$A27,Permissions!$I$2:$I$3000,"Yes")</f>
        <v>0</v>
      </c>
      <c r="AF27" s="21" t="n">
        <f aca="false">SUMIFS(Permissions!$V$2:$V$3000,Permissions!$B$2:$B$3000,$A27,Permissions!$I$2:$I$3000,"Yes")</f>
        <v>0</v>
      </c>
      <c r="AG27" s="21" t="n">
        <f aca="false">SUMIFS(Permissions!$W$2:$W$3000,Permissions!$B$2:$B$3000,$A27,Permissions!$I$2:$I$3000,"Yes")</f>
        <v>0</v>
      </c>
      <c r="AH27" s="21" t="n">
        <f aca="false">SUMIFS(Permissions!$X$2:$X$3000,Permissions!$B$2:$B$3000,$A27,Permissions!$I$2:$I$3000,"Yes")</f>
        <v>0</v>
      </c>
      <c r="AI27" s="21" t="n">
        <f aca="false">SUMIFS(Permissions!$Y$2:$Y$3000,Permissions!$B$2:$B$3000,$A27,Permissions!$I$2:$I$3000,"Yes")</f>
        <v>0</v>
      </c>
      <c r="AJ27" s="19" t="n">
        <f aca="false">COUNTIFS(Permissions!$B$2:$B$3000,$A27,Permissions!$I$2:$I$3000,"Yes")</f>
        <v>0</v>
      </c>
      <c r="AK27" s="22" t="str">
        <f aca="false">IF(AND(N27&lt;&gt;"",X27&gt;1.1*N27),"Consented above capacity",IF(AND(LEFT(B27,8)="Planning",AJ27=0),"Consent parcel with no permission",IF(COUNTIF($A$2:$A$3000,$A27)&gt;1,"Duplicate parcel_id","")))</f>
        <v/>
      </c>
    </row>
    <row r="28" customFormat="false" ht="15" hidden="false" customHeight="false" outlineLevel="0" collapsed="false">
      <c r="A28" s="18" t="s">
        <v>147</v>
      </c>
      <c r="B28" s="18" t="s">
        <v>10</v>
      </c>
      <c r="C28" s="18" t="s">
        <v>15</v>
      </c>
      <c r="D28" s="18" t="n">
        <v>56</v>
      </c>
      <c r="E28" s="18" t="s">
        <v>141</v>
      </c>
      <c r="F28" s="18" t="s">
        <v>142</v>
      </c>
      <c r="G28" s="18" t="s">
        <v>143</v>
      </c>
      <c r="H28" s="18" t="s">
        <v>105</v>
      </c>
      <c r="I28" s="18" t="s">
        <v>92</v>
      </c>
      <c r="J28" s="18" t="s">
        <v>101</v>
      </c>
      <c r="K28" s="18" t="s">
        <v>115</v>
      </c>
      <c r="L28" s="18" t="n">
        <v>3.528</v>
      </c>
      <c r="M28" s="18" t="n">
        <v>4.642</v>
      </c>
      <c r="N28" s="18" t="n">
        <v>123</v>
      </c>
      <c r="O28" s="18" t="s">
        <v>95</v>
      </c>
      <c r="P28" s="18" t="s">
        <v>108</v>
      </c>
      <c r="Q28" s="18" t="s">
        <v>109</v>
      </c>
      <c r="R28" s="18" t="s">
        <v>98</v>
      </c>
      <c r="S28" s="18"/>
      <c r="T28" s="19" t="n">
        <f aca="false">SUMIFS(Permissions!$F$2:$F$3000,Permissions!$B$2:$B$3000,$A28,Permissions!$H$2:$H$3000,"Complete",Permissions!$I$2:$I$3000,"Yes")</f>
        <v>0</v>
      </c>
      <c r="U28" s="19" t="n">
        <f aca="false">SUMIFS(Permissions!$F$2:$F$3000,Permissions!$B$2:$B$3000,$A28,Permissions!$H$2:$H$3000,"Under construction",Permissions!$I$2:$I$3000,"Yes")</f>
        <v>32</v>
      </c>
      <c r="V28" s="19" t="n">
        <f aca="false">SUMIFS(Permissions!$F$2:$F$3000,Permissions!$B$2:$B$3000,$A28,Permissions!$H$2:$H$3000,"Permitted – not started",Permissions!$I$2:$I$3000,"Yes")</f>
        <v>114</v>
      </c>
      <c r="W28" s="19" t="n">
        <f aca="false">SUMIFS(Permissions!$F$2:$F$3000,Permissions!$B$2:$B$3000,$A28,Permissions!$H$2:$H$3000,"Stalled",Permissions!$I$2:$I$3000,"Yes")</f>
        <v>0</v>
      </c>
      <c r="X28" s="19" t="n">
        <f aca="false">T28+U28+V28+W28</f>
        <v>146</v>
      </c>
      <c r="Y28" s="19" t="n">
        <f aca="false">SUMIFS(Permissions!$F$2:$F$3000,Permissions!$B$2:$B$3000,$A28,Permissions!$H$2:$H$3000,"Expired – not started",Permissions!$I$2:$I$3000,"Yes")</f>
        <v>0</v>
      </c>
      <c r="Z28" s="19" t="n">
        <f aca="false">SUMIFS(Permissions!$F$2:$F$3000,Permissions!$B$2:$B$3000,$A28,Permissions!$H$2:$H$3000,"In planning",Permissions!$I$2:$I$3000,"Yes")</f>
        <v>0</v>
      </c>
      <c r="AA28" s="19" t="n">
        <f aca="false">IF(N28="",0,MAX(N28-X28,0))</f>
        <v>0</v>
      </c>
      <c r="AB28" s="20" t="n">
        <f aca="false">X28+AA28</f>
        <v>146</v>
      </c>
      <c r="AC28" s="19" t="n">
        <f aca="false">AB28-T28</f>
        <v>146</v>
      </c>
      <c r="AD28" s="21" t="n">
        <f aca="false">SUMIFS(Permissions!$T$2:$T$3000,Permissions!$B$2:$B$3000,$A28,Permissions!$I$2:$I$3000,"Yes")</f>
        <v>7.5</v>
      </c>
      <c r="AE28" s="21" t="n">
        <f aca="false">SUMIFS(Permissions!$U$2:$U$3000,Permissions!$B$2:$B$3000,$A28,Permissions!$I$2:$I$3000,"Yes")</f>
        <v>24.5</v>
      </c>
      <c r="AF28" s="21" t="n">
        <f aca="false">SUMIFS(Permissions!$V$2:$V$3000,Permissions!$B$2:$B$3000,$A28,Permissions!$I$2:$I$3000,"Yes")</f>
        <v>0</v>
      </c>
      <c r="AG28" s="21" t="n">
        <f aca="false">SUMIFS(Permissions!$W$2:$W$3000,Permissions!$B$2:$B$3000,$A28,Permissions!$I$2:$I$3000,"Yes")</f>
        <v>89.3</v>
      </c>
      <c r="AH28" s="21" t="n">
        <f aca="false">SUMIFS(Permissions!$X$2:$X$3000,Permissions!$B$2:$B$3000,$A28,Permissions!$I$2:$I$3000,"Yes")</f>
        <v>24.7</v>
      </c>
      <c r="AI28" s="21" t="n">
        <f aca="false">SUMIFS(Permissions!$Y$2:$Y$3000,Permissions!$B$2:$B$3000,$A28,Permissions!$I$2:$I$3000,"Yes")</f>
        <v>0</v>
      </c>
      <c r="AJ28" s="19" t="n">
        <f aca="false">COUNTIFS(Permissions!$B$2:$B$3000,$A28,Permissions!$I$2:$I$3000,"Yes")</f>
        <v>2</v>
      </c>
      <c r="AK28" s="22" t="str">
        <f aca="false">IF(AND(N28&lt;&gt;"",X28&gt;1.1*N28),"Consented above capacity",IF(AND(LEFT(B28,8)="Planning",AJ28=0),"Consent parcel with no permission",IF(COUNTIF($A$2:$A$3000,$A28)&gt;1,"Duplicate parcel_id","")))</f>
        <v>Consented above capacity</v>
      </c>
    </row>
    <row r="29" customFormat="false" ht="15" hidden="false" customHeight="false" outlineLevel="0" collapsed="false">
      <c r="A29" s="18" t="s">
        <v>148</v>
      </c>
      <c r="B29" s="18" t="s">
        <v>10</v>
      </c>
      <c r="C29" s="18" t="s">
        <v>15</v>
      </c>
      <c r="D29" s="18" t="n">
        <v>57</v>
      </c>
      <c r="E29" s="18" t="s">
        <v>141</v>
      </c>
      <c r="F29" s="18" t="s">
        <v>142</v>
      </c>
      <c r="G29" s="18" t="s">
        <v>143</v>
      </c>
      <c r="H29" s="18" t="s">
        <v>105</v>
      </c>
      <c r="I29" s="18" t="s">
        <v>92</v>
      </c>
      <c r="J29" s="18" t="s">
        <v>101</v>
      </c>
      <c r="K29" s="18" t="s">
        <v>149</v>
      </c>
      <c r="L29" s="18" t="n">
        <v>12.36</v>
      </c>
      <c r="M29" s="18" t="n">
        <v>12.356</v>
      </c>
      <c r="N29" s="18" t="n">
        <v>508</v>
      </c>
      <c r="O29" s="18" t="s">
        <v>95</v>
      </c>
      <c r="P29" s="18" t="s">
        <v>96</v>
      </c>
      <c r="Q29" s="18" t="s">
        <v>97</v>
      </c>
      <c r="R29" s="18" t="s">
        <v>98</v>
      </c>
      <c r="S29" s="18"/>
      <c r="T29" s="19" t="n">
        <f aca="false">SUMIFS(Permissions!$F$2:$F$3000,Permissions!$B$2:$B$3000,$A29,Permissions!$H$2:$H$3000,"Complete",Permissions!$I$2:$I$3000,"Yes")</f>
        <v>0</v>
      </c>
      <c r="U29" s="19" t="n">
        <f aca="false">SUMIFS(Permissions!$F$2:$F$3000,Permissions!$B$2:$B$3000,$A29,Permissions!$H$2:$H$3000,"Under construction",Permissions!$I$2:$I$3000,"Yes")</f>
        <v>0</v>
      </c>
      <c r="V29" s="19" t="n">
        <f aca="false">SUMIFS(Permissions!$F$2:$F$3000,Permissions!$B$2:$B$3000,$A29,Permissions!$H$2:$H$3000,"Permitted – not started",Permissions!$I$2:$I$3000,"Yes")</f>
        <v>523</v>
      </c>
      <c r="W29" s="19" t="n">
        <f aca="false">SUMIFS(Permissions!$F$2:$F$3000,Permissions!$B$2:$B$3000,$A29,Permissions!$H$2:$H$3000,"Stalled",Permissions!$I$2:$I$3000,"Yes")</f>
        <v>0</v>
      </c>
      <c r="X29" s="19" t="n">
        <f aca="false">T29+U29+V29+W29</f>
        <v>523</v>
      </c>
      <c r="Y29" s="19" t="n">
        <f aca="false">SUMIFS(Permissions!$F$2:$F$3000,Permissions!$B$2:$B$3000,$A29,Permissions!$H$2:$H$3000,"Expired – not started",Permissions!$I$2:$I$3000,"Yes")</f>
        <v>0</v>
      </c>
      <c r="Z29" s="19" t="n">
        <f aca="false">SUMIFS(Permissions!$F$2:$F$3000,Permissions!$B$2:$B$3000,$A29,Permissions!$H$2:$H$3000,"In planning",Permissions!$I$2:$I$3000,"Yes")</f>
        <v>0</v>
      </c>
      <c r="AA29" s="19" t="n">
        <f aca="false">IF(N29="",0,MAX(N29-X29,0))</f>
        <v>0</v>
      </c>
      <c r="AB29" s="20" t="n">
        <f aca="false">X29+AA29</f>
        <v>523</v>
      </c>
      <c r="AC29" s="19" t="n">
        <f aca="false">AB29-T29</f>
        <v>523</v>
      </c>
      <c r="AD29" s="21" t="n">
        <f aca="false">SUMIFS(Permissions!$T$2:$T$3000,Permissions!$B$2:$B$3000,$A29,Permissions!$I$2:$I$3000,"Yes")</f>
        <v>0</v>
      </c>
      <c r="AE29" s="21" t="n">
        <f aca="false">SUMIFS(Permissions!$U$2:$U$3000,Permissions!$B$2:$B$3000,$A29,Permissions!$I$2:$I$3000,"Yes")</f>
        <v>0</v>
      </c>
      <c r="AF29" s="21" t="n">
        <f aca="false">SUMIFS(Permissions!$V$2:$V$3000,Permissions!$B$2:$B$3000,$A29,Permissions!$I$2:$I$3000,"Yes")</f>
        <v>0</v>
      </c>
      <c r="AG29" s="21" t="n">
        <f aca="false">SUMIFS(Permissions!$W$2:$W$3000,Permissions!$B$2:$B$3000,$A29,Permissions!$I$2:$I$3000,"Yes")</f>
        <v>53.2</v>
      </c>
      <c r="AH29" s="21" t="n">
        <f aca="false">SUMIFS(Permissions!$X$2:$X$3000,Permissions!$B$2:$B$3000,$A29,Permissions!$I$2:$I$3000,"Yes")</f>
        <v>55.6</v>
      </c>
      <c r="AI29" s="21" t="n">
        <f aca="false">SUMIFS(Permissions!$Y$2:$Y$3000,Permissions!$B$2:$B$3000,$A29,Permissions!$I$2:$I$3000,"Yes")</f>
        <v>414.2</v>
      </c>
      <c r="AJ29" s="19" t="n">
        <f aca="false">COUNTIFS(Permissions!$B$2:$B$3000,$A29,Permissions!$I$2:$I$3000,"Yes")</f>
        <v>1</v>
      </c>
      <c r="AK29" s="22" t="str">
        <f aca="false">IF(AND(N29&lt;&gt;"",X29&gt;1.1*N29),"Consented above capacity",IF(AND(LEFT(B29,8)="Planning",AJ29=0),"Consent parcel with no permission",IF(COUNTIF($A$2:$A$3000,$A29)&gt;1,"Duplicate parcel_id","")))</f>
        <v/>
      </c>
    </row>
    <row r="30" customFormat="false" ht="15" hidden="false" customHeight="false" outlineLevel="0" collapsed="false">
      <c r="A30" s="18" t="s">
        <v>150</v>
      </c>
      <c r="B30" s="18" t="s">
        <v>10</v>
      </c>
      <c r="C30" s="18" t="s">
        <v>15</v>
      </c>
      <c r="D30" s="18" t="n">
        <v>60</v>
      </c>
      <c r="E30" s="18" t="s">
        <v>141</v>
      </c>
      <c r="F30" s="18" t="s">
        <v>142</v>
      </c>
      <c r="G30" s="18" t="s">
        <v>143</v>
      </c>
      <c r="H30" s="18" t="s">
        <v>105</v>
      </c>
      <c r="I30" s="18" t="s">
        <v>92</v>
      </c>
      <c r="J30" s="18" t="s">
        <v>101</v>
      </c>
      <c r="K30" s="18" t="s">
        <v>94</v>
      </c>
      <c r="L30" s="18" t="n">
        <v>1.133</v>
      </c>
      <c r="M30" s="18" t="n">
        <v>1.133</v>
      </c>
      <c r="N30" s="18" t="n">
        <v>51</v>
      </c>
      <c r="O30" s="18" t="s">
        <v>95</v>
      </c>
      <c r="P30" s="18" t="s">
        <v>96</v>
      </c>
      <c r="Q30" s="18" t="s">
        <v>97</v>
      </c>
      <c r="R30" s="18" t="s">
        <v>98</v>
      </c>
      <c r="S30" s="18"/>
      <c r="T30" s="19" t="n">
        <f aca="false">SUMIFS(Permissions!$F$2:$F$3000,Permissions!$B$2:$B$3000,$A30,Permissions!$H$2:$H$3000,"Complete",Permissions!$I$2:$I$3000,"Yes")</f>
        <v>0</v>
      </c>
      <c r="U30" s="19" t="n">
        <f aca="false">SUMIFS(Permissions!$F$2:$F$3000,Permissions!$B$2:$B$3000,$A30,Permissions!$H$2:$H$3000,"Under construction",Permissions!$I$2:$I$3000,"Yes")</f>
        <v>0</v>
      </c>
      <c r="V30" s="19" t="n">
        <f aca="false">SUMIFS(Permissions!$F$2:$F$3000,Permissions!$B$2:$B$3000,$A30,Permissions!$H$2:$H$3000,"Permitted – not started",Permissions!$I$2:$I$3000,"Yes")</f>
        <v>0</v>
      </c>
      <c r="W30" s="19" t="n">
        <f aca="false">SUMIFS(Permissions!$F$2:$F$3000,Permissions!$B$2:$B$3000,$A30,Permissions!$H$2:$H$3000,"Stalled",Permissions!$I$2:$I$3000,"Yes")</f>
        <v>0</v>
      </c>
      <c r="X30" s="19" t="n">
        <f aca="false">T30+U30+V30+W30</f>
        <v>0</v>
      </c>
      <c r="Y30" s="19" t="n">
        <f aca="false">SUMIFS(Permissions!$F$2:$F$3000,Permissions!$B$2:$B$3000,$A30,Permissions!$H$2:$H$3000,"Expired – not started",Permissions!$I$2:$I$3000,"Yes")</f>
        <v>0</v>
      </c>
      <c r="Z30" s="19" t="n">
        <f aca="false">SUMIFS(Permissions!$F$2:$F$3000,Permissions!$B$2:$B$3000,$A30,Permissions!$H$2:$H$3000,"In planning",Permissions!$I$2:$I$3000,"Yes")</f>
        <v>0</v>
      </c>
      <c r="AA30" s="19" t="n">
        <f aca="false">IF(N30="",0,MAX(N30-X30,0))</f>
        <v>51</v>
      </c>
      <c r="AB30" s="20" t="n">
        <f aca="false">X30+AA30</f>
        <v>51</v>
      </c>
      <c r="AC30" s="19" t="n">
        <f aca="false">AB30-T30</f>
        <v>51</v>
      </c>
      <c r="AD30" s="21" t="n">
        <f aca="false">SUMIFS(Permissions!$T$2:$T$3000,Permissions!$B$2:$B$3000,$A30,Permissions!$I$2:$I$3000,"Yes")</f>
        <v>0</v>
      </c>
      <c r="AE30" s="21" t="n">
        <f aca="false">SUMIFS(Permissions!$U$2:$U$3000,Permissions!$B$2:$B$3000,$A30,Permissions!$I$2:$I$3000,"Yes")</f>
        <v>0</v>
      </c>
      <c r="AF30" s="21" t="n">
        <f aca="false">SUMIFS(Permissions!$V$2:$V$3000,Permissions!$B$2:$B$3000,$A30,Permissions!$I$2:$I$3000,"Yes")</f>
        <v>0</v>
      </c>
      <c r="AG30" s="21" t="n">
        <f aca="false">SUMIFS(Permissions!$W$2:$W$3000,Permissions!$B$2:$B$3000,$A30,Permissions!$I$2:$I$3000,"Yes")</f>
        <v>0</v>
      </c>
      <c r="AH30" s="21" t="n">
        <f aca="false">SUMIFS(Permissions!$X$2:$X$3000,Permissions!$B$2:$B$3000,$A30,Permissions!$I$2:$I$3000,"Yes")</f>
        <v>0</v>
      </c>
      <c r="AI30" s="21" t="n">
        <f aca="false">SUMIFS(Permissions!$Y$2:$Y$3000,Permissions!$B$2:$B$3000,$A30,Permissions!$I$2:$I$3000,"Yes")</f>
        <v>0</v>
      </c>
      <c r="AJ30" s="19" t="n">
        <f aca="false">COUNTIFS(Permissions!$B$2:$B$3000,$A30,Permissions!$I$2:$I$3000,"Yes")</f>
        <v>0</v>
      </c>
      <c r="AK30" s="22" t="str">
        <f aca="false">IF(AND(N30&lt;&gt;"",X30&gt;1.1*N30),"Consented above capacity",IF(AND(LEFT(B30,8)="Planning",AJ30=0),"Consent parcel with no permission",IF(COUNTIF($A$2:$A$3000,$A30)&gt;1,"Duplicate parcel_id","")))</f>
        <v/>
      </c>
    </row>
    <row r="31" customFormat="false" ht="15" hidden="false" customHeight="false" outlineLevel="0" collapsed="false">
      <c r="A31" s="18" t="s">
        <v>151</v>
      </c>
      <c r="B31" s="18" t="s">
        <v>10</v>
      </c>
      <c r="C31" s="18" t="s">
        <v>15</v>
      </c>
      <c r="D31" s="18" t="n">
        <v>61</v>
      </c>
      <c r="E31" s="18" t="s">
        <v>141</v>
      </c>
      <c r="F31" s="18" t="s">
        <v>142</v>
      </c>
      <c r="G31" s="18" t="s">
        <v>143</v>
      </c>
      <c r="H31" s="18" t="s">
        <v>105</v>
      </c>
      <c r="I31" s="18" t="s">
        <v>92</v>
      </c>
      <c r="J31" s="18" t="s">
        <v>101</v>
      </c>
      <c r="K31" s="18" t="s">
        <v>94</v>
      </c>
      <c r="L31" s="18" t="n">
        <v>2.467</v>
      </c>
      <c r="M31" s="18" t="n">
        <v>2.467</v>
      </c>
      <c r="N31" s="18" t="n">
        <v>137</v>
      </c>
      <c r="O31" s="18" t="s">
        <v>95</v>
      </c>
      <c r="P31" s="18" t="s">
        <v>116</v>
      </c>
      <c r="Q31" s="18" t="s">
        <v>97</v>
      </c>
      <c r="R31" s="18" t="s">
        <v>98</v>
      </c>
      <c r="S31" s="18"/>
      <c r="T31" s="19" t="n">
        <f aca="false">SUMIFS(Permissions!$F$2:$F$3000,Permissions!$B$2:$B$3000,$A31,Permissions!$H$2:$H$3000,"Complete",Permissions!$I$2:$I$3000,"Yes")</f>
        <v>0</v>
      </c>
      <c r="U31" s="19" t="n">
        <f aca="false">SUMIFS(Permissions!$F$2:$F$3000,Permissions!$B$2:$B$3000,$A31,Permissions!$H$2:$H$3000,"Under construction",Permissions!$I$2:$I$3000,"Yes")</f>
        <v>0</v>
      </c>
      <c r="V31" s="19" t="n">
        <f aca="false">SUMIFS(Permissions!$F$2:$F$3000,Permissions!$B$2:$B$3000,$A31,Permissions!$H$2:$H$3000,"Permitted – not started",Permissions!$I$2:$I$3000,"Yes")</f>
        <v>0</v>
      </c>
      <c r="W31" s="19" t="n">
        <f aca="false">SUMIFS(Permissions!$F$2:$F$3000,Permissions!$B$2:$B$3000,$A31,Permissions!$H$2:$H$3000,"Stalled",Permissions!$I$2:$I$3000,"Yes")</f>
        <v>0</v>
      </c>
      <c r="X31" s="19" t="n">
        <f aca="false">T31+U31+V31+W31</f>
        <v>0</v>
      </c>
      <c r="Y31" s="19" t="n">
        <f aca="false">SUMIFS(Permissions!$F$2:$F$3000,Permissions!$B$2:$B$3000,$A31,Permissions!$H$2:$H$3000,"Expired – not started",Permissions!$I$2:$I$3000,"Yes")</f>
        <v>137</v>
      </c>
      <c r="Z31" s="19" t="n">
        <f aca="false">SUMIFS(Permissions!$F$2:$F$3000,Permissions!$B$2:$B$3000,$A31,Permissions!$H$2:$H$3000,"In planning",Permissions!$I$2:$I$3000,"Yes")</f>
        <v>0</v>
      </c>
      <c r="AA31" s="19" t="n">
        <f aca="false">IF(N31="",0,MAX(N31-X31,0))</f>
        <v>137</v>
      </c>
      <c r="AB31" s="20" t="n">
        <f aca="false">X31+AA31</f>
        <v>137</v>
      </c>
      <c r="AC31" s="19" t="n">
        <f aca="false">AB31-T31</f>
        <v>137</v>
      </c>
      <c r="AD31" s="21" t="n">
        <f aca="false">SUMIFS(Permissions!$T$2:$T$3000,Permissions!$B$2:$B$3000,$A31,Permissions!$I$2:$I$3000,"Yes")</f>
        <v>0</v>
      </c>
      <c r="AE31" s="21" t="n">
        <f aca="false">SUMIFS(Permissions!$U$2:$U$3000,Permissions!$B$2:$B$3000,$A31,Permissions!$I$2:$I$3000,"Yes")</f>
        <v>0</v>
      </c>
      <c r="AF31" s="21" t="n">
        <f aca="false">SUMIFS(Permissions!$V$2:$V$3000,Permissions!$B$2:$B$3000,$A31,Permissions!$I$2:$I$3000,"Yes")</f>
        <v>0</v>
      </c>
      <c r="AG31" s="21" t="n">
        <f aca="false">SUMIFS(Permissions!$W$2:$W$3000,Permissions!$B$2:$B$3000,$A31,Permissions!$I$2:$I$3000,"Yes")</f>
        <v>0</v>
      </c>
      <c r="AH31" s="21" t="n">
        <f aca="false">SUMIFS(Permissions!$X$2:$X$3000,Permissions!$B$2:$B$3000,$A31,Permissions!$I$2:$I$3000,"Yes")</f>
        <v>0</v>
      </c>
      <c r="AI31" s="21" t="n">
        <f aca="false">SUMIFS(Permissions!$Y$2:$Y$3000,Permissions!$B$2:$B$3000,$A31,Permissions!$I$2:$I$3000,"Yes")</f>
        <v>0</v>
      </c>
      <c r="AJ31" s="19" t="n">
        <f aca="false">COUNTIFS(Permissions!$B$2:$B$3000,$A31,Permissions!$I$2:$I$3000,"Yes")</f>
        <v>1</v>
      </c>
      <c r="AK31" s="22" t="str">
        <f aca="false">IF(AND(N31&lt;&gt;"",X31&gt;1.1*N31),"Consented above capacity",IF(AND(LEFT(B31,8)="Planning",AJ31=0),"Consent parcel with no permission",IF(COUNTIF($A$2:$A$3000,$A31)&gt;1,"Duplicate parcel_id","")))</f>
        <v/>
      </c>
    </row>
    <row r="32" customFormat="false" ht="15" hidden="false" customHeight="false" outlineLevel="0" collapsed="false">
      <c r="A32" s="18" t="s">
        <v>152</v>
      </c>
      <c r="B32" s="18" t="s">
        <v>10</v>
      </c>
      <c r="C32" s="18" t="s">
        <v>15</v>
      </c>
      <c r="D32" s="18" t="n">
        <v>62</v>
      </c>
      <c r="E32" s="18" t="s">
        <v>141</v>
      </c>
      <c r="F32" s="18" t="s">
        <v>142</v>
      </c>
      <c r="G32" s="18" t="s">
        <v>143</v>
      </c>
      <c r="H32" s="18" t="s">
        <v>105</v>
      </c>
      <c r="I32" s="18" t="s">
        <v>100</v>
      </c>
      <c r="J32" s="18" t="s">
        <v>101</v>
      </c>
      <c r="K32" s="18" t="s">
        <v>94</v>
      </c>
      <c r="L32" s="18" t="n">
        <v>1.582</v>
      </c>
      <c r="M32" s="18" t="n">
        <v>1.582</v>
      </c>
      <c r="N32" s="18" t="n">
        <v>71</v>
      </c>
      <c r="O32" s="18" t="s">
        <v>95</v>
      </c>
      <c r="P32" s="18" t="s">
        <v>96</v>
      </c>
      <c r="Q32" s="18" t="s">
        <v>97</v>
      </c>
      <c r="R32" s="18" t="s">
        <v>98</v>
      </c>
      <c r="S32" s="18"/>
      <c r="T32" s="19" t="n">
        <f aca="false">SUMIFS(Permissions!$F$2:$F$3000,Permissions!$B$2:$B$3000,$A32,Permissions!$H$2:$H$3000,"Complete",Permissions!$I$2:$I$3000,"Yes")</f>
        <v>0</v>
      </c>
      <c r="U32" s="19" t="n">
        <f aca="false">SUMIFS(Permissions!$F$2:$F$3000,Permissions!$B$2:$B$3000,$A32,Permissions!$H$2:$H$3000,"Under construction",Permissions!$I$2:$I$3000,"Yes")</f>
        <v>0</v>
      </c>
      <c r="V32" s="19" t="n">
        <f aca="false">SUMIFS(Permissions!$F$2:$F$3000,Permissions!$B$2:$B$3000,$A32,Permissions!$H$2:$H$3000,"Permitted – not started",Permissions!$I$2:$I$3000,"Yes")</f>
        <v>76</v>
      </c>
      <c r="W32" s="19" t="n">
        <f aca="false">SUMIFS(Permissions!$F$2:$F$3000,Permissions!$B$2:$B$3000,$A32,Permissions!$H$2:$H$3000,"Stalled",Permissions!$I$2:$I$3000,"Yes")</f>
        <v>0</v>
      </c>
      <c r="X32" s="19" t="n">
        <f aca="false">T32+U32+V32+W32</f>
        <v>76</v>
      </c>
      <c r="Y32" s="19" t="n">
        <f aca="false">SUMIFS(Permissions!$F$2:$F$3000,Permissions!$B$2:$B$3000,$A32,Permissions!$H$2:$H$3000,"Expired – not started",Permissions!$I$2:$I$3000,"Yes")</f>
        <v>0</v>
      </c>
      <c r="Z32" s="19" t="n">
        <f aca="false">SUMIFS(Permissions!$F$2:$F$3000,Permissions!$B$2:$B$3000,$A32,Permissions!$H$2:$H$3000,"In planning",Permissions!$I$2:$I$3000,"Yes")</f>
        <v>0</v>
      </c>
      <c r="AA32" s="19" t="n">
        <f aca="false">IF(N32="",0,MAX(N32-X32,0))</f>
        <v>0</v>
      </c>
      <c r="AB32" s="20" t="n">
        <f aca="false">X32+AA32</f>
        <v>76</v>
      </c>
      <c r="AC32" s="19" t="n">
        <f aca="false">AB32-T32</f>
        <v>76</v>
      </c>
      <c r="AD32" s="21" t="n">
        <f aca="false">SUMIFS(Permissions!$T$2:$T$3000,Permissions!$B$2:$B$3000,$A32,Permissions!$I$2:$I$3000,"Yes")</f>
        <v>0</v>
      </c>
      <c r="AE32" s="21" t="n">
        <f aca="false">SUMIFS(Permissions!$U$2:$U$3000,Permissions!$B$2:$B$3000,$A32,Permissions!$I$2:$I$3000,"Yes")</f>
        <v>0</v>
      </c>
      <c r="AF32" s="21" t="n">
        <f aca="false">SUMIFS(Permissions!$V$2:$V$3000,Permissions!$B$2:$B$3000,$A32,Permissions!$I$2:$I$3000,"Yes")</f>
        <v>20.9</v>
      </c>
      <c r="AG32" s="21" t="n">
        <f aca="false">SUMIFS(Permissions!$W$2:$W$3000,Permissions!$B$2:$B$3000,$A32,Permissions!$I$2:$I$3000,"Yes")</f>
        <v>55.1</v>
      </c>
      <c r="AH32" s="21" t="n">
        <f aca="false">SUMIFS(Permissions!$X$2:$X$3000,Permissions!$B$2:$B$3000,$A32,Permissions!$I$2:$I$3000,"Yes")</f>
        <v>0</v>
      </c>
      <c r="AI32" s="21" t="n">
        <f aca="false">SUMIFS(Permissions!$Y$2:$Y$3000,Permissions!$B$2:$B$3000,$A32,Permissions!$I$2:$I$3000,"Yes")</f>
        <v>0</v>
      </c>
      <c r="AJ32" s="19" t="n">
        <f aca="false">COUNTIFS(Permissions!$B$2:$B$3000,$A32,Permissions!$I$2:$I$3000,"Yes")</f>
        <v>1</v>
      </c>
      <c r="AK32" s="22" t="str">
        <f aca="false">IF(AND(N32&lt;&gt;"",X32&gt;1.1*N32),"Consented above capacity",IF(AND(LEFT(B32,8)="Planning",AJ32=0),"Consent parcel with no permission",IF(COUNTIF($A$2:$A$3000,$A32)&gt;1,"Duplicate parcel_id","")))</f>
        <v/>
      </c>
    </row>
    <row r="33" customFormat="false" ht="15" hidden="false" customHeight="false" outlineLevel="0" collapsed="false">
      <c r="A33" s="18" t="s">
        <v>153</v>
      </c>
      <c r="B33" s="18" t="s">
        <v>10</v>
      </c>
      <c r="C33" s="18" t="s">
        <v>15</v>
      </c>
      <c r="D33" s="18" t="n">
        <v>63</v>
      </c>
      <c r="E33" s="18" t="s">
        <v>141</v>
      </c>
      <c r="F33" s="18" t="s">
        <v>142</v>
      </c>
      <c r="G33" s="18" t="s">
        <v>143</v>
      </c>
      <c r="H33" s="18" t="s">
        <v>91</v>
      </c>
      <c r="I33" s="18" t="s">
        <v>92</v>
      </c>
      <c r="J33" s="18" t="s">
        <v>93</v>
      </c>
      <c r="K33" s="18" t="s">
        <v>94</v>
      </c>
      <c r="L33" s="18" t="n">
        <v>0.467</v>
      </c>
      <c r="M33" s="18" t="n">
        <v>0.468</v>
      </c>
      <c r="N33" s="18" t="n">
        <v>21</v>
      </c>
      <c r="O33" s="18" t="s">
        <v>95</v>
      </c>
      <c r="P33" s="18" t="s">
        <v>96</v>
      </c>
      <c r="Q33" s="18" t="s">
        <v>97</v>
      </c>
      <c r="R33" s="18" t="s">
        <v>98</v>
      </c>
      <c r="S33" s="18"/>
      <c r="T33" s="19" t="n">
        <f aca="false">SUMIFS(Permissions!$F$2:$F$3000,Permissions!$B$2:$B$3000,$A33,Permissions!$H$2:$H$3000,"Complete",Permissions!$I$2:$I$3000,"Yes")</f>
        <v>0</v>
      </c>
      <c r="U33" s="19" t="n">
        <f aca="false">SUMIFS(Permissions!$F$2:$F$3000,Permissions!$B$2:$B$3000,$A33,Permissions!$H$2:$H$3000,"Under construction",Permissions!$I$2:$I$3000,"Yes")</f>
        <v>0</v>
      </c>
      <c r="V33" s="19" t="n">
        <f aca="false">SUMIFS(Permissions!$F$2:$F$3000,Permissions!$B$2:$B$3000,$A33,Permissions!$H$2:$H$3000,"Permitted – not started",Permissions!$I$2:$I$3000,"Yes")</f>
        <v>0</v>
      </c>
      <c r="W33" s="19" t="n">
        <f aca="false">SUMIFS(Permissions!$F$2:$F$3000,Permissions!$B$2:$B$3000,$A33,Permissions!$H$2:$H$3000,"Stalled",Permissions!$I$2:$I$3000,"Yes")</f>
        <v>0</v>
      </c>
      <c r="X33" s="19" t="n">
        <f aca="false">T33+U33+V33+W33</f>
        <v>0</v>
      </c>
      <c r="Y33" s="19" t="n">
        <f aca="false">SUMIFS(Permissions!$F$2:$F$3000,Permissions!$B$2:$B$3000,$A33,Permissions!$H$2:$H$3000,"Expired – not started",Permissions!$I$2:$I$3000,"Yes")</f>
        <v>0</v>
      </c>
      <c r="Z33" s="19" t="n">
        <f aca="false">SUMIFS(Permissions!$F$2:$F$3000,Permissions!$B$2:$B$3000,$A33,Permissions!$H$2:$H$3000,"In planning",Permissions!$I$2:$I$3000,"Yes")</f>
        <v>0</v>
      </c>
      <c r="AA33" s="19" t="n">
        <f aca="false">IF(N33="",0,MAX(N33-X33,0))</f>
        <v>21</v>
      </c>
      <c r="AB33" s="20" t="n">
        <f aca="false">X33+AA33</f>
        <v>21</v>
      </c>
      <c r="AC33" s="19" t="n">
        <f aca="false">AB33-T33</f>
        <v>21</v>
      </c>
      <c r="AD33" s="21" t="n">
        <f aca="false">SUMIFS(Permissions!$T$2:$T$3000,Permissions!$B$2:$B$3000,$A33,Permissions!$I$2:$I$3000,"Yes")</f>
        <v>0</v>
      </c>
      <c r="AE33" s="21" t="n">
        <f aca="false">SUMIFS(Permissions!$U$2:$U$3000,Permissions!$B$2:$B$3000,$A33,Permissions!$I$2:$I$3000,"Yes")</f>
        <v>0</v>
      </c>
      <c r="AF33" s="21" t="n">
        <f aca="false">SUMIFS(Permissions!$V$2:$V$3000,Permissions!$B$2:$B$3000,$A33,Permissions!$I$2:$I$3000,"Yes")</f>
        <v>0</v>
      </c>
      <c r="AG33" s="21" t="n">
        <f aca="false">SUMIFS(Permissions!$W$2:$W$3000,Permissions!$B$2:$B$3000,$A33,Permissions!$I$2:$I$3000,"Yes")</f>
        <v>0</v>
      </c>
      <c r="AH33" s="21" t="n">
        <f aca="false">SUMIFS(Permissions!$X$2:$X$3000,Permissions!$B$2:$B$3000,$A33,Permissions!$I$2:$I$3000,"Yes")</f>
        <v>0</v>
      </c>
      <c r="AI33" s="21" t="n">
        <f aca="false">SUMIFS(Permissions!$Y$2:$Y$3000,Permissions!$B$2:$B$3000,$A33,Permissions!$I$2:$I$3000,"Yes")</f>
        <v>0</v>
      </c>
      <c r="AJ33" s="19" t="n">
        <f aca="false">COUNTIFS(Permissions!$B$2:$B$3000,$A33,Permissions!$I$2:$I$3000,"Yes")</f>
        <v>0</v>
      </c>
      <c r="AK33" s="22" t="str">
        <f aca="false">IF(AND(N33&lt;&gt;"",X33&gt;1.1*N33),"Consented above capacity",IF(AND(LEFT(B33,8)="Planning",AJ33=0),"Consent parcel with no permission",IF(COUNTIF($A$2:$A$3000,$A33)&gt;1,"Duplicate parcel_id","")))</f>
        <v/>
      </c>
    </row>
    <row r="34" customFormat="false" ht="15" hidden="false" customHeight="false" outlineLevel="0" collapsed="false">
      <c r="A34" s="18" t="s">
        <v>154</v>
      </c>
      <c r="B34" s="18" t="s">
        <v>10</v>
      </c>
      <c r="C34" s="18" t="s">
        <v>15</v>
      </c>
      <c r="D34" s="18" t="n">
        <v>65</v>
      </c>
      <c r="E34" s="18" t="s">
        <v>141</v>
      </c>
      <c r="F34" s="18" t="s">
        <v>142</v>
      </c>
      <c r="G34" s="18" t="s">
        <v>143</v>
      </c>
      <c r="H34" s="18" t="s">
        <v>105</v>
      </c>
      <c r="I34" s="18" t="s">
        <v>92</v>
      </c>
      <c r="J34" s="18" t="s">
        <v>101</v>
      </c>
      <c r="K34" s="18" t="s">
        <v>94</v>
      </c>
      <c r="L34" s="18" t="n">
        <v>1.181</v>
      </c>
      <c r="M34" s="18" t="n">
        <v>1.181</v>
      </c>
      <c r="N34" s="18" t="n">
        <v>53</v>
      </c>
      <c r="O34" s="18" t="s">
        <v>95</v>
      </c>
      <c r="P34" s="18" t="s">
        <v>96</v>
      </c>
      <c r="Q34" s="18" t="s">
        <v>97</v>
      </c>
      <c r="R34" s="18" t="s">
        <v>98</v>
      </c>
      <c r="S34" s="18"/>
      <c r="T34" s="19" t="n">
        <f aca="false">SUMIFS(Permissions!$F$2:$F$3000,Permissions!$B$2:$B$3000,$A34,Permissions!$H$2:$H$3000,"Complete",Permissions!$I$2:$I$3000,"Yes")</f>
        <v>0</v>
      </c>
      <c r="U34" s="19" t="n">
        <f aca="false">SUMIFS(Permissions!$F$2:$F$3000,Permissions!$B$2:$B$3000,$A34,Permissions!$H$2:$H$3000,"Under construction",Permissions!$I$2:$I$3000,"Yes")</f>
        <v>0</v>
      </c>
      <c r="V34" s="19" t="n">
        <f aca="false">SUMIFS(Permissions!$F$2:$F$3000,Permissions!$B$2:$B$3000,$A34,Permissions!$H$2:$H$3000,"Permitted – not started",Permissions!$I$2:$I$3000,"Yes")</f>
        <v>0</v>
      </c>
      <c r="W34" s="19" t="n">
        <f aca="false">SUMIFS(Permissions!$F$2:$F$3000,Permissions!$B$2:$B$3000,$A34,Permissions!$H$2:$H$3000,"Stalled",Permissions!$I$2:$I$3000,"Yes")</f>
        <v>0</v>
      </c>
      <c r="X34" s="19" t="n">
        <f aca="false">T34+U34+V34+W34</f>
        <v>0</v>
      </c>
      <c r="Y34" s="19" t="n">
        <f aca="false">SUMIFS(Permissions!$F$2:$F$3000,Permissions!$B$2:$B$3000,$A34,Permissions!$H$2:$H$3000,"Expired – not started",Permissions!$I$2:$I$3000,"Yes")</f>
        <v>0</v>
      </c>
      <c r="Z34" s="19" t="n">
        <f aca="false">SUMIFS(Permissions!$F$2:$F$3000,Permissions!$B$2:$B$3000,$A34,Permissions!$H$2:$H$3000,"In planning",Permissions!$I$2:$I$3000,"Yes")</f>
        <v>0</v>
      </c>
      <c r="AA34" s="19" t="n">
        <f aca="false">IF(N34="",0,MAX(N34-X34,0))</f>
        <v>53</v>
      </c>
      <c r="AB34" s="20" t="n">
        <f aca="false">X34+AA34</f>
        <v>53</v>
      </c>
      <c r="AC34" s="19" t="n">
        <f aca="false">AB34-T34</f>
        <v>53</v>
      </c>
      <c r="AD34" s="21" t="n">
        <f aca="false">SUMIFS(Permissions!$T$2:$T$3000,Permissions!$B$2:$B$3000,$A34,Permissions!$I$2:$I$3000,"Yes")</f>
        <v>0</v>
      </c>
      <c r="AE34" s="21" t="n">
        <f aca="false">SUMIFS(Permissions!$U$2:$U$3000,Permissions!$B$2:$B$3000,$A34,Permissions!$I$2:$I$3000,"Yes")</f>
        <v>0</v>
      </c>
      <c r="AF34" s="21" t="n">
        <f aca="false">SUMIFS(Permissions!$V$2:$V$3000,Permissions!$B$2:$B$3000,$A34,Permissions!$I$2:$I$3000,"Yes")</f>
        <v>0</v>
      </c>
      <c r="AG34" s="21" t="n">
        <f aca="false">SUMIFS(Permissions!$W$2:$W$3000,Permissions!$B$2:$B$3000,$A34,Permissions!$I$2:$I$3000,"Yes")</f>
        <v>0</v>
      </c>
      <c r="AH34" s="21" t="n">
        <f aca="false">SUMIFS(Permissions!$X$2:$X$3000,Permissions!$B$2:$B$3000,$A34,Permissions!$I$2:$I$3000,"Yes")</f>
        <v>0</v>
      </c>
      <c r="AI34" s="21" t="n">
        <f aca="false">SUMIFS(Permissions!$Y$2:$Y$3000,Permissions!$B$2:$B$3000,$A34,Permissions!$I$2:$I$3000,"Yes")</f>
        <v>0</v>
      </c>
      <c r="AJ34" s="19" t="n">
        <f aca="false">COUNTIFS(Permissions!$B$2:$B$3000,$A34,Permissions!$I$2:$I$3000,"Yes")</f>
        <v>0</v>
      </c>
      <c r="AK34" s="22" t="str">
        <f aca="false">IF(AND(N34&lt;&gt;"",X34&gt;1.1*N34),"Consented above capacity",IF(AND(LEFT(B34,8)="Planning",AJ34=0),"Consent parcel with no permission",IF(COUNTIF($A$2:$A$3000,$A34)&gt;1,"Duplicate parcel_id","")))</f>
        <v/>
      </c>
    </row>
    <row r="35" customFormat="false" ht="15" hidden="false" customHeight="false" outlineLevel="0" collapsed="false">
      <c r="A35" s="18" t="s">
        <v>155</v>
      </c>
      <c r="B35" s="18" t="s">
        <v>10</v>
      </c>
      <c r="C35" s="18" t="s">
        <v>15</v>
      </c>
      <c r="D35" s="18" t="n">
        <v>66</v>
      </c>
      <c r="E35" s="18" t="s">
        <v>141</v>
      </c>
      <c r="F35" s="18" t="s">
        <v>142</v>
      </c>
      <c r="G35" s="18" t="s">
        <v>143</v>
      </c>
      <c r="H35" s="18" t="s">
        <v>105</v>
      </c>
      <c r="I35" s="18" t="s">
        <v>92</v>
      </c>
      <c r="J35" s="18" t="s">
        <v>101</v>
      </c>
      <c r="K35" s="18" t="s">
        <v>115</v>
      </c>
      <c r="L35" s="18" t="n">
        <v>0.191</v>
      </c>
      <c r="M35" s="18" t="n">
        <v>0.192</v>
      </c>
      <c r="N35" s="18" t="n">
        <v>7</v>
      </c>
      <c r="O35" s="18" t="s">
        <v>95</v>
      </c>
      <c r="P35" s="18" t="s">
        <v>96</v>
      </c>
      <c r="Q35" s="18" t="s">
        <v>97</v>
      </c>
      <c r="R35" s="18" t="s">
        <v>98</v>
      </c>
      <c r="S35" s="18"/>
      <c r="T35" s="19" t="n">
        <f aca="false">SUMIFS(Permissions!$F$2:$F$3000,Permissions!$B$2:$B$3000,$A35,Permissions!$H$2:$H$3000,"Complete",Permissions!$I$2:$I$3000,"Yes")</f>
        <v>0</v>
      </c>
      <c r="U35" s="19" t="n">
        <f aca="false">SUMIFS(Permissions!$F$2:$F$3000,Permissions!$B$2:$B$3000,$A35,Permissions!$H$2:$H$3000,"Under construction",Permissions!$I$2:$I$3000,"Yes")</f>
        <v>0</v>
      </c>
      <c r="V35" s="19" t="n">
        <f aca="false">SUMIFS(Permissions!$F$2:$F$3000,Permissions!$B$2:$B$3000,$A35,Permissions!$H$2:$H$3000,"Permitted – not started",Permissions!$I$2:$I$3000,"Yes")</f>
        <v>0</v>
      </c>
      <c r="W35" s="19" t="n">
        <f aca="false">SUMIFS(Permissions!$F$2:$F$3000,Permissions!$B$2:$B$3000,$A35,Permissions!$H$2:$H$3000,"Stalled",Permissions!$I$2:$I$3000,"Yes")</f>
        <v>0</v>
      </c>
      <c r="X35" s="19" t="n">
        <f aca="false">T35+U35+V35+W35</f>
        <v>0</v>
      </c>
      <c r="Y35" s="19" t="n">
        <f aca="false">SUMIFS(Permissions!$F$2:$F$3000,Permissions!$B$2:$B$3000,$A35,Permissions!$H$2:$H$3000,"Expired – not started",Permissions!$I$2:$I$3000,"Yes")</f>
        <v>0</v>
      </c>
      <c r="Z35" s="19" t="n">
        <f aca="false">SUMIFS(Permissions!$F$2:$F$3000,Permissions!$B$2:$B$3000,$A35,Permissions!$H$2:$H$3000,"In planning",Permissions!$I$2:$I$3000,"Yes")</f>
        <v>0</v>
      </c>
      <c r="AA35" s="19" t="n">
        <f aca="false">IF(N35="",0,MAX(N35-X35,0))</f>
        <v>7</v>
      </c>
      <c r="AB35" s="20" t="n">
        <f aca="false">X35+AA35</f>
        <v>7</v>
      </c>
      <c r="AC35" s="19" t="n">
        <f aca="false">AB35-T35</f>
        <v>7</v>
      </c>
      <c r="AD35" s="21" t="n">
        <f aca="false">SUMIFS(Permissions!$T$2:$T$3000,Permissions!$B$2:$B$3000,$A35,Permissions!$I$2:$I$3000,"Yes")</f>
        <v>0</v>
      </c>
      <c r="AE35" s="21" t="n">
        <f aca="false">SUMIFS(Permissions!$U$2:$U$3000,Permissions!$B$2:$B$3000,$A35,Permissions!$I$2:$I$3000,"Yes")</f>
        <v>0</v>
      </c>
      <c r="AF35" s="21" t="n">
        <f aca="false">SUMIFS(Permissions!$V$2:$V$3000,Permissions!$B$2:$B$3000,$A35,Permissions!$I$2:$I$3000,"Yes")</f>
        <v>0</v>
      </c>
      <c r="AG35" s="21" t="n">
        <f aca="false">SUMIFS(Permissions!$W$2:$W$3000,Permissions!$B$2:$B$3000,$A35,Permissions!$I$2:$I$3000,"Yes")</f>
        <v>0</v>
      </c>
      <c r="AH35" s="21" t="n">
        <f aca="false">SUMIFS(Permissions!$X$2:$X$3000,Permissions!$B$2:$B$3000,$A35,Permissions!$I$2:$I$3000,"Yes")</f>
        <v>0</v>
      </c>
      <c r="AI35" s="21" t="n">
        <f aca="false">SUMIFS(Permissions!$Y$2:$Y$3000,Permissions!$B$2:$B$3000,$A35,Permissions!$I$2:$I$3000,"Yes")</f>
        <v>0</v>
      </c>
      <c r="AJ35" s="19" t="n">
        <f aca="false">COUNTIFS(Permissions!$B$2:$B$3000,$A35,Permissions!$I$2:$I$3000,"Yes")</f>
        <v>0</v>
      </c>
      <c r="AK35" s="22" t="str">
        <f aca="false">IF(AND(N35&lt;&gt;"",X35&gt;1.1*N35),"Consented above capacity",IF(AND(LEFT(B35,8)="Planning",AJ35=0),"Consent parcel with no permission",IF(COUNTIF($A$2:$A$3000,$A35)&gt;1,"Duplicate parcel_id","")))</f>
        <v/>
      </c>
    </row>
    <row r="36" customFormat="false" ht="15" hidden="false" customHeight="false" outlineLevel="0" collapsed="false">
      <c r="A36" s="18" t="s">
        <v>156</v>
      </c>
      <c r="B36" s="18" t="s">
        <v>10</v>
      </c>
      <c r="C36" s="18" t="s">
        <v>15</v>
      </c>
      <c r="D36" s="18" t="n">
        <v>67</v>
      </c>
      <c r="E36" s="18" t="s">
        <v>141</v>
      </c>
      <c r="F36" s="18" t="s">
        <v>142</v>
      </c>
      <c r="G36" s="18" t="s">
        <v>143</v>
      </c>
      <c r="H36" s="18" t="s">
        <v>105</v>
      </c>
      <c r="I36" s="18" t="s">
        <v>92</v>
      </c>
      <c r="J36" s="18" t="s">
        <v>101</v>
      </c>
      <c r="K36" s="18" t="s">
        <v>115</v>
      </c>
      <c r="L36" s="18" t="n">
        <v>2.056</v>
      </c>
      <c r="M36" s="18" t="n">
        <v>2.056</v>
      </c>
      <c r="N36" s="18" t="n">
        <v>72</v>
      </c>
      <c r="O36" s="18" t="s">
        <v>95</v>
      </c>
      <c r="P36" s="18" t="s">
        <v>96</v>
      </c>
      <c r="Q36" s="18" t="s">
        <v>97</v>
      </c>
      <c r="R36" s="18" t="s">
        <v>98</v>
      </c>
      <c r="S36" s="18"/>
      <c r="T36" s="19" t="n">
        <f aca="false">SUMIFS(Permissions!$F$2:$F$3000,Permissions!$B$2:$B$3000,$A36,Permissions!$H$2:$H$3000,"Complete",Permissions!$I$2:$I$3000,"Yes")</f>
        <v>0</v>
      </c>
      <c r="U36" s="19" t="n">
        <f aca="false">SUMIFS(Permissions!$F$2:$F$3000,Permissions!$B$2:$B$3000,$A36,Permissions!$H$2:$H$3000,"Under construction",Permissions!$I$2:$I$3000,"Yes")</f>
        <v>0</v>
      </c>
      <c r="V36" s="19" t="n">
        <f aca="false">SUMIFS(Permissions!$F$2:$F$3000,Permissions!$B$2:$B$3000,$A36,Permissions!$H$2:$H$3000,"Permitted – not started",Permissions!$I$2:$I$3000,"Yes")</f>
        <v>0</v>
      </c>
      <c r="W36" s="19" t="n">
        <f aca="false">SUMIFS(Permissions!$F$2:$F$3000,Permissions!$B$2:$B$3000,$A36,Permissions!$H$2:$H$3000,"Stalled",Permissions!$I$2:$I$3000,"Yes")</f>
        <v>0</v>
      </c>
      <c r="X36" s="19" t="n">
        <f aca="false">T36+U36+V36+W36</f>
        <v>0</v>
      </c>
      <c r="Y36" s="19" t="n">
        <f aca="false">SUMIFS(Permissions!$F$2:$F$3000,Permissions!$B$2:$B$3000,$A36,Permissions!$H$2:$H$3000,"Expired – not started",Permissions!$I$2:$I$3000,"Yes")</f>
        <v>0</v>
      </c>
      <c r="Z36" s="19" t="n">
        <f aca="false">SUMIFS(Permissions!$F$2:$F$3000,Permissions!$B$2:$B$3000,$A36,Permissions!$H$2:$H$3000,"In planning",Permissions!$I$2:$I$3000,"Yes")</f>
        <v>0</v>
      </c>
      <c r="AA36" s="19" t="n">
        <f aca="false">IF(N36="",0,MAX(N36-X36,0))</f>
        <v>72</v>
      </c>
      <c r="AB36" s="20" t="n">
        <f aca="false">X36+AA36</f>
        <v>72</v>
      </c>
      <c r="AC36" s="19" t="n">
        <f aca="false">AB36-T36</f>
        <v>72</v>
      </c>
      <c r="AD36" s="21" t="n">
        <f aca="false">SUMIFS(Permissions!$T$2:$T$3000,Permissions!$B$2:$B$3000,$A36,Permissions!$I$2:$I$3000,"Yes")</f>
        <v>0</v>
      </c>
      <c r="AE36" s="21" t="n">
        <f aca="false">SUMIFS(Permissions!$U$2:$U$3000,Permissions!$B$2:$B$3000,$A36,Permissions!$I$2:$I$3000,"Yes")</f>
        <v>0</v>
      </c>
      <c r="AF36" s="21" t="n">
        <f aca="false">SUMIFS(Permissions!$V$2:$V$3000,Permissions!$B$2:$B$3000,$A36,Permissions!$I$2:$I$3000,"Yes")</f>
        <v>0</v>
      </c>
      <c r="AG36" s="21" t="n">
        <f aca="false">SUMIFS(Permissions!$W$2:$W$3000,Permissions!$B$2:$B$3000,$A36,Permissions!$I$2:$I$3000,"Yes")</f>
        <v>0</v>
      </c>
      <c r="AH36" s="21" t="n">
        <f aca="false">SUMIFS(Permissions!$X$2:$X$3000,Permissions!$B$2:$B$3000,$A36,Permissions!$I$2:$I$3000,"Yes")</f>
        <v>0</v>
      </c>
      <c r="AI36" s="21" t="n">
        <f aca="false">SUMIFS(Permissions!$Y$2:$Y$3000,Permissions!$B$2:$B$3000,$A36,Permissions!$I$2:$I$3000,"Yes")</f>
        <v>0</v>
      </c>
      <c r="AJ36" s="19" t="n">
        <f aca="false">COUNTIFS(Permissions!$B$2:$B$3000,$A36,Permissions!$I$2:$I$3000,"Yes")</f>
        <v>0</v>
      </c>
      <c r="AK36" s="22" t="str">
        <f aca="false">IF(AND(N36&lt;&gt;"",X36&gt;1.1*N36),"Consented above capacity",IF(AND(LEFT(B36,8)="Planning",AJ36=0),"Consent parcel with no permission",IF(COUNTIF($A$2:$A$3000,$A36)&gt;1,"Duplicate parcel_id","")))</f>
        <v/>
      </c>
    </row>
    <row r="37" customFormat="false" ht="15" hidden="false" customHeight="false" outlineLevel="0" collapsed="false">
      <c r="A37" s="18" t="s">
        <v>157</v>
      </c>
      <c r="B37" s="18" t="s">
        <v>10</v>
      </c>
      <c r="C37" s="18" t="s">
        <v>15</v>
      </c>
      <c r="D37" s="18" t="n">
        <v>69</v>
      </c>
      <c r="E37" s="18" t="s">
        <v>141</v>
      </c>
      <c r="F37" s="18" t="s">
        <v>142</v>
      </c>
      <c r="G37" s="18" t="s">
        <v>143</v>
      </c>
      <c r="H37" s="18" t="s">
        <v>105</v>
      </c>
      <c r="I37" s="18" t="s">
        <v>92</v>
      </c>
      <c r="J37" s="18" t="s">
        <v>114</v>
      </c>
      <c r="K37" s="18" t="s">
        <v>158</v>
      </c>
      <c r="L37" s="18" t="n">
        <v>8.746</v>
      </c>
      <c r="M37" s="18" t="n">
        <v>8.743</v>
      </c>
      <c r="N37" s="18" t="n">
        <v>310</v>
      </c>
      <c r="O37" s="18" t="s">
        <v>95</v>
      </c>
      <c r="P37" s="18" t="s">
        <v>96</v>
      </c>
      <c r="Q37" s="18" t="s">
        <v>97</v>
      </c>
      <c r="R37" s="18" t="s">
        <v>98</v>
      </c>
      <c r="S37" s="18"/>
      <c r="T37" s="19" t="n">
        <f aca="false">SUMIFS(Permissions!$F$2:$F$3000,Permissions!$B$2:$B$3000,$A37,Permissions!$H$2:$H$3000,"Complete",Permissions!$I$2:$I$3000,"Yes")</f>
        <v>0</v>
      </c>
      <c r="U37" s="19" t="n">
        <f aca="false">SUMIFS(Permissions!$F$2:$F$3000,Permissions!$B$2:$B$3000,$A37,Permissions!$H$2:$H$3000,"Under construction",Permissions!$I$2:$I$3000,"Yes")</f>
        <v>0</v>
      </c>
      <c r="V37" s="19" t="n">
        <f aca="false">SUMIFS(Permissions!$F$2:$F$3000,Permissions!$B$2:$B$3000,$A37,Permissions!$H$2:$H$3000,"Permitted – not started",Permissions!$I$2:$I$3000,"Yes")</f>
        <v>0</v>
      </c>
      <c r="W37" s="19" t="n">
        <f aca="false">SUMIFS(Permissions!$F$2:$F$3000,Permissions!$B$2:$B$3000,$A37,Permissions!$H$2:$H$3000,"Stalled",Permissions!$I$2:$I$3000,"Yes")</f>
        <v>0</v>
      </c>
      <c r="X37" s="19" t="n">
        <f aca="false">T37+U37+V37+W37</f>
        <v>0</v>
      </c>
      <c r="Y37" s="19" t="n">
        <f aca="false">SUMIFS(Permissions!$F$2:$F$3000,Permissions!$B$2:$B$3000,$A37,Permissions!$H$2:$H$3000,"Expired – not started",Permissions!$I$2:$I$3000,"Yes")</f>
        <v>0</v>
      </c>
      <c r="Z37" s="19" t="n">
        <f aca="false">SUMIFS(Permissions!$F$2:$F$3000,Permissions!$B$2:$B$3000,$A37,Permissions!$H$2:$H$3000,"In planning",Permissions!$I$2:$I$3000,"Yes")</f>
        <v>0</v>
      </c>
      <c r="AA37" s="19" t="n">
        <f aca="false">IF(N37="",0,MAX(N37-X37,0))</f>
        <v>310</v>
      </c>
      <c r="AB37" s="20" t="n">
        <f aca="false">X37+AA37</f>
        <v>310</v>
      </c>
      <c r="AC37" s="19" t="n">
        <f aca="false">AB37-T37</f>
        <v>310</v>
      </c>
      <c r="AD37" s="21" t="n">
        <f aca="false">SUMIFS(Permissions!$T$2:$T$3000,Permissions!$B$2:$B$3000,$A37,Permissions!$I$2:$I$3000,"Yes")</f>
        <v>0</v>
      </c>
      <c r="AE37" s="21" t="n">
        <f aca="false">SUMIFS(Permissions!$U$2:$U$3000,Permissions!$B$2:$B$3000,$A37,Permissions!$I$2:$I$3000,"Yes")</f>
        <v>0</v>
      </c>
      <c r="AF37" s="21" t="n">
        <f aca="false">SUMIFS(Permissions!$V$2:$V$3000,Permissions!$B$2:$B$3000,$A37,Permissions!$I$2:$I$3000,"Yes")</f>
        <v>0</v>
      </c>
      <c r="AG37" s="21" t="n">
        <f aca="false">SUMIFS(Permissions!$W$2:$W$3000,Permissions!$B$2:$B$3000,$A37,Permissions!$I$2:$I$3000,"Yes")</f>
        <v>0</v>
      </c>
      <c r="AH37" s="21" t="n">
        <f aca="false">SUMIFS(Permissions!$X$2:$X$3000,Permissions!$B$2:$B$3000,$A37,Permissions!$I$2:$I$3000,"Yes")</f>
        <v>0</v>
      </c>
      <c r="AI37" s="21" t="n">
        <f aca="false">SUMIFS(Permissions!$Y$2:$Y$3000,Permissions!$B$2:$B$3000,$A37,Permissions!$I$2:$I$3000,"Yes")</f>
        <v>0</v>
      </c>
      <c r="AJ37" s="19" t="n">
        <f aca="false">COUNTIFS(Permissions!$B$2:$B$3000,$A37,Permissions!$I$2:$I$3000,"Yes")</f>
        <v>0</v>
      </c>
      <c r="AK37" s="22" t="str">
        <f aca="false">IF(AND(N37&lt;&gt;"",X37&gt;1.1*N37),"Consented above capacity",IF(AND(LEFT(B37,8)="Planning",AJ37=0),"Consent parcel with no permission",IF(COUNTIF($A$2:$A$3000,$A37)&gt;1,"Duplicate parcel_id","")))</f>
        <v/>
      </c>
    </row>
    <row r="38" customFormat="false" ht="15" hidden="false" customHeight="false" outlineLevel="0" collapsed="false">
      <c r="A38" s="18" t="s">
        <v>159</v>
      </c>
      <c r="B38" s="18" t="s">
        <v>10</v>
      </c>
      <c r="C38" s="18" t="s">
        <v>15</v>
      </c>
      <c r="D38" s="18" t="n">
        <v>70</v>
      </c>
      <c r="E38" s="18" t="s">
        <v>141</v>
      </c>
      <c r="F38" s="18" t="s">
        <v>142</v>
      </c>
      <c r="G38" s="18" t="s">
        <v>143</v>
      </c>
      <c r="H38" s="18" t="s">
        <v>105</v>
      </c>
      <c r="I38" s="18" t="s">
        <v>92</v>
      </c>
      <c r="J38" s="18" t="s">
        <v>114</v>
      </c>
      <c r="K38" s="18" t="s">
        <v>160</v>
      </c>
      <c r="L38" s="18" t="n">
        <v>8.56</v>
      </c>
      <c r="M38" s="18" t="n">
        <v>8.556</v>
      </c>
      <c r="N38" s="18" t="n">
        <v>375</v>
      </c>
      <c r="O38" s="18" t="s">
        <v>95</v>
      </c>
      <c r="P38" s="18" t="s">
        <v>96</v>
      </c>
      <c r="Q38" s="18" t="s">
        <v>97</v>
      </c>
      <c r="R38" s="18" t="s">
        <v>98</v>
      </c>
      <c r="S38" s="18"/>
      <c r="T38" s="19" t="n">
        <f aca="false">SUMIFS(Permissions!$F$2:$F$3000,Permissions!$B$2:$B$3000,$A38,Permissions!$H$2:$H$3000,"Complete",Permissions!$I$2:$I$3000,"Yes")</f>
        <v>0</v>
      </c>
      <c r="U38" s="19" t="n">
        <f aca="false">SUMIFS(Permissions!$F$2:$F$3000,Permissions!$B$2:$B$3000,$A38,Permissions!$H$2:$H$3000,"Under construction",Permissions!$I$2:$I$3000,"Yes")</f>
        <v>0</v>
      </c>
      <c r="V38" s="19" t="n">
        <f aca="false">SUMIFS(Permissions!$F$2:$F$3000,Permissions!$B$2:$B$3000,$A38,Permissions!$H$2:$H$3000,"Permitted – not started",Permissions!$I$2:$I$3000,"Yes")</f>
        <v>0</v>
      </c>
      <c r="W38" s="19" t="n">
        <f aca="false">SUMIFS(Permissions!$F$2:$F$3000,Permissions!$B$2:$B$3000,$A38,Permissions!$H$2:$H$3000,"Stalled",Permissions!$I$2:$I$3000,"Yes")</f>
        <v>0</v>
      </c>
      <c r="X38" s="19" t="n">
        <f aca="false">T38+U38+V38+W38</f>
        <v>0</v>
      </c>
      <c r="Y38" s="19" t="n">
        <f aca="false">SUMIFS(Permissions!$F$2:$F$3000,Permissions!$B$2:$B$3000,$A38,Permissions!$H$2:$H$3000,"Expired – not started",Permissions!$I$2:$I$3000,"Yes")</f>
        <v>0</v>
      </c>
      <c r="Z38" s="19" t="n">
        <f aca="false">SUMIFS(Permissions!$F$2:$F$3000,Permissions!$B$2:$B$3000,$A38,Permissions!$H$2:$H$3000,"In planning",Permissions!$I$2:$I$3000,"Yes")</f>
        <v>0</v>
      </c>
      <c r="AA38" s="19" t="n">
        <f aca="false">IF(N38="",0,MAX(N38-X38,0))</f>
        <v>375</v>
      </c>
      <c r="AB38" s="20" t="n">
        <f aca="false">X38+AA38</f>
        <v>375</v>
      </c>
      <c r="AC38" s="19" t="n">
        <f aca="false">AB38-T38</f>
        <v>375</v>
      </c>
      <c r="AD38" s="21" t="n">
        <f aca="false">SUMIFS(Permissions!$T$2:$T$3000,Permissions!$B$2:$B$3000,$A38,Permissions!$I$2:$I$3000,"Yes")</f>
        <v>0</v>
      </c>
      <c r="AE38" s="21" t="n">
        <f aca="false">SUMIFS(Permissions!$U$2:$U$3000,Permissions!$B$2:$B$3000,$A38,Permissions!$I$2:$I$3000,"Yes")</f>
        <v>0</v>
      </c>
      <c r="AF38" s="21" t="n">
        <f aca="false">SUMIFS(Permissions!$V$2:$V$3000,Permissions!$B$2:$B$3000,$A38,Permissions!$I$2:$I$3000,"Yes")</f>
        <v>0</v>
      </c>
      <c r="AG38" s="21" t="n">
        <f aca="false">SUMIFS(Permissions!$W$2:$W$3000,Permissions!$B$2:$B$3000,$A38,Permissions!$I$2:$I$3000,"Yes")</f>
        <v>0</v>
      </c>
      <c r="AH38" s="21" t="n">
        <f aca="false">SUMIFS(Permissions!$X$2:$X$3000,Permissions!$B$2:$B$3000,$A38,Permissions!$I$2:$I$3000,"Yes")</f>
        <v>0</v>
      </c>
      <c r="AI38" s="21" t="n">
        <f aca="false">SUMIFS(Permissions!$Y$2:$Y$3000,Permissions!$B$2:$B$3000,$A38,Permissions!$I$2:$I$3000,"Yes")</f>
        <v>0</v>
      </c>
      <c r="AJ38" s="19" t="n">
        <f aca="false">COUNTIFS(Permissions!$B$2:$B$3000,$A38,Permissions!$I$2:$I$3000,"Yes")</f>
        <v>0</v>
      </c>
      <c r="AK38" s="22" t="str">
        <f aca="false">IF(AND(N38&lt;&gt;"",X38&gt;1.1*N38),"Consented above capacity",IF(AND(LEFT(B38,8)="Planning",AJ38=0),"Consent parcel with no permission",IF(COUNTIF($A$2:$A$3000,$A38)&gt;1,"Duplicate parcel_id","")))</f>
        <v/>
      </c>
    </row>
    <row r="39" customFormat="false" ht="15" hidden="false" customHeight="false" outlineLevel="0" collapsed="false">
      <c r="A39" s="18" t="s">
        <v>161</v>
      </c>
      <c r="B39" s="18" t="s">
        <v>10</v>
      </c>
      <c r="C39" s="18" t="s">
        <v>15</v>
      </c>
      <c r="D39" s="18" t="n">
        <v>71</v>
      </c>
      <c r="E39" s="18" t="s">
        <v>141</v>
      </c>
      <c r="F39" s="18" t="s">
        <v>142</v>
      </c>
      <c r="G39" s="18" t="s">
        <v>143</v>
      </c>
      <c r="H39" s="18" t="s">
        <v>105</v>
      </c>
      <c r="I39" s="18" t="s">
        <v>92</v>
      </c>
      <c r="J39" s="18" t="s">
        <v>101</v>
      </c>
      <c r="K39" s="18" t="s">
        <v>162</v>
      </c>
      <c r="L39" s="18" t="n">
        <v>3.167</v>
      </c>
      <c r="M39" s="18" t="n">
        <v>3.167</v>
      </c>
      <c r="N39" s="18" t="n">
        <v>141</v>
      </c>
      <c r="O39" s="18" t="s">
        <v>95</v>
      </c>
      <c r="P39" s="18" t="s">
        <v>96</v>
      </c>
      <c r="Q39" s="18" t="s">
        <v>97</v>
      </c>
      <c r="R39" s="18" t="s">
        <v>98</v>
      </c>
      <c r="S39" s="18"/>
      <c r="T39" s="19" t="n">
        <f aca="false">SUMIFS(Permissions!$F$2:$F$3000,Permissions!$B$2:$B$3000,$A39,Permissions!$H$2:$H$3000,"Complete",Permissions!$I$2:$I$3000,"Yes")</f>
        <v>0</v>
      </c>
      <c r="U39" s="19" t="n">
        <f aca="false">SUMIFS(Permissions!$F$2:$F$3000,Permissions!$B$2:$B$3000,$A39,Permissions!$H$2:$H$3000,"Under construction",Permissions!$I$2:$I$3000,"Yes")</f>
        <v>0</v>
      </c>
      <c r="V39" s="19" t="n">
        <f aca="false">SUMIFS(Permissions!$F$2:$F$3000,Permissions!$B$2:$B$3000,$A39,Permissions!$H$2:$H$3000,"Permitted – not started",Permissions!$I$2:$I$3000,"Yes")</f>
        <v>465</v>
      </c>
      <c r="W39" s="19" t="n">
        <f aca="false">SUMIFS(Permissions!$F$2:$F$3000,Permissions!$B$2:$B$3000,$A39,Permissions!$H$2:$H$3000,"Stalled",Permissions!$I$2:$I$3000,"Yes")</f>
        <v>0</v>
      </c>
      <c r="X39" s="19" t="n">
        <f aca="false">T39+U39+V39+W39</f>
        <v>465</v>
      </c>
      <c r="Y39" s="19" t="n">
        <f aca="false">SUMIFS(Permissions!$F$2:$F$3000,Permissions!$B$2:$B$3000,$A39,Permissions!$H$2:$H$3000,"Expired – not started",Permissions!$I$2:$I$3000,"Yes")</f>
        <v>0</v>
      </c>
      <c r="Z39" s="19" t="n">
        <f aca="false">SUMIFS(Permissions!$F$2:$F$3000,Permissions!$B$2:$B$3000,$A39,Permissions!$H$2:$H$3000,"In planning",Permissions!$I$2:$I$3000,"Yes")</f>
        <v>0</v>
      </c>
      <c r="AA39" s="19" t="n">
        <f aca="false">IF(N39="",0,MAX(N39-X39,0))</f>
        <v>0</v>
      </c>
      <c r="AB39" s="20" t="n">
        <f aca="false">X39+AA39</f>
        <v>465</v>
      </c>
      <c r="AC39" s="19" t="n">
        <f aca="false">AB39-T39</f>
        <v>465</v>
      </c>
      <c r="AD39" s="21" t="n">
        <f aca="false">SUMIFS(Permissions!$T$2:$T$3000,Permissions!$B$2:$B$3000,$A39,Permissions!$I$2:$I$3000,"Yes")</f>
        <v>0</v>
      </c>
      <c r="AE39" s="21" t="n">
        <f aca="false">SUMIFS(Permissions!$U$2:$U$3000,Permissions!$B$2:$B$3000,$A39,Permissions!$I$2:$I$3000,"Yes")</f>
        <v>0</v>
      </c>
      <c r="AF39" s="21" t="n">
        <f aca="false">SUMIFS(Permissions!$V$2:$V$3000,Permissions!$B$2:$B$3000,$A39,Permissions!$I$2:$I$3000,"Yes")</f>
        <v>0</v>
      </c>
      <c r="AG39" s="21" t="n">
        <f aca="false">SUMIFS(Permissions!$W$2:$W$3000,Permissions!$B$2:$B$3000,$A39,Permissions!$I$2:$I$3000,"Yes")</f>
        <v>40.8</v>
      </c>
      <c r="AH39" s="21" t="n">
        <f aca="false">SUMIFS(Permissions!$X$2:$X$3000,Permissions!$B$2:$B$3000,$A39,Permissions!$I$2:$I$3000,"Yes")</f>
        <v>56.4</v>
      </c>
      <c r="AI39" s="21" t="n">
        <f aca="false">SUMIFS(Permissions!$Y$2:$Y$3000,Permissions!$B$2:$B$3000,$A39,Permissions!$I$2:$I$3000,"Yes")</f>
        <v>367.8</v>
      </c>
      <c r="AJ39" s="19" t="n">
        <f aca="false">COUNTIFS(Permissions!$B$2:$B$3000,$A39,Permissions!$I$2:$I$3000,"Yes")</f>
        <v>1</v>
      </c>
      <c r="AK39" s="22" t="str">
        <f aca="false">IF(AND(N39&lt;&gt;"",X39&gt;1.1*N39),"Consented above capacity",IF(AND(LEFT(B39,8)="Planning",AJ39=0),"Consent parcel with no permission",IF(COUNTIF($A$2:$A$3000,$A39)&gt;1,"Duplicate parcel_id","")))</f>
        <v>Consented above capacity</v>
      </c>
    </row>
    <row r="40" customFormat="false" ht="15" hidden="false" customHeight="false" outlineLevel="0" collapsed="false">
      <c r="A40" s="18" t="s">
        <v>163</v>
      </c>
      <c r="B40" s="18" t="s">
        <v>10</v>
      </c>
      <c r="C40" s="18" t="s">
        <v>15</v>
      </c>
      <c r="D40" s="18" t="n">
        <v>72</v>
      </c>
      <c r="E40" s="18" t="s">
        <v>141</v>
      </c>
      <c r="F40" s="18" t="s">
        <v>142</v>
      </c>
      <c r="G40" s="18" t="s">
        <v>143</v>
      </c>
      <c r="H40" s="18" t="s">
        <v>105</v>
      </c>
      <c r="I40" s="18" t="s">
        <v>120</v>
      </c>
      <c r="J40" s="18" t="s">
        <v>114</v>
      </c>
      <c r="K40" s="18" t="s">
        <v>94</v>
      </c>
      <c r="L40" s="18" t="n">
        <v>4.8</v>
      </c>
      <c r="M40" s="18" t="n">
        <v>16.047</v>
      </c>
      <c r="N40" s="18" t="n">
        <v>216</v>
      </c>
      <c r="O40" s="18" t="s">
        <v>95</v>
      </c>
      <c r="P40" s="18" t="s">
        <v>116</v>
      </c>
      <c r="Q40" s="18" t="s">
        <v>109</v>
      </c>
      <c r="R40" s="18" t="s">
        <v>98</v>
      </c>
      <c r="S40" s="18"/>
      <c r="T40" s="19" t="n">
        <f aca="false">SUMIFS(Permissions!$F$2:$F$3000,Permissions!$B$2:$B$3000,$A40,Permissions!$H$2:$H$3000,"Complete",Permissions!$I$2:$I$3000,"Yes")</f>
        <v>0</v>
      </c>
      <c r="U40" s="19" t="n">
        <f aca="false">SUMIFS(Permissions!$F$2:$F$3000,Permissions!$B$2:$B$3000,$A40,Permissions!$H$2:$H$3000,"Under construction",Permissions!$I$2:$I$3000,"Yes")</f>
        <v>48</v>
      </c>
      <c r="V40" s="19" t="n">
        <f aca="false">SUMIFS(Permissions!$F$2:$F$3000,Permissions!$B$2:$B$3000,$A40,Permissions!$H$2:$H$3000,"Permitted – not started",Permissions!$I$2:$I$3000,"Yes")</f>
        <v>212</v>
      </c>
      <c r="W40" s="19" t="n">
        <f aca="false">SUMIFS(Permissions!$F$2:$F$3000,Permissions!$B$2:$B$3000,$A40,Permissions!$H$2:$H$3000,"Stalled",Permissions!$I$2:$I$3000,"Yes")</f>
        <v>0</v>
      </c>
      <c r="X40" s="19" t="n">
        <f aca="false">T40+U40+V40+W40</f>
        <v>260</v>
      </c>
      <c r="Y40" s="19" t="n">
        <f aca="false">SUMIFS(Permissions!$F$2:$F$3000,Permissions!$B$2:$B$3000,$A40,Permissions!$H$2:$H$3000,"Expired – not started",Permissions!$I$2:$I$3000,"Yes")</f>
        <v>0</v>
      </c>
      <c r="Z40" s="19" t="n">
        <f aca="false">SUMIFS(Permissions!$F$2:$F$3000,Permissions!$B$2:$B$3000,$A40,Permissions!$H$2:$H$3000,"In planning",Permissions!$I$2:$I$3000,"Yes")</f>
        <v>0</v>
      </c>
      <c r="AA40" s="19" t="n">
        <f aca="false">IF(N40="",0,MAX(N40-X40,0))</f>
        <v>0</v>
      </c>
      <c r="AB40" s="20" t="n">
        <f aca="false">X40+AA40</f>
        <v>260</v>
      </c>
      <c r="AC40" s="19" t="n">
        <f aca="false">AB40-T40</f>
        <v>260</v>
      </c>
      <c r="AD40" s="21" t="n">
        <f aca="false">SUMIFS(Permissions!$T$2:$T$3000,Permissions!$B$2:$B$3000,$A40,Permissions!$I$2:$I$3000,"Yes")</f>
        <v>11.2</v>
      </c>
      <c r="AE40" s="21" t="n">
        <f aca="false">SUMIFS(Permissions!$U$2:$U$3000,Permissions!$B$2:$B$3000,$A40,Permissions!$I$2:$I$3000,"Yes")</f>
        <v>36.8</v>
      </c>
      <c r="AF40" s="21" t="n">
        <f aca="false">SUMIFS(Permissions!$V$2:$V$3000,Permissions!$B$2:$B$3000,$A40,Permissions!$I$2:$I$3000,"Yes")</f>
        <v>0</v>
      </c>
      <c r="AG40" s="21" t="n">
        <f aca="false">SUMIFS(Permissions!$W$2:$W$3000,Permissions!$B$2:$B$3000,$A40,Permissions!$I$2:$I$3000,"Yes")</f>
        <v>36.4</v>
      </c>
      <c r="AH40" s="21" t="n">
        <f aca="false">SUMIFS(Permissions!$X$2:$X$3000,Permissions!$B$2:$B$3000,$A40,Permissions!$I$2:$I$3000,"Yes")</f>
        <v>65.9</v>
      </c>
      <c r="AI40" s="21" t="n">
        <f aca="false">SUMIFS(Permissions!$Y$2:$Y$3000,Permissions!$B$2:$B$3000,$A40,Permissions!$I$2:$I$3000,"Yes")</f>
        <v>109.7</v>
      </c>
      <c r="AJ40" s="19" t="n">
        <f aca="false">COUNTIFS(Permissions!$B$2:$B$3000,$A40,Permissions!$I$2:$I$3000,"Yes")</f>
        <v>2</v>
      </c>
      <c r="AK40" s="22" t="str">
        <f aca="false">IF(AND(N40&lt;&gt;"",X40&gt;1.1*N40),"Consented above capacity",IF(AND(LEFT(B40,8)="Planning",AJ40=0),"Consent parcel with no permission",IF(COUNTIF($A$2:$A$3000,$A40)&gt;1,"Duplicate parcel_id","")))</f>
        <v>Consented above capacity</v>
      </c>
    </row>
    <row r="41" customFormat="false" ht="15" hidden="false" customHeight="false" outlineLevel="0" collapsed="false">
      <c r="A41" s="18" t="s">
        <v>164</v>
      </c>
      <c r="B41" s="18" t="s">
        <v>10</v>
      </c>
      <c r="C41" s="18" t="s">
        <v>15</v>
      </c>
      <c r="D41" s="18" t="n">
        <v>101</v>
      </c>
      <c r="E41" s="18" t="s">
        <v>90</v>
      </c>
      <c r="F41" s="18" t="s">
        <v>89</v>
      </c>
      <c r="G41" s="18" t="s">
        <v>90</v>
      </c>
      <c r="H41" s="18" t="s">
        <v>105</v>
      </c>
      <c r="I41" s="18" t="s">
        <v>165</v>
      </c>
      <c r="J41" s="18" t="s">
        <v>93</v>
      </c>
      <c r="K41" s="18" t="s">
        <v>166</v>
      </c>
      <c r="L41" s="18" t="n">
        <v>0.157</v>
      </c>
      <c r="M41" s="18" t="n">
        <v>0.158</v>
      </c>
      <c r="N41" s="18" t="n">
        <v>16</v>
      </c>
      <c r="O41" s="18" t="s">
        <v>95</v>
      </c>
      <c r="P41" s="18"/>
      <c r="Q41" s="18" t="s">
        <v>97</v>
      </c>
      <c r="R41" s="18" t="s">
        <v>98</v>
      </c>
      <c r="S41" s="18"/>
      <c r="T41" s="19" t="n">
        <f aca="false">SUMIFS(Permissions!$F$2:$F$3000,Permissions!$B$2:$B$3000,$A41,Permissions!$H$2:$H$3000,"Complete",Permissions!$I$2:$I$3000,"Yes")</f>
        <v>0</v>
      </c>
      <c r="U41" s="19" t="n">
        <f aca="false">SUMIFS(Permissions!$F$2:$F$3000,Permissions!$B$2:$B$3000,$A41,Permissions!$H$2:$H$3000,"Under construction",Permissions!$I$2:$I$3000,"Yes")</f>
        <v>0</v>
      </c>
      <c r="V41" s="19" t="n">
        <f aca="false">SUMIFS(Permissions!$F$2:$F$3000,Permissions!$B$2:$B$3000,$A41,Permissions!$H$2:$H$3000,"Permitted – not started",Permissions!$I$2:$I$3000,"Yes")</f>
        <v>0</v>
      </c>
      <c r="W41" s="19" t="n">
        <f aca="false">SUMIFS(Permissions!$F$2:$F$3000,Permissions!$B$2:$B$3000,$A41,Permissions!$H$2:$H$3000,"Stalled",Permissions!$I$2:$I$3000,"Yes")</f>
        <v>0</v>
      </c>
      <c r="X41" s="19" t="n">
        <f aca="false">T41+U41+V41+W41</f>
        <v>0</v>
      </c>
      <c r="Y41" s="19" t="n">
        <f aca="false">SUMIFS(Permissions!$F$2:$F$3000,Permissions!$B$2:$B$3000,$A41,Permissions!$H$2:$H$3000,"Expired – not started",Permissions!$I$2:$I$3000,"Yes")</f>
        <v>8</v>
      </c>
      <c r="Z41" s="19" t="n">
        <f aca="false">SUMIFS(Permissions!$F$2:$F$3000,Permissions!$B$2:$B$3000,$A41,Permissions!$H$2:$H$3000,"In planning",Permissions!$I$2:$I$3000,"Yes")</f>
        <v>0</v>
      </c>
      <c r="AA41" s="19" t="n">
        <f aca="false">IF(N41="",0,MAX(N41-X41,0))</f>
        <v>16</v>
      </c>
      <c r="AB41" s="20" t="n">
        <f aca="false">X41+AA41</f>
        <v>16</v>
      </c>
      <c r="AC41" s="19" t="n">
        <f aca="false">AB41-T41</f>
        <v>16</v>
      </c>
      <c r="AD41" s="21" t="n">
        <f aca="false">SUMIFS(Permissions!$T$2:$T$3000,Permissions!$B$2:$B$3000,$A41,Permissions!$I$2:$I$3000,"Yes")</f>
        <v>0</v>
      </c>
      <c r="AE41" s="21" t="n">
        <f aca="false">SUMIFS(Permissions!$U$2:$U$3000,Permissions!$B$2:$B$3000,$A41,Permissions!$I$2:$I$3000,"Yes")</f>
        <v>0</v>
      </c>
      <c r="AF41" s="21" t="n">
        <f aca="false">SUMIFS(Permissions!$V$2:$V$3000,Permissions!$B$2:$B$3000,$A41,Permissions!$I$2:$I$3000,"Yes")</f>
        <v>0</v>
      </c>
      <c r="AG41" s="21" t="n">
        <f aca="false">SUMIFS(Permissions!$W$2:$W$3000,Permissions!$B$2:$B$3000,$A41,Permissions!$I$2:$I$3000,"Yes")</f>
        <v>0</v>
      </c>
      <c r="AH41" s="21" t="n">
        <f aca="false">SUMIFS(Permissions!$X$2:$X$3000,Permissions!$B$2:$B$3000,$A41,Permissions!$I$2:$I$3000,"Yes")</f>
        <v>0</v>
      </c>
      <c r="AI41" s="21" t="n">
        <f aca="false">SUMIFS(Permissions!$Y$2:$Y$3000,Permissions!$B$2:$B$3000,$A41,Permissions!$I$2:$I$3000,"Yes")</f>
        <v>0</v>
      </c>
      <c r="AJ41" s="19" t="n">
        <f aca="false">COUNTIFS(Permissions!$B$2:$B$3000,$A41,Permissions!$I$2:$I$3000,"Yes")</f>
        <v>1</v>
      </c>
      <c r="AK41" s="22" t="str">
        <f aca="false">IF(AND(N41&lt;&gt;"",X41&gt;1.1*N41),"Consented above capacity",IF(AND(LEFT(B41,8)="Planning",AJ41=0),"Consent parcel with no permission",IF(COUNTIF($A$2:$A$3000,$A41)&gt;1,"Duplicate parcel_id","")))</f>
        <v/>
      </c>
    </row>
    <row r="42" customFormat="false" ht="15" hidden="false" customHeight="false" outlineLevel="0" collapsed="false">
      <c r="A42" s="18" t="s">
        <v>167</v>
      </c>
      <c r="B42" s="18" t="s">
        <v>10</v>
      </c>
      <c r="C42" s="18" t="s">
        <v>15</v>
      </c>
      <c r="D42" s="18" t="n">
        <v>102</v>
      </c>
      <c r="E42" s="18" t="s">
        <v>90</v>
      </c>
      <c r="F42" s="18" t="s">
        <v>112</v>
      </c>
      <c r="G42" s="18" t="s">
        <v>90</v>
      </c>
      <c r="H42" s="18" t="s">
        <v>105</v>
      </c>
      <c r="I42" s="18" t="s">
        <v>165</v>
      </c>
      <c r="J42" s="18" t="s">
        <v>101</v>
      </c>
      <c r="K42" s="18" t="s">
        <v>166</v>
      </c>
      <c r="L42" s="18" t="n">
        <v>0</v>
      </c>
      <c r="M42" s="18" t="n">
        <v>0.13</v>
      </c>
      <c r="N42" s="18" t="n">
        <v>0</v>
      </c>
      <c r="O42" s="18" t="s">
        <v>95</v>
      </c>
      <c r="P42" s="18" t="s">
        <v>96</v>
      </c>
      <c r="Q42" s="18" t="s">
        <v>97</v>
      </c>
      <c r="R42" s="18" t="s">
        <v>98</v>
      </c>
      <c r="S42" s="18"/>
      <c r="T42" s="19" t="n">
        <f aca="false">SUMIFS(Permissions!$F$2:$F$3000,Permissions!$B$2:$B$3000,$A42,Permissions!$H$2:$H$3000,"Complete",Permissions!$I$2:$I$3000,"Yes")</f>
        <v>0</v>
      </c>
      <c r="U42" s="19" t="n">
        <f aca="false">SUMIFS(Permissions!$F$2:$F$3000,Permissions!$B$2:$B$3000,$A42,Permissions!$H$2:$H$3000,"Under construction",Permissions!$I$2:$I$3000,"Yes")</f>
        <v>0</v>
      </c>
      <c r="V42" s="19" t="n">
        <f aca="false">SUMIFS(Permissions!$F$2:$F$3000,Permissions!$B$2:$B$3000,$A42,Permissions!$H$2:$H$3000,"Permitted – not started",Permissions!$I$2:$I$3000,"Yes")</f>
        <v>0</v>
      </c>
      <c r="W42" s="19" t="n">
        <f aca="false">SUMIFS(Permissions!$F$2:$F$3000,Permissions!$B$2:$B$3000,$A42,Permissions!$H$2:$H$3000,"Stalled",Permissions!$I$2:$I$3000,"Yes")</f>
        <v>0</v>
      </c>
      <c r="X42" s="19" t="n">
        <f aca="false">T42+U42+V42+W42</f>
        <v>0</v>
      </c>
      <c r="Y42" s="19" t="n">
        <f aca="false">SUMIFS(Permissions!$F$2:$F$3000,Permissions!$B$2:$B$3000,$A42,Permissions!$H$2:$H$3000,"Expired – not started",Permissions!$I$2:$I$3000,"Yes")</f>
        <v>0</v>
      </c>
      <c r="Z42" s="19" t="n">
        <f aca="false">SUMIFS(Permissions!$F$2:$F$3000,Permissions!$B$2:$B$3000,$A42,Permissions!$H$2:$H$3000,"In planning",Permissions!$I$2:$I$3000,"Yes")</f>
        <v>0</v>
      </c>
      <c r="AA42" s="19" t="n">
        <f aca="false">IF(N42="",0,MAX(N42-X42,0))</f>
        <v>0</v>
      </c>
      <c r="AB42" s="20" t="n">
        <f aca="false">X42+AA42</f>
        <v>0</v>
      </c>
      <c r="AC42" s="19" t="n">
        <f aca="false">AB42-T42</f>
        <v>0</v>
      </c>
      <c r="AD42" s="21" t="n">
        <f aca="false">SUMIFS(Permissions!$T$2:$T$3000,Permissions!$B$2:$B$3000,$A42,Permissions!$I$2:$I$3000,"Yes")</f>
        <v>0</v>
      </c>
      <c r="AE42" s="21" t="n">
        <f aca="false">SUMIFS(Permissions!$U$2:$U$3000,Permissions!$B$2:$B$3000,$A42,Permissions!$I$2:$I$3000,"Yes")</f>
        <v>0</v>
      </c>
      <c r="AF42" s="21" t="n">
        <f aca="false">SUMIFS(Permissions!$V$2:$V$3000,Permissions!$B$2:$B$3000,$A42,Permissions!$I$2:$I$3000,"Yes")</f>
        <v>0</v>
      </c>
      <c r="AG42" s="21" t="n">
        <f aca="false">SUMIFS(Permissions!$W$2:$W$3000,Permissions!$B$2:$B$3000,$A42,Permissions!$I$2:$I$3000,"Yes")</f>
        <v>0</v>
      </c>
      <c r="AH42" s="21" t="n">
        <f aca="false">SUMIFS(Permissions!$X$2:$X$3000,Permissions!$B$2:$B$3000,$A42,Permissions!$I$2:$I$3000,"Yes")</f>
        <v>0</v>
      </c>
      <c r="AI42" s="21" t="n">
        <f aca="false">SUMIFS(Permissions!$Y$2:$Y$3000,Permissions!$B$2:$B$3000,$A42,Permissions!$I$2:$I$3000,"Yes")</f>
        <v>0</v>
      </c>
      <c r="AJ42" s="19" t="n">
        <f aca="false">COUNTIFS(Permissions!$B$2:$B$3000,$A42,Permissions!$I$2:$I$3000,"Yes")</f>
        <v>0</v>
      </c>
      <c r="AK42" s="22" t="str">
        <f aca="false">IF(AND(N42&lt;&gt;"",X42&gt;1.1*N42),"Consented above capacity",IF(AND(LEFT(B42,8)="Planning",AJ42=0),"Consent parcel with no permission",IF(COUNTIF($A$2:$A$3000,$A42)&gt;1,"Duplicate parcel_id","")))</f>
        <v/>
      </c>
    </row>
    <row r="43" customFormat="false" ht="15" hidden="false" customHeight="false" outlineLevel="0" collapsed="false">
      <c r="A43" s="18" t="s">
        <v>168</v>
      </c>
      <c r="B43" s="18" t="s">
        <v>10</v>
      </c>
      <c r="C43" s="18" t="s">
        <v>15</v>
      </c>
      <c r="D43" s="18" t="n">
        <v>104</v>
      </c>
      <c r="E43" s="18" t="s">
        <v>90</v>
      </c>
      <c r="F43" s="18" t="s">
        <v>112</v>
      </c>
      <c r="G43" s="18" t="s">
        <v>90</v>
      </c>
      <c r="H43" s="18" t="s">
        <v>105</v>
      </c>
      <c r="I43" s="18" t="s">
        <v>165</v>
      </c>
      <c r="J43" s="18" t="s">
        <v>101</v>
      </c>
      <c r="K43" s="18" t="s">
        <v>166</v>
      </c>
      <c r="L43" s="18" t="n">
        <v>0</v>
      </c>
      <c r="M43" s="18" t="n">
        <v>0.075</v>
      </c>
      <c r="N43" s="18" t="n">
        <v>0</v>
      </c>
      <c r="O43" s="18" t="s">
        <v>95</v>
      </c>
      <c r="P43" s="18" t="s">
        <v>96</v>
      </c>
      <c r="Q43" s="18" t="s">
        <v>97</v>
      </c>
      <c r="R43" s="18" t="s">
        <v>98</v>
      </c>
      <c r="S43" s="18"/>
      <c r="T43" s="19" t="n">
        <f aca="false">SUMIFS(Permissions!$F$2:$F$3000,Permissions!$B$2:$B$3000,$A43,Permissions!$H$2:$H$3000,"Complete",Permissions!$I$2:$I$3000,"Yes")</f>
        <v>0</v>
      </c>
      <c r="U43" s="19" t="n">
        <f aca="false">SUMIFS(Permissions!$F$2:$F$3000,Permissions!$B$2:$B$3000,$A43,Permissions!$H$2:$H$3000,"Under construction",Permissions!$I$2:$I$3000,"Yes")</f>
        <v>0</v>
      </c>
      <c r="V43" s="19" t="n">
        <f aca="false">SUMIFS(Permissions!$F$2:$F$3000,Permissions!$B$2:$B$3000,$A43,Permissions!$H$2:$H$3000,"Permitted – not started",Permissions!$I$2:$I$3000,"Yes")</f>
        <v>0</v>
      </c>
      <c r="W43" s="19" t="n">
        <f aca="false">SUMIFS(Permissions!$F$2:$F$3000,Permissions!$B$2:$B$3000,$A43,Permissions!$H$2:$H$3000,"Stalled",Permissions!$I$2:$I$3000,"Yes")</f>
        <v>0</v>
      </c>
      <c r="X43" s="19" t="n">
        <f aca="false">T43+U43+V43+W43</f>
        <v>0</v>
      </c>
      <c r="Y43" s="19" t="n">
        <f aca="false">SUMIFS(Permissions!$F$2:$F$3000,Permissions!$B$2:$B$3000,$A43,Permissions!$H$2:$H$3000,"Expired – not started",Permissions!$I$2:$I$3000,"Yes")</f>
        <v>0</v>
      </c>
      <c r="Z43" s="19" t="n">
        <f aca="false">SUMIFS(Permissions!$F$2:$F$3000,Permissions!$B$2:$B$3000,$A43,Permissions!$H$2:$H$3000,"In planning",Permissions!$I$2:$I$3000,"Yes")</f>
        <v>0</v>
      </c>
      <c r="AA43" s="19" t="n">
        <f aca="false">IF(N43="",0,MAX(N43-X43,0))</f>
        <v>0</v>
      </c>
      <c r="AB43" s="20" t="n">
        <f aca="false">X43+AA43</f>
        <v>0</v>
      </c>
      <c r="AC43" s="19" t="n">
        <f aca="false">AB43-T43</f>
        <v>0</v>
      </c>
      <c r="AD43" s="21" t="n">
        <f aca="false">SUMIFS(Permissions!$T$2:$T$3000,Permissions!$B$2:$B$3000,$A43,Permissions!$I$2:$I$3000,"Yes")</f>
        <v>0</v>
      </c>
      <c r="AE43" s="21" t="n">
        <f aca="false">SUMIFS(Permissions!$U$2:$U$3000,Permissions!$B$2:$B$3000,$A43,Permissions!$I$2:$I$3000,"Yes")</f>
        <v>0</v>
      </c>
      <c r="AF43" s="21" t="n">
        <f aca="false">SUMIFS(Permissions!$V$2:$V$3000,Permissions!$B$2:$B$3000,$A43,Permissions!$I$2:$I$3000,"Yes")</f>
        <v>0</v>
      </c>
      <c r="AG43" s="21" t="n">
        <f aca="false">SUMIFS(Permissions!$W$2:$W$3000,Permissions!$B$2:$B$3000,$A43,Permissions!$I$2:$I$3000,"Yes")</f>
        <v>0</v>
      </c>
      <c r="AH43" s="21" t="n">
        <f aca="false">SUMIFS(Permissions!$X$2:$X$3000,Permissions!$B$2:$B$3000,$A43,Permissions!$I$2:$I$3000,"Yes")</f>
        <v>0</v>
      </c>
      <c r="AI43" s="21" t="n">
        <f aca="false">SUMIFS(Permissions!$Y$2:$Y$3000,Permissions!$B$2:$B$3000,$A43,Permissions!$I$2:$I$3000,"Yes")</f>
        <v>0</v>
      </c>
      <c r="AJ43" s="19" t="n">
        <f aca="false">COUNTIFS(Permissions!$B$2:$B$3000,$A43,Permissions!$I$2:$I$3000,"Yes")</f>
        <v>0</v>
      </c>
      <c r="AK43" s="22" t="str">
        <f aca="false">IF(AND(N43&lt;&gt;"",X43&gt;1.1*N43),"Consented above capacity",IF(AND(LEFT(B43,8)="Planning",AJ43=0),"Consent parcel with no permission",IF(COUNTIF($A$2:$A$3000,$A43)&gt;1,"Duplicate parcel_id","")))</f>
        <v/>
      </c>
    </row>
    <row r="44" customFormat="false" ht="15" hidden="false" customHeight="false" outlineLevel="0" collapsed="false">
      <c r="A44" s="18" t="s">
        <v>169</v>
      </c>
      <c r="B44" s="18" t="s">
        <v>10</v>
      </c>
      <c r="C44" s="18" t="s">
        <v>15</v>
      </c>
      <c r="D44" s="18" t="n">
        <v>105</v>
      </c>
      <c r="E44" s="18" t="s">
        <v>90</v>
      </c>
      <c r="F44" s="18" t="s">
        <v>142</v>
      </c>
      <c r="G44" s="18" t="s">
        <v>90</v>
      </c>
      <c r="H44" s="18" t="s">
        <v>105</v>
      </c>
      <c r="I44" s="18" t="s">
        <v>165</v>
      </c>
      <c r="J44" s="18" t="s">
        <v>101</v>
      </c>
      <c r="K44" s="18" t="s">
        <v>166</v>
      </c>
      <c r="L44" s="18" t="n">
        <v>0</v>
      </c>
      <c r="M44" s="18" t="n">
        <v>0.211</v>
      </c>
      <c r="N44" s="18" t="n">
        <v>0</v>
      </c>
      <c r="O44" s="18" t="s">
        <v>95</v>
      </c>
      <c r="P44" s="18" t="s">
        <v>96</v>
      </c>
      <c r="Q44" s="18" t="s">
        <v>97</v>
      </c>
      <c r="R44" s="18" t="s">
        <v>98</v>
      </c>
      <c r="S44" s="18"/>
      <c r="T44" s="19" t="n">
        <f aca="false">SUMIFS(Permissions!$F$2:$F$3000,Permissions!$B$2:$B$3000,$A44,Permissions!$H$2:$H$3000,"Complete",Permissions!$I$2:$I$3000,"Yes")</f>
        <v>0</v>
      </c>
      <c r="U44" s="19" t="n">
        <f aca="false">SUMIFS(Permissions!$F$2:$F$3000,Permissions!$B$2:$B$3000,$A44,Permissions!$H$2:$H$3000,"Under construction",Permissions!$I$2:$I$3000,"Yes")</f>
        <v>0</v>
      </c>
      <c r="V44" s="19" t="n">
        <f aca="false">SUMIFS(Permissions!$F$2:$F$3000,Permissions!$B$2:$B$3000,$A44,Permissions!$H$2:$H$3000,"Permitted – not started",Permissions!$I$2:$I$3000,"Yes")</f>
        <v>0</v>
      </c>
      <c r="W44" s="19" t="n">
        <f aca="false">SUMIFS(Permissions!$F$2:$F$3000,Permissions!$B$2:$B$3000,$A44,Permissions!$H$2:$H$3000,"Stalled",Permissions!$I$2:$I$3000,"Yes")</f>
        <v>0</v>
      </c>
      <c r="X44" s="19" t="n">
        <f aca="false">T44+U44+V44+W44</f>
        <v>0</v>
      </c>
      <c r="Y44" s="19" t="n">
        <f aca="false">SUMIFS(Permissions!$F$2:$F$3000,Permissions!$B$2:$B$3000,$A44,Permissions!$H$2:$H$3000,"Expired – not started",Permissions!$I$2:$I$3000,"Yes")</f>
        <v>0</v>
      </c>
      <c r="Z44" s="19" t="n">
        <f aca="false">SUMIFS(Permissions!$F$2:$F$3000,Permissions!$B$2:$B$3000,$A44,Permissions!$H$2:$H$3000,"In planning",Permissions!$I$2:$I$3000,"Yes")</f>
        <v>0</v>
      </c>
      <c r="AA44" s="19" t="n">
        <f aca="false">IF(N44="",0,MAX(N44-X44,0))</f>
        <v>0</v>
      </c>
      <c r="AB44" s="20" t="n">
        <f aca="false">X44+AA44</f>
        <v>0</v>
      </c>
      <c r="AC44" s="19" t="n">
        <f aca="false">AB44-T44</f>
        <v>0</v>
      </c>
      <c r="AD44" s="21" t="n">
        <f aca="false">SUMIFS(Permissions!$T$2:$T$3000,Permissions!$B$2:$B$3000,$A44,Permissions!$I$2:$I$3000,"Yes")</f>
        <v>0</v>
      </c>
      <c r="AE44" s="21" t="n">
        <f aca="false">SUMIFS(Permissions!$U$2:$U$3000,Permissions!$B$2:$B$3000,$A44,Permissions!$I$2:$I$3000,"Yes")</f>
        <v>0</v>
      </c>
      <c r="AF44" s="21" t="n">
        <f aca="false">SUMIFS(Permissions!$V$2:$V$3000,Permissions!$B$2:$B$3000,$A44,Permissions!$I$2:$I$3000,"Yes")</f>
        <v>0</v>
      </c>
      <c r="AG44" s="21" t="n">
        <f aca="false">SUMIFS(Permissions!$W$2:$W$3000,Permissions!$B$2:$B$3000,$A44,Permissions!$I$2:$I$3000,"Yes")</f>
        <v>0</v>
      </c>
      <c r="AH44" s="21" t="n">
        <f aca="false">SUMIFS(Permissions!$X$2:$X$3000,Permissions!$B$2:$B$3000,$A44,Permissions!$I$2:$I$3000,"Yes")</f>
        <v>0</v>
      </c>
      <c r="AI44" s="21" t="n">
        <f aca="false">SUMIFS(Permissions!$Y$2:$Y$3000,Permissions!$B$2:$B$3000,$A44,Permissions!$I$2:$I$3000,"Yes")</f>
        <v>0</v>
      </c>
      <c r="AJ44" s="19" t="n">
        <f aca="false">COUNTIFS(Permissions!$B$2:$B$3000,$A44,Permissions!$I$2:$I$3000,"Yes")</f>
        <v>0</v>
      </c>
      <c r="AK44" s="22" t="str">
        <f aca="false">IF(AND(N44&lt;&gt;"",X44&gt;1.1*N44),"Consented above capacity",IF(AND(LEFT(B44,8)="Planning",AJ44=0),"Consent parcel with no permission",IF(COUNTIF($A$2:$A$3000,$A44)&gt;1,"Duplicate parcel_id","")))</f>
        <v/>
      </c>
    </row>
    <row r="45" customFormat="false" ht="15" hidden="false" customHeight="false" outlineLevel="0" collapsed="false">
      <c r="A45" s="18" t="s">
        <v>170</v>
      </c>
      <c r="B45" s="18" t="s">
        <v>10</v>
      </c>
      <c r="C45" s="18" t="s">
        <v>15</v>
      </c>
      <c r="D45" s="18" t="n">
        <v>106</v>
      </c>
      <c r="E45" s="18" t="s">
        <v>90</v>
      </c>
      <c r="F45" s="18" t="s">
        <v>89</v>
      </c>
      <c r="G45" s="18" t="s">
        <v>90</v>
      </c>
      <c r="H45" s="18" t="s">
        <v>91</v>
      </c>
      <c r="I45" s="18" t="s">
        <v>100</v>
      </c>
      <c r="J45" s="18" t="s">
        <v>93</v>
      </c>
      <c r="K45" s="18" t="s">
        <v>94</v>
      </c>
      <c r="L45" s="18" t="n">
        <v>0.14</v>
      </c>
      <c r="M45" s="18" t="n">
        <v>0.141</v>
      </c>
      <c r="N45" s="18" t="n">
        <v>36</v>
      </c>
      <c r="O45" s="18" t="s">
        <v>95</v>
      </c>
      <c r="P45" s="18" t="s">
        <v>116</v>
      </c>
      <c r="Q45" s="18" t="s">
        <v>97</v>
      </c>
      <c r="R45" s="18" t="s">
        <v>98</v>
      </c>
      <c r="S45" s="18"/>
      <c r="T45" s="19" t="n">
        <f aca="false">SUMIFS(Permissions!$F$2:$F$3000,Permissions!$B$2:$B$3000,$A45,Permissions!$H$2:$H$3000,"Complete",Permissions!$I$2:$I$3000,"Yes")</f>
        <v>0</v>
      </c>
      <c r="U45" s="19" t="n">
        <f aca="false">SUMIFS(Permissions!$F$2:$F$3000,Permissions!$B$2:$B$3000,$A45,Permissions!$H$2:$H$3000,"Under construction",Permissions!$I$2:$I$3000,"Yes")</f>
        <v>36</v>
      </c>
      <c r="V45" s="19" t="n">
        <f aca="false">SUMIFS(Permissions!$F$2:$F$3000,Permissions!$B$2:$B$3000,$A45,Permissions!$H$2:$H$3000,"Permitted – not started",Permissions!$I$2:$I$3000,"Yes")</f>
        <v>0</v>
      </c>
      <c r="W45" s="19" t="n">
        <f aca="false">SUMIFS(Permissions!$F$2:$F$3000,Permissions!$B$2:$B$3000,$A45,Permissions!$H$2:$H$3000,"Stalled",Permissions!$I$2:$I$3000,"Yes")</f>
        <v>0</v>
      </c>
      <c r="X45" s="19" t="n">
        <f aca="false">T45+U45+V45+W45</f>
        <v>36</v>
      </c>
      <c r="Y45" s="19" t="n">
        <f aca="false">SUMIFS(Permissions!$F$2:$F$3000,Permissions!$B$2:$B$3000,$A45,Permissions!$H$2:$H$3000,"Expired – not started",Permissions!$I$2:$I$3000,"Yes")</f>
        <v>0</v>
      </c>
      <c r="Z45" s="19" t="n">
        <f aca="false">SUMIFS(Permissions!$F$2:$F$3000,Permissions!$B$2:$B$3000,$A45,Permissions!$H$2:$H$3000,"In planning",Permissions!$I$2:$I$3000,"Yes")</f>
        <v>0</v>
      </c>
      <c r="AA45" s="19" t="n">
        <f aca="false">IF(N45="",0,MAX(N45-X45,0))</f>
        <v>0</v>
      </c>
      <c r="AB45" s="20" t="n">
        <f aca="false">X45+AA45</f>
        <v>36</v>
      </c>
      <c r="AC45" s="19" t="n">
        <f aca="false">AB45-T45</f>
        <v>36</v>
      </c>
      <c r="AD45" s="21" t="n">
        <f aca="false">SUMIFS(Permissions!$T$2:$T$3000,Permissions!$B$2:$B$3000,$A45,Permissions!$I$2:$I$3000,"Yes")</f>
        <v>8.4</v>
      </c>
      <c r="AE45" s="21" t="n">
        <f aca="false">SUMIFS(Permissions!$U$2:$U$3000,Permissions!$B$2:$B$3000,$A45,Permissions!$I$2:$I$3000,"Yes")</f>
        <v>27.6</v>
      </c>
      <c r="AF45" s="21" t="n">
        <f aca="false">SUMIFS(Permissions!$V$2:$V$3000,Permissions!$B$2:$B$3000,$A45,Permissions!$I$2:$I$3000,"Yes")</f>
        <v>0</v>
      </c>
      <c r="AG45" s="21" t="n">
        <f aca="false">SUMIFS(Permissions!$W$2:$W$3000,Permissions!$B$2:$B$3000,$A45,Permissions!$I$2:$I$3000,"Yes")</f>
        <v>0</v>
      </c>
      <c r="AH45" s="21" t="n">
        <f aca="false">SUMIFS(Permissions!$X$2:$X$3000,Permissions!$B$2:$B$3000,$A45,Permissions!$I$2:$I$3000,"Yes")</f>
        <v>0</v>
      </c>
      <c r="AI45" s="21" t="n">
        <f aca="false">SUMIFS(Permissions!$Y$2:$Y$3000,Permissions!$B$2:$B$3000,$A45,Permissions!$I$2:$I$3000,"Yes")</f>
        <v>0</v>
      </c>
      <c r="AJ45" s="19" t="n">
        <f aca="false">COUNTIFS(Permissions!$B$2:$B$3000,$A45,Permissions!$I$2:$I$3000,"Yes")</f>
        <v>1</v>
      </c>
      <c r="AK45" s="22" t="str">
        <f aca="false">IF(AND(N45&lt;&gt;"",X45&gt;1.1*N45),"Consented above capacity",IF(AND(LEFT(B45,8)="Planning",AJ45=0),"Consent parcel with no permission",IF(COUNTIF($A$2:$A$3000,$A45)&gt;1,"Duplicate parcel_id","")))</f>
        <v/>
      </c>
    </row>
    <row r="46" customFormat="false" ht="15" hidden="false" customHeight="false" outlineLevel="0" collapsed="false">
      <c r="A46" s="18" t="s">
        <v>171</v>
      </c>
      <c r="B46" s="18" t="s">
        <v>10</v>
      </c>
      <c r="C46" s="18" t="s">
        <v>15</v>
      </c>
      <c r="D46" s="18" t="n">
        <v>107</v>
      </c>
      <c r="E46" s="18" t="s">
        <v>90</v>
      </c>
      <c r="F46" s="18" t="s">
        <v>142</v>
      </c>
      <c r="G46" s="18" t="s">
        <v>90</v>
      </c>
      <c r="H46" s="18" t="s">
        <v>91</v>
      </c>
      <c r="I46" s="18" t="s">
        <v>165</v>
      </c>
      <c r="J46" s="18" t="s">
        <v>93</v>
      </c>
      <c r="K46" s="18" t="s">
        <v>166</v>
      </c>
      <c r="L46" s="18" t="n">
        <v>68.48</v>
      </c>
      <c r="M46" s="18" t="n">
        <v>68.509</v>
      </c>
      <c r="N46" s="18" t="n">
        <v>2500</v>
      </c>
      <c r="O46" s="18" t="s">
        <v>95</v>
      </c>
      <c r="P46" s="18" t="s">
        <v>96</v>
      </c>
      <c r="Q46" s="18" t="s">
        <v>97</v>
      </c>
      <c r="R46" s="18" t="s">
        <v>98</v>
      </c>
      <c r="S46" s="18"/>
      <c r="T46" s="19" t="n">
        <f aca="false">SUMIFS(Permissions!$F$2:$F$3000,Permissions!$B$2:$B$3000,$A46,Permissions!$H$2:$H$3000,"Complete",Permissions!$I$2:$I$3000,"Yes")</f>
        <v>11</v>
      </c>
      <c r="U46" s="19" t="n">
        <f aca="false">SUMIFS(Permissions!$F$2:$F$3000,Permissions!$B$2:$B$3000,$A46,Permissions!$H$2:$H$3000,"Under construction",Permissions!$I$2:$I$3000,"Yes")</f>
        <v>0</v>
      </c>
      <c r="V46" s="19" t="n">
        <f aca="false">SUMIFS(Permissions!$F$2:$F$3000,Permissions!$B$2:$B$3000,$A46,Permissions!$H$2:$H$3000,"Permitted – not started",Permissions!$I$2:$I$3000,"Yes")</f>
        <v>0</v>
      </c>
      <c r="W46" s="19" t="n">
        <f aca="false">SUMIFS(Permissions!$F$2:$F$3000,Permissions!$B$2:$B$3000,$A46,Permissions!$H$2:$H$3000,"Stalled",Permissions!$I$2:$I$3000,"Yes")</f>
        <v>0</v>
      </c>
      <c r="X46" s="19" t="n">
        <f aca="false">T46+U46+V46+W46</f>
        <v>11</v>
      </c>
      <c r="Y46" s="19" t="n">
        <f aca="false">SUMIFS(Permissions!$F$2:$F$3000,Permissions!$B$2:$B$3000,$A46,Permissions!$H$2:$H$3000,"Expired – not started",Permissions!$I$2:$I$3000,"Yes")</f>
        <v>0</v>
      </c>
      <c r="Z46" s="19" t="n">
        <f aca="false">SUMIFS(Permissions!$F$2:$F$3000,Permissions!$B$2:$B$3000,$A46,Permissions!$H$2:$H$3000,"In planning",Permissions!$I$2:$I$3000,"Yes")</f>
        <v>4</v>
      </c>
      <c r="AA46" s="19" t="n">
        <f aca="false">IF(N46="",0,MAX(N46-X46,0))</f>
        <v>2489</v>
      </c>
      <c r="AB46" s="20" t="n">
        <f aca="false">X46+AA46</f>
        <v>2500</v>
      </c>
      <c r="AC46" s="19" t="n">
        <f aca="false">AB46-T46</f>
        <v>2489</v>
      </c>
      <c r="AD46" s="21" t="n">
        <f aca="false">SUMIFS(Permissions!$T$2:$T$3000,Permissions!$B$2:$B$3000,$A46,Permissions!$I$2:$I$3000,"Yes")</f>
        <v>0</v>
      </c>
      <c r="AE46" s="21" t="n">
        <f aca="false">SUMIFS(Permissions!$U$2:$U$3000,Permissions!$B$2:$B$3000,$A46,Permissions!$I$2:$I$3000,"Yes")</f>
        <v>0</v>
      </c>
      <c r="AF46" s="21" t="n">
        <f aca="false">SUMIFS(Permissions!$V$2:$V$3000,Permissions!$B$2:$B$3000,$A46,Permissions!$I$2:$I$3000,"Yes")</f>
        <v>0</v>
      </c>
      <c r="AG46" s="21" t="n">
        <f aca="false">SUMIFS(Permissions!$W$2:$W$3000,Permissions!$B$2:$B$3000,$A46,Permissions!$I$2:$I$3000,"Yes")</f>
        <v>0</v>
      </c>
      <c r="AH46" s="21" t="n">
        <f aca="false">SUMIFS(Permissions!$X$2:$X$3000,Permissions!$B$2:$B$3000,$A46,Permissions!$I$2:$I$3000,"Yes")</f>
        <v>0</v>
      </c>
      <c r="AI46" s="21" t="n">
        <f aca="false">SUMIFS(Permissions!$Y$2:$Y$3000,Permissions!$B$2:$B$3000,$A46,Permissions!$I$2:$I$3000,"Yes")</f>
        <v>0</v>
      </c>
      <c r="AJ46" s="19" t="n">
        <f aca="false">COUNTIFS(Permissions!$B$2:$B$3000,$A46,Permissions!$I$2:$I$3000,"Yes")</f>
        <v>2</v>
      </c>
      <c r="AK46" s="22" t="str">
        <f aca="false">IF(AND(N46&lt;&gt;"",X46&gt;1.1*N46),"Consented above capacity",IF(AND(LEFT(B46,8)="Planning",AJ46=0),"Consent parcel with no permission",IF(COUNTIF($A$2:$A$3000,$A46)&gt;1,"Duplicate parcel_id","")))</f>
        <v/>
      </c>
    </row>
    <row r="47" customFormat="false" ht="15" hidden="false" customHeight="false" outlineLevel="0" collapsed="false">
      <c r="A47" s="18" t="s">
        <v>172</v>
      </c>
      <c r="B47" s="18" t="s">
        <v>10</v>
      </c>
      <c r="C47" s="18" t="s">
        <v>15</v>
      </c>
      <c r="D47" s="18" t="n">
        <v>108</v>
      </c>
      <c r="E47" s="18" t="s">
        <v>90</v>
      </c>
      <c r="F47" s="18" t="s">
        <v>112</v>
      </c>
      <c r="G47" s="18" t="s">
        <v>90</v>
      </c>
      <c r="H47" s="18" t="s">
        <v>105</v>
      </c>
      <c r="I47" s="18" t="s">
        <v>92</v>
      </c>
      <c r="J47" s="18" t="s">
        <v>101</v>
      </c>
      <c r="K47" s="18" t="s">
        <v>94</v>
      </c>
      <c r="L47" s="18" t="n">
        <v>0.297</v>
      </c>
      <c r="M47" s="18" t="n">
        <v>0.297</v>
      </c>
      <c r="N47" s="18" t="n">
        <v>13</v>
      </c>
      <c r="O47" s="18" t="s">
        <v>95</v>
      </c>
      <c r="P47" s="18" t="s">
        <v>96</v>
      </c>
      <c r="Q47" s="18" t="s">
        <v>97</v>
      </c>
      <c r="R47" s="18" t="s">
        <v>98</v>
      </c>
      <c r="S47" s="18"/>
      <c r="T47" s="19" t="n">
        <f aca="false">SUMIFS(Permissions!$F$2:$F$3000,Permissions!$B$2:$B$3000,$A47,Permissions!$H$2:$H$3000,"Complete",Permissions!$I$2:$I$3000,"Yes")</f>
        <v>0</v>
      </c>
      <c r="U47" s="19" t="n">
        <f aca="false">SUMIFS(Permissions!$F$2:$F$3000,Permissions!$B$2:$B$3000,$A47,Permissions!$H$2:$H$3000,"Under construction",Permissions!$I$2:$I$3000,"Yes")</f>
        <v>0</v>
      </c>
      <c r="V47" s="19" t="n">
        <f aca="false">SUMIFS(Permissions!$F$2:$F$3000,Permissions!$B$2:$B$3000,$A47,Permissions!$H$2:$H$3000,"Permitted – not started",Permissions!$I$2:$I$3000,"Yes")</f>
        <v>0</v>
      </c>
      <c r="W47" s="19" t="n">
        <f aca="false">SUMIFS(Permissions!$F$2:$F$3000,Permissions!$B$2:$B$3000,$A47,Permissions!$H$2:$H$3000,"Stalled",Permissions!$I$2:$I$3000,"Yes")</f>
        <v>0</v>
      </c>
      <c r="X47" s="19" t="n">
        <f aca="false">T47+U47+V47+W47</f>
        <v>0</v>
      </c>
      <c r="Y47" s="19" t="n">
        <f aca="false">SUMIFS(Permissions!$F$2:$F$3000,Permissions!$B$2:$B$3000,$A47,Permissions!$H$2:$H$3000,"Expired – not started",Permissions!$I$2:$I$3000,"Yes")</f>
        <v>0</v>
      </c>
      <c r="Z47" s="19" t="n">
        <f aca="false">SUMIFS(Permissions!$F$2:$F$3000,Permissions!$B$2:$B$3000,$A47,Permissions!$H$2:$H$3000,"In planning",Permissions!$I$2:$I$3000,"Yes")</f>
        <v>0</v>
      </c>
      <c r="AA47" s="19" t="n">
        <f aca="false">IF(N47="",0,MAX(N47-X47,0))</f>
        <v>13</v>
      </c>
      <c r="AB47" s="20" t="n">
        <f aca="false">X47+AA47</f>
        <v>13</v>
      </c>
      <c r="AC47" s="19" t="n">
        <f aca="false">AB47-T47</f>
        <v>13</v>
      </c>
      <c r="AD47" s="21" t="n">
        <f aca="false">SUMIFS(Permissions!$T$2:$T$3000,Permissions!$B$2:$B$3000,$A47,Permissions!$I$2:$I$3000,"Yes")</f>
        <v>0</v>
      </c>
      <c r="AE47" s="21" t="n">
        <f aca="false">SUMIFS(Permissions!$U$2:$U$3000,Permissions!$B$2:$B$3000,$A47,Permissions!$I$2:$I$3000,"Yes")</f>
        <v>0</v>
      </c>
      <c r="AF47" s="21" t="n">
        <f aca="false">SUMIFS(Permissions!$V$2:$V$3000,Permissions!$B$2:$B$3000,$A47,Permissions!$I$2:$I$3000,"Yes")</f>
        <v>0</v>
      </c>
      <c r="AG47" s="21" t="n">
        <f aca="false">SUMIFS(Permissions!$W$2:$W$3000,Permissions!$B$2:$B$3000,$A47,Permissions!$I$2:$I$3000,"Yes")</f>
        <v>0</v>
      </c>
      <c r="AH47" s="21" t="n">
        <f aca="false">SUMIFS(Permissions!$X$2:$X$3000,Permissions!$B$2:$B$3000,$A47,Permissions!$I$2:$I$3000,"Yes")</f>
        <v>0</v>
      </c>
      <c r="AI47" s="21" t="n">
        <f aca="false">SUMIFS(Permissions!$Y$2:$Y$3000,Permissions!$B$2:$B$3000,$A47,Permissions!$I$2:$I$3000,"Yes")</f>
        <v>0</v>
      </c>
      <c r="AJ47" s="19" t="n">
        <f aca="false">COUNTIFS(Permissions!$B$2:$B$3000,$A47,Permissions!$I$2:$I$3000,"Yes")</f>
        <v>0</v>
      </c>
      <c r="AK47" s="22" t="str">
        <f aca="false">IF(AND(N47&lt;&gt;"",X47&gt;1.1*N47),"Consented above capacity",IF(AND(LEFT(B47,8)="Planning",AJ47=0),"Consent parcel with no permission",IF(COUNTIF($A$2:$A$3000,$A47)&gt;1,"Duplicate parcel_id","")))</f>
        <v/>
      </c>
    </row>
    <row r="48" customFormat="false" ht="15" hidden="false" customHeight="false" outlineLevel="0" collapsed="false">
      <c r="A48" s="18" t="s">
        <v>173</v>
      </c>
      <c r="B48" s="18" t="s">
        <v>10</v>
      </c>
      <c r="C48" s="18" t="s">
        <v>15</v>
      </c>
      <c r="D48" s="18" t="n">
        <v>162</v>
      </c>
      <c r="E48" s="18" t="s">
        <v>90</v>
      </c>
      <c r="F48" s="18" t="s">
        <v>89</v>
      </c>
      <c r="G48" s="18"/>
      <c r="H48" s="18" t="s">
        <v>119</v>
      </c>
      <c r="I48" s="18"/>
      <c r="J48" s="18"/>
      <c r="K48" s="18"/>
      <c r="L48" s="18" t="n">
        <v>1.391</v>
      </c>
      <c r="M48" s="18" t="n">
        <v>1.39</v>
      </c>
      <c r="N48" s="18" t="n">
        <v>139</v>
      </c>
      <c r="O48" s="18" t="s">
        <v>95</v>
      </c>
      <c r="P48" s="18"/>
      <c r="Q48" s="18" t="s">
        <v>128</v>
      </c>
      <c r="R48" s="18" t="s">
        <v>98</v>
      </c>
      <c r="S48" s="18"/>
      <c r="T48" s="19" t="n">
        <f aca="false">SUMIFS(Permissions!$F$2:$F$3000,Permissions!$B$2:$B$3000,$A48,Permissions!$H$2:$H$3000,"Complete",Permissions!$I$2:$I$3000,"Yes")</f>
        <v>0</v>
      </c>
      <c r="U48" s="19" t="n">
        <f aca="false">SUMIFS(Permissions!$F$2:$F$3000,Permissions!$B$2:$B$3000,$A48,Permissions!$H$2:$H$3000,"Under construction",Permissions!$I$2:$I$3000,"Yes")</f>
        <v>0</v>
      </c>
      <c r="V48" s="19" t="n">
        <f aca="false">SUMIFS(Permissions!$F$2:$F$3000,Permissions!$B$2:$B$3000,$A48,Permissions!$H$2:$H$3000,"Permitted – not started",Permissions!$I$2:$I$3000,"Yes")</f>
        <v>0</v>
      </c>
      <c r="W48" s="19" t="n">
        <f aca="false">SUMIFS(Permissions!$F$2:$F$3000,Permissions!$B$2:$B$3000,$A48,Permissions!$H$2:$H$3000,"Stalled",Permissions!$I$2:$I$3000,"Yes")</f>
        <v>0</v>
      </c>
      <c r="X48" s="19" t="n">
        <f aca="false">T48+U48+V48+W48</f>
        <v>0</v>
      </c>
      <c r="Y48" s="19" t="n">
        <f aca="false">SUMIFS(Permissions!$F$2:$F$3000,Permissions!$B$2:$B$3000,$A48,Permissions!$H$2:$H$3000,"Expired – not started",Permissions!$I$2:$I$3000,"Yes")</f>
        <v>0</v>
      </c>
      <c r="Z48" s="19" t="n">
        <f aca="false">SUMIFS(Permissions!$F$2:$F$3000,Permissions!$B$2:$B$3000,$A48,Permissions!$H$2:$H$3000,"In planning",Permissions!$I$2:$I$3000,"Yes")</f>
        <v>0</v>
      </c>
      <c r="AA48" s="19" t="n">
        <f aca="false">IF(N48="",0,MAX(N48-X48,0))</f>
        <v>139</v>
      </c>
      <c r="AB48" s="20" t="n">
        <f aca="false">X48+AA48</f>
        <v>139</v>
      </c>
      <c r="AC48" s="19" t="n">
        <f aca="false">AB48-T48</f>
        <v>139</v>
      </c>
      <c r="AD48" s="21" t="n">
        <f aca="false">SUMIFS(Permissions!$T$2:$T$3000,Permissions!$B$2:$B$3000,$A48,Permissions!$I$2:$I$3000,"Yes")</f>
        <v>0</v>
      </c>
      <c r="AE48" s="21" t="n">
        <f aca="false">SUMIFS(Permissions!$U$2:$U$3000,Permissions!$B$2:$B$3000,$A48,Permissions!$I$2:$I$3000,"Yes")</f>
        <v>0</v>
      </c>
      <c r="AF48" s="21" t="n">
        <f aca="false">SUMIFS(Permissions!$V$2:$V$3000,Permissions!$B$2:$B$3000,$A48,Permissions!$I$2:$I$3000,"Yes")</f>
        <v>0</v>
      </c>
      <c r="AG48" s="21" t="n">
        <f aca="false">SUMIFS(Permissions!$W$2:$W$3000,Permissions!$B$2:$B$3000,$A48,Permissions!$I$2:$I$3000,"Yes")</f>
        <v>0</v>
      </c>
      <c r="AH48" s="21" t="n">
        <f aca="false">SUMIFS(Permissions!$X$2:$X$3000,Permissions!$B$2:$B$3000,$A48,Permissions!$I$2:$I$3000,"Yes")</f>
        <v>0</v>
      </c>
      <c r="AI48" s="21" t="n">
        <f aca="false">SUMIFS(Permissions!$Y$2:$Y$3000,Permissions!$B$2:$B$3000,$A48,Permissions!$I$2:$I$3000,"Yes")</f>
        <v>0</v>
      </c>
      <c r="AJ48" s="19" t="n">
        <f aca="false">COUNTIFS(Permissions!$B$2:$B$3000,$A48,Permissions!$I$2:$I$3000,"Yes")</f>
        <v>0</v>
      </c>
      <c r="AK48" s="22" t="str">
        <f aca="false">IF(AND(N48&lt;&gt;"",X48&gt;1.1*N48),"Consented above capacity",IF(AND(LEFT(B48,8)="Planning",AJ48=0),"Consent parcel with no permission",IF(COUNTIF($A$2:$A$3000,$A48)&gt;1,"Duplicate parcel_id","")))</f>
        <v/>
      </c>
    </row>
    <row r="49" customFormat="false" ht="15" hidden="false" customHeight="false" outlineLevel="0" collapsed="false">
      <c r="A49" s="18" t="s">
        <v>174</v>
      </c>
      <c r="B49" s="18" t="s">
        <v>10</v>
      </c>
      <c r="C49" s="18" t="s">
        <v>15</v>
      </c>
      <c r="D49" s="18" t="n">
        <v>163</v>
      </c>
      <c r="E49" s="18" t="s">
        <v>90</v>
      </c>
      <c r="F49" s="18" t="s">
        <v>89</v>
      </c>
      <c r="G49" s="18"/>
      <c r="H49" s="18" t="s">
        <v>119</v>
      </c>
      <c r="I49" s="18"/>
      <c r="J49" s="18"/>
      <c r="K49" s="18"/>
      <c r="L49" s="18" t="n">
        <v>0.567</v>
      </c>
      <c r="M49" s="18" t="n">
        <v>0.567</v>
      </c>
      <c r="N49" s="18" t="n">
        <v>20</v>
      </c>
      <c r="O49" s="18" t="s">
        <v>95</v>
      </c>
      <c r="P49" s="18"/>
      <c r="Q49" s="18" t="s">
        <v>128</v>
      </c>
      <c r="R49" s="18" t="s">
        <v>98</v>
      </c>
      <c r="S49" s="18"/>
      <c r="T49" s="19" t="n">
        <f aca="false">SUMIFS(Permissions!$F$2:$F$3000,Permissions!$B$2:$B$3000,$A49,Permissions!$H$2:$H$3000,"Complete",Permissions!$I$2:$I$3000,"Yes")</f>
        <v>0</v>
      </c>
      <c r="U49" s="19" t="n">
        <f aca="false">SUMIFS(Permissions!$F$2:$F$3000,Permissions!$B$2:$B$3000,$A49,Permissions!$H$2:$H$3000,"Under construction",Permissions!$I$2:$I$3000,"Yes")</f>
        <v>0</v>
      </c>
      <c r="V49" s="19" t="n">
        <f aca="false">SUMIFS(Permissions!$F$2:$F$3000,Permissions!$B$2:$B$3000,$A49,Permissions!$H$2:$H$3000,"Permitted – not started",Permissions!$I$2:$I$3000,"Yes")</f>
        <v>0</v>
      </c>
      <c r="W49" s="19" t="n">
        <f aca="false">SUMIFS(Permissions!$F$2:$F$3000,Permissions!$B$2:$B$3000,$A49,Permissions!$H$2:$H$3000,"Stalled",Permissions!$I$2:$I$3000,"Yes")</f>
        <v>0</v>
      </c>
      <c r="X49" s="19" t="n">
        <f aca="false">T49+U49+V49+W49</f>
        <v>0</v>
      </c>
      <c r="Y49" s="19" t="n">
        <f aca="false">SUMIFS(Permissions!$F$2:$F$3000,Permissions!$B$2:$B$3000,$A49,Permissions!$H$2:$H$3000,"Expired – not started",Permissions!$I$2:$I$3000,"Yes")</f>
        <v>0</v>
      </c>
      <c r="Z49" s="19" t="n">
        <f aca="false">SUMIFS(Permissions!$F$2:$F$3000,Permissions!$B$2:$B$3000,$A49,Permissions!$H$2:$H$3000,"In planning",Permissions!$I$2:$I$3000,"Yes")</f>
        <v>0</v>
      </c>
      <c r="AA49" s="19" t="n">
        <f aca="false">IF(N49="",0,MAX(N49-X49,0))</f>
        <v>20</v>
      </c>
      <c r="AB49" s="20" t="n">
        <f aca="false">X49+AA49</f>
        <v>20</v>
      </c>
      <c r="AC49" s="19" t="n">
        <f aca="false">AB49-T49</f>
        <v>20</v>
      </c>
      <c r="AD49" s="21" t="n">
        <f aca="false">SUMIFS(Permissions!$T$2:$T$3000,Permissions!$B$2:$B$3000,$A49,Permissions!$I$2:$I$3000,"Yes")</f>
        <v>0</v>
      </c>
      <c r="AE49" s="21" t="n">
        <f aca="false">SUMIFS(Permissions!$U$2:$U$3000,Permissions!$B$2:$B$3000,$A49,Permissions!$I$2:$I$3000,"Yes")</f>
        <v>0</v>
      </c>
      <c r="AF49" s="21" t="n">
        <f aca="false">SUMIFS(Permissions!$V$2:$V$3000,Permissions!$B$2:$B$3000,$A49,Permissions!$I$2:$I$3000,"Yes")</f>
        <v>0</v>
      </c>
      <c r="AG49" s="21" t="n">
        <f aca="false">SUMIFS(Permissions!$W$2:$W$3000,Permissions!$B$2:$B$3000,$A49,Permissions!$I$2:$I$3000,"Yes")</f>
        <v>0</v>
      </c>
      <c r="AH49" s="21" t="n">
        <f aca="false">SUMIFS(Permissions!$X$2:$X$3000,Permissions!$B$2:$B$3000,$A49,Permissions!$I$2:$I$3000,"Yes")</f>
        <v>0</v>
      </c>
      <c r="AI49" s="21" t="n">
        <f aca="false">SUMIFS(Permissions!$Y$2:$Y$3000,Permissions!$B$2:$B$3000,$A49,Permissions!$I$2:$I$3000,"Yes")</f>
        <v>0</v>
      </c>
      <c r="AJ49" s="19" t="n">
        <f aca="false">COUNTIFS(Permissions!$B$2:$B$3000,$A49,Permissions!$I$2:$I$3000,"Yes")</f>
        <v>0</v>
      </c>
      <c r="AK49" s="22" t="str">
        <f aca="false">IF(AND(N49&lt;&gt;"",X49&gt;1.1*N49),"Consented above capacity",IF(AND(LEFT(B49,8)="Planning",AJ49=0),"Consent parcel with no permission",IF(COUNTIF($A$2:$A$3000,$A49)&gt;1,"Duplicate parcel_id","")))</f>
        <v/>
      </c>
    </row>
    <row r="50" customFormat="false" ht="15" hidden="false" customHeight="false" outlineLevel="0" collapsed="false">
      <c r="A50" s="18" t="s">
        <v>175</v>
      </c>
      <c r="B50" s="18" t="s">
        <v>10</v>
      </c>
      <c r="C50" s="18" t="s">
        <v>15</v>
      </c>
      <c r="D50" s="18" t="n">
        <v>22</v>
      </c>
      <c r="E50" s="18" t="s">
        <v>90</v>
      </c>
      <c r="F50" s="18" t="s">
        <v>112</v>
      </c>
      <c r="G50" s="18" t="s">
        <v>113</v>
      </c>
      <c r="H50" s="18" t="s">
        <v>91</v>
      </c>
      <c r="I50" s="18" t="s">
        <v>165</v>
      </c>
      <c r="J50" s="18" t="s">
        <v>93</v>
      </c>
      <c r="K50" s="18" t="s">
        <v>166</v>
      </c>
      <c r="L50" s="18" t="n">
        <v>3.919</v>
      </c>
      <c r="M50" s="18" t="n">
        <v>3.918</v>
      </c>
      <c r="N50" s="18" t="n">
        <v>500</v>
      </c>
      <c r="O50" s="18" t="s">
        <v>95</v>
      </c>
      <c r="P50" s="18" t="s">
        <v>96</v>
      </c>
      <c r="Q50" s="18" t="s">
        <v>97</v>
      </c>
      <c r="R50" s="18" t="s">
        <v>98</v>
      </c>
      <c r="S50" s="18"/>
      <c r="T50" s="19" t="n">
        <f aca="false">SUMIFS(Permissions!$F$2:$F$3000,Permissions!$B$2:$B$3000,$A50,Permissions!$H$2:$H$3000,"Complete",Permissions!$I$2:$I$3000,"Yes")</f>
        <v>0</v>
      </c>
      <c r="U50" s="19" t="n">
        <f aca="false">SUMIFS(Permissions!$F$2:$F$3000,Permissions!$B$2:$B$3000,$A50,Permissions!$H$2:$H$3000,"Under construction",Permissions!$I$2:$I$3000,"Yes")</f>
        <v>0</v>
      </c>
      <c r="V50" s="19" t="n">
        <f aca="false">SUMIFS(Permissions!$F$2:$F$3000,Permissions!$B$2:$B$3000,$A50,Permissions!$H$2:$H$3000,"Permitted – not started",Permissions!$I$2:$I$3000,"Yes")</f>
        <v>0</v>
      </c>
      <c r="W50" s="19" t="n">
        <f aca="false">SUMIFS(Permissions!$F$2:$F$3000,Permissions!$B$2:$B$3000,$A50,Permissions!$H$2:$H$3000,"Stalled",Permissions!$I$2:$I$3000,"Yes")</f>
        <v>0</v>
      </c>
      <c r="X50" s="19" t="n">
        <f aca="false">T50+U50+V50+W50</f>
        <v>0</v>
      </c>
      <c r="Y50" s="19" t="n">
        <f aca="false">SUMIFS(Permissions!$F$2:$F$3000,Permissions!$B$2:$B$3000,$A50,Permissions!$H$2:$H$3000,"Expired – not started",Permissions!$I$2:$I$3000,"Yes")</f>
        <v>0</v>
      </c>
      <c r="Z50" s="19" t="n">
        <f aca="false">SUMIFS(Permissions!$F$2:$F$3000,Permissions!$B$2:$B$3000,$A50,Permissions!$H$2:$H$3000,"In planning",Permissions!$I$2:$I$3000,"Yes")</f>
        <v>0</v>
      </c>
      <c r="AA50" s="19" t="n">
        <f aca="false">IF(N50="",0,MAX(N50-X50,0))</f>
        <v>500</v>
      </c>
      <c r="AB50" s="20" t="n">
        <f aca="false">X50+AA50</f>
        <v>500</v>
      </c>
      <c r="AC50" s="19" t="n">
        <f aca="false">AB50-T50</f>
        <v>500</v>
      </c>
      <c r="AD50" s="21" t="n">
        <f aca="false">SUMIFS(Permissions!$T$2:$T$3000,Permissions!$B$2:$B$3000,$A50,Permissions!$I$2:$I$3000,"Yes")</f>
        <v>0</v>
      </c>
      <c r="AE50" s="21" t="n">
        <f aca="false">SUMIFS(Permissions!$U$2:$U$3000,Permissions!$B$2:$B$3000,$A50,Permissions!$I$2:$I$3000,"Yes")</f>
        <v>0</v>
      </c>
      <c r="AF50" s="21" t="n">
        <f aca="false">SUMIFS(Permissions!$V$2:$V$3000,Permissions!$B$2:$B$3000,$A50,Permissions!$I$2:$I$3000,"Yes")</f>
        <v>0</v>
      </c>
      <c r="AG50" s="21" t="n">
        <f aca="false">SUMIFS(Permissions!$W$2:$W$3000,Permissions!$B$2:$B$3000,$A50,Permissions!$I$2:$I$3000,"Yes")</f>
        <v>0</v>
      </c>
      <c r="AH50" s="21" t="n">
        <f aca="false">SUMIFS(Permissions!$X$2:$X$3000,Permissions!$B$2:$B$3000,$A50,Permissions!$I$2:$I$3000,"Yes")</f>
        <v>0</v>
      </c>
      <c r="AI50" s="21" t="n">
        <f aca="false">SUMIFS(Permissions!$Y$2:$Y$3000,Permissions!$B$2:$B$3000,$A50,Permissions!$I$2:$I$3000,"Yes")</f>
        <v>0</v>
      </c>
      <c r="AJ50" s="19" t="n">
        <f aca="false">COUNTIFS(Permissions!$B$2:$B$3000,$A50,Permissions!$I$2:$I$3000,"Yes")</f>
        <v>0</v>
      </c>
      <c r="AK50" s="22" t="str">
        <f aca="false">IF(AND(N50&lt;&gt;"",X50&gt;1.1*N50),"Consented above capacity",IF(AND(LEFT(B50,8)="Planning",AJ50=0),"Consent parcel with no permission",IF(COUNTIF($A$2:$A$3000,$A50)&gt;1,"Duplicate parcel_id","")))</f>
        <v/>
      </c>
    </row>
    <row r="51" customFormat="false" ht="15" hidden="false" customHeight="false" outlineLevel="0" collapsed="false">
      <c r="A51" s="18" t="s">
        <v>176</v>
      </c>
      <c r="B51" s="18" t="s">
        <v>10</v>
      </c>
      <c r="C51" s="18" t="s">
        <v>15</v>
      </c>
      <c r="D51" s="18" t="n">
        <v>23</v>
      </c>
      <c r="E51" s="18" t="s">
        <v>90</v>
      </c>
      <c r="F51" s="18" t="s">
        <v>112</v>
      </c>
      <c r="G51" s="18" t="s">
        <v>113</v>
      </c>
      <c r="H51" s="18" t="s">
        <v>91</v>
      </c>
      <c r="I51" s="18" t="s">
        <v>92</v>
      </c>
      <c r="J51" s="18" t="s">
        <v>101</v>
      </c>
      <c r="K51" s="18" t="s">
        <v>94</v>
      </c>
      <c r="L51" s="18" t="n">
        <v>0.148</v>
      </c>
      <c r="M51" s="18" t="n">
        <v>0.148</v>
      </c>
      <c r="N51" s="18" t="n">
        <v>7</v>
      </c>
      <c r="O51" s="18" t="s">
        <v>95</v>
      </c>
      <c r="P51" s="18" t="s">
        <v>96</v>
      </c>
      <c r="Q51" s="18" t="s">
        <v>97</v>
      </c>
      <c r="R51" s="18" t="s">
        <v>98</v>
      </c>
      <c r="S51" s="18"/>
      <c r="T51" s="19" t="n">
        <f aca="false">SUMIFS(Permissions!$F$2:$F$3000,Permissions!$B$2:$B$3000,$A51,Permissions!$H$2:$H$3000,"Complete",Permissions!$I$2:$I$3000,"Yes")</f>
        <v>0</v>
      </c>
      <c r="U51" s="19" t="n">
        <f aca="false">SUMIFS(Permissions!$F$2:$F$3000,Permissions!$B$2:$B$3000,$A51,Permissions!$H$2:$H$3000,"Under construction",Permissions!$I$2:$I$3000,"Yes")</f>
        <v>0</v>
      </c>
      <c r="V51" s="19" t="n">
        <f aca="false">SUMIFS(Permissions!$F$2:$F$3000,Permissions!$B$2:$B$3000,$A51,Permissions!$H$2:$H$3000,"Permitted – not started",Permissions!$I$2:$I$3000,"Yes")</f>
        <v>0</v>
      </c>
      <c r="W51" s="19" t="n">
        <f aca="false">SUMIFS(Permissions!$F$2:$F$3000,Permissions!$B$2:$B$3000,$A51,Permissions!$H$2:$H$3000,"Stalled",Permissions!$I$2:$I$3000,"Yes")</f>
        <v>0</v>
      </c>
      <c r="X51" s="19" t="n">
        <f aca="false">T51+U51+V51+W51</f>
        <v>0</v>
      </c>
      <c r="Y51" s="19" t="n">
        <f aca="false">SUMIFS(Permissions!$F$2:$F$3000,Permissions!$B$2:$B$3000,$A51,Permissions!$H$2:$H$3000,"Expired – not started",Permissions!$I$2:$I$3000,"Yes")</f>
        <v>0</v>
      </c>
      <c r="Z51" s="19" t="n">
        <f aca="false">SUMIFS(Permissions!$F$2:$F$3000,Permissions!$B$2:$B$3000,$A51,Permissions!$H$2:$H$3000,"In planning",Permissions!$I$2:$I$3000,"Yes")</f>
        <v>0</v>
      </c>
      <c r="AA51" s="19" t="n">
        <f aca="false">IF(N51="",0,MAX(N51-X51,0))</f>
        <v>7</v>
      </c>
      <c r="AB51" s="20" t="n">
        <f aca="false">X51+AA51</f>
        <v>7</v>
      </c>
      <c r="AC51" s="19" t="n">
        <f aca="false">AB51-T51</f>
        <v>7</v>
      </c>
      <c r="AD51" s="21" t="n">
        <f aca="false">SUMIFS(Permissions!$T$2:$T$3000,Permissions!$B$2:$B$3000,$A51,Permissions!$I$2:$I$3000,"Yes")</f>
        <v>0</v>
      </c>
      <c r="AE51" s="21" t="n">
        <f aca="false">SUMIFS(Permissions!$U$2:$U$3000,Permissions!$B$2:$B$3000,$A51,Permissions!$I$2:$I$3000,"Yes")</f>
        <v>0</v>
      </c>
      <c r="AF51" s="21" t="n">
        <f aca="false">SUMIFS(Permissions!$V$2:$V$3000,Permissions!$B$2:$B$3000,$A51,Permissions!$I$2:$I$3000,"Yes")</f>
        <v>0</v>
      </c>
      <c r="AG51" s="21" t="n">
        <f aca="false">SUMIFS(Permissions!$W$2:$W$3000,Permissions!$B$2:$B$3000,$A51,Permissions!$I$2:$I$3000,"Yes")</f>
        <v>0</v>
      </c>
      <c r="AH51" s="21" t="n">
        <f aca="false">SUMIFS(Permissions!$X$2:$X$3000,Permissions!$B$2:$B$3000,$A51,Permissions!$I$2:$I$3000,"Yes")</f>
        <v>0</v>
      </c>
      <c r="AI51" s="21" t="n">
        <f aca="false">SUMIFS(Permissions!$Y$2:$Y$3000,Permissions!$B$2:$B$3000,$A51,Permissions!$I$2:$I$3000,"Yes")</f>
        <v>0</v>
      </c>
      <c r="AJ51" s="19" t="n">
        <f aca="false">COUNTIFS(Permissions!$B$2:$B$3000,$A51,Permissions!$I$2:$I$3000,"Yes")</f>
        <v>0</v>
      </c>
      <c r="AK51" s="22" t="str">
        <f aca="false">IF(AND(N51&lt;&gt;"",X51&gt;1.1*N51),"Consented above capacity",IF(AND(LEFT(B51,8)="Planning",AJ51=0),"Consent parcel with no permission",IF(COUNTIF($A$2:$A$3000,$A51)&gt;1,"Duplicate parcel_id","")))</f>
        <v/>
      </c>
    </row>
    <row r="52" customFormat="false" ht="15" hidden="false" customHeight="false" outlineLevel="0" collapsed="false">
      <c r="A52" s="18" t="s">
        <v>177</v>
      </c>
      <c r="B52" s="18" t="s">
        <v>10</v>
      </c>
      <c r="C52" s="18" t="s">
        <v>15</v>
      </c>
      <c r="D52" s="18" t="n">
        <v>86</v>
      </c>
      <c r="E52" s="18" t="s">
        <v>90</v>
      </c>
      <c r="F52" s="18" t="s">
        <v>89</v>
      </c>
      <c r="G52" s="18" t="s">
        <v>90</v>
      </c>
      <c r="H52" s="18" t="s">
        <v>105</v>
      </c>
      <c r="I52" s="18" t="s">
        <v>165</v>
      </c>
      <c r="J52" s="18" t="s">
        <v>93</v>
      </c>
      <c r="K52" s="18" t="s">
        <v>166</v>
      </c>
      <c r="L52" s="18" t="n">
        <v>0.676</v>
      </c>
      <c r="M52" s="18" t="n">
        <v>0.676</v>
      </c>
      <c r="N52" s="18" t="n">
        <v>68</v>
      </c>
      <c r="O52" s="18" t="s">
        <v>95</v>
      </c>
      <c r="P52" s="18" t="s">
        <v>96</v>
      </c>
      <c r="Q52" s="18" t="s">
        <v>97</v>
      </c>
      <c r="R52" s="18" t="s">
        <v>98</v>
      </c>
      <c r="S52" s="18"/>
      <c r="T52" s="19" t="n">
        <f aca="false">SUMIFS(Permissions!$F$2:$F$3000,Permissions!$B$2:$B$3000,$A52,Permissions!$H$2:$H$3000,"Complete",Permissions!$I$2:$I$3000,"Yes")</f>
        <v>0</v>
      </c>
      <c r="U52" s="19" t="n">
        <f aca="false">SUMIFS(Permissions!$F$2:$F$3000,Permissions!$B$2:$B$3000,$A52,Permissions!$H$2:$H$3000,"Under construction",Permissions!$I$2:$I$3000,"Yes")</f>
        <v>0</v>
      </c>
      <c r="V52" s="19" t="n">
        <f aca="false">SUMIFS(Permissions!$F$2:$F$3000,Permissions!$B$2:$B$3000,$A52,Permissions!$H$2:$H$3000,"Permitted – not started",Permissions!$I$2:$I$3000,"Yes")</f>
        <v>0</v>
      </c>
      <c r="W52" s="19" t="n">
        <f aca="false">SUMIFS(Permissions!$F$2:$F$3000,Permissions!$B$2:$B$3000,$A52,Permissions!$H$2:$H$3000,"Stalled",Permissions!$I$2:$I$3000,"Yes")</f>
        <v>0</v>
      </c>
      <c r="X52" s="19" t="n">
        <f aca="false">T52+U52+V52+W52</f>
        <v>0</v>
      </c>
      <c r="Y52" s="19" t="n">
        <f aca="false">SUMIFS(Permissions!$F$2:$F$3000,Permissions!$B$2:$B$3000,$A52,Permissions!$H$2:$H$3000,"Expired – not started",Permissions!$I$2:$I$3000,"Yes")</f>
        <v>0</v>
      </c>
      <c r="Z52" s="19" t="n">
        <f aca="false">SUMIFS(Permissions!$F$2:$F$3000,Permissions!$B$2:$B$3000,$A52,Permissions!$H$2:$H$3000,"In planning",Permissions!$I$2:$I$3000,"Yes")</f>
        <v>0</v>
      </c>
      <c r="AA52" s="19" t="n">
        <f aca="false">IF(N52="",0,MAX(N52-X52,0))</f>
        <v>68</v>
      </c>
      <c r="AB52" s="20" t="n">
        <f aca="false">X52+AA52</f>
        <v>68</v>
      </c>
      <c r="AC52" s="19" t="n">
        <f aca="false">AB52-T52</f>
        <v>68</v>
      </c>
      <c r="AD52" s="21" t="n">
        <f aca="false">SUMIFS(Permissions!$T$2:$T$3000,Permissions!$B$2:$B$3000,$A52,Permissions!$I$2:$I$3000,"Yes")</f>
        <v>0</v>
      </c>
      <c r="AE52" s="21" t="n">
        <f aca="false">SUMIFS(Permissions!$U$2:$U$3000,Permissions!$B$2:$B$3000,$A52,Permissions!$I$2:$I$3000,"Yes")</f>
        <v>0</v>
      </c>
      <c r="AF52" s="21" t="n">
        <f aca="false">SUMIFS(Permissions!$V$2:$V$3000,Permissions!$B$2:$B$3000,$A52,Permissions!$I$2:$I$3000,"Yes")</f>
        <v>0</v>
      </c>
      <c r="AG52" s="21" t="n">
        <f aca="false">SUMIFS(Permissions!$W$2:$W$3000,Permissions!$B$2:$B$3000,$A52,Permissions!$I$2:$I$3000,"Yes")</f>
        <v>0</v>
      </c>
      <c r="AH52" s="21" t="n">
        <f aca="false">SUMIFS(Permissions!$X$2:$X$3000,Permissions!$B$2:$B$3000,$A52,Permissions!$I$2:$I$3000,"Yes")</f>
        <v>0</v>
      </c>
      <c r="AI52" s="21" t="n">
        <f aca="false">SUMIFS(Permissions!$Y$2:$Y$3000,Permissions!$B$2:$B$3000,$A52,Permissions!$I$2:$I$3000,"Yes")</f>
        <v>0</v>
      </c>
      <c r="AJ52" s="19" t="n">
        <f aca="false">COUNTIFS(Permissions!$B$2:$B$3000,$A52,Permissions!$I$2:$I$3000,"Yes")</f>
        <v>0</v>
      </c>
      <c r="AK52" s="22" t="str">
        <f aca="false">IF(AND(N52&lt;&gt;"",X52&gt;1.1*N52),"Consented above capacity",IF(AND(LEFT(B52,8)="Planning",AJ52=0),"Consent parcel with no permission",IF(COUNTIF($A$2:$A$3000,$A52)&gt;1,"Duplicate parcel_id","")))</f>
        <v/>
      </c>
    </row>
    <row r="53" customFormat="false" ht="15" hidden="false" customHeight="false" outlineLevel="0" collapsed="false">
      <c r="A53" s="18" t="s">
        <v>178</v>
      </c>
      <c r="B53" s="18" t="s">
        <v>10</v>
      </c>
      <c r="C53" s="18" t="s">
        <v>15</v>
      </c>
      <c r="D53" s="18" t="n">
        <v>87</v>
      </c>
      <c r="E53" s="18" t="s">
        <v>90</v>
      </c>
      <c r="F53" s="18" t="s">
        <v>89</v>
      </c>
      <c r="G53" s="18" t="s">
        <v>90</v>
      </c>
      <c r="H53" s="18" t="s">
        <v>105</v>
      </c>
      <c r="I53" s="18" t="s">
        <v>165</v>
      </c>
      <c r="J53" s="18" t="s">
        <v>93</v>
      </c>
      <c r="K53" s="18" t="s">
        <v>166</v>
      </c>
      <c r="L53" s="18" t="n">
        <v>0.136</v>
      </c>
      <c r="M53" s="18" t="n">
        <v>0.137</v>
      </c>
      <c r="N53" s="18" t="n">
        <v>14</v>
      </c>
      <c r="O53" s="18" t="s">
        <v>95</v>
      </c>
      <c r="P53" s="18" t="s">
        <v>96</v>
      </c>
      <c r="Q53" s="18" t="s">
        <v>97</v>
      </c>
      <c r="R53" s="18" t="s">
        <v>98</v>
      </c>
      <c r="S53" s="18"/>
      <c r="T53" s="19" t="n">
        <f aca="false">SUMIFS(Permissions!$F$2:$F$3000,Permissions!$B$2:$B$3000,$A53,Permissions!$H$2:$H$3000,"Complete",Permissions!$I$2:$I$3000,"Yes")</f>
        <v>0</v>
      </c>
      <c r="U53" s="19" t="n">
        <f aca="false">SUMIFS(Permissions!$F$2:$F$3000,Permissions!$B$2:$B$3000,$A53,Permissions!$H$2:$H$3000,"Under construction",Permissions!$I$2:$I$3000,"Yes")</f>
        <v>0</v>
      </c>
      <c r="V53" s="19" t="n">
        <f aca="false">SUMIFS(Permissions!$F$2:$F$3000,Permissions!$B$2:$B$3000,$A53,Permissions!$H$2:$H$3000,"Permitted – not started",Permissions!$I$2:$I$3000,"Yes")</f>
        <v>0</v>
      </c>
      <c r="W53" s="19" t="n">
        <f aca="false">SUMIFS(Permissions!$F$2:$F$3000,Permissions!$B$2:$B$3000,$A53,Permissions!$H$2:$H$3000,"Stalled",Permissions!$I$2:$I$3000,"Yes")</f>
        <v>0</v>
      </c>
      <c r="X53" s="19" t="n">
        <f aca="false">T53+U53+V53+W53</f>
        <v>0</v>
      </c>
      <c r="Y53" s="19" t="n">
        <f aca="false">SUMIFS(Permissions!$F$2:$F$3000,Permissions!$B$2:$B$3000,$A53,Permissions!$H$2:$H$3000,"Expired – not started",Permissions!$I$2:$I$3000,"Yes")</f>
        <v>0</v>
      </c>
      <c r="Z53" s="19" t="n">
        <f aca="false">SUMIFS(Permissions!$F$2:$F$3000,Permissions!$B$2:$B$3000,$A53,Permissions!$H$2:$H$3000,"In planning",Permissions!$I$2:$I$3000,"Yes")</f>
        <v>0</v>
      </c>
      <c r="AA53" s="19" t="n">
        <f aca="false">IF(N53="",0,MAX(N53-X53,0))</f>
        <v>14</v>
      </c>
      <c r="AB53" s="20" t="n">
        <f aca="false">X53+AA53</f>
        <v>14</v>
      </c>
      <c r="AC53" s="19" t="n">
        <f aca="false">AB53-T53</f>
        <v>14</v>
      </c>
      <c r="AD53" s="21" t="n">
        <f aca="false">SUMIFS(Permissions!$T$2:$T$3000,Permissions!$B$2:$B$3000,$A53,Permissions!$I$2:$I$3000,"Yes")</f>
        <v>0</v>
      </c>
      <c r="AE53" s="21" t="n">
        <f aca="false">SUMIFS(Permissions!$U$2:$U$3000,Permissions!$B$2:$B$3000,$A53,Permissions!$I$2:$I$3000,"Yes")</f>
        <v>0</v>
      </c>
      <c r="AF53" s="21" t="n">
        <f aca="false">SUMIFS(Permissions!$V$2:$V$3000,Permissions!$B$2:$B$3000,$A53,Permissions!$I$2:$I$3000,"Yes")</f>
        <v>0</v>
      </c>
      <c r="AG53" s="21" t="n">
        <f aca="false">SUMIFS(Permissions!$W$2:$W$3000,Permissions!$B$2:$B$3000,$A53,Permissions!$I$2:$I$3000,"Yes")</f>
        <v>0</v>
      </c>
      <c r="AH53" s="21" t="n">
        <f aca="false">SUMIFS(Permissions!$X$2:$X$3000,Permissions!$B$2:$B$3000,$A53,Permissions!$I$2:$I$3000,"Yes")</f>
        <v>0</v>
      </c>
      <c r="AI53" s="21" t="n">
        <f aca="false">SUMIFS(Permissions!$Y$2:$Y$3000,Permissions!$B$2:$B$3000,$A53,Permissions!$I$2:$I$3000,"Yes")</f>
        <v>0</v>
      </c>
      <c r="AJ53" s="19" t="n">
        <f aca="false">COUNTIFS(Permissions!$B$2:$B$3000,$A53,Permissions!$I$2:$I$3000,"Yes")</f>
        <v>0</v>
      </c>
      <c r="AK53" s="22" t="str">
        <f aca="false">IF(AND(N53&lt;&gt;"",X53&gt;1.1*N53),"Consented above capacity",IF(AND(LEFT(B53,8)="Planning",AJ53=0),"Consent parcel with no permission",IF(COUNTIF($A$2:$A$3000,$A53)&gt;1,"Duplicate parcel_id","")))</f>
        <v/>
      </c>
    </row>
    <row r="54" customFormat="false" ht="15" hidden="false" customHeight="false" outlineLevel="0" collapsed="false">
      <c r="A54" s="18" t="s">
        <v>179</v>
      </c>
      <c r="B54" s="18" t="s">
        <v>10</v>
      </c>
      <c r="C54" s="18" t="s">
        <v>15</v>
      </c>
      <c r="D54" s="18" t="n">
        <v>88</v>
      </c>
      <c r="E54" s="18" t="s">
        <v>90</v>
      </c>
      <c r="F54" s="18" t="s">
        <v>89</v>
      </c>
      <c r="G54" s="18" t="s">
        <v>90</v>
      </c>
      <c r="H54" s="18" t="s">
        <v>119</v>
      </c>
      <c r="I54" s="18" t="s">
        <v>90</v>
      </c>
      <c r="J54" s="18" t="s">
        <v>93</v>
      </c>
      <c r="K54" s="18" t="s">
        <v>166</v>
      </c>
      <c r="L54" s="18" t="n">
        <v>0.348</v>
      </c>
      <c r="M54" s="18" t="n">
        <v>0.349</v>
      </c>
      <c r="N54" s="18" t="n">
        <v>35</v>
      </c>
      <c r="O54" s="18" t="s">
        <v>95</v>
      </c>
      <c r="P54" s="18" t="s">
        <v>96</v>
      </c>
      <c r="Q54" s="18" t="s">
        <v>97</v>
      </c>
      <c r="R54" s="18" t="s">
        <v>98</v>
      </c>
      <c r="S54" s="18"/>
      <c r="T54" s="19" t="n">
        <f aca="false">SUMIFS(Permissions!$F$2:$F$3000,Permissions!$B$2:$B$3000,$A54,Permissions!$H$2:$H$3000,"Complete",Permissions!$I$2:$I$3000,"Yes")</f>
        <v>0</v>
      </c>
      <c r="U54" s="19" t="n">
        <f aca="false">SUMIFS(Permissions!$F$2:$F$3000,Permissions!$B$2:$B$3000,$A54,Permissions!$H$2:$H$3000,"Under construction",Permissions!$I$2:$I$3000,"Yes")</f>
        <v>0</v>
      </c>
      <c r="V54" s="19" t="n">
        <f aca="false">SUMIFS(Permissions!$F$2:$F$3000,Permissions!$B$2:$B$3000,$A54,Permissions!$H$2:$H$3000,"Permitted – not started",Permissions!$I$2:$I$3000,"Yes")</f>
        <v>0</v>
      </c>
      <c r="W54" s="19" t="n">
        <f aca="false">SUMIFS(Permissions!$F$2:$F$3000,Permissions!$B$2:$B$3000,$A54,Permissions!$H$2:$H$3000,"Stalled",Permissions!$I$2:$I$3000,"Yes")</f>
        <v>0</v>
      </c>
      <c r="X54" s="19" t="n">
        <f aca="false">T54+U54+V54+W54</f>
        <v>0</v>
      </c>
      <c r="Y54" s="19" t="n">
        <f aca="false">SUMIFS(Permissions!$F$2:$F$3000,Permissions!$B$2:$B$3000,$A54,Permissions!$H$2:$H$3000,"Expired – not started",Permissions!$I$2:$I$3000,"Yes")</f>
        <v>0</v>
      </c>
      <c r="Z54" s="19" t="n">
        <f aca="false">SUMIFS(Permissions!$F$2:$F$3000,Permissions!$B$2:$B$3000,$A54,Permissions!$H$2:$H$3000,"In planning",Permissions!$I$2:$I$3000,"Yes")</f>
        <v>0</v>
      </c>
      <c r="AA54" s="19" t="n">
        <f aca="false">IF(N54="",0,MAX(N54-X54,0))</f>
        <v>35</v>
      </c>
      <c r="AB54" s="20" t="n">
        <f aca="false">X54+AA54</f>
        <v>35</v>
      </c>
      <c r="AC54" s="19" t="n">
        <f aca="false">AB54-T54</f>
        <v>35</v>
      </c>
      <c r="AD54" s="21" t="n">
        <f aca="false">SUMIFS(Permissions!$T$2:$T$3000,Permissions!$B$2:$B$3000,$A54,Permissions!$I$2:$I$3000,"Yes")</f>
        <v>0</v>
      </c>
      <c r="AE54" s="21" t="n">
        <f aca="false">SUMIFS(Permissions!$U$2:$U$3000,Permissions!$B$2:$B$3000,$A54,Permissions!$I$2:$I$3000,"Yes")</f>
        <v>0</v>
      </c>
      <c r="AF54" s="21" t="n">
        <f aca="false">SUMIFS(Permissions!$V$2:$V$3000,Permissions!$B$2:$B$3000,$A54,Permissions!$I$2:$I$3000,"Yes")</f>
        <v>0</v>
      </c>
      <c r="AG54" s="21" t="n">
        <f aca="false">SUMIFS(Permissions!$W$2:$W$3000,Permissions!$B$2:$B$3000,$A54,Permissions!$I$2:$I$3000,"Yes")</f>
        <v>0</v>
      </c>
      <c r="AH54" s="21" t="n">
        <f aca="false">SUMIFS(Permissions!$X$2:$X$3000,Permissions!$B$2:$B$3000,$A54,Permissions!$I$2:$I$3000,"Yes")</f>
        <v>0</v>
      </c>
      <c r="AI54" s="21" t="n">
        <f aca="false">SUMIFS(Permissions!$Y$2:$Y$3000,Permissions!$B$2:$B$3000,$A54,Permissions!$I$2:$I$3000,"Yes")</f>
        <v>0</v>
      </c>
      <c r="AJ54" s="19" t="n">
        <f aca="false">COUNTIFS(Permissions!$B$2:$B$3000,$A54,Permissions!$I$2:$I$3000,"Yes")</f>
        <v>0</v>
      </c>
      <c r="AK54" s="22" t="str">
        <f aca="false">IF(AND(N54&lt;&gt;"",X54&gt;1.1*N54),"Consented above capacity",IF(AND(LEFT(B54,8)="Planning",AJ54=0),"Consent parcel with no permission",IF(COUNTIF($A$2:$A$3000,$A54)&gt;1,"Duplicate parcel_id","")))</f>
        <v/>
      </c>
    </row>
    <row r="55" customFormat="false" ht="15" hidden="false" customHeight="false" outlineLevel="0" collapsed="false">
      <c r="A55" s="18" t="s">
        <v>180</v>
      </c>
      <c r="B55" s="18" t="s">
        <v>10</v>
      </c>
      <c r="C55" s="18" t="s">
        <v>15</v>
      </c>
      <c r="D55" s="18" t="n">
        <v>89</v>
      </c>
      <c r="E55" s="18" t="s">
        <v>90</v>
      </c>
      <c r="F55" s="18" t="s">
        <v>89</v>
      </c>
      <c r="G55" s="18" t="s">
        <v>90</v>
      </c>
      <c r="H55" s="18" t="s">
        <v>105</v>
      </c>
      <c r="I55" s="18" t="s">
        <v>165</v>
      </c>
      <c r="J55" s="18" t="s">
        <v>101</v>
      </c>
      <c r="K55" s="18" t="s">
        <v>166</v>
      </c>
      <c r="L55" s="18" t="n">
        <v>0</v>
      </c>
      <c r="M55" s="18" t="n">
        <v>0.09</v>
      </c>
      <c r="N55" s="18" t="n">
        <v>0</v>
      </c>
      <c r="O55" s="18" t="s">
        <v>95</v>
      </c>
      <c r="P55" s="18" t="s">
        <v>96</v>
      </c>
      <c r="Q55" s="18" t="s">
        <v>97</v>
      </c>
      <c r="R55" s="18" t="s">
        <v>98</v>
      </c>
      <c r="S55" s="18"/>
      <c r="T55" s="19" t="n">
        <f aca="false">SUMIFS(Permissions!$F$2:$F$3000,Permissions!$B$2:$B$3000,$A55,Permissions!$H$2:$H$3000,"Complete",Permissions!$I$2:$I$3000,"Yes")</f>
        <v>0</v>
      </c>
      <c r="U55" s="19" t="n">
        <f aca="false">SUMIFS(Permissions!$F$2:$F$3000,Permissions!$B$2:$B$3000,$A55,Permissions!$H$2:$H$3000,"Under construction",Permissions!$I$2:$I$3000,"Yes")</f>
        <v>0</v>
      </c>
      <c r="V55" s="19" t="n">
        <f aca="false">SUMIFS(Permissions!$F$2:$F$3000,Permissions!$B$2:$B$3000,$A55,Permissions!$H$2:$H$3000,"Permitted – not started",Permissions!$I$2:$I$3000,"Yes")</f>
        <v>0</v>
      </c>
      <c r="W55" s="19" t="n">
        <f aca="false">SUMIFS(Permissions!$F$2:$F$3000,Permissions!$B$2:$B$3000,$A55,Permissions!$H$2:$H$3000,"Stalled",Permissions!$I$2:$I$3000,"Yes")</f>
        <v>0</v>
      </c>
      <c r="X55" s="19" t="n">
        <f aca="false">T55+U55+V55+W55</f>
        <v>0</v>
      </c>
      <c r="Y55" s="19" t="n">
        <f aca="false">SUMIFS(Permissions!$F$2:$F$3000,Permissions!$B$2:$B$3000,$A55,Permissions!$H$2:$H$3000,"Expired – not started",Permissions!$I$2:$I$3000,"Yes")</f>
        <v>0</v>
      </c>
      <c r="Z55" s="19" t="n">
        <f aca="false">SUMIFS(Permissions!$F$2:$F$3000,Permissions!$B$2:$B$3000,$A55,Permissions!$H$2:$H$3000,"In planning",Permissions!$I$2:$I$3000,"Yes")</f>
        <v>0</v>
      </c>
      <c r="AA55" s="19" t="n">
        <f aca="false">IF(N55="",0,MAX(N55-X55,0))</f>
        <v>0</v>
      </c>
      <c r="AB55" s="20" t="n">
        <f aca="false">X55+AA55</f>
        <v>0</v>
      </c>
      <c r="AC55" s="19" t="n">
        <f aca="false">AB55-T55</f>
        <v>0</v>
      </c>
      <c r="AD55" s="21" t="n">
        <f aca="false">SUMIFS(Permissions!$T$2:$T$3000,Permissions!$B$2:$B$3000,$A55,Permissions!$I$2:$I$3000,"Yes")</f>
        <v>0</v>
      </c>
      <c r="AE55" s="21" t="n">
        <f aca="false">SUMIFS(Permissions!$U$2:$U$3000,Permissions!$B$2:$B$3000,$A55,Permissions!$I$2:$I$3000,"Yes")</f>
        <v>0</v>
      </c>
      <c r="AF55" s="21" t="n">
        <f aca="false">SUMIFS(Permissions!$V$2:$V$3000,Permissions!$B$2:$B$3000,$A55,Permissions!$I$2:$I$3000,"Yes")</f>
        <v>0</v>
      </c>
      <c r="AG55" s="21" t="n">
        <f aca="false">SUMIFS(Permissions!$W$2:$W$3000,Permissions!$B$2:$B$3000,$A55,Permissions!$I$2:$I$3000,"Yes")</f>
        <v>0</v>
      </c>
      <c r="AH55" s="21" t="n">
        <f aca="false">SUMIFS(Permissions!$X$2:$X$3000,Permissions!$B$2:$B$3000,$A55,Permissions!$I$2:$I$3000,"Yes")</f>
        <v>0</v>
      </c>
      <c r="AI55" s="21" t="n">
        <f aca="false">SUMIFS(Permissions!$Y$2:$Y$3000,Permissions!$B$2:$B$3000,$A55,Permissions!$I$2:$I$3000,"Yes")</f>
        <v>0</v>
      </c>
      <c r="AJ55" s="19" t="n">
        <f aca="false">COUNTIFS(Permissions!$B$2:$B$3000,$A55,Permissions!$I$2:$I$3000,"Yes")</f>
        <v>0</v>
      </c>
      <c r="AK55" s="22" t="str">
        <f aca="false">IF(AND(N55&lt;&gt;"",X55&gt;1.1*N55),"Consented above capacity",IF(AND(LEFT(B55,8)="Planning",AJ55=0),"Consent parcel with no permission",IF(COUNTIF($A$2:$A$3000,$A55)&gt;1,"Duplicate parcel_id","")))</f>
        <v/>
      </c>
    </row>
    <row r="56" customFormat="false" ht="15" hidden="false" customHeight="false" outlineLevel="0" collapsed="false">
      <c r="A56" s="18" t="s">
        <v>181</v>
      </c>
      <c r="B56" s="18" t="s">
        <v>10</v>
      </c>
      <c r="C56" s="18" t="s">
        <v>15</v>
      </c>
      <c r="D56" s="18" t="n">
        <v>91</v>
      </c>
      <c r="E56" s="18" t="s">
        <v>90</v>
      </c>
      <c r="F56" s="18" t="s">
        <v>89</v>
      </c>
      <c r="G56" s="18" t="s">
        <v>104</v>
      </c>
      <c r="H56" s="18" t="s">
        <v>91</v>
      </c>
      <c r="I56" s="18" t="s">
        <v>165</v>
      </c>
      <c r="J56" s="18" t="s">
        <v>93</v>
      </c>
      <c r="K56" s="18" t="s">
        <v>166</v>
      </c>
      <c r="L56" s="18" t="n">
        <v>1.38</v>
      </c>
      <c r="M56" s="18" t="n">
        <v>1.38</v>
      </c>
      <c r="N56" s="18" t="n">
        <v>285</v>
      </c>
      <c r="O56" s="18" t="s">
        <v>95</v>
      </c>
      <c r="P56" s="18" t="s">
        <v>96</v>
      </c>
      <c r="Q56" s="18" t="s">
        <v>97</v>
      </c>
      <c r="R56" s="18" t="s">
        <v>98</v>
      </c>
      <c r="S56" s="18"/>
      <c r="T56" s="19" t="n">
        <f aca="false">SUMIFS(Permissions!$F$2:$F$3000,Permissions!$B$2:$B$3000,$A56,Permissions!$H$2:$H$3000,"Complete",Permissions!$I$2:$I$3000,"Yes")</f>
        <v>0</v>
      </c>
      <c r="U56" s="19" t="n">
        <f aca="false">SUMIFS(Permissions!$F$2:$F$3000,Permissions!$B$2:$B$3000,$A56,Permissions!$H$2:$H$3000,"Under construction",Permissions!$I$2:$I$3000,"Yes")</f>
        <v>0</v>
      </c>
      <c r="V56" s="19" t="n">
        <f aca="false">SUMIFS(Permissions!$F$2:$F$3000,Permissions!$B$2:$B$3000,$A56,Permissions!$H$2:$H$3000,"Permitted – not started",Permissions!$I$2:$I$3000,"Yes")</f>
        <v>285</v>
      </c>
      <c r="W56" s="19" t="n">
        <f aca="false">SUMIFS(Permissions!$F$2:$F$3000,Permissions!$B$2:$B$3000,$A56,Permissions!$H$2:$H$3000,"Stalled",Permissions!$I$2:$I$3000,"Yes")</f>
        <v>0</v>
      </c>
      <c r="X56" s="19" t="n">
        <f aca="false">T56+U56+V56+W56</f>
        <v>285</v>
      </c>
      <c r="Y56" s="19" t="n">
        <f aca="false">SUMIFS(Permissions!$F$2:$F$3000,Permissions!$B$2:$B$3000,$A56,Permissions!$H$2:$H$3000,"Expired – not started",Permissions!$I$2:$I$3000,"Yes")</f>
        <v>0</v>
      </c>
      <c r="Z56" s="19" t="n">
        <f aca="false">SUMIFS(Permissions!$F$2:$F$3000,Permissions!$B$2:$B$3000,$A56,Permissions!$H$2:$H$3000,"In planning",Permissions!$I$2:$I$3000,"Yes")</f>
        <v>0</v>
      </c>
      <c r="AA56" s="19" t="n">
        <f aca="false">IF(N56="",0,MAX(N56-X56,0))</f>
        <v>0</v>
      </c>
      <c r="AB56" s="20" t="n">
        <f aca="false">X56+AA56</f>
        <v>285</v>
      </c>
      <c r="AC56" s="19" t="n">
        <f aca="false">AB56-T56</f>
        <v>285</v>
      </c>
      <c r="AD56" s="21" t="n">
        <f aca="false">SUMIFS(Permissions!$T$2:$T$3000,Permissions!$B$2:$B$3000,$A56,Permissions!$I$2:$I$3000,"Yes")</f>
        <v>0</v>
      </c>
      <c r="AE56" s="21" t="n">
        <f aca="false">SUMIFS(Permissions!$U$2:$U$3000,Permissions!$B$2:$B$3000,$A56,Permissions!$I$2:$I$3000,"Yes")</f>
        <v>0</v>
      </c>
      <c r="AF56" s="21" t="n">
        <f aca="false">SUMIFS(Permissions!$V$2:$V$3000,Permissions!$B$2:$B$3000,$A56,Permissions!$I$2:$I$3000,"Yes")</f>
        <v>10.1</v>
      </c>
      <c r="AG56" s="21" t="n">
        <f aca="false">SUMIFS(Permissions!$W$2:$W$3000,Permissions!$B$2:$B$3000,$A56,Permissions!$I$2:$I$3000,"Yes")</f>
        <v>61</v>
      </c>
      <c r="AH56" s="21" t="n">
        <f aca="false">SUMIFS(Permissions!$X$2:$X$3000,Permissions!$B$2:$B$3000,$A56,Permissions!$I$2:$I$3000,"Yes")</f>
        <v>61</v>
      </c>
      <c r="AI56" s="21" t="n">
        <f aca="false">SUMIFS(Permissions!$Y$2:$Y$3000,Permissions!$B$2:$B$3000,$A56,Permissions!$I$2:$I$3000,"Yes")</f>
        <v>152.9</v>
      </c>
      <c r="AJ56" s="19" t="n">
        <f aca="false">COUNTIFS(Permissions!$B$2:$B$3000,$A56,Permissions!$I$2:$I$3000,"Yes")</f>
        <v>1</v>
      </c>
      <c r="AK56" s="22" t="str">
        <f aca="false">IF(AND(N56&lt;&gt;"",X56&gt;1.1*N56),"Consented above capacity",IF(AND(LEFT(B56,8)="Planning",AJ56=0),"Consent parcel with no permission",IF(COUNTIF($A$2:$A$3000,$A56)&gt;1,"Duplicate parcel_id","")))</f>
        <v/>
      </c>
    </row>
    <row r="57" customFormat="false" ht="15" hidden="false" customHeight="false" outlineLevel="0" collapsed="false">
      <c r="A57" s="18" t="s">
        <v>182</v>
      </c>
      <c r="B57" s="18" t="s">
        <v>10</v>
      </c>
      <c r="C57" s="18" t="s">
        <v>15</v>
      </c>
      <c r="D57" s="18" t="n">
        <v>92</v>
      </c>
      <c r="E57" s="18" t="s">
        <v>90</v>
      </c>
      <c r="F57" s="18" t="s">
        <v>89</v>
      </c>
      <c r="G57" s="18" t="s">
        <v>90</v>
      </c>
      <c r="H57" s="18" t="s">
        <v>105</v>
      </c>
      <c r="I57" s="18" t="s">
        <v>165</v>
      </c>
      <c r="J57" s="18" t="s">
        <v>101</v>
      </c>
      <c r="K57" s="18" t="s">
        <v>166</v>
      </c>
      <c r="L57" s="18" t="n">
        <v>0</v>
      </c>
      <c r="M57" s="18" t="n">
        <v>0.079</v>
      </c>
      <c r="N57" s="18" t="n">
        <v>0</v>
      </c>
      <c r="O57" s="18" t="s">
        <v>95</v>
      </c>
      <c r="P57" s="18" t="s">
        <v>96</v>
      </c>
      <c r="Q57" s="18" t="s">
        <v>97</v>
      </c>
      <c r="R57" s="18" t="s">
        <v>98</v>
      </c>
      <c r="S57" s="18"/>
      <c r="T57" s="19" t="n">
        <f aca="false">SUMIFS(Permissions!$F$2:$F$3000,Permissions!$B$2:$B$3000,$A57,Permissions!$H$2:$H$3000,"Complete",Permissions!$I$2:$I$3000,"Yes")</f>
        <v>0</v>
      </c>
      <c r="U57" s="19" t="n">
        <f aca="false">SUMIFS(Permissions!$F$2:$F$3000,Permissions!$B$2:$B$3000,$A57,Permissions!$H$2:$H$3000,"Under construction",Permissions!$I$2:$I$3000,"Yes")</f>
        <v>0</v>
      </c>
      <c r="V57" s="19" t="n">
        <f aca="false">SUMIFS(Permissions!$F$2:$F$3000,Permissions!$B$2:$B$3000,$A57,Permissions!$H$2:$H$3000,"Permitted – not started",Permissions!$I$2:$I$3000,"Yes")</f>
        <v>0</v>
      </c>
      <c r="W57" s="19" t="n">
        <f aca="false">SUMIFS(Permissions!$F$2:$F$3000,Permissions!$B$2:$B$3000,$A57,Permissions!$H$2:$H$3000,"Stalled",Permissions!$I$2:$I$3000,"Yes")</f>
        <v>0</v>
      </c>
      <c r="X57" s="19" t="n">
        <f aca="false">T57+U57+V57+W57</f>
        <v>0</v>
      </c>
      <c r="Y57" s="19" t="n">
        <f aca="false">SUMIFS(Permissions!$F$2:$F$3000,Permissions!$B$2:$B$3000,$A57,Permissions!$H$2:$H$3000,"Expired – not started",Permissions!$I$2:$I$3000,"Yes")</f>
        <v>0</v>
      </c>
      <c r="Z57" s="19" t="n">
        <f aca="false">SUMIFS(Permissions!$F$2:$F$3000,Permissions!$B$2:$B$3000,$A57,Permissions!$H$2:$H$3000,"In planning",Permissions!$I$2:$I$3000,"Yes")</f>
        <v>0</v>
      </c>
      <c r="AA57" s="19" t="n">
        <f aca="false">IF(N57="",0,MAX(N57-X57,0))</f>
        <v>0</v>
      </c>
      <c r="AB57" s="20" t="n">
        <f aca="false">X57+AA57</f>
        <v>0</v>
      </c>
      <c r="AC57" s="19" t="n">
        <f aca="false">AB57-T57</f>
        <v>0</v>
      </c>
      <c r="AD57" s="21" t="n">
        <f aca="false">SUMIFS(Permissions!$T$2:$T$3000,Permissions!$B$2:$B$3000,$A57,Permissions!$I$2:$I$3000,"Yes")</f>
        <v>0</v>
      </c>
      <c r="AE57" s="21" t="n">
        <f aca="false">SUMIFS(Permissions!$U$2:$U$3000,Permissions!$B$2:$B$3000,$A57,Permissions!$I$2:$I$3000,"Yes")</f>
        <v>0</v>
      </c>
      <c r="AF57" s="21" t="n">
        <f aca="false">SUMIFS(Permissions!$V$2:$V$3000,Permissions!$B$2:$B$3000,$A57,Permissions!$I$2:$I$3000,"Yes")</f>
        <v>0</v>
      </c>
      <c r="AG57" s="21" t="n">
        <f aca="false">SUMIFS(Permissions!$W$2:$W$3000,Permissions!$B$2:$B$3000,$A57,Permissions!$I$2:$I$3000,"Yes")</f>
        <v>0</v>
      </c>
      <c r="AH57" s="21" t="n">
        <f aca="false">SUMIFS(Permissions!$X$2:$X$3000,Permissions!$B$2:$B$3000,$A57,Permissions!$I$2:$I$3000,"Yes")</f>
        <v>0</v>
      </c>
      <c r="AI57" s="21" t="n">
        <f aca="false">SUMIFS(Permissions!$Y$2:$Y$3000,Permissions!$B$2:$B$3000,$A57,Permissions!$I$2:$I$3000,"Yes")</f>
        <v>0</v>
      </c>
      <c r="AJ57" s="19" t="n">
        <f aca="false">COUNTIFS(Permissions!$B$2:$B$3000,$A57,Permissions!$I$2:$I$3000,"Yes")</f>
        <v>0</v>
      </c>
      <c r="AK57" s="22" t="str">
        <f aca="false">IF(AND(N57&lt;&gt;"",X57&gt;1.1*N57),"Consented above capacity",IF(AND(LEFT(B57,8)="Planning",AJ57=0),"Consent parcel with no permission",IF(COUNTIF($A$2:$A$3000,$A57)&gt;1,"Duplicate parcel_id","")))</f>
        <v/>
      </c>
    </row>
    <row r="58" customFormat="false" ht="15" hidden="false" customHeight="false" outlineLevel="0" collapsed="false">
      <c r="A58" s="18" t="s">
        <v>183</v>
      </c>
      <c r="B58" s="18" t="s">
        <v>10</v>
      </c>
      <c r="C58" s="18" t="s">
        <v>15</v>
      </c>
      <c r="D58" s="18" t="n">
        <v>93</v>
      </c>
      <c r="E58" s="18" t="s">
        <v>90</v>
      </c>
      <c r="F58" s="18" t="s">
        <v>89</v>
      </c>
      <c r="G58" s="18" t="s">
        <v>90</v>
      </c>
      <c r="H58" s="18" t="s">
        <v>105</v>
      </c>
      <c r="I58" s="18" t="s">
        <v>165</v>
      </c>
      <c r="J58" s="18" t="s">
        <v>101</v>
      </c>
      <c r="K58" s="18" t="s">
        <v>166</v>
      </c>
      <c r="L58" s="18" t="n">
        <v>0</v>
      </c>
      <c r="M58" s="18" t="n">
        <v>0.057</v>
      </c>
      <c r="N58" s="18" t="n">
        <v>0</v>
      </c>
      <c r="O58" s="18" t="s">
        <v>95</v>
      </c>
      <c r="P58" s="18" t="s">
        <v>96</v>
      </c>
      <c r="Q58" s="18" t="s">
        <v>97</v>
      </c>
      <c r="R58" s="18" t="s">
        <v>98</v>
      </c>
      <c r="S58" s="18"/>
      <c r="T58" s="19" t="n">
        <f aca="false">SUMIFS(Permissions!$F$2:$F$3000,Permissions!$B$2:$B$3000,$A58,Permissions!$H$2:$H$3000,"Complete",Permissions!$I$2:$I$3000,"Yes")</f>
        <v>0</v>
      </c>
      <c r="U58" s="19" t="n">
        <f aca="false">SUMIFS(Permissions!$F$2:$F$3000,Permissions!$B$2:$B$3000,$A58,Permissions!$H$2:$H$3000,"Under construction",Permissions!$I$2:$I$3000,"Yes")</f>
        <v>0</v>
      </c>
      <c r="V58" s="19" t="n">
        <f aca="false">SUMIFS(Permissions!$F$2:$F$3000,Permissions!$B$2:$B$3000,$A58,Permissions!$H$2:$H$3000,"Permitted – not started",Permissions!$I$2:$I$3000,"Yes")</f>
        <v>0</v>
      </c>
      <c r="W58" s="19" t="n">
        <f aca="false">SUMIFS(Permissions!$F$2:$F$3000,Permissions!$B$2:$B$3000,$A58,Permissions!$H$2:$H$3000,"Stalled",Permissions!$I$2:$I$3000,"Yes")</f>
        <v>0</v>
      </c>
      <c r="X58" s="19" t="n">
        <f aca="false">T58+U58+V58+W58</f>
        <v>0</v>
      </c>
      <c r="Y58" s="19" t="n">
        <f aca="false">SUMIFS(Permissions!$F$2:$F$3000,Permissions!$B$2:$B$3000,$A58,Permissions!$H$2:$H$3000,"Expired – not started",Permissions!$I$2:$I$3000,"Yes")</f>
        <v>0</v>
      </c>
      <c r="Z58" s="19" t="n">
        <f aca="false">SUMIFS(Permissions!$F$2:$F$3000,Permissions!$B$2:$B$3000,$A58,Permissions!$H$2:$H$3000,"In planning",Permissions!$I$2:$I$3000,"Yes")</f>
        <v>0</v>
      </c>
      <c r="AA58" s="19" t="n">
        <f aca="false">IF(N58="",0,MAX(N58-X58,0))</f>
        <v>0</v>
      </c>
      <c r="AB58" s="20" t="n">
        <f aca="false">X58+AA58</f>
        <v>0</v>
      </c>
      <c r="AC58" s="19" t="n">
        <f aca="false">AB58-T58</f>
        <v>0</v>
      </c>
      <c r="AD58" s="21" t="n">
        <f aca="false">SUMIFS(Permissions!$T$2:$T$3000,Permissions!$B$2:$B$3000,$A58,Permissions!$I$2:$I$3000,"Yes")</f>
        <v>0</v>
      </c>
      <c r="AE58" s="21" t="n">
        <f aca="false">SUMIFS(Permissions!$U$2:$U$3000,Permissions!$B$2:$B$3000,$A58,Permissions!$I$2:$I$3000,"Yes")</f>
        <v>0</v>
      </c>
      <c r="AF58" s="21" t="n">
        <f aca="false">SUMIFS(Permissions!$V$2:$V$3000,Permissions!$B$2:$B$3000,$A58,Permissions!$I$2:$I$3000,"Yes")</f>
        <v>0</v>
      </c>
      <c r="AG58" s="21" t="n">
        <f aca="false">SUMIFS(Permissions!$W$2:$W$3000,Permissions!$B$2:$B$3000,$A58,Permissions!$I$2:$I$3000,"Yes")</f>
        <v>0</v>
      </c>
      <c r="AH58" s="21" t="n">
        <f aca="false">SUMIFS(Permissions!$X$2:$X$3000,Permissions!$B$2:$B$3000,$A58,Permissions!$I$2:$I$3000,"Yes")</f>
        <v>0</v>
      </c>
      <c r="AI58" s="21" t="n">
        <f aca="false">SUMIFS(Permissions!$Y$2:$Y$3000,Permissions!$B$2:$B$3000,$A58,Permissions!$I$2:$I$3000,"Yes")</f>
        <v>0</v>
      </c>
      <c r="AJ58" s="19" t="n">
        <f aca="false">COUNTIFS(Permissions!$B$2:$B$3000,$A58,Permissions!$I$2:$I$3000,"Yes")</f>
        <v>0</v>
      </c>
      <c r="AK58" s="22" t="str">
        <f aca="false">IF(AND(N58&lt;&gt;"",X58&gt;1.1*N58),"Consented above capacity",IF(AND(LEFT(B58,8)="Planning",AJ58=0),"Consent parcel with no permission",IF(COUNTIF($A$2:$A$3000,$A58)&gt;1,"Duplicate parcel_id","")))</f>
        <v/>
      </c>
    </row>
    <row r="59" customFormat="false" ht="15" hidden="false" customHeight="false" outlineLevel="0" collapsed="false">
      <c r="A59" s="18" t="s">
        <v>184</v>
      </c>
      <c r="B59" s="18" t="s">
        <v>10</v>
      </c>
      <c r="C59" s="18" t="s">
        <v>15</v>
      </c>
      <c r="D59" s="18" t="n">
        <v>95</v>
      </c>
      <c r="E59" s="18" t="s">
        <v>90</v>
      </c>
      <c r="F59" s="18" t="s">
        <v>89</v>
      </c>
      <c r="G59" s="18" t="s">
        <v>90</v>
      </c>
      <c r="H59" s="18" t="s">
        <v>105</v>
      </c>
      <c r="I59" s="18" t="s">
        <v>165</v>
      </c>
      <c r="J59" s="18" t="s">
        <v>101</v>
      </c>
      <c r="K59" s="18" t="s">
        <v>166</v>
      </c>
      <c r="L59" s="18" t="n">
        <v>0</v>
      </c>
      <c r="M59" s="18" t="n">
        <v>0.104</v>
      </c>
      <c r="N59" s="18" t="n">
        <v>0</v>
      </c>
      <c r="O59" s="18" t="s">
        <v>95</v>
      </c>
      <c r="P59" s="18" t="s">
        <v>96</v>
      </c>
      <c r="Q59" s="18" t="s">
        <v>97</v>
      </c>
      <c r="R59" s="18" t="s">
        <v>98</v>
      </c>
      <c r="S59" s="18"/>
      <c r="T59" s="19" t="n">
        <f aca="false">SUMIFS(Permissions!$F$2:$F$3000,Permissions!$B$2:$B$3000,$A59,Permissions!$H$2:$H$3000,"Complete",Permissions!$I$2:$I$3000,"Yes")</f>
        <v>0</v>
      </c>
      <c r="U59" s="19" t="n">
        <f aca="false">SUMIFS(Permissions!$F$2:$F$3000,Permissions!$B$2:$B$3000,$A59,Permissions!$H$2:$H$3000,"Under construction",Permissions!$I$2:$I$3000,"Yes")</f>
        <v>0</v>
      </c>
      <c r="V59" s="19" t="n">
        <f aca="false">SUMIFS(Permissions!$F$2:$F$3000,Permissions!$B$2:$B$3000,$A59,Permissions!$H$2:$H$3000,"Permitted – not started",Permissions!$I$2:$I$3000,"Yes")</f>
        <v>0</v>
      </c>
      <c r="W59" s="19" t="n">
        <f aca="false">SUMIFS(Permissions!$F$2:$F$3000,Permissions!$B$2:$B$3000,$A59,Permissions!$H$2:$H$3000,"Stalled",Permissions!$I$2:$I$3000,"Yes")</f>
        <v>0</v>
      </c>
      <c r="X59" s="19" t="n">
        <f aca="false">T59+U59+V59+W59</f>
        <v>0</v>
      </c>
      <c r="Y59" s="19" t="n">
        <f aca="false">SUMIFS(Permissions!$F$2:$F$3000,Permissions!$B$2:$B$3000,$A59,Permissions!$H$2:$H$3000,"Expired – not started",Permissions!$I$2:$I$3000,"Yes")</f>
        <v>0</v>
      </c>
      <c r="Z59" s="19" t="n">
        <f aca="false">SUMIFS(Permissions!$F$2:$F$3000,Permissions!$B$2:$B$3000,$A59,Permissions!$H$2:$H$3000,"In planning",Permissions!$I$2:$I$3000,"Yes")</f>
        <v>0</v>
      </c>
      <c r="AA59" s="19" t="n">
        <f aca="false">IF(N59="",0,MAX(N59-X59,0))</f>
        <v>0</v>
      </c>
      <c r="AB59" s="20" t="n">
        <f aca="false">X59+AA59</f>
        <v>0</v>
      </c>
      <c r="AC59" s="19" t="n">
        <f aca="false">AB59-T59</f>
        <v>0</v>
      </c>
      <c r="AD59" s="21" t="n">
        <f aca="false">SUMIFS(Permissions!$T$2:$T$3000,Permissions!$B$2:$B$3000,$A59,Permissions!$I$2:$I$3000,"Yes")</f>
        <v>0</v>
      </c>
      <c r="AE59" s="21" t="n">
        <f aca="false">SUMIFS(Permissions!$U$2:$U$3000,Permissions!$B$2:$B$3000,$A59,Permissions!$I$2:$I$3000,"Yes")</f>
        <v>0</v>
      </c>
      <c r="AF59" s="21" t="n">
        <f aca="false">SUMIFS(Permissions!$V$2:$V$3000,Permissions!$B$2:$B$3000,$A59,Permissions!$I$2:$I$3000,"Yes")</f>
        <v>0</v>
      </c>
      <c r="AG59" s="21" t="n">
        <f aca="false">SUMIFS(Permissions!$W$2:$W$3000,Permissions!$B$2:$B$3000,$A59,Permissions!$I$2:$I$3000,"Yes")</f>
        <v>0</v>
      </c>
      <c r="AH59" s="21" t="n">
        <f aca="false">SUMIFS(Permissions!$X$2:$X$3000,Permissions!$B$2:$B$3000,$A59,Permissions!$I$2:$I$3000,"Yes")</f>
        <v>0</v>
      </c>
      <c r="AI59" s="21" t="n">
        <f aca="false">SUMIFS(Permissions!$Y$2:$Y$3000,Permissions!$B$2:$B$3000,$A59,Permissions!$I$2:$I$3000,"Yes")</f>
        <v>0</v>
      </c>
      <c r="AJ59" s="19" t="n">
        <f aca="false">COUNTIFS(Permissions!$B$2:$B$3000,$A59,Permissions!$I$2:$I$3000,"Yes")</f>
        <v>0</v>
      </c>
      <c r="AK59" s="22" t="str">
        <f aca="false">IF(AND(N59&lt;&gt;"",X59&gt;1.1*N59),"Consented above capacity",IF(AND(LEFT(B59,8)="Planning",AJ59=0),"Consent parcel with no permission",IF(COUNTIF($A$2:$A$3000,$A59)&gt;1,"Duplicate parcel_id","")))</f>
        <v/>
      </c>
    </row>
    <row r="60" customFormat="false" ht="15" hidden="false" customHeight="false" outlineLevel="0" collapsed="false">
      <c r="A60" s="18" t="s">
        <v>185</v>
      </c>
      <c r="B60" s="18" t="s">
        <v>10</v>
      </c>
      <c r="C60" s="18" t="s">
        <v>15</v>
      </c>
      <c r="D60" s="18" t="n">
        <v>97</v>
      </c>
      <c r="E60" s="18" t="s">
        <v>90</v>
      </c>
      <c r="F60" s="18" t="s">
        <v>89</v>
      </c>
      <c r="G60" s="18" t="s">
        <v>90</v>
      </c>
      <c r="H60" s="18" t="s">
        <v>105</v>
      </c>
      <c r="I60" s="18" t="s">
        <v>165</v>
      </c>
      <c r="J60" s="18" t="s">
        <v>101</v>
      </c>
      <c r="K60" s="18" t="s">
        <v>166</v>
      </c>
      <c r="L60" s="18" t="n">
        <v>0</v>
      </c>
      <c r="M60" s="18" t="n">
        <v>0.061</v>
      </c>
      <c r="N60" s="18" t="n">
        <v>0</v>
      </c>
      <c r="O60" s="18" t="s">
        <v>95</v>
      </c>
      <c r="P60" s="18" t="s">
        <v>96</v>
      </c>
      <c r="Q60" s="18" t="s">
        <v>97</v>
      </c>
      <c r="R60" s="18" t="s">
        <v>98</v>
      </c>
      <c r="S60" s="18"/>
      <c r="T60" s="19" t="n">
        <f aca="false">SUMIFS(Permissions!$F$2:$F$3000,Permissions!$B$2:$B$3000,$A60,Permissions!$H$2:$H$3000,"Complete",Permissions!$I$2:$I$3000,"Yes")</f>
        <v>0</v>
      </c>
      <c r="U60" s="19" t="n">
        <f aca="false">SUMIFS(Permissions!$F$2:$F$3000,Permissions!$B$2:$B$3000,$A60,Permissions!$H$2:$H$3000,"Under construction",Permissions!$I$2:$I$3000,"Yes")</f>
        <v>0</v>
      </c>
      <c r="V60" s="19" t="n">
        <f aca="false">SUMIFS(Permissions!$F$2:$F$3000,Permissions!$B$2:$B$3000,$A60,Permissions!$H$2:$H$3000,"Permitted – not started",Permissions!$I$2:$I$3000,"Yes")</f>
        <v>0</v>
      </c>
      <c r="W60" s="19" t="n">
        <f aca="false">SUMIFS(Permissions!$F$2:$F$3000,Permissions!$B$2:$B$3000,$A60,Permissions!$H$2:$H$3000,"Stalled",Permissions!$I$2:$I$3000,"Yes")</f>
        <v>0</v>
      </c>
      <c r="X60" s="19" t="n">
        <f aca="false">T60+U60+V60+W60</f>
        <v>0</v>
      </c>
      <c r="Y60" s="19" t="n">
        <f aca="false">SUMIFS(Permissions!$F$2:$F$3000,Permissions!$B$2:$B$3000,$A60,Permissions!$H$2:$H$3000,"Expired – not started",Permissions!$I$2:$I$3000,"Yes")</f>
        <v>0</v>
      </c>
      <c r="Z60" s="19" t="n">
        <f aca="false">SUMIFS(Permissions!$F$2:$F$3000,Permissions!$B$2:$B$3000,$A60,Permissions!$H$2:$H$3000,"In planning",Permissions!$I$2:$I$3000,"Yes")</f>
        <v>0</v>
      </c>
      <c r="AA60" s="19" t="n">
        <f aca="false">IF(N60="",0,MAX(N60-X60,0))</f>
        <v>0</v>
      </c>
      <c r="AB60" s="20" t="n">
        <f aca="false">X60+AA60</f>
        <v>0</v>
      </c>
      <c r="AC60" s="19" t="n">
        <f aca="false">AB60-T60</f>
        <v>0</v>
      </c>
      <c r="AD60" s="21" t="n">
        <f aca="false">SUMIFS(Permissions!$T$2:$T$3000,Permissions!$B$2:$B$3000,$A60,Permissions!$I$2:$I$3000,"Yes")</f>
        <v>0</v>
      </c>
      <c r="AE60" s="21" t="n">
        <f aca="false">SUMIFS(Permissions!$U$2:$U$3000,Permissions!$B$2:$B$3000,$A60,Permissions!$I$2:$I$3000,"Yes")</f>
        <v>0</v>
      </c>
      <c r="AF60" s="21" t="n">
        <f aca="false">SUMIFS(Permissions!$V$2:$V$3000,Permissions!$B$2:$B$3000,$A60,Permissions!$I$2:$I$3000,"Yes")</f>
        <v>0</v>
      </c>
      <c r="AG60" s="21" t="n">
        <f aca="false">SUMIFS(Permissions!$W$2:$W$3000,Permissions!$B$2:$B$3000,$A60,Permissions!$I$2:$I$3000,"Yes")</f>
        <v>0</v>
      </c>
      <c r="AH60" s="21" t="n">
        <f aca="false">SUMIFS(Permissions!$X$2:$X$3000,Permissions!$B$2:$B$3000,$A60,Permissions!$I$2:$I$3000,"Yes")</f>
        <v>0</v>
      </c>
      <c r="AI60" s="21" t="n">
        <f aca="false">SUMIFS(Permissions!$Y$2:$Y$3000,Permissions!$B$2:$B$3000,$A60,Permissions!$I$2:$I$3000,"Yes")</f>
        <v>0</v>
      </c>
      <c r="AJ60" s="19" t="n">
        <f aca="false">COUNTIFS(Permissions!$B$2:$B$3000,$A60,Permissions!$I$2:$I$3000,"Yes")</f>
        <v>0</v>
      </c>
      <c r="AK60" s="22" t="str">
        <f aca="false">IF(AND(N60&lt;&gt;"",X60&gt;1.1*N60),"Consented above capacity",IF(AND(LEFT(B60,8)="Planning",AJ60=0),"Consent parcel with no permission",IF(COUNTIF($A$2:$A$3000,$A60)&gt;1,"Duplicate parcel_id","")))</f>
        <v/>
      </c>
    </row>
    <row r="61" customFormat="false" ht="15" hidden="false" customHeight="false" outlineLevel="0" collapsed="false">
      <c r="A61" s="18" t="s">
        <v>186</v>
      </c>
      <c r="B61" s="18" t="s">
        <v>10</v>
      </c>
      <c r="C61" s="18" t="s">
        <v>15</v>
      </c>
      <c r="D61" s="18" t="n">
        <v>99</v>
      </c>
      <c r="E61" s="18" t="s">
        <v>90</v>
      </c>
      <c r="F61" s="18" t="s">
        <v>89</v>
      </c>
      <c r="G61" s="18" t="s">
        <v>90</v>
      </c>
      <c r="H61" s="18" t="s">
        <v>105</v>
      </c>
      <c r="I61" s="18" t="s">
        <v>165</v>
      </c>
      <c r="J61" s="18" t="s">
        <v>101</v>
      </c>
      <c r="K61" s="18" t="s">
        <v>166</v>
      </c>
      <c r="L61" s="18" t="n">
        <v>0</v>
      </c>
      <c r="M61" s="18" t="n">
        <v>0.065</v>
      </c>
      <c r="N61" s="18" t="n">
        <v>0</v>
      </c>
      <c r="O61" s="18" t="s">
        <v>95</v>
      </c>
      <c r="P61" s="18" t="s">
        <v>96</v>
      </c>
      <c r="Q61" s="18" t="s">
        <v>97</v>
      </c>
      <c r="R61" s="18" t="s">
        <v>98</v>
      </c>
      <c r="S61" s="18"/>
      <c r="T61" s="19" t="n">
        <f aca="false">SUMIFS(Permissions!$F$2:$F$3000,Permissions!$B$2:$B$3000,$A61,Permissions!$H$2:$H$3000,"Complete",Permissions!$I$2:$I$3000,"Yes")</f>
        <v>0</v>
      </c>
      <c r="U61" s="19" t="n">
        <f aca="false">SUMIFS(Permissions!$F$2:$F$3000,Permissions!$B$2:$B$3000,$A61,Permissions!$H$2:$H$3000,"Under construction",Permissions!$I$2:$I$3000,"Yes")</f>
        <v>0</v>
      </c>
      <c r="V61" s="19" t="n">
        <f aca="false">SUMIFS(Permissions!$F$2:$F$3000,Permissions!$B$2:$B$3000,$A61,Permissions!$H$2:$H$3000,"Permitted – not started",Permissions!$I$2:$I$3000,"Yes")</f>
        <v>0</v>
      </c>
      <c r="W61" s="19" t="n">
        <f aca="false">SUMIFS(Permissions!$F$2:$F$3000,Permissions!$B$2:$B$3000,$A61,Permissions!$H$2:$H$3000,"Stalled",Permissions!$I$2:$I$3000,"Yes")</f>
        <v>0</v>
      </c>
      <c r="X61" s="19" t="n">
        <f aca="false">T61+U61+V61+W61</f>
        <v>0</v>
      </c>
      <c r="Y61" s="19" t="n">
        <f aca="false">SUMIFS(Permissions!$F$2:$F$3000,Permissions!$B$2:$B$3000,$A61,Permissions!$H$2:$H$3000,"Expired – not started",Permissions!$I$2:$I$3000,"Yes")</f>
        <v>0</v>
      </c>
      <c r="Z61" s="19" t="n">
        <f aca="false">SUMIFS(Permissions!$F$2:$F$3000,Permissions!$B$2:$B$3000,$A61,Permissions!$H$2:$H$3000,"In planning",Permissions!$I$2:$I$3000,"Yes")</f>
        <v>0</v>
      </c>
      <c r="AA61" s="19" t="n">
        <f aca="false">IF(N61="",0,MAX(N61-X61,0))</f>
        <v>0</v>
      </c>
      <c r="AB61" s="20" t="n">
        <f aca="false">X61+AA61</f>
        <v>0</v>
      </c>
      <c r="AC61" s="19" t="n">
        <f aca="false">AB61-T61</f>
        <v>0</v>
      </c>
      <c r="AD61" s="21" t="n">
        <f aca="false">SUMIFS(Permissions!$T$2:$T$3000,Permissions!$B$2:$B$3000,$A61,Permissions!$I$2:$I$3000,"Yes")</f>
        <v>0</v>
      </c>
      <c r="AE61" s="21" t="n">
        <f aca="false">SUMIFS(Permissions!$U$2:$U$3000,Permissions!$B$2:$B$3000,$A61,Permissions!$I$2:$I$3000,"Yes")</f>
        <v>0</v>
      </c>
      <c r="AF61" s="21" t="n">
        <f aca="false">SUMIFS(Permissions!$V$2:$V$3000,Permissions!$B$2:$B$3000,$A61,Permissions!$I$2:$I$3000,"Yes")</f>
        <v>0</v>
      </c>
      <c r="AG61" s="21" t="n">
        <f aca="false">SUMIFS(Permissions!$W$2:$W$3000,Permissions!$B$2:$B$3000,$A61,Permissions!$I$2:$I$3000,"Yes")</f>
        <v>0</v>
      </c>
      <c r="AH61" s="21" t="n">
        <f aca="false">SUMIFS(Permissions!$X$2:$X$3000,Permissions!$B$2:$B$3000,$A61,Permissions!$I$2:$I$3000,"Yes")</f>
        <v>0</v>
      </c>
      <c r="AI61" s="21" t="n">
        <f aca="false">SUMIFS(Permissions!$Y$2:$Y$3000,Permissions!$B$2:$B$3000,$A61,Permissions!$I$2:$I$3000,"Yes")</f>
        <v>0</v>
      </c>
      <c r="AJ61" s="19" t="n">
        <f aca="false">COUNTIFS(Permissions!$B$2:$B$3000,$A61,Permissions!$I$2:$I$3000,"Yes")</f>
        <v>0</v>
      </c>
      <c r="AK61" s="22" t="str">
        <f aca="false">IF(AND(N61&lt;&gt;"",X61&gt;1.1*N61),"Consented above capacity",IF(AND(LEFT(B61,8)="Planning",AJ61=0),"Consent parcel with no permission",IF(COUNTIF($A$2:$A$3000,$A61)&gt;1,"Duplicate parcel_id","")))</f>
        <v/>
      </c>
    </row>
    <row r="62" customFormat="false" ht="15" hidden="false" customHeight="false" outlineLevel="0" collapsed="false">
      <c r="A62" s="18" t="s">
        <v>187</v>
      </c>
      <c r="B62" s="18" t="s">
        <v>10</v>
      </c>
      <c r="C62" s="18" t="s">
        <v>15</v>
      </c>
      <c r="D62" s="18" t="n">
        <v>26</v>
      </c>
      <c r="E62" s="18" t="s">
        <v>188</v>
      </c>
      <c r="F62" s="18" t="s">
        <v>112</v>
      </c>
      <c r="G62" s="18" t="s">
        <v>189</v>
      </c>
      <c r="H62" s="18" t="s">
        <v>105</v>
      </c>
      <c r="I62" s="18" t="s">
        <v>92</v>
      </c>
      <c r="J62" s="18" t="s">
        <v>101</v>
      </c>
      <c r="K62" s="18" t="s">
        <v>115</v>
      </c>
      <c r="L62" s="18" t="n">
        <v>2.196</v>
      </c>
      <c r="M62" s="18" t="n">
        <v>2.196</v>
      </c>
      <c r="N62" s="18" t="n">
        <v>77</v>
      </c>
      <c r="O62" s="18" t="s">
        <v>95</v>
      </c>
      <c r="P62" s="18" t="s">
        <v>96</v>
      </c>
      <c r="Q62" s="18" t="s">
        <v>97</v>
      </c>
      <c r="R62" s="18" t="s">
        <v>98</v>
      </c>
      <c r="S62" s="18"/>
      <c r="T62" s="19" t="n">
        <f aca="false">SUMIFS(Permissions!$F$2:$F$3000,Permissions!$B$2:$B$3000,$A62,Permissions!$H$2:$H$3000,"Complete",Permissions!$I$2:$I$3000,"Yes")</f>
        <v>0</v>
      </c>
      <c r="U62" s="19" t="n">
        <f aca="false">SUMIFS(Permissions!$F$2:$F$3000,Permissions!$B$2:$B$3000,$A62,Permissions!$H$2:$H$3000,"Under construction",Permissions!$I$2:$I$3000,"Yes")</f>
        <v>0</v>
      </c>
      <c r="V62" s="19" t="n">
        <f aca="false">SUMIFS(Permissions!$F$2:$F$3000,Permissions!$B$2:$B$3000,$A62,Permissions!$H$2:$H$3000,"Permitted – not started",Permissions!$I$2:$I$3000,"Yes")</f>
        <v>0</v>
      </c>
      <c r="W62" s="19" t="n">
        <f aca="false">SUMIFS(Permissions!$F$2:$F$3000,Permissions!$B$2:$B$3000,$A62,Permissions!$H$2:$H$3000,"Stalled",Permissions!$I$2:$I$3000,"Yes")</f>
        <v>0</v>
      </c>
      <c r="X62" s="19" t="n">
        <f aca="false">T62+U62+V62+W62</f>
        <v>0</v>
      </c>
      <c r="Y62" s="19" t="n">
        <f aca="false">SUMIFS(Permissions!$F$2:$F$3000,Permissions!$B$2:$B$3000,$A62,Permissions!$H$2:$H$3000,"Expired – not started",Permissions!$I$2:$I$3000,"Yes")</f>
        <v>0</v>
      </c>
      <c r="Z62" s="19" t="n">
        <f aca="false">SUMIFS(Permissions!$F$2:$F$3000,Permissions!$B$2:$B$3000,$A62,Permissions!$H$2:$H$3000,"In planning",Permissions!$I$2:$I$3000,"Yes")</f>
        <v>0</v>
      </c>
      <c r="AA62" s="19" t="n">
        <f aca="false">IF(N62="",0,MAX(N62-X62,0))</f>
        <v>77</v>
      </c>
      <c r="AB62" s="20" t="n">
        <f aca="false">X62+AA62</f>
        <v>77</v>
      </c>
      <c r="AC62" s="19" t="n">
        <f aca="false">AB62-T62</f>
        <v>77</v>
      </c>
      <c r="AD62" s="21" t="n">
        <f aca="false">SUMIFS(Permissions!$T$2:$T$3000,Permissions!$B$2:$B$3000,$A62,Permissions!$I$2:$I$3000,"Yes")</f>
        <v>0</v>
      </c>
      <c r="AE62" s="21" t="n">
        <f aca="false">SUMIFS(Permissions!$U$2:$U$3000,Permissions!$B$2:$B$3000,$A62,Permissions!$I$2:$I$3000,"Yes")</f>
        <v>0</v>
      </c>
      <c r="AF62" s="21" t="n">
        <f aca="false">SUMIFS(Permissions!$V$2:$V$3000,Permissions!$B$2:$B$3000,$A62,Permissions!$I$2:$I$3000,"Yes")</f>
        <v>0</v>
      </c>
      <c r="AG62" s="21" t="n">
        <f aca="false">SUMIFS(Permissions!$W$2:$W$3000,Permissions!$B$2:$B$3000,$A62,Permissions!$I$2:$I$3000,"Yes")</f>
        <v>0</v>
      </c>
      <c r="AH62" s="21" t="n">
        <f aca="false">SUMIFS(Permissions!$X$2:$X$3000,Permissions!$B$2:$B$3000,$A62,Permissions!$I$2:$I$3000,"Yes")</f>
        <v>0</v>
      </c>
      <c r="AI62" s="21" t="n">
        <f aca="false">SUMIFS(Permissions!$Y$2:$Y$3000,Permissions!$B$2:$B$3000,$A62,Permissions!$I$2:$I$3000,"Yes")</f>
        <v>0</v>
      </c>
      <c r="AJ62" s="19" t="n">
        <f aca="false">COUNTIFS(Permissions!$B$2:$B$3000,$A62,Permissions!$I$2:$I$3000,"Yes")</f>
        <v>0</v>
      </c>
      <c r="AK62" s="22" t="str">
        <f aca="false">IF(AND(N62&lt;&gt;"",X62&gt;1.1*N62),"Consented above capacity",IF(AND(LEFT(B62,8)="Planning",AJ62=0),"Consent parcel with no permission",IF(COUNTIF($A$2:$A$3000,$A62)&gt;1,"Duplicate parcel_id","")))</f>
        <v/>
      </c>
    </row>
    <row r="63" customFormat="false" ht="15" hidden="false" customHeight="false" outlineLevel="0" collapsed="false">
      <c r="A63" s="18" t="s">
        <v>190</v>
      </c>
      <c r="B63" s="18" t="s">
        <v>10</v>
      </c>
      <c r="C63" s="18" t="s">
        <v>15</v>
      </c>
      <c r="D63" s="18" t="n">
        <v>27</v>
      </c>
      <c r="E63" s="18" t="s">
        <v>188</v>
      </c>
      <c r="F63" s="18" t="s">
        <v>112</v>
      </c>
      <c r="G63" s="18" t="s">
        <v>189</v>
      </c>
      <c r="H63" s="18" t="s">
        <v>105</v>
      </c>
      <c r="I63" s="18" t="s">
        <v>92</v>
      </c>
      <c r="J63" s="18" t="s">
        <v>101</v>
      </c>
      <c r="K63" s="18" t="s">
        <v>191</v>
      </c>
      <c r="L63" s="18" t="n">
        <v>2.326</v>
      </c>
      <c r="M63" s="18" t="n">
        <v>2.326</v>
      </c>
      <c r="N63" s="18" t="n">
        <v>86</v>
      </c>
      <c r="O63" s="18" t="s">
        <v>95</v>
      </c>
      <c r="P63" s="18" t="s">
        <v>96</v>
      </c>
      <c r="Q63" s="18" t="s">
        <v>97</v>
      </c>
      <c r="R63" s="18" t="s">
        <v>98</v>
      </c>
      <c r="S63" s="18"/>
      <c r="T63" s="19" t="n">
        <f aca="false">SUMIFS(Permissions!$F$2:$F$3000,Permissions!$B$2:$B$3000,$A63,Permissions!$H$2:$H$3000,"Complete",Permissions!$I$2:$I$3000,"Yes")</f>
        <v>0</v>
      </c>
      <c r="U63" s="19" t="n">
        <f aca="false">SUMIFS(Permissions!$F$2:$F$3000,Permissions!$B$2:$B$3000,$A63,Permissions!$H$2:$H$3000,"Under construction",Permissions!$I$2:$I$3000,"Yes")</f>
        <v>0</v>
      </c>
      <c r="V63" s="19" t="n">
        <f aca="false">SUMIFS(Permissions!$F$2:$F$3000,Permissions!$B$2:$B$3000,$A63,Permissions!$H$2:$H$3000,"Permitted – not started",Permissions!$I$2:$I$3000,"Yes")</f>
        <v>0</v>
      </c>
      <c r="W63" s="19" t="n">
        <f aca="false">SUMIFS(Permissions!$F$2:$F$3000,Permissions!$B$2:$B$3000,$A63,Permissions!$H$2:$H$3000,"Stalled",Permissions!$I$2:$I$3000,"Yes")</f>
        <v>0</v>
      </c>
      <c r="X63" s="19" t="n">
        <f aca="false">T63+U63+V63+W63</f>
        <v>0</v>
      </c>
      <c r="Y63" s="19" t="n">
        <f aca="false">SUMIFS(Permissions!$F$2:$F$3000,Permissions!$B$2:$B$3000,$A63,Permissions!$H$2:$H$3000,"Expired – not started",Permissions!$I$2:$I$3000,"Yes")</f>
        <v>0</v>
      </c>
      <c r="Z63" s="19" t="n">
        <f aca="false">SUMIFS(Permissions!$F$2:$F$3000,Permissions!$B$2:$B$3000,$A63,Permissions!$H$2:$H$3000,"In planning",Permissions!$I$2:$I$3000,"Yes")</f>
        <v>0</v>
      </c>
      <c r="AA63" s="19" t="n">
        <f aca="false">IF(N63="",0,MAX(N63-X63,0))</f>
        <v>86</v>
      </c>
      <c r="AB63" s="20" t="n">
        <f aca="false">X63+AA63</f>
        <v>86</v>
      </c>
      <c r="AC63" s="19" t="n">
        <f aca="false">AB63-T63</f>
        <v>86</v>
      </c>
      <c r="AD63" s="21" t="n">
        <f aca="false">SUMIFS(Permissions!$T$2:$T$3000,Permissions!$B$2:$B$3000,$A63,Permissions!$I$2:$I$3000,"Yes")</f>
        <v>0</v>
      </c>
      <c r="AE63" s="21" t="n">
        <f aca="false">SUMIFS(Permissions!$U$2:$U$3000,Permissions!$B$2:$B$3000,$A63,Permissions!$I$2:$I$3000,"Yes")</f>
        <v>0</v>
      </c>
      <c r="AF63" s="21" t="n">
        <f aca="false">SUMIFS(Permissions!$V$2:$V$3000,Permissions!$B$2:$B$3000,$A63,Permissions!$I$2:$I$3000,"Yes")</f>
        <v>0</v>
      </c>
      <c r="AG63" s="21" t="n">
        <f aca="false">SUMIFS(Permissions!$W$2:$W$3000,Permissions!$B$2:$B$3000,$A63,Permissions!$I$2:$I$3000,"Yes")</f>
        <v>0</v>
      </c>
      <c r="AH63" s="21" t="n">
        <f aca="false">SUMIFS(Permissions!$X$2:$X$3000,Permissions!$B$2:$B$3000,$A63,Permissions!$I$2:$I$3000,"Yes")</f>
        <v>0</v>
      </c>
      <c r="AI63" s="21" t="n">
        <f aca="false">SUMIFS(Permissions!$Y$2:$Y$3000,Permissions!$B$2:$B$3000,$A63,Permissions!$I$2:$I$3000,"Yes")</f>
        <v>0</v>
      </c>
      <c r="AJ63" s="19" t="n">
        <f aca="false">COUNTIFS(Permissions!$B$2:$B$3000,$A63,Permissions!$I$2:$I$3000,"Yes")</f>
        <v>0</v>
      </c>
      <c r="AK63" s="22" t="str">
        <f aca="false">IF(AND(N63&lt;&gt;"",X63&gt;1.1*N63),"Consented above capacity",IF(AND(LEFT(B63,8)="Planning",AJ63=0),"Consent parcel with no permission",IF(COUNTIF($A$2:$A$3000,$A63)&gt;1,"Duplicate parcel_id","")))</f>
        <v/>
      </c>
    </row>
    <row r="64" customFormat="false" ht="15" hidden="false" customHeight="false" outlineLevel="0" collapsed="false">
      <c r="A64" s="18" t="s">
        <v>192</v>
      </c>
      <c r="B64" s="18" t="s">
        <v>10</v>
      </c>
      <c r="C64" s="18" t="s">
        <v>15</v>
      </c>
      <c r="D64" s="18" t="n">
        <v>28</v>
      </c>
      <c r="E64" s="18" t="s">
        <v>188</v>
      </c>
      <c r="F64" s="18" t="s">
        <v>112</v>
      </c>
      <c r="G64" s="18" t="s">
        <v>189</v>
      </c>
      <c r="H64" s="18" t="s">
        <v>105</v>
      </c>
      <c r="I64" s="18" t="s">
        <v>92</v>
      </c>
      <c r="J64" s="18" t="s">
        <v>101</v>
      </c>
      <c r="K64" s="18" t="s">
        <v>193</v>
      </c>
      <c r="L64" s="18" t="n">
        <v>0.586</v>
      </c>
      <c r="M64" s="18" t="n">
        <v>0.586</v>
      </c>
      <c r="N64" s="18" t="n">
        <v>25</v>
      </c>
      <c r="O64" s="18" t="s">
        <v>95</v>
      </c>
      <c r="P64" s="18" t="s">
        <v>96</v>
      </c>
      <c r="Q64" s="18" t="s">
        <v>97</v>
      </c>
      <c r="R64" s="18" t="s">
        <v>98</v>
      </c>
      <c r="S64" s="18"/>
      <c r="T64" s="19" t="n">
        <f aca="false">SUMIFS(Permissions!$F$2:$F$3000,Permissions!$B$2:$B$3000,$A64,Permissions!$H$2:$H$3000,"Complete",Permissions!$I$2:$I$3000,"Yes")</f>
        <v>0</v>
      </c>
      <c r="U64" s="19" t="n">
        <f aca="false">SUMIFS(Permissions!$F$2:$F$3000,Permissions!$B$2:$B$3000,$A64,Permissions!$H$2:$H$3000,"Under construction",Permissions!$I$2:$I$3000,"Yes")</f>
        <v>0</v>
      </c>
      <c r="V64" s="19" t="n">
        <f aca="false">SUMIFS(Permissions!$F$2:$F$3000,Permissions!$B$2:$B$3000,$A64,Permissions!$H$2:$H$3000,"Permitted – not started",Permissions!$I$2:$I$3000,"Yes")</f>
        <v>0</v>
      </c>
      <c r="W64" s="19" t="n">
        <f aca="false">SUMIFS(Permissions!$F$2:$F$3000,Permissions!$B$2:$B$3000,$A64,Permissions!$H$2:$H$3000,"Stalled",Permissions!$I$2:$I$3000,"Yes")</f>
        <v>0</v>
      </c>
      <c r="X64" s="19" t="n">
        <f aca="false">T64+U64+V64+W64</f>
        <v>0</v>
      </c>
      <c r="Y64" s="19" t="n">
        <f aca="false">SUMIFS(Permissions!$F$2:$F$3000,Permissions!$B$2:$B$3000,$A64,Permissions!$H$2:$H$3000,"Expired – not started",Permissions!$I$2:$I$3000,"Yes")</f>
        <v>0</v>
      </c>
      <c r="Z64" s="19" t="n">
        <f aca="false">SUMIFS(Permissions!$F$2:$F$3000,Permissions!$B$2:$B$3000,$A64,Permissions!$H$2:$H$3000,"In planning",Permissions!$I$2:$I$3000,"Yes")</f>
        <v>0</v>
      </c>
      <c r="AA64" s="19" t="n">
        <f aca="false">IF(N64="",0,MAX(N64-X64,0))</f>
        <v>25</v>
      </c>
      <c r="AB64" s="20" t="n">
        <f aca="false">X64+AA64</f>
        <v>25</v>
      </c>
      <c r="AC64" s="19" t="n">
        <f aca="false">AB64-T64</f>
        <v>25</v>
      </c>
      <c r="AD64" s="21" t="n">
        <f aca="false">SUMIFS(Permissions!$T$2:$T$3000,Permissions!$B$2:$B$3000,$A64,Permissions!$I$2:$I$3000,"Yes")</f>
        <v>0</v>
      </c>
      <c r="AE64" s="21" t="n">
        <f aca="false">SUMIFS(Permissions!$U$2:$U$3000,Permissions!$B$2:$B$3000,$A64,Permissions!$I$2:$I$3000,"Yes")</f>
        <v>0</v>
      </c>
      <c r="AF64" s="21" t="n">
        <f aca="false">SUMIFS(Permissions!$V$2:$V$3000,Permissions!$B$2:$B$3000,$A64,Permissions!$I$2:$I$3000,"Yes")</f>
        <v>0</v>
      </c>
      <c r="AG64" s="21" t="n">
        <f aca="false">SUMIFS(Permissions!$W$2:$W$3000,Permissions!$B$2:$B$3000,$A64,Permissions!$I$2:$I$3000,"Yes")</f>
        <v>0</v>
      </c>
      <c r="AH64" s="21" t="n">
        <f aca="false">SUMIFS(Permissions!$X$2:$X$3000,Permissions!$B$2:$B$3000,$A64,Permissions!$I$2:$I$3000,"Yes")</f>
        <v>0</v>
      </c>
      <c r="AI64" s="21" t="n">
        <f aca="false">SUMIFS(Permissions!$Y$2:$Y$3000,Permissions!$B$2:$B$3000,$A64,Permissions!$I$2:$I$3000,"Yes")</f>
        <v>0</v>
      </c>
      <c r="AJ64" s="19" t="n">
        <f aca="false">COUNTIFS(Permissions!$B$2:$B$3000,$A64,Permissions!$I$2:$I$3000,"Yes")</f>
        <v>0</v>
      </c>
      <c r="AK64" s="22" t="str">
        <f aca="false">IF(AND(N64&lt;&gt;"",X64&gt;1.1*N64),"Consented above capacity",IF(AND(LEFT(B64,8)="Planning",AJ64=0),"Consent parcel with no permission",IF(COUNTIF($A$2:$A$3000,$A64)&gt;1,"Duplicate parcel_id","")))</f>
        <v/>
      </c>
    </row>
    <row r="65" customFormat="false" ht="15" hidden="false" customHeight="false" outlineLevel="0" collapsed="false">
      <c r="A65" s="18" t="s">
        <v>194</v>
      </c>
      <c r="B65" s="18" t="s">
        <v>10</v>
      </c>
      <c r="C65" s="18" t="s">
        <v>15</v>
      </c>
      <c r="D65" s="18" t="n">
        <v>29</v>
      </c>
      <c r="E65" s="18" t="s">
        <v>188</v>
      </c>
      <c r="F65" s="18" t="s">
        <v>112</v>
      </c>
      <c r="G65" s="18" t="s">
        <v>189</v>
      </c>
      <c r="H65" s="18" t="s">
        <v>119</v>
      </c>
      <c r="I65" s="18" t="s">
        <v>92</v>
      </c>
      <c r="J65" s="18" t="s">
        <v>101</v>
      </c>
      <c r="K65" s="18" t="s">
        <v>94</v>
      </c>
      <c r="L65" s="18" t="n">
        <v>1.889</v>
      </c>
      <c r="M65" s="18" t="n">
        <v>1.888</v>
      </c>
      <c r="N65" s="18" t="n">
        <v>85</v>
      </c>
      <c r="O65" s="18" t="s">
        <v>95</v>
      </c>
      <c r="P65" s="18" t="s">
        <v>96</v>
      </c>
      <c r="Q65" s="18" t="s">
        <v>97</v>
      </c>
      <c r="R65" s="18" t="s">
        <v>98</v>
      </c>
      <c r="S65" s="18"/>
      <c r="T65" s="19" t="n">
        <f aca="false">SUMIFS(Permissions!$F$2:$F$3000,Permissions!$B$2:$B$3000,$A65,Permissions!$H$2:$H$3000,"Complete",Permissions!$I$2:$I$3000,"Yes")</f>
        <v>0</v>
      </c>
      <c r="U65" s="19" t="n">
        <f aca="false">SUMIFS(Permissions!$F$2:$F$3000,Permissions!$B$2:$B$3000,$A65,Permissions!$H$2:$H$3000,"Under construction",Permissions!$I$2:$I$3000,"Yes")</f>
        <v>0</v>
      </c>
      <c r="V65" s="19" t="n">
        <f aca="false">SUMIFS(Permissions!$F$2:$F$3000,Permissions!$B$2:$B$3000,$A65,Permissions!$H$2:$H$3000,"Permitted – not started",Permissions!$I$2:$I$3000,"Yes")</f>
        <v>0</v>
      </c>
      <c r="W65" s="19" t="n">
        <f aca="false">SUMIFS(Permissions!$F$2:$F$3000,Permissions!$B$2:$B$3000,$A65,Permissions!$H$2:$H$3000,"Stalled",Permissions!$I$2:$I$3000,"Yes")</f>
        <v>0</v>
      </c>
      <c r="X65" s="19" t="n">
        <f aca="false">T65+U65+V65+W65</f>
        <v>0</v>
      </c>
      <c r="Y65" s="19" t="n">
        <f aca="false">SUMIFS(Permissions!$F$2:$F$3000,Permissions!$B$2:$B$3000,$A65,Permissions!$H$2:$H$3000,"Expired – not started",Permissions!$I$2:$I$3000,"Yes")</f>
        <v>0</v>
      </c>
      <c r="Z65" s="19" t="n">
        <f aca="false">SUMIFS(Permissions!$F$2:$F$3000,Permissions!$B$2:$B$3000,$A65,Permissions!$H$2:$H$3000,"In planning",Permissions!$I$2:$I$3000,"Yes")</f>
        <v>0</v>
      </c>
      <c r="AA65" s="19" t="n">
        <f aca="false">IF(N65="",0,MAX(N65-X65,0))</f>
        <v>85</v>
      </c>
      <c r="AB65" s="20" t="n">
        <f aca="false">X65+AA65</f>
        <v>85</v>
      </c>
      <c r="AC65" s="19" t="n">
        <f aca="false">AB65-T65</f>
        <v>85</v>
      </c>
      <c r="AD65" s="21" t="n">
        <f aca="false">SUMIFS(Permissions!$T$2:$T$3000,Permissions!$B$2:$B$3000,$A65,Permissions!$I$2:$I$3000,"Yes")</f>
        <v>0</v>
      </c>
      <c r="AE65" s="21" t="n">
        <f aca="false">SUMIFS(Permissions!$U$2:$U$3000,Permissions!$B$2:$B$3000,$A65,Permissions!$I$2:$I$3000,"Yes")</f>
        <v>0</v>
      </c>
      <c r="AF65" s="21" t="n">
        <f aca="false">SUMIFS(Permissions!$V$2:$V$3000,Permissions!$B$2:$B$3000,$A65,Permissions!$I$2:$I$3000,"Yes")</f>
        <v>0</v>
      </c>
      <c r="AG65" s="21" t="n">
        <f aca="false">SUMIFS(Permissions!$W$2:$W$3000,Permissions!$B$2:$B$3000,$A65,Permissions!$I$2:$I$3000,"Yes")</f>
        <v>0</v>
      </c>
      <c r="AH65" s="21" t="n">
        <f aca="false">SUMIFS(Permissions!$X$2:$X$3000,Permissions!$B$2:$B$3000,$A65,Permissions!$I$2:$I$3000,"Yes")</f>
        <v>0</v>
      </c>
      <c r="AI65" s="21" t="n">
        <f aca="false">SUMIFS(Permissions!$Y$2:$Y$3000,Permissions!$B$2:$B$3000,$A65,Permissions!$I$2:$I$3000,"Yes")</f>
        <v>0</v>
      </c>
      <c r="AJ65" s="19" t="n">
        <f aca="false">COUNTIFS(Permissions!$B$2:$B$3000,$A65,Permissions!$I$2:$I$3000,"Yes")</f>
        <v>0</v>
      </c>
      <c r="AK65" s="22" t="str">
        <f aca="false">IF(AND(N65&lt;&gt;"",X65&gt;1.1*N65),"Consented above capacity",IF(AND(LEFT(B65,8)="Planning",AJ65=0),"Consent parcel with no permission",IF(COUNTIF($A$2:$A$3000,$A65)&gt;1,"Duplicate parcel_id","")))</f>
        <v/>
      </c>
    </row>
    <row r="66" customFormat="false" ht="15" hidden="false" customHeight="false" outlineLevel="0" collapsed="false">
      <c r="A66" s="18" t="s">
        <v>195</v>
      </c>
      <c r="B66" s="18" t="s">
        <v>10</v>
      </c>
      <c r="C66" s="18" t="s">
        <v>15</v>
      </c>
      <c r="D66" s="18" t="n">
        <v>30</v>
      </c>
      <c r="E66" s="18" t="s">
        <v>188</v>
      </c>
      <c r="F66" s="18" t="s">
        <v>112</v>
      </c>
      <c r="G66" s="18" t="s">
        <v>189</v>
      </c>
      <c r="H66" s="18" t="s">
        <v>119</v>
      </c>
      <c r="I66" s="18" t="s">
        <v>92</v>
      </c>
      <c r="J66" s="18" t="s">
        <v>101</v>
      </c>
      <c r="K66" s="18" t="s">
        <v>94</v>
      </c>
      <c r="L66" s="18" t="n">
        <v>0.476</v>
      </c>
      <c r="M66" s="18" t="n">
        <v>0.475</v>
      </c>
      <c r="N66" s="18" t="n">
        <v>21</v>
      </c>
      <c r="O66" s="18" t="s">
        <v>95</v>
      </c>
      <c r="P66" s="18" t="s">
        <v>96</v>
      </c>
      <c r="Q66" s="18" t="s">
        <v>97</v>
      </c>
      <c r="R66" s="18" t="s">
        <v>98</v>
      </c>
      <c r="S66" s="18"/>
      <c r="T66" s="19" t="n">
        <f aca="false">SUMIFS(Permissions!$F$2:$F$3000,Permissions!$B$2:$B$3000,$A66,Permissions!$H$2:$H$3000,"Complete",Permissions!$I$2:$I$3000,"Yes")</f>
        <v>0</v>
      </c>
      <c r="U66" s="19" t="n">
        <f aca="false">SUMIFS(Permissions!$F$2:$F$3000,Permissions!$B$2:$B$3000,$A66,Permissions!$H$2:$H$3000,"Under construction",Permissions!$I$2:$I$3000,"Yes")</f>
        <v>0</v>
      </c>
      <c r="V66" s="19" t="n">
        <f aca="false">SUMIFS(Permissions!$F$2:$F$3000,Permissions!$B$2:$B$3000,$A66,Permissions!$H$2:$H$3000,"Permitted – not started",Permissions!$I$2:$I$3000,"Yes")</f>
        <v>25</v>
      </c>
      <c r="W66" s="19" t="n">
        <f aca="false">SUMIFS(Permissions!$F$2:$F$3000,Permissions!$B$2:$B$3000,$A66,Permissions!$H$2:$H$3000,"Stalled",Permissions!$I$2:$I$3000,"Yes")</f>
        <v>0</v>
      </c>
      <c r="X66" s="19" t="n">
        <f aca="false">T66+U66+V66+W66</f>
        <v>25</v>
      </c>
      <c r="Y66" s="19" t="n">
        <f aca="false">SUMIFS(Permissions!$F$2:$F$3000,Permissions!$B$2:$B$3000,$A66,Permissions!$H$2:$H$3000,"Expired – not started",Permissions!$I$2:$I$3000,"Yes")</f>
        <v>0</v>
      </c>
      <c r="Z66" s="19" t="n">
        <f aca="false">SUMIFS(Permissions!$F$2:$F$3000,Permissions!$B$2:$B$3000,$A66,Permissions!$H$2:$H$3000,"In planning",Permissions!$I$2:$I$3000,"Yes")</f>
        <v>0</v>
      </c>
      <c r="AA66" s="19" t="n">
        <f aca="false">IF(N66="",0,MAX(N66-X66,0))</f>
        <v>0</v>
      </c>
      <c r="AB66" s="20" t="n">
        <f aca="false">X66+AA66</f>
        <v>25</v>
      </c>
      <c r="AC66" s="19" t="n">
        <f aca="false">AB66-T66</f>
        <v>25</v>
      </c>
      <c r="AD66" s="21" t="n">
        <f aca="false">SUMIFS(Permissions!$T$2:$T$3000,Permissions!$B$2:$B$3000,$A66,Permissions!$I$2:$I$3000,"Yes")</f>
        <v>0</v>
      </c>
      <c r="AE66" s="21" t="n">
        <f aca="false">SUMIFS(Permissions!$U$2:$U$3000,Permissions!$B$2:$B$3000,$A66,Permissions!$I$2:$I$3000,"Yes")</f>
        <v>0</v>
      </c>
      <c r="AF66" s="21" t="n">
        <f aca="false">SUMIFS(Permissions!$V$2:$V$3000,Permissions!$B$2:$B$3000,$A66,Permissions!$I$2:$I$3000,"Yes")</f>
        <v>8.5</v>
      </c>
      <c r="AG66" s="21" t="n">
        <f aca="false">SUMIFS(Permissions!$W$2:$W$3000,Permissions!$B$2:$B$3000,$A66,Permissions!$I$2:$I$3000,"Yes")</f>
        <v>16.5</v>
      </c>
      <c r="AH66" s="21" t="n">
        <f aca="false">SUMIFS(Permissions!$X$2:$X$3000,Permissions!$B$2:$B$3000,$A66,Permissions!$I$2:$I$3000,"Yes")</f>
        <v>0</v>
      </c>
      <c r="AI66" s="21" t="n">
        <f aca="false">SUMIFS(Permissions!$Y$2:$Y$3000,Permissions!$B$2:$B$3000,$A66,Permissions!$I$2:$I$3000,"Yes")</f>
        <v>0</v>
      </c>
      <c r="AJ66" s="19" t="n">
        <f aca="false">COUNTIFS(Permissions!$B$2:$B$3000,$A66,Permissions!$I$2:$I$3000,"Yes")</f>
        <v>1</v>
      </c>
      <c r="AK66" s="22" t="str">
        <f aca="false">IF(AND(N66&lt;&gt;"",X66&gt;1.1*N66),"Consented above capacity",IF(AND(LEFT(B66,8)="Planning",AJ66=0),"Consent parcel with no permission",IF(COUNTIF($A$2:$A$3000,$A66)&gt;1,"Duplicate parcel_id","")))</f>
        <v>Consented above capacity</v>
      </c>
    </row>
    <row r="67" customFormat="false" ht="15" hidden="false" customHeight="false" outlineLevel="0" collapsed="false">
      <c r="A67" s="18" t="s">
        <v>196</v>
      </c>
      <c r="B67" s="18" t="s">
        <v>10</v>
      </c>
      <c r="C67" s="18" t="s">
        <v>15</v>
      </c>
      <c r="D67" s="18" t="n">
        <v>31</v>
      </c>
      <c r="E67" s="18" t="s">
        <v>188</v>
      </c>
      <c r="F67" s="18" t="s">
        <v>112</v>
      </c>
      <c r="G67" s="18" t="s">
        <v>189</v>
      </c>
      <c r="H67" s="18" t="s">
        <v>105</v>
      </c>
      <c r="I67" s="18" t="s">
        <v>92</v>
      </c>
      <c r="J67" s="18" t="s">
        <v>101</v>
      </c>
      <c r="K67" s="18" t="s">
        <v>197</v>
      </c>
      <c r="L67" s="18" t="n">
        <v>1.061</v>
      </c>
      <c r="M67" s="18" t="n">
        <v>1.061</v>
      </c>
      <c r="N67" s="18" t="n">
        <v>37</v>
      </c>
      <c r="O67" s="18" t="s">
        <v>95</v>
      </c>
      <c r="P67" s="18" t="s">
        <v>116</v>
      </c>
      <c r="Q67" s="18" t="s">
        <v>97</v>
      </c>
      <c r="R67" s="18" t="s">
        <v>98</v>
      </c>
      <c r="S67" s="18"/>
      <c r="T67" s="19" t="n">
        <f aca="false">SUMIFS(Permissions!$F$2:$F$3000,Permissions!$B$2:$B$3000,$A67,Permissions!$H$2:$H$3000,"Complete",Permissions!$I$2:$I$3000,"Yes")</f>
        <v>0</v>
      </c>
      <c r="U67" s="19" t="n">
        <f aca="false">SUMIFS(Permissions!$F$2:$F$3000,Permissions!$B$2:$B$3000,$A67,Permissions!$H$2:$H$3000,"Under construction",Permissions!$I$2:$I$3000,"Yes")</f>
        <v>26</v>
      </c>
      <c r="V67" s="19" t="n">
        <f aca="false">SUMIFS(Permissions!$F$2:$F$3000,Permissions!$B$2:$B$3000,$A67,Permissions!$H$2:$H$3000,"Permitted – not started",Permissions!$I$2:$I$3000,"Yes")</f>
        <v>0</v>
      </c>
      <c r="W67" s="19" t="n">
        <f aca="false">SUMIFS(Permissions!$F$2:$F$3000,Permissions!$B$2:$B$3000,$A67,Permissions!$H$2:$H$3000,"Stalled",Permissions!$I$2:$I$3000,"Yes")</f>
        <v>0</v>
      </c>
      <c r="X67" s="19" t="n">
        <f aca="false">T67+U67+V67+W67</f>
        <v>26</v>
      </c>
      <c r="Y67" s="19" t="n">
        <f aca="false">SUMIFS(Permissions!$F$2:$F$3000,Permissions!$B$2:$B$3000,$A67,Permissions!$H$2:$H$3000,"Expired – not started",Permissions!$I$2:$I$3000,"Yes")</f>
        <v>0</v>
      </c>
      <c r="Z67" s="19" t="n">
        <f aca="false">SUMIFS(Permissions!$F$2:$F$3000,Permissions!$B$2:$B$3000,$A67,Permissions!$H$2:$H$3000,"In planning",Permissions!$I$2:$I$3000,"Yes")</f>
        <v>0</v>
      </c>
      <c r="AA67" s="19" t="n">
        <f aca="false">IF(N67="",0,MAX(N67-X67,0))</f>
        <v>11</v>
      </c>
      <c r="AB67" s="20" t="n">
        <f aca="false">X67+AA67</f>
        <v>37</v>
      </c>
      <c r="AC67" s="19" t="n">
        <f aca="false">AB67-T67</f>
        <v>37</v>
      </c>
      <c r="AD67" s="21" t="n">
        <f aca="false">SUMIFS(Permissions!$T$2:$T$3000,Permissions!$B$2:$B$3000,$A67,Permissions!$I$2:$I$3000,"Yes")</f>
        <v>6.1</v>
      </c>
      <c r="AE67" s="21" t="n">
        <f aca="false">SUMIFS(Permissions!$U$2:$U$3000,Permissions!$B$2:$B$3000,$A67,Permissions!$I$2:$I$3000,"Yes")</f>
        <v>19.9</v>
      </c>
      <c r="AF67" s="21" t="n">
        <f aca="false">SUMIFS(Permissions!$V$2:$V$3000,Permissions!$B$2:$B$3000,$A67,Permissions!$I$2:$I$3000,"Yes")</f>
        <v>0</v>
      </c>
      <c r="AG67" s="21" t="n">
        <f aca="false">SUMIFS(Permissions!$W$2:$W$3000,Permissions!$B$2:$B$3000,$A67,Permissions!$I$2:$I$3000,"Yes")</f>
        <v>0</v>
      </c>
      <c r="AH67" s="21" t="n">
        <f aca="false">SUMIFS(Permissions!$X$2:$X$3000,Permissions!$B$2:$B$3000,$A67,Permissions!$I$2:$I$3000,"Yes")</f>
        <v>0</v>
      </c>
      <c r="AI67" s="21" t="n">
        <f aca="false">SUMIFS(Permissions!$Y$2:$Y$3000,Permissions!$B$2:$B$3000,$A67,Permissions!$I$2:$I$3000,"Yes")</f>
        <v>0</v>
      </c>
      <c r="AJ67" s="19" t="n">
        <f aca="false">COUNTIFS(Permissions!$B$2:$B$3000,$A67,Permissions!$I$2:$I$3000,"Yes")</f>
        <v>1</v>
      </c>
      <c r="AK67" s="22" t="str">
        <f aca="false">IF(AND(N67&lt;&gt;"",X67&gt;1.1*N67),"Consented above capacity",IF(AND(LEFT(B67,8)="Planning",AJ67=0),"Consent parcel with no permission",IF(COUNTIF($A$2:$A$3000,$A67)&gt;1,"Duplicate parcel_id","")))</f>
        <v/>
      </c>
    </row>
    <row r="68" customFormat="false" ht="15" hidden="false" customHeight="false" outlineLevel="0" collapsed="false">
      <c r="A68" s="18" t="s">
        <v>198</v>
      </c>
      <c r="B68" s="18" t="s">
        <v>10</v>
      </c>
      <c r="C68" s="18" t="s">
        <v>15</v>
      </c>
      <c r="D68" s="18" t="n">
        <v>32</v>
      </c>
      <c r="E68" s="18" t="s">
        <v>188</v>
      </c>
      <c r="F68" s="18" t="s">
        <v>112</v>
      </c>
      <c r="G68" s="18" t="s">
        <v>189</v>
      </c>
      <c r="H68" s="18" t="s">
        <v>105</v>
      </c>
      <c r="I68" s="18" t="s">
        <v>92</v>
      </c>
      <c r="J68" s="18" t="s">
        <v>101</v>
      </c>
      <c r="K68" s="18" t="s">
        <v>199</v>
      </c>
      <c r="L68" s="18" t="n">
        <v>4.273</v>
      </c>
      <c r="M68" s="18" t="n">
        <v>4.272</v>
      </c>
      <c r="N68" s="18" t="n">
        <v>178</v>
      </c>
      <c r="O68" s="18" t="s">
        <v>95</v>
      </c>
      <c r="P68" s="18" t="s">
        <v>96</v>
      </c>
      <c r="Q68" s="18" t="s">
        <v>97</v>
      </c>
      <c r="R68" s="18" t="s">
        <v>98</v>
      </c>
      <c r="S68" s="18"/>
      <c r="T68" s="19" t="n">
        <f aca="false">SUMIFS(Permissions!$F$2:$F$3000,Permissions!$B$2:$B$3000,$A68,Permissions!$H$2:$H$3000,"Complete",Permissions!$I$2:$I$3000,"Yes")</f>
        <v>0</v>
      </c>
      <c r="U68" s="19" t="n">
        <f aca="false">SUMIFS(Permissions!$F$2:$F$3000,Permissions!$B$2:$B$3000,$A68,Permissions!$H$2:$H$3000,"Under construction",Permissions!$I$2:$I$3000,"Yes")</f>
        <v>0</v>
      </c>
      <c r="V68" s="19" t="n">
        <f aca="false">SUMIFS(Permissions!$F$2:$F$3000,Permissions!$B$2:$B$3000,$A68,Permissions!$H$2:$H$3000,"Permitted – not started",Permissions!$I$2:$I$3000,"Yes")</f>
        <v>0</v>
      </c>
      <c r="W68" s="19" t="n">
        <f aca="false">SUMIFS(Permissions!$F$2:$F$3000,Permissions!$B$2:$B$3000,$A68,Permissions!$H$2:$H$3000,"Stalled",Permissions!$I$2:$I$3000,"Yes")</f>
        <v>0</v>
      </c>
      <c r="X68" s="19" t="n">
        <f aca="false">T68+U68+V68+W68</f>
        <v>0</v>
      </c>
      <c r="Y68" s="19" t="n">
        <f aca="false">SUMIFS(Permissions!$F$2:$F$3000,Permissions!$B$2:$B$3000,$A68,Permissions!$H$2:$H$3000,"Expired – not started",Permissions!$I$2:$I$3000,"Yes")</f>
        <v>0</v>
      </c>
      <c r="Z68" s="19" t="n">
        <f aca="false">SUMIFS(Permissions!$F$2:$F$3000,Permissions!$B$2:$B$3000,$A68,Permissions!$H$2:$H$3000,"In planning",Permissions!$I$2:$I$3000,"Yes")</f>
        <v>0</v>
      </c>
      <c r="AA68" s="19" t="n">
        <f aca="false">IF(N68="",0,MAX(N68-X68,0))</f>
        <v>178</v>
      </c>
      <c r="AB68" s="20" t="n">
        <f aca="false">X68+AA68</f>
        <v>178</v>
      </c>
      <c r="AC68" s="19" t="n">
        <f aca="false">AB68-T68</f>
        <v>178</v>
      </c>
      <c r="AD68" s="21" t="n">
        <f aca="false">SUMIFS(Permissions!$T$2:$T$3000,Permissions!$B$2:$B$3000,$A68,Permissions!$I$2:$I$3000,"Yes")</f>
        <v>0</v>
      </c>
      <c r="AE68" s="21" t="n">
        <f aca="false">SUMIFS(Permissions!$U$2:$U$3000,Permissions!$B$2:$B$3000,$A68,Permissions!$I$2:$I$3000,"Yes")</f>
        <v>0</v>
      </c>
      <c r="AF68" s="21" t="n">
        <f aca="false">SUMIFS(Permissions!$V$2:$V$3000,Permissions!$B$2:$B$3000,$A68,Permissions!$I$2:$I$3000,"Yes")</f>
        <v>0</v>
      </c>
      <c r="AG68" s="21" t="n">
        <f aca="false">SUMIFS(Permissions!$W$2:$W$3000,Permissions!$B$2:$B$3000,$A68,Permissions!$I$2:$I$3000,"Yes")</f>
        <v>0</v>
      </c>
      <c r="AH68" s="21" t="n">
        <f aca="false">SUMIFS(Permissions!$X$2:$X$3000,Permissions!$B$2:$B$3000,$A68,Permissions!$I$2:$I$3000,"Yes")</f>
        <v>0</v>
      </c>
      <c r="AI68" s="21" t="n">
        <f aca="false">SUMIFS(Permissions!$Y$2:$Y$3000,Permissions!$B$2:$B$3000,$A68,Permissions!$I$2:$I$3000,"Yes")</f>
        <v>0</v>
      </c>
      <c r="AJ68" s="19" t="n">
        <f aca="false">COUNTIFS(Permissions!$B$2:$B$3000,$A68,Permissions!$I$2:$I$3000,"Yes")</f>
        <v>0</v>
      </c>
      <c r="AK68" s="22" t="str">
        <f aca="false">IF(AND(N68&lt;&gt;"",X68&gt;1.1*N68),"Consented above capacity",IF(AND(LEFT(B68,8)="Planning",AJ68=0),"Consent parcel with no permission",IF(COUNTIF($A$2:$A$3000,$A68)&gt;1,"Duplicate parcel_id","")))</f>
        <v/>
      </c>
    </row>
    <row r="69" customFormat="false" ht="15" hidden="false" customHeight="false" outlineLevel="0" collapsed="false">
      <c r="A69" s="18" t="s">
        <v>200</v>
      </c>
      <c r="B69" s="18" t="s">
        <v>10</v>
      </c>
      <c r="C69" s="18" t="s">
        <v>15</v>
      </c>
      <c r="D69" s="18" t="n">
        <v>33</v>
      </c>
      <c r="E69" s="18" t="s">
        <v>188</v>
      </c>
      <c r="F69" s="18" t="s">
        <v>112</v>
      </c>
      <c r="G69" s="18" t="s">
        <v>189</v>
      </c>
      <c r="H69" s="18" t="s">
        <v>105</v>
      </c>
      <c r="I69" s="18" t="s">
        <v>92</v>
      </c>
      <c r="J69" s="18" t="s">
        <v>101</v>
      </c>
      <c r="K69" s="18" t="s">
        <v>115</v>
      </c>
      <c r="L69" s="18" t="n">
        <v>2.57</v>
      </c>
      <c r="M69" s="18" t="n">
        <v>2.569</v>
      </c>
      <c r="N69" s="18" t="n">
        <v>90</v>
      </c>
      <c r="O69" s="18" t="s">
        <v>95</v>
      </c>
      <c r="P69" s="18" t="s">
        <v>96</v>
      </c>
      <c r="Q69" s="18" t="s">
        <v>97</v>
      </c>
      <c r="R69" s="18" t="s">
        <v>98</v>
      </c>
      <c r="S69" s="18"/>
      <c r="T69" s="19" t="n">
        <f aca="false">SUMIFS(Permissions!$F$2:$F$3000,Permissions!$B$2:$B$3000,$A69,Permissions!$H$2:$H$3000,"Complete",Permissions!$I$2:$I$3000,"Yes")</f>
        <v>0</v>
      </c>
      <c r="U69" s="19" t="n">
        <f aca="false">SUMIFS(Permissions!$F$2:$F$3000,Permissions!$B$2:$B$3000,$A69,Permissions!$H$2:$H$3000,"Under construction",Permissions!$I$2:$I$3000,"Yes")</f>
        <v>0</v>
      </c>
      <c r="V69" s="19" t="n">
        <f aca="false">SUMIFS(Permissions!$F$2:$F$3000,Permissions!$B$2:$B$3000,$A69,Permissions!$H$2:$H$3000,"Permitted – not started",Permissions!$I$2:$I$3000,"Yes")</f>
        <v>0</v>
      </c>
      <c r="W69" s="19" t="n">
        <f aca="false">SUMIFS(Permissions!$F$2:$F$3000,Permissions!$B$2:$B$3000,$A69,Permissions!$H$2:$H$3000,"Stalled",Permissions!$I$2:$I$3000,"Yes")</f>
        <v>0</v>
      </c>
      <c r="X69" s="19" t="n">
        <f aca="false">T69+U69+V69+W69</f>
        <v>0</v>
      </c>
      <c r="Y69" s="19" t="n">
        <f aca="false">SUMIFS(Permissions!$F$2:$F$3000,Permissions!$B$2:$B$3000,$A69,Permissions!$H$2:$H$3000,"Expired – not started",Permissions!$I$2:$I$3000,"Yes")</f>
        <v>0</v>
      </c>
      <c r="Z69" s="19" t="n">
        <f aca="false">SUMIFS(Permissions!$F$2:$F$3000,Permissions!$B$2:$B$3000,$A69,Permissions!$H$2:$H$3000,"In planning",Permissions!$I$2:$I$3000,"Yes")</f>
        <v>0</v>
      </c>
      <c r="AA69" s="19" t="n">
        <f aca="false">IF(N69="",0,MAX(N69-X69,0))</f>
        <v>90</v>
      </c>
      <c r="AB69" s="20" t="n">
        <f aca="false">X69+AA69</f>
        <v>90</v>
      </c>
      <c r="AC69" s="19" t="n">
        <f aca="false">AB69-T69</f>
        <v>90</v>
      </c>
      <c r="AD69" s="21" t="n">
        <f aca="false">SUMIFS(Permissions!$T$2:$T$3000,Permissions!$B$2:$B$3000,$A69,Permissions!$I$2:$I$3000,"Yes")</f>
        <v>0</v>
      </c>
      <c r="AE69" s="21" t="n">
        <f aca="false">SUMIFS(Permissions!$U$2:$U$3000,Permissions!$B$2:$B$3000,$A69,Permissions!$I$2:$I$3000,"Yes")</f>
        <v>0</v>
      </c>
      <c r="AF69" s="21" t="n">
        <f aca="false">SUMIFS(Permissions!$V$2:$V$3000,Permissions!$B$2:$B$3000,$A69,Permissions!$I$2:$I$3000,"Yes")</f>
        <v>0</v>
      </c>
      <c r="AG69" s="21" t="n">
        <f aca="false">SUMIFS(Permissions!$W$2:$W$3000,Permissions!$B$2:$B$3000,$A69,Permissions!$I$2:$I$3000,"Yes")</f>
        <v>0</v>
      </c>
      <c r="AH69" s="21" t="n">
        <f aca="false">SUMIFS(Permissions!$X$2:$X$3000,Permissions!$B$2:$B$3000,$A69,Permissions!$I$2:$I$3000,"Yes")</f>
        <v>0</v>
      </c>
      <c r="AI69" s="21" t="n">
        <f aca="false">SUMIFS(Permissions!$Y$2:$Y$3000,Permissions!$B$2:$B$3000,$A69,Permissions!$I$2:$I$3000,"Yes")</f>
        <v>0</v>
      </c>
      <c r="AJ69" s="19" t="n">
        <f aca="false">COUNTIFS(Permissions!$B$2:$B$3000,$A69,Permissions!$I$2:$I$3000,"Yes")</f>
        <v>0</v>
      </c>
      <c r="AK69" s="22" t="str">
        <f aca="false">IF(AND(N69&lt;&gt;"",X69&gt;1.1*N69),"Consented above capacity",IF(AND(LEFT(B69,8)="Planning",AJ69=0),"Consent parcel with no permission",IF(COUNTIF($A$2:$A$3000,$A69)&gt;1,"Duplicate parcel_id","")))</f>
        <v/>
      </c>
    </row>
    <row r="70" customFormat="false" ht="15" hidden="false" customHeight="false" outlineLevel="0" collapsed="false">
      <c r="A70" s="18" t="s">
        <v>201</v>
      </c>
      <c r="B70" s="18" t="s">
        <v>10</v>
      </c>
      <c r="C70" s="18" t="s">
        <v>15</v>
      </c>
      <c r="D70" s="18" t="n">
        <v>34</v>
      </c>
      <c r="E70" s="18" t="s">
        <v>188</v>
      </c>
      <c r="F70" s="18" t="s">
        <v>112</v>
      </c>
      <c r="G70" s="18" t="s">
        <v>189</v>
      </c>
      <c r="H70" s="18" t="s">
        <v>105</v>
      </c>
      <c r="I70" s="18" t="s">
        <v>92</v>
      </c>
      <c r="J70" s="18" t="s">
        <v>101</v>
      </c>
      <c r="K70" s="18" t="s">
        <v>115</v>
      </c>
      <c r="L70" s="18" t="n">
        <v>1.33</v>
      </c>
      <c r="M70" s="18" t="n">
        <v>1.33</v>
      </c>
      <c r="N70" s="18" t="n">
        <v>47</v>
      </c>
      <c r="O70" s="18" t="s">
        <v>95</v>
      </c>
      <c r="P70" s="18" t="s">
        <v>116</v>
      </c>
      <c r="Q70" s="18" t="s">
        <v>97</v>
      </c>
      <c r="R70" s="18" t="s">
        <v>98</v>
      </c>
      <c r="S70" s="18"/>
      <c r="T70" s="19" t="n">
        <f aca="false">SUMIFS(Permissions!$F$2:$F$3000,Permissions!$B$2:$B$3000,$A70,Permissions!$H$2:$H$3000,"Complete",Permissions!$I$2:$I$3000,"Yes")</f>
        <v>0</v>
      </c>
      <c r="U70" s="19" t="n">
        <f aca="false">SUMIFS(Permissions!$F$2:$F$3000,Permissions!$B$2:$B$3000,$A70,Permissions!$H$2:$H$3000,"Under construction",Permissions!$I$2:$I$3000,"Yes")</f>
        <v>0</v>
      </c>
      <c r="V70" s="19" t="n">
        <f aca="false">SUMIFS(Permissions!$F$2:$F$3000,Permissions!$B$2:$B$3000,$A70,Permissions!$H$2:$H$3000,"Permitted – not started",Permissions!$I$2:$I$3000,"Yes")</f>
        <v>0</v>
      </c>
      <c r="W70" s="19" t="n">
        <f aca="false">SUMIFS(Permissions!$F$2:$F$3000,Permissions!$B$2:$B$3000,$A70,Permissions!$H$2:$H$3000,"Stalled",Permissions!$I$2:$I$3000,"Yes")</f>
        <v>0</v>
      </c>
      <c r="X70" s="19" t="n">
        <f aca="false">T70+U70+V70+W70</f>
        <v>0</v>
      </c>
      <c r="Y70" s="19" t="n">
        <f aca="false">SUMIFS(Permissions!$F$2:$F$3000,Permissions!$B$2:$B$3000,$A70,Permissions!$H$2:$H$3000,"Expired – not started",Permissions!$I$2:$I$3000,"Yes")</f>
        <v>0</v>
      </c>
      <c r="Z70" s="19" t="n">
        <f aca="false">SUMIFS(Permissions!$F$2:$F$3000,Permissions!$B$2:$B$3000,$A70,Permissions!$H$2:$H$3000,"In planning",Permissions!$I$2:$I$3000,"Yes")</f>
        <v>0</v>
      </c>
      <c r="AA70" s="19" t="n">
        <f aca="false">IF(N70="",0,MAX(N70-X70,0))</f>
        <v>47</v>
      </c>
      <c r="AB70" s="20" t="n">
        <f aca="false">X70+AA70</f>
        <v>47</v>
      </c>
      <c r="AC70" s="19" t="n">
        <f aca="false">AB70-T70</f>
        <v>47</v>
      </c>
      <c r="AD70" s="21" t="n">
        <f aca="false">SUMIFS(Permissions!$T$2:$T$3000,Permissions!$B$2:$B$3000,$A70,Permissions!$I$2:$I$3000,"Yes")</f>
        <v>0</v>
      </c>
      <c r="AE70" s="21" t="n">
        <f aca="false">SUMIFS(Permissions!$U$2:$U$3000,Permissions!$B$2:$B$3000,$A70,Permissions!$I$2:$I$3000,"Yes")</f>
        <v>0</v>
      </c>
      <c r="AF70" s="21" t="n">
        <f aca="false">SUMIFS(Permissions!$V$2:$V$3000,Permissions!$B$2:$B$3000,$A70,Permissions!$I$2:$I$3000,"Yes")</f>
        <v>0</v>
      </c>
      <c r="AG70" s="21" t="n">
        <f aca="false">SUMIFS(Permissions!$W$2:$W$3000,Permissions!$B$2:$B$3000,$A70,Permissions!$I$2:$I$3000,"Yes")</f>
        <v>0</v>
      </c>
      <c r="AH70" s="21" t="n">
        <f aca="false">SUMIFS(Permissions!$X$2:$X$3000,Permissions!$B$2:$B$3000,$A70,Permissions!$I$2:$I$3000,"Yes")</f>
        <v>0</v>
      </c>
      <c r="AI70" s="21" t="n">
        <f aca="false">SUMIFS(Permissions!$Y$2:$Y$3000,Permissions!$B$2:$B$3000,$A70,Permissions!$I$2:$I$3000,"Yes")</f>
        <v>0</v>
      </c>
      <c r="AJ70" s="19" t="n">
        <f aca="false">COUNTIFS(Permissions!$B$2:$B$3000,$A70,Permissions!$I$2:$I$3000,"Yes")</f>
        <v>0</v>
      </c>
      <c r="AK70" s="22" t="str">
        <f aca="false">IF(AND(N70&lt;&gt;"",X70&gt;1.1*N70),"Consented above capacity",IF(AND(LEFT(B70,8)="Planning",AJ70=0),"Consent parcel with no permission",IF(COUNTIF($A$2:$A$3000,$A70)&gt;1,"Duplicate parcel_id","")))</f>
        <v/>
      </c>
    </row>
    <row r="71" customFormat="false" ht="15" hidden="false" customHeight="false" outlineLevel="0" collapsed="false">
      <c r="A71" s="18" t="s">
        <v>202</v>
      </c>
      <c r="B71" s="18" t="s">
        <v>10</v>
      </c>
      <c r="C71" s="18" t="s">
        <v>15</v>
      </c>
      <c r="D71" s="18" t="n">
        <v>134</v>
      </c>
      <c r="E71" s="18" t="s">
        <v>203</v>
      </c>
      <c r="F71" s="18" t="s">
        <v>89</v>
      </c>
      <c r="G71" s="18" t="s">
        <v>203</v>
      </c>
      <c r="H71" s="18" t="s">
        <v>105</v>
      </c>
      <c r="I71" s="18" t="s">
        <v>100</v>
      </c>
      <c r="J71" s="18" t="s">
        <v>101</v>
      </c>
      <c r="K71" s="18" t="s">
        <v>204</v>
      </c>
      <c r="L71" s="18" t="n">
        <v>0.606</v>
      </c>
      <c r="M71" s="18" t="n">
        <v>0.607</v>
      </c>
      <c r="N71" s="18" t="n">
        <v>23</v>
      </c>
      <c r="O71" s="18" t="s">
        <v>95</v>
      </c>
      <c r="P71" s="18" t="s">
        <v>96</v>
      </c>
      <c r="Q71" s="18" t="s">
        <v>97</v>
      </c>
      <c r="R71" s="18" t="s">
        <v>98</v>
      </c>
      <c r="S71" s="18"/>
      <c r="T71" s="19" t="n">
        <f aca="false">SUMIFS(Permissions!$F$2:$F$3000,Permissions!$B$2:$B$3000,$A71,Permissions!$H$2:$H$3000,"Complete",Permissions!$I$2:$I$3000,"Yes")</f>
        <v>0</v>
      </c>
      <c r="U71" s="19" t="n">
        <f aca="false">SUMIFS(Permissions!$F$2:$F$3000,Permissions!$B$2:$B$3000,$A71,Permissions!$H$2:$H$3000,"Under construction",Permissions!$I$2:$I$3000,"Yes")</f>
        <v>0</v>
      </c>
      <c r="V71" s="19" t="n">
        <f aca="false">SUMIFS(Permissions!$F$2:$F$3000,Permissions!$B$2:$B$3000,$A71,Permissions!$H$2:$H$3000,"Permitted – not started",Permissions!$I$2:$I$3000,"Yes")</f>
        <v>0</v>
      </c>
      <c r="W71" s="19" t="n">
        <f aca="false">SUMIFS(Permissions!$F$2:$F$3000,Permissions!$B$2:$B$3000,$A71,Permissions!$H$2:$H$3000,"Stalled",Permissions!$I$2:$I$3000,"Yes")</f>
        <v>0</v>
      </c>
      <c r="X71" s="19" t="n">
        <f aca="false">T71+U71+V71+W71</f>
        <v>0</v>
      </c>
      <c r="Y71" s="19" t="n">
        <f aca="false">SUMIFS(Permissions!$F$2:$F$3000,Permissions!$B$2:$B$3000,$A71,Permissions!$H$2:$H$3000,"Expired – not started",Permissions!$I$2:$I$3000,"Yes")</f>
        <v>0</v>
      </c>
      <c r="Z71" s="19" t="n">
        <f aca="false">SUMIFS(Permissions!$F$2:$F$3000,Permissions!$B$2:$B$3000,$A71,Permissions!$H$2:$H$3000,"In planning",Permissions!$I$2:$I$3000,"Yes")</f>
        <v>0</v>
      </c>
      <c r="AA71" s="19" t="n">
        <f aca="false">IF(N71="",0,MAX(N71-X71,0))</f>
        <v>23</v>
      </c>
      <c r="AB71" s="20" t="n">
        <f aca="false">X71+AA71</f>
        <v>23</v>
      </c>
      <c r="AC71" s="19" t="n">
        <f aca="false">AB71-T71</f>
        <v>23</v>
      </c>
      <c r="AD71" s="21" t="n">
        <f aca="false">SUMIFS(Permissions!$T$2:$T$3000,Permissions!$B$2:$B$3000,$A71,Permissions!$I$2:$I$3000,"Yes")</f>
        <v>0</v>
      </c>
      <c r="AE71" s="21" t="n">
        <f aca="false">SUMIFS(Permissions!$U$2:$U$3000,Permissions!$B$2:$B$3000,$A71,Permissions!$I$2:$I$3000,"Yes")</f>
        <v>0</v>
      </c>
      <c r="AF71" s="21" t="n">
        <f aca="false">SUMIFS(Permissions!$V$2:$V$3000,Permissions!$B$2:$B$3000,$A71,Permissions!$I$2:$I$3000,"Yes")</f>
        <v>0</v>
      </c>
      <c r="AG71" s="21" t="n">
        <f aca="false">SUMIFS(Permissions!$W$2:$W$3000,Permissions!$B$2:$B$3000,$A71,Permissions!$I$2:$I$3000,"Yes")</f>
        <v>0</v>
      </c>
      <c r="AH71" s="21" t="n">
        <f aca="false">SUMIFS(Permissions!$X$2:$X$3000,Permissions!$B$2:$B$3000,$A71,Permissions!$I$2:$I$3000,"Yes")</f>
        <v>0</v>
      </c>
      <c r="AI71" s="21" t="n">
        <f aca="false">SUMIFS(Permissions!$Y$2:$Y$3000,Permissions!$B$2:$B$3000,$A71,Permissions!$I$2:$I$3000,"Yes")</f>
        <v>0</v>
      </c>
      <c r="AJ71" s="19" t="n">
        <f aca="false">COUNTIFS(Permissions!$B$2:$B$3000,$A71,Permissions!$I$2:$I$3000,"Yes")</f>
        <v>0</v>
      </c>
      <c r="AK71" s="22" t="str">
        <f aca="false">IF(AND(N71&lt;&gt;"",X71&gt;1.1*N71),"Consented above capacity",IF(AND(LEFT(B71,8)="Planning",AJ71=0),"Consent parcel with no permission",IF(COUNTIF($A$2:$A$3000,$A71)&gt;1,"Duplicate parcel_id","")))</f>
        <v/>
      </c>
    </row>
    <row r="72" customFormat="false" ht="15" hidden="false" customHeight="false" outlineLevel="0" collapsed="false">
      <c r="A72" s="18" t="s">
        <v>205</v>
      </c>
      <c r="B72" s="18" t="s">
        <v>10</v>
      </c>
      <c r="C72" s="18" t="s">
        <v>15</v>
      </c>
      <c r="D72" s="18" t="n">
        <v>135</v>
      </c>
      <c r="E72" s="18" t="s">
        <v>203</v>
      </c>
      <c r="F72" s="18" t="s">
        <v>89</v>
      </c>
      <c r="G72" s="18" t="s">
        <v>203</v>
      </c>
      <c r="H72" s="18" t="s">
        <v>105</v>
      </c>
      <c r="I72" s="18" t="s">
        <v>100</v>
      </c>
      <c r="J72" s="18" t="s">
        <v>101</v>
      </c>
      <c r="K72" s="18" t="s">
        <v>115</v>
      </c>
      <c r="L72" s="18" t="n">
        <v>0.182</v>
      </c>
      <c r="M72" s="18" t="n">
        <v>0.183</v>
      </c>
      <c r="N72" s="18" t="n">
        <v>6</v>
      </c>
      <c r="O72" s="18" t="s">
        <v>95</v>
      </c>
      <c r="P72" s="18" t="s">
        <v>96</v>
      </c>
      <c r="Q72" s="18" t="s">
        <v>97</v>
      </c>
      <c r="R72" s="18" t="s">
        <v>98</v>
      </c>
      <c r="S72" s="18"/>
      <c r="T72" s="19" t="n">
        <f aca="false">SUMIFS(Permissions!$F$2:$F$3000,Permissions!$B$2:$B$3000,$A72,Permissions!$H$2:$H$3000,"Complete",Permissions!$I$2:$I$3000,"Yes")</f>
        <v>0</v>
      </c>
      <c r="U72" s="19" t="n">
        <f aca="false">SUMIFS(Permissions!$F$2:$F$3000,Permissions!$B$2:$B$3000,$A72,Permissions!$H$2:$H$3000,"Under construction",Permissions!$I$2:$I$3000,"Yes")</f>
        <v>0</v>
      </c>
      <c r="V72" s="19" t="n">
        <f aca="false">SUMIFS(Permissions!$F$2:$F$3000,Permissions!$B$2:$B$3000,$A72,Permissions!$H$2:$H$3000,"Permitted – not started",Permissions!$I$2:$I$3000,"Yes")</f>
        <v>0</v>
      </c>
      <c r="W72" s="19" t="n">
        <f aca="false">SUMIFS(Permissions!$F$2:$F$3000,Permissions!$B$2:$B$3000,$A72,Permissions!$H$2:$H$3000,"Stalled",Permissions!$I$2:$I$3000,"Yes")</f>
        <v>0</v>
      </c>
      <c r="X72" s="19" t="n">
        <f aca="false">T72+U72+V72+W72</f>
        <v>0</v>
      </c>
      <c r="Y72" s="19" t="n">
        <f aca="false">SUMIFS(Permissions!$F$2:$F$3000,Permissions!$B$2:$B$3000,$A72,Permissions!$H$2:$H$3000,"Expired – not started",Permissions!$I$2:$I$3000,"Yes")</f>
        <v>0</v>
      </c>
      <c r="Z72" s="19" t="n">
        <f aca="false">SUMIFS(Permissions!$F$2:$F$3000,Permissions!$B$2:$B$3000,$A72,Permissions!$H$2:$H$3000,"In planning",Permissions!$I$2:$I$3000,"Yes")</f>
        <v>0</v>
      </c>
      <c r="AA72" s="19" t="n">
        <f aca="false">IF(N72="",0,MAX(N72-X72,0))</f>
        <v>6</v>
      </c>
      <c r="AB72" s="20" t="n">
        <f aca="false">X72+AA72</f>
        <v>6</v>
      </c>
      <c r="AC72" s="19" t="n">
        <f aca="false">AB72-T72</f>
        <v>6</v>
      </c>
      <c r="AD72" s="21" t="n">
        <f aca="false">SUMIFS(Permissions!$T$2:$T$3000,Permissions!$B$2:$B$3000,$A72,Permissions!$I$2:$I$3000,"Yes")</f>
        <v>0</v>
      </c>
      <c r="AE72" s="21" t="n">
        <f aca="false">SUMIFS(Permissions!$U$2:$U$3000,Permissions!$B$2:$B$3000,$A72,Permissions!$I$2:$I$3000,"Yes")</f>
        <v>0</v>
      </c>
      <c r="AF72" s="21" t="n">
        <f aca="false">SUMIFS(Permissions!$V$2:$V$3000,Permissions!$B$2:$B$3000,$A72,Permissions!$I$2:$I$3000,"Yes")</f>
        <v>0</v>
      </c>
      <c r="AG72" s="21" t="n">
        <f aca="false">SUMIFS(Permissions!$W$2:$W$3000,Permissions!$B$2:$B$3000,$A72,Permissions!$I$2:$I$3000,"Yes")</f>
        <v>0</v>
      </c>
      <c r="AH72" s="21" t="n">
        <f aca="false">SUMIFS(Permissions!$X$2:$X$3000,Permissions!$B$2:$B$3000,$A72,Permissions!$I$2:$I$3000,"Yes")</f>
        <v>0</v>
      </c>
      <c r="AI72" s="21" t="n">
        <f aca="false">SUMIFS(Permissions!$Y$2:$Y$3000,Permissions!$B$2:$B$3000,$A72,Permissions!$I$2:$I$3000,"Yes")</f>
        <v>0</v>
      </c>
      <c r="AJ72" s="19" t="n">
        <f aca="false">COUNTIFS(Permissions!$B$2:$B$3000,$A72,Permissions!$I$2:$I$3000,"Yes")</f>
        <v>0</v>
      </c>
      <c r="AK72" s="22" t="str">
        <f aca="false">IF(AND(N72&lt;&gt;"",X72&gt;1.1*N72),"Consented above capacity",IF(AND(LEFT(B72,8)="Planning",AJ72=0),"Consent parcel with no permission",IF(COUNTIF($A$2:$A$3000,$A72)&gt;1,"Duplicate parcel_id","")))</f>
        <v/>
      </c>
    </row>
    <row r="73" customFormat="false" ht="15" hidden="false" customHeight="false" outlineLevel="0" collapsed="false">
      <c r="A73" s="18" t="s">
        <v>206</v>
      </c>
      <c r="B73" s="18" t="s">
        <v>10</v>
      </c>
      <c r="C73" s="18" t="s">
        <v>15</v>
      </c>
      <c r="D73" s="18" t="n">
        <v>136</v>
      </c>
      <c r="E73" s="18" t="s">
        <v>203</v>
      </c>
      <c r="F73" s="18" t="s">
        <v>89</v>
      </c>
      <c r="G73" s="18" t="s">
        <v>203</v>
      </c>
      <c r="H73" s="18" t="s">
        <v>105</v>
      </c>
      <c r="I73" s="18" t="s">
        <v>92</v>
      </c>
      <c r="J73" s="18" t="s">
        <v>114</v>
      </c>
      <c r="K73" s="18" t="s">
        <v>115</v>
      </c>
      <c r="L73" s="18" t="n">
        <v>8.559</v>
      </c>
      <c r="M73" s="18" t="n">
        <v>8.556</v>
      </c>
      <c r="N73" s="18" t="n">
        <v>384</v>
      </c>
      <c r="O73" s="18" t="s">
        <v>95</v>
      </c>
      <c r="P73" s="18" t="s">
        <v>116</v>
      </c>
      <c r="Q73" s="18" t="s">
        <v>97</v>
      </c>
      <c r="R73" s="18" t="s">
        <v>98</v>
      </c>
      <c r="S73" s="18"/>
      <c r="T73" s="19" t="n">
        <f aca="false">SUMIFS(Permissions!$F$2:$F$3000,Permissions!$B$2:$B$3000,$A73,Permissions!$H$2:$H$3000,"Complete",Permissions!$I$2:$I$3000,"Yes")</f>
        <v>0</v>
      </c>
      <c r="U73" s="19" t="n">
        <f aca="false">SUMIFS(Permissions!$F$2:$F$3000,Permissions!$B$2:$B$3000,$A73,Permissions!$H$2:$H$3000,"Under construction",Permissions!$I$2:$I$3000,"Yes")</f>
        <v>384</v>
      </c>
      <c r="V73" s="19" t="n">
        <f aca="false">SUMIFS(Permissions!$F$2:$F$3000,Permissions!$B$2:$B$3000,$A73,Permissions!$H$2:$H$3000,"Permitted – not started",Permissions!$I$2:$I$3000,"Yes")</f>
        <v>0</v>
      </c>
      <c r="W73" s="19" t="n">
        <f aca="false">SUMIFS(Permissions!$F$2:$F$3000,Permissions!$B$2:$B$3000,$A73,Permissions!$H$2:$H$3000,"Stalled",Permissions!$I$2:$I$3000,"Yes")</f>
        <v>0</v>
      </c>
      <c r="X73" s="19" t="n">
        <f aca="false">T73+U73+V73+W73</f>
        <v>384</v>
      </c>
      <c r="Y73" s="19" t="n">
        <f aca="false">SUMIFS(Permissions!$F$2:$F$3000,Permissions!$B$2:$B$3000,$A73,Permissions!$H$2:$H$3000,"Expired – not started",Permissions!$I$2:$I$3000,"Yes")</f>
        <v>0</v>
      </c>
      <c r="Z73" s="19" t="n">
        <f aca="false">SUMIFS(Permissions!$F$2:$F$3000,Permissions!$B$2:$B$3000,$A73,Permissions!$H$2:$H$3000,"In planning",Permissions!$I$2:$I$3000,"Yes")</f>
        <v>0</v>
      </c>
      <c r="AA73" s="19" t="n">
        <f aca="false">IF(N73="",0,MAX(N73-X73,0))</f>
        <v>0</v>
      </c>
      <c r="AB73" s="20" t="n">
        <f aca="false">X73+AA73</f>
        <v>384</v>
      </c>
      <c r="AC73" s="19" t="n">
        <f aca="false">AB73-T73</f>
        <v>384</v>
      </c>
      <c r="AD73" s="21" t="n">
        <f aca="false">SUMIFS(Permissions!$T$2:$T$3000,Permissions!$B$2:$B$3000,$A73,Permissions!$I$2:$I$3000,"Yes")</f>
        <v>17.2</v>
      </c>
      <c r="AE73" s="21" t="n">
        <f aca="false">SUMIFS(Permissions!$U$2:$U$3000,Permissions!$B$2:$B$3000,$A73,Permissions!$I$2:$I$3000,"Yes")</f>
        <v>74.1</v>
      </c>
      <c r="AF73" s="21" t="n">
        <f aca="false">SUMIFS(Permissions!$V$2:$V$3000,Permissions!$B$2:$B$3000,$A73,Permissions!$I$2:$I$3000,"Yes")</f>
        <v>74.1</v>
      </c>
      <c r="AG73" s="21" t="n">
        <f aca="false">SUMIFS(Permissions!$W$2:$W$3000,Permissions!$B$2:$B$3000,$A73,Permissions!$I$2:$I$3000,"Yes")</f>
        <v>74.1</v>
      </c>
      <c r="AH73" s="21" t="n">
        <f aca="false">SUMIFS(Permissions!$X$2:$X$3000,Permissions!$B$2:$B$3000,$A73,Permissions!$I$2:$I$3000,"Yes")</f>
        <v>74.1</v>
      </c>
      <c r="AI73" s="21" t="n">
        <f aca="false">SUMIFS(Permissions!$Y$2:$Y$3000,Permissions!$B$2:$B$3000,$A73,Permissions!$I$2:$I$3000,"Yes")</f>
        <v>70.4</v>
      </c>
      <c r="AJ73" s="19" t="n">
        <f aca="false">COUNTIFS(Permissions!$B$2:$B$3000,$A73,Permissions!$I$2:$I$3000,"Yes")</f>
        <v>1</v>
      </c>
      <c r="AK73" s="22" t="str">
        <f aca="false">IF(AND(N73&lt;&gt;"",X73&gt;1.1*N73),"Consented above capacity",IF(AND(LEFT(B73,8)="Planning",AJ73=0),"Consent parcel with no permission",IF(COUNTIF($A$2:$A$3000,$A73)&gt;1,"Duplicate parcel_id","")))</f>
        <v/>
      </c>
    </row>
    <row r="74" customFormat="false" ht="15" hidden="false" customHeight="false" outlineLevel="0" collapsed="false">
      <c r="A74" s="18" t="s">
        <v>207</v>
      </c>
      <c r="B74" s="18" t="s">
        <v>10</v>
      </c>
      <c r="C74" s="18" t="s">
        <v>15</v>
      </c>
      <c r="D74" s="18" t="n">
        <v>137</v>
      </c>
      <c r="E74" s="18" t="s">
        <v>203</v>
      </c>
      <c r="F74" s="18" t="s">
        <v>89</v>
      </c>
      <c r="G74" s="18" t="s">
        <v>203</v>
      </c>
      <c r="H74" s="18" t="s">
        <v>105</v>
      </c>
      <c r="I74" s="18" t="s">
        <v>92</v>
      </c>
      <c r="J74" s="18" t="s">
        <v>101</v>
      </c>
      <c r="K74" s="18" t="s">
        <v>115</v>
      </c>
      <c r="L74" s="18" t="n">
        <v>2.42</v>
      </c>
      <c r="M74" s="18" t="n">
        <v>2.42</v>
      </c>
      <c r="N74" s="18" t="n">
        <v>85</v>
      </c>
      <c r="O74" s="18" t="s">
        <v>95</v>
      </c>
      <c r="P74" s="18" t="s">
        <v>96</v>
      </c>
      <c r="Q74" s="18" t="s">
        <v>97</v>
      </c>
      <c r="R74" s="18" t="s">
        <v>98</v>
      </c>
      <c r="S74" s="18"/>
      <c r="T74" s="19" t="n">
        <f aca="false">SUMIFS(Permissions!$F$2:$F$3000,Permissions!$B$2:$B$3000,$A74,Permissions!$H$2:$H$3000,"Complete",Permissions!$I$2:$I$3000,"Yes")</f>
        <v>0</v>
      </c>
      <c r="U74" s="19" t="n">
        <f aca="false">SUMIFS(Permissions!$F$2:$F$3000,Permissions!$B$2:$B$3000,$A74,Permissions!$H$2:$H$3000,"Under construction",Permissions!$I$2:$I$3000,"Yes")</f>
        <v>0</v>
      </c>
      <c r="V74" s="19" t="n">
        <f aca="false">SUMIFS(Permissions!$F$2:$F$3000,Permissions!$B$2:$B$3000,$A74,Permissions!$H$2:$H$3000,"Permitted – not started",Permissions!$I$2:$I$3000,"Yes")</f>
        <v>0</v>
      </c>
      <c r="W74" s="19" t="n">
        <f aca="false">SUMIFS(Permissions!$F$2:$F$3000,Permissions!$B$2:$B$3000,$A74,Permissions!$H$2:$H$3000,"Stalled",Permissions!$I$2:$I$3000,"Yes")</f>
        <v>0</v>
      </c>
      <c r="X74" s="19" t="n">
        <f aca="false">T74+U74+V74+W74</f>
        <v>0</v>
      </c>
      <c r="Y74" s="19" t="n">
        <f aca="false">SUMIFS(Permissions!$F$2:$F$3000,Permissions!$B$2:$B$3000,$A74,Permissions!$H$2:$H$3000,"Expired – not started",Permissions!$I$2:$I$3000,"Yes")</f>
        <v>0</v>
      </c>
      <c r="Z74" s="19" t="n">
        <f aca="false">SUMIFS(Permissions!$F$2:$F$3000,Permissions!$B$2:$B$3000,$A74,Permissions!$H$2:$H$3000,"In planning",Permissions!$I$2:$I$3000,"Yes")</f>
        <v>0</v>
      </c>
      <c r="AA74" s="19" t="n">
        <f aca="false">IF(N74="",0,MAX(N74-X74,0))</f>
        <v>85</v>
      </c>
      <c r="AB74" s="20" t="n">
        <f aca="false">X74+AA74</f>
        <v>85</v>
      </c>
      <c r="AC74" s="19" t="n">
        <f aca="false">AB74-T74</f>
        <v>85</v>
      </c>
      <c r="AD74" s="21" t="n">
        <f aca="false">SUMIFS(Permissions!$T$2:$T$3000,Permissions!$B$2:$B$3000,$A74,Permissions!$I$2:$I$3000,"Yes")</f>
        <v>0</v>
      </c>
      <c r="AE74" s="21" t="n">
        <f aca="false">SUMIFS(Permissions!$U$2:$U$3000,Permissions!$B$2:$B$3000,$A74,Permissions!$I$2:$I$3000,"Yes")</f>
        <v>0</v>
      </c>
      <c r="AF74" s="21" t="n">
        <f aca="false">SUMIFS(Permissions!$V$2:$V$3000,Permissions!$B$2:$B$3000,$A74,Permissions!$I$2:$I$3000,"Yes")</f>
        <v>0</v>
      </c>
      <c r="AG74" s="21" t="n">
        <f aca="false">SUMIFS(Permissions!$W$2:$W$3000,Permissions!$B$2:$B$3000,$A74,Permissions!$I$2:$I$3000,"Yes")</f>
        <v>0</v>
      </c>
      <c r="AH74" s="21" t="n">
        <f aca="false">SUMIFS(Permissions!$X$2:$X$3000,Permissions!$B$2:$B$3000,$A74,Permissions!$I$2:$I$3000,"Yes")</f>
        <v>0</v>
      </c>
      <c r="AI74" s="21" t="n">
        <f aca="false">SUMIFS(Permissions!$Y$2:$Y$3000,Permissions!$B$2:$B$3000,$A74,Permissions!$I$2:$I$3000,"Yes")</f>
        <v>0</v>
      </c>
      <c r="AJ74" s="19" t="n">
        <f aca="false">COUNTIFS(Permissions!$B$2:$B$3000,$A74,Permissions!$I$2:$I$3000,"Yes")</f>
        <v>0</v>
      </c>
      <c r="AK74" s="22" t="str">
        <f aca="false">IF(AND(N74&lt;&gt;"",X74&gt;1.1*N74),"Consented above capacity",IF(AND(LEFT(B74,8)="Planning",AJ74=0),"Consent parcel with no permission",IF(COUNTIF($A$2:$A$3000,$A74)&gt;1,"Duplicate parcel_id","")))</f>
        <v/>
      </c>
    </row>
    <row r="75" customFormat="false" ht="15" hidden="false" customHeight="false" outlineLevel="0" collapsed="false">
      <c r="A75" s="18" t="s">
        <v>208</v>
      </c>
      <c r="B75" s="18" t="s">
        <v>10</v>
      </c>
      <c r="C75" s="18" t="s">
        <v>15</v>
      </c>
      <c r="D75" s="18" t="n">
        <v>139</v>
      </c>
      <c r="E75" s="18" t="s">
        <v>203</v>
      </c>
      <c r="F75" s="18" t="s">
        <v>89</v>
      </c>
      <c r="G75" s="18" t="s">
        <v>203</v>
      </c>
      <c r="H75" s="18" t="s">
        <v>91</v>
      </c>
      <c r="I75" s="18" t="s">
        <v>92</v>
      </c>
      <c r="J75" s="18" t="s">
        <v>93</v>
      </c>
      <c r="K75" s="18" t="s">
        <v>115</v>
      </c>
      <c r="L75" s="18" t="n">
        <v>0.285</v>
      </c>
      <c r="M75" s="18" t="n">
        <v>0.285</v>
      </c>
      <c r="N75" s="18" t="n">
        <v>10</v>
      </c>
      <c r="O75" s="18" t="s">
        <v>95</v>
      </c>
      <c r="P75" s="18" t="s">
        <v>96</v>
      </c>
      <c r="Q75" s="18" t="s">
        <v>97</v>
      </c>
      <c r="R75" s="18" t="s">
        <v>98</v>
      </c>
      <c r="S75" s="18"/>
      <c r="T75" s="19" t="n">
        <f aca="false">SUMIFS(Permissions!$F$2:$F$3000,Permissions!$B$2:$B$3000,$A75,Permissions!$H$2:$H$3000,"Complete",Permissions!$I$2:$I$3000,"Yes")</f>
        <v>0</v>
      </c>
      <c r="U75" s="19" t="n">
        <f aca="false">SUMIFS(Permissions!$F$2:$F$3000,Permissions!$B$2:$B$3000,$A75,Permissions!$H$2:$H$3000,"Under construction",Permissions!$I$2:$I$3000,"Yes")</f>
        <v>0</v>
      </c>
      <c r="V75" s="19" t="n">
        <f aca="false">SUMIFS(Permissions!$F$2:$F$3000,Permissions!$B$2:$B$3000,$A75,Permissions!$H$2:$H$3000,"Permitted – not started",Permissions!$I$2:$I$3000,"Yes")</f>
        <v>0</v>
      </c>
      <c r="W75" s="19" t="n">
        <f aca="false">SUMIFS(Permissions!$F$2:$F$3000,Permissions!$B$2:$B$3000,$A75,Permissions!$H$2:$H$3000,"Stalled",Permissions!$I$2:$I$3000,"Yes")</f>
        <v>0</v>
      </c>
      <c r="X75" s="19" t="n">
        <f aca="false">T75+U75+V75+W75</f>
        <v>0</v>
      </c>
      <c r="Y75" s="19" t="n">
        <f aca="false">SUMIFS(Permissions!$F$2:$F$3000,Permissions!$B$2:$B$3000,$A75,Permissions!$H$2:$H$3000,"Expired – not started",Permissions!$I$2:$I$3000,"Yes")</f>
        <v>0</v>
      </c>
      <c r="Z75" s="19" t="n">
        <f aca="false">SUMIFS(Permissions!$F$2:$F$3000,Permissions!$B$2:$B$3000,$A75,Permissions!$H$2:$H$3000,"In planning",Permissions!$I$2:$I$3000,"Yes")</f>
        <v>0</v>
      </c>
      <c r="AA75" s="19" t="n">
        <f aca="false">IF(N75="",0,MAX(N75-X75,0))</f>
        <v>10</v>
      </c>
      <c r="AB75" s="20" t="n">
        <f aca="false">X75+AA75</f>
        <v>10</v>
      </c>
      <c r="AC75" s="19" t="n">
        <f aca="false">AB75-T75</f>
        <v>10</v>
      </c>
      <c r="AD75" s="21" t="n">
        <f aca="false">SUMIFS(Permissions!$T$2:$T$3000,Permissions!$B$2:$B$3000,$A75,Permissions!$I$2:$I$3000,"Yes")</f>
        <v>0</v>
      </c>
      <c r="AE75" s="21" t="n">
        <f aca="false">SUMIFS(Permissions!$U$2:$U$3000,Permissions!$B$2:$B$3000,$A75,Permissions!$I$2:$I$3000,"Yes")</f>
        <v>0</v>
      </c>
      <c r="AF75" s="21" t="n">
        <f aca="false">SUMIFS(Permissions!$V$2:$V$3000,Permissions!$B$2:$B$3000,$A75,Permissions!$I$2:$I$3000,"Yes")</f>
        <v>0</v>
      </c>
      <c r="AG75" s="21" t="n">
        <f aca="false">SUMIFS(Permissions!$W$2:$W$3000,Permissions!$B$2:$B$3000,$A75,Permissions!$I$2:$I$3000,"Yes")</f>
        <v>0</v>
      </c>
      <c r="AH75" s="21" t="n">
        <f aca="false">SUMIFS(Permissions!$X$2:$X$3000,Permissions!$B$2:$B$3000,$A75,Permissions!$I$2:$I$3000,"Yes")</f>
        <v>0</v>
      </c>
      <c r="AI75" s="21" t="n">
        <f aca="false">SUMIFS(Permissions!$Y$2:$Y$3000,Permissions!$B$2:$B$3000,$A75,Permissions!$I$2:$I$3000,"Yes")</f>
        <v>0</v>
      </c>
      <c r="AJ75" s="19" t="n">
        <f aca="false">COUNTIFS(Permissions!$B$2:$B$3000,$A75,Permissions!$I$2:$I$3000,"Yes")</f>
        <v>0</v>
      </c>
      <c r="AK75" s="22" t="str">
        <f aca="false">IF(AND(N75&lt;&gt;"",X75&gt;1.1*N75),"Consented above capacity",IF(AND(LEFT(B75,8)="Planning",AJ75=0),"Consent parcel with no permission",IF(COUNTIF($A$2:$A$3000,$A75)&gt;1,"Duplicate parcel_id","")))</f>
        <v/>
      </c>
    </row>
    <row r="76" customFormat="false" ht="15" hidden="false" customHeight="false" outlineLevel="0" collapsed="false">
      <c r="A76" s="18" t="s">
        <v>209</v>
      </c>
      <c r="B76" s="18" t="s">
        <v>10</v>
      </c>
      <c r="C76" s="18" t="s">
        <v>15</v>
      </c>
      <c r="D76" s="18" t="n">
        <v>141</v>
      </c>
      <c r="E76" s="18" t="s">
        <v>203</v>
      </c>
      <c r="F76" s="18" t="s">
        <v>89</v>
      </c>
      <c r="G76" s="18" t="s">
        <v>203</v>
      </c>
      <c r="H76" s="18" t="s">
        <v>105</v>
      </c>
      <c r="I76" s="18" t="s">
        <v>92</v>
      </c>
      <c r="J76" s="18" t="s">
        <v>114</v>
      </c>
      <c r="K76" s="18" t="s">
        <v>115</v>
      </c>
      <c r="L76" s="18" t="n">
        <v>0.516</v>
      </c>
      <c r="M76" s="18" t="n">
        <v>0.517</v>
      </c>
      <c r="N76" s="18" t="n">
        <v>18</v>
      </c>
      <c r="O76" s="18" t="s">
        <v>95</v>
      </c>
      <c r="P76" s="18" t="s">
        <v>96</v>
      </c>
      <c r="Q76" s="18" t="s">
        <v>97</v>
      </c>
      <c r="R76" s="18" t="s">
        <v>98</v>
      </c>
      <c r="S76" s="18"/>
      <c r="T76" s="19" t="n">
        <f aca="false">SUMIFS(Permissions!$F$2:$F$3000,Permissions!$B$2:$B$3000,$A76,Permissions!$H$2:$H$3000,"Complete",Permissions!$I$2:$I$3000,"Yes")</f>
        <v>0</v>
      </c>
      <c r="U76" s="19" t="n">
        <f aca="false">SUMIFS(Permissions!$F$2:$F$3000,Permissions!$B$2:$B$3000,$A76,Permissions!$H$2:$H$3000,"Under construction",Permissions!$I$2:$I$3000,"Yes")</f>
        <v>0</v>
      </c>
      <c r="V76" s="19" t="n">
        <f aca="false">SUMIFS(Permissions!$F$2:$F$3000,Permissions!$B$2:$B$3000,$A76,Permissions!$H$2:$H$3000,"Permitted – not started",Permissions!$I$2:$I$3000,"Yes")</f>
        <v>0</v>
      </c>
      <c r="W76" s="19" t="n">
        <f aca="false">SUMIFS(Permissions!$F$2:$F$3000,Permissions!$B$2:$B$3000,$A76,Permissions!$H$2:$H$3000,"Stalled",Permissions!$I$2:$I$3000,"Yes")</f>
        <v>0</v>
      </c>
      <c r="X76" s="19" t="n">
        <f aca="false">T76+U76+V76+W76</f>
        <v>0</v>
      </c>
      <c r="Y76" s="19" t="n">
        <f aca="false">SUMIFS(Permissions!$F$2:$F$3000,Permissions!$B$2:$B$3000,$A76,Permissions!$H$2:$H$3000,"Expired – not started",Permissions!$I$2:$I$3000,"Yes")</f>
        <v>0</v>
      </c>
      <c r="Z76" s="19" t="n">
        <f aca="false">SUMIFS(Permissions!$F$2:$F$3000,Permissions!$B$2:$B$3000,$A76,Permissions!$H$2:$H$3000,"In planning",Permissions!$I$2:$I$3000,"Yes")</f>
        <v>0</v>
      </c>
      <c r="AA76" s="19" t="n">
        <f aca="false">IF(N76="",0,MAX(N76-X76,0))</f>
        <v>18</v>
      </c>
      <c r="AB76" s="20" t="n">
        <f aca="false">X76+AA76</f>
        <v>18</v>
      </c>
      <c r="AC76" s="19" t="n">
        <f aca="false">AB76-T76</f>
        <v>18</v>
      </c>
      <c r="AD76" s="21" t="n">
        <f aca="false">SUMIFS(Permissions!$T$2:$T$3000,Permissions!$B$2:$B$3000,$A76,Permissions!$I$2:$I$3000,"Yes")</f>
        <v>0</v>
      </c>
      <c r="AE76" s="21" t="n">
        <f aca="false">SUMIFS(Permissions!$U$2:$U$3000,Permissions!$B$2:$B$3000,$A76,Permissions!$I$2:$I$3000,"Yes")</f>
        <v>0</v>
      </c>
      <c r="AF76" s="21" t="n">
        <f aca="false">SUMIFS(Permissions!$V$2:$V$3000,Permissions!$B$2:$B$3000,$A76,Permissions!$I$2:$I$3000,"Yes")</f>
        <v>0</v>
      </c>
      <c r="AG76" s="21" t="n">
        <f aca="false">SUMIFS(Permissions!$W$2:$W$3000,Permissions!$B$2:$B$3000,$A76,Permissions!$I$2:$I$3000,"Yes")</f>
        <v>0</v>
      </c>
      <c r="AH76" s="21" t="n">
        <f aca="false">SUMIFS(Permissions!$X$2:$X$3000,Permissions!$B$2:$B$3000,$A76,Permissions!$I$2:$I$3000,"Yes")</f>
        <v>0</v>
      </c>
      <c r="AI76" s="21" t="n">
        <f aca="false">SUMIFS(Permissions!$Y$2:$Y$3000,Permissions!$B$2:$B$3000,$A76,Permissions!$I$2:$I$3000,"Yes")</f>
        <v>0</v>
      </c>
      <c r="AJ76" s="19" t="n">
        <f aca="false">COUNTIFS(Permissions!$B$2:$B$3000,$A76,Permissions!$I$2:$I$3000,"Yes")</f>
        <v>0</v>
      </c>
      <c r="AK76" s="22" t="str">
        <f aca="false">IF(AND(N76&lt;&gt;"",X76&gt;1.1*N76),"Consented above capacity",IF(AND(LEFT(B76,8)="Planning",AJ76=0),"Consent parcel with no permission",IF(COUNTIF($A$2:$A$3000,$A76)&gt;1,"Duplicate parcel_id","")))</f>
        <v/>
      </c>
    </row>
    <row r="77" customFormat="false" ht="15" hidden="false" customHeight="false" outlineLevel="0" collapsed="false">
      <c r="A77" s="18" t="s">
        <v>210</v>
      </c>
      <c r="B77" s="18" t="s">
        <v>10</v>
      </c>
      <c r="C77" s="18" t="s">
        <v>15</v>
      </c>
      <c r="D77" s="18" t="n">
        <v>142</v>
      </c>
      <c r="E77" s="18" t="s">
        <v>203</v>
      </c>
      <c r="F77" s="18" t="s">
        <v>89</v>
      </c>
      <c r="G77" s="18" t="s">
        <v>203</v>
      </c>
      <c r="H77" s="18" t="s">
        <v>105</v>
      </c>
      <c r="I77" s="18" t="s">
        <v>92</v>
      </c>
      <c r="J77" s="18" t="s">
        <v>101</v>
      </c>
      <c r="K77" s="18" t="s">
        <v>115</v>
      </c>
      <c r="L77" s="18" t="n">
        <v>4.121</v>
      </c>
      <c r="M77" s="18" t="n">
        <v>4.12</v>
      </c>
      <c r="N77" s="18" t="n">
        <v>144</v>
      </c>
      <c r="O77" s="18" t="s">
        <v>95</v>
      </c>
      <c r="P77" s="18" t="s">
        <v>96</v>
      </c>
      <c r="Q77" s="18" t="s">
        <v>97</v>
      </c>
      <c r="R77" s="18" t="s">
        <v>98</v>
      </c>
      <c r="S77" s="18"/>
      <c r="T77" s="19" t="n">
        <f aca="false">SUMIFS(Permissions!$F$2:$F$3000,Permissions!$B$2:$B$3000,$A77,Permissions!$H$2:$H$3000,"Complete",Permissions!$I$2:$I$3000,"Yes")</f>
        <v>0</v>
      </c>
      <c r="U77" s="19" t="n">
        <f aca="false">SUMIFS(Permissions!$F$2:$F$3000,Permissions!$B$2:$B$3000,$A77,Permissions!$H$2:$H$3000,"Under construction",Permissions!$I$2:$I$3000,"Yes")</f>
        <v>0</v>
      </c>
      <c r="V77" s="19" t="n">
        <f aca="false">SUMIFS(Permissions!$F$2:$F$3000,Permissions!$B$2:$B$3000,$A77,Permissions!$H$2:$H$3000,"Permitted – not started",Permissions!$I$2:$I$3000,"Yes")</f>
        <v>0</v>
      </c>
      <c r="W77" s="19" t="n">
        <f aca="false">SUMIFS(Permissions!$F$2:$F$3000,Permissions!$B$2:$B$3000,$A77,Permissions!$H$2:$H$3000,"Stalled",Permissions!$I$2:$I$3000,"Yes")</f>
        <v>0</v>
      </c>
      <c r="X77" s="19" t="n">
        <f aca="false">T77+U77+V77+W77</f>
        <v>0</v>
      </c>
      <c r="Y77" s="19" t="n">
        <f aca="false">SUMIFS(Permissions!$F$2:$F$3000,Permissions!$B$2:$B$3000,$A77,Permissions!$H$2:$H$3000,"Expired – not started",Permissions!$I$2:$I$3000,"Yes")</f>
        <v>0</v>
      </c>
      <c r="Z77" s="19" t="n">
        <f aca="false">SUMIFS(Permissions!$F$2:$F$3000,Permissions!$B$2:$B$3000,$A77,Permissions!$H$2:$H$3000,"In planning",Permissions!$I$2:$I$3000,"Yes")</f>
        <v>0</v>
      </c>
      <c r="AA77" s="19" t="n">
        <f aca="false">IF(N77="",0,MAX(N77-X77,0))</f>
        <v>144</v>
      </c>
      <c r="AB77" s="20" t="n">
        <f aca="false">X77+AA77</f>
        <v>144</v>
      </c>
      <c r="AC77" s="19" t="n">
        <f aca="false">AB77-T77</f>
        <v>144</v>
      </c>
      <c r="AD77" s="21" t="n">
        <f aca="false">SUMIFS(Permissions!$T$2:$T$3000,Permissions!$B$2:$B$3000,$A77,Permissions!$I$2:$I$3000,"Yes")</f>
        <v>0</v>
      </c>
      <c r="AE77" s="21" t="n">
        <f aca="false">SUMIFS(Permissions!$U$2:$U$3000,Permissions!$B$2:$B$3000,$A77,Permissions!$I$2:$I$3000,"Yes")</f>
        <v>0</v>
      </c>
      <c r="AF77" s="21" t="n">
        <f aca="false">SUMIFS(Permissions!$V$2:$V$3000,Permissions!$B$2:$B$3000,$A77,Permissions!$I$2:$I$3000,"Yes")</f>
        <v>0</v>
      </c>
      <c r="AG77" s="21" t="n">
        <f aca="false">SUMIFS(Permissions!$W$2:$W$3000,Permissions!$B$2:$B$3000,$A77,Permissions!$I$2:$I$3000,"Yes")</f>
        <v>0</v>
      </c>
      <c r="AH77" s="21" t="n">
        <f aca="false">SUMIFS(Permissions!$X$2:$X$3000,Permissions!$B$2:$B$3000,$A77,Permissions!$I$2:$I$3000,"Yes")</f>
        <v>0</v>
      </c>
      <c r="AI77" s="21" t="n">
        <f aca="false">SUMIFS(Permissions!$Y$2:$Y$3000,Permissions!$B$2:$B$3000,$A77,Permissions!$I$2:$I$3000,"Yes")</f>
        <v>0</v>
      </c>
      <c r="AJ77" s="19" t="n">
        <f aca="false">COUNTIFS(Permissions!$B$2:$B$3000,$A77,Permissions!$I$2:$I$3000,"Yes")</f>
        <v>0</v>
      </c>
      <c r="AK77" s="22" t="str">
        <f aca="false">IF(AND(N77&lt;&gt;"",X77&gt;1.1*N77),"Consented above capacity",IF(AND(LEFT(B77,8)="Planning",AJ77=0),"Consent parcel with no permission",IF(COUNTIF($A$2:$A$3000,$A77)&gt;1,"Duplicate parcel_id","")))</f>
        <v/>
      </c>
    </row>
    <row r="78" customFormat="false" ht="15" hidden="false" customHeight="false" outlineLevel="0" collapsed="false">
      <c r="A78" s="18" t="s">
        <v>211</v>
      </c>
      <c r="B78" s="18" t="s">
        <v>10</v>
      </c>
      <c r="C78" s="18" t="s">
        <v>15</v>
      </c>
      <c r="D78" s="18" t="n">
        <v>143</v>
      </c>
      <c r="E78" s="18" t="s">
        <v>203</v>
      </c>
      <c r="F78" s="18" t="s">
        <v>89</v>
      </c>
      <c r="G78" s="18" t="s">
        <v>203</v>
      </c>
      <c r="H78" s="18" t="s">
        <v>105</v>
      </c>
      <c r="I78" s="18" t="s">
        <v>92</v>
      </c>
      <c r="J78" s="18" t="s">
        <v>101</v>
      </c>
      <c r="K78" s="18" t="s">
        <v>115</v>
      </c>
      <c r="L78" s="18" t="n">
        <v>4.38</v>
      </c>
      <c r="M78" s="18" t="n">
        <v>4.441</v>
      </c>
      <c r="N78" s="18" t="n">
        <v>153</v>
      </c>
      <c r="O78" s="18" t="s">
        <v>95</v>
      </c>
      <c r="P78" s="18" t="s">
        <v>116</v>
      </c>
      <c r="Q78" s="18" t="s">
        <v>97</v>
      </c>
      <c r="R78" s="18" t="s">
        <v>98</v>
      </c>
      <c r="S78" s="18"/>
      <c r="T78" s="19" t="n">
        <f aca="false">SUMIFS(Permissions!$F$2:$F$3000,Permissions!$B$2:$B$3000,$A78,Permissions!$H$2:$H$3000,"Complete",Permissions!$I$2:$I$3000,"Yes")</f>
        <v>0</v>
      </c>
      <c r="U78" s="19" t="n">
        <f aca="false">SUMIFS(Permissions!$F$2:$F$3000,Permissions!$B$2:$B$3000,$A78,Permissions!$H$2:$H$3000,"Under construction",Permissions!$I$2:$I$3000,"Yes")</f>
        <v>0</v>
      </c>
      <c r="V78" s="19" t="n">
        <f aca="false">SUMIFS(Permissions!$F$2:$F$3000,Permissions!$B$2:$B$3000,$A78,Permissions!$H$2:$H$3000,"Permitted – not started",Permissions!$I$2:$I$3000,"Yes")</f>
        <v>139</v>
      </c>
      <c r="W78" s="19" t="n">
        <f aca="false">SUMIFS(Permissions!$F$2:$F$3000,Permissions!$B$2:$B$3000,$A78,Permissions!$H$2:$H$3000,"Stalled",Permissions!$I$2:$I$3000,"Yes")</f>
        <v>0</v>
      </c>
      <c r="X78" s="19" t="n">
        <f aca="false">T78+U78+V78+W78</f>
        <v>139</v>
      </c>
      <c r="Y78" s="19" t="n">
        <f aca="false">SUMIFS(Permissions!$F$2:$F$3000,Permissions!$B$2:$B$3000,$A78,Permissions!$H$2:$H$3000,"Expired – not started",Permissions!$I$2:$I$3000,"Yes")</f>
        <v>0</v>
      </c>
      <c r="Z78" s="19" t="n">
        <f aca="false">SUMIFS(Permissions!$F$2:$F$3000,Permissions!$B$2:$B$3000,$A78,Permissions!$H$2:$H$3000,"In planning",Permissions!$I$2:$I$3000,"Yes")</f>
        <v>0</v>
      </c>
      <c r="AA78" s="19" t="n">
        <f aca="false">IF(N78="",0,MAX(N78-X78,0))</f>
        <v>14</v>
      </c>
      <c r="AB78" s="20" t="n">
        <f aca="false">X78+AA78</f>
        <v>153</v>
      </c>
      <c r="AC78" s="19" t="n">
        <f aca="false">AB78-T78</f>
        <v>153</v>
      </c>
      <c r="AD78" s="21" t="n">
        <f aca="false">SUMIFS(Permissions!$T$2:$T$3000,Permissions!$B$2:$B$3000,$A78,Permissions!$I$2:$I$3000,"Yes")</f>
        <v>0</v>
      </c>
      <c r="AE78" s="21" t="n">
        <f aca="false">SUMIFS(Permissions!$U$2:$U$3000,Permissions!$B$2:$B$3000,$A78,Permissions!$I$2:$I$3000,"Yes")</f>
        <v>0</v>
      </c>
      <c r="AF78" s="21" t="n">
        <f aca="false">SUMIFS(Permissions!$V$2:$V$3000,Permissions!$B$2:$B$3000,$A78,Permissions!$I$2:$I$3000,"Yes")</f>
        <v>43.2</v>
      </c>
      <c r="AG78" s="21" t="n">
        <f aca="false">SUMIFS(Permissions!$W$2:$W$3000,Permissions!$B$2:$B$3000,$A78,Permissions!$I$2:$I$3000,"Yes")</f>
        <v>78.7</v>
      </c>
      <c r="AH78" s="21" t="n">
        <f aca="false">SUMIFS(Permissions!$X$2:$X$3000,Permissions!$B$2:$B$3000,$A78,Permissions!$I$2:$I$3000,"Yes")</f>
        <v>17</v>
      </c>
      <c r="AI78" s="21" t="n">
        <f aca="false">SUMIFS(Permissions!$Y$2:$Y$3000,Permissions!$B$2:$B$3000,$A78,Permissions!$I$2:$I$3000,"Yes")</f>
        <v>0.1</v>
      </c>
      <c r="AJ78" s="19" t="n">
        <f aca="false">COUNTIFS(Permissions!$B$2:$B$3000,$A78,Permissions!$I$2:$I$3000,"Yes")</f>
        <v>1</v>
      </c>
      <c r="AK78" s="22" t="str">
        <f aca="false">IF(AND(N78&lt;&gt;"",X78&gt;1.1*N78),"Consented above capacity",IF(AND(LEFT(B78,8)="Planning",AJ78=0),"Consent parcel with no permission",IF(COUNTIF($A$2:$A$3000,$A78)&gt;1,"Duplicate parcel_id","")))</f>
        <v/>
      </c>
    </row>
    <row r="79" customFormat="false" ht="15" hidden="false" customHeight="false" outlineLevel="0" collapsed="false">
      <c r="A79" s="18" t="s">
        <v>212</v>
      </c>
      <c r="B79" s="18" t="s">
        <v>10</v>
      </c>
      <c r="C79" s="18" t="s">
        <v>15</v>
      </c>
      <c r="D79" s="18" t="n">
        <v>144</v>
      </c>
      <c r="E79" s="18" t="s">
        <v>203</v>
      </c>
      <c r="F79" s="18" t="s">
        <v>89</v>
      </c>
      <c r="G79" s="18" t="s">
        <v>203</v>
      </c>
      <c r="H79" s="18" t="s">
        <v>91</v>
      </c>
      <c r="I79" s="18" t="s">
        <v>92</v>
      </c>
      <c r="J79" s="18" t="s">
        <v>114</v>
      </c>
      <c r="K79" s="18" t="s">
        <v>115</v>
      </c>
      <c r="L79" s="18" t="n">
        <v>31.95</v>
      </c>
      <c r="M79" s="18" t="n">
        <v>32.358</v>
      </c>
      <c r="N79" s="18" t="n">
        <v>1747</v>
      </c>
      <c r="O79" s="18" t="s">
        <v>95</v>
      </c>
      <c r="P79" s="18" t="s">
        <v>96</v>
      </c>
      <c r="Q79" s="18" t="s">
        <v>97</v>
      </c>
      <c r="R79" s="18" t="s">
        <v>98</v>
      </c>
      <c r="S79" s="18"/>
      <c r="T79" s="19" t="n">
        <f aca="false">SUMIFS(Permissions!$F$2:$F$3000,Permissions!$B$2:$B$3000,$A79,Permissions!$H$2:$H$3000,"Complete",Permissions!$I$2:$I$3000,"Yes")</f>
        <v>0</v>
      </c>
      <c r="U79" s="19" t="n">
        <f aca="false">SUMIFS(Permissions!$F$2:$F$3000,Permissions!$B$2:$B$3000,$A79,Permissions!$H$2:$H$3000,"Under construction",Permissions!$I$2:$I$3000,"Yes")</f>
        <v>0</v>
      </c>
      <c r="V79" s="19" t="n">
        <f aca="false">SUMIFS(Permissions!$F$2:$F$3000,Permissions!$B$2:$B$3000,$A79,Permissions!$H$2:$H$3000,"Permitted – not started",Permissions!$I$2:$I$3000,"Yes")</f>
        <v>351</v>
      </c>
      <c r="W79" s="19" t="n">
        <f aca="false">SUMIFS(Permissions!$F$2:$F$3000,Permissions!$B$2:$B$3000,$A79,Permissions!$H$2:$H$3000,"Stalled",Permissions!$I$2:$I$3000,"Yes")</f>
        <v>0</v>
      </c>
      <c r="X79" s="19" t="n">
        <f aca="false">T79+U79+V79+W79</f>
        <v>351</v>
      </c>
      <c r="Y79" s="19" t="n">
        <f aca="false">SUMIFS(Permissions!$F$2:$F$3000,Permissions!$B$2:$B$3000,$A79,Permissions!$H$2:$H$3000,"Expired – not started",Permissions!$I$2:$I$3000,"Yes")</f>
        <v>0</v>
      </c>
      <c r="Z79" s="19" t="n">
        <f aca="false">SUMIFS(Permissions!$F$2:$F$3000,Permissions!$B$2:$B$3000,$A79,Permissions!$H$2:$H$3000,"In planning",Permissions!$I$2:$I$3000,"Yes")</f>
        <v>0</v>
      </c>
      <c r="AA79" s="19" t="n">
        <f aca="false">IF(N79="",0,MAX(N79-X79,0))</f>
        <v>1396</v>
      </c>
      <c r="AB79" s="20" t="n">
        <f aca="false">X79+AA79</f>
        <v>1747</v>
      </c>
      <c r="AC79" s="19" t="n">
        <f aca="false">AB79-T79</f>
        <v>1747</v>
      </c>
      <c r="AD79" s="21" t="n">
        <f aca="false">SUMIFS(Permissions!$T$2:$T$3000,Permissions!$B$2:$B$3000,$A79,Permissions!$I$2:$I$3000,"Yes")</f>
        <v>0</v>
      </c>
      <c r="AE79" s="21" t="n">
        <f aca="false">SUMIFS(Permissions!$U$2:$U$3000,Permissions!$B$2:$B$3000,$A79,Permissions!$I$2:$I$3000,"Yes")</f>
        <v>0</v>
      </c>
      <c r="AF79" s="21" t="n">
        <f aca="false">SUMIFS(Permissions!$V$2:$V$3000,Permissions!$B$2:$B$3000,$A79,Permissions!$I$2:$I$3000,"Yes")</f>
        <v>0</v>
      </c>
      <c r="AG79" s="21" t="n">
        <f aca="false">SUMIFS(Permissions!$W$2:$W$3000,Permissions!$B$2:$B$3000,$A79,Permissions!$I$2:$I$3000,"Yes")</f>
        <v>90.1</v>
      </c>
      <c r="AH79" s="21" t="n">
        <f aca="false">SUMIFS(Permissions!$X$2:$X$3000,Permissions!$B$2:$B$3000,$A79,Permissions!$I$2:$I$3000,"Yes")</f>
        <v>140.9</v>
      </c>
      <c r="AI79" s="21" t="n">
        <f aca="false">SUMIFS(Permissions!$Y$2:$Y$3000,Permissions!$B$2:$B$3000,$A79,Permissions!$I$2:$I$3000,"Yes")</f>
        <v>120</v>
      </c>
      <c r="AJ79" s="19" t="n">
        <f aca="false">COUNTIFS(Permissions!$B$2:$B$3000,$A79,Permissions!$I$2:$I$3000,"Yes")</f>
        <v>2</v>
      </c>
      <c r="AK79" s="22" t="str">
        <f aca="false">IF(AND(N79&lt;&gt;"",X79&gt;1.1*N79),"Consented above capacity",IF(AND(LEFT(B79,8)="Planning",AJ79=0),"Consent parcel with no permission",IF(COUNTIF($A$2:$A$3000,$A79)&gt;1,"Duplicate parcel_id","")))</f>
        <v/>
      </c>
    </row>
    <row r="80" customFormat="false" ht="15" hidden="false" customHeight="false" outlineLevel="0" collapsed="false">
      <c r="A80" s="18" t="s">
        <v>213</v>
      </c>
      <c r="B80" s="18" t="s">
        <v>10</v>
      </c>
      <c r="C80" s="18" t="s">
        <v>15</v>
      </c>
      <c r="D80" s="18" t="n">
        <v>145</v>
      </c>
      <c r="E80" s="18" t="s">
        <v>203</v>
      </c>
      <c r="F80" s="18" t="s">
        <v>89</v>
      </c>
      <c r="G80" s="18" t="s">
        <v>203</v>
      </c>
      <c r="H80" s="18" t="s">
        <v>91</v>
      </c>
      <c r="I80" s="18" t="s">
        <v>92</v>
      </c>
      <c r="J80" s="18" t="s">
        <v>114</v>
      </c>
      <c r="K80" s="18" t="s">
        <v>115</v>
      </c>
      <c r="L80" s="18" t="n">
        <v>1.326</v>
      </c>
      <c r="M80" s="18" t="n">
        <v>1.326</v>
      </c>
      <c r="N80" s="18" t="n">
        <v>46</v>
      </c>
      <c r="O80" s="18" t="s">
        <v>95</v>
      </c>
      <c r="P80" s="18" t="s">
        <v>96</v>
      </c>
      <c r="Q80" s="18" t="s">
        <v>97</v>
      </c>
      <c r="R80" s="18" t="s">
        <v>98</v>
      </c>
      <c r="S80" s="18"/>
      <c r="T80" s="19" t="n">
        <f aca="false">SUMIFS(Permissions!$F$2:$F$3000,Permissions!$B$2:$B$3000,$A80,Permissions!$H$2:$H$3000,"Complete",Permissions!$I$2:$I$3000,"Yes")</f>
        <v>0</v>
      </c>
      <c r="U80" s="19" t="n">
        <f aca="false">SUMIFS(Permissions!$F$2:$F$3000,Permissions!$B$2:$B$3000,$A80,Permissions!$H$2:$H$3000,"Under construction",Permissions!$I$2:$I$3000,"Yes")</f>
        <v>0</v>
      </c>
      <c r="V80" s="19" t="n">
        <f aca="false">SUMIFS(Permissions!$F$2:$F$3000,Permissions!$B$2:$B$3000,$A80,Permissions!$H$2:$H$3000,"Permitted – not started",Permissions!$I$2:$I$3000,"Yes")</f>
        <v>0</v>
      </c>
      <c r="W80" s="19" t="n">
        <f aca="false">SUMIFS(Permissions!$F$2:$F$3000,Permissions!$B$2:$B$3000,$A80,Permissions!$H$2:$H$3000,"Stalled",Permissions!$I$2:$I$3000,"Yes")</f>
        <v>0</v>
      </c>
      <c r="X80" s="19" t="n">
        <f aca="false">T80+U80+V80+W80</f>
        <v>0</v>
      </c>
      <c r="Y80" s="19" t="n">
        <f aca="false">SUMIFS(Permissions!$F$2:$F$3000,Permissions!$B$2:$B$3000,$A80,Permissions!$H$2:$H$3000,"Expired – not started",Permissions!$I$2:$I$3000,"Yes")</f>
        <v>0</v>
      </c>
      <c r="Z80" s="19" t="n">
        <f aca="false">SUMIFS(Permissions!$F$2:$F$3000,Permissions!$B$2:$B$3000,$A80,Permissions!$H$2:$H$3000,"In planning",Permissions!$I$2:$I$3000,"Yes")</f>
        <v>0</v>
      </c>
      <c r="AA80" s="19" t="n">
        <f aca="false">IF(N80="",0,MAX(N80-X80,0))</f>
        <v>46</v>
      </c>
      <c r="AB80" s="20" t="n">
        <f aca="false">X80+AA80</f>
        <v>46</v>
      </c>
      <c r="AC80" s="19" t="n">
        <f aca="false">AB80-T80</f>
        <v>46</v>
      </c>
      <c r="AD80" s="21" t="n">
        <f aca="false">SUMIFS(Permissions!$T$2:$T$3000,Permissions!$B$2:$B$3000,$A80,Permissions!$I$2:$I$3000,"Yes")</f>
        <v>0</v>
      </c>
      <c r="AE80" s="21" t="n">
        <f aca="false">SUMIFS(Permissions!$U$2:$U$3000,Permissions!$B$2:$B$3000,$A80,Permissions!$I$2:$I$3000,"Yes")</f>
        <v>0</v>
      </c>
      <c r="AF80" s="21" t="n">
        <f aca="false">SUMIFS(Permissions!$V$2:$V$3000,Permissions!$B$2:$B$3000,$A80,Permissions!$I$2:$I$3000,"Yes")</f>
        <v>0</v>
      </c>
      <c r="AG80" s="21" t="n">
        <f aca="false">SUMIFS(Permissions!$W$2:$W$3000,Permissions!$B$2:$B$3000,$A80,Permissions!$I$2:$I$3000,"Yes")</f>
        <v>0</v>
      </c>
      <c r="AH80" s="21" t="n">
        <f aca="false">SUMIFS(Permissions!$X$2:$X$3000,Permissions!$B$2:$B$3000,$A80,Permissions!$I$2:$I$3000,"Yes")</f>
        <v>0</v>
      </c>
      <c r="AI80" s="21" t="n">
        <f aca="false">SUMIFS(Permissions!$Y$2:$Y$3000,Permissions!$B$2:$B$3000,$A80,Permissions!$I$2:$I$3000,"Yes")</f>
        <v>0</v>
      </c>
      <c r="AJ80" s="19" t="n">
        <f aca="false">COUNTIFS(Permissions!$B$2:$B$3000,$A80,Permissions!$I$2:$I$3000,"Yes")</f>
        <v>0</v>
      </c>
      <c r="AK80" s="22" t="str">
        <f aca="false">IF(AND(N80&lt;&gt;"",X80&gt;1.1*N80),"Consented above capacity",IF(AND(LEFT(B80,8)="Planning",AJ80=0),"Consent parcel with no permission",IF(COUNTIF($A$2:$A$3000,$A80)&gt;1,"Duplicate parcel_id","")))</f>
        <v/>
      </c>
    </row>
    <row r="81" customFormat="false" ht="15" hidden="false" customHeight="false" outlineLevel="0" collapsed="false">
      <c r="A81" s="18" t="s">
        <v>214</v>
      </c>
      <c r="B81" s="18" t="s">
        <v>10</v>
      </c>
      <c r="C81" s="18" t="s">
        <v>15</v>
      </c>
      <c r="D81" s="18" t="n">
        <v>146</v>
      </c>
      <c r="E81" s="18" t="s">
        <v>203</v>
      </c>
      <c r="F81" s="18" t="s">
        <v>89</v>
      </c>
      <c r="G81" s="18" t="s">
        <v>203</v>
      </c>
      <c r="H81" s="18" t="s">
        <v>91</v>
      </c>
      <c r="I81" s="18" t="s">
        <v>92</v>
      </c>
      <c r="J81" s="18" t="s">
        <v>114</v>
      </c>
      <c r="K81" s="18" t="s">
        <v>115</v>
      </c>
      <c r="L81" s="18" t="n">
        <v>0.632</v>
      </c>
      <c r="M81" s="18" t="n">
        <v>0.632</v>
      </c>
      <c r="N81" s="18" t="n">
        <v>22</v>
      </c>
      <c r="O81" s="18" t="s">
        <v>95</v>
      </c>
      <c r="P81" s="18" t="s">
        <v>96</v>
      </c>
      <c r="Q81" s="18" t="s">
        <v>97</v>
      </c>
      <c r="R81" s="18" t="s">
        <v>98</v>
      </c>
      <c r="S81" s="18"/>
      <c r="T81" s="19" t="n">
        <f aca="false">SUMIFS(Permissions!$F$2:$F$3000,Permissions!$B$2:$B$3000,$A81,Permissions!$H$2:$H$3000,"Complete",Permissions!$I$2:$I$3000,"Yes")</f>
        <v>0</v>
      </c>
      <c r="U81" s="19" t="n">
        <f aca="false">SUMIFS(Permissions!$F$2:$F$3000,Permissions!$B$2:$B$3000,$A81,Permissions!$H$2:$H$3000,"Under construction",Permissions!$I$2:$I$3000,"Yes")</f>
        <v>0</v>
      </c>
      <c r="V81" s="19" t="n">
        <f aca="false">SUMIFS(Permissions!$F$2:$F$3000,Permissions!$B$2:$B$3000,$A81,Permissions!$H$2:$H$3000,"Permitted – not started",Permissions!$I$2:$I$3000,"Yes")</f>
        <v>0</v>
      </c>
      <c r="W81" s="19" t="n">
        <f aca="false">SUMIFS(Permissions!$F$2:$F$3000,Permissions!$B$2:$B$3000,$A81,Permissions!$H$2:$H$3000,"Stalled",Permissions!$I$2:$I$3000,"Yes")</f>
        <v>0</v>
      </c>
      <c r="X81" s="19" t="n">
        <f aca="false">T81+U81+V81+W81</f>
        <v>0</v>
      </c>
      <c r="Y81" s="19" t="n">
        <f aca="false">SUMIFS(Permissions!$F$2:$F$3000,Permissions!$B$2:$B$3000,$A81,Permissions!$H$2:$H$3000,"Expired – not started",Permissions!$I$2:$I$3000,"Yes")</f>
        <v>0</v>
      </c>
      <c r="Z81" s="19" t="n">
        <f aca="false">SUMIFS(Permissions!$F$2:$F$3000,Permissions!$B$2:$B$3000,$A81,Permissions!$H$2:$H$3000,"In planning",Permissions!$I$2:$I$3000,"Yes")</f>
        <v>0</v>
      </c>
      <c r="AA81" s="19" t="n">
        <f aca="false">IF(N81="",0,MAX(N81-X81,0))</f>
        <v>22</v>
      </c>
      <c r="AB81" s="20" t="n">
        <f aca="false">X81+AA81</f>
        <v>22</v>
      </c>
      <c r="AC81" s="19" t="n">
        <f aca="false">AB81-T81</f>
        <v>22</v>
      </c>
      <c r="AD81" s="21" t="n">
        <f aca="false">SUMIFS(Permissions!$T$2:$T$3000,Permissions!$B$2:$B$3000,$A81,Permissions!$I$2:$I$3000,"Yes")</f>
        <v>0</v>
      </c>
      <c r="AE81" s="21" t="n">
        <f aca="false">SUMIFS(Permissions!$U$2:$U$3000,Permissions!$B$2:$B$3000,$A81,Permissions!$I$2:$I$3000,"Yes")</f>
        <v>0</v>
      </c>
      <c r="AF81" s="21" t="n">
        <f aca="false">SUMIFS(Permissions!$V$2:$V$3000,Permissions!$B$2:$B$3000,$A81,Permissions!$I$2:$I$3000,"Yes")</f>
        <v>0</v>
      </c>
      <c r="AG81" s="21" t="n">
        <f aca="false">SUMIFS(Permissions!$W$2:$W$3000,Permissions!$B$2:$B$3000,$A81,Permissions!$I$2:$I$3000,"Yes")</f>
        <v>0</v>
      </c>
      <c r="AH81" s="21" t="n">
        <f aca="false">SUMIFS(Permissions!$X$2:$X$3000,Permissions!$B$2:$B$3000,$A81,Permissions!$I$2:$I$3000,"Yes")</f>
        <v>0</v>
      </c>
      <c r="AI81" s="21" t="n">
        <f aca="false">SUMIFS(Permissions!$Y$2:$Y$3000,Permissions!$B$2:$B$3000,$A81,Permissions!$I$2:$I$3000,"Yes")</f>
        <v>0</v>
      </c>
      <c r="AJ81" s="19" t="n">
        <f aca="false">COUNTIFS(Permissions!$B$2:$B$3000,$A81,Permissions!$I$2:$I$3000,"Yes")</f>
        <v>0</v>
      </c>
      <c r="AK81" s="22" t="str">
        <f aca="false">IF(AND(N81&lt;&gt;"",X81&gt;1.1*N81),"Consented above capacity",IF(AND(LEFT(B81,8)="Planning",AJ81=0),"Consent parcel with no permission",IF(COUNTIF($A$2:$A$3000,$A81)&gt;1,"Duplicate parcel_id","")))</f>
        <v/>
      </c>
    </row>
    <row r="82" customFormat="false" ht="15" hidden="false" customHeight="false" outlineLevel="0" collapsed="false">
      <c r="A82" s="18" t="s">
        <v>215</v>
      </c>
      <c r="B82" s="18" t="s">
        <v>10</v>
      </c>
      <c r="C82" s="18" t="s">
        <v>15</v>
      </c>
      <c r="D82" s="18" t="n">
        <v>147</v>
      </c>
      <c r="E82" s="18" t="s">
        <v>203</v>
      </c>
      <c r="F82" s="18" t="s">
        <v>89</v>
      </c>
      <c r="G82" s="18" t="s">
        <v>203</v>
      </c>
      <c r="H82" s="18" t="s">
        <v>119</v>
      </c>
      <c r="I82" s="18" t="s">
        <v>136</v>
      </c>
      <c r="J82" s="18" t="s">
        <v>101</v>
      </c>
      <c r="K82" s="18" t="s">
        <v>115</v>
      </c>
      <c r="L82" s="18" t="n">
        <v>0.26</v>
      </c>
      <c r="M82" s="18" t="n">
        <v>1.038</v>
      </c>
      <c r="N82" s="18" t="n">
        <v>9</v>
      </c>
      <c r="O82" s="18" t="s">
        <v>95</v>
      </c>
      <c r="P82" s="18" t="s">
        <v>116</v>
      </c>
      <c r="Q82" s="18" t="s">
        <v>97</v>
      </c>
      <c r="R82" s="18" t="s">
        <v>98</v>
      </c>
      <c r="S82" s="18"/>
      <c r="T82" s="19" t="n">
        <f aca="false">SUMIFS(Permissions!$F$2:$F$3000,Permissions!$B$2:$B$3000,$A82,Permissions!$H$2:$H$3000,"Complete",Permissions!$I$2:$I$3000,"Yes")</f>
        <v>0</v>
      </c>
      <c r="U82" s="19" t="n">
        <f aca="false">SUMIFS(Permissions!$F$2:$F$3000,Permissions!$B$2:$B$3000,$A82,Permissions!$H$2:$H$3000,"Under construction",Permissions!$I$2:$I$3000,"Yes")</f>
        <v>0</v>
      </c>
      <c r="V82" s="19" t="n">
        <f aca="false">SUMIFS(Permissions!$F$2:$F$3000,Permissions!$B$2:$B$3000,$A82,Permissions!$H$2:$H$3000,"Permitted – not started",Permissions!$I$2:$I$3000,"Yes")</f>
        <v>0</v>
      </c>
      <c r="W82" s="19" t="n">
        <f aca="false">SUMIFS(Permissions!$F$2:$F$3000,Permissions!$B$2:$B$3000,$A82,Permissions!$H$2:$H$3000,"Stalled",Permissions!$I$2:$I$3000,"Yes")</f>
        <v>0</v>
      </c>
      <c r="X82" s="19" t="n">
        <f aca="false">T82+U82+V82+W82</f>
        <v>0</v>
      </c>
      <c r="Y82" s="19" t="n">
        <f aca="false">SUMIFS(Permissions!$F$2:$F$3000,Permissions!$B$2:$B$3000,$A82,Permissions!$H$2:$H$3000,"Expired – not started",Permissions!$I$2:$I$3000,"Yes")</f>
        <v>0</v>
      </c>
      <c r="Z82" s="19" t="n">
        <f aca="false">SUMIFS(Permissions!$F$2:$F$3000,Permissions!$B$2:$B$3000,$A82,Permissions!$H$2:$H$3000,"In planning",Permissions!$I$2:$I$3000,"Yes")</f>
        <v>0</v>
      </c>
      <c r="AA82" s="19" t="n">
        <f aca="false">IF(N82="",0,MAX(N82-X82,0))</f>
        <v>9</v>
      </c>
      <c r="AB82" s="20" t="n">
        <f aca="false">X82+AA82</f>
        <v>9</v>
      </c>
      <c r="AC82" s="19" t="n">
        <f aca="false">AB82-T82</f>
        <v>9</v>
      </c>
      <c r="AD82" s="21" t="n">
        <f aca="false">SUMIFS(Permissions!$T$2:$T$3000,Permissions!$B$2:$B$3000,$A82,Permissions!$I$2:$I$3000,"Yes")</f>
        <v>0</v>
      </c>
      <c r="AE82" s="21" t="n">
        <f aca="false">SUMIFS(Permissions!$U$2:$U$3000,Permissions!$B$2:$B$3000,$A82,Permissions!$I$2:$I$3000,"Yes")</f>
        <v>0</v>
      </c>
      <c r="AF82" s="21" t="n">
        <f aca="false">SUMIFS(Permissions!$V$2:$V$3000,Permissions!$B$2:$B$3000,$A82,Permissions!$I$2:$I$3000,"Yes")</f>
        <v>0</v>
      </c>
      <c r="AG82" s="21" t="n">
        <f aca="false">SUMIFS(Permissions!$W$2:$W$3000,Permissions!$B$2:$B$3000,$A82,Permissions!$I$2:$I$3000,"Yes")</f>
        <v>0</v>
      </c>
      <c r="AH82" s="21" t="n">
        <f aca="false">SUMIFS(Permissions!$X$2:$X$3000,Permissions!$B$2:$B$3000,$A82,Permissions!$I$2:$I$3000,"Yes")</f>
        <v>0</v>
      </c>
      <c r="AI82" s="21" t="n">
        <f aca="false">SUMIFS(Permissions!$Y$2:$Y$3000,Permissions!$B$2:$B$3000,$A82,Permissions!$I$2:$I$3000,"Yes")</f>
        <v>0</v>
      </c>
      <c r="AJ82" s="19" t="n">
        <f aca="false">COUNTIFS(Permissions!$B$2:$B$3000,$A82,Permissions!$I$2:$I$3000,"Yes")</f>
        <v>0</v>
      </c>
      <c r="AK82" s="22" t="str">
        <f aca="false">IF(AND(N82&lt;&gt;"",X82&gt;1.1*N82),"Consented above capacity",IF(AND(LEFT(B82,8)="Planning",AJ82=0),"Consent parcel with no permission",IF(COUNTIF($A$2:$A$3000,$A82)&gt;1,"Duplicate parcel_id","")))</f>
        <v/>
      </c>
    </row>
    <row r="83" customFormat="false" ht="15" hidden="false" customHeight="false" outlineLevel="0" collapsed="false">
      <c r="A83" s="18" t="s">
        <v>216</v>
      </c>
      <c r="B83" s="18" t="s">
        <v>10</v>
      </c>
      <c r="C83" s="18" t="s">
        <v>15</v>
      </c>
      <c r="D83" s="18" t="n">
        <v>148</v>
      </c>
      <c r="E83" s="18" t="s">
        <v>203</v>
      </c>
      <c r="F83" s="18" t="s">
        <v>89</v>
      </c>
      <c r="G83" s="18" t="s">
        <v>203</v>
      </c>
      <c r="H83" s="18" t="s">
        <v>91</v>
      </c>
      <c r="I83" s="18" t="s">
        <v>92</v>
      </c>
      <c r="J83" s="18" t="s">
        <v>114</v>
      </c>
      <c r="K83" s="18" t="s">
        <v>115</v>
      </c>
      <c r="L83" s="18" t="n">
        <v>5.065</v>
      </c>
      <c r="M83" s="18" t="n">
        <v>5.063</v>
      </c>
      <c r="N83" s="18" t="n">
        <v>253</v>
      </c>
      <c r="O83" s="18" t="s">
        <v>95</v>
      </c>
      <c r="P83" s="18" t="s">
        <v>116</v>
      </c>
      <c r="Q83" s="18" t="s">
        <v>97</v>
      </c>
      <c r="R83" s="18" t="s">
        <v>98</v>
      </c>
      <c r="S83" s="18"/>
      <c r="T83" s="19" t="n">
        <f aca="false">SUMIFS(Permissions!$F$2:$F$3000,Permissions!$B$2:$B$3000,$A83,Permissions!$H$2:$H$3000,"Complete",Permissions!$I$2:$I$3000,"Yes")</f>
        <v>0</v>
      </c>
      <c r="U83" s="19" t="n">
        <f aca="false">SUMIFS(Permissions!$F$2:$F$3000,Permissions!$B$2:$B$3000,$A83,Permissions!$H$2:$H$3000,"Under construction",Permissions!$I$2:$I$3000,"Yes")</f>
        <v>0</v>
      </c>
      <c r="V83" s="19" t="n">
        <f aca="false">SUMIFS(Permissions!$F$2:$F$3000,Permissions!$B$2:$B$3000,$A83,Permissions!$H$2:$H$3000,"Permitted – not started",Permissions!$I$2:$I$3000,"Yes")</f>
        <v>0</v>
      </c>
      <c r="W83" s="19" t="n">
        <f aca="false">SUMIFS(Permissions!$F$2:$F$3000,Permissions!$B$2:$B$3000,$A83,Permissions!$H$2:$H$3000,"Stalled",Permissions!$I$2:$I$3000,"Yes")</f>
        <v>0</v>
      </c>
      <c r="X83" s="19" t="n">
        <f aca="false">T83+U83+V83+W83</f>
        <v>0</v>
      </c>
      <c r="Y83" s="19" t="n">
        <f aca="false">SUMIFS(Permissions!$F$2:$F$3000,Permissions!$B$2:$B$3000,$A83,Permissions!$H$2:$H$3000,"Expired – not started",Permissions!$I$2:$I$3000,"Yes")</f>
        <v>0</v>
      </c>
      <c r="Z83" s="19" t="n">
        <f aca="false">SUMIFS(Permissions!$F$2:$F$3000,Permissions!$B$2:$B$3000,$A83,Permissions!$H$2:$H$3000,"In planning",Permissions!$I$2:$I$3000,"Yes")</f>
        <v>0</v>
      </c>
      <c r="AA83" s="19" t="n">
        <f aca="false">IF(N83="",0,MAX(N83-X83,0))</f>
        <v>253</v>
      </c>
      <c r="AB83" s="20" t="n">
        <f aca="false">X83+AA83</f>
        <v>253</v>
      </c>
      <c r="AC83" s="19" t="n">
        <f aca="false">AB83-T83</f>
        <v>253</v>
      </c>
      <c r="AD83" s="21" t="n">
        <f aca="false">SUMIFS(Permissions!$T$2:$T$3000,Permissions!$B$2:$B$3000,$A83,Permissions!$I$2:$I$3000,"Yes")</f>
        <v>0</v>
      </c>
      <c r="AE83" s="21" t="n">
        <f aca="false">SUMIFS(Permissions!$U$2:$U$3000,Permissions!$B$2:$B$3000,$A83,Permissions!$I$2:$I$3000,"Yes")</f>
        <v>0</v>
      </c>
      <c r="AF83" s="21" t="n">
        <f aca="false">SUMIFS(Permissions!$V$2:$V$3000,Permissions!$B$2:$B$3000,$A83,Permissions!$I$2:$I$3000,"Yes")</f>
        <v>0</v>
      </c>
      <c r="AG83" s="21" t="n">
        <f aca="false">SUMIFS(Permissions!$W$2:$W$3000,Permissions!$B$2:$B$3000,$A83,Permissions!$I$2:$I$3000,"Yes")</f>
        <v>0</v>
      </c>
      <c r="AH83" s="21" t="n">
        <f aca="false">SUMIFS(Permissions!$X$2:$X$3000,Permissions!$B$2:$B$3000,$A83,Permissions!$I$2:$I$3000,"Yes")</f>
        <v>0</v>
      </c>
      <c r="AI83" s="21" t="n">
        <f aca="false">SUMIFS(Permissions!$Y$2:$Y$3000,Permissions!$B$2:$B$3000,$A83,Permissions!$I$2:$I$3000,"Yes")</f>
        <v>0</v>
      </c>
      <c r="AJ83" s="19" t="n">
        <f aca="false">COUNTIFS(Permissions!$B$2:$B$3000,$A83,Permissions!$I$2:$I$3000,"Yes")</f>
        <v>0</v>
      </c>
      <c r="AK83" s="22" t="str">
        <f aca="false">IF(AND(N83&lt;&gt;"",X83&gt;1.1*N83),"Consented above capacity",IF(AND(LEFT(B83,8)="Planning",AJ83=0),"Consent parcel with no permission",IF(COUNTIF($A$2:$A$3000,$A83)&gt;1,"Duplicate parcel_id","")))</f>
        <v/>
      </c>
    </row>
    <row r="84" customFormat="false" ht="15" hidden="false" customHeight="false" outlineLevel="0" collapsed="false">
      <c r="A84" s="18" t="s">
        <v>217</v>
      </c>
      <c r="B84" s="18" t="s">
        <v>10</v>
      </c>
      <c r="C84" s="18" t="s">
        <v>15</v>
      </c>
      <c r="D84" s="18" t="n">
        <v>149</v>
      </c>
      <c r="E84" s="18" t="s">
        <v>203</v>
      </c>
      <c r="F84" s="18" t="s">
        <v>89</v>
      </c>
      <c r="G84" s="18" t="s">
        <v>203</v>
      </c>
      <c r="H84" s="18" t="s">
        <v>105</v>
      </c>
      <c r="I84" s="18" t="s">
        <v>100</v>
      </c>
      <c r="J84" s="18" t="s">
        <v>101</v>
      </c>
      <c r="K84" s="18" t="s">
        <v>115</v>
      </c>
      <c r="L84" s="18" t="n">
        <v>0.939</v>
      </c>
      <c r="M84" s="18" t="n">
        <v>0.939</v>
      </c>
      <c r="N84" s="18" t="n">
        <v>33</v>
      </c>
      <c r="O84" s="18" t="s">
        <v>95</v>
      </c>
      <c r="P84" s="18" t="s">
        <v>116</v>
      </c>
      <c r="Q84" s="18" t="s">
        <v>97</v>
      </c>
      <c r="R84" s="18" t="s">
        <v>98</v>
      </c>
      <c r="S84" s="18"/>
      <c r="T84" s="19" t="n">
        <f aca="false">SUMIFS(Permissions!$F$2:$F$3000,Permissions!$B$2:$B$3000,$A84,Permissions!$H$2:$H$3000,"Complete",Permissions!$I$2:$I$3000,"Yes")</f>
        <v>0</v>
      </c>
      <c r="U84" s="19" t="n">
        <f aca="false">SUMIFS(Permissions!$F$2:$F$3000,Permissions!$B$2:$B$3000,$A84,Permissions!$H$2:$H$3000,"Under construction",Permissions!$I$2:$I$3000,"Yes")</f>
        <v>250</v>
      </c>
      <c r="V84" s="19" t="n">
        <f aca="false">SUMIFS(Permissions!$F$2:$F$3000,Permissions!$B$2:$B$3000,$A84,Permissions!$H$2:$H$3000,"Permitted – not started",Permissions!$I$2:$I$3000,"Yes")</f>
        <v>0</v>
      </c>
      <c r="W84" s="19" t="n">
        <f aca="false">SUMIFS(Permissions!$F$2:$F$3000,Permissions!$B$2:$B$3000,$A84,Permissions!$H$2:$H$3000,"Stalled",Permissions!$I$2:$I$3000,"Yes")</f>
        <v>0</v>
      </c>
      <c r="X84" s="19" t="n">
        <f aca="false">T84+U84+V84+W84</f>
        <v>250</v>
      </c>
      <c r="Y84" s="19" t="n">
        <f aca="false">SUMIFS(Permissions!$F$2:$F$3000,Permissions!$B$2:$B$3000,$A84,Permissions!$H$2:$H$3000,"Expired – not started",Permissions!$I$2:$I$3000,"Yes")</f>
        <v>0</v>
      </c>
      <c r="Z84" s="19" t="n">
        <f aca="false">SUMIFS(Permissions!$F$2:$F$3000,Permissions!$B$2:$B$3000,$A84,Permissions!$H$2:$H$3000,"In planning",Permissions!$I$2:$I$3000,"Yes")</f>
        <v>0</v>
      </c>
      <c r="AA84" s="19" t="n">
        <f aca="false">IF(N84="",0,MAX(N84-X84,0))</f>
        <v>0</v>
      </c>
      <c r="AB84" s="20" t="n">
        <f aca="false">X84+AA84</f>
        <v>250</v>
      </c>
      <c r="AC84" s="19" t="n">
        <f aca="false">AB84-T84</f>
        <v>250</v>
      </c>
      <c r="AD84" s="21" t="n">
        <f aca="false">SUMIFS(Permissions!$T$2:$T$3000,Permissions!$B$2:$B$3000,$A84,Permissions!$I$2:$I$3000,"Yes")</f>
        <v>0</v>
      </c>
      <c r="AE84" s="21" t="n">
        <f aca="false">SUMIFS(Permissions!$U$2:$U$3000,Permissions!$B$2:$B$3000,$A84,Permissions!$I$2:$I$3000,"Yes")</f>
        <v>26.9</v>
      </c>
      <c r="AF84" s="21" t="n">
        <f aca="false">SUMIFS(Permissions!$V$2:$V$3000,Permissions!$B$2:$B$3000,$A84,Permissions!$I$2:$I$3000,"Yes")</f>
        <v>62.9</v>
      </c>
      <c r="AG84" s="21" t="n">
        <f aca="false">SUMIFS(Permissions!$W$2:$W$3000,Permissions!$B$2:$B$3000,$A84,Permissions!$I$2:$I$3000,"Yes")</f>
        <v>62.9</v>
      </c>
      <c r="AH84" s="21" t="n">
        <f aca="false">SUMIFS(Permissions!$X$2:$X$3000,Permissions!$B$2:$B$3000,$A84,Permissions!$I$2:$I$3000,"Yes")</f>
        <v>62.9</v>
      </c>
      <c r="AI84" s="21" t="n">
        <f aca="false">SUMIFS(Permissions!$Y$2:$Y$3000,Permissions!$B$2:$B$3000,$A84,Permissions!$I$2:$I$3000,"Yes")</f>
        <v>34.4</v>
      </c>
      <c r="AJ84" s="19" t="n">
        <f aca="false">COUNTIFS(Permissions!$B$2:$B$3000,$A84,Permissions!$I$2:$I$3000,"Yes")</f>
        <v>1</v>
      </c>
      <c r="AK84" s="22" t="str">
        <f aca="false">IF(AND(N84&lt;&gt;"",X84&gt;1.1*N84),"Consented above capacity",IF(AND(LEFT(B84,8)="Planning",AJ84=0),"Consent parcel with no permission",IF(COUNTIF($A$2:$A$3000,$A84)&gt;1,"Duplicate parcel_id","")))</f>
        <v>Consented above capacity</v>
      </c>
    </row>
    <row r="85" customFormat="false" ht="15" hidden="false" customHeight="false" outlineLevel="0" collapsed="false">
      <c r="A85" s="18" t="s">
        <v>218</v>
      </c>
      <c r="B85" s="18" t="s">
        <v>10</v>
      </c>
      <c r="C85" s="18" t="s">
        <v>15</v>
      </c>
      <c r="D85" s="18" t="n">
        <v>151</v>
      </c>
      <c r="E85" s="18" t="s">
        <v>203</v>
      </c>
      <c r="F85" s="18" t="s">
        <v>89</v>
      </c>
      <c r="G85" s="18" t="s">
        <v>203</v>
      </c>
      <c r="H85" s="18" t="s">
        <v>105</v>
      </c>
      <c r="I85" s="18" t="s">
        <v>92</v>
      </c>
      <c r="J85" s="18" t="s">
        <v>114</v>
      </c>
      <c r="K85" s="18" t="s">
        <v>219</v>
      </c>
      <c r="L85" s="18" t="n">
        <v>10.98</v>
      </c>
      <c r="M85" s="18" t="n">
        <v>11.051</v>
      </c>
      <c r="N85" s="18" t="n">
        <v>462</v>
      </c>
      <c r="O85" s="18" t="s">
        <v>95</v>
      </c>
      <c r="P85" s="18" t="s">
        <v>108</v>
      </c>
      <c r="Q85" s="18" t="s">
        <v>109</v>
      </c>
      <c r="R85" s="18" t="s">
        <v>98</v>
      </c>
      <c r="S85" s="18"/>
      <c r="T85" s="19" t="n">
        <f aca="false">SUMIFS(Permissions!$F$2:$F$3000,Permissions!$B$2:$B$3000,$A85,Permissions!$H$2:$H$3000,"Complete",Permissions!$I$2:$I$3000,"Yes")</f>
        <v>0</v>
      </c>
      <c r="U85" s="19" t="n">
        <f aca="false">SUMIFS(Permissions!$F$2:$F$3000,Permissions!$B$2:$B$3000,$A85,Permissions!$H$2:$H$3000,"Under construction",Permissions!$I$2:$I$3000,"Yes")</f>
        <v>0</v>
      </c>
      <c r="V85" s="19" t="n">
        <f aca="false">SUMIFS(Permissions!$F$2:$F$3000,Permissions!$B$2:$B$3000,$A85,Permissions!$H$2:$H$3000,"Permitted – not started",Permissions!$I$2:$I$3000,"Yes")</f>
        <v>0</v>
      </c>
      <c r="W85" s="19" t="n">
        <f aca="false">SUMIFS(Permissions!$F$2:$F$3000,Permissions!$B$2:$B$3000,$A85,Permissions!$H$2:$H$3000,"Stalled",Permissions!$I$2:$I$3000,"Yes")</f>
        <v>0</v>
      </c>
      <c r="X85" s="19" t="n">
        <f aca="false">T85+U85+V85+W85</f>
        <v>0</v>
      </c>
      <c r="Y85" s="19" t="n">
        <f aca="false">SUMIFS(Permissions!$F$2:$F$3000,Permissions!$B$2:$B$3000,$A85,Permissions!$H$2:$H$3000,"Expired – not started",Permissions!$I$2:$I$3000,"Yes")</f>
        <v>0</v>
      </c>
      <c r="Z85" s="19" t="n">
        <f aca="false">SUMIFS(Permissions!$F$2:$F$3000,Permissions!$B$2:$B$3000,$A85,Permissions!$H$2:$H$3000,"In planning",Permissions!$I$2:$I$3000,"Yes")</f>
        <v>0</v>
      </c>
      <c r="AA85" s="19" t="n">
        <f aca="false">IF(N85="",0,MAX(N85-X85,0))</f>
        <v>462</v>
      </c>
      <c r="AB85" s="20" t="n">
        <f aca="false">X85+AA85</f>
        <v>462</v>
      </c>
      <c r="AC85" s="19" t="n">
        <f aca="false">AB85-T85</f>
        <v>462</v>
      </c>
      <c r="AD85" s="21" t="n">
        <f aca="false">SUMIFS(Permissions!$T$2:$T$3000,Permissions!$B$2:$B$3000,$A85,Permissions!$I$2:$I$3000,"Yes")</f>
        <v>0</v>
      </c>
      <c r="AE85" s="21" t="n">
        <f aca="false">SUMIFS(Permissions!$U$2:$U$3000,Permissions!$B$2:$B$3000,$A85,Permissions!$I$2:$I$3000,"Yes")</f>
        <v>0</v>
      </c>
      <c r="AF85" s="21" t="n">
        <f aca="false">SUMIFS(Permissions!$V$2:$V$3000,Permissions!$B$2:$B$3000,$A85,Permissions!$I$2:$I$3000,"Yes")</f>
        <v>0</v>
      </c>
      <c r="AG85" s="21" t="n">
        <f aca="false">SUMIFS(Permissions!$W$2:$W$3000,Permissions!$B$2:$B$3000,$A85,Permissions!$I$2:$I$3000,"Yes")</f>
        <v>0</v>
      </c>
      <c r="AH85" s="21" t="n">
        <f aca="false">SUMIFS(Permissions!$X$2:$X$3000,Permissions!$B$2:$B$3000,$A85,Permissions!$I$2:$I$3000,"Yes")</f>
        <v>0</v>
      </c>
      <c r="AI85" s="21" t="n">
        <f aca="false">SUMIFS(Permissions!$Y$2:$Y$3000,Permissions!$B$2:$B$3000,$A85,Permissions!$I$2:$I$3000,"Yes")</f>
        <v>0</v>
      </c>
      <c r="AJ85" s="19" t="n">
        <f aca="false">COUNTIFS(Permissions!$B$2:$B$3000,$A85,Permissions!$I$2:$I$3000,"Yes")</f>
        <v>0</v>
      </c>
      <c r="AK85" s="22" t="str">
        <f aca="false">IF(AND(N85&lt;&gt;"",X85&gt;1.1*N85),"Consented above capacity",IF(AND(LEFT(B85,8)="Planning",AJ85=0),"Consent parcel with no permission",IF(COUNTIF($A$2:$A$3000,$A85)&gt;1,"Duplicate parcel_id","")))</f>
        <v/>
      </c>
    </row>
    <row r="86" customFormat="false" ht="15" hidden="false" customHeight="false" outlineLevel="0" collapsed="false">
      <c r="A86" s="18" t="s">
        <v>220</v>
      </c>
      <c r="B86" s="18" t="s">
        <v>10</v>
      </c>
      <c r="C86" s="18" t="s">
        <v>15</v>
      </c>
      <c r="D86" s="18" t="n">
        <v>152</v>
      </c>
      <c r="E86" s="18" t="s">
        <v>203</v>
      </c>
      <c r="F86" s="18" t="s">
        <v>89</v>
      </c>
      <c r="G86" s="18" t="s">
        <v>203</v>
      </c>
      <c r="H86" s="18" t="s">
        <v>105</v>
      </c>
      <c r="I86" s="18" t="s">
        <v>92</v>
      </c>
      <c r="J86" s="18" t="s">
        <v>114</v>
      </c>
      <c r="K86" s="18" t="s">
        <v>221</v>
      </c>
      <c r="L86" s="18" t="n">
        <v>4.12</v>
      </c>
      <c r="M86" s="18" t="n">
        <v>4.119</v>
      </c>
      <c r="N86" s="18" t="n">
        <v>152</v>
      </c>
      <c r="O86" s="18" t="s">
        <v>95</v>
      </c>
      <c r="P86" s="18" t="s">
        <v>96</v>
      </c>
      <c r="Q86" s="18" t="s">
        <v>109</v>
      </c>
      <c r="R86" s="18" t="s">
        <v>98</v>
      </c>
      <c r="S86" s="18"/>
      <c r="T86" s="19" t="n">
        <f aca="false">SUMIFS(Permissions!$F$2:$F$3000,Permissions!$B$2:$B$3000,$A86,Permissions!$H$2:$H$3000,"Complete",Permissions!$I$2:$I$3000,"Yes")</f>
        <v>0</v>
      </c>
      <c r="U86" s="19" t="n">
        <f aca="false">SUMIFS(Permissions!$F$2:$F$3000,Permissions!$B$2:$B$3000,$A86,Permissions!$H$2:$H$3000,"Under construction",Permissions!$I$2:$I$3000,"Yes")</f>
        <v>0</v>
      </c>
      <c r="V86" s="19" t="n">
        <f aca="false">SUMIFS(Permissions!$F$2:$F$3000,Permissions!$B$2:$B$3000,$A86,Permissions!$H$2:$H$3000,"Permitted – not started",Permissions!$I$2:$I$3000,"Yes")</f>
        <v>0</v>
      </c>
      <c r="W86" s="19" t="n">
        <f aca="false">SUMIFS(Permissions!$F$2:$F$3000,Permissions!$B$2:$B$3000,$A86,Permissions!$H$2:$H$3000,"Stalled",Permissions!$I$2:$I$3000,"Yes")</f>
        <v>0</v>
      </c>
      <c r="X86" s="19" t="n">
        <f aca="false">T86+U86+V86+W86</f>
        <v>0</v>
      </c>
      <c r="Y86" s="19" t="n">
        <f aca="false">SUMIFS(Permissions!$F$2:$F$3000,Permissions!$B$2:$B$3000,$A86,Permissions!$H$2:$H$3000,"Expired – not started",Permissions!$I$2:$I$3000,"Yes")</f>
        <v>0</v>
      </c>
      <c r="Z86" s="19" t="n">
        <f aca="false">SUMIFS(Permissions!$F$2:$F$3000,Permissions!$B$2:$B$3000,$A86,Permissions!$H$2:$H$3000,"In planning",Permissions!$I$2:$I$3000,"Yes")</f>
        <v>0</v>
      </c>
      <c r="AA86" s="19" t="n">
        <f aca="false">IF(N86="",0,MAX(N86-X86,0))</f>
        <v>152</v>
      </c>
      <c r="AB86" s="20" t="n">
        <f aca="false">X86+AA86</f>
        <v>152</v>
      </c>
      <c r="AC86" s="19" t="n">
        <f aca="false">AB86-T86</f>
        <v>152</v>
      </c>
      <c r="AD86" s="21" t="n">
        <f aca="false">SUMIFS(Permissions!$T$2:$T$3000,Permissions!$B$2:$B$3000,$A86,Permissions!$I$2:$I$3000,"Yes")</f>
        <v>0</v>
      </c>
      <c r="AE86" s="21" t="n">
        <f aca="false">SUMIFS(Permissions!$U$2:$U$3000,Permissions!$B$2:$B$3000,$A86,Permissions!$I$2:$I$3000,"Yes")</f>
        <v>0</v>
      </c>
      <c r="AF86" s="21" t="n">
        <f aca="false">SUMIFS(Permissions!$V$2:$V$3000,Permissions!$B$2:$B$3000,$A86,Permissions!$I$2:$I$3000,"Yes")</f>
        <v>0</v>
      </c>
      <c r="AG86" s="21" t="n">
        <f aca="false">SUMIFS(Permissions!$W$2:$W$3000,Permissions!$B$2:$B$3000,$A86,Permissions!$I$2:$I$3000,"Yes")</f>
        <v>0</v>
      </c>
      <c r="AH86" s="21" t="n">
        <f aca="false">SUMIFS(Permissions!$X$2:$X$3000,Permissions!$B$2:$B$3000,$A86,Permissions!$I$2:$I$3000,"Yes")</f>
        <v>0</v>
      </c>
      <c r="AI86" s="21" t="n">
        <f aca="false">SUMIFS(Permissions!$Y$2:$Y$3000,Permissions!$B$2:$B$3000,$A86,Permissions!$I$2:$I$3000,"Yes")</f>
        <v>0</v>
      </c>
      <c r="AJ86" s="19" t="n">
        <f aca="false">COUNTIFS(Permissions!$B$2:$B$3000,$A86,Permissions!$I$2:$I$3000,"Yes")</f>
        <v>0</v>
      </c>
      <c r="AK86" s="22" t="str">
        <f aca="false">IF(AND(N86&lt;&gt;"",X86&gt;1.1*N86),"Consented above capacity",IF(AND(LEFT(B86,8)="Planning",AJ86=0),"Consent parcel with no permission",IF(COUNTIF($A$2:$A$3000,$A86)&gt;1,"Duplicate parcel_id","")))</f>
        <v/>
      </c>
    </row>
    <row r="87" customFormat="false" ht="15" hidden="false" customHeight="false" outlineLevel="0" collapsed="false">
      <c r="A87" s="18" t="s">
        <v>222</v>
      </c>
      <c r="B87" s="18" t="s">
        <v>10</v>
      </c>
      <c r="C87" s="18" t="s">
        <v>15</v>
      </c>
      <c r="D87" s="18" t="n">
        <v>153</v>
      </c>
      <c r="E87" s="18" t="s">
        <v>203</v>
      </c>
      <c r="F87" s="18" t="s">
        <v>89</v>
      </c>
      <c r="G87" s="18" t="s">
        <v>203</v>
      </c>
      <c r="H87" s="18" t="s">
        <v>105</v>
      </c>
      <c r="I87" s="18" t="s">
        <v>92</v>
      </c>
      <c r="J87" s="18" t="s">
        <v>114</v>
      </c>
      <c r="K87" s="18" t="s">
        <v>115</v>
      </c>
      <c r="L87" s="18" t="n">
        <v>1.081</v>
      </c>
      <c r="M87" s="18" t="n">
        <v>1.161</v>
      </c>
      <c r="N87" s="18" t="n">
        <v>37</v>
      </c>
      <c r="O87" s="18" t="s">
        <v>95</v>
      </c>
      <c r="P87" s="18" t="s">
        <v>108</v>
      </c>
      <c r="Q87" s="18" t="s">
        <v>109</v>
      </c>
      <c r="R87" s="18" t="s">
        <v>98</v>
      </c>
      <c r="S87" s="18"/>
      <c r="T87" s="19" t="n">
        <f aca="false">SUMIFS(Permissions!$F$2:$F$3000,Permissions!$B$2:$B$3000,$A87,Permissions!$H$2:$H$3000,"Complete",Permissions!$I$2:$I$3000,"Yes")</f>
        <v>0</v>
      </c>
      <c r="U87" s="19" t="n">
        <f aca="false">SUMIFS(Permissions!$F$2:$F$3000,Permissions!$B$2:$B$3000,$A87,Permissions!$H$2:$H$3000,"Under construction",Permissions!$I$2:$I$3000,"Yes")</f>
        <v>0</v>
      </c>
      <c r="V87" s="19" t="n">
        <f aca="false">SUMIFS(Permissions!$F$2:$F$3000,Permissions!$B$2:$B$3000,$A87,Permissions!$H$2:$H$3000,"Permitted – not started",Permissions!$I$2:$I$3000,"Yes")</f>
        <v>0</v>
      </c>
      <c r="W87" s="19" t="n">
        <f aca="false">SUMIFS(Permissions!$F$2:$F$3000,Permissions!$B$2:$B$3000,$A87,Permissions!$H$2:$H$3000,"Stalled",Permissions!$I$2:$I$3000,"Yes")</f>
        <v>0</v>
      </c>
      <c r="X87" s="19" t="n">
        <f aca="false">T87+U87+V87+W87</f>
        <v>0</v>
      </c>
      <c r="Y87" s="19" t="n">
        <f aca="false">SUMIFS(Permissions!$F$2:$F$3000,Permissions!$B$2:$B$3000,$A87,Permissions!$H$2:$H$3000,"Expired – not started",Permissions!$I$2:$I$3000,"Yes")</f>
        <v>0</v>
      </c>
      <c r="Z87" s="19" t="n">
        <f aca="false">SUMIFS(Permissions!$F$2:$F$3000,Permissions!$B$2:$B$3000,$A87,Permissions!$H$2:$H$3000,"In planning",Permissions!$I$2:$I$3000,"Yes")</f>
        <v>0</v>
      </c>
      <c r="AA87" s="19" t="n">
        <f aca="false">IF(N87="",0,MAX(N87-X87,0))</f>
        <v>37</v>
      </c>
      <c r="AB87" s="20" t="n">
        <f aca="false">X87+AA87</f>
        <v>37</v>
      </c>
      <c r="AC87" s="19" t="n">
        <f aca="false">AB87-T87</f>
        <v>37</v>
      </c>
      <c r="AD87" s="21" t="n">
        <f aca="false">SUMIFS(Permissions!$T$2:$T$3000,Permissions!$B$2:$B$3000,$A87,Permissions!$I$2:$I$3000,"Yes")</f>
        <v>0</v>
      </c>
      <c r="AE87" s="21" t="n">
        <f aca="false">SUMIFS(Permissions!$U$2:$U$3000,Permissions!$B$2:$B$3000,$A87,Permissions!$I$2:$I$3000,"Yes")</f>
        <v>0</v>
      </c>
      <c r="AF87" s="21" t="n">
        <f aca="false">SUMIFS(Permissions!$V$2:$V$3000,Permissions!$B$2:$B$3000,$A87,Permissions!$I$2:$I$3000,"Yes")</f>
        <v>0</v>
      </c>
      <c r="AG87" s="21" t="n">
        <f aca="false">SUMIFS(Permissions!$W$2:$W$3000,Permissions!$B$2:$B$3000,$A87,Permissions!$I$2:$I$3000,"Yes")</f>
        <v>0</v>
      </c>
      <c r="AH87" s="21" t="n">
        <f aca="false">SUMIFS(Permissions!$X$2:$X$3000,Permissions!$B$2:$B$3000,$A87,Permissions!$I$2:$I$3000,"Yes")</f>
        <v>0</v>
      </c>
      <c r="AI87" s="21" t="n">
        <f aca="false">SUMIFS(Permissions!$Y$2:$Y$3000,Permissions!$B$2:$B$3000,$A87,Permissions!$I$2:$I$3000,"Yes")</f>
        <v>0</v>
      </c>
      <c r="AJ87" s="19" t="n">
        <f aca="false">COUNTIFS(Permissions!$B$2:$B$3000,$A87,Permissions!$I$2:$I$3000,"Yes")</f>
        <v>0</v>
      </c>
      <c r="AK87" s="22" t="str">
        <f aca="false">IF(AND(N87&lt;&gt;"",X87&gt;1.1*N87),"Consented above capacity",IF(AND(LEFT(B87,8)="Planning",AJ87=0),"Consent parcel with no permission",IF(COUNTIF($A$2:$A$3000,$A87)&gt;1,"Duplicate parcel_id","")))</f>
        <v/>
      </c>
    </row>
    <row r="88" customFormat="false" ht="15" hidden="false" customHeight="false" outlineLevel="0" collapsed="false">
      <c r="A88" s="18" t="s">
        <v>223</v>
      </c>
      <c r="B88" s="18" t="s">
        <v>10</v>
      </c>
      <c r="C88" s="18" t="s">
        <v>15</v>
      </c>
      <c r="D88" s="18" t="n">
        <v>154</v>
      </c>
      <c r="E88" s="18" t="s">
        <v>203</v>
      </c>
      <c r="F88" s="18" t="s">
        <v>89</v>
      </c>
      <c r="G88" s="18" t="s">
        <v>203</v>
      </c>
      <c r="H88" s="18" t="s">
        <v>105</v>
      </c>
      <c r="I88" s="18" t="s">
        <v>100</v>
      </c>
      <c r="J88" s="18" t="s">
        <v>101</v>
      </c>
      <c r="K88" s="18" t="s">
        <v>94</v>
      </c>
      <c r="L88" s="18" t="n">
        <v>0.743</v>
      </c>
      <c r="M88" s="18" t="n">
        <v>0.743</v>
      </c>
      <c r="N88" s="18" t="n">
        <v>33</v>
      </c>
      <c r="O88" s="18" t="s">
        <v>95</v>
      </c>
      <c r="P88" s="18" t="s">
        <v>96</v>
      </c>
      <c r="Q88" s="18" t="s">
        <v>97</v>
      </c>
      <c r="R88" s="18" t="s">
        <v>98</v>
      </c>
      <c r="S88" s="18"/>
      <c r="T88" s="19" t="n">
        <f aca="false">SUMIFS(Permissions!$F$2:$F$3000,Permissions!$B$2:$B$3000,$A88,Permissions!$H$2:$H$3000,"Complete",Permissions!$I$2:$I$3000,"Yes")</f>
        <v>0</v>
      </c>
      <c r="U88" s="19" t="n">
        <f aca="false">SUMIFS(Permissions!$F$2:$F$3000,Permissions!$B$2:$B$3000,$A88,Permissions!$H$2:$H$3000,"Under construction",Permissions!$I$2:$I$3000,"Yes")</f>
        <v>0</v>
      </c>
      <c r="V88" s="19" t="n">
        <f aca="false">SUMIFS(Permissions!$F$2:$F$3000,Permissions!$B$2:$B$3000,$A88,Permissions!$H$2:$H$3000,"Permitted – not started",Permissions!$I$2:$I$3000,"Yes")</f>
        <v>0</v>
      </c>
      <c r="W88" s="19" t="n">
        <f aca="false">SUMIFS(Permissions!$F$2:$F$3000,Permissions!$B$2:$B$3000,$A88,Permissions!$H$2:$H$3000,"Stalled",Permissions!$I$2:$I$3000,"Yes")</f>
        <v>0</v>
      </c>
      <c r="X88" s="19" t="n">
        <f aca="false">T88+U88+V88+W88</f>
        <v>0</v>
      </c>
      <c r="Y88" s="19" t="n">
        <f aca="false">SUMIFS(Permissions!$F$2:$F$3000,Permissions!$B$2:$B$3000,$A88,Permissions!$H$2:$H$3000,"Expired – not started",Permissions!$I$2:$I$3000,"Yes")</f>
        <v>0</v>
      </c>
      <c r="Z88" s="19" t="n">
        <f aca="false">SUMIFS(Permissions!$F$2:$F$3000,Permissions!$B$2:$B$3000,$A88,Permissions!$H$2:$H$3000,"In planning",Permissions!$I$2:$I$3000,"Yes")</f>
        <v>0</v>
      </c>
      <c r="AA88" s="19" t="n">
        <f aca="false">IF(N88="",0,MAX(N88-X88,0))</f>
        <v>33</v>
      </c>
      <c r="AB88" s="20" t="n">
        <f aca="false">X88+AA88</f>
        <v>33</v>
      </c>
      <c r="AC88" s="19" t="n">
        <f aca="false">AB88-T88</f>
        <v>33</v>
      </c>
      <c r="AD88" s="21" t="n">
        <f aca="false">SUMIFS(Permissions!$T$2:$T$3000,Permissions!$B$2:$B$3000,$A88,Permissions!$I$2:$I$3000,"Yes")</f>
        <v>0</v>
      </c>
      <c r="AE88" s="21" t="n">
        <f aca="false">SUMIFS(Permissions!$U$2:$U$3000,Permissions!$B$2:$B$3000,$A88,Permissions!$I$2:$I$3000,"Yes")</f>
        <v>0</v>
      </c>
      <c r="AF88" s="21" t="n">
        <f aca="false">SUMIFS(Permissions!$V$2:$V$3000,Permissions!$B$2:$B$3000,$A88,Permissions!$I$2:$I$3000,"Yes")</f>
        <v>0</v>
      </c>
      <c r="AG88" s="21" t="n">
        <f aca="false">SUMIFS(Permissions!$W$2:$W$3000,Permissions!$B$2:$B$3000,$A88,Permissions!$I$2:$I$3000,"Yes")</f>
        <v>0</v>
      </c>
      <c r="AH88" s="21" t="n">
        <f aca="false">SUMIFS(Permissions!$X$2:$X$3000,Permissions!$B$2:$B$3000,$A88,Permissions!$I$2:$I$3000,"Yes")</f>
        <v>0</v>
      </c>
      <c r="AI88" s="21" t="n">
        <f aca="false">SUMIFS(Permissions!$Y$2:$Y$3000,Permissions!$B$2:$B$3000,$A88,Permissions!$I$2:$I$3000,"Yes")</f>
        <v>0</v>
      </c>
      <c r="AJ88" s="19" t="n">
        <f aca="false">COUNTIFS(Permissions!$B$2:$B$3000,$A88,Permissions!$I$2:$I$3000,"Yes")</f>
        <v>0</v>
      </c>
      <c r="AK88" s="22" t="str">
        <f aca="false">IF(AND(N88&lt;&gt;"",X88&gt;1.1*N88),"Consented above capacity",IF(AND(LEFT(B88,8)="Planning",AJ88=0),"Consent parcel with no permission",IF(COUNTIF($A$2:$A$3000,$A88)&gt;1,"Duplicate parcel_id","")))</f>
        <v/>
      </c>
    </row>
    <row r="89" customFormat="false" ht="15" hidden="false" customHeight="false" outlineLevel="0" collapsed="false">
      <c r="A89" s="18" t="s">
        <v>224</v>
      </c>
      <c r="B89" s="18" t="s">
        <v>10</v>
      </c>
      <c r="C89" s="18" t="s">
        <v>15</v>
      </c>
      <c r="D89" s="18" t="n">
        <v>155</v>
      </c>
      <c r="E89" s="18" t="s">
        <v>203</v>
      </c>
      <c r="F89" s="18" t="s">
        <v>89</v>
      </c>
      <c r="G89" s="18" t="s">
        <v>203</v>
      </c>
      <c r="H89" s="18" t="s">
        <v>91</v>
      </c>
      <c r="I89" s="18" t="s">
        <v>92</v>
      </c>
      <c r="J89" s="18" t="s">
        <v>101</v>
      </c>
      <c r="K89" s="18" t="s">
        <v>94</v>
      </c>
      <c r="L89" s="18" t="n">
        <v>0.34</v>
      </c>
      <c r="M89" s="18" t="n">
        <v>0.341</v>
      </c>
      <c r="N89" s="18" t="n">
        <v>15</v>
      </c>
      <c r="O89" s="18" t="s">
        <v>95</v>
      </c>
      <c r="P89" s="18" t="s">
        <v>96</v>
      </c>
      <c r="Q89" s="18" t="s">
        <v>97</v>
      </c>
      <c r="R89" s="18" t="s">
        <v>98</v>
      </c>
      <c r="S89" s="18"/>
      <c r="T89" s="19" t="n">
        <f aca="false">SUMIFS(Permissions!$F$2:$F$3000,Permissions!$B$2:$B$3000,$A89,Permissions!$H$2:$H$3000,"Complete",Permissions!$I$2:$I$3000,"Yes")</f>
        <v>0</v>
      </c>
      <c r="U89" s="19" t="n">
        <f aca="false">SUMIFS(Permissions!$F$2:$F$3000,Permissions!$B$2:$B$3000,$A89,Permissions!$H$2:$H$3000,"Under construction",Permissions!$I$2:$I$3000,"Yes")</f>
        <v>0</v>
      </c>
      <c r="V89" s="19" t="n">
        <f aca="false">SUMIFS(Permissions!$F$2:$F$3000,Permissions!$B$2:$B$3000,$A89,Permissions!$H$2:$H$3000,"Permitted – not started",Permissions!$I$2:$I$3000,"Yes")</f>
        <v>0</v>
      </c>
      <c r="W89" s="19" t="n">
        <f aca="false">SUMIFS(Permissions!$F$2:$F$3000,Permissions!$B$2:$B$3000,$A89,Permissions!$H$2:$H$3000,"Stalled",Permissions!$I$2:$I$3000,"Yes")</f>
        <v>0</v>
      </c>
      <c r="X89" s="19" t="n">
        <f aca="false">T89+U89+V89+W89</f>
        <v>0</v>
      </c>
      <c r="Y89" s="19" t="n">
        <f aca="false">SUMIFS(Permissions!$F$2:$F$3000,Permissions!$B$2:$B$3000,$A89,Permissions!$H$2:$H$3000,"Expired – not started",Permissions!$I$2:$I$3000,"Yes")</f>
        <v>0</v>
      </c>
      <c r="Z89" s="19" t="n">
        <f aca="false">SUMIFS(Permissions!$F$2:$F$3000,Permissions!$B$2:$B$3000,$A89,Permissions!$H$2:$H$3000,"In planning",Permissions!$I$2:$I$3000,"Yes")</f>
        <v>0</v>
      </c>
      <c r="AA89" s="19" t="n">
        <f aca="false">IF(N89="",0,MAX(N89-X89,0))</f>
        <v>15</v>
      </c>
      <c r="AB89" s="20" t="n">
        <f aca="false">X89+AA89</f>
        <v>15</v>
      </c>
      <c r="AC89" s="19" t="n">
        <f aca="false">AB89-T89</f>
        <v>15</v>
      </c>
      <c r="AD89" s="21" t="n">
        <f aca="false">SUMIFS(Permissions!$T$2:$T$3000,Permissions!$B$2:$B$3000,$A89,Permissions!$I$2:$I$3000,"Yes")</f>
        <v>0</v>
      </c>
      <c r="AE89" s="21" t="n">
        <f aca="false">SUMIFS(Permissions!$U$2:$U$3000,Permissions!$B$2:$B$3000,$A89,Permissions!$I$2:$I$3000,"Yes")</f>
        <v>0</v>
      </c>
      <c r="AF89" s="21" t="n">
        <f aca="false">SUMIFS(Permissions!$V$2:$V$3000,Permissions!$B$2:$B$3000,$A89,Permissions!$I$2:$I$3000,"Yes")</f>
        <v>0</v>
      </c>
      <c r="AG89" s="21" t="n">
        <f aca="false">SUMIFS(Permissions!$W$2:$W$3000,Permissions!$B$2:$B$3000,$A89,Permissions!$I$2:$I$3000,"Yes")</f>
        <v>0</v>
      </c>
      <c r="AH89" s="21" t="n">
        <f aca="false">SUMIFS(Permissions!$X$2:$X$3000,Permissions!$B$2:$B$3000,$A89,Permissions!$I$2:$I$3000,"Yes")</f>
        <v>0</v>
      </c>
      <c r="AI89" s="21" t="n">
        <f aca="false">SUMIFS(Permissions!$Y$2:$Y$3000,Permissions!$B$2:$B$3000,$A89,Permissions!$I$2:$I$3000,"Yes")</f>
        <v>0</v>
      </c>
      <c r="AJ89" s="19" t="n">
        <f aca="false">COUNTIFS(Permissions!$B$2:$B$3000,$A89,Permissions!$I$2:$I$3000,"Yes")</f>
        <v>0</v>
      </c>
      <c r="AK89" s="22" t="str">
        <f aca="false">IF(AND(N89&lt;&gt;"",X89&gt;1.1*N89),"Consented above capacity",IF(AND(LEFT(B89,8)="Planning",AJ89=0),"Consent parcel with no permission",IF(COUNTIF($A$2:$A$3000,$A89)&gt;1,"Duplicate parcel_id","")))</f>
        <v/>
      </c>
    </row>
    <row r="90" customFormat="false" ht="15" hidden="false" customHeight="false" outlineLevel="0" collapsed="false">
      <c r="A90" s="18" t="s">
        <v>225</v>
      </c>
      <c r="B90" s="18" t="s">
        <v>10</v>
      </c>
      <c r="C90" s="18" t="s">
        <v>15</v>
      </c>
      <c r="D90" s="18" t="n">
        <v>156</v>
      </c>
      <c r="E90" s="18" t="s">
        <v>203</v>
      </c>
      <c r="F90" s="18" t="s">
        <v>89</v>
      </c>
      <c r="G90" s="18" t="s">
        <v>203</v>
      </c>
      <c r="H90" s="18" t="s">
        <v>105</v>
      </c>
      <c r="I90" s="18" t="s">
        <v>100</v>
      </c>
      <c r="J90" s="18" t="s">
        <v>101</v>
      </c>
      <c r="K90" s="18" t="s">
        <v>94</v>
      </c>
      <c r="L90" s="18" t="n">
        <v>0.584</v>
      </c>
      <c r="M90" s="18" t="n">
        <v>0.584</v>
      </c>
      <c r="N90" s="18" t="n">
        <v>26</v>
      </c>
      <c r="O90" s="18" t="s">
        <v>95</v>
      </c>
      <c r="P90" s="18" t="s">
        <v>96</v>
      </c>
      <c r="Q90" s="18" t="s">
        <v>97</v>
      </c>
      <c r="R90" s="18" t="s">
        <v>98</v>
      </c>
      <c r="S90" s="18"/>
      <c r="T90" s="19" t="n">
        <f aca="false">SUMIFS(Permissions!$F$2:$F$3000,Permissions!$B$2:$B$3000,$A90,Permissions!$H$2:$H$3000,"Complete",Permissions!$I$2:$I$3000,"Yes")</f>
        <v>0</v>
      </c>
      <c r="U90" s="19" t="n">
        <f aca="false">SUMIFS(Permissions!$F$2:$F$3000,Permissions!$B$2:$B$3000,$A90,Permissions!$H$2:$H$3000,"Under construction",Permissions!$I$2:$I$3000,"Yes")</f>
        <v>0</v>
      </c>
      <c r="V90" s="19" t="n">
        <f aca="false">SUMIFS(Permissions!$F$2:$F$3000,Permissions!$B$2:$B$3000,$A90,Permissions!$H$2:$H$3000,"Permitted – not started",Permissions!$I$2:$I$3000,"Yes")</f>
        <v>0</v>
      </c>
      <c r="W90" s="19" t="n">
        <f aca="false">SUMIFS(Permissions!$F$2:$F$3000,Permissions!$B$2:$B$3000,$A90,Permissions!$H$2:$H$3000,"Stalled",Permissions!$I$2:$I$3000,"Yes")</f>
        <v>0</v>
      </c>
      <c r="X90" s="19" t="n">
        <f aca="false">T90+U90+V90+W90</f>
        <v>0</v>
      </c>
      <c r="Y90" s="19" t="n">
        <f aca="false">SUMIFS(Permissions!$F$2:$F$3000,Permissions!$B$2:$B$3000,$A90,Permissions!$H$2:$H$3000,"Expired – not started",Permissions!$I$2:$I$3000,"Yes")</f>
        <v>0</v>
      </c>
      <c r="Z90" s="19" t="n">
        <f aca="false">SUMIFS(Permissions!$F$2:$F$3000,Permissions!$B$2:$B$3000,$A90,Permissions!$H$2:$H$3000,"In planning",Permissions!$I$2:$I$3000,"Yes")</f>
        <v>0</v>
      </c>
      <c r="AA90" s="19" t="n">
        <f aca="false">IF(N90="",0,MAX(N90-X90,0))</f>
        <v>26</v>
      </c>
      <c r="AB90" s="20" t="n">
        <f aca="false">X90+AA90</f>
        <v>26</v>
      </c>
      <c r="AC90" s="19" t="n">
        <f aca="false">AB90-T90</f>
        <v>26</v>
      </c>
      <c r="AD90" s="21" t="n">
        <f aca="false">SUMIFS(Permissions!$T$2:$T$3000,Permissions!$B$2:$B$3000,$A90,Permissions!$I$2:$I$3000,"Yes")</f>
        <v>0</v>
      </c>
      <c r="AE90" s="21" t="n">
        <f aca="false">SUMIFS(Permissions!$U$2:$U$3000,Permissions!$B$2:$B$3000,$A90,Permissions!$I$2:$I$3000,"Yes")</f>
        <v>0</v>
      </c>
      <c r="AF90" s="21" t="n">
        <f aca="false">SUMIFS(Permissions!$V$2:$V$3000,Permissions!$B$2:$B$3000,$A90,Permissions!$I$2:$I$3000,"Yes")</f>
        <v>0</v>
      </c>
      <c r="AG90" s="21" t="n">
        <f aca="false">SUMIFS(Permissions!$W$2:$W$3000,Permissions!$B$2:$B$3000,$A90,Permissions!$I$2:$I$3000,"Yes")</f>
        <v>0</v>
      </c>
      <c r="AH90" s="21" t="n">
        <f aca="false">SUMIFS(Permissions!$X$2:$X$3000,Permissions!$B$2:$B$3000,$A90,Permissions!$I$2:$I$3000,"Yes")</f>
        <v>0</v>
      </c>
      <c r="AI90" s="21" t="n">
        <f aca="false">SUMIFS(Permissions!$Y$2:$Y$3000,Permissions!$B$2:$B$3000,$A90,Permissions!$I$2:$I$3000,"Yes")</f>
        <v>0</v>
      </c>
      <c r="AJ90" s="19" t="n">
        <f aca="false">COUNTIFS(Permissions!$B$2:$B$3000,$A90,Permissions!$I$2:$I$3000,"Yes")</f>
        <v>0</v>
      </c>
      <c r="AK90" s="22" t="str">
        <f aca="false">IF(AND(N90&lt;&gt;"",X90&gt;1.1*N90),"Consented above capacity",IF(AND(LEFT(B90,8)="Planning",AJ90=0),"Consent parcel with no permission",IF(COUNTIF($A$2:$A$3000,$A90)&gt;1,"Duplicate parcel_id","")))</f>
        <v/>
      </c>
    </row>
    <row r="91" customFormat="false" ht="15" hidden="false" customHeight="false" outlineLevel="0" collapsed="false">
      <c r="A91" s="18" t="s">
        <v>226</v>
      </c>
      <c r="B91" s="18" t="s">
        <v>10</v>
      </c>
      <c r="C91" s="18" t="s">
        <v>15</v>
      </c>
      <c r="D91" s="18" t="n">
        <v>160</v>
      </c>
      <c r="E91" s="18" t="s">
        <v>203</v>
      </c>
      <c r="F91" s="18" t="s">
        <v>89</v>
      </c>
      <c r="G91" s="18" t="s">
        <v>203</v>
      </c>
      <c r="H91" s="18" t="s">
        <v>105</v>
      </c>
      <c r="I91" s="18" t="s">
        <v>92</v>
      </c>
      <c r="J91" s="18" t="s">
        <v>114</v>
      </c>
      <c r="K91" s="18" t="s">
        <v>115</v>
      </c>
      <c r="L91" s="18" t="n">
        <v>1.168</v>
      </c>
      <c r="M91" s="18" t="n">
        <v>1.278</v>
      </c>
      <c r="N91" s="18" t="n">
        <v>41</v>
      </c>
      <c r="O91" s="18" t="s">
        <v>95</v>
      </c>
      <c r="P91" s="18" t="s">
        <v>96</v>
      </c>
      <c r="Q91" s="18" t="s">
        <v>97</v>
      </c>
      <c r="R91" s="18" t="s">
        <v>98</v>
      </c>
      <c r="S91" s="18"/>
      <c r="T91" s="19" t="n">
        <f aca="false">SUMIFS(Permissions!$F$2:$F$3000,Permissions!$B$2:$B$3000,$A91,Permissions!$H$2:$H$3000,"Complete",Permissions!$I$2:$I$3000,"Yes")</f>
        <v>0</v>
      </c>
      <c r="U91" s="19" t="n">
        <f aca="false">SUMIFS(Permissions!$F$2:$F$3000,Permissions!$B$2:$B$3000,$A91,Permissions!$H$2:$H$3000,"Under construction",Permissions!$I$2:$I$3000,"Yes")</f>
        <v>0</v>
      </c>
      <c r="V91" s="19" t="n">
        <f aca="false">SUMIFS(Permissions!$F$2:$F$3000,Permissions!$B$2:$B$3000,$A91,Permissions!$H$2:$H$3000,"Permitted – not started",Permissions!$I$2:$I$3000,"Yes")</f>
        <v>0</v>
      </c>
      <c r="W91" s="19" t="n">
        <f aca="false">SUMIFS(Permissions!$F$2:$F$3000,Permissions!$B$2:$B$3000,$A91,Permissions!$H$2:$H$3000,"Stalled",Permissions!$I$2:$I$3000,"Yes")</f>
        <v>0</v>
      </c>
      <c r="X91" s="19" t="n">
        <f aca="false">T91+U91+V91+W91</f>
        <v>0</v>
      </c>
      <c r="Y91" s="19" t="n">
        <f aca="false">SUMIFS(Permissions!$F$2:$F$3000,Permissions!$B$2:$B$3000,$A91,Permissions!$H$2:$H$3000,"Expired – not started",Permissions!$I$2:$I$3000,"Yes")</f>
        <v>0</v>
      </c>
      <c r="Z91" s="19" t="n">
        <f aca="false">SUMIFS(Permissions!$F$2:$F$3000,Permissions!$B$2:$B$3000,$A91,Permissions!$H$2:$H$3000,"In planning",Permissions!$I$2:$I$3000,"Yes")</f>
        <v>0</v>
      </c>
      <c r="AA91" s="19" t="n">
        <f aca="false">IF(N91="",0,MAX(N91-X91,0))</f>
        <v>41</v>
      </c>
      <c r="AB91" s="20" t="n">
        <f aca="false">X91+AA91</f>
        <v>41</v>
      </c>
      <c r="AC91" s="19" t="n">
        <f aca="false">AB91-T91</f>
        <v>41</v>
      </c>
      <c r="AD91" s="21" t="n">
        <f aca="false">SUMIFS(Permissions!$T$2:$T$3000,Permissions!$B$2:$B$3000,$A91,Permissions!$I$2:$I$3000,"Yes")</f>
        <v>0</v>
      </c>
      <c r="AE91" s="21" t="n">
        <f aca="false">SUMIFS(Permissions!$U$2:$U$3000,Permissions!$B$2:$B$3000,$A91,Permissions!$I$2:$I$3000,"Yes")</f>
        <v>0</v>
      </c>
      <c r="AF91" s="21" t="n">
        <f aca="false">SUMIFS(Permissions!$V$2:$V$3000,Permissions!$B$2:$B$3000,$A91,Permissions!$I$2:$I$3000,"Yes")</f>
        <v>0</v>
      </c>
      <c r="AG91" s="21" t="n">
        <f aca="false">SUMIFS(Permissions!$W$2:$W$3000,Permissions!$B$2:$B$3000,$A91,Permissions!$I$2:$I$3000,"Yes")</f>
        <v>0</v>
      </c>
      <c r="AH91" s="21" t="n">
        <f aca="false">SUMIFS(Permissions!$X$2:$X$3000,Permissions!$B$2:$B$3000,$A91,Permissions!$I$2:$I$3000,"Yes")</f>
        <v>0</v>
      </c>
      <c r="AI91" s="21" t="n">
        <f aca="false">SUMIFS(Permissions!$Y$2:$Y$3000,Permissions!$B$2:$B$3000,$A91,Permissions!$I$2:$I$3000,"Yes")</f>
        <v>0</v>
      </c>
      <c r="AJ91" s="19" t="n">
        <f aca="false">COUNTIFS(Permissions!$B$2:$B$3000,$A91,Permissions!$I$2:$I$3000,"Yes")</f>
        <v>0</v>
      </c>
      <c r="AK91" s="22" t="str">
        <f aca="false">IF(AND(N91&lt;&gt;"",X91&gt;1.1*N91),"Consented above capacity",IF(AND(LEFT(B91,8)="Planning",AJ91=0),"Consent parcel with no permission",IF(COUNTIF($A$2:$A$3000,$A91)&gt;1,"Duplicate parcel_id","")))</f>
        <v/>
      </c>
    </row>
    <row r="92" customFormat="false" ht="15" hidden="false" customHeight="false" outlineLevel="0" collapsed="false">
      <c r="A92" s="18" t="s">
        <v>227</v>
      </c>
      <c r="B92" s="18" t="s">
        <v>10</v>
      </c>
      <c r="C92" s="18" t="s">
        <v>15</v>
      </c>
      <c r="D92" s="18" t="n">
        <v>168</v>
      </c>
      <c r="E92" s="18" t="s">
        <v>228</v>
      </c>
      <c r="F92" s="18" t="s">
        <v>112</v>
      </c>
      <c r="G92" s="18"/>
      <c r="H92" s="18" t="s">
        <v>119</v>
      </c>
      <c r="I92" s="18"/>
      <c r="J92" s="18"/>
      <c r="K92" s="18"/>
      <c r="L92" s="18" t="n">
        <v>0.042</v>
      </c>
      <c r="M92" s="18" t="n">
        <v>0.042</v>
      </c>
      <c r="N92" s="18" t="n">
        <v>1</v>
      </c>
      <c r="O92" s="18" t="s">
        <v>95</v>
      </c>
      <c r="P92" s="18"/>
      <c r="Q92" s="18" t="s">
        <v>128</v>
      </c>
      <c r="R92" s="18" t="s">
        <v>98</v>
      </c>
      <c r="S92" s="18"/>
      <c r="T92" s="19" t="n">
        <f aca="false">SUMIFS(Permissions!$F$2:$F$3000,Permissions!$B$2:$B$3000,$A92,Permissions!$H$2:$H$3000,"Complete",Permissions!$I$2:$I$3000,"Yes")</f>
        <v>0</v>
      </c>
      <c r="U92" s="19" t="n">
        <f aca="false">SUMIFS(Permissions!$F$2:$F$3000,Permissions!$B$2:$B$3000,$A92,Permissions!$H$2:$H$3000,"Under construction",Permissions!$I$2:$I$3000,"Yes")</f>
        <v>0</v>
      </c>
      <c r="V92" s="19" t="n">
        <f aca="false">SUMIFS(Permissions!$F$2:$F$3000,Permissions!$B$2:$B$3000,$A92,Permissions!$H$2:$H$3000,"Permitted – not started",Permissions!$I$2:$I$3000,"Yes")</f>
        <v>0</v>
      </c>
      <c r="W92" s="19" t="n">
        <f aca="false">SUMIFS(Permissions!$F$2:$F$3000,Permissions!$B$2:$B$3000,$A92,Permissions!$H$2:$H$3000,"Stalled",Permissions!$I$2:$I$3000,"Yes")</f>
        <v>0</v>
      </c>
      <c r="X92" s="19" t="n">
        <f aca="false">T92+U92+V92+W92</f>
        <v>0</v>
      </c>
      <c r="Y92" s="19" t="n">
        <f aca="false">SUMIFS(Permissions!$F$2:$F$3000,Permissions!$B$2:$B$3000,$A92,Permissions!$H$2:$H$3000,"Expired – not started",Permissions!$I$2:$I$3000,"Yes")</f>
        <v>0</v>
      </c>
      <c r="Z92" s="19" t="n">
        <f aca="false">SUMIFS(Permissions!$F$2:$F$3000,Permissions!$B$2:$B$3000,$A92,Permissions!$H$2:$H$3000,"In planning",Permissions!$I$2:$I$3000,"Yes")</f>
        <v>0</v>
      </c>
      <c r="AA92" s="19" t="n">
        <f aca="false">IF(N92="",0,MAX(N92-X92,0))</f>
        <v>1</v>
      </c>
      <c r="AB92" s="20" t="n">
        <f aca="false">X92+AA92</f>
        <v>1</v>
      </c>
      <c r="AC92" s="19" t="n">
        <f aca="false">AB92-T92</f>
        <v>1</v>
      </c>
      <c r="AD92" s="21" t="n">
        <f aca="false">SUMIFS(Permissions!$T$2:$T$3000,Permissions!$B$2:$B$3000,$A92,Permissions!$I$2:$I$3000,"Yes")</f>
        <v>0</v>
      </c>
      <c r="AE92" s="21" t="n">
        <f aca="false">SUMIFS(Permissions!$U$2:$U$3000,Permissions!$B$2:$B$3000,$A92,Permissions!$I$2:$I$3000,"Yes")</f>
        <v>0</v>
      </c>
      <c r="AF92" s="21" t="n">
        <f aca="false">SUMIFS(Permissions!$V$2:$V$3000,Permissions!$B$2:$B$3000,$A92,Permissions!$I$2:$I$3000,"Yes")</f>
        <v>0</v>
      </c>
      <c r="AG92" s="21" t="n">
        <f aca="false">SUMIFS(Permissions!$W$2:$W$3000,Permissions!$B$2:$B$3000,$A92,Permissions!$I$2:$I$3000,"Yes")</f>
        <v>0</v>
      </c>
      <c r="AH92" s="21" t="n">
        <f aca="false">SUMIFS(Permissions!$X$2:$X$3000,Permissions!$B$2:$B$3000,$A92,Permissions!$I$2:$I$3000,"Yes")</f>
        <v>0</v>
      </c>
      <c r="AI92" s="21" t="n">
        <f aca="false">SUMIFS(Permissions!$Y$2:$Y$3000,Permissions!$B$2:$B$3000,$A92,Permissions!$I$2:$I$3000,"Yes")</f>
        <v>0</v>
      </c>
      <c r="AJ92" s="19" t="n">
        <f aca="false">COUNTIFS(Permissions!$B$2:$B$3000,$A92,Permissions!$I$2:$I$3000,"Yes")</f>
        <v>0</v>
      </c>
      <c r="AK92" s="22" t="str">
        <f aca="false">IF(AND(N92&lt;&gt;"",X92&gt;1.1*N92),"Consented above capacity",IF(AND(LEFT(B92,8)="Planning",AJ92=0),"Consent parcel with no permission",IF(COUNTIF($A$2:$A$3000,$A92)&gt;1,"Duplicate parcel_id","")))</f>
        <v/>
      </c>
    </row>
    <row r="93" customFormat="false" ht="15" hidden="false" customHeight="false" outlineLevel="0" collapsed="false">
      <c r="A93" s="18" t="s">
        <v>229</v>
      </c>
      <c r="B93" s="18" t="s">
        <v>10</v>
      </c>
      <c r="C93" s="18" t="s">
        <v>15</v>
      </c>
      <c r="D93" s="18" t="n">
        <v>40</v>
      </c>
      <c r="E93" s="18" t="s">
        <v>228</v>
      </c>
      <c r="F93" s="18" t="s">
        <v>112</v>
      </c>
      <c r="G93" s="18" t="s">
        <v>189</v>
      </c>
      <c r="H93" s="18" t="s">
        <v>91</v>
      </c>
      <c r="I93" s="18" t="s">
        <v>165</v>
      </c>
      <c r="J93" s="18" t="s">
        <v>93</v>
      </c>
      <c r="K93" s="18" t="s">
        <v>166</v>
      </c>
      <c r="L93" s="18" t="n">
        <v>0.132</v>
      </c>
      <c r="M93" s="18" t="n">
        <v>0.132</v>
      </c>
      <c r="N93" s="18" t="n">
        <v>13</v>
      </c>
      <c r="O93" s="18" t="s">
        <v>95</v>
      </c>
      <c r="P93" s="18" t="s">
        <v>96</v>
      </c>
      <c r="Q93" s="18" t="s">
        <v>97</v>
      </c>
      <c r="R93" s="18" t="s">
        <v>98</v>
      </c>
      <c r="S93" s="18"/>
      <c r="T93" s="19" t="n">
        <f aca="false">SUMIFS(Permissions!$F$2:$F$3000,Permissions!$B$2:$B$3000,$A93,Permissions!$H$2:$H$3000,"Complete",Permissions!$I$2:$I$3000,"Yes")</f>
        <v>0</v>
      </c>
      <c r="U93" s="19" t="n">
        <f aca="false">SUMIFS(Permissions!$F$2:$F$3000,Permissions!$B$2:$B$3000,$A93,Permissions!$H$2:$H$3000,"Under construction",Permissions!$I$2:$I$3000,"Yes")</f>
        <v>0</v>
      </c>
      <c r="V93" s="19" t="n">
        <f aca="false">SUMIFS(Permissions!$F$2:$F$3000,Permissions!$B$2:$B$3000,$A93,Permissions!$H$2:$H$3000,"Permitted – not started",Permissions!$I$2:$I$3000,"Yes")</f>
        <v>0</v>
      </c>
      <c r="W93" s="19" t="n">
        <f aca="false">SUMIFS(Permissions!$F$2:$F$3000,Permissions!$B$2:$B$3000,$A93,Permissions!$H$2:$H$3000,"Stalled",Permissions!$I$2:$I$3000,"Yes")</f>
        <v>0</v>
      </c>
      <c r="X93" s="19" t="n">
        <f aca="false">T93+U93+V93+W93</f>
        <v>0</v>
      </c>
      <c r="Y93" s="19" t="n">
        <f aca="false">SUMIFS(Permissions!$F$2:$F$3000,Permissions!$B$2:$B$3000,$A93,Permissions!$H$2:$H$3000,"Expired – not started",Permissions!$I$2:$I$3000,"Yes")</f>
        <v>0</v>
      </c>
      <c r="Z93" s="19" t="n">
        <f aca="false">SUMIFS(Permissions!$F$2:$F$3000,Permissions!$B$2:$B$3000,$A93,Permissions!$H$2:$H$3000,"In planning",Permissions!$I$2:$I$3000,"Yes")</f>
        <v>0</v>
      </c>
      <c r="AA93" s="19" t="n">
        <f aca="false">IF(N93="",0,MAX(N93-X93,0))</f>
        <v>13</v>
      </c>
      <c r="AB93" s="20" t="n">
        <f aca="false">X93+AA93</f>
        <v>13</v>
      </c>
      <c r="AC93" s="19" t="n">
        <f aca="false">AB93-T93</f>
        <v>13</v>
      </c>
      <c r="AD93" s="21" t="n">
        <f aca="false">SUMIFS(Permissions!$T$2:$T$3000,Permissions!$B$2:$B$3000,$A93,Permissions!$I$2:$I$3000,"Yes")</f>
        <v>0</v>
      </c>
      <c r="AE93" s="21" t="n">
        <f aca="false">SUMIFS(Permissions!$U$2:$U$3000,Permissions!$B$2:$B$3000,$A93,Permissions!$I$2:$I$3000,"Yes")</f>
        <v>0</v>
      </c>
      <c r="AF93" s="21" t="n">
        <f aca="false">SUMIFS(Permissions!$V$2:$V$3000,Permissions!$B$2:$B$3000,$A93,Permissions!$I$2:$I$3000,"Yes")</f>
        <v>0</v>
      </c>
      <c r="AG93" s="21" t="n">
        <f aca="false">SUMIFS(Permissions!$W$2:$W$3000,Permissions!$B$2:$B$3000,$A93,Permissions!$I$2:$I$3000,"Yes")</f>
        <v>0</v>
      </c>
      <c r="AH93" s="21" t="n">
        <f aca="false">SUMIFS(Permissions!$X$2:$X$3000,Permissions!$B$2:$B$3000,$A93,Permissions!$I$2:$I$3000,"Yes")</f>
        <v>0</v>
      </c>
      <c r="AI93" s="21" t="n">
        <f aca="false">SUMIFS(Permissions!$Y$2:$Y$3000,Permissions!$B$2:$B$3000,$A93,Permissions!$I$2:$I$3000,"Yes")</f>
        <v>0</v>
      </c>
      <c r="AJ93" s="19" t="n">
        <f aca="false">COUNTIFS(Permissions!$B$2:$B$3000,$A93,Permissions!$I$2:$I$3000,"Yes")</f>
        <v>0</v>
      </c>
      <c r="AK93" s="22" t="str">
        <f aca="false">IF(AND(N93&lt;&gt;"",X93&gt;1.1*N93),"Consented above capacity",IF(AND(LEFT(B93,8)="Planning",AJ93=0),"Consent parcel with no permission",IF(COUNTIF($A$2:$A$3000,$A93)&gt;1,"Duplicate parcel_id","")))</f>
        <v/>
      </c>
    </row>
    <row r="94" customFormat="false" ht="15" hidden="false" customHeight="false" outlineLevel="0" collapsed="false">
      <c r="A94" s="18" t="s">
        <v>230</v>
      </c>
      <c r="B94" s="18" t="s">
        <v>10</v>
      </c>
      <c r="C94" s="18" t="s">
        <v>15</v>
      </c>
      <c r="D94" s="18" t="n">
        <v>41</v>
      </c>
      <c r="E94" s="18" t="s">
        <v>228</v>
      </c>
      <c r="F94" s="18" t="s">
        <v>112</v>
      </c>
      <c r="G94" s="18" t="s">
        <v>189</v>
      </c>
      <c r="H94" s="18" t="s">
        <v>91</v>
      </c>
      <c r="I94" s="18" t="s">
        <v>165</v>
      </c>
      <c r="J94" s="18" t="s">
        <v>93</v>
      </c>
      <c r="K94" s="18" t="s">
        <v>166</v>
      </c>
      <c r="L94" s="18" t="n">
        <v>0.106</v>
      </c>
      <c r="M94" s="18" t="n">
        <v>0.107</v>
      </c>
      <c r="N94" s="18" t="n">
        <v>11</v>
      </c>
      <c r="O94" s="18" t="s">
        <v>95</v>
      </c>
      <c r="P94" s="18" t="s">
        <v>96</v>
      </c>
      <c r="Q94" s="18" t="s">
        <v>97</v>
      </c>
      <c r="R94" s="18" t="s">
        <v>98</v>
      </c>
      <c r="S94" s="18"/>
      <c r="T94" s="19" t="n">
        <f aca="false">SUMIFS(Permissions!$F$2:$F$3000,Permissions!$B$2:$B$3000,$A94,Permissions!$H$2:$H$3000,"Complete",Permissions!$I$2:$I$3000,"Yes")</f>
        <v>0</v>
      </c>
      <c r="U94" s="19" t="n">
        <f aca="false">SUMIFS(Permissions!$F$2:$F$3000,Permissions!$B$2:$B$3000,$A94,Permissions!$H$2:$H$3000,"Under construction",Permissions!$I$2:$I$3000,"Yes")</f>
        <v>0</v>
      </c>
      <c r="V94" s="19" t="n">
        <f aca="false">SUMIFS(Permissions!$F$2:$F$3000,Permissions!$B$2:$B$3000,$A94,Permissions!$H$2:$H$3000,"Permitted – not started",Permissions!$I$2:$I$3000,"Yes")</f>
        <v>0</v>
      </c>
      <c r="W94" s="19" t="n">
        <f aca="false">SUMIFS(Permissions!$F$2:$F$3000,Permissions!$B$2:$B$3000,$A94,Permissions!$H$2:$H$3000,"Stalled",Permissions!$I$2:$I$3000,"Yes")</f>
        <v>0</v>
      </c>
      <c r="X94" s="19" t="n">
        <f aca="false">T94+U94+V94+W94</f>
        <v>0</v>
      </c>
      <c r="Y94" s="19" t="n">
        <f aca="false">SUMIFS(Permissions!$F$2:$F$3000,Permissions!$B$2:$B$3000,$A94,Permissions!$H$2:$H$3000,"Expired – not started",Permissions!$I$2:$I$3000,"Yes")</f>
        <v>0</v>
      </c>
      <c r="Z94" s="19" t="n">
        <f aca="false">SUMIFS(Permissions!$F$2:$F$3000,Permissions!$B$2:$B$3000,$A94,Permissions!$H$2:$H$3000,"In planning",Permissions!$I$2:$I$3000,"Yes")</f>
        <v>30</v>
      </c>
      <c r="AA94" s="19" t="n">
        <f aca="false">IF(N94="",0,MAX(N94-X94,0))</f>
        <v>11</v>
      </c>
      <c r="AB94" s="20" t="n">
        <f aca="false">X94+AA94</f>
        <v>11</v>
      </c>
      <c r="AC94" s="19" t="n">
        <f aca="false">AB94-T94</f>
        <v>11</v>
      </c>
      <c r="AD94" s="21" t="n">
        <f aca="false">SUMIFS(Permissions!$T$2:$T$3000,Permissions!$B$2:$B$3000,$A94,Permissions!$I$2:$I$3000,"Yes")</f>
        <v>0</v>
      </c>
      <c r="AE94" s="21" t="n">
        <f aca="false">SUMIFS(Permissions!$U$2:$U$3000,Permissions!$B$2:$B$3000,$A94,Permissions!$I$2:$I$3000,"Yes")</f>
        <v>0</v>
      </c>
      <c r="AF94" s="21" t="n">
        <f aca="false">SUMIFS(Permissions!$V$2:$V$3000,Permissions!$B$2:$B$3000,$A94,Permissions!$I$2:$I$3000,"Yes")</f>
        <v>0</v>
      </c>
      <c r="AG94" s="21" t="n">
        <f aca="false">SUMIFS(Permissions!$W$2:$W$3000,Permissions!$B$2:$B$3000,$A94,Permissions!$I$2:$I$3000,"Yes")</f>
        <v>0</v>
      </c>
      <c r="AH94" s="21" t="n">
        <f aca="false">SUMIFS(Permissions!$X$2:$X$3000,Permissions!$B$2:$B$3000,$A94,Permissions!$I$2:$I$3000,"Yes")</f>
        <v>0</v>
      </c>
      <c r="AI94" s="21" t="n">
        <f aca="false">SUMIFS(Permissions!$Y$2:$Y$3000,Permissions!$B$2:$B$3000,$A94,Permissions!$I$2:$I$3000,"Yes")</f>
        <v>0</v>
      </c>
      <c r="AJ94" s="19" t="n">
        <f aca="false">COUNTIFS(Permissions!$B$2:$B$3000,$A94,Permissions!$I$2:$I$3000,"Yes")</f>
        <v>1</v>
      </c>
      <c r="AK94" s="22" t="str">
        <f aca="false">IF(AND(N94&lt;&gt;"",X94&gt;1.1*N94),"Consented above capacity",IF(AND(LEFT(B94,8)="Planning",AJ94=0),"Consent parcel with no permission",IF(COUNTIF($A$2:$A$3000,$A94)&gt;1,"Duplicate parcel_id","")))</f>
        <v/>
      </c>
    </row>
    <row r="95" customFormat="false" ht="15" hidden="false" customHeight="false" outlineLevel="0" collapsed="false">
      <c r="A95" s="18" t="s">
        <v>231</v>
      </c>
      <c r="B95" s="18" t="s">
        <v>10</v>
      </c>
      <c r="C95" s="18" t="s">
        <v>15</v>
      </c>
      <c r="D95" s="18" t="n">
        <v>109</v>
      </c>
      <c r="E95" s="18" t="s">
        <v>232</v>
      </c>
      <c r="F95" s="18" t="s">
        <v>112</v>
      </c>
      <c r="G95" s="18" t="s">
        <v>233</v>
      </c>
      <c r="H95" s="18" t="s">
        <v>91</v>
      </c>
      <c r="I95" s="18" t="s">
        <v>92</v>
      </c>
      <c r="J95" s="18" t="s">
        <v>101</v>
      </c>
      <c r="K95" s="18" t="s">
        <v>94</v>
      </c>
      <c r="L95" s="18" t="n">
        <v>0.26</v>
      </c>
      <c r="M95" s="18" t="n">
        <v>0.261</v>
      </c>
      <c r="N95" s="18" t="n">
        <v>12</v>
      </c>
      <c r="O95" s="18" t="s">
        <v>95</v>
      </c>
      <c r="P95" s="18" t="s">
        <v>96</v>
      </c>
      <c r="Q95" s="18" t="s">
        <v>97</v>
      </c>
      <c r="R95" s="18" t="s">
        <v>98</v>
      </c>
      <c r="S95" s="18"/>
      <c r="T95" s="19" t="n">
        <f aca="false">SUMIFS(Permissions!$F$2:$F$3000,Permissions!$B$2:$B$3000,$A95,Permissions!$H$2:$H$3000,"Complete",Permissions!$I$2:$I$3000,"Yes")</f>
        <v>0</v>
      </c>
      <c r="U95" s="19" t="n">
        <f aca="false">SUMIFS(Permissions!$F$2:$F$3000,Permissions!$B$2:$B$3000,$A95,Permissions!$H$2:$H$3000,"Under construction",Permissions!$I$2:$I$3000,"Yes")</f>
        <v>0</v>
      </c>
      <c r="V95" s="19" t="n">
        <f aca="false">SUMIFS(Permissions!$F$2:$F$3000,Permissions!$B$2:$B$3000,$A95,Permissions!$H$2:$H$3000,"Permitted – not started",Permissions!$I$2:$I$3000,"Yes")</f>
        <v>0</v>
      </c>
      <c r="W95" s="19" t="n">
        <f aca="false">SUMIFS(Permissions!$F$2:$F$3000,Permissions!$B$2:$B$3000,$A95,Permissions!$H$2:$H$3000,"Stalled",Permissions!$I$2:$I$3000,"Yes")</f>
        <v>0</v>
      </c>
      <c r="X95" s="19" t="n">
        <f aca="false">T95+U95+V95+W95</f>
        <v>0</v>
      </c>
      <c r="Y95" s="19" t="n">
        <f aca="false">SUMIFS(Permissions!$F$2:$F$3000,Permissions!$B$2:$B$3000,$A95,Permissions!$H$2:$H$3000,"Expired – not started",Permissions!$I$2:$I$3000,"Yes")</f>
        <v>0</v>
      </c>
      <c r="Z95" s="19" t="n">
        <f aca="false">SUMIFS(Permissions!$F$2:$F$3000,Permissions!$B$2:$B$3000,$A95,Permissions!$H$2:$H$3000,"In planning",Permissions!$I$2:$I$3000,"Yes")</f>
        <v>0</v>
      </c>
      <c r="AA95" s="19" t="n">
        <f aca="false">IF(N95="",0,MAX(N95-X95,0))</f>
        <v>12</v>
      </c>
      <c r="AB95" s="20" t="n">
        <f aca="false">X95+AA95</f>
        <v>12</v>
      </c>
      <c r="AC95" s="19" t="n">
        <f aca="false">AB95-T95</f>
        <v>12</v>
      </c>
      <c r="AD95" s="21" t="n">
        <f aca="false">SUMIFS(Permissions!$T$2:$T$3000,Permissions!$B$2:$B$3000,$A95,Permissions!$I$2:$I$3000,"Yes")</f>
        <v>0</v>
      </c>
      <c r="AE95" s="21" t="n">
        <f aca="false">SUMIFS(Permissions!$U$2:$U$3000,Permissions!$B$2:$B$3000,$A95,Permissions!$I$2:$I$3000,"Yes")</f>
        <v>0</v>
      </c>
      <c r="AF95" s="21" t="n">
        <f aca="false">SUMIFS(Permissions!$V$2:$V$3000,Permissions!$B$2:$B$3000,$A95,Permissions!$I$2:$I$3000,"Yes")</f>
        <v>0</v>
      </c>
      <c r="AG95" s="21" t="n">
        <f aca="false">SUMIFS(Permissions!$W$2:$W$3000,Permissions!$B$2:$B$3000,$A95,Permissions!$I$2:$I$3000,"Yes")</f>
        <v>0</v>
      </c>
      <c r="AH95" s="21" t="n">
        <f aca="false">SUMIFS(Permissions!$X$2:$X$3000,Permissions!$B$2:$B$3000,$A95,Permissions!$I$2:$I$3000,"Yes")</f>
        <v>0</v>
      </c>
      <c r="AI95" s="21" t="n">
        <f aca="false">SUMIFS(Permissions!$Y$2:$Y$3000,Permissions!$B$2:$B$3000,$A95,Permissions!$I$2:$I$3000,"Yes")</f>
        <v>0</v>
      </c>
      <c r="AJ95" s="19" t="n">
        <f aca="false">COUNTIFS(Permissions!$B$2:$B$3000,$A95,Permissions!$I$2:$I$3000,"Yes")</f>
        <v>0</v>
      </c>
      <c r="AK95" s="22" t="str">
        <f aca="false">IF(AND(N95&lt;&gt;"",X95&gt;1.1*N95),"Consented above capacity",IF(AND(LEFT(B95,8)="Planning",AJ95=0),"Consent parcel with no permission",IF(COUNTIF($A$2:$A$3000,$A95)&gt;1,"Duplicate parcel_id","")))</f>
        <v/>
      </c>
    </row>
    <row r="96" customFormat="false" ht="15" hidden="false" customHeight="false" outlineLevel="0" collapsed="false">
      <c r="A96" s="18" t="s">
        <v>234</v>
      </c>
      <c r="B96" s="18" t="s">
        <v>10</v>
      </c>
      <c r="C96" s="18" t="s">
        <v>15</v>
      </c>
      <c r="D96" s="18" t="n">
        <v>169</v>
      </c>
      <c r="E96" s="18" t="s">
        <v>232</v>
      </c>
      <c r="F96" s="18" t="s">
        <v>112</v>
      </c>
      <c r="G96" s="18"/>
      <c r="H96" s="18" t="s">
        <v>119</v>
      </c>
      <c r="I96" s="18"/>
      <c r="J96" s="18"/>
      <c r="K96" s="18"/>
      <c r="L96" s="18" t="n">
        <v>0.424</v>
      </c>
      <c r="M96" s="18" t="n">
        <v>0.423</v>
      </c>
      <c r="N96" s="18" t="n">
        <v>0</v>
      </c>
      <c r="O96" s="18" t="s">
        <v>95</v>
      </c>
      <c r="P96" s="18"/>
      <c r="Q96" s="18"/>
      <c r="R96" s="18" t="s">
        <v>98</v>
      </c>
      <c r="S96" s="18"/>
      <c r="T96" s="19" t="n">
        <f aca="false">SUMIFS(Permissions!$F$2:$F$3000,Permissions!$B$2:$B$3000,$A96,Permissions!$H$2:$H$3000,"Complete",Permissions!$I$2:$I$3000,"Yes")</f>
        <v>0</v>
      </c>
      <c r="U96" s="19" t="n">
        <f aca="false">SUMIFS(Permissions!$F$2:$F$3000,Permissions!$B$2:$B$3000,$A96,Permissions!$H$2:$H$3000,"Under construction",Permissions!$I$2:$I$3000,"Yes")</f>
        <v>0</v>
      </c>
      <c r="V96" s="19" t="n">
        <f aca="false">SUMIFS(Permissions!$F$2:$F$3000,Permissions!$B$2:$B$3000,$A96,Permissions!$H$2:$H$3000,"Permitted – not started",Permissions!$I$2:$I$3000,"Yes")</f>
        <v>0</v>
      </c>
      <c r="W96" s="19" t="n">
        <f aca="false">SUMIFS(Permissions!$F$2:$F$3000,Permissions!$B$2:$B$3000,$A96,Permissions!$H$2:$H$3000,"Stalled",Permissions!$I$2:$I$3000,"Yes")</f>
        <v>0</v>
      </c>
      <c r="X96" s="19" t="n">
        <f aca="false">T96+U96+V96+W96</f>
        <v>0</v>
      </c>
      <c r="Y96" s="19" t="n">
        <f aca="false">SUMIFS(Permissions!$F$2:$F$3000,Permissions!$B$2:$B$3000,$A96,Permissions!$H$2:$H$3000,"Expired – not started",Permissions!$I$2:$I$3000,"Yes")</f>
        <v>0</v>
      </c>
      <c r="Z96" s="19" t="n">
        <f aca="false">SUMIFS(Permissions!$F$2:$F$3000,Permissions!$B$2:$B$3000,$A96,Permissions!$H$2:$H$3000,"In planning",Permissions!$I$2:$I$3000,"Yes")</f>
        <v>0</v>
      </c>
      <c r="AA96" s="19" t="n">
        <f aca="false">IF(N96="",0,MAX(N96-X96,0))</f>
        <v>0</v>
      </c>
      <c r="AB96" s="20" t="n">
        <f aca="false">X96+AA96</f>
        <v>0</v>
      </c>
      <c r="AC96" s="19" t="n">
        <f aca="false">AB96-T96</f>
        <v>0</v>
      </c>
      <c r="AD96" s="21" t="n">
        <f aca="false">SUMIFS(Permissions!$T$2:$T$3000,Permissions!$B$2:$B$3000,$A96,Permissions!$I$2:$I$3000,"Yes")</f>
        <v>0</v>
      </c>
      <c r="AE96" s="21" t="n">
        <f aca="false">SUMIFS(Permissions!$U$2:$U$3000,Permissions!$B$2:$B$3000,$A96,Permissions!$I$2:$I$3000,"Yes")</f>
        <v>0</v>
      </c>
      <c r="AF96" s="21" t="n">
        <f aca="false">SUMIFS(Permissions!$V$2:$V$3000,Permissions!$B$2:$B$3000,$A96,Permissions!$I$2:$I$3000,"Yes")</f>
        <v>0</v>
      </c>
      <c r="AG96" s="21" t="n">
        <f aca="false">SUMIFS(Permissions!$W$2:$W$3000,Permissions!$B$2:$B$3000,$A96,Permissions!$I$2:$I$3000,"Yes")</f>
        <v>0</v>
      </c>
      <c r="AH96" s="21" t="n">
        <f aca="false">SUMIFS(Permissions!$X$2:$X$3000,Permissions!$B$2:$B$3000,$A96,Permissions!$I$2:$I$3000,"Yes")</f>
        <v>0</v>
      </c>
      <c r="AI96" s="21" t="n">
        <f aca="false">SUMIFS(Permissions!$Y$2:$Y$3000,Permissions!$B$2:$B$3000,$A96,Permissions!$I$2:$I$3000,"Yes")</f>
        <v>0</v>
      </c>
      <c r="AJ96" s="19" t="n">
        <f aca="false">COUNTIFS(Permissions!$B$2:$B$3000,$A96,Permissions!$I$2:$I$3000,"Yes")</f>
        <v>0</v>
      </c>
      <c r="AK96" s="22" t="str">
        <f aca="false">IF(AND(N96&lt;&gt;"",X96&gt;1.1*N96),"Consented above capacity",IF(AND(LEFT(B96,8)="Planning",AJ96=0),"Consent parcel with no permission",IF(COUNTIF($A$2:$A$3000,$A96)&gt;1,"Duplicate parcel_id","")))</f>
        <v/>
      </c>
    </row>
    <row r="97" customFormat="false" ht="15" hidden="false" customHeight="false" outlineLevel="0" collapsed="false">
      <c r="A97" s="18" t="s">
        <v>235</v>
      </c>
      <c r="B97" s="18" t="s">
        <v>10</v>
      </c>
      <c r="C97" s="18" t="s">
        <v>15</v>
      </c>
      <c r="D97" s="18" t="n">
        <v>43</v>
      </c>
      <c r="E97" s="18" t="s">
        <v>232</v>
      </c>
      <c r="F97" s="18" t="s">
        <v>112</v>
      </c>
      <c r="G97" s="18" t="s">
        <v>233</v>
      </c>
      <c r="H97" s="18" t="s">
        <v>105</v>
      </c>
      <c r="I97" s="18" t="s">
        <v>92</v>
      </c>
      <c r="J97" s="18" t="s">
        <v>93</v>
      </c>
      <c r="K97" s="18" t="s">
        <v>94</v>
      </c>
      <c r="L97" s="18" t="n">
        <v>4.191</v>
      </c>
      <c r="M97" s="18" t="n">
        <v>4.19</v>
      </c>
      <c r="N97" s="18" t="n">
        <v>188</v>
      </c>
      <c r="O97" s="18" t="s">
        <v>95</v>
      </c>
      <c r="P97" s="18" t="s">
        <v>96</v>
      </c>
      <c r="Q97" s="18" t="s">
        <v>97</v>
      </c>
      <c r="R97" s="18" t="s">
        <v>98</v>
      </c>
      <c r="S97" s="18"/>
      <c r="T97" s="19" t="n">
        <f aca="false">SUMIFS(Permissions!$F$2:$F$3000,Permissions!$B$2:$B$3000,$A97,Permissions!$H$2:$H$3000,"Complete",Permissions!$I$2:$I$3000,"Yes")</f>
        <v>0</v>
      </c>
      <c r="U97" s="19" t="n">
        <f aca="false">SUMIFS(Permissions!$F$2:$F$3000,Permissions!$B$2:$B$3000,$A97,Permissions!$H$2:$H$3000,"Under construction",Permissions!$I$2:$I$3000,"Yes")</f>
        <v>0</v>
      </c>
      <c r="V97" s="19" t="n">
        <f aca="false">SUMIFS(Permissions!$F$2:$F$3000,Permissions!$B$2:$B$3000,$A97,Permissions!$H$2:$H$3000,"Permitted – not started",Permissions!$I$2:$I$3000,"Yes")</f>
        <v>0</v>
      </c>
      <c r="W97" s="19" t="n">
        <f aca="false">SUMIFS(Permissions!$F$2:$F$3000,Permissions!$B$2:$B$3000,$A97,Permissions!$H$2:$H$3000,"Stalled",Permissions!$I$2:$I$3000,"Yes")</f>
        <v>0</v>
      </c>
      <c r="X97" s="19" t="n">
        <f aca="false">T97+U97+V97+W97</f>
        <v>0</v>
      </c>
      <c r="Y97" s="19" t="n">
        <f aca="false">SUMIFS(Permissions!$F$2:$F$3000,Permissions!$B$2:$B$3000,$A97,Permissions!$H$2:$H$3000,"Expired – not started",Permissions!$I$2:$I$3000,"Yes")</f>
        <v>0</v>
      </c>
      <c r="Z97" s="19" t="n">
        <f aca="false">SUMIFS(Permissions!$F$2:$F$3000,Permissions!$B$2:$B$3000,$A97,Permissions!$H$2:$H$3000,"In planning",Permissions!$I$2:$I$3000,"Yes")</f>
        <v>0</v>
      </c>
      <c r="AA97" s="19" t="n">
        <f aca="false">IF(N97="",0,MAX(N97-X97,0))</f>
        <v>188</v>
      </c>
      <c r="AB97" s="20" t="n">
        <f aca="false">X97+AA97</f>
        <v>188</v>
      </c>
      <c r="AC97" s="19" t="n">
        <f aca="false">AB97-T97</f>
        <v>188</v>
      </c>
      <c r="AD97" s="21" t="n">
        <f aca="false">SUMIFS(Permissions!$T$2:$T$3000,Permissions!$B$2:$B$3000,$A97,Permissions!$I$2:$I$3000,"Yes")</f>
        <v>0</v>
      </c>
      <c r="AE97" s="21" t="n">
        <f aca="false">SUMIFS(Permissions!$U$2:$U$3000,Permissions!$B$2:$B$3000,$A97,Permissions!$I$2:$I$3000,"Yes")</f>
        <v>0</v>
      </c>
      <c r="AF97" s="21" t="n">
        <f aca="false">SUMIFS(Permissions!$V$2:$V$3000,Permissions!$B$2:$B$3000,$A97,Permissions!$I$2:$I$3000,"Yes")</f>
        <v>0</v>
      </c>
      <c r="AG97" s="21" t="n">
        <f aca="false">SUMIFS(Permissions!$W$2:$W$3000,Permissions!$B$2:$B$3000,$A97,Permissions!$I$2:$I$3000,"Yes")</f>
        <v>0</v>
      </c>
      <c r="AH97" s="21" t="n">
        <f aca="false">SUMIFS(Permissions!$X$2:$X$3000,Permissions!$B$2:$B$3000,$A97,Permissions!$I$2:$I$3000,"Yes")</f>
        <v>0</v>
      </c>
      <c r="AI97" s="21" t="n">
        <f aca="false">SUMIFS(Permissions!$Y$2:$Y$3000,Permissions!$B$2:$B$3000,$A97,Permissions!$I$2:$I$3000,"Yes")</f>
        <v>0</v>
      </c>
      <c r="AJ97" s="19" t="n">
        <f aca="false">COUNTIFS(Permissions!$B$2:$B$3000,$A97,Permissions!$I$2:$I$3000,"Yes")</f>
        <v>0</v>
      </c>
      <c r="AK97" s="22" t="str">
        <f aca="false">IF(AND(N97&lt;&gt;"",X97&gt;1.1*N97),"Consented above capacity",IF(AND(LEFT(B97,8)="Planning",AJ97=0),"Consent parcel with no permission",IF(COUNTIF($A$2:$A$3000,$A97)&gt;1,"Duplicate parcel_id","")))</f>
        <v/>
      </c>
    </row>
    <row r="98" customFormat="false" ht="15" hidden="false" customHeight="false" outlineLevel="0" collapsed="false">
      <c r="A98" s="18" t="s">
        <v>236</v>
      </c>
      <c r="B98" s="18" t="s">
        <v>10</v>
      </c>
      <c r="C98" s="18" t="s">
        <v>15</v>
      </c>
      <c r="D98" s="18" t="n">
        <v>45</v>
      </c>
      <c r="E98" s="18" t="s">
        <v>232</v>
      </c>
      <c r="F98" s="18" t="s">
        <v>112</v>
      </c>
      <c r="G98" s="18" t="s">
        <v>233</v>
      </c>
      <c r="H98" s="18" t="s">
        <v>105</v>
      </c>
      <c r="I98" s="18" t="s">
        <v>92</v>
      </c>
      <c r="J98" s="18" t="s">
        <v>101</v>
      </c>
      <c r="K98" s="18" t="s">
        <v>94</v>
      </c>
      <c r="L98" s="18" t="n">
        <v>0.452</v>
      </c>
      <c r="M98" s="18" t="n">
        <v>0.452</v>
      </c>
      <c r="N98" s="18" t="n">
        <v>20</v>
      </c>
      <c r="O98" s="18" t="s">
        <v>95</v>
      </c>
      <c r="P98" s="18" t="s">
        <v>96</v>
      </c>
      <c r="Q98" s="18" t="s">
        <v>97</v>
      </c>
      <c r="R98" s="18" t="s">
        <v>98</v>
      </c>
      <c r="S98" s="18"/>
      <c r="T98" s="19" t="n">
        <f aca="false">SUMIFS(Permissions!$F$2:$F$3000,Permissions!$B$2:$B$3000,$A98,Permissions!$H$2:$H$3000,"Complete",Permissions!$I$2:$I$3000,"Yes")</f>
        <v>0</v>
      </c>
      <c r="U98" s="19" t="n">
        <f aca="false">SUMIFS(Permissions!$F$2:$F$3000,Permissions!$B$2:$B$3000,$A98,Permissions!$H$2:$H$3000,"Under construction",Permissions!$I$2:$I$3000,"Yes")</f>
        <v>0</v>
      </c>
      <c r="V98" s="19" t="n">
        <f aca="false">SUMIFS(Permissions!$F$2:$F$3000,Permissions!$B$2:$B$3000,$A98,Permissions!$H$2:$H$3000,"Permitted – not started",Permissions!$I$2:$I$3000,"Yes")</f>
        <v>0</v>
      </c>
      <c r="W98" s="19" t="n">
        <f aca="false">SUMIFS(Permissions!$F$2:$F$3000,Permissions!$B$2:$B$3000,$A98,Permissions!$H$2:$H$3000,"Stalled",Permissions!$I$2:$I$3000,"Yes")</f>
        <v>0</v>
      </c>
      <c r="X98" s="19" t="n">
        <f aca="false">T98+U98+V98+W98</f>
        <v>0</v>
      </c>
      <c r="Y98" s="19" t="n">
        <f aca="false">SUMIFS(Permissions!$F$2:$F$3000,Permissions!$B$2:$B$3000,$A98,Permissions!$H$2:$H$3000,"Expired – not started",Permissions!$I$2:$I$3000,"Yes")</f>
        <v>0</v>
      </c>
      <c r="Z98" s="19" t="n">
        <f aca="false">SUMIFS(Permissions!$F$2:$F$3000,Permissions!$B$2:$B$3000,$A98,Permissions!$H$2:$H$3000,"In planning",Permissions!$I$2:$I$3000,"Yes")</f>
        <v>0</v>
      </c>
      <c r="AA98" s="19" t="n">
        <f aca="false">IF(N98="",0,MAX(N98-X98,0))</f>
        <v>20</v>
      </c>
      <c r="AB98" s="20" t="n">
        <f aca="false">X98+AA98</f>
        <v>20</v>
      </c>
      <c r="AC98" s="19" t="n">
        <f aca="false">AB98-T98</f>
        <v>20</v>
      </c>
      <c r="AD98" s="21" t="n">
        <f aca="false">SUMIFS(Permissions!$T$2:$T$3000,Permissions!$B$2:$B$3000,$A98,Permissions!$I$2:$I$3000,"Yes")</f>
        <v>0</v>
      </c>
      <c r="AE98" s="21" t="n">
        <f aca="false">SUMIFS(Permissions!$U$2:$U$3000,Permissions!$B$2:$B$3000,$A98,Permissions!$I$2:$I$3000,"Yes")</f>
        <v>0</v>
      </c>
      <c r="AF98" s="21" t="n">
        <f aca="false">SUMIFS(Permissions!$V$2:$V$3000,Permissions!$B$2:$B$3000,$A98,Permissions!$I$2:$I$3000,"Yes")</f>
        <v>0</v>
      </c>
      <c r="AG98" s="21" t="n">
        <f aca="false">SUMIFS(Permissions!$W$2:$W$3000,Permissions!$B$2:$B$3000,$A98,Permissions!$I$2:$I$3000,"Yes")</f>
        <v>0</v>
      </c>
      <c r="AH98" s="21" t="n">
        <f aca="false">SUMIFS(Permissions!$X$2:$X$3000,Permissions!$B$2:$B$3000,$A98,Permissions!$I$2:$I$3000,"Yes")</f>
        <v>0</v>
      </c>
      <c r="AI98" s="21" t="n">
        <f aca="false">SUMIFS(Permissions!$Y$2:$Y$3000,Permissions!$B$2:$B$3000,$A98,Permissions!$I$2:$I$3000,"Yes")</f>
        <v>0</v>
      </c>
      <c r="AJ98" s="19" t="n">
        <f aca="false">COUNTIFS(Permissions!$B$2:$B$3000,$A98,Permissions!$I$2:$I$3000,"Yes")</f>
        <v>0</v>
      </c>
      <c r="AK98" s="22" t="str">
        <f aca="false">IF(AND(N98&lt;&gt;"",X98&gt;1.1*N98),"Consented above capacity",IF(AND(LEFT(B98,8)="Planning",AJ98=0),"Consent parcel with no permission",IF(COUNTIF($A$2:$A$3000,$A98)&gt;1,"Duplicate parcel_id","")))</f>
        <v/>
      </c>
    </row>
    <row r="99" customFormat="false" ht="15" hidden="false" customHeight="false" outlineLevel="0" collapsed="false">
      <c r="A99" s="18" t="s">
        <v>237</v>
      </c>
      <c r="B99" s="18" t="s">
        <v>10</v>
      </c>
      <c r="C99" s="18" t="s">
        <v>15</v>
      </c>
      <c r="D99" s="18" t="n">
        <v>46</v>
      </c>
      <c r="E99" s="18" t="s">
        <v>232</v>
      </c>
      <c r="F99" s="18" t="s">
        <v>112</v>
      </c>
      <c r="G99" s="18" t="s">
        <v>233</v>
      </c>
      <c r="H99" s="18" t="s">
        <v>105</v>
      </c>
      <c r="I99" s="18" t="s">
        <v>92</v>
      </c>
      <c r="J99" s="18" t="s">
        <v>101</v>
      </c>
      <c r="K99" s="18" t="s">
        <v>94</v>
      </c>
      <c r="L99" s="18" t="n">
        <v>0.912</v>
      </c>
      <c r="M99" s="18" t="n">
        <v>0.912</v>
      </c>
      <c r="N99" s="18" t="n">
        <v>41</v>
      </c>
      <c r="O99" s="18" t="s">
        <v>95</v>
      </c>
      <c r="P99" s="18" t="s">
        <v>96</v>
      </c>
      <c r="Q99" s="18" t="s">
        <v>97</v>
      </c>
      <c r="R99" s="18" t="s">
        <v>98</v>
      </c>
      <c r="S99" s="18"/>
      <c r="T99" s="19" t="n">
        <f aca="false">SUMIFS(Permissions!$F$2:$F$3000,Permissions!$B$2:$B$3000,$A99,Permissions!$H$2:$H$3000,"Complete",Permissions!$I$2:$I$3000,"Yes")</f>
        <v>0</v>
      </c>
      <c r="U99" s="19" t="n">
        <f aca="false">SUMIFS(Permissions!$F$2:$F$3000,Permissions!$B$2:$B$3000,$A99,Permissions!$H$2:$H$3000,"Under construction",Permissions!$I$2:$I$3000,"Yes")</f>
        <v>0</v>
      </c>
      <c r="V99" s="19" t="n">
        <f aca="false">SUMIFS(Permissions!$F$2:$F$3000,Permissions!$B$2:$B$3000,$A99,Permissions!$H$2:$H$3000,"Permitted – not started",Permissions!$I$2:$I$3000,"Yes")</f>
        <v>0</v>
      </c>
      <c r="W99" s="19" t="n">
        <f aca="false">SUMIFS(Permissions!$F$2:$F$3000,Permissions!$B$2:$B$3000,$A99,Permissions!$H$2:$H$3000,"Stalled",Permissions!$I$2:$I$3000,"Yes")</f>
        <v>0</v>
      </c>
      <c r="X99" s="19" t="n">
        <f aca="false">T99+U99+V99+W99</f>
        <v>0</v>
      </c>
      <c r="Y99" s="19" t="n">
        <f aca="false">SUMIFS(Permissions!$F$2:$F$3000,Permissions!$B$2:$B$3000,$A99,Permissions!$H$2:$H$3000,"Expired – not started",Permissions!$I$2:$I$3000,"Yes")</f>
        <v>0</v>
      </c>
      <c r="Z99" s="19" t="n">
        <f aca="false">SUMIFS(Permissions!$F$2:$F$3000,Permissions!$B$2:$B$3000,$A99,Permissions!$H$2:$H$3000,"In planning",Permissions!$I$2:$I$3000,"Yes")</f>
        <v>0</v>
      </c>
      <c r="AA99" s="19" t="n">
        <f aca="false">IF(N99="",0,MAX(N99-X99,0))</f>
        <v>41</v>
      </c>
      <c r="AB99" s="20" t="n">
        <f aca="false">X99+AA99</f>
        <v>41</v>
      </c>
      <c r="AC99" s="19" t="n">
        <f aca="false">AB99-T99</f>
        <v>41</v>
      </c>
      <c r="AD99" s="21" t="n">
        <f aca="false">SUMIFS(Permissions!$T$2:$T$3000,Permissions!$B$2:$B$3000,$A99,Permissions!$I$2:$I$3000,"Yes")</f>
        <v>0</v>
      </c>
      <c r="AE99" s="21" t="n">
        <f aca="false">SUMIFS(Permissions!$U$2:$U$3000,Permissions!$B$2:$B$3000,$A99,Permissions!$I$2:$I$3000,"Yes")</f>
        <v>0</v>
      </c>
      <c r="AF99" s="21" t="n">
        <f aca="false">SUMIFS(Permissions!$V$2:$V$3000,Permissions!$B$2:$B$3000,$A99,Permissions!$I$2:$I$3000,"Yes")</f>
        <v>0</v>
      </c>
      <c r="AG99" s="21" t="n">
        <f aca="false">SUMIFS(Permissions!$W$2:$W$3000,Permissions!$B$2:$B$3000,$A99,Permissions!$I$2:$I$3000,"Yes")</f>
        <v>0</v>
      </c>
      <c r="AH99" s="21" t="n">
        <f aca="false">SUMIFS(Permissions!$X$2:$X$3000,Permissions!$B$2:$B$3000,$A99,Permissions!$I$2:$I$3000,"Yes")</f>
        <v>0</v>
      </c>
      <c r="AI99" s="21" t="n">
        <f aca="false">SUMIFS(Permissions!$Y$2:$Y$3000,Permissions!$B$2:$B$3000,$A99,Permissions!$I$2:$I$3000,"Yes")</f>
        <v>0</v>
      </c>
      <c r="AJ99" s="19" t="n">
        <f aca="false">COUNTIFS(Permissions!$B$2:$B$3000,$A99,Permissions!$I$2:$I$3000,"Yes")</f>
        <v>0</v>
      </c>
      <c r="AK99" s="22" t="str">
        <f aca="false">IF(AND(N99&lt;&gt;"",X99&gt;1.1*N99),"Consented above capacity",IF(AND(LEFT(B99,8)="Planning",AJ99=0),"Consent parcel with no permission",IF(COUNTIF($A$2:$A$3000,$A99)&gt;1,"Duplicate parcel_id","")))</f>
        <v/>
      </c>
    </row>
    <row r="100" customFormat="false" ht="15" hidden="false" customHeight="false" outlineLevel="0" collapsed="false">
      <c r="A100" s="18" t="s">
        <v>238</v>
      </c>
      <c r="B100" s="18" t="s">
        <v>10</v>
      </c>
      <c r="C100" s="18" t="s">
        <v>15</v>
      </c>
      <c r="D100" s="18" t="n">
        <v>47</v>
      </c>
      <c r="E100" s="18" t="s">
        <v>232</v>
      </c>
      <c r="F100" s="18" t="s">
        <v>112</v>
      </c>
      <c r="G100" s="18" t="s">
        <v>233</v>
      </c>
      <c r="H100" s="18" t="s">
        <v>105</v>
      </c>
      <c r="I100" s="18" t="s">
        <v>92</v>
      </c>
      <c r="J100" s="18" t="s">
        <v>101</v>
      </c>
      <c r="K100" s="18" t="s">
        <v>94</v>
      </c>
      <c r="L100" s="18" t="n">
        <v>0.373</v>
      </c>
      <c r="M100" s="18" t="n">
        <v>0.374</v>
      </c>
      <c r="N100" s="18" t="n">
        <v>17</v>
      </c>
      <c r="O100" s="18" t="s">
        <v>95</v>
      </c>
      <c r="P100" s="18" t="s">
        <v>96</v>
      </c>
      <c r="Q100" s="18" t="s">
        <v>97</v>
      </c>
      <c r="R100" s="18" t="s">
        <v>98</v>
      </c>
      <c r="S100" s="18"/>
      <c r="T100" s="19" t="n">
        <f aca="false">SUMIFS(Permissions!$F$2:$F$3000,Permissions!$B$2:$B$3000,$A100,Permissions!$H$2:$H$3000,"Complete",Permissions!$I$2:$I$3000,"Yes")</f>
        <v>0</v>
      </c>
      <c r="U100" s="19" t="n">
        <f aca="false">SUMIFS(Permissions!$F$2:$F$3000,Permissions!$B$2:$B$3000,$A100,Permissions!$H$2:$H$3000,"Under construction",Permissions!$I$2:$I$3000,"Yes")</f>
        <v>0</v>
      </c>
      <c r="V100" s="19" t="n">
        <f aca="false">SUMIFS(Permissions!$F$2:$F$3000,Permissions!$B$2:$B$3000,$A100,Permissions!$H$2:$H$3000,"Permitted – not started",Permissions!$I$2:$I$3000,"Yes")</f>
        <v>0</v>
      </c>
      <c r="W100" s="19" t="n">
        <f aca="false">SUMIFS(Permissions!$F$2:$F$3000,Permissions!$B$2:$B$3000,$A100,Permissions!$H$2:$H$3000,"Stalled",Permissions!$I$2:$I$3000,"Yes")</f>
        <v>0</v>
      </c>
      <c r="X100" s="19" t="n">
        <f aca="false">T100+U100+V100+W100</f>
        <v>0</v>
      </c>
      <c r="Y100" s="19" t="n">
        <f aca="false">SUMIFS(Permissions!$F$2:$F$3000,Permissions!$B$2:$B$3000,$A100,Permissions!$H$2:$H$3000,"Expired – not started",Permissions!$I$2:$I$3000,"Yes")</f>
        <v>0</v>
      </c>
      <c r="Z100" s="19" t="n">
        <f aca="false">SUMIFS(Permissions!$F$2:$F$3000,Permissions!$B$2:$B$3000,$A100,Permissions!$H$2:$H$3000,"In planning",Permissions!$I$2:$I$3000,"Yes")</f>
        <v>0</v>
      </c>
      <c r="AA100" s="19" t="n">
        <f aca="false">IF(N100="",0,MAX(N100-X100,0))</f>
        <v>17</v>
      </c>
      <c r="AB100" s="20" t="n">
        <f aca="false">X100+AA100</f>
        <v>17</v>
      </c>
      <c r="AC100" s="19" t="n">
        <f aca="false">AB100-T100</f>
        <v>17</v>
      </c>
      <c r="AD100" s="21" t="n">
        <f aca="false">SUMIFS(Permissions!$T$2:$T$3000,Permissions!$B$2:$B$3000,$A100,Permissions!$I$2:$I$3000,"Yes")</f>
        <v>0</v>
      </c>
      <c r="AE100" s="21" t="n">
        <f aca="false">SUMIFS(Permissions!$U$2:$U$3000,Permissions!$B$2:$B$3000,$A100,Permissions!$I$2:$I$3000,"Yes")</f>
        <v>0</v>
      </c>
      <c r="AF100" s="21" t="n">
        <f aca="false">SUMIFS(Permissions!$V$2:$V$3000,Permissions!$B$2:$B$3000,$A100,Permissions!$I$2:$I$3000,"Yes")</f>
        <v>0</v>
      </c>
      <c r="AG100" s="21" t="n">
        <f aca="false">SUMIFS(Permissions!$W$2:$W$3000,Permissions!$B$2:$B$3000,$A100,Permissions!$I$2:$I$3000,"Yes")</f>
        <v>0</v>
      </c>
      <c r="AH100" s="21" t="n">
        <f aca="false">SUMIFS(Permissions!$X$2:$X$3000,Permissions!$B$2:$B$3000,$A100,Permissions!$I$2:$I$3000,"Yes")</f>
        <v>0</v>
      </c>
      <c r="AI100" s="21" t="n">
        <f aca="false">SUMIFS(Permissions!$Y$2:$Y$3000,Permissions!$B$2:$B$3000,$A100,Permissions!$I$2:$I$3000,"Yes")</f>
        <v>0</v>
      </c>
      <c r="AJ100" s="19" t="n">
        <f aca="false">COUNTIFS(Permissions!$B$2:$B$3000,$A100,Permissions!$I$2:$I$3000,"Yes")</f>
        <v>0</v>
      </c>
      <c r="AK100" s="22" t="str">
        <f aca="false">IF(AND(N100&lt;&gt;"",X100&gt;1.1*N100),"Consented above capacity",IF(AND(LEFT(B100,8)="Planning",AJ100=0),"Consent parcel with no permission",IF(COUNTIF($A$2:$A$3000,$A100)&gt;1,"Duplicate parcel_id","")))</f>
        <v/>
      </c>
    </row>
    <row r="101" customFormat="false" ht="15" hidden="false" customHeight="false" outlineLevel="0" collapsed="false">
      <c r="A101" s="18" t="s">
        <v>239</v>
      </c>
      <c r="B101" s="18" t="s">
        <v>10</v>
      </c>
      <c r="C101" s="18" t="s">
        <v>15</v>
      </c>
      <c r="D101" s="18" t="n">
        <v>49</v>
      </c>
      <c r="E101" s="18" t="s">
        <v>232</v>
      </c>
      <c r="F101" s="18" t="s">
        <v>112</v>
      </c>
      <c r="G101" s="18" t="s">
        <v>233</v>
      </c>
      <c r="H101" s="18" t="s">
        <v>105</v>
      </c>
      <c r="I101" s="18" t="s">
        <v>92</v>
      </c>
      <c r="J101" s="18" t="s">
        <v>101</v>
      </c>
      <c r="K101" s="18" t="s">
        <v>94</v>
      </c>
      <c r="L101" s="18" t="n">
        <v>0.243</v>
      </c>
      <c r="M101" s="18" t="n">
        <v>0.922</v>
      </c>
      <c r="N101" s="18" t="n">
        <v>11</v>
      </c>
      <c r="O101" s="18" t="s">
        <v>95</v>
      </c>
      <c r="P101" s="18" t="s">
        <v>108</v>
      </c>
      <c r="Q101" s="18" t="s">
        <v>109</v>
      </c>
      <c r="R101" s="18" t="s">
        <v>98</v>
      </c>
      <c r="S101" s="18"/>
      <c r="T101" s="19" t="n">
        <f aca="false">SUMIFS(Permissions!$F$2:$F$3000,Permissions!$B$2:$B$3000,$A101,Permissions!$H$2:$H$3000,"Complete",Permissions!$I$2:$I$3000,"Yes")</f>
        <v>0</v>
      </c>
      <c r="U101" s="19" t="n">
        <f aca="false">SUMIFS(Permissions!$F$2:$F$3000,Permissions!$B$2:$B$3000,$A101,Permissions!$H$2:$H$3000,"Under construction",Permissions!$I$2:$I$3000,"Yes")</f>
        <v>0</v>
      </c>
      <c r="V101" s="19" t="n">
        <f aca="false">SUMIFS(Permissions!$F$2:$F$3000,Permissions!$B$2:$B$3000,$A101,Permissions!$H$2:$H$3000,"Permitted – not started",Permissions!$I$2:$I$3000,"Yes")</f>
        <v>25</v>
      </c>
      <c r="W101" s="19" t="n">
        <f aca="false">SUMIFS(Permissions!$F$2:$F$3000,Permissions!$B$2:$B$3000,$A101,Permissions!$H$2:$H$3000,"Stalled",Permissions!$I$2:$I$3000,"Yes")</f>
        <v>0</v>
      </c>
      <c r="X101" s="19" t="n">
        <f aca="false">T101+U101+V101+W101</f>
        <v>25</v>
      </c>
      <c r="Y101" s="19" t="n">
        <f aca="false">SUMIFS(Permissions!$F$2:$F$3000,Permissions!$B$2:$B$3000,$A101,Permissions!$H$2:$H$3000,"Expired – not started",Permissions!$I$2:$I$3000,"Yes")</f>
        <v>0</v>
      </c>
      <c r="Z101" s="19" t="n">
        <f aca="false">SUMIFS(Permissions!$F$2:$F$3000,Permissions!$B$2:$B$3000,$A101,Permissions!$H$2:$H$3000,"In planning",Permissions!$I$2:$I$3000,"Yes")</f>
        <v>0</v>
      </c>
      <c r="AA101" s="19" t="n">
        <f aca="false">IF(N101="",0,MAX(N101-X101,0))</f>
        <v>0</v>
      </c>
      <c r="AB101" s="20" t="n">
        <f aca="false">X101+AA101</f>
        <v>25</v>
      </c>
      <c r="AC101" s="19" t="n">
        <f aca="false">AB101-T101</f>
        <v>25</v>
      </c>
      <c r="AD101" s="21" t="n">
        <f aca="false">SUMIFS(Permissions!$T$2:$T$3000,Permissions!$B$2:$B$3000,$A101,Permissions!$I$2:$I$3000,"Yes")</f>
        <v>0</v>
      </c>
      <c r="AE101" s="21" t="n">
        <f aca="false">SUMIFS(Permissions!$U$2:$U$3000,Permissions!$B$2:$B$3000,$A101,Permissions!$I$2:$I$3000,"Yes")</f>
        <v>0</v>
      </c>
      <c r="AF101" s="21" t="n">
        <f aca="false">SUMIFS(Permissions!$V$2:$V$3000,Permissions!$B$2:$B$3000,$A101,Permissions!$I$2:$I$3000,"Yes")</f>
        <v>20.8</v>
      </c>
      <c r="AG101" s="21" t="n">
        <f aca="false">SUMIFS(Permissions!$W$2:$W$3000,Permissions!$B$2:$B$3000,$A101,Permissions!$I$2:$I$3000,"Yes")</f>
        <v>4.2</v>
      </c>
      <c r="AH101" s="21" t="n">
        <f aca="false">SUMIFS(Permissions!$X$2:$X$3000,Permissions!$B$2:$B$3000,$A101,Permissions!$I$2:$I$3000,"Yes")</f>
        <v>0</v>
      </c>
      <c r="AI101" s="21" t="n">
        <f aca="false">SUMIFS(Permissions!$Y$2:$Y$3000,Permissions!$B$2:$B$3000,$A101,Permissions!$I$2:$I$3000,"Yes")</f>
        <v>0</v>
      </c>
      <c r="AJ101" s="19" t="n">
        <f aca="false">COUNTIFS(Permissions!$B$2:$B$3000,$A101,Permissions!$I$2:$I$3000,"Yes")</f>
        <v>1</v>
      </c>
      <c r="AK101" s="22" t="str">
        <f aca="false">IF(AND(N101&lt;&gt;"",X101&gt;1.1*N101),"Consented above capacity",IF(AND(LEFT(B101,8)="Planning",AJ101=0),"Consent parcel with no permission",IF(COUNTIF($A$2:$A$3000,$A101)&gt;1,"Duplicate parcel_id","")))</f>
        <v>Consented above capacity</v>
      </c>
    </row>
    <row r="102" customFormat="false" ht="15" hidden="false" customHeight="false" outlineLevel="0" collapsed="false">
      <c r="A102" s="18" t="s">
        <v>240</v>
      </c>
      <c r="B102" s="18" t="s">
        <v>10</v>
      </c>
      <c r="C102" s="18" t="s">
        <v>15</v>
      </c>
      <c r="D102" s="18" t="n">
        <v>50</v>
      </c>
      <c r="E102" s="18" t="s">
        <v>232</v>
      </c>
      <c r="F102" s="18" t="s">
        <v>112</v>
      </c>
      <c r="G102" s="18" t="s">
        <v>233</v>
      </c>
      <c r="H102" s="18" t="s">
        <v>105</v>
      </c>
      <c r="I102" s="18" t="s">
        <v>92</v>
      </c>
      <c r="J102" s="18" t="s">
        <v>114</v>
      </c>
      <c r="K102" s="18" t="s">
        <v>94</v>
      </c>
      <c r="L102" s="18" t="n">
        <v>0.704</v>
      </c>
      <c r="M102" s="18" t="n">
        <v>0.704</v>
      </c>
      <c r="N102" s="18" t="n">
        <v>31</v>
      </c>
      <c r="O102" s="18" t="s">
        <v>95</v>
      </c>
      <c r="P102" s="18" t="s">
        <v>116</v>
      </c>
      <c r="Q102" s="18" t="s">
        <v>97</v>
      </c>
      <c r="R102" s="18" t="s">
        <v>98</v>
      </c>
      <c r="S102" s="18"/>
      <c r="T102" s="19" t="n">
        <f aca="false">SUMIFS(Permissions!$F$2:$F$3000,Permissions!$B$2:$B$3000,$A102,Permissions!$H$2:$H$3000,"Complete",Permissions!$I$2:$I$3000,"Yes")</f>
        <v>0</v>
      </c>
      <c r="U102" s="19" t="n">
        <f aca="false">SUMIFS(Permissions!$F$2:$F$3000,Permissions!$B$2:$B$3000,$A102,Permissions!$H$2:$H$3000,"Under construction",Permissions!$I$2:$I$3000,"Yes")</f>
        <v>0</v>
      </c>
      <c r="V102" s="19" t="n">
        <f aca="false">SUMIFS(Permissions!$F$2:$F$3000,Permissions!$B$2:$B$3000,$A102,Permissions!$H$2:$H$3000,"Permitted – not started",Permissions!$I$2:$I$3000,"Yes")</f>
        <v>0</v>
      </c>
      <c r="W102" s="19" t="n">
        <f aca="false">SUMIFS(Permissions!$F$2:$F$3000,Permissions!$B$2:$B$3000,$A102,Permissions!$H$2:$H$3000,"Stalled",Permissions!$I$2:$I$3000,"Yes")</f>
        <v>0</v>
      </c>
      <c r="X102" s="19" t="n">
        <f aca="false">T102+U102+V102+W102</f>
        <v>0</v>
      </c>
      <c r="Y102" s="19" t="n">
        <f aca="false">SUMIFS(Permissions!$F$2:$F$3000,Permissions!$B$2:$B$3000,$A102,Permissions!$H$2:$H$3000,"Expired – not started",Permissions!$I$2:$I$3000,"Yes")</f>
        <v>4</v>
      </c>
      <c r="Z102" s="19" t="n">
        <f aca="false">SUMIFS(Permissions!$F$2:$F$3000,Permissions!$B$2:$B$3000,$A102,Permissions!$H$2:$H$3000,"In planning",Permissions!$I$2:$I$3000,"Yes")</f>
        <v>0</v>
      </c>
      <c r="AA102" s="19" t="n">
        <f aca="false">IF(N102="",0,MAX(N102-X102,0))</f>
        <v>31</v>
      </c>
      <c r="AB102" s="20" t="n">
        <f aca="false">X102+AA102</f>
        <v>31</v>
      </c>
      <c r="AC102" s="19" t="n">
        <f aca="false">AB102-T102</f>
        <v>31</v>
      </c>
      <c r="AD102" s="21" t="n">
        <f aca="false">SUMIFS(Permissions!$T$2:$T$3000,Permissions!$B$2:$B$3000,$A102,Permissions!$I$2:$I$3000,"Yes")</f>
        <v>0</v>
      </c>
      <c r="AE102" s="21" t="n">
        <f aca="false">SUMIFS(Permissions!$U$2:$U$3000,Permissions!$B$2:$B$3000,$A102,Permissions!$I$2:$I$3000,"Yes")</f>
        <v>0</v>
      </c>
      <c r="AF102" s="21" t="n">
        <f aca="false">SUMIFS(Permissions!$V$2:$V$3000,Permissions!$B$2:$B$3000,$A102,Permissions!$I$2:$I$3000,"Yes")</f>
        <v>0</v>
      </c>
      <c r="AG102" s="21" t="n">
        <f aca="false">SUMIFS(Permissions!$W$2:$W$3000,Permissions!$B$2:$B$3000,$A102,Permissions!$I$2:$I$3000,"Yes")</f>
        <v>0</v>
      </c>
      <c r="AH102" s="21" t="n">
        <f aca="false">SUMIFS(Permissions!$X$2:$X$3000,Permissions!$B$2:$B$3000,$A102,Permissions!$I$2:$I$3000,"Yes")</f>
        <v>0</v>
      </c>
      <c r="AI102" s="21" t="n">
        <f aca="false">SUMIFS(Permissions!$Y$2:$Y$3000,Permissions!$B$2:$B$3000,$A102,Permissions!$I$2:$I$3000,"Yes")</f>
        <v>0</v>
      </c>
      <c r="AJ102" s="19" t="n">
        <f aca="false">COUNTIFS(Permissions!$B$2:$B$3000,$A102,Permissions!$I$2:$I$3000,"Yes")</f>
        <v>1</v>
      </c>
      <c r="AK102" s="22" t="str">
        <f aca="false">IF(AND(N102&lt;&gt;"",X102&gt;1.1*N102),"Consented above capacity",IF(AND(LEFT(B102,8)="Planning",AJ102=0),"Consent parcel with no permission",IF(COUNTIF($A$2:$A$3000,$A102)&gt;1,"Duplicate parcel_id","")))</f>
        <v/>
      </c>
    </row>
    <row r="103" customFormat="false" ht="15" hidden="false" customHeight="false" outlineLevel="0" collapsed="false">
      <c r="A103" s="18" t="s">
        <v>241</v>
      </c>
      <c r="B103" s="18" t="s">
        <v>10</v>
      </c>
      <c r="C103" s="18" t="s">
        <v>15</v>
      </c>
      <c r="D103" s="18" t="n">
        <v>51</v>
      </c>
      <c r="E103" s="18" t="s">
        <v>232</v>
      </c>
      <c r="F103" s="18" t="s">
        <v>112</v>
      </c>
      <c r="G103" s="18" t="s">
        <v>233</v>
      </c>
      <c r="H103" s="18" t="s">
        <v>105</v>
      </c>
      <c r="I103" s="18" t="s">
        <v>100</v>
      </c>
      <c r="J103" s="18" t="s">
        <v>101</v>
      </c>
      <c r="K103" s="18" t="s">
        <v>94</v>
      </c>
      <c r="L103" s="18" t="n">
        <v>0.272</v>
      </c>
      <c r="M103" s="18" t="n">
        <v>0.273</v>
      </c>
      <c r="N103" s="18" t="n">
        <v>12</v>
      </c>
      <c r="O103" s="18" t="s">
        <v>95</v>
      </c>
      <c r="P103" s="18" t="s">
        <v>96</v>
      </c>
      <c r="Q103" s="18" t="s">
        <v>97</v>
      </c>
      <c r="R103" s="18" t="s">
        <v>98</v>
      </c>
      <c r="S103" s="18"/>
      <c r="T103" s="19" t="n">
        <f aca="false">SUMIFS(Permissions!$F$2:$F$3000,Permissions!$B$2:$B$3000,$A103,Permissions!$H$2:$H$3000,"Complete",Permissions!$I$2:$I$3000,"Yes")</f>
        <v>0</v>
      </c>
      <c r="U103" s="19" t="n">
        <f aca="false">SUMIFS(Permissions!$F$2:$F$3000,Permissions!$B$2:$B$3000,$A103,Permissions!$H$2:$H$3000,"Under construction",Permissions!$I$2:$I$3000,"Yes")</f>
        <v>0</v>
      </c>
      <c r="V103" s="19" t="n">
        <f aca="false">SUMIFS(Permissions!$F$2:$F$3000,Permissions!$B$2:$B$3000,$A103,Permissions!$H$2:$H$3000,"Permitted – not started",Permissions!$I$2:$I$3000,"Yes")</f>
        <v>0</v>
      </c>
      <c r="W103" s="19" t="n">
        <f aca="false">SUMIFS(Permissions!$F$2:$F$3000,Permissions!$B$2:$B$3000,$A103,Permissions!$H$2:$H$3000,"Stalled",Permissions!$I$2:$I$3000,"Yes")</f>
        <v>0</v>
      </c>
      <c r="X103" s="19" t="n">
        <f aca="false">T103+U103+V103+W103</f>
        <v>0</v>
      </c>
      <c r="Y103" s="19" t="n">
        <f aca="false">SUMIFS(Permissions!$F$2:$F$3000,Permissions!$B$2:$B$3000,$A103,Permissions!$H$2:$H$3000,"Expired – not started",Permissions!$I$2:$I$3000,"Yes")</f>
        <v>0</v>
      </c>
      <c r="Z103" s="19" t="n">
        <f aca="false">SUMIFS(Permissions!$F$2:$F$3000,Permissions!$B$2:$B$3000,$A103,Permissions!$H$2:$H$3000,"In planning",Permissions!$I$2:$I$3000,"Yes")</f>
        <v>0</v>
      </c>
      <c r="AA103" s="19" t="n">
        <f aca="false">IF(N103="",0,MAX(N103-X103,0))</f>
        <v>12</v>
      </c>
      <c r="AB103" s="20" t="n">
        <f aca="false">X103+AA103</f>
        <v>12</v>
      </c>
      <c r="AC103" s="19" t="n">
        <f aca="false">AB103-T103</f>
        <v>12</v>
      </c>
      <c r="AD103" s="21" t="n">
        <f aca="false">SUMIFS(Permissions!$T$2:$T$3000,Permissions!$B$2:$B$3000,$A103,Permissions!$I$2:$I$3000,"Yes")</f>
        <v>0</v>
      </c>
      <c r="AE103" s="21" t="n">
        <f aca="false">SUMIFS(Permissions!$U$2:$U$3000,Permissions!$B$2:$B$3000,$A103,Permissions!$I$2:$I$3000,"Yes")</f>
        <v>0</v>
      </c>
      <c r="AF103" s="21" t="n">
        <f aca="false">SUMIFS(Permissions!$V$2:$V$3000,Permissions!$B$2:$B$3000,$A103,Permissions!$I$2:$I$3000,"Yes")</f>
        <v>0</v>
      </c>
      <c r="AG103" s="21" t="n">
        <f aca="false">SUMIFS(Permissions!$W$2:$W$3000,Permissions!$B$2:$B$3000,$A103,Permissions!$I$2:$I$3000,"Yes")</f>
        <v>0</v>
      </c>
      <c r="AH103" s="21" t="n">
        <f aca="false">SUMIFS(Permissions!$X$2:$X$3000,Permissions!$B$2:$B$3000,$A103,Permissions!$I$2:$I$3000,"Yes")</f>
        <v>0</v>
      </c>
      <c r="AI103" s="21" t="n">
        <f aca="false">SUMIFS(Permissions!$Y$2:$Y$3000,Permissions!$B$2:$B$3000,$A103,Permissions!$I$2:$I$3000,"Yes")</f>
        <v>0</v>
      </c>
      <c r="AJ103" s="19" t="n">
        <f aca="false">COUNTIFS(Permissions!$B$2:$B$3000,$A103,Permissions!$I$2:$I$3000,"Yes")</f>
        <v>0</v>
      </c>
      <c r="AK103" s="22" t="str">
        <f aca="false">IF(AND(N103&lt;&gt;"",X103&gt;1.1*N103),"Consented above capacity",IF(AND(LEFT(B103,8)="Planning",AJ103=0),"Consent parcel with no permission",IF(COUNTIF($A$2:$A$3000,$A103)&gt;1,"Duplicate parcel_id","")))</f>
        <v/>
      </c>
    </row>
    <row r="104" customFormat="false" ht="15" hidden="false" customHeight="false" outlineLevel="0" collapsed="false">
      <c r="A104" s="18" t="s">
        <v>242</v>
      </c>
      <c r="B104" s="18" t="s">
        <v>10</v>
      </c>
      <c r="C104" s="18" t="s">
        <v>15</v>
      </c>
      <c r="D104" s="18" t="n">
        <v>52</v>
      </c>
      <c r="E104" s="18" t="s">
        <v>232</v>
      </c>
      <c r="F104" s="18" t="s">
        <v>112</v>
      </c>
      <c r="G104" s="18" t="s">
        <v>233</v>
      </c>
      <c r="H104" s="18" t="s">
        <v>119</v>
      </c>
      <c r="I104" s="18" t="s">
        <v>92</v>
      </c>
      <c r="J104" s="18" t="s">
        <v>101</v>
      </c>
      <c r="K104" s="18" t="s">
        <v>94</v>
      </c>
      <c r="L104" s="18" t="n">
        <v>0.548</v>
      </c>
      <c r="M104" s="18" t="n">
        <v>0.548</v>
      </c>
      <c r="N104" s="18" t="n">
        <v>26</v>
      </c>
      <c r="O104" s="18" t="s">
        <v>95</v>
      </c>
      <c r="P104" s="18" t="s">
        <v>116</v>
      </c>
      <c r="Q104" s="18" t="s">
        <v>97</v>
      </c>
      <c r="R104" s="18" t="s">
        <v>98</v>
      </c>
      <c r="S104" s="18"/>
      <c r="T104" s="19" t="n">
        <f aca="false">SUMIFS(Permissions!$F$2:$F$3000,Permissions!$B$2:$B$3000,$A104,Permissions!$H$2:$H$3000,"Complete",Permissions!$I$2:$I$3000,"Yes")</f>
        <v>0</v>
      </c>
      <c r="U104" s="19" t="n">
        <f aca="false">SUMIFS(Permissions!$F$2:$F$3000,Permissions!$B$2:$B$3000,$A104,Permissions!$H$2:$H$3000,"Under construction",Permissions!$I$2:$I$3000,"Yes")</f>
        <v>26</v>
      </c>
      <c r="V104" s="19" t="n">
        <f aca="false">SUMIFS(Permissions!$F$2:$F$3000,Permissions!$B$2:$B$3000,$A104,Permissions!$H$2:$H$3000,"Permitted – not started",Permissions!$I$2:$I$3000,"Yes")</f>
        <v>0</v>
      </c>
      <c r="W104" s="19" t="n">
        <f aca="false">SUMIFS(Permissions!$F$2:$F$3000,Permissions!$B$2:$B$3000,$A104,Permissions!$H$2:$H$3000,"Stalled",Permissions!$I$2:$I$3000,"Yes")</f>
        <v>0</v>
      </c>
      <c r="X104" s="19" t="n">
        <f aca="false">T104+U104+V104+W104</f>
        <v>26</v>
      </c>
      <c r="Y104" s="19" t="n">
        <f aca="false">SUMIFS(Permissions!$F$2:$F$3000,Permissions!$B$2:$B$3000,$A104,Permissions!$H$2:$H$3000,"Expired – not started",Permissions!$I$2:$I$3000,"Yes")</f>
        <v>0</v>
      </c>
      <c r="Z104" s="19" t="n">
        <f aca="false">SUMIFS(Permissions!$F$2:$F$3000,Permissions!$B$2:$B$3000,$A104,Permissions!$H$2:$H$3000,"In planning",Permissions!$I$2:$I$3000,"Yes")</f>
        <v>0</v>
      </c>
      <c r="AA104" s="19" t="n">
        <f aca="false">IF(N104="",0,MAX(N104-X104,0))</f>
        <v>0</v>
      </c>
      <c r="AB104" s="20" t="n">
        <f aca="false">X104+AA104</f>
        <v>26</v>
      </c>
      <c r="AC104" s="19" t="n">
        <f aca="false">AB104-T104</f>
        <v>26</v>
      </c>
      <c r="AD104" s="21" t="n">
        <f aca="false">SUMIFS(Permissions!$T$2:$T$3000,Permissions!$B$2:$B$3000,$A104,Permissions!$I$2:$I$3000,"Yes")</f>
        <v>0</v>
      </c>
      <c r="AE104" s="21" t="n">
        <f aca="false">SUMIFS(Permissions!$U$2:$U$3000,Permissions!$B$2:$B$3000,$A104,Permissions!$I$2:$I$3000,"Yes")</f>
        <v>26</v>
      </c>
      <c r="AF104" s="21" t="n">
        <f aca="false">SUMIFS(Permissions!$V$2:$V$3000,Permissions!$B$2:$B$3000,$A104,Permissions!$I$2:$I$3000,"Yes")</f>
        <v>0</v>
      </c>
      <c r="AG104" s="21" t="n">
        <f aca="false">SUMIFS(Permissions!$W$2:$W$3000,Permissions!$B$2:$B$3000,$A104,Permissions!$I$2:$I$3000,"Yes")</f>
        <v>0</v>
      </c>
      <c r="AH104" s="21" t="n">
        <f aca="false">SUMIFS(Permissions!$X$2:$X$3000,Permissions!$B$2:$B$3000,$A104,Permissions!$I$2:$I$3000,"Yes")</f>
        <v>0</v>
      </c>
      <c r="AI104" s="21" t="n">
        <f aca="false">SUMIFS(Permissions!$Y$2:$Y$3000,Permissions!$B$2:$B$3000,$A104,Permissions!$I$2:$I$3000,"Yes")</f>
        <v>0</v>
      </c>
      <c r="AJ104" s="19" t="n">
        <f aca="false">COUNTIFS(Permissions!$B$2:$B$3000,$A104,Permissions!$I$2:$I$3000,"Yes")</f>
        <v>1</v>
      </c>
      <c r="AK104" s="22" t="str">
        <f aca="false">IF(AND(N104&lt;&gt;"",X104&gt;1.1*N104),"Consented above capacity",IF(AND(LEFT(B104,8)="Planning",AJ104=0),"Consent parcel with no permission",IF(COUNTIF($A$2:$A$3000,$A104)&gt;1,"Duplicate parcel_id","")))</f>
        <v/>
      </c>
    </row>
    <row r="105" customFormat="false" ht="15" hidden="false" customHeight="false" outlineLevel="0" collapsed="false">
      <c r="A105" s="18" t="s">
        <v>243</v>
      </c>
      <c r="B105" s="18" t="s">
        <v>10</v>
      </c>
      <c r="C105" s="18" t="s">
        <v>15</v>
      </c>
      <c r="D105" s="18" t="n">
        <v>75</v>
      </c>
      <c r="E105" s="18" t="s">
        <v>232</v>
      </c>
      <c r="F105" s="18" t="s">
        <v>142</v>
      </c>
      <c r="G105" s="18" t="s">
        <v>233</v>
      </c>
      <c r="H105" s="18" t="s">
        <v>105</v>
      </c>
      <c r="I105" s="18" t="s">
        <v>92</v>
      </c>
      <c r="J105" s="18" t="s">
        <v>101</v>
      </c>
      <c r="K105" s="18" t="s">
        <v>244</v>
      </c>
      <c r="L105" s="18" t="n">
        <v>0.227</v>
      </c>
      <c r="M105" s="18" t="n">
        <v>0.228</v>
      </c>
      <c r="N105" s="18" t="n">
        <v>7</v>
      </c>
      <c r="O105" s="18" t="s">
        <v>95</v>
      </c>
      <c r="P105" s="18" t="s">
        <v>116</v>
      </c>
      <c r="Q105" s="18" t="s">
        <v>97</v>
      </c>
      <c r="R105" s="18" t="s">
        <v>98</v>
      </c>
      <c r="S105" s="18"/>
      <c r="T105" s="19" t="n">
        <f aca="false">SUMIFS(Permissions!$F$2:$F$3000,Permissions!$B$2:$B$3000,$A105,Permissions!$H$2:$H$3000,"Complete",Permissions!$I$2:$I$3000,"Yes")</f>
        <v>0</v>
      </c>
      <c r="U105" s="19" t="n">
        <f aca="false">SUMIFS(Permissions!$F$2:$F$3000,Permissions!$B$2:$B$3000,$A105,Permissions!$H$2:$H$3000,"Under construction",Permissions!$I$2:$I$3000,"Yes")</f>
        <v>0</v>
      </c>
      <c r="V105" s="19" t="n">
        <f aca="false">SUMIFS(Permissions!$F$2:$F$3000,Permissions!$B$2:$B$3000,$A105,Permissions!$H$2:$H$3000,"Permitted – not started",Permissions!$I$2:$I$3000,"Yes")</f>
        <v>0</v>
      </c>
      <c r="W105" s="19" t="n">
        <f aca="false">SUMIFS(Permissions!$F$2:$F$3000,Permissions!$B$2:$B$3000,$A105,Permissions!$H$2:$H$3000,"Stalled",Permissions!$I$2:$I$3000,"Yes")</f>
        <v>0</v>
      </c>
      <c r="X105" s="19" t="n">
        <f aca="false">T105+U105+V105+W105</f>
        <v>0</v>
      </c>
      <c r="Y105" s="19" t="n">
        <f aca="false">SUMIFS(Permissions!$F$2:$F$3000,Permissions!$B$2:$B$3000,$A105,Permissions!$H$2:$H$3000,"Expired – not started",Permissions!$I$2:$I$3000,"Yes")</f>
        <v>0</v>
      </c>
      <c r="Z105" s="19" t="n">
        <f aca="false">SUMIFS(Permissions!$F$2:$F$3000,Permissions!$B$2:$B$3000,$A105,Permissions!$H$2:$H$3000,"In planning",Permissions!$I$2:$I$3000,"Yes")</f>
        <v>0</v>
      </c>
      <c r="AA105" s="19" t="n">
        <f aca="false">IF(N105="",0,MAX(N105-X105,0))</f>
        <v>7</v>
      </c>
      <c r="AB105" s="20" t="n">
        <f aca="false">X105+AA105</f>
        <v>7</v>
      </c>
      <c r="AC105" s="19" t="n">
        <f aca="false">AB105-T105</f>
        <v>7</v>
      </c>
      <c r="AD105" s="21" t="n">
        <f aca="false">SUMIFS(Permissions!$T$2:$T$3000,Permissions!$B$2:$B$3000,$A105,Permissions!$I$2:$I$3000,"Yes")</f>
        <v>0</v>
      </c>
      <c r="AE105" s="21" t="n">
        <f aca="false">SUMIFS(Permissions!$U$2:$U$3000,Permissions!$B$2:$B$3000,$A105,Permissions!$I$2:$I$3000,"Yes")</f>
        <v>0</v>
      </c>
      <c r="AF105" s="21" t="n">
        <f aca="false">SUMIFS(Permissions!$V$2:$V$3000,Permissions!$B$2:$B$3000,$A105,Permissions!$I$2:$I$3000,"Yes")</f>
        <v>0</v>
      </c>
      <c r="AG105" s="21" t="n">
        <f aca="false">SUMIFS(Permissions!$W$2:$W$3000,Permissions!$B$2:$B$3000,$A105,Permissions!$I$2:$I$3000,"Yes")</f>
        <v>0</v>
      </c>
      <c r="AH105" s="21" t="n">
        <f aca="false">SUMIFS(Permissions!$X$2:$X$3000,Permissions!$B$2:$B$3000,$A105,Permissions!$I$2:$I$3000,"Yes")</f>
        <v>0</v>
      </c>
      <c r="AI105" s="21" t="n">
        <f aca="false">SUMIFS(Permissions!$Y$2:$Y$3000,Permissions!$B$2:$B$3000,$A105,Permissions!$I$2:$I$3000,"Yes")</f>
        <v>0</v>
      </c>
      <c r="AJ105" s="19" t="n">
        <f aca="false">COUNTIFS(Permissions!$B$2:$B$3000,$A105,Permissions!$I$2:$I$3000,"Yes")</f>
        <v>0</v>
      </c>
      <c r="AK105" s="22" t="str">
        <f aca="false">IF(AND(N105&lt;&gt;"",X105&gt;1.1*N105),"Consented above capacity",IF(AND(LEFT(B105,8)="Planning",AJ105=0),"Consent parcel with no permission",IF(COUNTIF($A$2:$A$3000,$A105)&gt;1,"Duplicate parcel_id","")))</f>
        <v/>
      </c>
    </row>
    <row r="106" customFormat="false" ht="15" hidden="false" customHeight="false" outlineLevel="0" collapsed="false">
      <c r="A106" s="18" t="s">
        <v>245</v>
      </c>
      <c r="B106" s="18" t="s">
        <v>10</v>
      </c>
      <c r="C106" s="18" t="s">
        <v>15</v>
      </c>
      <c r="D106" s="18" t="n">
        <v>77</v>
      </c>
      <c r="E106" s="18" t="s">
        <v>232</v>
      </c>
      <c r="F106" s="18" t="s">
        <v>142</v>
      </c>
      <c r="G106" s="18" t="s">
        <v>233</v>
      </c>
      <c r="H106" s="18" t="s">
        <v>105</v>
      </c>
      <c r="I106" s="18" t="s">
        <v>92</v>
      </c>
      <c r="J106" s="18" t="s">
        <v>101</v>
      </c>
      <c r="K106" s="18" t="s">
        <v>94</v>
      </c>
      <c r="L106" s="18" t="n">
        <v>0.727</v>
      </c>
      <c r="M106" s="18" t="n">
        <v>0.728</v>
      </c>
      <c r="N106" s="18" t="n">
        <v>33</v>
      </c>
      <c r="O106" s="18" t="s">
        <v>95</v>
      </c>
      <c r="P106" s="18" t="s">
        <v>96</v>
      </c>
      <c r="Q106" s="18" t="s">
        <v>97</v>
      </c>
      <c r="R106" s="18" t="s">
        <v>98</v>
      </c>
      <c r="S106" s="18"/>
      <c r="T106" s="19" t="n">
        <f aca="false">SUMIFS(Permissions!$F$2:$F$3000,Permissions!$B$2:$B$3000,$A106,Permissions!$H$2:$H$3000,"Complete",Permissions!$I$2:$I$3000,"Yes")</f>
        <v>0</v>
      </c>
      <c r="U106" s="19" t="n">
        <f aca="false">SUMIFS(Permissions!$F$2:$F$3000,Permissions!$B$2:$B$3000,$A106,Permissions!$H$2:$H$3000,"Under construction",Permissions!$I$2:$I$3000,"Yes")</f>
        <v>0</v>
      </c>
      <c r="V106" s="19" t="n">
        <f aca="false">SUMIFS(Permissions!$F$2:$F$3000,Permissions!$B$2:$B$3000,$A106,Permissions!$H$2:$H$3000,"Permitted – not started",Permissions!$I$2:$I$3000,"Yes")</f>
        <v>0</v>
      </c>
      <c r="W106" s="19" t="n">
        <f aca="false">SUMIFS(Permissions!$F$2:$F$3000,Permissions!$B$2:$B$3000,$A106,Permissions!$H$2:$H$3000,"Stalled",Permissions!$I$2:$I$3000,"Yes")</f>
        <v>0</v>
      </c>
      <c r="X106" s="19" t="n">
        <f aca="false">T106+U106+V106+W106</f>
        <v>0</v>
      </c>
      <c r="Y106" s="19" t="n">
        <f aca="false">SUMIFS(Permissions!$F$2:$F$3000,Permissions!$B$2:$B$3000,$A106,Permissions!$H$2:$H$3000,"Expired – not started",Permissions!$I$2:$I$3000,"Yes")</f>
        <v>0</v>
      </c>
      <c r="Z106" s="19" t="n">
        <f aca="false">SUMIFS(Permissions!$F$2:$F$3000,Permissions!$B$2:$B$3000,$A106,Permissions!$H$2:$H$3000,"In planning",Permissions!$I$2:$I$3000,"Yes")</f>
        <v>0</v>
      </c>
      <c r="AA106" s="19" t="n">
        <f aca="false">IF(N106="",0,MAX(N106-X106,0))</f>
        <v>33</v>
      </c>
      <c r="AB106" s="20" t="n">
        <f aca="false">X106+AA106</f>
        <v>33</v>
      </c>
      <c r="AC106" s="19" t="n">
        <f aca="false">AB106-T106</f>
        <v>33</v>
      </c>
      <c r="AD106" s="21" t="n">
        <f aca="false">SUMIFS(Permissions!$T$2:$T$3000,Permissions!$B$2:$B$3000,$A106,Permissions!$I$2:$I$3000,"Yes")</f>
        <v>0</v>
      </c>
      <c r="AE106" s="21" t="n">
        <f aca="false">SUMIFS(Permissions!$U$2:$U$3000,Permissions!$B$2:$B$3000,$A106,Permissions!$I$2:$I$3000,"Yes")</f>
        <v>0</v>
      </c>
      <c r="AF106" s="21" t="n">
        <f aca="false">SUMIFS(Permissions!$V$2:$V$3000,Permissions!$B$2:$B$3000,$A106,Permissions!$I$2:$I$3000,"Yes")</f>
        <v>0</v>
      </c>
      <c r="AG106" s="21" t="n">
        <f aca="false">SUMIFS(Permissions!$W$2:$W$3000,Permissions!$B$2:$B$3000,$A106,Permissions!$I$2:$I$3000,"Yes")</f>
        <v>0</v>
      </c>
      <c r="AH106" s="21" t="n">
        <f aca="false">SUMIFS(Permissions!$X$2:$X$3000,Permissions!$B$2:$B$3000,$A106,Permissions!$I$2:$I$3000,"Yes")</f>
        <v>0</v>
      </c>
      <c r="AI106" s="21" t="n">
        <f aca="false">SUMIFS(Permissions!$Y$2:$Y$3000,Permissions!$B$2:$B$3000,$A106,Permissions!$I$2:$I$3000,"Yes")</f>
        <v>0</v>
      </c>
      <c r="AJ106" s="19" t="n">
        <f aca="false">COUNTIFS(Permissions!$B$2:$B$3000,$A106,Permissions!$I$2:$I$3000,"Yes")</f>
        <v>0</v>
      </c>
      <c r="AK106" s="22" t="str">
        <f aca="false">IF(AND(N106&lt;&gt;"",X106&gt;1.1*N106),"Consented above capacity",IF(AND(LEFT(B106,8)="Planning",AJ106=0),"Consent parcel with no permission",IF(COUNTIF($A$2:$A$3000,$A106)&gt;1,"Duplicate parcel_id","")))</f>
        <v/>
      </c>
    </row>
    <row r="107" customFormat="false" ht="15" hidden="false" customHeight="false" outlineLevel="0" collapsed="false">
      <c r="A107" s="18" t="s">
        <v>246</v>
      </c>
      <c r="B107" s="18" t="s">
        <v>10</v>
      </c>
      <c r="C107" s="18" t="s">
        <v>15</v>
      </c>
      <c r="D107" s="18" t="n">
        <v>78</v>
      </c>
      <c r="E107" s="18" t="s">
        <v>232</v>
      </c>
      <c r="F107" s="18" t="s">
        <v>142</v>
      </c>
      <c r="G107" s="18" t="s">
        <v>233</v>
      </c>
      <c r="H107" s="18" t="s">
        <v>105</v>
      </c>
      <c r="I107" s="18" t="s">
        <v>92</v>
      </c>
      <c r="J107" s="18" t="s">
        <v>101</v>
      </c>
      <c r="K107" s="18" t="s">
        <v>94</v>
      </c>
      <c r="L107" s="18" t="n">
        <v>0.919</v>
      </c>
      <c r="M107" s="18" t="n">
        <v>0.919</v>
      </c>
      <c r="N107" s="18" t="n">
        <v>41</v>
      </c>
      <c r="O107" s="18" t="s">
        <v>95</v>
      </c>
      <c r="P107" s="18" t="s">
        <v>96</v>
      </c>
      <c r="Q107" s="18" t="s">
        <v>97</v>
      </c>
      <c r="R107" s="18" t="s">
        <v>98</v>
      </c>
      <c r="S107" s="18"/>
      <c r="T107" s="19" t="n">
        <f aca="false">SUMIFS(Permissions!$F$2:$F$3000,Permissions!$B$2:$B$3000,$A107,Permissions!$H$2:$H$3000,"Complete",Permissions!$I$2:$I$3000,"Yes")</f>
        <v>0</v>
      </c>
      <c r="U107" s="19" t="n">
        <f aca="false">SUMIFS(Permissions!$F$2:$F$3000,Permissions!$B$2:$B$3000,$A107,Permissions!$H$2:$H$3000,"Under construction",Permissions!$I$2:$I$3000,"Yes")</f>
        <v>0</v>
      </c>
      <c r="V107" s="19" t="n">
        <f aca="false">SUMIFS(Permissions!$F$2:$F$3000,Permissions!$B$2:$B$3000,$A107,Permissions!$H$2:$H$3000,"Permitted – not started",Permissions!$I$2:$I$3000,"Yes")</f>
        <v>0</v>
      </c>
      <c r="W107" s="19" t="n">
        <f aca="false">SUMIFS(Permissions!$F$2:$F$3000,Permissions!$B$2:$B$3000,$A107,Permissions!$H$2:$H$3000,"Stalled",Permissions!$I$2:$I$3000,"Yes")</f>
        <v>0</v>
      </c>
      <c r="X107" s="19" t="n">
        <f aca="false">T107+U107+V107+W107</f>
        <v>0</v>
      </c>
      <c r="Y107" s="19" t="n">
        <f aca="false">SUMIFS(Permissions!$F$2:$F$3000,Permissions!$B$2:$B$3000,$A107,Permissions!$H$2:$H$3000,"Expired – not started",Permissions!$I$2:$I$3000,"Yes")</f>
        <v>0</v>
      </c>
      <c r="Z107" s="19" t="n">
        <f aca="false">SUMIFS(Permissions!$F$2:$F$3000,Permissions!$B$2:$B$3000,$A107,Permissions!$H$2:$H$3000,"In planning",Permissions!$I$2:$I$3000,"Yes")</f>
        <v>0</v>
      </c>
      <c r="AA107" s="19" t="n">
        <f aca="false">IF(N107="",0,MAX(N107-X107,0))</f>
        <v>41</v>
      </c>
      <c r="AB107" s="20" t="n">
        <f aca="false">X107+AA107</f>
        <v>41</v>
      </c>
      <c r="AC107" s="19" t="n">
        <f aca="false">AB107-T107</f>
        <v>41</v>
      </c>
      <c r="AD107" s="21" t="n">
        <f aca="false">SUMIFS(Permissions!$T$2:$T$3000,Permissions!$B$2:$B$3000,$A107,Permissions!$I$2:$I$3000,"Yes")</f>
        <v>0</v>
      </c>
      <c r="AE107" s="21" t="n">
        <f aca="false">SUMIFS(Permissions!$U$2:$U$3000,Permissions!$B$2:$B$3000,$A107,Permissions!$I$2:$I$3000,"Yes")</f>
        <v>0</v>
      </c>
      <c r="AF107" s="21" t="n">
        <f aca="false">SUMIFS(Permissions!$V$2:$V$3000,Permissions!$B$2:$B$3000,$A107,Permissions!$I$2:$I$3000,"Yes")</f>
        <v>0</v>
      </c>
      <c r="AG107" s="21" t="n">
        <f aca="false">SUMIFS(Permissions!$W$2:$W$3000,Permissions!$B$2:$B$3000,$A107,Permissions!$I$2:$I$3000,"Yes")</f>
        <v>0</v>
      </c>
      <c r="AH107" s="21" t="n">
        <f aca="false">SUMIFS(Permissions!$X$2:$X$3000,Permissions!$B$2:$B$3000,$A107,Permissions!$I$2:$I$3000,"Yes")</f>
        <v>0</v>
      </c>
      <c r="AI107" s="21" t="n">
        <f aca="false">SUMIFS(Permissions!$Y$2:$Y$3000,Permissions!$B$2:$B$3000,$A107,Permissions!$I$2:$I$3000,"Yes")</f>
        <v>0</v>
      </c>
      <c r="AJ107" s="19" t="n">
        <f aca="false">COUNTIFS(Permissions!$B$2:$B$3000,$A107,Permissions!$I$2:$I$3000,"Yes")</f>
        <v>0</v>
      </c>
      <c r="AK107" s="22" t="str">
        <f aca="false">IF(AND(N107&lt;&gt;"",X107&gt;1.1*N107),"Consented above capacity",IF(AND(LEFT(B107,8)="Planning",AJ107=0),"Consent parcel with no permission",IF(COUNTIF($A$2:$A$3000,$A107)&gt;1,"Duplicate parcel_id","")))</f>
        <v/>
      </c>
    </row>
    <row r="108" customFormat="false" ht="15" hidden="false" customHeight="false" outlineLevel="0" collapsed="false">
      <c r="A108" s="18" t="s">
        <v>247</v>
      </c>
      <c r="B108" s="18" t="s">
        <v>10</v>
      </c>
      <c r="C108" s="18" t="s">
        <v>15</v>
      </c>
      <c r="D108" s="18" t="n">
        <v>79</v>
      </c>
      <c r="E108" s="18" t="s">
        <v>232</v>
      </c>
      <c r="F108" s="18" t="s">
        <v>142</v>
      </c>
      <c r="G108" s="18" t="s">
        <v>233</v>
      </c>
      <c r="H108" s="18" t="s">
        <v>105</v>
      </c>
      <c r="I108" s="18" t="s">
        <v>92</v>
      </c>
      <c r="J108" s="18" t="s">
        <v>101</v>
      </c>
      <c r="K108" s="18" t="s">
        <v>94</v>
      </c>
      <c r="L108" s="18" t="n">
        <v>2.384</v>
      </c>
      <c r="M108" s="18" t="n">
        <v>2.383</v>
      </c>
      <c r="N108" s="18" t="n">
        <v>107</v>
      </c>
      <c r="O108" s="18" t="s">
        <v>95</v>
      </c>
      <c r="P108" s="18" t="s">
        <v>96</v>
      </c>
      <c r="Q108" s="18" t="s">
        <v>97</v>
      </c>
      <c r="R108" s="18" t="s">
        <v>98</v>
      </c>
      <c r="S108" s="18"/>
      <c r="T108" s="19" t="n">
        <f aca="false">SUMIFS(Permissions!$F$2:$F$3000,Permissions!$B$2:$B$3000,$A108,Permissions!$H$2:$H$3000,"Complete",Permissions!$I$2:$I$3000,"Yes")</f>
        <v>0</v>
      </c>
      <c r="U108" s="19" t="n">
        <f aca="false">SUMIFS(Permissions!$F$2:$F$3000,Permissions!$B$2:$B$3000,$A108,Permissions!$H$2:$H$3000,"Under construction",Permissions!$I$2:$I$3000,"Yes")</f>
        <v>0</v>
      </c>
      <c r="V108" s="19" t="n">
        <f aca="false">SUMIFS(Permissions!$F$2:$F$3000,Permissions!$B$2:$B$3000,$A108,Permissions!$H$2:$H$3000,"Permitted – not started",Permissions!$I$2:$I$3000,"Yes")</f>
        <v>55</v>
      </c>
      <c r="W108" s="19" t="n">
        <f aca="false">SUMIFS(Permissions!$F$2:$F$3000,Permissions!$B$2:$B$3000,$A108,Permissions!$H$2:$H$3000,"Stalled",Permissions!$I$2:$I$3000,"Yes")</f>
        <v>0</v>
      </c>
      <c r="X108" s="19" t="n">
        <f aca="false">T108+U108+V108+W108</f>
        <v>55</v>
      </c>
      <c r="Y108" s="19" t="n">
        <f aca="false">SUMIFS(Permissions!$F$2:$F$3000,Permissions!$B$2:$B$3000,$A108,Permissions!$H$2:$H$3000,"Expired – not started",Permissions!$I$2:$I$3000,"Yes")</f>
        <v>0</v>
      </c>
      <c r="Z108" s="19" t="n">
        <f aca="false">SUMIFS(Permissions!$F$2:$F$3000,Permissions!$B$2:$B$3000,$A108,Permissions!$H$2:$H$3000,"In planning",Permissions!$I$2:$I$3000,"Yes")</f>
        <v>0</v>
      </c>
      <c r="AA108" s="19" t="n">
        <f aca="false">IF(N108="",0,MAX(N108-X108,0))</f>
        <v>52</v>
      </c>
      <c r="AB108" s="20" t="n">
        <f aca="false">X108+AA108</f>
        <v>107</v>
      </c>
      <c r="AC108" s="19" t="n">
        <f aca="false">AB108-T108</f>
        <v>107</v>
      </c>
      <c r="AD108" s="21" t="n">
        <f aca="false">SUMIFS(Permissions!$T$2:$T$3000,Permissions!$B$2:$B$3000,$A108,Permissions!$I$2:$I$3000,"Yes")</f>
        <v>0</v>
      </c>
      <c r="AE108" s="21" t="n">
        <f aca="false">SUMIFS(Permissions!$U$2:$U$3000,Permissions!$B$2:$B$3000,$A108,Permissions!$I$2:$I$3000,"Yes")</f>
        <v>0</v>
      </c>
      <c r="AF108" s="21" t="n">
        <f aca="false">SUMIFS(Permissions!$V$2:$V$3000,Permissions!$B$2:$B$3000,$A108,Permissions!$I$2:$I$3000,"Yes")</f>
        <v>42.9</v>
      </c>
      <c r="AG108" s="21" t="n">
        <f aca="false">SUMIFS(Permissions!$W$2:$W$3000,Permissions!$B$2:$B$3000,$A108,Permissions!$I$2:$I$3000,"Yes")</f>
        <v>12.1</v>
      </c>
      <c r="AH108" s="21" t="n">
        <f aca="false">SUMIFS(Permissions!$X$2:$X$3000,Permissions!$B$2:$B$3000,$A108,Permissions!$I$2:$I$3000,"Yes")</f>
        <v>0</v>
      </c>
      <c r="AI108" s="21" t="n">
        <f aca="false">SUMIFS(Permissions!$Y$2:$Y$3000,Permissions!$B$2:$B$3000,$A108,Permissions!$I$2:$I$3000,"Yes")</f>
        <v>0</v>
      </c>
      <c r="AJ108" s="19" t="n">
        <f aca="false">COUNTIFS(Permissions!$B$2:$B$3000,$A108,Permissions!$I$2:$I$3000,"Yes")</f>
        <v>1</v>
      </c>
      <c r="AK108" s="22" t="str">
        <f aca="false">IF(AND(N108&lt;&gt;"",X108&gt;1.1*N108),"Consented above capacity",IF(AND(LEFT(B108,8)="Planning",AJ108=0),"Consent parcel with no permission",IF(COUNTIF($A$2:$A$3000,$A108)&gt;1,"Duplicate parcel_id","")))</f>
        <v/>
      </c>
    </row>
    <row r="109" customFormat="false" ht="15" hidden="false" customHeight="false" outlineLevel="0" collapsed="false">
      <c r="A109" s="18" t="s">
        <v>248</v>
      </c>
      <c r="B109" s="18" t="s">
        <v>10</v>
      </c>
      <c r="C109" s="18" t="s">
        <v>15</v>
      </c>
      <c r="D109" s="18" t="n">
        <v>80</v>
      </c>
      <c r="E109" s="18" t="s">
        <v>232</v>
      </c>
      <c r="F109" s="18" t="s">
        <v>112</v>
      </c>
      <c r="G109" s="18" t="s">
        <v>233</v>
      </c>
      <c r="H109" s="18" t="s">
        <v>105</v>
      </c>
      <c r="I109" s="18" t="s">
        <v>100</v>
      </c>
      <c r="J109" s="18" t="s">
        <v>93</v>
      </c>
      <c r="K109" s="18" t="s">
        <v>94</v>
      </c>
      <c r="L109" s="18" t="n">
        <v>0.077</v>
      </c>
      <c r="M109" s="18" t="n">
        <v>0.077</v>
      </c>
      <c r="N109" s="18" t="n">
        <v>3</v>
      </c>
      <c r="O109" s="18" t="s">
        <v>95</v>
      </c>
      <c r="P109" s="18" t="s">
        <v>96</v>
      </c>
      <c r="Q109" s="18" t="s">
        <v>97</v>
      </c>
      <c r="R109" s="18" t="s">
        <v>98</v>
      </c>
      <c r="S109" s="18"/>
      <c r="T109" s="19" t="n">
        <f aca="false">SUMIFS(Permissions!$F$2:$F$3000,Permissions!$B$2:$B$3000,$A109,Permissions!$H$2:$H$3000,"Complete",Permissions!$I$2:$I$3000,"Yes")</f>
        <v>0</v>
      </c>
      <c r="U109" s="19" t="n">
        <f aca="false">SUMIFS(Permissions!$F$2:$F$3000,Permissions!$B$2:$B$3000,$A109,Permissions!$H$2:$H$3000,"Under construction",Permissions!$I$2:$I$3000,"Yes")</f>
        <v>0</v>
      </c>
      <c r="V109" s="19" t="n">
        <f aca="false">SUMIFS(Permissions!$F$2:$F$3000,Permissions!$B$2:$B$3000,$A109,Permissions!$H$2:$H$3000,"Permitted – not started",Permissions!$I$2:$I$3000,"Yes")</f>
        <v>0</v>
      </c>
      <c r="W109" s="19" t="n">
        <f aca="false">SUMIFS(Permissions!$F$2:$F$3000,Permissions!$B$2:$B$3000,$A109,Permissions!$H$2:$H$3000,"Stalled",Permissions!$I$2:$I$3000,"Yes")</f>
        <v>0</v>
      </c>
      <c r="X109" s="19" t="n">
        <f aca="false">T109+U109+V109+W109</f>
        <v>0</v>
      </c>
      <c r="Y109" s="19" t="n">
        <f aca="false">SUMIFS(Permissions!$F$2:$F$3000,Permissions!$B$2:$B$3000,$A109,Permissions!$H$2:$H$3000,"Expired – not started",Permissions!$I$2:$I$3000,"Yes")</f>
        <v>0</v>
      </c>
      <c r="Z109" s="19" t="n">
        <f aca="false">SUMIFS(Permissions!$F$2:$F$3000,Permissions!$B$2:$B$3000,$A109,Permissions!$H$2:$H$3000,"In planning",Permissions!$I$2:$I$3000,"Yes")</f>
        <v>0</v>
      </c>
      <c r="AA109" s="19" t="n">
        <f aca="false">IF(N109="",0,MAX(N109-X109,0))</f>
        <v>3</v>
      </c>
      <c r="AB109" s="20" t="n">
        <f aca="false">X109+AA109</f>
        <v>3</v>
      </c>
      <c r="AC109" s="19" t="n">
        <f aca="false">AB109-T109</f>
        <v>3</v>
      </c>
      <c r="AD109" s="21" t="n">
        <f aca="false">SUMIFS(Permissions!$T$2:$T$3000,Permissions!$B$2:$B$3000,$A109,Permissions!$I$2:$I$3000,"Yes")</f>
        <v>0</v>
      </c>
      <c r="AE109" s="21" t="n">
        <f aca="false">SUMIFS(Permissions!$U$2:$U$3000,Permissions!$B$2:$B$3000,$A109,Permissions!$I$2:$I$3000,"Yes")</f>
        <v>0</v>
      </c>
      <c r="AF109" s="21" t="n">
        <f aca="false">SUMIFS(Permissions!$V$2:$V$3000,Permissions!$B$2:$B$3000,$A109,Permissions!$I$2:$I$3000,"Yes")</f>
        <v>0</v>
      </c>
      <c r="AG109" s="21" t="n">
        <f aca="false">SUMIFS(Permissions!$W$2:$W$3000,Permissions!$B$2:$B$3000,$A109,Permissions!$I$2:$I$3000,"Yes")</f>
        <v>0</v>
      </c>
      <c r="AH109" s="21" t="n">
        <f aca="false">SUMIFS(Permissions!$X$2:$X$3000,Permissions!$B$2:$B$3000,$A109,Permissions!$I$2:$I$3000,"Yes")</f>
        <v>0</v>
      </c>
      <c r="AI109" s="21" t="n">
        <f aca="false">SUMIFS(Permissions!$Y$2:$Y$3000,Permissions!$B$2:$B$3000,$A109,Permissions!$I$2:$I$3000,"Yes")</f>
        <v>0</v>
      </c>
      <c r="AJ109" s="19" t="n">
        <f aca="false">COUNTIFS(Permissions!$B$2:$B$3000,$A109,Permissions!$I$2:$I$3000,"Yes")</f>
        <v>0</v>
      </c>
      <c r="AK109" s="22" t="str">
        <f aca="false">IF(AND(N109&lt;&gt;"",X109&gt;1.1*N109),"Consented above capacity",IF(AND(LEFT(B109,8)="Planning",AJ109=0),"Consent parcel with no permission",IF(COUNTIF($A$2:$A$3000,$A109)&gt;1,"Duplicate parcel_id","")))</f>
        <v/>
      </c>
    </row>
    <row r="110" customFormat="false" ht="15" hidden="false" customHeight="false" outlineLevel="0" collapsed="false">
      <c r="A110" s="18" t="s">
        <v>249</v>
      </c>
      <c r="B110" s="18" t="s">
        <v>10</v>
      </c>
      <c r="C110" s="18" t="s">
        <v>15</v>
      </c>
      <c r="D110" s="18" t="n">
        <v>81</v>
      </c>
      <c r="E110" s="18" t="s">
        <v>232</v>
      </c>
      <c r="F110" s="18" t="s">
        <v>112</v>
      </c>
      <c r="G110" s="18" t="s">
        <v>233</v>
      </c>
      <c r="H110" s="18" t="s">
        <v>105</v>
      </c>
      <c r="I110" s="18" t="s">
        <v>92</v>
      </c>
      <c r="J110" s="18" t="s">
        <v>93</v>
      </c>
      <c r="K110" s="18" t="s">
        <v>94</v>
      </c>
      <c r="L110" s="18" t="n">
        <v>0.156</v>
      </c>
      <c r="M110" s="18" t="n">
        <v>0.156</v>
      </c>
      <c r="N110" s="18" t="n">
        <v>32</v>
      </c>
      <c r="O110" s="18" t="s">
        <v>95</v>
      </c>
      <c r="P110" s="18" t="s">
        <v>116</v>
      </c>
      <c r="Q110" s="18" t="s">
        <v>97</v>
      </c>
      <c r="R110" s="18" t="s">
        <v>98</v>
      </c>
      <c r="S110" s="18"/>
      <c r="T110" s="19" t="n">
        <f aca="false">SUMIFS(Permissions!$F$2:$F$3000,Permissions!$B$2:$B$3000,$A110,Permissions!$H$2:$H$3000,"Complete",Permissions!$I$2:$I$3000,"Yes")</f>
        <v>0</v>
      </c>
      <c r="U110" s="19" t="n">
        <f aca="false">SUMIFS(Permissions!$F$2:$F$3000,Permissions!$B$2:$B$3000,$A110,Permissions!$H$2:$H$3000,"Under construction",Permissions!$I$2:$I$3000,"Yes")</f>
        <v>20</v>
      </c>
      <c r="V110" s="19" t="n">
        <f aca="false">SUMIFS(Permissions!$F$2:$F$3000,Permissions!$B$2:$B$3000,$A110,Permissions!$H$2:$H$3000,"Permitted – not started",Permissions!$I$2:$I$3000,"Yes")</f>
        <v>0</v>
      </c>
      <c r="W110" s="19" t="n">
        <f aca="false">SUMIFS(Permissions!$F$2:$F$3000,Permissions!$B$2:$B$3000,$A110,Permissions!$H$2:$H$3000,"Stalled",Permissions!$I$2:$I$3000,"Yes")</f>
        <v>0</v>
      </c>
      <c r="X110" s="19" t="n">
        <f aca="false">T110+U110+V110+W110</f>
        <v>20</v>
      </c>
      <c r="Y110" s="19" t="n">
        <f aca="false">SUMIFS(Permissions!$F$2:$F$3000,Permissions!$B$2:$B$3000,$A110,Permissions!$H$2:$H$3000,"Expired – not started",Permissions!$I$2:$I$3000,"Yes")</f>
        <v>0</v>
      </c>
      <c r="Z110" s="19" t="n">
        <f aca="false">SUMIFS(Permissions!$F$2:$F$3000,Permissions!$B$2:$B$3000,$A110,Permissions!$H$2:$H$3000,"In planning",Permissions!$I$2:$I$3000,"Yes")</f>
        <v>0</v>
      </c>
      <c r="AA110" s="19" t="n">
        <f aca="false">IF(N110="",0,MAX(N110-X110,0))</f>
        <v>12</v>
      </c>
      <c r="AB110" s="20" t="n">
        <f aca="false">X110+AA110</f>
        <v>32</v>
      </c>
      <c r="AC110" s="19" t="n">
        <f aca="false">AB110-T110</f>
        <v>32</v>
      </c>
      <c r="AD110" s="21" t="n">
        <f aca="false">SUMIFS(Permissions!$T$2:$T$3000,Permissions!$B$2:$B$3000,$A110,Permissions!$I$2:$I$3000,"Yes")</f>
        <v>4.7</v>
      </c>
      <c r="AE110" s="21" t="n">
        <f aca="false">SUMIFS(Permissions!$U$2:$U$3000,Permissions!$B$2:$B$3000,$A110,Permissions!$I$2:$I$3000,"Yes")</f>
        <v>15.3</v>
      </c>
      <c r="AF110" s="21" t="n">
        <f aca="false">SUMIFS(Permissions!$V$2:$V$3000,Permissions!$B$2:$B$3000,$A110,Permissions!$I$2:$I$3000,"Yes")</f>
        <v>0</v>
      </c>
      <c r="AG110" s="21" t="n">
        <f aca="false">SUMIFS(Permissions!$W$2:$W$3000,Permissions!$B$2:$B$3000,$A110,Permissions!$I$2:$I$3000,"Yes")</f>
        <v>0</v>
      </c>
      <c r="AH110" s="21" t="n">
        <f aca="false">SUMIFS(Permissions!$X$2:$X$3000,Permissions!$B$2:$B$3000,$A110,Permissions!$I$2:$I$3000,"Yes")</f>
        <v>0</v>
      </c>
      <c r="AI110" s="21" t="n">
        <f aca="false">SUMIFS(Permissions!$Y$2:$Y$3000,Permissions!$B$2:$B$3000,$A110,Permissions!$I$2:$I$3000,"Yes")</f>
        <v>0</v>
      </c>
      <c r="AJ110" s="19" t="n">
        <f aca="false">COUNTIFS(Permissions!$B$2:$B$3000,$A110,Permissions!$I$2:$I$3000,"Yes")</f>
        <v>1</v>
      </c>
      <c r="AK110" s="22" t="str">
        <f aca="false">IF(AND(N110&lt;&gt;"",X110&gt;1.1*N110),"Consented above capacity",IF(AND(LEFT(B110,8)="Planning",AJ110=0),"Consent parcel with no permission",IF(COUNTIF($A$2:$A$3000,$A110)&gt;1,"Duplicate parcel_id","")))</f>
        <v/>
      </c>
    </row>
    <row r="111" customFormat="false" ht="15" hidden="false" customHeight="false" outlineLevel="0" collapsed="false">
      <c r="A111" s="18" t="s">
        <v>250</v>
      </c>
      <c r="B111" s="18" t="s">
        <v>10</v>
      </c>
      <c r="C111" s="18" t="s">
        <v>15</v>
      </c>
      <c r="D111" s="18" t="n">
        <v>82</v>
      </c>
      <c r="E111" s="18" t="s">
        <v>232</v>
      </c>
      <c r="F111" s="18" t="s">
        <v>112</v>
      </c>
      <c r="G111" s="18" t="s">
        <v>233</v>
      </c>
      <c r="H111" s="18" t="s">
        <v>105</v>
      </c>
      <c r="I111" s="18" t="s">
        <v>165</v>
      </c>
      <c r="J111" s="18" t="s">
        <v>93</v>
      </c>
      <c r="K111" s="18" t="s">
        <v>166</v>
      </c>
      <c r="L111" s="18" t="n">
        <v>0</v>
      </c>
      <c r="M111" s="18" t="n">
        <v>0.166</v>
      </c>
      <c r="N111" s="18" t="n">
        <v>0</v>
      </c>
      <c r="O111" s="18" t="s">
        <v>95</v>
      </c>
      <c r="P111" s="18" t="s">
        <v>96</v>
      </c>
      <c r="Q111" s="18" t="s">
        <v>97</v>
      </c>
      <c r="R111" s="18" t="s">
        <v>98</v>
      </c>
      <c r="S111" s="18"/>
      <c r="T111" s="19" t="n">
        <f aca="false">SUMIFS(Permissions!$F$2:$F$3000,Permissions!$B$2:$B$3000,$A111,Permissions!$H$2:$H$3000,"Complete",Permissions!$I$2:$I$3000,"Yes")</f>
        <v>0</v>
      </c>
      <c r="U111" s="19" t="n">
        <f aca="false">SUMIFS(Permissions!$F$2:$F$3000,Permissions!$B$2:$B$3000,$A111,Permissions!$H$2:$H$3000,"Under construction",Permissions!$I$2:$I$3000,"Yes")</f>
        <v>0</v>
      </c>
      <c r="V111" s="19" t="n">
        <f aca="false">SUMIFS(Permissions!$F$2:$F$3000,Permissions!$B$2:$B$3000,$A111,Permissions!$H$2:$H$3000,"Permitted – not started",Permissions!$I$2:$I$3000,"Yes")</f>
        <v>0</v>
      </c>
      <c r="W111" s="19" t="n">
        <f aca="false">SUMIFS(Permissions!$F$2:$F$3000,Permissions!$B$2:$B$3000,$A111,Permissions!$H$2:$H$3000,"Stalled",Permissions!$I$2:$I$3000,"Yes")</f>
        <v>0</v>
      </c>
      <c r="X111" s="19" t="n">
        <f aca="false">T111+U111+V111+W111</f>
        <v>0</v>
      </c>
      <c r="Y111" s="19" t="n">
        <f aca="false">SUMIFS(Permissions!$F$2:$F$3000,Permissions!$B$2:$B$3000,$A111,Permissions!$H$2:$H$3000,"Expired – not started",Permissions!$I$2:$I$3000,"Yes")</f>
        <v>0</v>
      </c>
      <c r="Z111" s="19" t="n">
        <f aca="false">SUMIFS(Permissions!$F$2:$F$3000,Permissions!$B$2:$B$3000,$A111,Permissions!$H$2:$H$3000,"In planning",Permissions!$I$2:$I$3000,"Yes")</f>
        <v>0</v>
      </c>
      <c r="AA111" s="19" t="n">
        <f aca="false">IF(N111="",0,MAX(N111-X111,0))</f>
        <v>0</v>
      </c>
      <c r="AB111" s="20" t="n">
        <f aca="false">X111+AA111</f>
        <v>0</v>
      </c>
      <c r="AC111" s="19" t="n">
        <f aca="false">AB111-T111</f>
        <v>0</v>
      </c>
      <c r="AD111" s="21" t="n">
        <f aca="false">SUMIFS(Permissions!$T$2:$T$3000,Permissions!$B$2:$B$3000,$A111,Permissions!$I$2:$I$3000,"Yes")</f>
        <v>0</v>
      </c>
      <c r="AE111" s="21" t="n">
        <f aca="false">SUMIFS(Permissions!$U$2:$U$3000,Permissions!$B$2:$B$3000,$A111,Permissions!$I$2:$I$3000,"Yes")</f>
        <v>0</v>
      </c>
      <c r="AF111" s="21" t="n">
        <f aca="false">SUMIFS(Permissions!$V$2:$V$3000,Permissions!$B$2:$B$3000,$A111,Permissions!$I$2:$I$3000,"Yes")</f>
        <v>0</v>
      </c>
      <c r="AG111" s="21" t="n">
        <f aca="false">SUMIFS(Permissions!$W$2:$W$3000,Permissions!$B$2:$B$3000,$A111,Permissions!$I$2:$I$3000,"Yes")</f>
        <v>0</v>
      </c>
      <c r="AH111" s="21" t="n">
        <f aca="false">SUMIFS(Permissions!$X$2:$X$3000,Permissions!$B$2:$B$3000,$A111,Permissions!$I$2:$I$3000,"Yes")</f>
        <v>0</v>
      </c>
      <c r="AI111" s="21" t="n">
        <f aca="false">SUMIFS(Permissions!$Y$2:$Y$3000,Permissions!$B$2:$B$3000,$A111,Permissions!$I$2:$I$3000,"Yes")</f>
        <v>0</v>
      </c>
      <c r="AJ111" s="19" t="n">
        <f aca="false">COUNTIFS(Permissions!$B$2:$B$3000,$A111,Permissions!$I$2:$I$3000,"Yes")</f>
        <v>0</v>
      </c>
      <c r="AK111" s="22" t="str">
        <f aca="false">IF(AND(N111&lt;&gt;"",X111&gt;1.1*N111),"Consented above capacity",IF(AND(LEFT(B111,8)="Planning",AJ111=0),"Consent parcel with no permission",IF(COUNTIF($A$2:$A$3000,$A111)&gt;1,"Duplicate parcel_id","")))</f>
        <v/>
      </c>
    </row>
    <row r="112" customFormat="false" ht="15" hidden="false" customHeight="false" outlineLevel="0" collapsed="false">
      <c r="A112" s="18" t="s">
        <v>251</v>
      </c>
      <c r="B112" s="18" t="s">
        <v>10</v>
      </c>
      <c r="C112" s="18" t="s">
        <v>15</v>
      </c>
      <c r="D112" s="18" t="n">
        <v>83</v>
      </c>
      <c r="E112" s="18" t="s">
        <v>232</v>
      </c>
      <c r="F112" s="18" t="s">
        <v>112</v>
      </c>
      <c r="G112" s="18" t="s">
        <v>233</v>
      </c>
      <c r="H112" s="18" t="s">
        <v>105</v>
      </c>
      <c r="I112" s="18" t="s">
        <v>165</v>
      </c>
      <c r="J112" s="18" t="s">
        <v>93</v>
      </c>
      <c r="K112" s="18" t="s">
        <v>166</v>
      </c>
      <c r="L112" s="18" t="n">
        <v>0.124</v>
      </c>
      <c r="M112" s="18" t="n">
        <v>0.125</v>
      </c>
      <c r="N112" s="18" t="n">
        <v>14</v>
      </c>
      <c r="O112" s="18" t="s">
        <v>95</v>
      </c>
      <c r="P112" s="18" t="s">
        <v>116</v>
      </c>
      <c r="Q112" s="18" t="s">
        <v>97</v>
      </c>
      <c r="R112" s="18" t="s">
        <v>98</v>
      </c>
      <c r="S112" s="18"/>
      <c r="T112" s="19" t="n">
        <f aca="false">SUMIFS(Permissions!$F$2:$F$3000,Permissions!$B$2:$B$3000,$A112,Permissions!$H$2:$H$3000,"Complete",Permissions!$I$2:$I$3000,"Yes")</f>
        <v>0</v>
      </c>
      <c r="U112" s="19" t="n">
        <f aca="false">SUMIFS(Permissions!$F$2:$F$3000,Permissions!$B$2:$B$3000,$A112,Permissions!$H$2:$H$3000,"Under construction",Permissions!$I$2:$I$3000,"Yes")</f>
        <v>0</v>
      </c>
      <c r="V112" s="19" t="n">
        <f aca="false">SUMIFS(Permissions!$F$2:$F$3000,Permissions!$B$2:$B$3000,$A112,Permissions!$H$2:$H$3000,"Permitted – not started",Permissions!$I$2:$I$3000,"Yes")</f>
        <v>44</v>
      </c>
      <c r="W112" s="19" t="n">
        <f aca="false">SUMIFS(Permissions!$F$2:$F$3000,Permissions!$B$2:$B$3000,$A112,Permissions!$H$2:$H$3000,"Stalled",Permissions!$I$2:$I$3000,"Yes")</f>
        <v>0</v>
      </c>
      <c r="X112" s="19" t="n">
        <f aca="false">T112+U112+V112+W112</f>
        <v>44</v>
      </c>
      <c r="Y112" s="19" t="n">
        <f aca="false">SUMIFS(Permissions!$F$2:$F$3000,Permissions!$B$2:$B$3000,$A112,Permissions!$H$2:$H$3000,"Expired – not started",Permissions!$I$2:$I$3000,"Yes")</f>
        <v>0</v>
      </c>
      <c r="Z112" s="19" t="n">
        <f aca="false">SUMIFS(Permissions!$F$2:$F$3000,Permissions!$B$2:$B$3000,$A112,Permissions!$H$2:$H$3000,"In planning",Permissions!$I$2:$I$3000,"Yes")</f>
        <v>0</v>
      </c>
      <c r="AA112" s="19" t="n">
        <f aca="false">IF(N112="",0,MAX(N112-X112,0))</f>
        <v>0</v>
      </c>
      <c r="AB112" s="20" t="n">
        <f aca="false">X112+AA112</f>
        <v>44</v>
      </c>
      <c r="AC112" s="19" t="n">
        <f aca="false">AB112-T112</f>
        <v>44</v>
      </c>
      <c r="AD112" s="21" t="n">
        <f aca="false">SUMIFS(Permissions!$T$2:$T$3000,Permissions!$B$2:$B$3000,$A112,Permissions!$I$2:$I$3000,"Yes")</f>
        <v>0</v>
      </c>
      <c r="AE112" s="21" t="n">
        <f aca="false">SUMIFS(Permissions!$U$2:$U$3000,Permissions!$B$2:$B$3000,$A112,Permissions!$I$2:$I$3000,"Yes")</f>
        <v>1.4</v>
      </c>
      <c r="AF112" s="21" t="n">
        <f aca="false">SUMIFS(Permissions!$V$2:$V$3000,Permissions!$B$2:$B$3000,$A112,Permissions!$I$2:$I$3000,"Yes")</f>
        <v>36.8</v>
      </c>
      <c r="AG112" s="21" t="n">
        <f aca="false">SUMIFS(Permissions!$W$2:$W$3000,Permissions!$B$2:$B$3000,$A112,Permissions!$I$2:$I$3000,"Yes")</f>
        <v>5.8</v>
      </c>
      <c r="AH112" s="21" t="n">
        <f aca="false">SUMIFS(Permissions!$X$2:$X$3000,Permissions!$B$2:$B$3000,$A112,Permissions!$I$2:$I$3000,"Yes")</f>
        <v>0</v>
      </c>
      <c r="AI112" s="21" t="n">
        <f aca="false">SUMIFS(Permissions!$Y$2:$Y$3000,Permissions!$B$2:$B$3000,$A112,Permissions!$I$2:$I$3000,"Yes")</f>
        <v>0</v>
      </c>
      <c r="AJ112" s="19" t="n">
        <f aca="false">COUNTIFS(Permissions!$B$2:$B$3000,$A112,Permissions!$I$2:$I$3000,"Yes")</f>
        <v>2</v>
      </c>
      <c r="AK112" s="22" t="str">
        <f aca="false">IF(AND(N112&lt;&gt;"",X112&gt;1.1*N112),"Consented above capacity",IF(AND(LEFT(B112,8)="Planning",AJ112=0),"Consent parcel with no permission",IF(COUNTIF($A$2:$A$3000,$A112)&gt;1,"Duplicate parcel_id","")))</f>
        <v>Consented above capacity</v>
      </c>
    </row>
    <row r="113" customFormat="false" ht="15" hidden="false" customHeight="false" outlineLevel="0" collapsed="false">
      <c r="A113" s="18" t="s">
        <v>252</v>
      </c>
      <c r="B113" s="18" t="s">
        <v>10</v>
      </c>
      <c r="C113" s="18" t="s">
        <v>15</v>
      </c>
      <c r="D113" s="18" t="n">
        <v>84</v>
      </c>
      <c r="E113" s="18" t="s">
        <v>232</v>
      </c>
      <c r="F113" s="18" t="s">
        <v>112</v>
      </c>
      <c r="G113" s="18" t="s">
        <v>233</v>
      </c>
      <c r="H113" s="18" t="s">
        <v>105</v>
      </c>
      <c r="I113" s="18" t="s">
        <v>165</v>
      </c>
      <c r="J113" s="18" t="s">
        <v>93</v>
      </c>
      <c r="K113" s="18" t="s">
        <v>166</v>
      </c>
      <c r="L113" s="18" t="n">
        <v>0.043</v>
      </c>
      <c r="M113" s="18" t="n">
        <v>0.043</v>
      </c>
      <c r="N113" s="18" t="n">
        <v>20</v>
      </c>
      <c r="O113" s="18" t="s">
        <v>95</v>
      </c>
      <c r="P113" s="18" t="s">
        <v>116</v>
      </c>
      <c r="Q113" s="18" t="s">
        <v>97</v>
      </c>
      <c r="R113" s="18" t="s">
        <v>98</v>
      </c>
      <c r="S113" s="18"/>
      <c r="T113" s="19" t="n">
        <f aca="false">SUMIFS(Permissions!$F$2:$F$3000,Permissions!$B$2:$B$3000,$A113,Permissions!$H$2:$H$3000,"Complete",Permissions!$I$2:$I$3000,"Yes")</f>
        <v>0</v>
      </c>
      <c r="U113" s="19" t="n">
        <f aca="false">SUMIFS(Permissions!$F$2:$F$3000,Permissions!$B$2:$B$3000,$A113,Permissions!$H$2:$H$3000,"Under construction",Permissions!$I$2:$I$3000,"Yes")</f>
        <v>30</v>
      </c>
      <c r="V113" s="19" t="n">
        <f aca="false">SUMIFS(Permissions!$F$2:$F$3000,Permissions!$B$2:$B$3000,$A113,Permissions!$H$2:$H$3000,"Permitted – not started",Permissions!$I$2:$I$3000,"Yes")</f>
        <v>0</v>
      </c>
      <c r="W113" s="19" t="n">
        <f aca="false">SUMIFS(Permissions!$F$2:$F$3000,Permissions!$B$2:$B$3000,$A113,Permissions!$H$2:$H$3000,"Stalled",Permissions!$I$2:$I$3000,"Yes")</f>
        <v>0</v>
      </c>
      <c r="X113" s="19" t="n">
        <f aca="false">T113+U113+V113+W113</f>
        <v>30</v>
      </c>
      <c r="Y113" s="19" t="n">
        <f aca="false">SUMIFS(Permissions!$F$2:$F$3000,Permissions!$B$2:$B$3000,$A113,Permissions!$H$2:$H$3000,"Expired – not started",Permissions!$I$2:$I$3000,"Yes")</f>
        <v>0</v>
      </c>
      <c r="Z113" s="19" t="n">
        <f aca="false">SUMIFS(Permissions!$F$2:$F$3000,Permissions!$B$2:$B$3000,$A113,Permissions!$H$2:$H$3000,"In planning",Permissions!$I$2:$I$3000,"Yes")</f>
        <v>0</v>
      </c>
      <c r="AA113" s="19" t="n">
        <f aca="false">IF(N113="",0,MAX(N113-X113,0))</f>
        <v>0</v>
      </c>
      <c r="AB113" s="20" t="n">
        <f aca="false">X113+AA113</f>
        <v>30</v>
      </c>
      <c r="AC113" s="19" t="n">
        <f aca="false">AB113-T113</f>
        <v>30</v>
      </c>
      <c r="AD113" s="21" t="n">
        <f aca="false">SUMIFS(Permissions!$T$2:$T$3000,Permissions!$B$2:$B$3000,$A113,Permissions!$I$2:$I$3000,"Yes")</f>
        <v>7</v>
      </c>
      <c r="AE113" s="21" t="n">
        <f aca="false">SUMIFS(Permissions!$U$2:$U$3000,Permissions!$B$2:$B$3000,$A113,Permissions!$I$2:$I$3000,"Yes")</f>
        <v>23</v>
      </c>
      <c r="AF113" s="21" t="n">
        <f aca="false">SUMIFS(Permissions!$V$2:$V$3000,Permissions!$B$2:$B$3000,$A113,Permissions!$I$2:$I$3000,"Yes")</f>
        <v>0</v>
      </c>
      <c r="AG113" s="21" t="n">
        <f aca="false">SUMIFS(Permissions!$W$2:$W$3000,Permissions!$B$2:$B$3000,$A113,Permissions!$I$2:$I$3000,"Yes")</f>
        <v>0</v>
      </c>
      <c r="AH113" s="21" t="n">
        <f aca="false">SUMIFS(Permissions!$X$2:$X$3000,Permissions!$B$2:$B$3000,$A113,Permissions!$I$2:$I$3000,"Yes")</f>
        <v>0</v>
      </c>
      <c r="AI113" s="21" t="n">
        <f aca="false">SUMIFS(Permissions!$Y$2:$Y$3000,Permissions!$B$2:$B$3000,$A113,Permissions!$I$2:$I$3000,"Yes")</f>
        <v>0</v>
      </c>
      <c r="AJ113" s="19" t="n">
        <f aca="false">COUNTIFS(Permissions!$B$2:$B$3000,$A113,Permissions!$I$2:$I$3000,"Yes")</f>
        <v>1</v>
      </c>
      <c r="AK113" s="22" t="str">
        <f aca="false">IF(AND(N113&lt;&gt;"",X113&gt;1.1*N113),"Consented above capacity",IF(AND(LEFT(B113,8)="Planning",AJ113=0),"Consent parcel with no permission",IF(COUNTIF($A$2:$A$3000,$A113)&gt;1,"Duplicate parcel_id","")))</f>
        <v>Consented above capacity</v>
      </c>
    </row>
    <row r="114" customFormat="false" ht="15" hidden="false" customHeight="false" outlineLevel="0" collapsed="false">
      <c r="A114" s="18" t="s">
        <v>253</v>
      </c>
      <c r="B114" s="18" t="s">
        <v>10</v>
      </c>
      <c r="C114" s="18" t="s">
        <v>15</v>
      </c>
      <c r="D114" s="18" t="n">
        <v>110</v>
      </c>
      <c r="E114" s="18" t="s">
        <v>254</v>
      </c>
      <c r="F114" s="18" t="s">
        <v>142</v>
      </c>
      <c r="G114" s="18" t="s">
        <v>90</v>
      </c>
      <c r="H114" s="18" t="s">
        <v>91</v>
      </c>
      <c r="I114" s="18" t="s">
        <v>92</v>
      </c>
      <c r="J114" s="18" t="s">
        <v>101</v>
      </c>
      <c r="K114" s="18" t="s">
        <v>94</v>
      </c>
      <c r="L114" s="18" t="n">
        <v>0.126</v>
      </c>
      <c r="M114" s="18" t="n">
        <v>0.127</v>
      </c>
      <c r="N114" s="18" t="n">
        <v>6</v>
      </c>
      <c r="O114" s="18" t="s">
        <v>95</v>
      </c>
      <c r="P114" s="18" t="s">
        <v>96</v>
      </c>
      <c r="Q114" s="18" t="s">
        <v>97</v>
      </c>
      <c r="R114" s="18" t="s">
        <v>98</v>
      </c>
      <c r="S114" s="18"/>
      <c r="T114" s="19" t="n">
        <f aca="false">SUMIFS(Permissions!$F$2:$F$3000,Permissions!$B$2:$B$3000,$A114,Permissions!$H$2:$H$3000,"Complete",Permissions!$I$2:$I$3000,"Yes")</f>
        <v>0</v>
      </c>
      <c r="U114" s="19" t="n">
        <f aca="false">SUMIFS(Permissions!$F$2:$F$3000,Permissions!$B$2:$B$3000,$A114,Permissions!$H$2:$H$3000,"Under construction",Permissions!$I$2:$I$3000,"Yes")</f>
        <v>0</v>
      </c>
      <c r="V114" s="19" t="n">
        <f aca="false">SUMIFS(Permissions!$F$2:$F$3000,Permissions!$B$2:$B$3000,$A114,Permissions!$H$2:$H$3000,"Permitted – not started",Permissions!$I$2:$I$3000,"Yes")</f>
        <v>0</v>
      </c>
      <c r="W114" s="19" t="n">
        <f aca="false">SUMIFS(Permissions!$F$2:$F$3000,Permissions!$B$2:$B$3000,$A114,Permissions!$H$2:$H$3000,"Stalled",Permissions!$I$2:$I$3000,"Yes")</f>
        <v>0</v>
      </c>
      <c r="X114" s="19" t="n">
        <f aca="false">T114+U114+V114+W114</f>
        <v>0</v>
      </c>
      <c r="Y114" s="19" t="n">
        <f aca="false">SUMIFS(Permissions!$F$2:$F$3000,Permissions!$B$2:$B$3000,$A114,Permissions!$H$2:$H$3000,"Expired – not started",Permissions!$I$2:$I$3000,"Yes")</f>
        <v>0</v>
      </c>
      <c r="Z114" s="19" t="n">
        <f aca="false">SUMIFS(Permissions!$F$2:$F$3000,Permissions!$B$2:$B$3000,$A114,Permissions!$H$2:$H$3000,"In planning",Permissions!$I$2:$I$3000,"Yes")</f>
        <v>0</v>
      </c>
      <c r="AA114" s="19" t="n">
        <f aca="false">IF(N114="",0,MAX(N114-X114,0))</f>
        <v>6</v>
      </c>
      <c r="AB114" s="20" t="n">
        <f aca="false">X114+AA114</f>
        <v>6</v>
      </c>
      <c r="AC114" s="19" t="n">
        <f aca="false">AB114-T114</f>
        <v>6</v>
      </c>
      <c r="AD114" s="21" t="n">
        <f aca="false">SUMIFS(Permissions!$T$2:$T$3000,Permissions!$B$2:$B$3000,$A114,Permissions!$I$2:$I$3000,"Yes")</f>
        <v>0</v>
      </c>
      <c r="AE114" s="21" t="n">
        <f aca="false">SUMIFS(Permissions!$U$2:$U$3000,Permissions!$B$2:$B$3000,$A114,Permissions!$I$2:$I$3000,"Yes")</f>
        <v>0</v>
      </c>
      <c r="AF114" s="21" t="n">
        <f aca="false">SUMIFS(Permissions!$V$2:$V$3000,Permissions!$B$2:$B$3000,$A114,Permissions!$I$2:$I$3000,"Yes")</f>
        <v>0</v>
      </c>
      <c r="AG114" s="21" t="n">
        <f aca="false">SUMIFS(Permissions!$W$2:$W$3000,Permissions!$B$2:$B$3000,$A114,Permissions!$I$2:$I$3000,"Yes")</f>
        <v>0</v>
      </c>
      <c r="AH114" s="21" t="n">
        <f aca="false">SUMIFS(Permissions!$X$2:$X$3000,Permissions!$B$2:$B$3000,$A114,Permissions!$I$2:$I$3000,"Yes")</f>
        <v>0</v>
      </c>
      <c r="AI114" s="21" t="n">
        <f aca="false">SUMIFS(Permissions!$Y$2:$Y$3000,Permissions!$B$2:$B$3000,$A114,Permissions!$I$2:$I$3000,"Yes")</f>
        <v>0</v>
      </c>
      <c r="AJ114" s="19" t="n">
        <f aca="false">COUNTIFS(Permissions!$B$2:$B$3000,$A114,Permissions!$I$2:$I$3000,"Yes")</f>
        <v>0</v>
      </c>
      <c r="AK114" s="22" t="str">
        <f aca="false">IF(AND(N114&lt;&gt;"",X114&gt;1.1*N114),"Consented above capacity",IF(AND(LEFT(B114,8)="Planning",AJ114=0),"Consent parcel with no permission",IF(COUNTIF($A$2:$A$3000,$A114)&gt;1,"Duplicate parcel_id","")))</f>
        <v/>
      </c>
    </row>
    <row r="115" customFormat="false" ht="15" hidden="false" customHeight="false" outlineLevel="0" collapsed="false">
      <c r="A115" s="18" t="s">
        <v>255</v>
      </c>
      <c r="B115" s="18" t="s">
        <v>10</v>
      </c>
      <c r="C115" s="18" t="s">
        <v>15</v>
      </c>
      <c r="D115" s="18" t="n">
        <v>111</v>
      </c>
      <c r="E115" s="18" t="s">
        <v>254</v>
      </c>
      <c r="F115" s="18" t="s">
        <v>142</v>
      </c>
      <c r="G115" s="18" t="s">
        <v>90</v>
      </c>
      <c r="H115" s="18" t="s">
        <v>91</v>
      </c>
      <c r="I115" s="18" t="s">
        <v>92</v>
      </c>
      <c r="J115" s="18" t="s">
        <v>101</v>
      </c>
      <c r="K115" s="18" t="s">
        <v>94</v>
      </c>
      <c r="L115" s="18" t="n">
        <v>0.703</v>
      </c>
      <c r="M115" s="18" t="n">
        <v>0.703</v>
      </c>
      <c r="N115" s="18" t="n">
        <v>32</v>
      </c>
      <c r="O115" s="18" t="s">
        <v>95</v>
      </c>
      <c r="P115" s="18" t="s">
        <v>96</v>
      </c>
      <c r="Q115" s="18" t="s">
        <v>97</v>
      </c>
      <c r="R115" s="18" t="s">
        <v>98</v>
      </c>
      <c r="S115" s="18"/>
      <c r="T115" s="19" t="n">
        <f aca="false">SUMIFS(Permissions!$F$2:$F$3000,Permissions!$B$2:$B$3000,$A115,Permissions!$H$2:$H$3000,"Complete",Permissions!$I$2:$I$3000,"Yes")</f>
        <v>0</v>
      </c>
      <c r="U115" s="19" t="n">
        <f aca="false">SUMIFS(Permissions!$F$2:$F$3000,Permissions!$B$2:$B$3000,$A115,Permissions!$H$2:$H$3000,"Under construction",Permissions!$I$2:$I$3000,"Yes")</f>
        <v>0</v>
      </c>
      <c r="V115" s="19" t="n">
        <f aca="false">SUMIFS(Permissions!$F$2:$F$3000,Permissions!$B$2:$B$3000,$A115,Permissions!$H$2:$H$3000,"Permitted – not started",Permissions!$I$2:$I$3000,"Yes")</f>
        <v>0</v>
      </c>
      <c r="W115" s="19" t="n">
        <f aca="false">SUMIFS(Permissions!$F$2:$F$3000,Permissions!$B$2:$B$3000,$A115,Permissions!$H$2:$H$3000,"Stalled",Permissions!$I$2:$I$3000,"Yes")</f>
        <v>0</v>
      </c>
      <c r="X115" s="19" t="n">
        <f aca="false">T115+U115+V115+W115</f>
        <v>0</v>
      </c>
      <c r="Y115" s="19" t="n">
        <f aca="false">SUMIFS(Permissions!$F$2:$F$3000,Permissions!$B$2:$B$3000,$A115,Permissions!$H$2:$H$3000,"Expired – not started",Permissions!$I$2:$I$3000,"Yes")</f>
        <v>0</v>
      </c>
      <c r="Z115" s="19" t="n">
        <f aca="false">SUMIFS(Permissions!$F$2:$F$3000,Permissions!$B$2:$B$3000,$A115,Permissions!$H$2:$H$3000,"In planning",Permissions!$I$2:$I$3000,"Yes")</f>
        <v>0</v>
      </c>
      <c r="AA115" s="19" t="n">
        <f aca="false">IF(N115="",0,MAX(N115-X115,0))</f>
        <v>32</v>
      </c>
      <c r="AB115" s="20" t="n">
        <f aca="false">X115+AA115</f>
        <v>32</v>
      </c>
      <c r="AC115" s="19" t="n">
        <f aca="false">AB115-T115</f>
        <v>32</v>
      </c>
      <c r="AD115" s="21" t="n">
        <f aca="false">SUMIFS(Permissions!$T$2:$T$3000,Permissions!$B$2:$B$3000,$A115,Permissions!$I$2:$I$3000,"Yes")</f>
        <v>0</v>
      </c>
      <c r="AE115" s="21" t="n">
        <f aca="false">SUMIFS(Permissions!$U$2:$U$3000,Permissions!$B$2:$B$3000,$A115,Permissions!$I$2:$I$3000,"Yes")</f>
        <v>0</v>
      </c>
      <c r="AF115" s="21" t="n">
        <f aca="false">SUMIFS(Permissions!$V$2:$V$3000,Permissions!$B$2:$B$3000,$A115,Permissions!$I$2:$I$3000,"Yes")</f>
        <v>0</v>
      </c>
      <c r="AG115" s="21" t="n">
        <f aca="false">SUMIFS(Permissions!$W$2:$W$3000,Permissions!$B$2:$B$3000,$A115,Permissions!$I$2:$I$3000,"Yes")</f>
        <v>0</v>
      </c>
      <c r="AH115" s="21" t="n">
        <f aca="false">SUMIFS(Permissions!$X$2:$X$3000,Permissions!$B$2:$B$3000,$A115,Permissions!$I$2:$I$3000,"Yes")</f>
        <v>0</v>
      </c>
      <c r="AI115" s="21" t="n">
        <f aca="false">SUMIFS(Permissions!$Y$2:$Y$3000,Permissions!$B$2:$B$3000,$A115,Permissions!$I$2:$I$3000,"Yes")</f>
        <v>0</v>
      </c>
      <c r="AJ115" s="19" t="n">
        <f aca="false">COUNTIFS(Permissions!$B$2:$B$3000,$A115,Permissions!$I$2:$I$3000,"Yes")</f>
        <v>0</v>
      </c>
      <c r="AK115" s="22" t="str">
        <f aca="false">IF(AND(N115&lt;&gt;"",X115&gt;1.1*N115),"Consented above capacity",IF(AND(LEFT(B115,8)="Planning",AJ115=0),"Consent parcel with no permission",IF(COUNTIF($A$2:$A$3000,$A115)&gt;1,"Duplicate parcel_id","")))</f>
        <v/>
      </c>
    </row>
    <row r="116" customFormat="false" ht="15" hidden="false" customHeight="false" outlineLevel="0" collapsed="false">
      <c r="A116" s="18" t="s">
        <v>256</v>
      </c>
      <c r="B116" s="18" t="s">
        <v>10</v>
      </c>
      <c r="C116" s="18" t="s">
        <v>15</v>
      </c>
      <c r="D116" s="18" t="n">
        <v>113</v>
      </c>
      <c r="E116" s="18" t="s">
        <v>254</v>
      </c>
      <c r="F116" s="18" t="s">
        <v>142</v>
      </c>
      <c r="G116" s="18"/>
      <c r="H116" s="18" t="s">
        <v>105</v>
      </c>
      <c r="I116" s="18" t="s">
        <v>100</v>
      </c>
      <c r="J116" s="18" t="s">
        <v>101</v>
      </c>
      <c r="K116" s="18" t="s">
        <v>94</v>
      </c>
      <c r="L116" s="18" t="n">
        <v>0.207</v>
      </c>
      <c r="M116" s="18" t="n">
        <v>0.207</v>
      </c>
      <c r="N116" s="18" t="n">
        <v>9</v>
      </c>
      <c r="O116" s="18" t="s">
        <v>95</v>
      </c>
      <c r="P116" s="18" t="s">
        <v>96</v>
      </c>
      <c r="Q116" s="18" t="s">
        <v>97</v>
      </c>
      <c r="R116" s="18" t="s">
        <v>98</v>
      </c>
      <c r="S116" s="18"/>
      <c r="T116" s="19" t="n">
        <f aca="false">SUMIFS(Permissions!$F$2:$F$3000,Permissions!$B$2:$B$3000,$A116,Permissions!$H$2:$H$3000,"Complete",Permissions!$I$2:$I$3000,"Yes")</f>
        <v>0</v>
      </c>
      <c r="U116" s="19" t="n">
        <f aca="false">SUMIFS(Permissions!$F$2:$F$3000,Permissions!$B$2:$B$3000,$A116,Permissions!$H$2:$H$3000,"Under construction",Permissions!$I$2:$I$3000,"Yes")</f>
        <v>0</v>
      </c>
      <c r="V116" s="19" t="n">
        <f aca="false">SUMIFS(Permissions!$F$2:$F$3000,Permissions!$B$2:$B$3000,$A116,Permissions!$H$2:$H$3000,"Permitted – not started",Permissions!$I$2:$I$3000,"Yes")</f>
        <v>10</v>
      </c>
      <c r="W116" s="19" t="n">
        <f aca="false">SUMIFS(Permissions!$F$2:$F$3000,Permissions!$B$2:$B$3000,$A116,Permissions!$H$2:$H$3000,"Stalled",Permissions!$I$2:$I$3000,"Yes")</f>
        <v>0</v>
      </c>
      <c r="X116" s="19" t="n">
        <f aca="false">T116+U116+V116+W116</f>
        <v>10</v>
      </c>
      <c r="Y116" s="19" t="n">
        <f aca="false">SUMIFS(Permissions!$F$2:$F$3000,Permissions!$B$2:$B$3000,$A116,Permissions!$H$2:$H$3000,"Expired – not started",Permissions!$I$2:$I$3000,"Yes")</f>
        <v>0</v>
      </c>
      <c r="Z116" s="19" t="n">
        <f aca="false">SUMIFS(Permissions!$F$2:$F$3000,Permissions!$B$2:$B$3000,$A116,Permissions!$H$2:$H$3000,"In planning",Permissions!$I$2:$I$3000,"Yes")</f>
        <v>0</v>
      </c>
      <c r="AA116" s="19" t="n">
        <f aca="false">IF(N116="",0,MAX(N116-X116,0))</f>
        <v>0</v>
      </c>
      <c r="AB116" s="20" t="n">
        <f aca="false">X116+AA116</f>
        <v>10</v>
      </c>
      <c r="AC116" s="19" t="n">
        <f aca="false">AB116-T116</f>
        <v>10</v>
      </c>
      <c r="AD116" s="21" t="n">
        <f aca="false">SUMIFS(Permissions!$T$2:$T$3000,Permissions!$B$2:$B$3000,$A116,Permissions!$I$2:$I$3000,"Yes")</f>
        <v>0</v>
      </c>
      <c r="AE116" s="21" t="n">
        <f aca="false">SUMIFS(Permissions!$U$2:$U$3000,Permissions!$B$2:$B$3000,$A116,Permissions!$I$2:$I$3000,"Yes")</f>
        <v>0</v>
      </c>
      <c r="AF116" s="21" t="n">
        <f aca="false">SUMIFS(Permissions!$V$2:$V$3000,Permissions!$B$2:$B$3000,$A116,Permissions!$I$2:$I$3000,"Yes")</f>
        <v>8.4</v>
      </c>
      <c r="AG116" s="21" t="n">
        <f aca="false">SUMIFS(Permissions!$W$2:$W$3000,Permissions!$B$2:$B$3000,$A116,Permissions!$I$2:$I$3000,"Yes")</f>
        <v>1.6</v>
      </c>
      <c r="AH116" s="21" t="n">
        <f aca="false">SUMIFS(Permissions!$X$2:$X$3000,Permissions!$B$2:$B$3000,$A116,Permissions!$I$2:$I$3000,"Yes")</f>
        <v>0</v>
      </c>
      <c r="AI116" s="21" t="n">
        <f aca="false">SUMIFS(Permissions!$Y$2:$Y$3000,Permissions!$B$2:$B$3000,$A116,Permissions!$I$2:$I$3000,"Yes")</f>
        <v>0</v>
      </c>
      <c r="AJ116" s="19" t="n">
        <f aca="false">COUNTIFS(Permissions!$B$2:$B$3000,$A116,Permissions!$I$2:$I$3000,"Yes")</f>
        <v>1</v>
      </c>
      <c r="AK116" s="22" t="str">
        <f aca="false">IF(AND(N116&lt;&gt;"",X116&gt;1.1*N116),"Consented above capacity",IF(AND(LEFT(B116,8)="Planning",AJ116=0),"Consent parcel with no permission",IF(COUNTIF($A$2:$A$3000,$A116)&gt;1,"Duplicate parcel_id","")))</f>
        <v>Consented above capacity</v>
      </c>
    </row>
    <row r="117" customFormat="false" ht="15" hidden="false" customHeight="false" outlineLevel="0" collapsed="false">
      <c r="A117" s="18" t="s">
        <v>257</v>
      </c>
      <c r="B117" s="18" t="s">
        <v>10</v>
      </c>
      <c r="C117" s="18" t="s">
        <v>15</v>
      </c>
      <c r="D117" s="18" t="n">
        <v>114</v>
      </c>
      <c r="E117" s="18" t="s">
        <v>254</v>
      </c>
      <c r="F117" s="18" t="s">
        <v>142</v>
      </c>
      <c r="G117" s="18" t="s">
        <v>233</v>
      </c>
      <c r="H117" s="18" t="s">
        <v>119</v>
      </c>
      <c r="I117" s="18" t="s">
        <v>136</v>
      </c>
      <c r="J117" s="18" t="s">
        <v>101</v>
      </c>
      <c r="K117" s="18" t="s">
        <v>115</v>
      </c>
      <c r="L117" s="18" t="n">
        <v>0.165</v>
      </c>
      <c r="M117" s="18" t="n">
        <v>0.661</v>
      </c>
      <c r="N117" s="18" t="n">
        <v>6</v>
      </c>
      <c r="O117" s="18" t="s">
        <v>95</v>
      </c>
      <c r="P117" s="18" t="s">
        <v>116</v>
      </c>
      <c r="Q117" s="18" t="s">
        <v>97</v>
      </c>
      <c r="R117" s="18" t="s">
        <v>98</v>
      </c>
      <c r="S117" s="18"/>
      <c r="T117" s="19" t="n">
        <f aca="false">SUMIFS(Permissions!$F$2:$F$3000,Permissions!$B$2:$B$3000,$A117,Permissions!$H$2:$H$3000,"Complete",Permissions!$I$2:$I$3000,"Yes")</f>
        <v>0</v>
      </c>
      <c r="U117" s="19" t="n">
        <f aca="false">SUMIFS(Permissions!$F$2:$F$3000,Permissions!$B$2:$B$3000,$A117,Permissions!$H$2:$H$3000,"Under construction",Permissions!$I$2:$I$3000,"Yes")</f>
        <v>0</v>
      </c>
      <c r="V117" s="19" t="n">
        <f aca="false">SUMIFS(Permissions!$F$2:$F$3000,Permissions!$B$2:$B$3000,$A117,Permissions!$H$2:$H$3000,"Permitted – not started",Permissions!$I$2:$I$3000,"Yes")</f>
        <v>0</v>
      </c>
      <c r="W117" s="19" t="n">
        <f aca="false">SUMIFS(Permissions!$F$2:$F$3000,Permissions!$B$2:$B$3000,$A117,Permissions!$H$2:$H$3000,"Stalled",Permissions!$I$2:$I$3000,"Yes")</f>
        <v>0</v>
      </c>
      <c r="X117" s="19" t="n">
        <f aca="false">T117+U117+V117+W117</f>
        <v>0</v>
      </c>
      <c r="Y117" s="19" t="n">
        <f aca="false">SUMIFS(Permissions!$F$2:$F$3000,Permissions!$B$2:$B$3000,$A117,Permissions!$H$2:$H$3000,"Expired – not started",Permissions!$I$2:$I$3000,"Yes")</f>
        <v>0</v>
      </c>
      <c r="Z117" s="19" t="n">
        <f aca="false">SUMIFS(Permissions!$F$2:$F$3000,Permissions!$B$2:$B$3000,$A117,Permissions!$H$2:$H$3000,"In planning",Permissions!$I$2:$I$3000,"Yes")</f>
        <v>0</v>
      </c>
      <c r="AA117" s="19" t="n">
        <f aca="false">IF(N117="",0,MAX(N117-X117,0))</f>
        <v>6</v>
      </c>
      <c r="AB117" s="20" t="n">
        <f aca="false">X117+AA117</f>
        <v>6</v>
      </c>
      <c r="AC117" s="19" t="n">
        <f aca="false">AB117-T117</f>
        <v>6</v>
      </c>
      <c r="AD117" s="21" t="n">
        <f aca="false">SUMIFS(Permissions!$T$2:$T$3000,Permissions!$B$2:$B$3000,$A117,Permissions!$I$2:$I$3000,"Yes")</f>
        <v>0</v>
      </c>
      <c r="AE117" s="21" t="n">
        <f aca="false">SUMIFS(Permissions!$U$2:$U$3000,Permissions!$B$2:$B$3000,$A117,Permissions!$I$2:$I$3000,"Yes")</f>
        <v>0</v>
      </c>
      <c r="AF117" s="21" t="n">
        <f aca="false">SUMIFS(Permissions!$V$2:$V$3000,Permissions!$B$2:$B$3000,$A117,Permissions!$I$2:$I$3000,"Yes")</f>
        <v>0</v>
      </c>
      <c r="AG117" s="21" t="n">
        <f aca="false">SUMIFS(Permissions!$W$2:$W$3000,Permissions!$B$2:$B$3000,$A117,Permissions!$I$2:$I$3000,"Yes")</f>
        <v>0</v>
      </c>
      <c r="AH117" s="21" t="n">
        <f aca="false">SUMIFS(Permissions!$X$2:$X$3000,Permissions!$B$2:$B$3000,$A117,Permissions!$I$2:$I$3000,"Yes")</f>
        <v>0</v>
      </c>
      <c r="AI117" s="21" t="n">
        <f aca="false">SUMIFS(Permissions!$Y$2:$Y$3000,Permissions!$B$2:$B$3000,$A117,Permissions!$I$2:$I$3000,"Yes")</f>
        <v>0</v>
      </c>
      <c r="AJ117" s="19" t="n">
        <f aca="false">COUNTIFS(Permissions!$B$2:$B$3000,$A117,Permissions!$I$2:$I$3000,"Yes")</f>
        <v>0</v>
      </c>
      <c r="AK117" s="22" t="str">
        <f aca="false">IF(AND(N117&lt;&gt;"",X117&gt;1.1*N117),"Consented above capacity",IF(AND(LEFT(B117,8)="Planning",AJ117=0),"Consent parcel with no permission",IF(COUNTIF($A$2:$A$3000,$A117)&gt;1,"Duplicate parcel_id","")))</f>
        <v/>
      </c>
    </row>
    <row r="118" customFormat="false" ht="15" hidden="false" customHeight="false" outlineLevel="0" collapsed="false">
      <c r="A118" s="18" t="s">
        <v>258</v>
      </c>
      <c r="B118" s="18" t="s">
        <v>10</v>
      </c>
      <c r="C118" s="18" t="s">
        <v>15</v>
      </c>
      <c r="D118" s="18" t="n">
        <v>115</v>
      </c>
      <c r="E118" s="18" t="s">
        <v>254</v>
      </c>
      <c r="F118" s="18" t="s">
        <v>142</v>
      </c>
      <c r="G118" s="18" t="s">
        <v>259</v>
      </c>
      <c r="H118" s="18" t="s">
        <v>91</v>
      </c>
      <c r="I118" s="18" t="s">
        <v>100</v>
      </c>
      <c r="J118" s="18" t="s">
        <v>101</v>
      </c>
      <c r="K118" s="18" t="s">
        <v>94</v>
      </c>
      <c r="L118" s="18" t="n">
        <v>0.952</v>
      </c>
      <c r="M118" s="18" t="n">
        <v>0.952</v>
      </c>
      <c r="N118" s="18" t="n">
        <v>43</v>
      </c>
      <c r="O118" s="18" t="s">
        <v>95</v>
      </c>
      <c r="P118" s="18" t="s">
        <v>96</v>
      </c>
      <c r="Q118" s="18" t="s">
        <v>97</v>
      </c>
      <c r="R118" s="18" t="s">
        <v>98</v>
      </c>
      <c r="S118" s="18"/>
      <c r="T118" s="19" t="n">
        <f aca="false">SUMIFS(Permissions!$F$2:$F$3000,Permissions!$B$2:$B$3000,$A118,Permissions!$H$2:$H$3000,"Complete",Permissions!$I$2:$I$3000,"Yes")</f>
        <v>0</v>
      </c>
      <c r="U118" s="19" t="n">
        <f aca="false">SUMIFS(Permissions!$F$2:$F$3000,Permissions!$B$2:$B$3000,$A118,Permissions!$H$2:$H$3000,"Under construction",Permissions!$I$2:$I$3000,"Yes")</f>
        <v>0</v>
      </c>
      <c r="V118" s="19" t="n">
        <f aca="false">SUMIFS(Permissions!$F$2:$F$3000,Permissions!$B$2:$B$3000,$A118,Permissions!$H$2:$H$3000,"Permitted – not started",Permissions!$I$2:$I$3000,"Yes")</f>
        <v>0</v>
      </c>
      <c r="W118" s="19" t="n">
        <f aca="false">SUMIFS(Permissions!$F$2:$F$3000,Permissions!$B$2:$B$3000,$A118,Permissions!$H$2:$H$3000,"Stalled",Permissions!$I$2:$I$3000,"Yes")</f>
        <v>0</v>
      </c>
      <c r="X118" s="19" t="n">
        <f aca="false">T118+U118+V118+W118</f>
        <v>0</v>
      </c>
      <c r="Y118" s="19" t="n">
        <f aca="false">SUMIFS(Permissions!$F$2:$F$3000,Permissions!$B$2:$B$3000,$A118,Permissions!$H$2:$H$3000,"Expired – not started",Permissions!$I$2:$I$3000,"Yes")</f>
        <v>0</v>
      </c>
      <c r="Z118" s="19" t="n">
        <f aca="false">SUMIFS(Permissions!$F$2:$F$3000,Permissions!$B$2:$B$3000,$A118,Permissions!$H$2:$H$3000,"In planning",Permissions!$I$2:$I$3000,"Yes")</f>
        <v>0</v>
      </c>
      <c r="AA118" s="19" t="n">
        <f aca="false">IF(N118="",0,MAX(N118-X118,0))</f>
        <v>43</v>
      </c>
      <c r="AB118" s="20" t="n">
        <f aca="false">X118+AA118</f>
        <v>43</v>
      </c>
      <c r="AC118" s="19" t="n">
        <f aca="false">AB118-T118</f>
        <v>43</v>
      </c>
      <c r="AD118" s="21" t="n">
        <f aca="false">SUMIFS(Permissions!$T$2:$T$3000,Permissions!$B$2:$B$3000,$A118,Permissions!$I$2:$I$3000,"Yes")</f>
        <v>0</v>
      </c>
      <c r="AE118" s="21" t="n">
        <f aca="false">SUMIFS(Permissions!$U$2:$U$3000,Permissions!$B$2:$B$3000,$A118,Permissions!$I$2:$I$3000,"Yes")</f>
        <v>0</v>
      </c>
      <c r="AF118" s="21" t="n">
        <f aca="false">SUMIFS(Permissions!$V$2:$V$3000,Permissions!$B$2:$B$3000,$A118,Permissions!$I$2:$I$3000,"Yes")</f>
        <v>0</v>
      </c>
      <c r="AG118" s="21" t="n">
        <f aca="false">SUMIFS(Permissions!$W$2:$W$3000,Permissions!$B$2:$B$3000,$A118,Permissions!$I$2:$I$3000,"Yes")</f>
        <v>0</v>
      </c>
      <c r="AH118" s="21" t="n">
        <f aca="false">SUMIFS(Permissions!$X$2:$X$3000,Permissions!$B$2:$B$3000,$A118,Permissions!$I$2:$I$3000,"Yes")</f>
        <v>0</v>
      </c>
      <c r="AI118" s="21" t="n">
        <f aca="false">SUMIFS(Permissions!$Y$2:$Y$3000,Permissions!$B$2:$B$3000,$A118,Permissions!$I$2:$I$3000,"Yes")</f>
        <v>0</v>
      </c>
      <c r="AJ118" s="19" t="n">
        <f aca="false">COUNTIFS(Permissions!$B$2:$B$3000,$A118,Permissions!$I$2:$I$3000,"Yes")</f>
        <v>0</v>
      </c>
      <c r="AK118" s="22" t="str">
        <f aca="false">IF(AND(N118&lt;&gt;"",X118&gt;1.1*N118),"Consented above capacity",IF(AND(LEFT(B118,8)="Planning",AJ118=0),"Consent parcel with no permission",IF(COUNTIF($A$2:$A$3000,$A118)&gt;1,"Duplicate parcel_id","")))</f>
        <v/>
      </c>
    </row>
    <row r="119" customFormat="false" ht="15" hidden="false" customHeight="false" outlineLevel="0" collapsed="false">
      <c r="A119" s="18" t="s">
        <v>260</v>
      </c>
      <c r="B119" s="18" t="s">
        <v>10</v>
      </c>
      <c r="C119" s="18" t="s">
        <v>15</v>
      </c>
      <c r="D119" s="18" t="n">
        <v>116</v>
      </c>
      <c r="E119" s="18" t="s">
        <v>254</v>
      </c>
      <c r="F119" s="18" t="s">
        <v>142</v>
      </c>
      <c r="G119" s="18" t="s">
        <v>259</v>
      </c>
      <c r="H119" s="18" t="s">
        <v>91</v>
      </c>
      <c r="I119" s="18" t="s">
        <v>100</v>
      </c>
      <c r="J119" s="18" t="s">
        <v>101</v>
      </c>
      <c r="K119" s="18" t="s">
        <v>94</v>
      </c>
      <c r="L119" s="18" t="n">
        <v>0.133</v>
      </c>
      <c r="M119" s="18" t="n">
        <v>0.133</v>
      </c>
      <c r="N119" s="18" t="n">
        <v>6</v>
      </c>
      <c r="O119" s="18" t="s">
        <v>95</v>
      </c>
      <c r="P119" s="18" t="s">
        <v>96</v>
      </c>
      <c r="Q119" s="18" t="s">
        <v>97</v>
      </c>
      <c r="R119" s="18" t="s">
        <v>98</v>
      </c>
      <c r="S119" s="18"/>
      <c r="T119" s="19" t="n">
        <f aca="false">SUMIFS(Permissions!$F$2:$F$3000,Permissions!$B$2:$B$3000,$A119,Permissions!$H$2:$H$3000,"Complete",Permissions!$I$2:$I$3000,"Yes")</f>
        <v>0</v>
      </c>
      <c r="U119" s="19" t="n">
        <f aca="false">SUMIFS(Permissions!$F$2:$F$3000,Permissions!$B$2:$B$3000,$A119,Permissions!$H$2:$H$3000,"Under construction",Permissions!$I$2:$I$3000,"Yes")</f>
        <v>0</v>
      </c>
      <c r="V119" s="19" t="n">
        <f aca="false">SUMIFS(Permissions!$F$2:$F$3000,Permissions!$B$2:$B$3000,$A119,Permissions!$H$2:$H$3000,"Permitted – not started",Permissions!$I$2:$I$3000,"Yes")</f>
        <v>0</v>
      </c>
      <c r="W119" s="19" t="n">
        <f aca="false">SUMIFS(Permissions!$F$2:$F$3000,Permissions!$B$2:$B$3000,$A119,Permissions!$H$2:$H$3000,"Stalled",Permissions!$I$2:$I$3000,"Yes")</f>
        <v>0</v>
      </c>
      <c r="X119" s="19" t="n">
        <f aca="false">T119+U119+V119+W119</f>
        <v>0</v>
      </c>
      <c r="Y119" s="19" t="n">
        <f aca="false">SUMIFS(Permissions!$F$2:$F$3000,Permissions!$B$2:$B$3000,$A119,Permissions!$H$2:$H$3000,"Expired – not started",Permissions!$I$2:$I$3000,"Yes")</f>
        <v>0</v>
      </c>
      <c r="Z119" s="19" t="n">
        <f aca="false">SUMIFS(Permissions!$F$2:$F$3000,Permissions!$B$2:$B$3000,$A119,Permissions!$H$2:$H$3000,"In planning",Permissions!$I$2:$I$3000,"Yes")</f>
        <v>0</v>
      </c>
      <c r="AA119" s="19" t="n">
        <f aca="false">IF(N119="",0,MAX(N119-X119,0))</f>
        <v>6</v>
      </c>
      <c r="AB119" s="20" t="n">
        <f aca="false">X119+AA119</f>
        <v>6</v>
      </c>
      <c r="AC119" s="19" t="n">
        <f aca="false">AB119-T119</f>
        <v>6</v>
      </c>
      <c r="AD119" s="21" t="n">
        <f aca="false">SUMIFS(Permissions!$T$2:$T$3000,Permissions!$B$2:$B$3000,$A119,Permissions!$I$2:$I$3000,"Yes")</f>
        <v>0</v>
      </c>
      <c r="AE119" s="21" t="n">
        <f aca="false">SUMIFS(Permissions!$U$2:$U$3000,Permissions!$B$2:$B$3000,$A119,Permissions!$I$2:$I$3000,"Yes")</f>
        <v>0</v>
      </c>
      <c r="AF119" s="21" t="n">
        <f aca="false">SUMIFS(Permissions!$V$2:$V$3000,Permissions!$B$2:$B$3000,$A119,Permissions!$I$2:$I$3000,"Yes")</f>
        <v>0</v>
      </c>
      <c r="AG119" s="21" t="n">
        <f aca="false">SUMIFS(Permissions!$W$2:$W$3000,Permissions!$B$2:$B$3000,$A119,Permissions!$I$2:$I$3000,"Yes")</f>
        <v>0</v>
      </c>
      <c r="AH119" s="21" t="n">
        <f aca="false">SUMIFS(Permissions!$X$2:$X$3000,Permissions!$B$2:$B$3000,$A119,Permissions!$I$2:$I$3000,"Yes")</f>
        <v>0</v>
      </c>
      <c r="AI119" s="21" t="n">
        <f aca="false">SUMIFS(Permissions!$Y$2:$Y$3000,Permissions!$B$2:$B$3000,$A119,Permissions!$I$2:$I$3000,"Yes")</f>
        <v>0</v>
      </c>
      <c r="AJ119" s="19" t="n">
        <f aca="false">COUNTIFS(Permissions!$B$2:$B$3000,$A119,Permissions!$I$2:$I$3000,"Yes")</f>
        <v>0</v>
      </c>
      <c r="AK119" s="22" t="str">
        <f aca="false">IF(AND(N119&lt;&gt;"",X119&gt;1.1*N119),"Consented above capacity",IF(AND(LEFT(B119,8)="Planning",AJ119=0),"Consent parcel with no permission",IF(COUNTIF($A$2:$A$3000,$A119)&gt;1,"Duplicate parcel_id","")))</f>
        <v/>
      </c>
    </row>
    <row r="120" customFormat="false" ht="15" hidden="false" customHeight="false" outlineLevel="0" collapsed="false">
      <c r="A120" s="18" t="s">
        <v>261</v>
      </c>
      <c r="B120" s="18" t="s">
        <v>10</v>
      </c>
      <c r="C120" s="18" t="s">
        <v>15</v>
      </c>
      <c r="D120" s="18" t="n">
        <v>117</v>
      </c>
      <c r="E120" s="18" t="s">
        <v>254</v>
      </c>
      <c r="F120" s="18" t="s">
        <v>142</v>
      </c>
      <c r="G120" s="18" t="s">
        <v>259</v>
      </c>
      <c r="H120" s="18" t="s">
        <v>91</v>
      </c>
      <c r="I120" s="18" t="s">
        <v>100</v>
      </c>
      <c r="J120" s="18" t="s">
        <v>101</v>
      </c>
      <c r="K120" s="18" t="s">
        <v>94</v>
      </c>
      <c r="L120" s="18" t="n">
        <v>0.181</v>
      </c>
      <c r="M120" s="18" t="n">
        <v>0.182</v>
      </c>
      <c r="N120" s="18" t="n">
        <v>8</v>
      </c>
      <c r="O120" s="18" t="s">
        <v>95</v>
      </c>
      <c r="P120" s="18" t="s">
        <v>96</v>
      </c>
      <c r="Q120" s="18" t="s">
        <v>97</v>
      </c>
      <c r="R120" s="18" t="s">
        <v>98</v>
      </c>
      <c r="S120" s="18"/>
      <c r="T120" s="19" t="n">
        <f aca="false">SUMIFS(Permissions!$F$2:$F$3000,Permissions!$B$2:$B$3000,$A120,Permissions!$H$2:$H$3000,"Complete",Permissions!$I$2:$I$3000,"Yes")</f>
        <v>0</v>
      </c>
      <c r="U120" s="19" t="n">
        <f aca="false">SUMIFS(Permissions!$F$2:$F$3000,Permissions!$B$2:$B$3000,$A120,Permissions!$H$2:$H$3000,"Under construction",Permissions!$I$2:$I$3000,"Yes")</f>
        <v>0</v>
      </c>
      <c r="V120" s="19" t="n">
        <f aca="false">SUMIFS(Permissions!$F$2:$F$3000,Permissions!$B$2:$B$3000,$A120,Permissions!$H$2:$H$3000,"Permitted – not started",Permissions!$I$2:$I$3000,"Yes")</f>
        <v>0</v>
      </c>
      <c r="W120" s="19" t="n">
        <f aca="false">SUMIFS(Permissions!$F$2:$F$3000,Permissions!$B$2:$B$3000,$A120,Permissions!$H$2:$H$3000,"Stalled",Permissions!$I$2:$I$3000,"Yes")</f>
        <v>0</v>
      </c>
      <c r="X120" s="19" t="n">
        <f aca="false">T120+U120+V120+W120</f>
        <v>0</v>
      </c>
      <c r="Y120" s="19" t="n">
        <f aca="false">SUMIFS(Permissions!$F$2:$F$3000,Permissions!$B$2:$B$3000,$A120,Permissions!$H$2:$H$3000,"Expired – not started",Permissions!$I$2:$I$3000,"Yes")</f>
        <v>0</v>
      </c>
      <c r="Z120" s="19" t="n">
        <f aca="false">SUMIFS(Permissions!$F$2:$F$3000,Permissions!$B$2:$B$3000,$A120,Permissions!$H$2:$H$3000,"In planning",Permissions!$I$2:$I$3000,"Yes")</f>
        <v>0</v>
      </c>
      <c r="AA120" s="19" t="n">
        <f aca="false">IF(N120="",0,MAX(N120-X120,0))</f>
        <v>8</v>
      </c>
      <c r="AB120" s="20" t="n">
        <f aca="false">X120+AA120</f>
        <v>8</v>
      </c>
      <c r="AC120" s="19" t="n">
        <f aca="false">AB120-T120</f>
        <v>8</v>
      </c>
      <c r="AD120" s="21" t="n">
        <f aca="false">SUMIFS(Permissions!$T$2:$T$3000,Permissions!$B$2:$B$3000,$A120,Permissions!$I$2:$I$3000,"Yes")</f>
        <v>0</v>
      </c>
      <c r="AE120" s="21" t="n">
        <f aca="false">SUMIFS(Permissions!$U$2:$U$3000,Permissions!$B$2:$B$3000,$A120,Permissions!$I$2:$I$3000,"Yes")</f>
        <v>0</v>
      </c>
      <c r="AF120" s="21" t="n">
        <f aca="false">SUMIFS(Permissions!$V$2:$V$3000,Permissions!$B$2:$B$3000,$A120,Permissions!$I$2:$I$3000,"Yes")</f>
        <v>0</v>
      </c>
      <c r="AG120" s="21" t="n">
        <f aca="false">SUMIFS(Permissions!$W$2:$W$3000,Permissions!$B$2:$B$3000,$A120,Permissions!$I$2:$I$3000,"Yes")</f>
        <v>0</v>
      </c>
      <c r="AH120" s="21" t="n">
        <f aca="false">SUMIFS(Permissions!$X$2:$X$3000,Permissions!$B$2:$B$3000,$A120,Permissions!$I$2:$I$3000,"Yes")</f>
        <v>0</v>
      </c>
      <c r="AI120" s="21" t="n">
        <f aca="false">SUMIFS(Permissions!$Y$2:$Y$3000,Permissions!$B$2:$B$3000,$A120,Permissions!$I$2:$I$3000,"Yes")</f>
        <v>0</v>
      </c>
      <c r="AJ120" s="19" t="n">
        <f aca="false">COUNTIFS(Permissions!$B$2:$B$3000,$A120,Permissions!$I$2:$I$3000,"Yes")</f>
        <v>0</v>
      </c>
      <c r="AK120" s="22" t="str">
        <f aca="false">IF(AND(N120&lt;&gt;"",X120&gt;1.1*N120),"Consented above capacity",IF(AND(LEFT(B120,8)="Planning",AJ120=0),"Consent parcel with no permission",IF(COUNTIF($A$2:$A$3000,$A120)&gt;1,"Duplicate parcel_id","")))</f>
        <v/>
      </c>
    </row>
    <row r="121" customFormat="false" ht="15" hidden="false" customHeight="false" outlineLevel="0" collapsed="false">
      <c r="A121" s="18" t="s">
        <v>262</v>
      </c>
      <c r="B121" s="18" t="s">
        <v>10</v>
      </c>
      <c r="C121" s="18" t="s">
        <v>15</v>
      </c>
      <c r="D121" s="18" t="n">
        <v>118</v>
      </c>
      <c r="E121" s="18" t="s">
        <v>254</v>
      </c>
      <c r="F121" s="18" t="s">
        <v>142</v>
      </c>
      <c r="G121" s="18" t="s">
        <v>259</v>
      </c>
      <c r="H121" s="18" t="s">
        <v>91</v>
      </c>
      <c r="I121" s="18" t="s">
        <v>100</v>
      </c>
      <c r="J121" s="18" t="s">
        <v>101</v>
      </c>
      <c r="K121" s="18" t="s">
        <v>94</v>
      </c>
      <c r="L121" s="18" t="n">
        <v>0.506</v>
      </c>
      <c r="M121" s="18" t="n">
        <v>0.506</v>
      </c>
      <c r="N121" s="18" t="n">
        <v>23</v>
      </c>
      <c r="O121" s="18" t="s">
        <v>95</v>
      </c>
      <c r="P121" s="18" t="s">
        <v>96</v>
      </c>
      <c r="Q121" s="18" t="s">
        <v>97</v>
      </c>
      <c r="R121" s="18" t="s">
        <v>98</v>
      </c>
      <c r="S121" s="18"/>
      <c r="T121" s="19" t="n">
        <f aca="false">SUMIFS(Permissions!$F$2:$F$3000,Permissions!$B$2:$B$3000,$A121,Permissions!$H$2:$H$3000,"Complete",Permissions!$I$2:$I$3000,"Yes")</f>
        <v>0</v>
      </c>
      <c r="U121" s="19" t="n">
        <f aca="false">SUMIFS(Permissions!$F$2:$F$3000,Permissions!$B$2:$B$3000,$A121,Permissions!$H$2:$H$3000,"Under construction",Permissions!$I$2:$I$3000,"Yes")</f>
        <v>0</v>
      </c>
      <c r="V121" s="19" t="n">
        <f aca="false">SUMIFS(Permissions!$F$2:$F$3000,Permissions!$B$2:$B$3000,$A121,Permissions!$H$2:$H$3000,"Permitted – not started",Permissions!$I$2:$I$3000,"Yes")</f>
        <v>0</v>
      </c>
      <c r="W121" s="19" t="n">
        <f aca="false">SUMIFS(Permissions!$F$2:$F$3000,Permissions!$B$2:$B$3000,$A121,Permissions!$H$2:$H$3000,"Stalled",Permissions!$I$2:$I$3000,"Yes")</f>
        <v>0</v>
      </c>
      <c r="X121" s="19" t="n">
        <f aca="false">T121+U121+V121+W121</f>
        <v>0</v>
      </c>
      <c r="Y121" s="19" t="n">
        <f aca="false">SUMIFS(Permissions!$F$2:$F$3000,Permissions!$B$2:$B$3000,$A121,Permissions!$H$2:$H$3000,"Expired – not started",Permissions!$I$2:$I$3000,"Yes")</f>
        <v>0</v>
      </c>
      <c r="Z121" s="19" t="n">
        <f aca="false">SUMIFS(Permissions!$F$2:$F$3000,Permissions!$B$2:$B$3000,$A121,Permissions!$H$2:$H$3000,"In planning",Permissions!$I$2:$I$3000,"Yes")</f>
        <v>0</v>
      </c>
      <c r="AA121" s="19" t="n">
        <f aca="false">IF(N121="",0,MAX(N121-X121,0))</f>
        <v>23</v>
      </c>
      <c r="AB121" s="20" t="n">
        <f aca="false">X121+AA121</f>
        <v>23</v>
      </c>
      <c r="AC121" s="19" t="n">
        <f aca="false">AB121-T121</f>
        <v>23</v>
      </c>
      <c r="AD121" s="21" t="n">
        <f aca="false">SUMIFS(Permissions!$T$2:$T$3000,Permissions!$B$2:$B$3000,$A121,Permissions!$I$2:$I$3000,"Yes")</f>
        <v>0</v>
      </c>
      <c r="AE121" s="21" t="n">
        <f aca="false">SUMIFS(Permissions!$U$2:$U$3000,Permissions!$B$2:$B$3000,$A121,Permissions!$I$2:$I$3000,"Yes")</f>
        <v>0</v>
      </c>
      <c r="AF121" s="21" t="n">
        <f aca="false">SUMIFS(Permissions!$V$2:$V$3000,Permissions!$B$2:$B$3000,$A121,Permissions!$I$2:$I$3000,"Yes")</f>
        <v>0</v>
      </c>
      <c r="AG121" s="21" t="n">
        <f aca="false">SUMIFS(Permissions!$W$2:$W$3000,Permissions!$B$2:$B$3000,$A121,Permissions!$I$2:$I$3000,"Yes")</f>
        <v>0</v>
      </c>
      <c r="AH121" s="21" t="n">
        <f aca="false">SUMIFS(Permissions!$X$2:$X$3000,Permissions!$B$2:$B$3000,$A121,Permissions!$I$2:$I$3000,"Yes")</f>
        <v>0</v>
      </c>
      <c r="AI121" s="21" t="n">
        <f aca="false">SUMIFS(Permissions!$Y$2:$Y$3000,Permissions!$B$2:$B$3000,$A121,Permissions!$I$2:$I$3000,"Yes")</f>
        <v>0</v>
      </c>
      <c r="AJ121" s="19" t="n">
        <f aca="false">COUNTIFS(Permissions!$B$2:$B$3000,$A121,Permissions!$I$2:$I$3000,"Yes")</f>
        <v>0</v>
      </c>
      <c r="AK121" s="22" t="str">
        <f aca="false">IF(AND(N121&lt;&gt;"",X121&gt;1.1*N121),"Consented above capacity",IF(AND(LEFT(B121,8)="Planning",AJ121=0),"Consent parcel with no permission",IF(COUNTIF($A$2:$A$3000,$A121)&gt;1,"Duplicate parcel_id","")))</f>
        <v/>
      </c>
    </row>
    <row r="122" customFormat="false" ht="15" hidden="false" customHeight="false" outlineLevel="0" collapsed="false">
      <c r="A122" s="18" t="s">
        <v>263</v>
      </c>
      <c r="B122" s="18" t="s">
        <v>10</v>
      </c>
      <c r="C122" s="18" t="s">
        <v>15</v>
      </c>
      <c r="D122" s="18" t="n">
        <v>119</v>
      </c>
      <c r="E122" s="18" t="s">
        <v>254</v>
      </c>
      <c r="F122" s="18" t="s">
        <v>142</v>
      </c>
      <c r="G122" s="18" t="s">
        <v>259</v>
      </c>
      <c r="H122" s="18" t="s">
        <v>91</v>
      </c>
      <c r="I122" s="18" t="s">
        <v>100</v>
      </c>
      <c r="J122" s="18" t="s">
        <v>101</v>
      </c>
      <c r="K122" s="18" t="s">
        <v>94</v>
      </c>
      <c r="L122" s="18" t="n">
        <v>1.074</v>
      </c>
      <c r="M122" s="18" t="n">
        <v>1.075</v>
      </c>
      <c r="N122" s="18" t="n">
        <v>48</v>
      </c>
      <c r="O122" s="18" t="s">
        <v>95</v>
      </c>
      <c r="P122" s="18" t="s">
        <v>96</v>
      </c>
      <c r="Q122" s="18" t="s">
        <v>97</v>
      </c>
      <c r="R122" s="18" t="s">
        <v>98</v>
      </c>
      <c r="S122" s="18"/>
      <c r="T122" s="19" t="n">
        <f aca="false">SUMIFS(Permissions!$F$2:$F$3000,Permissions!$B$2:$B$3000,$A122,Permissions!$H$2:$H$3000,"Complete",Permissions!$I$2:$I$3000,"Yes")</f>
        <v>0</v>
      </c>
      <c r="U122" s="19" t="n">
        <f aca="false">SUMIFS(Permissions!$F$2:$F$3000,Permissions!$B$2:$B$3000,$A122,Permissions!$H$2:$H$3000,"Under construction",Permissions!$I$2:$I$3000,"Yes")</f>
        <v>0</v>
      </c>
      <c r="V122" s="19" t="n">
        <f aca="false">SUMIFS(Permissions!$F$2:$F$3000,Permissions!$B$2:$B$3000,$A122,Permissions!$H$2:$H$3000,"Permitted – not started",Permissions!$I$2:$I$3000,"Yes")</f>
        <v>0</v>
      </c>
      <c r="W122" s="19" t="n">
        <f aca="false">SUMIFS(Permissions!$F$2:$F$3000,Permissions!$B$2:$B$3000,$A122,Permissions!$H$2:$H$3000,"Stalled",Permissions!$I$2:$I$3000,"Yes")</f>
        <v>0</v>
      </c>
      <c r="X122" s="19" t="n">
        <f aca="false">T122+U122+V122+W122</f>
        <v>0</v>
      </c>
      <c r="Y122" s="19" t="n">
        <f aca="false">SUMIFS(Permissions!$F$2:$F$3000,Permissions!$B$2:$B$3000,$A122,Permissions!$H$2:$H$3000,"Expired – not started",Permissions!$I$2:$I$3000,"Yes")</f>
        <v>0</v>
      </c>
      <c r="Z122" s="19" t="n">
        <f aca="false">SUMIFS(Permissions!$F$2:$F$3000,Permissions!$B$2:$B$3000,$A122,Permissions!$H$2:$H$3000,"In planning",Permissions!$I$2:$I$3000,"Yes")</f>
        <v>0</v>
      </c>
      <c r="AA122" s="19" t="n">
        <f aca="false">IF(N122="",0,MAX(N122-X122,0))</f>
        <v>48</v>
      </c>
      <c r="AB122" s="20" t="n">
        <f aca="false">X122+AA122</f>
        <v>48</v>
      </c>
      <c r="AC122" s="19" t="n">
        <f aca="false">AB122-T122</f>
        <v>48</v>
      </c>
      <c r="AD122" s="21" t="n">
        <f aca="false">SUMIFS(Permissions!$T$2:$T$3000,Permissions!$B$2:$B$3000,$A122,Permissions!$I$2:$I$3000,"Yes")</f>
        <v>0</v>
      </c>
      <c r="AE122" s="21" t="n">
        <f aca="false">SUMIFS(Permissions!$U$2:$U$3000,Permissions!$B$2:$B$3000,$A122,Permissions!$I$2:$I$3000,"Yes")</f>
        <v>0</v>
      </c>
      <c r="AF122" s="21" t="n">
        <f aca="false">SUMIFS(Permissions!$V$2:$V$3000,Permissions!$B$2:$B$3000,$A122,Permissions!$I$2:$I$3000,"Yes")</f>
        <v>0</v>
      </c>
      <c r="AG122" s="21" t="n">
        <f aca="false">SUMIFS(Permissions!$W$2:$W$3000,Permissions!$B$2:$B$3000,$A122,Permissions!$I$2:$I$3000,"Yes")</f>
        <v>0</v>
      </c>
      <c r="AH122" s="21" t="n">
        <f aca="false">SUMIFS(Permissions!$X$2:$X$3000,Permissions!$B$2:$B$3000,$A122,Permissions!$I$2:$I$3000,"Yes")</f>
        <v>0</v>
      </c>
      <c r="AI122" s="21" t="n">
        <f aca="false">SUMIFS(Permissions!$Y$2:$Y$3000,Permissions!$B$2:$B$3000,$A122,Permissions!$I$2:$I$3000,"Yes")</f>
        <v>0</v>
      </c>
      <c r="AJ122" s="19" t="n">
        <f aca="false">COUNTIFS(Permissions!$B$2:$B$3000,$A122,Permissions!$I$2:$I$3000,"Yes")</f>
        <v>0</v>
      </c>
      <c r="AK122" s="22" t="str">
        <f aca="false">IF(AND(N122&lt;&gt;"",X122&gt;1.1*N122),"Consented above capacity",IF(AND(LEFT(B122,8)="Planning",AJ122=0),"Consent parcel with no permission",IF(COUNTIF($A$2:$A$3000,$A122)&gt;1,"Duplicate parcel_id","")))</f>
        <v/>
      </c>
    </row>
    <row r="123" customFormat="false" ht="15" hidden="false" customHeight="false" outlineLevel="0" collapsed="false">
      <c r="A123" s="18" t="s">
        <v>264</v>
      </c>
      <c r="B123" s="18" t="s">
        <v>10</v>
      </c>
      <c r="C123" s="18" t="s">
        <v>15</v>
      </c>
      <c r="D123" s="18" t="n">
        <v>120</v>
      </c>
      <c r="E123" s="18" t="s">
        <v>254</v>
      </c>
      <c r="F123" s="18" t="s">
        <v>142</v>
      </c>
      <c r="G123" s="18" t="s">
        <v>259</v>
      </c>
      <c r="H123" s="18" t="s">
        <v>91</v>
      </c>
      <c r="I123" s="18" t="s">
        <v>100</v>
      </c>
      <c r="J123" s="18" t="s">
        <v>101</v>
      </c>
      <c r="K123" s="18" t="s">
        <v>94</v>
      </c>
      <c r="L123" s="18" t="n">
        <v>0.755</v>
      </c>
      <c r="M123" s="18" t="n">
        <v>0.756</v>
      </c>
      <c r="N123" s="18" t="n">
        <v>34</v>
      </c>
      <c r="O123" s="18" t="s">
        <v>95</v>
      </c>
      <c r="P123" s="18" t="s">
        <v>96</v>
      </c>
      <c r="Q123" s="18" t="s">
        <v>97</v>
      </c>
      <c r="R123" s="18" t="s">
        <v>98</v>
      </c>
      <c r="S123" s="18"/>
      <c r="T123" s="19" t="n">
        <f aca="false">SUMIFS(Permissions!$F$2:$F$3000,Permissions!$B$2:$B$3000,$A123,Permissions!$H$2:$H$3000,"Complete",Permissions!$I$2:$I$3000,"Yes")</f>
        <v>0</v>
      </c>
      <c r="U123" s="19" t="n">
        <f aca="false">SUMIFS(Permissions!$F$2:$F$3000,Permissions!$B$2:$B$3000,$A123,Permissions!$H$2:$H$3000,"Under construction",Permissions!$I$2:$I$3000,"Yes")</f>
        <v>0</v>
      </c>
      <c r="V123" s="19" t="n">
        <f aca="false">SUMIFS(Permissions!$F$2:$F$3000,Permissions!$B$2:$B$3000,$A123,Permissions!$H$2:$H$3000,"Permitted – not started",Permissions!$I$2:$I$3000,"Yes")</f>
        <v>0</v>
      </c>
      <c r="W123" s="19" t="n">
        <f aca="false">SUMIFS(Permissions!$F$2:$F$3000,Permissions!$B$2:$B$3000,$A123,Permissions!$H$2:$H$3000,"Stalled",Permissions!$I$2:$I$3000,"Yes")</f>
        <v>0</v>
      </c>
      <c r="X123" s="19" t="n">
        <f aca="false">T123+U123+V123+W123</f>
        <v>0</v>
      </c>
      <c r="Y123" s="19" t="n">
        <f aca="false">SUMIFS(Permissions!$F$2:$F$3000,Permissions!$B$2:$B$3000,$A123,Permissions!$H$2:$H$3000,"Expired – not started",Permissions!$I$2:$I$3000,"Yes")</f>
        <v>0</v>
      </c>
      <c r="Z123" s="19" t="n">
        <f aca="false">SUMIFS(Permissions!$F$2:$F$3000,Permissions!$B$2:$B$3000,$A123,Permissions!$H$2:$H$3000,"In planning",Permissions!$I$2:$I$3000,"Yes")</f>
        <v>0</v>
      </c>
      <c r="AA123" s="19" t="n">
        <f aca="false">IF(N123="",0,MAX(N123-X123,0))</f>
        <v>34</v>
      </c>
      <c r="AB123" s="20" t="n">
        <f aca="false">X123+AA123</f>
        <v>34</v>
      </c>
      <c r="AC123" s="19" t="n">
        <f aca="false">AB123-T123</f>
        <v>34</v>
      </c>
      <c r="AD123" s="21" t="n">
        <f aca="false">SUMIFS(Permissions!$T$2:$T$3000,Permissions!$B$2:$B$3000,$A123,Permissions!$I$2:$I$3000,"Yes")</f>
        <v>0</v>
      </c>
      <c r="AE123" s="21" t="n">
        <f aca="false">SUMIFS(Permissions!$U$2:$U$3000,Permissions!$B$2:$B$3000,$A123,Permissions!$I$2:$I$3000,"Yes")</f>
        <v>0</v>
      </c>
      <c r="AF123" s="21" t="n">
        <f aca="false">SUMIFS(Permissions!$V$2:$V$3000,Permissions!$B$2:$B$3000,$A123,Permissions!$I$2:$I$3000,"Yes")</f>
        <v>0</v>
      </c>
      <c r="AG123" s="21" t="n">
        <f aca="false">SUMIFS(Permissions!$W$2:$W$3000,Permissions!$B$2:$B$3000,$A123,Permissions!$I$2:$I$3000,"Yes")</f>
        <v>0</v>
      </c>
      <c r="AH123" s="21" t="n">
        <f aca="false">SUMIFS(Permissions!$X$2:$X$3000,Permissions!$B$2:$B$3000,$A123,Permissions!$I$2:$I$3000,"Yes")</f>
        <v>0</v>
      </c>
      <c r="AI123" s="21" t="n">
        <f aca="false">SUMIFS(Permissions!$Y$2:$Y$3000,Permissions!$B$2:$B$3000,$A123,Permissions!$I$2:$I$3000,"Yes")</f>
        <v>0</v>
      </c>
      <c r="AJ123" s="19" t="n">
        <f aca="false">COUNTIFS(Permissions!$B$2:$B$3000,$A123,Permissions!$I$2:$I$3000,"Yes")</f>
        <v>0</v>
      </c>
      <c r="AK123" s="22" t="str">
        <f aca="false">IF(AND(N123&lt;&gt;"",X123&gt;1.1*N123),"Consented above capacity",IF(AND(LEFT(B123,8)="Planning",AJ123=0),"Consent parcel with no permission",IF(COUNTIF($A$2:$A$3000,$A123)&gt;1,"Duplicate parcel_id","")))</f>
        <v/>
      </c>
    </row>
    <row r="124" customFormat="false" ht="15" hidden="false" customHeight="false" outlineLevel="0" collapsed="false">
      <c r="A124" s="18" t="s">
        <v>265</v>
      </c>
      <c r="B124" s="18" t="s">
        <v>10</v>
      </c>
      <c r="C124" s="18" t="s">
        <v>15</v>
      </c>
      <c r="D124" s="18" t="n">
        <v>121</v>
      </c>
      <c r="E124" s="18" t="s">
        <v>254</v>
      </c>
      <c r="F124" s="18" t="s">
        <v>142</v>
      </c>
      <c r="G124" s="18" t="s">
        <v>259</v>
      </c>
      <c r="H124" s="18" t="s">
        <v>91</v>
      </c>
      <c r="I124" s="18" t="s">
        <v>100</v>
      </c>
      <c r="J124" s="18" t="s">
        <v>101</v>
      </c>
      <c r="K124" s="18" t="s">
        <v>94</v>
      </c>
      <c r="L124" s="18" t="n">
        <v>0.563</v>
      </c>
      <c r="M124" s="18" t="n">
        <v>0.563</v>
      </c>
      <c r="N124" s="18" t="n">
        <v>25</v>
      </c>
      <c r="O124" s="18" t="s">
        <v>95</v>
      </c>
      <c r="P124" s="18" t="s">
        <v>96</v>
      </c>
      <c r="Q124" s="18" t="s">
        <v>97</v>
      </c>
      <c r="R124" s="18" t="s">
        <v>98</v>
      </c>
      <c r="S124" s="18"/>
      <c r="T124" s="19" t="n">
        <f aca="false">SUMIFS(Permissions!$F$2:$F$3000,Permissions!$B$2:$B$3000,$A124,Permissions!$H$2:$H$3000,"Complete",Permissions!$I$2:$I$3000,"Yes")</f>
        <v>0</v>
      </c>
      <c r="U124" s="19" t="n">
        <f aca="false">SUMIFS(Permissions!$F$2:$F$3000,Permissions!$B$2:$B$3000,$A124,Permissions!$H$2:$H$3000,"Under construction",Permissions!$I$2:$I$3000,"Yes")</f>
        <v>0</v>
      </c>
      <c r="V124" s="19" t="n">
        <f aca="false">SUMIFS(Permissions!$F$2:$F$3000,Permissions!$B$2:$B$3000,$A124,Permissions!$H$2:$H$3000,"Permitted – not started",Permissions!$I$2:$I$3000,"Yes")</f>
        <v>0</v>
      </c>
      <c r="W124" s="19" t="n">
        <f aca="false">SUMIFS(Permissions!$F$2:$F$3000,Permissions!$B$2:$B$3000,$A124,Permissions!$H$2:$H$3000,"Stalled",Permissions!$I$2:$I$3000,"Yes")</f>
        <v>0</v>
      </c>
      <c r="X124" s="19" t="n">
        <f aca="false">T124+U124+V124+W124</f>
        <v>0</v>
      </c>
      <c r="Y124" s="19" t="n">
        <f aca="false">SUMIFS(Permissions!$F$2:$F$3000,Permissions!$B$2:$B$3000,$A124,Permissions!$H$2:$H$3000,"Expired – not started",Permissions!$I$2:$I$3000,"Yes")</f>
        <v>0</v>
      </c>
      <c r="Z124" s="19" t="n">
        <f aca="false">SUMIFS(Permissions!$F$2:$F$3000,Permissions!$B$2:$B$3000,$A124,Permissions!$H$2:$H$3000,"In planning",Permissions!$I$2:$I$3000,"Yes")</f>
        <v>0</v>
      </c>
      <c r="AA124" s="19" t="n">
        <f aca="false">IF(N124="",0,MAX(N124-X124,0))</f>
        <v>25</v>
      </c>
      <c r="AB124" s="20" t="n">
        <f aca="false">X124+AA124</f>
        <v>25</v>
      </c>
      <c r="AC124" s="19" t="n">
        <f aca="false">AB124-T124</f>
        <v>25</v>
      </c>
      <c r="AD124" s="21" t="n">
        <f aca="false">SUMIFS(Permissions!$T$2:$T$3000,Permissions!$B$2:$B$3000,$A124,Permissions!$I$2:$I$3000,"Yes")</f>
        <v>0</v>
      </c>
      <c r="AE124" s="21" t="n">
        <f aca="false">SUMIFS(Permissions!$U$2:$U$3000,Permissions!$B$2:$B$3000,$A124,Permissions!$I$2:$I$3000,"Yes")</f>
        <v>0</v>
      </c>
      <c r="AF124" s="21" t="n">
        <f aca="false">SUMIFS(Permissions!$V$2:$V$3000,Permissions!$B$2:$B$3000,$A124,Permissions!$I$2:$I$3000,"Yes")</f>
        <v>0</v>
      </c>
      <c r="AG124" s="21" t="n">
        <f aca="false">SUMIFS(Permissions!$W$2:$W$3000,Permissions!$B$2:$B$3000,$A124,Permissions!$I$2:$I$3000,"Yes")</f>
        <v>0</v>
      </c>
      <c r="AH124" s="21" t="n">
        <f aca="false">SUMIFS(Permissions!$X$2:$X$3000,Permissions!$B$2:$B$3000,$A124,Permissions!$I$2:$I$3000,"Yes")</f>
        <v>0</v>
      </c>
      <c r="AI124" s="21" t="n">
        <f aca="false">SUMIFS(Permissions!$Y$2:$Y$3000,Permissions!$B$2:$B$3000,$A124,Permissions!$I$2:$I$3000,"Yes")</f>
        <v>0</v>
      </c>
      <c r="AJ124" s="19" t="n">
        <f aca="false">COUNTIFS(Permissions!$B$2:$B$3000,$A124,Permissions!$I$2:$I$3000,"Yes")</f>
        <v>0</v>
      </c>
      <c r="AK124" s="22" t="str">
        <f aca="false">IF(AND(N124&lt;&gt;"",X124&gt;1.1*N124),"Consented above capacity",IF(AND(LEFT(B124,8)="Planning",AJ124=0),"Consent parcel with no permission",IF(COUNTIF($A$2:$A$3000,$A124)&gt;1,"Duplicate parcel_id","")))</f>
        <v/>
      </c>
    </row>
    <row r="125" customFormat="false" ht="15" hidden="false" customHeight="false" outlineLevel="0" collapsed="false">
      <c r="A125" s="18" t="s">
        <v>266</v>
      </c>
      <c r="B125" s="18" t="s">
        <v>10</v>
      </c>
      <c r="C125" s="18" t="s">
        <v>15</v>
      </c>
      <c r="D125" s="18" t="n">
        <v>123</v>
      </c>
      <c r="E125" s="18" t="s">
        <v>254</v>
      </c>
      <c r="F125" s="18" t="s">
        <v>142</v>
      </c>
      <c r="G125" s="18" t="s">
        <v>259</v>
      </c>
      <c r="H125" s="18" t="s">
        <v>105</v>
      </c>
      <c r="I125" s="18" t="s">
        <v>92</v>
      </c>
      <c r="J125" s="18" t="s">
        <v>93</v>
      </c>
      <c r="K125" s="18" t="s">
        <v>267</v>
      </c>
      <c r="L125" s="18" t="n">
        <v>0.467</v>
      </c>
      <c r="M125" s="18" t="n">
        <v>0.468</v>
      </c>
      <c r="N125" s="18" t="n">
        <v>21</v>
      </c>
      <c r="O125" s="18" t="s">
        <v>95</v>
      </c>
      <c r="P125" s="18" t="s">
        <v>96</v>
      </c>
      <c r="Q125" s="18" t="s">
        <v>97</v>
      </c>
      <c r="R125" s="18" t="s">
        <v>98</v>
      </c>
      <c r="S125" s="18"/>
      <c r="T125" s="19" t="n">
        <f aca="false">SUMIFS(Permissions!$F$2:$F$3000,Permissions!$B$2:$B$3000,$A125,Permissions!$H$2:$H$3000,"Complete",Permissions!$I$2:$I$3000,"Yes")</f>
        <v>0</v>
      </c>
      <c r="U125" s="19" t="n">
        <f aca="false">SUMIFS(Permissions!$F$2:$F$3000,Permissions!$B$2:$B$3000,$A125,Permissions!$H$2:$H$3000,"Under construction",Permissions!$I$2:$I$3000,"Yes")</f>
        <v>0</v>
      </c>
      <c r="V125" s="19" t="n">
        <f aca="false">SUMIFS(Permissions!$F$2:$F$3000,Permissions!$B$2:$B$3000,$A125,Permissions!$H$2:$H$3000,"Permitted – not started",Permissions!$I$2:$I$3000,"Yes")</f>
        <v>0</v>
      </c>
      <c r="W125" s="19" t="n">
        <f aca="false">SUMIFS(Permissions!$F$2:$F$3000,Permissions!$B$2:$B$3000,$A125,Permissions!$H$2:$H$3000,"Stalled",Permissions!$I$2:$I$3000,"Yes")</f>
        <v>0</v>
      </c>
      <c r="X125" s="19" t="n">
        <f aca="false">T125+U125+V125+W125</f>
        <v>0</v>
      </c>
      <c r="Y125" s="19" t="n">
        <f aca="false">SUMIFS(Permissions!$F$2:$F$3000,Permissions!$B$2:$B$3000,$A125,Permissions!$H$2:$H$3000,"Expired – not started",Permissions!$I$2:$I$3000,"Yes")</f>
        <v>0</v>
      </c>
      <c r="Z125" s="19" t="n">
        <f aca="false">SUMIFS(Permissions!$F$2:$F$3000,Permissions!$B$2:$B$3000,$A125,Permissions!$H$2:$H$3000,"In planning",Permissions!$I$2:$I$3000,"Yes")</f>
        <v>0</v>
      </c>
      <c r="AA125" s="19" t="n">
        <f aca="false">IF(N125="",0,MAX(N125-X125,0))</f>
        <v>21</v>
      </c>
      <c r="AB125" s="20" t="n">
        <f aca="false">X125+AA125</f>
        <v>21</v>
      </c>
      <c r="AC125" s="19" t="n">
        <f aca="false">AB125-T125</f>
        <v>21</v>
      </c>
      <c r="AD125" s="21" t="n">
        <f aca="false">SUMIFS(Permissions!$T$2:$T$3000,Permissions!$B$2:$B$3000,$A125,Permissions!$I$2:$I$3000,"Yes")</f>
        <v>0</v>
      </c>
      <c r="AE125" s="21" t="n">
        <f aca="false">SUMIFS(Permissions!$U$2:$U$3000,Permissions!$B$2:$B$3000,$A125,Permissions!$I$2:$I$3000,"Yes")</f>
        <v>0</v>
      </c>
      <c r="AF125" s="21" t="n">
        <f aca="false">SUMIFS(Permissions!$V$2:$V$3000,Permissions!$B$2:$B$3000,$A125,Permissions!$I$2:$I$3000,"Yes")</f>
        <v>0</v>
      </c>
      <c r="AG125" s="21" t="n">
        <f aca="false">SUMIFS(Permissions!$W$2:$W$3000,Permissions!$B$2:$B$3000,$A125,Permissions!$I$2:$I$3000,"Yes")</f>
        <v>0</v>
      </c>
      <c r="AH125" s="21" t="n">
        <f aca="false">SUMIFS(Permissions!$X$2:$X$3000,Permissions!$B$2:$B$3000,$A125,Permissions!$I$2:$I$3000,"Yes")</f>
        <v>0</v>
      </c>
      <c r="AI125" s="21" t="n">
        <f aca="false">SUMIFS(Permissions!$Y$2:$Y$3000,Permissions!$B$2:$B$3000,$A125,Permissions!$I$2:$I$3000,"Yes")</f>
        <v>0</v>
      </c>
      <c r="AJ125" s="19" t="n">
        <f aca="false">COUNTIFS(Permissions!$B$2:$B$3000,$A125,Permissions!$I$2:$I$3000,"Yes")</f>
        <v>0</v>
      </c>
      <c r="AK125" s="22" t="str">
        <f aca="false">IF(AND(N125&lt;&gt;"",X125&gt;1.1*N125),"Consented above capacity",IF(AND(LEFT(B125,8)="Planning",AJ125=0),"Consent parcel with no permission",IF(COUNTIF($A$2:$A$3000,$A125)&gt;1,"Duplicate parcel_id","")))</f>
        <v/>
      </c>
    </row>
    <row r="126" customFormat="false" ht="15" hidden="false" customHeight="false" outlineLevel="0" collapsed="false">
      <c r="A126" s="18" t="s">
        <v>268</v>
      </c>
      <c r="B126" s="18" t="s">
        <v>10</v>
      </c>
      <c r="C126" s="18" t="s">
        <v>15</v>
      </c>
      <c r="D126" s="18" t="n">
        <v>124</v>
      </c>
      <c r="E126" s="18" t="s">
        <v>254</v>
      </c>
      <c r="F126" s="18" t="s">
        <v>142</v>
      </c>
      <c r="G126" s="18" t="s">
        <v>259</v>
      </c>
      <c r="H126" s="18" t="s">
        <v>91</v>
      </c>
      <c r="I126" s="18" t="s">
        <v>100</v>
      </c>
      <c r="J126" s="18" t="s">
        <v>101</v>
      </c>
      <c r="K126" s="18" t="s">
        <v>94</v>
      </c>
      <c r="L126" s="18" t="n">
        <v>0.139</v>
      </c>
      <c r="M126" s="18" t="n">
        <v>0.139</v>
      </c>
      <c r="N126" s="18" t="n">
        <v>27</v>
      </c>
      <c r="O126" s="18" t="s">
        <v>95</v>
      </c>
      <c r="P126" s="18" t="s">
        <v>116</v>
      </c>
      <c r="Q126" s="18" t="s">
        <v>97</v>
      </c>
      <c r="R126" s="18" t="s">
        <v>98</v>
      </c>
      <c r="S126" s="18"/>
      <c r="T126" s="19" t="n">
        <f aca="false">SUMIFS(Permissions!$F$2:$F$3000,Permissions!$B$2:$B$3000,$A126,Permissions!$H$2:$H$3000,"Complete",Permissions!$I$2:$I$3000,"Yes")</f>
        <v>0</v>
      </c>
      <c r="U126" s="19" t="n">
        <f aca="false">SUMIFS(Permissions!$F$2:$F$3000,Permissions!$B$2:$B$3000,$A126,Permissions!$H$2:$H$3000,"Under construction",Permissions!$I$2:$I$3000,"Yes")</f>
        <v>0</v>
      </c>
      <c r="V126" s="19" t="n">
        <f aca="false">SUMIFS(Permissions!$F$2:$F$3000,Permissions!$B$2:$B$3000,$A126,Permissions!$H$2:$H$3000,"Permitted – not started",Permissions!$I$2:$I$3000,"Yes")</f>
        <v>0</v>
      </c>
      <c r="W126" s="19" t="n">
        <f aca="false">SUMIFS(Permissions!$F$2:$F$3000,Permissions!$B$2:$B$3000,$A126,Permissions!$H$2:$H$3000,"Stalled",Permissions!$I$2:$I$3000,"Yes")</f>
        <v>0</v>
      </c>
      <c r="X126" s="19" t="n">
        <f aca="false">T126+U126+V126+W126</f>
        <v>0</v>
      </c>
      <c r="Y126" s="19" t="n">
        <f aca="false">SUMIFS(Permissions!$F$2:$F$3000,Permissions!$B$2:$B$3000,$A126,Permissions!$H$2:$H$3000,"Expired – not started",Permissions!$I$2:$I$3000,"Yes")</f>
        <v>0</v>
      </c>
      <c r="Z126" s="19" t="n">
        <f aca="false">SUMIFS(Permissions!$F$2:$F$3000,Permissions!$B$2:$B$3000,$A126,Permissions!$H$2:$H$3000,"In planning",Permissions!$I$2:$I$3000,"Yes")</f>
        <v>0</v>
      </c>
      <c r="AA126" s="19" t="n">
        <f aca="false">IF(N126="",0,MAX(N126-X126,0))</f>
        <v>27</v>
      </c>
      <c r="AB126" s="20" t="n">
        <f aca="false">X126+AA126</f>
        <v>27</v>
      </c>
      <c r="AC126" s="19" t="n">
        <f aca="false">AB126-T126</f>
        <v>27</v>
      </c>
      <c r="AD126" s="21" t="n">
        <f aca="false">SUMIFS(Permissions!$T$2:$T$3000,Permissions!$B$2:$B$3000,$A126,Permissions!$I$2:$I$3000,"Yes")</f>
        <v>0</v>
      </c>
      <c r="AE126" s="21" t="n">
        <f aca="false">SUMIFS(Permissions!$U$2:$U$3000,Permissions!$B$2:$B$3000,$A126,Permissions!$I$2:$I$3000,"Yes")</f>
        <v>0</v>
      </c>
      <c r="AF126" s="21" t="n">
        <f aca="false">SUMIFS(Permissions!$V$2:$V$3000,Permissions!$B$2:$B$3000,$A126,Permissions!$I$2:$I$3000,"Yes")</f>
        <v>0</v>
      </c>
      <c r="AG126" s="21" t="n">
        <f aca="false">SUMIFS(Permissions!$W$2:$W$3000,Permissions!$B$2:$B$3000,$A126,Permissions!$I$2:$I$3000,"Yes")</f>
        <v>0</v>
      </c>
      <c r="AH126" s="21" t="n">
        <f aca="false">SUMIFS(Permissions!$X$2:$X$3000,Permissions!$B$2:$B$3000,$A126,Permissions!$I$2:$I$3000,"Yes")</f>
        <v>0</v>
      </c>
      <c r="AI126" s="21" t="n">
        <f aca="false">SUMIFS(Permissions!$Y$2:$Y$3000,Permissions!$B$2:$B$3000,$A126,Permissions!$I$2:$I$3000,"Yes")</f>
        <v>0</v>
      </c>
      <c r="AJ126" s="19" t="n">
        <f aca="false">COUNTIFS(Permissions!$B$2:$B$3000,$A126,Permissions!$I$2:$I$3000,"Yes")</f>
        <v>0</v>
      </c>
      <c r="AK126" s="22" t="str">
        <f aca="false">IF(AND(N126&lt;&gt;"",X126&gt;1.1*N126),"Consented above capacity",IF(AND(LEFT(B126,8)="Planning",AJ126=0),"Consent parcel with no permission",IF(COUNTIF($A$2:$A$3000,$A126)&gt;1,"Duplicate parcel_id","")))</f>
        <v/>
      </c>
    </row>
    <row r="127" customFormat="false" ht="15" hidden="false" customHeight="false" outlineLevel="0" collapsed="false">
      <c r="A127" s="18" t="s">
        <v>269</v>
      </c>
      <c r="B127" s="18" t="s">
        <v>10</v>
      </c>
      <c r="C127" s="18" t="s">
        <v>15</v>
      </c>
      <c r="D127" s="18" t="n">
        <v>125</v>
      </c>
      <c r="E127" s="18" t="s">
        <v>254</v>
      </c>
      <c r="F127" s="18" t="s">
        <v>142</v>
      </c>
      <c r="G127" s="18" t="s">
        <v>259</v>
      </c>
      <c r="H127" s="18" t="s">
        <v>91</v>
      </c>
      <c r="I127" s="18" t="s">
        <v>100</v>
      </c>
      <c r="J127" s="18" t="s">
        <v>101</v>
      </c>
      <c r="K127" s="18" t="s">
        <v>94</v>
      </c>
      <c r="L127" s="18" t="n">
        <v>1.413</v>
      </c>
      <c r="M127" s="18" t="n">
        <v>1.413</v>
      </c>
      <c r="N127" s="18" t="n">
        <v>64</v>
      </c>
      <c r="O127" s="18" t="s">
        <v>95</v>
      </c>
      <c r="P127" s="18" t="s">
        <v>96</v>
      </c>
      <c r="Q127" s="18" t="s">
        <v>97</v>
      </c>
      <c r="R127" s="18" t="s">
        <v>98</v>
      </c>
      <c r="S127" s="18"/>
      <c r="T127" s="19" t="n">
        <f aca="false">SUMIFS(Permissions!$F$2:$F$3000,Permissions!$B$2:$B$3000,$A127,Permissions!$H$2:$H$3000,"Complete",Permissions!$I$2:$I$3000,"Yes")</f>
        <v>0</v>
      </c>
      <c r="U127" s="19" t="n">
        <f aca="false">SUMIFS(Permissions!$F$2:$F$3000,Permissions!$B$2:$B$3000,$A127,Permissions!$H$2:$H$3000,"Under construction",Permissions!$I$2:$I$3000,"Yes")</f>
        <v>0</v>
      </c>
      <c r="V127" s="19" t="n">
        <f aca="false">SUMIFS(Permissions!$F$2:$F$3000,Permissions!$B$2:$B$3000,$A127,Permissions!$H$2:$H$3000,"Permitted – not started",Permissions!$I$2:$I$3000,"Yes")</f>
        <v>0</v>
      </c>
      <c r="W127" s="19" t="n">
        <f aca="false">SUMIFS(Permissions!$F$2:$F$3000,Permissions!$B$2:$B$3000,$A127,Permissions!$H$2:$H$3000,"Stalled",Permissions!$I$2:$I$3000,"Yes")</f>
        <v>0</v>
      </c>
      <c r="X127" s="19" t="n">
        <f aca="false">T127+U127+V127+W127</f>
        <v>0</v>
      </c>
      <c r="Y127" s="19" t="n">
        <f aca="false">SUMIFS(Permissions!$F$2:$F$3000,Permissions!$B$2:$B$3000,$A127,Permissions!$H$2:$H$3000,"Expired – not started",Permissions!$I$2:$I$3000,"Yes")</f>
        <v>0</v>
      </c>
      <c r="Z127" s="19" t="n">
        <f aca="false">SUMIFS(Permissions!$F$2:$F$3000,Permissions!$B$2:$B$3000,$A127,Permissions!$H$2:$H$3000,"In planning",Permissions!$I$2:$I$3000,"Yes")</f>
        <v>0</v>
      </c>
      <c r="AA127" s="19" t="n">
        <f aca="false">IF(N127="",0,MAX(N127-X127,0))</f>
        <v>64</v>
      </c>
      <c r="AB127" s="20" t="n">
        <f aca="false">X127+AA127</f>
        <v>64</v>
      </c>
      <c r="AC127" s="19" t="n">
        <f aca="false">AB127-T127</f>
        <v>64</v>
      </c>
      <c r="AD127" s="21" t="n">
        <f aca="false">SUMIFS(Permissions!$T$2:$T$3000,Permissions!$B$2:$B$3000,$A127,Permissions!$I$2:$I$3000,"Yes")</f>
        <v>0</v>
      </c>
      <c r="AE127" s="21" t="n">
        <f aca="false">SUMIFS(Permissions!$U$2:$U$3000,Permissions!$B$2:$B$3000,$A127,Permissions!$I$2:$I$3000,"Yes")</f>
        <v>0</v>
      </c>
      <c r="AF127" s="21" t="n">
        <f aca="false">SUMIFS(Permissions!$V$2:$V$3000,Permissions!$B$2:$B$3000,$A127,Permissions!$I$2:$I$3000,"Yes")</f>
        <v>0</v>
      </c>
      <c r="AG127" s="21" t="n">
        <f aca="false">SUMIFS(Permissions!$W$2:$W$3000,Permissions!$B$2:$B$3000,$A127,Permissions!$I$2:$I$3000,"Yes")</f>
        <v>0</v>
      </c>
      <c r="AH127" s="21" t="n">
        <f aca="false">SUMIFS(Permissions!$X$2:$X$3000,Permissions!$B$2:$B$3000,$A127,Permissions!$I$2:$I$3000,"Yes")</f>
        <v>0</v>
      </c>
      <c r="AI127" s="21" t="n">
        <f aca="false">SUMIFS(Permissions!$Y$2:$Y$3000,Permissions!$B$2:$B$3000,$A127,Permissions!$I$2:$I$3000,"Yes")</f>
        <v>0</v>
      </c>
      <c r="AJ127" s="19" t="n">
        <f aca="false">COUNTIFS(Permissions!$B$2:$B$3000,$A127,Permissions!$I$2:$I$3000,"Yes")</f>
        <v>0</v>
      </c>
      <c r="AK127" s="22" t="str">
        <f aca="false">IF(AND(N127&lt;&gt;"",X127&gt;1.1*N127),"Consented above capacity",IF(AND(LEFT(B127,8)="Planning",AJ127=0),"Consent parcel with no permission",IF(COUNTIF($A$2:$A$3000,$A127)&gt;1,"Duplicate parcel_id","")))</f>
        <v/>
      </c>
    </row>
    <row r="128" customFormat="false" ht="15" hidden="false" customHeight="false" outlineLevel="0" collapsed="false">
      <c r="A128" s="18" t="s">
        <v>270</v>
      </c>
      <c r="B128" s="18" t="s">
        <v>10</v>
      </c>
      <c r="C128" s="18" t="s">
        <v>15</v>
      </c>
      <c r="D128" s="18" t="n">
        <v>127</v>
      </c>
      <c r="E128" s="18" t="s">
        <v>254</v>
      </c>
      <c r="F128" s="18" t="s">
        <v>142</v>
      </c>
      <c r="G128" s="18" t="s">
        <v>259</v>
      </c>
      <c r="H128" s="18" t="s">
        <v>91</v>
      </c>
      <c r="I128" s="18" t="s">
        <v>100</v>
      </c>
      <c r="J128" s="18" t="s">
        <v>101</v>
      </c>
      <c r="K128" s="18" t="s">
        <v>94</v>
      </c>
      <c r="L128" s="18" t="n">
        <v>0.508</v>
      </c>
      <c r="M128" s="18" t="n">
        <v>0.508</v>
      </c>
      <c r="N128" s="18" t="n">
        <v>23</v>
      </c>
      <c r="O128" s="18" t="s">
        <v>95</v>
      </c>
      <c r="P128" s="18" t="s">
        <v>96</v>
      </c>
      <c r="Q128" s="18" t="s">
        <v>97</v>
      </c>
      <c r="R128" s="18" t="s">
        <v>98</v>
      </c>
      <c r="S128" s="18"/>
      <c r="T128" s="19" t="n">
        <f aca="false">SUMIFS(Permissions!$F$2:$F$3000,Permissions!$B$2:$B$3000,$A128,Permissions!$H$2:$H$3000,"Complete",Permissions!$I$2:$I$3000,"Yes")</f>
        <v>0</v>
      </c>
      <c r="U128" s="19" t="n">
        <f aca="false">SUMIFS(Permissions!$F$2:$F$3000,Permissions!$B$2:$B$3000,$A128,Permissions!$H$2:$H$3000,"Under construction",Permissions!$I$2:$I$3000,"Yes")</f>
        <v>0</v>
      </c>
      <c r="V128" s="19" t="n">
        <f aca="false">SUMIFS(Permissions!$F$2:$F$3000,Permissions!$B$2:$B$3000,$A128,Permissions!$H$2:$H$3000,"Permitted – not started",Permissions!$I$2:$I$3000,"Yes")</f>
        <v>0</v>
      </c>
      <c r="W128" s="19" t="n">
        <f aca="false">SUMIFS(Permissions!$F$2:$F$3000,Permissions!$B$2:$B$3000,$A128,Permissions!$H$2:$H$3000,"Stalled",Permissions!$I$2:$I$3000,"Yes")</f>
        <v>0</v>
      </c>
      <c r="X128" s="19" t="n">
        <f aca="false">T128+U128+V128+W128</f>
        <v>0</v>
      </c>
      <c r="Y128" s="19" t="n">
        <f aca="false">SUMIFS(Permissions!$F$2:$F$3000,Permissions!$B$2:$B$3000,$A128,Permissions!$H$2:$H$3000,"Expired – not started",Permissions!$I$2:$I$3000,"Yes")</f>
        <v>0</v>
      </c>
      <c r="Z128" s="19" t="n">
        <f aca="false">SUMIFS(Permissions!$F$2:$F$3000,Permissions!$B$2:$B$3000,$A128,Permissions!$H$2:$H$3000,"In planning",Permissions!$I$2:$I$3000,"Yes")</f>
        <v>0</v>
      </c>
      <c r="AA128" s="19" t="n">
        <f aca="false">IF(N128="",0,MAX(N128-X128,0))</f>
        <v>23</v>
      </c>
      <c r="AB128" s="20" t="n">
        <f aca="false">X128+AA128</f>
        <v>23</v>
      </c>
      <c r="AC128" s="19" t="n">
        <f aca="false">AB128-T128</f>
        <v>23</v>
      </c>
      <c r="AD128" s="21" t="n">
        <f aca="false">SUMIFS(Permissions!$T$2:$T$3000,Permissions!$B$2:$B$3000,$A128,Permissions!$I$2:$I$3000,"Yes")</f>
        <v>0</v>
      </c>
      <c r="AE128" s="21" t="n">
        <f aca="false">SUMIFS(Permissions!$U$2:$U$3000,Permissions!$B$2:$B$3000,$A128,Permissions!$I$2:$I$3000,"Yes")</f>
        <v>0</v>
      </c>
      <c r="AF128" s="21" t="n">
        <f aca="false">SUMIFS(Permissions!$V$2:$V$3000,Permissions!$B$2:$B$3000,$A128,Permissions!$I$2:$I$3000,"Yes")</f>
        <v>0</v>
      </c>
      <c r="AG128" s="21" t="n">
        <f aca="false">SUMIFS(Permissions!$W$2:$W$3000,Permissions!$B$2:$B$3000,$A128,Permissions!$I$2:$I$3000,"Yes")</f>
        <v>0</v>
      </c>
      <c r="AH128" s="21" t="n">
        <f aca="false">SUMIFS(Permissions!$X$2:$X$3000,Permissions!$B$2:$B$3000,$A128,Permissions!$I$2:$I$3000,"Yes")</f>
        <v>0</v>
      </c>
      <c r="AI128" s="21" t="n">
        <f aca="false">SUMIFS(Permissions!$Y$2:$Y$3000,Permissions!$B$2:$B$3000,$A128,Permissions!$I$2:$I$3000,"Yes")</f>
        <v>0</v>
      </c>
      <c r="AJ128" s="19" t="n">
        <f aca="false">COUNTIFS(Permissions!$B$2:$B$3000,$A128,Permissions!$I$2:$I$3000,"Yes")</f>
        <v>0</v>
      </c>
      <c r="AK128" s="22" t="str">
        <f aca="false">IF(AND(N128&lt;&gt;"",X128&gt;1.1*N128),"Consented above capacity",IF(AND(LEFT(B128,8)="Planning",AJ128=0),"Consent parcel with no permission",IF(COUNTIF($A$2:$A$3000,$A128)&gt;1,"Duplicate parcel_id","")))</f>
        <v/>
      </c>
    </row>
    <row r="129" customFormat="false" ht="15" hidden="false" customHeight="false" outlineLevel="0" collapsed="false">
      <c r="A129" s="18" t="s">
        <v>271</v>
      </c>
      <c r="B129" s="18" t="s">
        <v>10</v>
      </c>
      <c r="C129" s="18" t="s">
        <v>15</v>
      </c>
      <c r="D129" s="18" t="n">
        <v>128</v>
      </c>
      <c r="E129" s="18" t="s">
        <v>254</v>
      </c>
      <c r="F129" s="18" t="s">
        <v>142</v>
      </c>
      <c r="G129" s="18" t="s">
        <v>259</v>
      </c>
      <c r="H129" s="18" t="s">
        <v>119</v>
      </c>
      <c r="I129" s="18" t="s">
        <v>92</v>
      </c>
      <c r="J129" s="18" t="s">
        <v>101</v>
      </c>
      <c r="K129" s="18" t="s">
        <v>94</v>
      </c>
      <c r="L129" s="18" t="n">
        <v>4.753</v>
      </c>
      <c r="M129" s="18" t="n">
        <v>4.751</v>
      </c>
      <c r="N129" s="18" t="n">
        <v>214</v>
      </c>
      <c r="O129" s="18" t="s">
        <v>95</v>
      </c>
      <c r="P129" s="18" t="s">
        <v>96</v>
      </c>
      <c r="Q129" s="18" t="s">
        <v>97</v>
      </c>
      <c r="R129" s="18" t="s">
        <v>98</v>
      </c>
      <c r="S129" s="18"/>
      <c r="T129" s="19" t="n">
        <f aca="false">SUMIFS(Permissions!$F$2:$F$3000,Permissions!$B$2:$B$3000,$A129,Permissions!$H$2:$H$3000,"Complete",Permissions!$I$2:$I$3000,"Yes")</f>
        <v>0</v>
      </c>
      <c r="U129" s="19" t="n">
        <f aca="false">SUMIFS(Permissions!$F$2:$F$3000,Permissions!$B$2:$B$3000,$A129,Permissions!$H$2:$H$3000,"Under construction",Permissions!$I$2:$I$3000,"Yes")</f>
        <v>0</v>
      </c>
      <c r="V129" s="19" t="n">
        <f aca="false">SUMIFS(Permissions!$F$2:$F$3000,Permissions!$B$2:$B$3000,$A129,Permissions!$H$2:$H$3000,"Permitted – not started",Permissions!$I$2:$I$3000,"Yes")</f>
        <v>0</v>
      </c>
      <c r="W129" s="19" t="n">
        <f aca="false">SUMIFS(Permissions!$F$2:$F$3000,Permissions!$B$2:$B$3000,$A129,Permissions!$H$2:$H$3000,"Stalled",Permissions!$I$2:$I$3000,"Yes")</f>
        <v>0</v>
      </c>
      <c r="X129" s="19" t="n">
        <f aca="false">T129+U129+V129+W129</f>
        <v>0</v>
      </c>
      <c r="Y129" s="19" t="n">
        <f aca="false">SUMIFS(Permissions!$F$2:$F$3000,Permissions!$B$2:$B$3000,$A129,Permissions!$H$2:$H$3000,"Expired – not started",Permissions!$I$2:$I$3000,"Yes")</f>
        <v>0</v>
      </c>
      <c r="Z129" s="19" t="n">
        <f aca="false">SUMIFS(Permissions!$F$2:$F$3000,Permissions!$B$2:$B$3000,$A129,Permissions!$H$2:$H$3000,"In planning",Permissions!$I$2:$I$3000,"Yes")</f>
        <v>57</v>
      </c>
      <c r="AA129" s="19" t="n">
        <f aca="false">IF(N129="",0,MAX(N129-X129,0))</f>
        <v>214</v>
      </c>
      <c r="AB129" s="20" t="n">
        <f aca="false">X129+AA129</f>
        <v>214</v>
      </c>
      <c r="AC129" s="19" t="n">
        <f aca="false">AB129-T129</f>
        <v>214</v>
      </c>
      <c r="AD129" s="21" t="n">
        <f aca="false">SUMIFS(Permissions!$T$2:$T$3000,Permissions!$B$2:$B$3000,$A129,Permissions!$I$2:$I$3000,"Yes")</f>
        <v>0</v>
      </c>
      <c r="AE129" s="21" t="n">
        <f aca="false">SUMIFS(Permissions!$U$2:$U$3000,Permissions!$B$2:$B$3000,$A129,Permissions!$I$2:$I$3000,"Yes")</f>
        <v>0</v>
      </c>
      <c r="AF129" s="21" t="n">
        <f aca="false">SUMIFS(Permissions!$V$2:$V$3000,Permissions!$B$2:$B$3000,$A129,Permissions!$I$2:$I$3000,"Yes")</f>
        <v>0</v>
      </c>
      <c r="AG129" s="21" t="n">
        <f aca="false">SUMIFS(Permissions!$W$2:$W$3000,Permissions!$B$2:$B$3000,$A129,Permissions!$I$2:$I$3000,"Yes")</f>
        <v>0</v>
      </c>
      <c r="AH129" s="21" t="n">
        <f aca="false">SUMIFS(Permissions!$X$2:$X$3000,Permissions!$B$2:$B$3000,$A129,Permissions!$I$2:$I$3000,"Yes")</f>
        <v>0</v>
      </c>
      <c r="AI129" s="21" t="n">
        <f aca="false">SUMIFS(Permissions!$Y$2:$Y$3000,Permissions!$B$2:$B$3000,$A129,Permissions!$I$2:$I$3000,"Yes")</f>
        <v>0</v>
      </c>
      <c r="AJ129" s="19" t="n">
        <f aca="false">COUNTIFS(Permissions!$B$2:$B$3000,$A129,Permissions!$I$2:$I$3000,"Yes")</f>
        <v>1</v>
      </c>
      <c r="AK129" s="22" t="str">
        <f aca="false">IF(AND(N129&lt;&gt;"",X129&gt;1.1*N129),"Consented above capacity",IF(AND(LEFT(B129,8)="Planning",AJ129=0),"Consent parcel with no permission",IF(COUNTIF($A$2:$A$3000,$A129)&gt;1,"Duplicate parcel_id","")))</f>
        <v/>
      </c>
    </row>
    <row r="130" customFormat="false" ht="15" hidden="false" customHeight="false" outlineLevel="0" collapsed="false">
      <c r="A130" s="18" t="s">
        <v>272</v>
      </c>
      <c r="B130" s="18" t="s">
        <v>10</v>
      </c>
      <c r="C130" s="18" t="s">
        <v>15</v>
      </c>
      <c r="D130" s="18" t="n">
        <v>158</v>
      </c>
      <c r="E130" s="18" t="s">
        <v>254</v>
      </c>
      <c r="F130" s="18" t="s">
        <v>112</v>
      </c>
      <c r="G130" s="18" t="s">
        <v>233</v>
      </c>
      <c r="H130" s="18" t="s">
        <v>105</v>
      </c>
      <c r="I130" s="18" t="s">
        <v>92</v>
      </c>
      <c r="J130" s="18" t="s">
        <v>101</v>
      </c>
      <c r="K130" s="18" t="s">
        <v>94</v>
      </c>
      <c r="L130" s="18" t="n">
        <v>0.938</v>
      </c>
      <c r="M130" s="18" t="n">
        <v>0.938</v>
      </c>
      <c r="N130" s="18" t="n">
        <v>42</v>
      </c>
      <c r="O130" s="18" t="s">
        <v>95</v>
      </c>
      <c r="P130" s="18" t="s">
        <v>96</v>
      </c>
      <c r="Q130" s="18" t="s">
        <v>97</v>
      </c>
      <c r="R130" s="18" t="s">
        <v>98</v>
      </c>
      <c r="S130" s="18"/>
      <c r="T130" s="19" t="n">
        <f aca="false">SUMIFS(Permissions!$F$2:$F$3000,Permissions!$B$2:$B$3000,$A130,Permissions!$H$2:$H$3000,"Complete",Permissions!$I$2:$I$3000,"Yes")</f>
        <v>0</v>
      </c>
      <c r="U130" s="19" t="n">
        <f aca="false">SUMIFS(Permissions!$F$2:$F$3000,Permissions!$B$2:$B$3000,$A130,Permissions!$H$2:$H$3000,"Under construction",Permissions!$I$2:$I$3000,"Yes")</f>
        <v>0</v>
      </c>
      <c r="V130" s="19" t="n">
        <f aca="false">SUMIFS(Permissions!$F$2:$F$3000,Permissions!$B$2:$B$3000,$A130,Permissions!$H$2:$H$3000,"Permitted – not started",Permissions!$I$2:$I$3000,"Yes")</f>
        <v>0</v>
      </c>
      <c r="W130" s="19" t="n">
        <f aca="false">SUMIFS(Permissions!$F$2:$F$3000,Permissions!$B$2:$B$3000,$A130,Permissions!$H$2:$H$3000,"Stalled",Permissions!$I$2:$I$3000,"Yes")</f>
        <v>0</v>
      </c>
      <c r="X130" s="19" t="n">
        <f aca="false">T130+U130+V130+W130</f>
        <v>0</v>
      </c>
      <c r="Y130" s="19" t="n">
        <f aca="false">SUMIFS(Permissions!$F$2:$F$3000,Permissions!$B$2:$B$3000,$A130,Permissions!$H$2:$H$3000,"Expired – not started",Permissions!$I$2:$I$3000,"Yes")</f>
        <v>0</v>
      </c>
      <c r="Z130" s="19" t="n">
        <f aca="false">SUMIFS(Permissions!$F$2:$F$3000,Permissions!$B$2:$B$3000,$A130,Permissions!$H$2:$H$3000,"In planning",Permissions!$I$2:$I$3000,"Yes")</f>
        <v>0</v>
      </c>
      <c r="AA130" s="19" t="n">
        <f aca="false">IF(N130="",0,MAX(N130-X130,0))</f>
        <v>42</v>
      </c>
      <c r="AB130" s="20" t="n">
        <f aca="false">X130+AA130</f>
        <v>42</v>
      </c>
      <c r="AC130" s="19" t="n">
        <f aca="false">AB130-T130</f>
        <v>42</v>
      </c>
      <c r="AD130" s="21" t="n">
        <f aca="false">SUMIFS(Permissions!$T$2:$T$3000,Permissions!$B$2:$B$3000,$A130,Permissions!$I$2:$I$3000,"Yes")</f>
        <v>0</v>
      </c>
      <c r="AE130" s="21" t="n">
        <f aca="false">SUMIFS(Permissions!$U$2:$U$3000,Permissions!$B$2:$B$3000,$A130,Permissions!$I$2:$I$3000,"Yes")</f>
        <v>0</v>
      </c>
      <c r="AF130" s="21" t="n">
        <f aca="false">SUMIFS(Permissions!$V$2:$V$3000,Permissions!$B$2:$B$3000,$A130,Permissions!$I$2:$I$3000,"Yes")</f>
        <v>0</v>
      </c>
      <c r="AG130" s="21" t="n">
        <f aca="false">SUMIFS(Permissions!$W$2:$W$3000,Permissions!$B$2:$B$3000,$A130,Permissions!$I$2:$I$3000,"Yes")</f>
        <v>0</v>
      </c>
      <c r="AH130" s="21" t="n">
        <f aca="false">SUMIFS(Permissions!$X$2:$X$3000,Permissions!$B$2:$B$3000,$A130,Permissions!$I$2:$I$3000,"Yes")</f>
        <v>0</v>
      </c>
      <c r="AI130" s="21" t="n">
        <f aca="false">SUMIFS(Permissions!$Y$2:$Y$3000,Permissions!$B$2:$B$3000,$A130,Permissions!$I$2:$I$3000,"Yes")</f>
        <v>0</v>
      </c>
      <c r="AJ130" s="19" t="n">
        <f aca="false">COUNTIFS(Permissions!$B$2:$B$3000,$A130,Permissions!$I$2:$I$3000,"Yes")</f>
        <v>0</v>
      </c>
      <c r="AK130" s="22" t="str">
        <f aca="false">IF(AND(N130&lt;&gt;"",X130&gt;1.1*N130),"Consented above capacity",IF(AND(LEFT(B130,8)="Planning",AJ130=0),"Consent parcel with no permission",IF(COUNTIF($A$2:$A$3000,$A130)&gt;1,"Duplicate parcel_id","")))</f>
        <v/>
      </c>
    </row>
    <row r="131" customFormat="false" ht="15" hidden="false" customHeight="false" outlineLevel="0" collapsed="false">
      <c r="A131" s="18" t="s">
        <v>273</v>
      </c>
      <c r="B131" s="18" t="s">
        <v>10</v>
      </c>
      <c r="C131" s="18" t="s">
        <v>15</v>
      </c>
      <c r="D131" s="18" t="n">
        <v>74</v>
      </c>
      <c r="E131" s="18" t="s">
        <v>254</v>
      </c>
      <c r="F131" s="18" t="s">
        <v>142</v>
      </c>
      <c r="G131" s="18" t="s">
        <v>233</v>
      </c>
      <c r="H131" s="18" t="s">
        <v>105</v>
      </c>
      <c r="I131" s="18" t="s">
        <v>92</v>
      </c>
      <c r="J131" s="18" t="s">
        <v>101</v>
      </c>
      <c r="K131" s="18" t="s">
        <v>115</v>
      </c>
      <c r="L131" s="18" t="n">
        <v>0.543</v>
      </c>
      <c r="M131" s="18" t="n">
        <v>0.544</v>
      </c>
      <c r="N131" s="18" t="n">
        <v>19</v>
      </c>
      <c r="O131" s="18" t="s">
        <v>95</v>
      </c>
      <c r="P131" s="18" t="s">
        <v>96</v>
      </c>
      <c r="Q131" s="18" t="s">
        <v>97</v>
      </c>
      <c r="R131" s="18" t="s">
        <v>98</v>
      </c>
      <c r="S131" s="18"/>
      <c r="T131" s="19" t="n">
        <f aca="false">SUMIFS(Permissions!$F$2:$F$3000,Permissions!$B$2:$B$3000,$A131,Permissions!$H$2:$H$3000,"Complete",Permissions!$I$2:$I$3000,"Yes")</f>
        <v>0</v>
      </c>
      <c r="U131" s="19" t="n">
        <f aca="false">SUMIFS(Permissions!$F$2:$F$3000,Permissions!$B$2:$B$3000,$A131,Permissions!$H$2:$H$3000,"Under construction",Permissions!$I$2:$I$3000,"Yes")</f>
        <v>31</v>
      </c>
      <c r="V131" s="19" t="n">
        <f aca="false">SUMIFS(Permissions!$F$2:$F$3000,Permissions!$B$2:$B$3000,$A131,Permissions!$H$2:$H$3000,"Permitted – not started",Permissions!$I$2:$I$3000,"Yes")</f>
        <v>0</v>
      </c>
      <c r="W131" s="19" t="n">
        <f aca="false">SUMIFS(Permissions!$F$2:$F$3000,Permissions!$B$2:$B$3000,$A131,Permissions!$H$2:$H$3000,"Stalled",Permissions!$I$2:$I$3000,"Yes")</f>
        <v>0</v>
      </c>
      <c r="X131" s="19" t="n">
        <f aca="false">T131+U131+V131+W131</f>
        <v>31</v>
      </c>
      <c r="Y131" s="19" t="n">
        <f aca="false">SUMIFS(Permissions!$F$2:$F$3000,Permissions!$B$2:$B$3000,$A131,Permissions!$H$2:$H$3000,"Expired – not started",Permissions!$I$2:$I$3000,"Yes")</f>
        <v>0</v>
      </c>
      <c r="Z131" s="19" t="n">
        <f aca="false">SUMIFS(Permissions!$F$2:$F$3000,Permissions!$B$2:$B$3000,$A131,Permissions!$H$2:$H$3000,"In planning",Permissions!$I$2:$I$3000,"Yes")</f>
        <v>0</v>
      </c>
      <c r="AA131" s="19" t="n">
        <f aca="false">IF(N131="",0,MAX(N131-X131,0))</f>
        <v>0</v>
      </c>
      <c r="AB131" s="20" t="n">
        <f aca="false">X131+AA131</f>
        <v>31</v>
      </c>
      <c r="AC131" s="19" t="n">
        <f aca="false">AB131-T131</f>
        <v>31</v>
      </c>
      <c r="AD131" s="21" t="n">
        <f aca="false">SUMIFS(Permissions!$T$2:$T$3000,Permissions!$B$2:$B$3000,$A131,Permissions!$I$2:$I$3000,"Yes")</f>
        <v>0</v>
      </c>
      <c r="AE131" s="21" t="n">
        <f aca="false">SUMIFS(Permissions!$U$2:$U$3000,Permissions!$B$2:$B$3000,$A131,Permissions!$I$2:$I$3000,"Yes")</f>
        <v>28.5</v>
      </c>
      <c r="AF131" s="21" t="n">
        <f aca="false">SUMIFS(Permissions!$V$2:$V$3000,Permissions!$B$2:$B$3000,$A131,Permissions!$I$2:$I$3000,"Yes")</f>
        <v>2.5</v>
      </c>
      <c r="AG131" s="21" t="n">
        <f aca="false">SUMIFS(Permissions!$W$2:$W$3000,Permissions!$B$2:$B$3000,$A131,Permissions!$I$2:$I$3000,"Yes")</f>
        <v>0</v>
      </c>
      <c r="AH131" s="21" t="n">
        <f aca="false">SUMIFS(Permissions!$X$2:$X$3000,Permissions!$B$2:$B$3000,$A131,Permissions!$I$2:$I$3000,"Yes")</f>
        <v>0</v>
      </c>
      <c r="AI131" s="21" t="n">
        <f aca="false">SUMIFS(Permissions!$Y$2:$Y$3000,Permissions!$B$2:$B$3000,$A131,Permissions!$I$2:$I$3000,"Yes")</f>
        <v>0</v>
      </c>
      <c r="AJ131" s="19" t="n">
        <f aca="false">COUNTIFS(Permissions!$B$2:$B$3000,$A131,Permissions!$I$2:$I$3000,"Yes")</f>
        <v>1</v>
      </c>
      <c r="AK131" s="22" t="str">
        <f aca="false">IF(AND(N131&lt;&gt;"",X131&gt;1.1*N131),"Consented above capacity",IF(AND(LEFT(B131,8)="Planning",AJ131=0),"Consent parcel with no permission",IF(COUNTIF($A$2:$A$3000,$A131)&gt;1,"Duplicate parcel_id","")))</f>
        <v>Consented above capacity</v>
      </c>
    </row>
    <row r="132" customFormat="false" ht="15" hidden="false" customHeight="false" outlineLevel="0" collapsed="false">
      <c r="A132" s="18" t="s">
        <v>274</v>
      </c>
      <c r="B132" s="18" t="s">
        <v>10</v>
      </c>
      <c r="C132" s="18" t="s">
        <v>15</v>
      </c>
      <c r="D132" s="18" t="n">
        <v>76</v>
      </c>
      <c r="E132" s="18" t="s">
        <v>254</v>
      </c>
      <c r="F132" s="18" t="s">
        <v>142</v>
      </c>
      <c r="G132" s="18" t="s">
        <v>233</v>
      </c>
      <c r="H132" s="18" t="s">
        <v>105</v>
      </c>
      <c r="I132" s="18" t="s">
        <v>120</v>
      </c>
      <c r="J132" s="18" t="s">
        <v>93</v>
      </c>
      <c r="K132" s="18" t="s">
        <v>94</v>
      </c>
      <c r="L132" s="18" t="n">
        <v>3.169</v>
      </c>
      <c r="M132" s="18" t="n">
        <v>6.601</v>
      </c>
      <c r="N132" s="18" t="n">
        <v>245</v>
      </c>
      <c r="O132" s="18" t="s">
        <v>95</v>
      </c>
      <c r="P132" s="18" t="s">
        <v>96</v>
      </c>
      <c r="Q132" s="18" t="s">
        <v>97</v>
      </c>
      <c r="R132" s="18" t="s">
        <v>98</v>
      </c>
      <c r="S132" s="18"/>
      <c r="T132" s="19" t="n">
        <f aca="false">SUMIFS(Permissions!$F$2:$F$3000,Permissions!$B$2:$B$3000,$A132,Permissions!$H$2:$H$3000,"Complete",Permissions!$I$2:$I$3000,"Yes")</f>
        <v>0</v>
      </c>
      <c r="U132" s="19" t="n">
        <f aca="false">SUMIFS(Permissions!$F$2:$F$3000,Permissions!$B$2:$B$3000,$A132,Permissions!$H$2:$H$3000,"Under construction",Permissions!$I$2:$I$3000,"Yes")</f>
        <v>0</v>
      </c>
      <c r="V132" s="19" t="n">
        <f aca="false">SUMIFS(Permissions!$F$2:$F$3000,Permissions!$B$2:$B$3000,$A132,Permissions!$H$2:$H$3000,"Permitted – not started",Permissions!$I$2:$I$3000,"Yes")</f>
        <v>403</v>
      </c>
      <c r="W132" s="19" t="n">
        <f aca="false">SUMIFS(Permissions!$F$2:$F$3000,Permissions!$B$2:$B$3000,$A132,Permissions!$H$2:$H$3000,"Stalled",Permissions!$I$2:$I$3000,"Yes")</f>
        <v>0</v>
      </c>
      <c r="X132" s="19" t="n">
        <f aca="false">T132+U132+V132+W132</f>
        <v>403</v>
      </c>
      <c r="Y132" s="19" t="n">
        <f aca="false">SUMIFS(Permissions!$F$2:$F$3000,Permissions!$B$2:$B$3000,$A132,Permissions!$H$2:$H$3000,"Expired – not started",Permissions!$I$2:$I$3000,"Yes")</f>
        <v>0</v>
      </c>
      <c r="Z132" s="19" t="n">
        <f aca="false">SUMIFS(Permissions!$F$2:$F$3000,Permissions!$B$2:$B$3000,$A132,Permissions!$H$2:$H$3000,"In planning",Permissions!$I$2:$I$3000,"Yes")</f>
        <v>0</v>
      </c>
      <c r="AA132" s="19" t="n">
        <f aca="false">IF(N132="",0,MAX(N132-X132,0))</f>
        <v>0</v>
      </c>
      <c r="AB132" s="20" t="n">
        <f aca="false">X132+AA132</f>
        <v>403</v>
      </c>
      <c r="AC132" s="19" t="n">
        <f aca="false">AB132-T132</f>
        <v>403</v>
      </c>
      <c r="AD132" s="21" t="n">
        <f aca="false">SUMIFS(Permissions!$T$2:$T$3000,Permissions!$B$2:$B$3000,$A132,Permissions!$I$2:$I$3000,"Yes")</f>
        <v>0</v>
      </c>
      <c r="AE132" s="21" t="n">
        <f aca="false">SUMIFS(Permissions!$U$2:$U$3000,Permissions!$B$2:$B$3000,$A132,Permissions!$I$2:$I$3000,"Yes")</f>
        <v>0</v>
      </c>
      <c r="AF132" s="21" t="n">
        <f aca="false">SUMIFS(Permissions!$V$2:$V$3000,Permissions!$B$2:$B$3000,$A132,Permissions!$I$2:$I$3000,"Yes")</f>
        <v>0</v>
      </c>
      <c r="AG132" s="21" t="n">
        <f aca="false">SUMIFS(Permissions!$W$2:$W$3000,Permissions!$B$2:$B$3000,$A132,Permissions!$I$2:$I$3000,"Yes")</f>
        <v>41.6</v>
      </c>
      <c r="AH132" s="21" t="n">
        <f aca="false">SUMIFS(Permissions!$X$2:$X$3000,Permissions!$B$2:$B$3000,$A132,Permissions!$I$2:$I$3000,"Yes")</f>
        <v>57.4</v>
      </c>
      <c r="AI132" s="21" t="n">
        <f aca="false">SUMIFS(Permissions!$Y$2:$Y$3000,Permissions!$B$2:$B$3000,$A132,Permissions!$I$2:$I$3000,"Yes")</f>
        <v>304</v>
      </c>
      <c r="AJ132" s="19" t="n">
        <f aca="false">COUNTIFS(Permissions!$B$2:$B$3000,$A132,Permissions!$I$2:$I$3000,"Yes")</f>
        <v>1</v>
      </c>
      <c r="AK132" s="22" t="str">
        <f aca="false">IF(AND(N132&lt;&gt;"",X132&gt;1.1*N132),"Consented above capacity",IF(AND(LEFT(B132,8)="Planning",AJ132=0),"Consent parcel with no permission",IF(COUNTIF($A$2:$A$3000,$A132)&gt;1,"Duplicate parcel_id","")))</f>
        <v>Consented above capacity</v>
      </c>
    </row>
    <row r="133" customFormat="false" ht="15" hidden="false" customHeight="false" outlineLevel="0" collapsed="false">
      <c r="A133" s="18" t="s">
        <v>275</v>
      </c>
      <c r="B133" s="18" t="s">
        <v>11</v>
      </c>
      <c r="C133" s="18" t="s">
        <v>15</v>
      </c>
      <c r="D133" s="18" t="n">
        <v>2</v>
      </c>
      <c r="E133" s="18" t="s">
        <v>111</v>
      </c>
      <c r="F133" s="18" t="s">
        <v>112</v>
      </c>
      <c r="G133" s="18" t="s">
        <v>113</v>
      </c>
      <c r="H133" s="18" t="s">
        <v>105</v>
      </c>
      <c r="I133" s="18" t="s">
        <v>92</v>
      </c>
      <c r="J133" s="18" t="s">
        <v>114</v>
      </c>
      <c r="K133" s="18" t="s">
        <v>115</v>
      </c>
      <c r="L133" s="18" t="n">
        <v>2.193</v>
      </c>
      <c r="M133" s="18" t="n">
        <v>2.394</v>
      </c>
      <c r="N133" s="18" t="n">
        <v>77</v>
      </c>
      <c r="O133" s="18" t="s">
        <v>95</v>
      </c>
      <c r="P133" s="18" t="s">
        <v>96</v>
      </c>
      <c r="Q133" s="18" t="s">
        <v>276</v>
      </c>
      <c r="R133" s="18" t="s">
        <v>98</v>
      </c>
      <c r="S133" s="18"/>
      <c r="T133" s="19" t="n">
        <f aca="false">SUMIFS(Permissions!$F$2:$F$3000,Permissions!$B$2:$B$3000,$A133,Permissions!$H$2:$H$3000,"Complete",Permissions!$I$2:$I$3000,"Yes")</f>
        <v>0</v>
      </c>
      <c r="U133" s="19" t="n">
        <f aca="false">SUMIFS(Permissions!$F$2:$F$3000,Permissions!$B$2:$B$3000,$A133,Permissions!$H$2:$H$3000,"Under construction",Permissions!$I$2:$I$3000,"Yes")</f>
        <v>0</v>
      </c>
      <c r="V133" s="19" t="n">
        <f aca="false">SUMIFS(Permissions!$F$2:$F$3000,Permissions!$B$2:$B$3000,$A133,Permissions!$H$2:$H$3000,"Permitted – not started",Permissions!$I$2:$I$3000,"Yes")</f>
        <v>0</v>
      </c>
      <c r="W133" s="19" t="n">
        <f aca="false">SUMIFS(Permissions!$F$2:$F$3000,Permissions!$B$2:$B$3000,$A133,Permissions!$H$2:$H$3000,"Stalled",Permissions!$I$2:$I$3000,"Yes")</f>
        <v>0</v>
      </c>
      <c r="X133" s="19" t="n">
        <f aca="false">T133+U133+V133+W133</f>
        <v>0</v>
      </c>
      <c r="Y133" s="19" t="n">
        <f aca="false">SUMIFS(Permissions!$F$2:$F$3000,Permissions!$B$2:$B$3000,$A133,Permissions!$H$2:$H$3000,"Expired – not started",Permissions!$I$2:$I$3000,"Yes")</f>
        <v>0</v>
      </c>
      <c r="Z133" s="19" t="n">
        <f aca="false">SUMIFS(Permissions!$F$2:$F$3000,Permissions!$B$2:$B$3000,$A133,Permissions!$H$2:$H$3000,"In planning",Permissions!$I$2:$I$3000,"Yes")</f>
        <v>0</v>
      </c>
      <c r="AA133" s="19" t="n">
        <f aca="false">IF(N133="",0,MAX(N133-X133,0))</f>
        <v>77</v>
      </c>
      <c r="AB133" s="20" t="n">
        <f aca="false">X133+AA133</f>
        <v>77</v>
      </c>
      <c r="AC133" s="19" t="n">
        <f aca="false">AB133-T133</f>
        <v>77</v>
      </c>
      <c r="AD133" s="21" t="n">
        <f aca="false">SUMIFS(Permissions!$T$2:$T$3000,Permissions!$B$2:$B$3000,$A133,Permissions!$I$2:$I$3000,"Yes")</f>
        <v>0</v>
      </c>
      <c r="AE133" s="21" t="n">
        <f aca="false">SUMIFS(Permissions!$U$2:$U$3000,Permissions!$B$2:$B$3000,$A133,Permissions!$I$2:$I$3000,"Yes")</f>
        <v>0</v>
      </c>
      <c r="AF133" s="21" t="n">
        <f aca="false">SUMIFS(Permissions!$V$2:$V$3000,Permissions!$B$2:$B$3000,$A133,Permissions!$I$2:$I$3000,"Yes")</f>
        <v>0</v>
      </c>
      <c r="AG133" s="21" t="n">
        <f aca="false">SUMIFS(Permissions!$W$2:$W$3000,Permissions!$B$2:$B$3000,$A133,Permissions!$I$2:$I$3000,"Yes")</f>
        <v>0</v>
      </c>
      <c r="AH133" s="21" t="n">
        <f aca="false">SUMIFS(Permissions!$X$2:$X$3000,Permissions!$B$2:$B$3000,$A133,Permissions!$I$2:$I$3000,"Yes")</f>
        <v>0</v>
      </c>
      <c r="AI133" s="21" t="n">
        <f aca="false">SUMIFS(Permissions!$Y$2:$Y$3000,Permissions!$B$2:$B$3000,$A133,Permissions!$I$2:$I$3000,"Yes")</f>
        <v>0</v>
      </c>
      <c r="AJ133" s="19" t="n">
        <f aca="false">COUNTIFS(Permissions!$B$2:$B$3000,$A133,Permissions!$I$2:$I$3000,"Yes")</f>
        <v>0</v>
      </c>
      <c r="AK133" s="22" t="str">
        <f aca="false">IF(AND(N133&lt;&gt;"",X133&gt;1.1*N133),"Consented above capacity",IF(AND(LEFT(B133,8)="Planning",AJ133=0),"Consent parcel with no permission",IF(COUNTIF($A$2:$A$3000,$A133)&gt;1,"Duplicate parcel_id","")))</f>
        <v/>
      </c>
    </row>
    <row r="134" customFormat="false" ht="15" hidden="false" customHeight="false" outlineLevel="0" collapsed="false">
      <c r="A134" s="18" t="s">
        <v>277</v>
      </c>
      <c r="B134" s="18" t="s">
        <v>11</v>
      </c>
      <c r="C134" s="18" t="s">
        <v>15</v>
      </c>
      <c r="D134" s="18" t="n">
        <v>35</v>
      </c>
      <c r="E134" s="18" t="s">
        <v>228</v>
      </c>
      <c r="F134" s="18" t="s">
        <v>112</v>
      </c>
      <c r="G134" s="18" t="s">
        <v>189</v>
      </c>
      <c r="H134" s="18" t="s">
        <v>91</v>
      </c>
      <c r="I134" s="18" t="s">
        <v>92</v>
      </c>
      <c r="J134" s="18" t="s">
        <v>101</v>
      </c>
      <c r="K134" s="18" t="s">
        <v>94</v>
      </c>
      <c r="L134" s="18" t="n">
        <v>0.454</v>
      </c>
      <c r="M134" s="18" t="n">
        <v>0.455</v>
      </c>
      <c r="N134" s="18" t="n">
        <v>27</v>
      </c>
      <c r="O134" s="18" t="s">
        <v>95</v>
      </c>
      <c r="P134" s="18" t="s">
        <v>116</v>
      </c>
      <c r="Q134" s="18" t="s">
        <v>278</v>
      </c>
      <c r="R134" s="18" t="s">
        <v>98</v>
      </c>
      <c r="S134" s="18"/>
      <c r="T134" s="19" t="n">
        <f aca="false">SUMIFS(Permissions!$F$2:$F$3000,Permissions!$B$2:$B$3000,$A134,Permissions!$H$2:$H$3000,"Complete",Permissions!$I$2:$I$3000,"Yes")</f>
        <v>0</v>
      </c>
      <c r="U134" s="19" t="n">
        <f aca="false">SUMIFS(Permissions!$F$2:$F$3000,Permissions!$B$2:$B$3000,$A134,Permissions!$H$2:$H$3000,"Under construction",Permissions!$I$2:$I$3000,"Yes")</f>
        <v>0</v>
      </c>
      <c r="V134" s="19" t="n">
        <f aca="false">SUMIFS(Permissions!$F$2:$F$3000,Permissions!$B$2:$B$3000,$A134,Permissions!$H$2:$H$3000,"Permitted – not started",Permissions!$I$2:$I$3000,"Yes")</f>
        <v>27</v>
      </c>
      <c r="W134" s="19" t="n">
        <f aca="false">SUMIFS(Permissions!$F$2:$F$3000,Permissions!$B$2:$B$3000,$A134,Permissions!$H$2:$H$3000,"Stalled",Permissions!$I$2:$I$3000,"Yes")</f>
        <v>0</v>
      </c>
      <c r="X134" s="19" t="n">
        <f aca="false">T134+U134+V134+W134</f>
        <v>27</v>
      </c>
      <c r="Y134" s="19" t="n">
        <f aca="false">SUMIFS(Permissions!$F$2:$F$3000,Permissions!$B$2:$B$3000,$A134,Permissions!$H$2:$H$3000,"Expired – not started",Permissions!$I$2:$I$3000,"Yes")</f>
        <v>0</v>
      </c>
      <c r="Z134" s="19" t="n">
        <f aca="false">SUMIFS(Permissions!$F$2:$F$3000,Permissions!$B$2:$B$3000,$A134,Permissions!$H$2:$H$3000,"In planning",Permissions!$I$2:$I$3000,"Yes")</f>
        <v>0</v>
      </c>
      <c r="AA134" s="19" t="n">
        <f aca="false">IF(N134="",0,MAX(N134-X134,0))</f>
        <v>0</v>
      </c>
      <c r="AB134" s="20" t="n">
        <f aca="false">X134+AA134</f>
        <v>27</v>
      </c>
      <c r="AC134" s="19" t="n">
        <f aca="false">AB134-T134</f>
        <v>27</v>
      </c>
      <c r="AD134" s="21" t="n">
        <f aca="false">SUMIFS(Permissions!$T$2:$T$3000,Permissions!$B$2:$B$3000,$A134,Permissions!$I$2:$I$3000,"Yes")</f>
        <v>0</v>
      </c>
      <c r="AE134" s="21" t="n">
        <f aca="false">SUMIFS(Permissions!$U$2:$U$3000,Permissions!$B$2:$B$3000,$A134,Permissions!$I$2:$I$3000,"Yes")</f>
        <v>0</v>
      </c>
      <c r="AF134" s="21" t="n">
        <f aca="false">SUMIFS(Permissions!$V$2:$V$3000,Permissions!$B$2:$B$3000,$A134,Permissions!$I$2:$I$3000,"Yes")</f>
        <v>20.5</v>
      </c>
      <c r="AG134" s="21" t="n">
        <f aca="false">SUMIFS(Permissions!$W$2:$W$3000,Permissions!$B$2:$B$3000,$A134,Permissions!$I$2:$I$3000,"Yes")</f>
        <v>6.5</v>
      </c>
      <c r="AH134" s="21" t="n">
        <f aca="false">SUMIFS(Permissions!$X$2:$X$3000,Permissions!$B$2:$B$3000,$A134,Permissions!$I$2:$I$3000,"Yes")</f>
        <v>0</v>
      </c>
      <c r="AI134" s="21" t="n">
        <f aca="false">SUMIFS(Permissions!$Y$2:$Y$3000,Permissions!$B$2:$B$3000,$A134,Permissions!$I$2:$I$3000,"Yes")</f>
        <v>0</v>
      </c>
      <c r="AJ134" s="19" t="n">
        <f aca="false">COUNTIFS(Permissions!$B$2:$B$3000,$A134,Permissions!$I$2:$I$3000,"Yes")</f>
        <v>1</v>
      </c>
      <c r="AK134" s="22" t="str">
        <f aca="false">IF(AND(N134&lt;&gt;"",X134&gt;1.1*N134),"Consented above capacity",IF(AND(LEFT(B134,8)="Planning",AJ134=0),"Consent parcel with no permission",IF(COUNTIF($A$2:$A$3000,$A134)&gt;1,"Duplicate parcel_id","")))</f>
        <v/>
      </c>
    </row>
    <row r="135" customFormat="false" ht="15" hidden="false" customHeight="false" outlineLevel="0" collapsed="false">
      <c r="A135" s="18" t="s">
        <v>279</v>
      </c>
      <c r="B135" s="18" t="s">
        <v>11</v>
      </c>
      <c r="C135" s="18" t="s">
        <v>15</v>
      </c>
      <c r="D135" s="18" t="n">
        <v>112</v>
      </c>
      <c r="E135" s="18" t="s">
        <v>254</v>
      </c>
      <c r="F135" s="18" t="s">
        <v>142</v>
      </c>
      <c r="G135" s="18" t="s">
        <v>90</v>
      </c>
      <c r="H135" s="18" t="s">
        <v>91</v>
      </c>
      <c r="I135" s="18" t="s">
        <v>92</v>
      </c>
      <c r="J135" s="18" t="s">
        <v>101</v>
      </c>
      <c r="K135" s="18" t="s">
        <v>94</v>
      </c>
      <c r="L135" s="18" t="n">
        <v>1.346</v>
      </c>
      <c r="M135" s="18" t="n">
        <v>1.346</v>
      </c>
      <c r="N135" s="18" t="n">
        <v>61</v>
      </c>
      <c r="O135" s="18" t="s">
        <v>95</v>
      </c>
      <c r="P135" s="18" t="s">
        <v>96</v>
      </c>
      <c r="Q135" s="18" t="s">
        <v>280</v>
      </c>
      <c r="R135" s="18" t="s">
        <v>98</v>
      </c>
      <c r="S135" s="18"/>
      <c r="T135" s="19" t="n">
        <f aca="false">SUMIFS(Permissions!$F$2:$F$3000,Permissions!$B$2:$B$3000,$A135,Permissions!$H$2:$H$3000,"Complete",Permissions!$I$2:$I$3000,"Yes")</f>
        <v>0</v>
      </c>
      <c r="U135" s="19" t="n">
        <f aca="false">SUMIFS(Permissions!$F$2:$F$3000,Permissions!$B$2:$B$3000,$A135,Permissions!$H$2:$H$3000,"Under construction",Permissions!$I$2:$I$3000,"Yes")</f>
        <v>0</v>
      </c>
      <c r="V135" s="19" t="n">
        <f aca="false">SUMIFS(Permissions!$F$2:$F$3000,Permissions!$B$2:$B$3000,$A135,Permissions!$H$2:$H$3000,"Permitted – not started",Permissions!$I$2:$I$3000,"Yes")</f>
        <v>0</v>
      </c>
      <c r="W135" s="19" t="n">
        <f aca="false">SUMIFS(Permissions!$F$2:$F$3000,Permissions!$B$2:$B$3000,$A135,Permissions!$H$2:$H$3000,"Stalled",Permissions!$I$2:$I$3000,"Yes")</f>
        <v>0</v>
      </c>
      <c r="X135" s="19" t="n">
        <f aca="false">T135+U135+V135+W135</f>
        <v>0</v>
      </c>
      <c r="Y135" s="19" t="n">
        <f aca="false">SUMIFS(Permissions!$F$2:$F$3000,Permissions!$B$2:$B$3000,$A135,Permissions!$H$2:$H$3000,"Expired – not started",Permissions!$I$2:$I$3000,"Yes")</f>
        <v>0</v>
      </c>
      <c r="Z135" s="19" t="n">
        <f aca="false">SUMIFS(Permissions!$F$2:$F$3000,Permissions!$B$2:$B$3000,$A135,Permissions!$H$2:$H$3000,"In planning",Permissions!$I$2:$I$3000,"Yes")</f>
        <v>0</v>
      </c>
      <c r="AA135" s="19" t="n">
        <f aca="false">IF(N135="",0,MAX(N135-X135,0))</f>
        <v>61</v>
      </c>
      <c r="AB135" s="20" t="n">
        <f aca="false">X135+AA135</f>
        <v>61</v>
      </c>
      <c r="AC135" s="19" t="n">
        <f aca="false">AB135-T135</f>
        <v>61</v>
      </c>
      <c r="AD135" s="21" t="n">
        <f aca="false">SUMIFS(Permissions!$T$2:$T$3000,Permissions!$B$2:$B$3000,$A135,Permissions!$I$2:$I$3000,"Yes")</f>
        <v>0</v>
      </c>
      <c r="AE135" s="21" t="n">
        <f aca="false">SUMIFS(Permissions!$U$2:$U$3000,Permissions!$B$2:$B$3000,$A135,Permissions!$I$2:$I$3000,"Yes")</f>
        <v>0</v>
      </c>
      <c r="AF135" s="21" t="n">
        <f aca="false">SUMIFS(Permissions!$V$2:$V$3000,Permissions!$B$2:$B$3000,$A135,Permissions!$I$2:$I$3000,"Yes")</f>
        <v>0</v>
      </c>
      <c r="AG135" s="21" t="n">
        <f aca="false">SUMIFS(Permissions!$W$2:$W$3000,Permissions!$B$2:$B$3000,$A135,Permissions!$I$2:$I$3000,"Yes")</f>
        <v>0</v>
      </c>
      <c r="AH135" s="21" t="n">
        <f aca="false">SUMIFS(Permissions!$X$2:$X$3000,Permissions!$B$2:$B$3000,$A135,Permissions!$I$2:$I$3000,"Yes")</f>
        <v>0</v>
      </c>
      <c r="AI135" s="21" t="n">
        <f aca="false">SUMIFS(Permissions!$Y$2:$Y$3000,Permissions!$B$2:$B$3000,$A135,Permissions!$I$2:$I$3000,"Yes")</f>
        <v>0</v>
      </c>
      <c r="AJ135" s="19" t="n">
        <f aca="false">COUNTIFS(Permissions!$B$2:$B$3000,$A135,Permissions!$I$2:$I$3000,"Yes")</f>
        <v>0</v>
      </c>
      <c r="AK135" s="22" t="str">
        <f aca="false">IF(AND(N135&lt;&gt;"",X135&gt;1.1*N135),"Consented above capacity",IF(AND(LEFT(B135,8)="Planning",AJ135=0),"Consent parcel with no permission",IF(COUNTIF($A$2:$A$3000,$A135)&gt;1,"Duplicate parcel_id","")))</f>
        <v/>
      </c>
    </row>
    <row r="136" customFormat="false" ht="15" hidden="false" customHeight="false" outlineLevel="0" collapsed="false">
      <c r="A136" s="18" t="s">
        <v>281</v>
      </c>
      <c r="B136" s="18" t="s">
        <v>12</v>
      </c>
      <c r="C136" s="18" t="s">
        <v>15</v>
      </c>
      <c r="D136" s="18"/>
      <c r="E136" s="18" t="s">
        <v>88</v>
      </c>
      <c r="F136" s="18" t="s">
        <v>89</v>
      </c>
      <c r="G136" s="18" t="s">
        <v>282</v>
      </c>
      <c r="H136" s="18"/>
      <c r="I136" s="18"/>
      <c r="J136" s="18"/>
      <c r="K136" s="18"/>
      <c r="L136" s="18" t="n">
        <v>0.617</v>
      </c>
      <c r="M136" s="18" t="n">
        <v>0.617</v>
      </c>
      <c r="N136" s="18"/>
      <c r="O136" s="18" t="s">
        <v>283</v>
      </c>
      <c r="P136" s="18"/>
      <c r="Q136" s="18"/>
      <c r="R136" s="18" t="s">
        <v>98</v>
      </c>
      <c r="S136" s="18"/>
      <c r="T136" s="19" t="n">
        <f aca="false">SUMIFS(Permissions!$F$2:$F$3000,Permissions!$B$2:$B$3000,$A136,Permissions!$H$2:$H$3000,"Complete",Permissions!$I$2:$I$3000,"Yes")</f>
        <v>17</v>
      </c>
      <c r="U136" s="19" t="n">
        <f aca="false">SUMIFS(Permissions!$F$2:$F$3000,Permissions!$B$2:$B$3000,$A136,Permissions!$H$2:$H$3000,"Under construction",Permissions!$I$2:$I$3000,"Yes")</f>
        <v>0</v>
      </c>
      <c r="V136" s="19" t="n">
        <f aca="false">SUMIFS(Permissions!$F$2:$F$3000,Permissions!$B$2:$B$3000,$A136,Permissions!$H$2:$H$3000,"Permitted – not started",Permissions!$I$2:$I$3000,"Yes")</f>
        <v>0</v>
      </c>
      <c r="W136" s="19" t="n">
        <f aca="false">SUMIFS(Permissions!$F$2:$F$3000,Permissions!$B$2:$B$3000,$A136,Permissions!$H$2:$H$3000,"Stalled",Permissions!$I$2:$I$3000,"Yes")</f>
        <v>0</v>
      </c>
      <c r="X136" s="19" t="n">
        <f aca="false">T136+U136+V136+W136</f>
        <v>17</v>
      </c>
      <c r="Y136" s="19" t="n">
        <f aca="false">SUMIFS(Permissions!$F$2:$F$3000,Permissions!$B$2:$B$3000,$A136,Permissions!$H$2:$H$3000,"Expired – not started",Permissions!$I$2:$I$3000,"Yes")</f>
        <v>0</v>
      </c>
      <c r="Z136" s="19" t="n">
        <f aca="false">SUMIFS(Permissions!$F$2:$F$3000,Permissions!$B$2:$B$3000,$A136,Permissions!$H$2:$H$3000,"In planning",Permissions!$I$2:$I$3000,"Yes")</f>
        <v>0</v>
      </c>
      <c r="AA136" s="19" t="n">
        <f aca="false">IF(N136="",0,MAX(N136-X136,0))</f>
        <v>0</v>
      </c>
      <c r="AB136" s="20" t="n">
        <f aca="false">X136+AA136</f>
        <v>17</v>
      </c>
      <c r="AC136" s="19" t="n">
        <f aca="false">AB136-T136</f>
        <v>0</v>
      </c>
      <c r="AD136" s="21" t="n">
        <f aca="false">SUMIFS(Permissions!$T$2:$T$3000,Permissions!$B$2:$B$3000,$A136,Permissions!$I$2:$I$3000,"Yes")</f>
        <v>0</v>
      </c>
      <c r="AE136" s="21" t="n">
        <f aca="false">SUMIFS(Permissions!$U$2:$U$3000,Permissions!$B$2:$B$3000,$A136,Permissions!$I$2:$I$3000,"Yes")</f>
        <v>0</v>
      </c>
      <c r="AF136" s="21" t="n">
        <f aca="false">SUMIFS(Permissions!$V$2:$V$3000,Permissions!$B$2:$B$3000,$A136,Permissions!$I$2:$I$3000,"Yes")</f>
        <v>0</v>
      </c>
      <c r="AG136" s="21" t="n">
        <f aca="false">SUMIFS(Permissions!$W$2:$W$3000,Permissions!$B$2:$B$3000,$A136,Permissions!$I$2:$I$3000,"Yes")</f>
        <v>0</v>
      </c>
      <c r="AH136" s="21" t="n">
        <f aca="false">SUMIFS(Permissions!$X$2:$X$3000,Permissions!$B$2:$B$3000,$A136,Permissions!$I$2:$I$3000,"Yes")</f>
        <v>0</v>
      </c>
      <c r="AI136" s="21" t="n">
        <f aca="false">SUMIFS(Permissions!$Y$2:$Y$3000,Permissions!$B$2:$B$3000,$A136,Permissions!$I$2:$I$3000,"Yes")</f>
        <v>0</v>
      </c>
      <c r="AJ136" s="19" t="n">
        <f aca="false">COUNTIFS(Permissions!$B$2:$B$3000,$A136,Permissions!$I$2:$I$3000,"Yes")</f>
        <v>1</v>
      </c>
      <c r="AK136" s="22" t="str">
        <f aca="false">IF(AND(N136&lt;&gt;"",X136&gt;1.1*N136),"Consented above capacity",IF(AND(LEFT(B136,8)="Planning",AJ136=0),"Consent parcel with no permission",IF(COUNTIF($A$2:$A$3000,$A136)&gt;1,"Duplicate parcel_id","")))</f>
        <v/>
      </c>
    </row>
    <row r="137" customFormat="false" ht="15" hidden="false" customHeight="false" outlineLevel="0" collapsed="false">
      <c r="A137" s="18" t="s">
        <v>284</v>
      </c>
      <c r="B137" s="18" t="s">
        <v>12</v>
      </c>
      <c r="C137" s="18" t="s">
        <v>15</v>
      </c>
      <c r="D137" s="18"/>
      <c r="E137" s="18" t="s">
        <v>88</v>
      </c>
      <c r="F137" s="18" t="s">
        <v>89</v>
      </c>
      <c r="G137" s="18" t="s">
        <v>285</v>
      </c>
      <c r="H137" s="18"/>
      <c r="I137" s="18"/>
      <c r="J137" s="18"/>
      <c r="K137" s="18"/>
      <c r="L137" s="18" t="n">
        <v>0.044</v>
      </c>
      <c r="M137" s="18" t="n">
        <v>0.044</v>
      </c>
      <c r="N137" s="18"/>
      <c r="O137" s="18" t="s">
        <v>283</v>
      </c>
      <c r="P137" s="18"/>
      <c r="Q137" s="18"/>
      <c r="R137" s="18" t="s">
        <v>98</v>
      </c>
      <c r="S137" s="18"/>
      <c r="T137" s="19" t="n">
        <f aca="false">SUMIFS(Permissions!$F$2:$F$3000,Permissions!$B$2:$B$3000,$A137,Permissions!$H$2:$H$3000,"Complete",Permissions!$I$2:$I$3000,"Yes")</f>
        <v>0</v>
      </c>
      <c r="U137" s="19" t="n">
        <f aca="false">SUMIFS(Permissions!$F$2:$F$3000,Permissions!$B$2:$B$3000,$A137,Permissions!$H$2:$H$3000,"Under construction",Permissions!$I$2:$I$3000,"Yes")</f>
        <v>6</v>
      </c>
      <c r="V137" s="19" t="n">
        <f aca="false">SUMIFS(Permissions!$F$2:$F$3000,Permissions!$B$2:$B$3000,$A137,Permissions!$H$2:$H$3000,"Permitted – not started",Permissions!$I$2:$I$3000,"Yes")</f>
        <v>0</v>
      </c>
      <c r="W137" s="19" t="n">
        <f aca="false">SUMIFS(Permissions!$F$2:$F$3000,Permissions!$B$2:$B$3000,$A137,Permissions!$H$2:$H$3000,"Stalled",Permissions!$I$2:$I$3000,"Yes")</f>
        <v>0</v>
      </c>
      <c r="X137" s="19" t="n">
        <f aca="false">T137+U137+V137+W137</f>
        <v>6</v>
      </c>
      <c r="Y137" s="19" t="n">
        <f aca="false">SUMIFS(Permissions!$F$2:$F$3000,Permissions!$B$2:$B$3000,$A137,Permissions!$H$2:$H$3000,"Expired – not started",Permissions!$I$2:$I$3000,"Yes")</f>
        <v>0</v>
      </c>
      <c r="Z137" s="19" t="n">
        <f aca="false">SUMIFS(Permissions!$F$2:$F$3000,Permissions!$B$2:$B$3000,$A137,Permissions!$H$2:$H$3000,"In planning",Permissions!$I$2:$I$3000,"Yes")</f>
        <v>0</v>
      </c>
      <c r="AA137" s="19" t="n">
        <f aca="false">IF(N137="",0,MAX(N137-X137,0))</f>
        <v>0</v>
      </c>
      <c r="AB137" s="20" t="n">
        <f aca="false">X137+AA137</f>
        <v>6</v>
      </c>
      <c r="AC137" s="19" t="n">
        <f aca="false">AB137-T137</f>
        <v>6</v>
      </c>
      <c r="AD137" s="21" t="n">
        <f aca="false">SUMIFS(Permissions!$T$2:$T$3000,Permissions!$B$2:$B$3000,$A137,Permissions!$I$2:$I$3000,"Yes")</f>
        <v>1.4</v>
      </c>
      <c r="AE137" s="21" t="n">
        <f aca="false">SUMIFS(Permissions!$U$2:$U$3000,Permissions!$B$2:$B$3000,$A137,Permissions!$I$2:$I$3000,"Yes")</f>
        <v>4.6</v>
      </c>
      <c r="AF137" s="21" t="n">
        <f aca="false">SUMIFS(Permissions!$V$2:$V$3000,Permissions!$B$2:$B$3000,$A137,Permissions!$I$2:$I$3000,"Yes")</f>
        <v>0</v>
      </c>
      <c r="AG137" s="21" t="n">
        <f aca="false">SUMIFS(Permissions!$W$2:$W$3000,Permissions!$B$2:$B$3000,$A137,Permissions!$I$2:$I$3000,"Yes")</f>
        <v>0</v>
      </c>
      <c r="AH137" s="21" t="n">
        <f aca="false">SUMIFS(Permissions!$X$2:$X$3000,Permissions!$B$2:$B$3000,$A137,Permissions!$I$2:$I$3000,"Yes")</f>
        <v>0</v>
      </c>
      <c r="AI137" s="21" t="n">
        <f aca="false">SUMIFS(Permissions!$Y$2:$Y$3000,Permissions!$B$2:$B$3000,$A137,Permissions!$I$2:$I$3000,"Yes")</f>
        <v>0</v>
      </c>
      <c r="AJ137" s="19" t="n">
        <f aca="false">COUNTIFS(Permissions!$B$2:$B$3000,$A137,Permissions!$I$2:$I$3000,"Yes")</f>
        <v>1</v>
      </c>
      <c r="AK137" s="22" t="str">
        <f aca="false">IF(AND(N137&lt;&gt;"",X137&gt;1.1*N137),"Consented above capacity",IF(AND(LEFT(B137,8)="Planning",AJ137=0),"Consent parcel with no permission",IF(COUNTIF($A$2:$A$3000,$A137)&gt;1,"Duplicate parcel_id","")))</f>
        <v/>
      </c>
    </row>
    <row r="138" customFormat="false" ht="15" hidden="false" customHeight="false" outlineLevel="0" collapsed="false">
      <c r="A138" s="18" t="s">
        <v>286</v>
      </c>
      <c r="B138" s="18" t="s">
        <v>12</v>
      </c>
      <c r="C138" s="18" t="s">
        <v>15</v>
      </c>
      <c r="D138" s="18"/>
      <c r="E138" s="18" t="s">
        <v>88</v>
      </c>
      <c r="F138" s="18" t="s">
        <v>89</v>
      </c>
      <c r="G138" s="18" t="s">
        <v>287</v>
      </c>
      <c r="H138" s="18"/>
      <c r="I138" s="18"/>
      <c r="J138" s="18"/>
      <c r="K138" s="18"/>
      <c r="L138" s="18" t="n">
        <v>0.225</v>
      </c>
      <c r="M138" s="18" t="n">
        <v>0.225</v>
      </c>
      <c r="N138" s="18"/>
      <c r="O138" s="18" t="s">
        <v>283</v>
      </c>
      <c r="P138" s="18"/>
      <c r="Q138" s="18"/>
      <c r="R138" s="18" t="s">
        <v>98</v>
      </c>
      <c r="S138" s="18"/>
      <c r="T138" s="19" t="n">
        <f aca="false">SUMIFS(Permissions!$F$2:$F$3000,Permissions!$B$2:$B$3000,$A138,Permissions!$H$2:$H$3000,"Complete",Permissions!$I$2:$I$3000,"Yes")</f>
        <v>0</v>
      </c>
      <c r="U138" s="19" t="n">
        <f aca="false">SUMIFS(Permissions!$F$2:$F$3000,Permissions!$B$2:$B$3000,$A138,Permissions!$H$2:$H$3000,"Under construction",Permissions!$I$2:$I$3000,"Yes")</f>
        <v>21</v>
      </c>
      <c r="V138" s="19" t="n">
        <f aca="false">SUMIFS(Permissions!$F$2:$F$3000,Permissions!$B$2:$B$3000,$A138,Permissions!$H$2:$H$3000,"Permitted – not started",Permissions!$I$2:$I$3000,"Yes")</f>
        <v>0</v>
      </c>
      <c r="W138" s="19" t="n">
        <f aca="false">SUMIFS(Permissions!$F$2:$F$3000,Permissions!$B$2:$B$3000,$A138,Permissions!$H$2:$H$3000,"Stalled",Permissions!$I$2:$I$3000,"Yes")</f>
        <v>0</v>
      </c>
      <c r="X138" s="19" t="n">
        <f aca="false">T138+U138+V138+W138</f>
        <v>21</v>
      </c>
      <c r="Y138" s="19" t="n">
        <f aca="false">SUMIFS(Permissions!$F$2:$F$3000,Permissions!$B$2:$B$3000,$A138,Permissions!$H$2:$H$3000,"Expired – not started",Permissions!$I$2:$I$3000,"Yes")</f>
        <v>0</v>
      </c>
      <c r="Z138" s="19" t="n">
        <f aca="false">SUMIFS(Permissions!$F$2:$F$3000,Permissions!$B$2:$B$3000,$A138,Permissions!$H$2:$H$3000,"In planning",Permissions!$I$2:$I$3000,"Yes")</f>
        <v>0</v>
      </c>
      <c r="AA138" s="19" t="n">
        <f aca="false">IF(N138="",0,MAX(N138-X138,0))</f>
        <v>0</v>
      </c>
      <c r="AB138" s="20" t="n">
        <f aca="false">X138+AA138</f>
        <v>21</v>
      </c>
      <c r="AC138" s="19" t="n">
        <f aca="false">AB138-T138</f>
        <v>21</v>
      </c>
      <c r="AD138" s="21" t="n">
        <f aca="false">SUMIFS(Permissions!$T$2:$T$3000,Permissions!$B$2:$B$3000,$A138,Permissions!$I$2:$I$3000,"Yes")</f>
        <v>2.7</v>
      </c>
      <c r="AE138" s="21" t="n">
        <f aca="false">SUMIFS(Permissions!$U$2:$U$3000,Permissions!$B$2:$B$3000,$A138,Permissions!$I$2:$I$3000,"Yes")</f>
        <v>13.9</v>
      </c>
      <c r="AF138" s="21" t="n">
        <f aca="false">SUMIFS(Permissions!$V$2:$V$3000,Permissions!$B$2:$B$3000,$A138,Permissions!$I$2:$I$3000,"Yes")</f>
        <v>4.5</v>
      </c>
      <c r="AG138" s="21" t="n">
        <f aca="false">SUMIFS(Permissions!$W$2:$W$3000,Permissions!$B$2:$B$3000,$A138,Permissions!$I$2:$I$3000,"Yes")</f>
        <v>0</v>
      </c>
      <c r="AH138" s="21" t="n">
        <f aca="false">SUMIFS(Permissions!$X$2:$X$3000,Permissions!$B$2:$B$3000,$A138,Permissions!$I$2:$I$3000,"Yes")</f>
        <v>0</v>
      </c>
      <c r="AI138" s="21" t="n">
        <f aca="false">SUMIFS(Permissions!$Y$2:$Y$3000,Permissions!$B$2:$B$3000,$A138,Permissions!$I$2:$I$3000,"Yes")</f>
        <v>-0.1</v>
      </c>
      <c r="AJ138" s="19" t="n">
        <f aca="false">COUNTIFS(Permissions!$B$2:$B$3000,$A138,Permissions!$I$2:$I$3000,"Yes")</f>
        <v>1</v>
      </c>
      <c r="AK138" s="22" t="str">
        <f aca="false">IF(AND(N138&lt;&gt;"",X138&gt;1.1*N138),"Consented above capacity",IF(AND(LEFT(B138,8)="Planning",AJ138=0),"Consent parcel with no permission",IF(COUNTIF($A$2:$A$3000,$A138)&gt;1,"Duplicate parcel_id","")))</f>
        <v/>
      </c>
    </row>
    <row r="139" customFormat="false" ht="15" hidden="false" customHeight="false" outlineLevel="0" collapsed="false">
      <c r="A139" s="18" t="s">
        <v>288</v>
      </c>
      <c r="B139" s="18" t="s">
        <v>12</v>
      </c>
      <c r="C139" s="18" t="s">
        <v>15</v>
      </c>
      <c r="D139" s="18"/>
      <c r="E139" s="18" t="s">
        <v>111</v>
      </c>
      <c r="F139" s="18" t="s">
        <v>112</v>
      </c>
      <c r="G139" s="18" t="s">
        <v>289</v>
      </c>
      <c r="H139" s="18"/>
      <c r="I139" s="18"/>
      <c r="J139" s="18"/>
      <c r="K139" s="18"/>
      <c r="L139" s="18" t="n">
        <v>0.086</v>
      </c>
      <c r="M139" s="18" t="n">
        <v>0.086</v>
      </c>
      <c r="N139" s="18"/>
      <c r="O139" s="18" t="s">
        <v>283</v>
      </c>
      <c r="P139" s="18"/>
      <c r="Q139" s="18"/>
      <c r="R139" s="18" t="s">
        <v>98</v>
      </c>
      <c r="S139" s="18"/>
      <c r="T139" s="19" t="n">
        <f aca="false">SUMIFS(Permissions!$F$2:$F$3000,Permissions!$B$2:$B$3000,$A139,Permissions!$H$2:$H$3000,"Complete",Permissions!$I$2:$I$3000,"Yes")</f>
        <v>0</v>
      </c>
      <c r="U139" s="19" t="n">
        <f aca="false">SUMIFS(Permissions!$F$2:$F$3000,Permissions!$B$2:$B$3000,$A139,Permissions!$H$2:$H$3000,"Under construction",Permissions!$I$2:$I$3000,"Yes")</f>
        <v>0</v>
      </c>
      <c r="V139" s="19" t="n">
        <f aca="false">SUMIFS(Permissions!$F$2:$F$3000,Permissions!$B$2:$B$3000,$A139,Permissions!$H$2:$H$3000,"Permitted – not started",Permissions!$I$2:$I$3000,"Yes")</f>
        <v>5</v>
      </c>
      <c r="W139" s="19" t="n">
        <f aca="false">SUMIFS(Permissions!$F$2:$F$3000,Permissions!$B$2:$B$3000,$A139,Permissions!$H$2:$H$3000,"Stalled",Permissions!$I$2:$I$3000,"Yes")</f>
        <v>0</v>
      </c>
      <c r="X139" s="19" t="n">
        <f aca="false">T139+U139+V139+W139</f>
        <v>5</v>
      </c>
      <c r="Y139" s="19" t="n">
        <f aca="false">SUMIFS(Permissions!$F$2:$F$3000,Permissions!$B$2:$B$3000,$A139,Permissions!$H$2:$H$3000,"Expired – not started",Permissions!$I$2:$I$3000,"Yes")</f>
        <v>0</v>
      </c>
      <c r="Z139" s="19" t="n">
        <f aca="false">SUMIFS(Permissions!$F$2:$F$3000,Permissions!$B$2:$B$3000,$A139,Permissions!$H$2:$H$3000,"In planning",Permissions!$I$2:$I$3000,"Yes")</f>
        <v>0</v>
      </c>
      <c r="AA139" s="19" t="n">
        <f aca="false">IF(N139="",0,MAX(N139-X139,0))</f>
        <v>0</v>
      </c>
      <c r="AB139" s="20" t="n">
        <f aca="false">X139+AA139</f>
        <v>5</v>
      </c>
      <c r="AC139" s="19" t="n">
        <f aca="false">AB139-T139</f>
        <v>5</v>
      </c>
      <c r="AD139" s="21" t="n">
        <f aca="false">SUMIFS(Permissions!$T$2:$T$3000,Permissions!$B$2:$B$3000,$A139,Permissions!$I$2:$I$3000,"Yes")</f>
        <v>0</v>
      </c>
      <c r="AE139" s="21" t="n">
        <f aca="false">SUMIFS(Permissions!$U$2:$U$3000,Permissions!$B$2:$B$3000,$A139,Permissions!$I$2:$I$3000,"Yes")</f>
        <v>0</v>
      </c>
      <c r="AF139" s="21" t="n">
        <f aca="false">SUMIFS(Permissions!$V$2:$V$3000,Permissions!$B$2:$B$3000,$A139,Permissions!$I$2:$I$3000,"Yes")</f>
        <v>3.2</v>
      </c>
      <c r="AG139" s="21" t="n">
        <f aca="false">SUMIFS(Permissions!$W$2:$W$3000,Permissions!$B$2:$B$3000,$A139,Permissions!$I$2:$I$3000,"Yes")</f>
        <v>1.8</v>
      </c>
      <c r="AH139" s="21" t="n">
        <f aca="false">SUMIFS(Permissions!$X$2:$X$3000,Permissions!$B$2:$B$3000,$A139,Permissions!$I$2:$I$3000,"Yes")</f>
        <v>0</v>
      </c>
      <c r="AI139" s="21" t="n">
        <f aca="false">SUMIFS(Permissions!$Y$2:$Y$3000,Permissions!$B$2:$B$3000,$A139,Permissions!$I$2:$I$3000,"Yes")</f>
        <v>0</v>
      </c>
      <c r="AJ139" s="19" t="n">
        <f aca="false">COUNTIFS(Permissions!$B$2:$B$3000,$A139,Permissions!$I$2:$I$3000,"Yes")</f>
        <v>1</v>
      </c>
      <c r="AK139" s="22" t="str">
        <f aca="false">IF(AND(N139&lt;&gt;"",X139&gt;1.1*N139),"Consented above capacity",IF(AND(LEFT(B139,8)="Planning",AJ139=0),"Consent parcel with no permission",IF(COUNTIF($A$2:$A$3000,$A139)&gt;1,"Duplicate parcel_id","")))</f>
        <v/>
      </c>
    </row>
    <row r="140" customFormat="false" ht="15" hidden="false" customHeight="false" outlineLevel="0" collapsed="false">
      <c r="A140" s="18" t="s">
        <v>290</v>
      </c>
      <c r="B140" s="18" t="s">
        <v>12</v>
      </c>
      <c r="C140" s="18" t="s">
        <v>15</v>
      </c>
      <c r="D140" s="18"/>
      <c r="E140" s="18" t="s">
        <v>111</v>
      </c>
      <c r="F140" s="18" t="s">
        <v>112</v>
      </c>
      <c r="G140" s="18" t="s">
        <v>291</v>
      </c>
      <c r="H140" s="18"/>
      <c r="I140" s="18"/>
      <c r="J140" s="18"/>
      <c r="K140" s="18"/>
      <c r="L140" s="18" t="n">
        <v>10.708</v>
      </c>
      <c r="M140" s="18" t="n">
        <v>10.708</v>
      </c>
      <c r="N140" s="18"/>
      <c r="O140" s="18" t="s">
        <v>283</v>
      </c>
      <c r="P140" s="18"/>
      <c r="Q140" s="18"/>
      <c r="R140" s="18" t="s">
        <v>98</v>
      </c>
      <c r="S140" s="18"/>
      <c r="T140" s="19" t="n">
        <f aca="false">SUMIFS(Permissions!$F$2:$F$3000,Permissions!$B$2:$B$3000,$A140,Permissions!$H$2:$H$3000,"Complete",Permissions!$I$2:$I$3000,"Yes")</f>
        <v>43</v>
      </c>
      <c r="U140" s="19" t="n">
        <f aca="false">SUMIFS(Permissions!$F$2:$F$3000,Permissions!$B$2:$B$3000,$A140,Permissions!$H$2:$H$3000,"Under construction",Permissions!$I$2:$I$3000,"Yes")</f>
        <v>0</v>
      </c>
      <c r="V140" s="19" t="n">
        <f aca="false">SUMIFS(Permissions!$F$2:$F$3000,Permissions!$B$2:$B$3000,$A140,Permissions!$H$2:$H$3000,"Permitted – not started",Permissions!$I$2:$I$3000,"Yes")</f>
        <v>0</v>
      </c>
      <c r="W140" s="19" t="n">
        <f aca="false">SUMIFS(Permissions!$F$2:$F$3000,Permissions!$B$2:$B$3000,$A140,Permissions!$H$2:$H$3000,"Stalled",Permissions!$I$2:$I$3000,"Yes")</f>
        <v>0</v>
      </c>
      <c r="X140" s="19" t="n">
        <f aca="false">T140+U140+V140+W140</f>
        <v>43</v>
      </c>
      <c r="Y140" s="19" t="n">
        <f aca="false">SUMIFS(Permissions!$F$2:$F$3000,Permissions!$B$2:$B$3000,$A140,Permissions!$H$2:$H$3000,"Expired – not started",Permissions!$I$2:$I$3000,"Yes")</f>
        <v>0</v>
      </c>
      <c r="Z140" s="19" t="n">
        <f aca="false">SUMIFS(Permissions!$F$2:$F$3000,Permissions!$B$2:$B$3000,$A140,Permissions!$H$2:$H$3000,"In planning",Permissions!$I$2:$I$3000,"Yes")</f>
        <v>0</v>
      </c>
      <c r="AA140" s="19" t="n">
        <f aca="false">IF(N140="",0,MAX(N140-X140,0))</f>
        <v>0</v>
      </c>
      <c r="AB140" s="20" t="n">
        <f aca="false">X140+AA140</f>
        <v>43</v>
      </c>
      <c r="AC140" s="19" t="n">
        <f aca="false">AB140-T140</f>
        <v>0</v>
      </c>
      <c r="AD140" s="21" t="n">
        <f aca="false">SUMIFS(Permissions!$T$2:$T$3000,Permissions!$B$2:$B$3000,$A140,Permissions!$I$2:$I$3000,"Yes")</f>
        <v>0</v>
      </c>
      <c r="AE140" s="21" t="n">
        <f aca="false">SUMIFS(Permissions!$U$2:$U$3000,Permissions!$B$2:$B$3000,$A140,Permissions!$I$2:$I$3000,"Yes")</f>
        <v>0</v>
      </c>
      <c r="AF140" s="21" t="n">
        <f aca="false">SUMIFS(Permissions!$V$2:$V$3000,Permissions!$B$2:$B$3000,$A140,Permissions!$I$2:$I$3000,"Yes")</f>
        <v>0</v>
      </c>
      <c r="AG140" s="21" t="n">
        <f aca="false">SUMIFS(Permissions!$W$2:$W$3000,Permissions!$B$2:$B$3000,$A140,Permissions!$I$2:$I$3000,"Yes")</f>
        <v>0</v>
      </c>
      <c r="AH140" s="21" t="n">
        <f aca="false">SUMIFS(Permissions!$X$2:$X$3000,Permissions!$B$2:$B$3000,$A140,Permissions!$I$2:$I$3000,"Yes")</f>
        <v>0</v>
      </c>
      <c r="AI140" s="21" t="n">
        <f aca="false">SUMIFS(Permissions!$Y$2:$Y$3000,Permissions!$B$2:$B$3000,$A140,Permissions!$I$2:$I$3000,"Yes")</f>
        <v>0</v>
      </c>
      <c r="AJ140" s="19" t="n">
        <f aca="false">COUNTIFS(Permissions!$B$2:$B$3000,$A140,Permissions!$I$2:$I$3000,"Yes")</f>
        <v>1</v>
      </c>
      <c r="AK140" s="22" t="str">
        <f aca="false">IF(AND(N140&lt;&gt;"",X140&gt;1.1*N140),"Consented above capacity",IF(AND(LEFT(B140,8)="Planning",AJ140=0),"Consent parcel with no permission",IF(COUNTIF($A$2:$A$3000,$A140)&gt;1,"Duplicate parcel_id","")))</f>
        <v/>
      </c>
    </row>
    <row r="141" customFormat="false" ht="15" hidden="false" customHeight="false" outlineLevel="0" collapsed="false">
      <c r="A141" s="18" t="s">
        <v>292</v>
      </c>
      <c r="B141" s="18" t="s">
        <v>12</v>
      </c>
      <c r="C141" s="18" t="s">
        <v>15</v>
      </c>
      <c r="D141" s="18"/>
      <c r="E141" s="18" t="s">
        <v>111</v>
      </c>
      <c r="F141" s="18" t="s">
        <v>112</v>
      </c>
      <c r="G141" s="18" t="s">
        <v>293</v>
      </c>
      <c r="H141" s="18"/>
      <c r="I141" s="18"/>
      <c r="J141" s="18"/>
      <c r="K141" s="18"/>
      <c r="L141" s="18" t="n">
        <v>0.099</v>
      </c>
      <c r="M141" s="18" t="n">
        <v>0.099</v>
      </c>
      <c r="N141" s="18"/>
      <c r="O141" s="18" t="s">
        <v>283</v>
      </c>
      <c r="P141" s="18"/>
      <c r="Q141" s="18"/>
      <c r="R141" s="18" t="s">
        <v>98</v>
      </c>
      <c r="S141" s="18"/>
      <c r="T141" s="19" t="n">
        <f aca="false">SUMIFS(Permissions!$F$2:$F$3000,Permissions!$B$2:$B$3000,$A141,Permissions!$H$2:$H$3000,"Complete",Permissions!$I$2:$I$3000,"Yes")</f>
        <v>5</v>
      </c>
      <c r="U141" s="19" t="n">
        <f aca="false">SUMIFS(Permissions!$F$2:$F$3000,Permissions!$B$2:$B$3000,$A141,Permissions!$H$2:$H$3000,"Under construction",Permissions!$I$2:$I$3000,"Yes")</f>
        <v>0</v>
      </c>
      <c r="V141" s="19" t="n">
        <f aca="false">SUMIFS(Permissions!$F$2:$F$3000,Permissions!$B$2:$B$3000,$A141,Permissions!$H$2:$H$3000,"Permitted – not started",Permissions!$I$2:$I$3000,"Yes")</f>
        <v>0</v>
      </c>
      <c r="W141" s="19" t="n">
        <f aca="false">SUMIFS(Permissions!$F$2:$F$3000,Permissions!$B$2:$B$3000,$A141,Permissions!$H$2:$H$3000,"Stalled",Permissions!$I$2:$I$3000,"Yes")</f>
        <v>0</v>
      </c>
      <c r="X141" s="19" t="n">
        <f aca="false">T141+U141+V141+W141</f>
        <v>5</v>
      </c>
      <c r="Y141" s="19" t="n">
        <f aca="false">SUMIFS(Permissions!$F$2:$F$3000,Permissions!$B$2:$B$3000,$A141,Permissions!$H$2:$H$3000,"Expired – not started",Permissions!$I$2:$I$3000,"Yes")</f>
        <v>0</v>
      </c>
      <c r="Z141" s="19" t="n">
        <f aca="false">SUMIFS(Permissions!$F$2:$F$3000,Permissions!$B$2:$B$3000,$A141,Permissions!$H$2:$H$3000,"In planning",Permissions!$I$2:$I$3000,"Yes")</f>
        <v>0</v>
      </c>
      <c r="AA141" s="19" t="n">
        <f aca="false">IF(N141="",0,MAX(N141-X141,0))</f>
        <v>0</v>
      </c>
      <c r="AB141" s="20" t="n">
        <f aca="false">X141+AA141</f>
        <v>5</v>
      </c>
      <c r="AC141" s="19" t="n">
        <f aca="false">AB141-T141</f>
        <v>0</v>
      </c>
      <c r="AD141" s="21" t="n">
        <f aca="false">SUMIFS(Permissions!$T$2:$T$3000,Permissions!$B$2:$B$3000,$A141,Permissions!$I$2:$I$3000,"Yes")</f>
        <v>0</v>
      </c>
      <c r="AE141" s="21" t="n">
        <f aca="false">SUMIFS(Permissions!$U$2:$U$3000,Permissions!$B$2:$B$3000,$A141,Permissions!$I$2:$I$3000,"Yes")</f>
        <v>0</v>
      </c>
      <c r="AF141" s="21" t="n">
        <f aca="false">SUMIFS(Permissions!$V$2:$V$3000,Permissions!$B$2:$B$3000,$A141,Permissions!$I$2:$I$3000,"Yes")</f>
        <v>0</v>
      </c>
      <c r="AG141" s="21" t="n">
        <f aca="false">SUMIFS(Permissions!$W$2:$W$3000,Permissions!$B$2:$B$3000,$A141,Permissions!$I$2:$I$3000,"Yes")</f>
        <v>0</v>
      </c>
      <c r="AH141" s="21" t="n">
        <f aca="false">SUMIFS(Permissions!$X$2:$X$3000,Permissions!$B$2:$B$3000,$A141,Permissions!$I$2:$I$3000,"Yes")</f>
        <v>0</v>
      </c>
      <c r="AI141" s="21" t="n">
        <f aca="false">SUMIFS(Permissions!$Y$2:$Y$3000,Permissions!$B$2:$B$3000,$A141,Permissions!$I$2:$I$3000,"Yes")</f>
        <v>0</v>
      </c>
      <c r="AJ141" s="19" t="n">
        <f aca="false">COUNTIFS(Permissions!$B$2:$B$3000,$A141,Permissions!$I$2:$I$3000,"Yes")</f>
        <v>1</v>
      </c>
      <c r="AK141" s="22" t="str">
        <f aca="false">IF(AND(N141&lt;&gt;"",X141&gt;1.1*N141),"Consented above capacity",IF(AND(LEFT(B141,8)="Planning",AJ141=0),"Consent parcel with no permission",IF(COUNTIF($A$2:$A$3000,$A141)&gt;1,"Duplicate parcel_id","")))</f>
        <v/>
      </c>
    </row>
    <row r="142" customFormat="false" ht="15" hidden="false" customHeight="false" outlineLevel="0" collapsed="false">
      <c r="A142" s="18" t="s">
        <v>294</v>
      </c>
      <c r="B142" s="18" t="s">
        <v>12</v>
      </c>
      <c r="C142" s="18" t="s">
        <v>15</v>
      </c>
      <c r="D142" s="18"/>
      <c r="E142" s="18" t="s">
        <v>111</v>
      </c>
      <c r="F142" s="18" t="s">
        <v>112</v>
      </c>
      <c r="G142" s="18" t="s">
        <v>295</v>
      </c>
      <c r="H142" s="18"/>
      <c r="I142" s="18"/>
      <c r="J142" s="18"/>
      <c r="K142" s="18"/>
      <c r="L142" s="18" t="n">
        <v>0.199</v>
      </c>
      <c r="M142" s="18" t="n">
        <v>0.199</v>
      </c>
      <c r="N142" s="18"/>
      <c r="O142" s="18" t="s">
        <v>283</v>
      </c>
      <c r="P142" s="18"/>
      <c r="Q142" s="18"/>
      <c r="R142" s="18" t="s">
        <v>98</v>
      </c>
      <c r="S142" s="18"/>
      <c r="T142" s="19" t="n">
        <f aca="false">SUMIFS(Permissions!$F$2:$F$3000,Permissions!$B$2:$B$3000,$A142,Permissions!$H$2:$H$3000,"Complete",Permissions!$I$2:$I$3000,"Yes")</f>
        <v>0</v>
      </c>
      <c r="U142" s="19" t="n">
        <f aca="false">SUMIFS(Permissions!$F$2:$F$3000,Permissions!$B$2:$B$3000,$A142,Permissions!$H$2:$H$3000,"Under construction",Permissions!$I$2:$I$3000,"Yes")</f>
        <v>0</v>
      </c>
      <c r="V142" s="19" t="n">
        <f aca="false">SUMIFS(Permissions!$F$2:$F$3000,Permissions!$B$2:$B$3000,$A142,Permissions!$H$2:$H$3000,"Permitted – not started",Permissions!$I$2:$I$3000,"Yes")</f>
        <v>0</v>
      </c>
      <c r="W142" s="19" t="n">
        <f aca="false">SUMIFS(Permissions!$F$2:$F$3000,Permissions!$B$2:$B$3000,$A142,Permissions!$H$2:$H$3000,"Stalled",Permissions!$I$2:$I$3000,"Yes")</f>
        <v>0</v>
      </c>
      <c r="X142" s="19" t="n">
        <f aca="false">T142+U142+V142+W142</f>
        <v>0</v>
      </c>
      <c r="Y142" s="19" t="n">
        <f aca="false">SUMIFS(Permissions!$F$2:$F$3000,Permissions!$B$2:$B$3000,$A142,Permissions!$H$2:$H$3000,"Expired – not started",Permissions!$I$2:$I$3000,"Yes")</f>
        <v>12</v>
      </c>
      <c r="Z142" s="19" t="n">
        <f aca="false">SUMIFS(Permissions!$F$2:$F$3000,Permissions!$B$2:$B$3000,$A142,Permissions!$H$2:$H$3000,"In planning",Permissions!$I$2:$I$3000,"Yes")</f>
        <v>0</v>
      </c>
      <c r="AA142" s="19" t="n">
        <f aca="false">IF(N142="",0,MAX(N142-X142,0))</f>
        <v>0</v>
      </c>
      <c r="AB142" s="20" t="n">
        <f aca="false">X142+AA142</f>
        <v>0</v>
      </c>
      <c r="AC142" s="19" t="n">
        <f aca="false">AB142-T142</f>
        <v>0</v>
      </c>
      <c r="AD142" s="21" t="n">
        <f aca="false">SUMIFS(Permissions!$T$2:$T$3000,Permissions!$B$2:$B$3000,$A142,Permissions!$I$2:$I$3000,"Yes")</f>
        <v>0</v>
      </c>
      <c r="AE142" s="21" t="n">
        <f aca="false">SUMIFS(Permissions!$U$2:$U$3000,Permissions!$B$2:$B$3000,$A142,Permissions!$I$2:$I$3000,"Yes")</f>
        <v>0</v>
      </c>
      <c r="AF142" s="21" t="n">
        <f aca="false">SUMIFS(Permissions!$V$2:$V$3000,Permissions!$B$2:$B$3000,$A142,Permissions!$I$2:$I$3000,"Yes")</f>
        <v>0</v>
      </c>
      <c r="AG142" s="21" t="n">
        <f aca="false">SUMIFS(Permissions!$W$2:$W$3000,Permissions!$B$2:$B$3000,$A142,Permissions!$I$2:$I$3000,"Yes")</f>
        <v>0</v>
      </c>
      <c r="AH142" s="21" t="n">
        <f aca="false">SUMIFS(Permissions!$X$2:$X$3000,Permissions!$B$2:$B$3000,$A142,Permissions!$I$2:$I$3000,"Yes")</f>
        <v>0</v>
      </c>
      <c r="AI142" s="21" t="n">
        <f aca="false">SUMIFS(Permissions!$Y$2:$Y$3000,Permissions!$B$2:$B$3000,$A142,Permissions!$I$2:$I$3000,"Yes")</f>
        <v>0</v>
      </c>
      <c r="AJ142" s="19" t="n">
        <f aca="false">COUNTIFS(Permissions!$B$2:$B$3000,$A142,Permissions!$I$2:$I$3000,"Yes")</f>
        <v>1</v>
      </c>
      <c r="AK142" s="22" t="str">
        <f aca="false">IF(AND(N142&lt;&gt;"",X142&gt;1.1*N142),"Consented above capacity",IF(AND(LEFT(B142,8)="Planning",AJ142=0),"Consent parcel with no permission",IF(COUNTIF($A$2:$A$3000,$A142)&gt;1,"Duplicate parcel_id","")))</f>
        <v/>
      </c>
    </row>
    <row r="143" customFormat="false" ht="15" hidden="false" customHeight="false" outlineLevel="0" collapsed="false">
      <c r="A143" s="18" t="s">
        <v>296</v>
      </c>
      <c r="B143" s="18" t="s">
        <v>12</v>
      </c>
      <c r="C143" s="18" t="s">
        <v>15</v>
      </c>
      <c r="D143" s="18"/>
      <c r="E143" s="18" t="s">
        <v>111</v>
      </c>
      <c r="F143" s="18" t="s">
        <v>112</v>
      </c>
      <c r="G143" s="18" t="s">
        <v>297</v>
      </c>
      <c r="H143" s="18"/>
      <c r="I143" s="18"/>
      <c r="J143" s="18"/>
      <c r="K143" s="18"/>
      <c r="L143" s="18" t="n">
        <v>1.237</v>
      </c>
      <c r="M143" s="18" t="n">
        <v>1.237</v>
      </c>
      <c r="N143" s="18"/>
      <c r="O143" s="18" t="s">
        <v>283</v>
      </c>
      <c r="P143" s="18"/>
      <c r="Q143" s="18"/>
      <c r="R143" s="18" t="s">
        <v>98</v>
      </c>
      <c r="S143" s="18"/>
      <c r="T143" s="19" t="n">
        <f aca="false">SUMIFS(Permissions!$F$2:$F$3000,Permissions!$B$2:$B$3000,$A143,Permissions!$H$2:$H$3000,"Complete",Permissions!$I$2:$I$3000,"Yes")</f>
        <v>0</v>
      </c>
      <c r="U143" s="19" t="n">
        <f aca="false">SUMIFS(Permissions!$F$2:$F$3000,Permissions!$B$2:$B$3000,$A143,Permissions!$H$2:$H$3000,"Under construction",Permissions!$I$2:$I$3000,"Yes")</f>
        <v>27</v>
      </c>
      <c r="V143" s="19" t="n">
        <f aca="false">SUMIFS(Permissions!$F$2:$F$3000,Permissions!$B$2:$B$3000,$A143,Permissions!$H$2:$H$3000,"Permitted – not started",Permissions!$I$2:$I$3000,"Yes")</f>
        <v>0</v>
      </c>
      <c r="W143" s="19" t="n">
        <f aca="false">SUMIFS(Permissions!$F$2:$F$3000,Permissions!$B$2:$B$3000,$A143,Permissions!$H$2:$H$3000,"Stalled",Permissions!$I$2:$I$3000,"Yes")</f>
        <v>0</v>
      </c>
      <c r="X143" s="19" t="n">
        <f aca="false">T143+U143+V143+W143</f>
        <v>27</v>
      </c>
      <c r="Y143" s="19" t="n">
        <f aca="false">SUMIFS(Permissions!$F$2:$F$3000,Permissions!$B$2:$B$3000,$A143,Permissions!$H$2:$H$3000,"Expired – not started",Permissions!$I$2:$I$3000,"Yes")</f>
        <v>0</v>
      </c>
      <c r="Z143" s="19" t="n">
        <f aca="false">SUMIFS(Permissions!$F$2:$F$3000,Permissions!$B$2:$B$3000,$A143,Permissions!$H$2:$H$3000,"In planning",Permissions!$I$2:$I$3000,"Yes")</f>
        <v>0</v>
      </c>
      <c r="AA143" s="19" t="n">
        <f aca="false">IF(N143="",0,MAX(N143-X143,0))</f>
        <v>0</v>
      </c>
      <c r="AB143" s="20" t="n">
        <f aca="false">X143+AA143</f>
        <v>27</v>
      </c>
      <c r="AC143" s="19" t="n">
        <f aca="false">AB143-T143</f>
        <v>27</v>
      </c>
      <c r="AD143" s="21" t="n">
        <f aca="false">SUMIFS(Permissions!$T$2:$T$3000,Permissions!$B$2:$B$3000,$A143,Permissions!$I$2:$I$3000,"Yes")</f>
        <v>6.3</v>
      </c>
      <c r="AE143" s="21" t="n">
        <f aca="false">SUMIFS(Permissions!$U$2:$U$3000,Permissions!$B$2:$B$3000,$A143,Permissions!$I$2:$I$3000,"Yes")</f>
        <v>20.7</v>
      </c>
      <c r="AF143" s="21" t="n">
        <f aca="false">SUMIFS(Permissions!$V$2:$V$3000,Permissions!$B$2:$B$3000,$A143,Permissions!$I$2:$I$3000,"Yes")</f>
        <v>0</v>
      </c>
      <c r="AG143" s="21" t="n">
        <f aca="false">SUMIFS(Permissions!$W$2:$W$3000,Permissions!$B$2:$B$3000,$A143,Permissions!$I$2:$I$3000,"Yes")</f>
        <v>0</v>
      </c>
      <c r="AH143" s="21" t="n">
        <f aca="false">SUMIFS(Permissions!$X$2:$X$3000,Permissions!$B$2:$B$3000,$A143,Permissions!$I$2:$I$3000,"Yes")</f>
        <v>0</v>
      </c>
      <c r="AI143" s="21" t="n">
        <f aca="false">SUMIFS(Permissions!$Y$2:$Y$3000,Permissions!$B$2:$B$3000,$A143,Permissions!$I$2:$I$3000,"Yes")</f>
        <v>0</v>
      </c>
      <c r="AJ143" s="19" t="n">
        <f aca="false">COUNTIFS(Permissions!$B$2:$B$3000,$A143,Permissions!$I$2:$I$3000,"Yes")</f>
        <v>1</v>
      </c>
      <c r="AK143" s="22" t="str">
        <f aca="false">IF(AND(N143&lt;&gt;"",X143&gt;1.1*N143),"Consented above capacity",IF(AND(LEFT(B143,8)="Planning",AJ143=0),"Consent parcel with no permission",IF(COUNTIF($A$2:$A$3000,$A143)&gt;1,"Duplicate parcel_id","")))</f>
        <v/>
      </c>
    </row>
    <row r="144" customFormat="false" ht="15" hidden="false" customHeight="false" outlineLevel="0" collapsed="false">
      <c r="A144" s="18" t="s">
        <v>298</v>
      </c>
      <c r="B144" s="18" t="s">
        <v>12</v>
      </c>
      <c r="C144" s="18" t="s">
        <v>15</v>
      </c>
      <c r="D144" s="18"/>
      <c r="E144" s="18" t="s">
        <v>111</v>
      </c>
      <c r="F144" s="18" t="s">
        <v>112</v>
      </c>
      <c r="G144" s="18" t="s">
        <v>299</v>
      </c>
      <c r="H144" s="18"/>
      <c r="I144" s="18"/>
      <c r="J144" s="18"/>
      <c r="K144" s="18"/>
      <c r="L144" s="18" t="n">
        <v>2.484</v>
      </c>
      <c r="M144" s="18" t="n">
        <v>2.484</v>
      </c>
      <c r="N144" s="18"/>
      <c r="O144" s="18" t="s">
        <v>283</v>
      </c>
      <c r="P144" s="18"/>
      <c r="Q144" s="18"/>
      <c r="R144" s="18" t="s">
        <v>98</v>
      </c>
      <c r="S144" s="18"/>
      <c r="T144" s="19" t="n">
        <f aca="false">SUMIFS(Permissions!$F$2:$F$3000,Permissions!$B$2:$B$3000,$A144,Permissions!$H$2:$H$3000,"Complete",Permissions!$I$2:$I$3000,"Yes")</f>
        <v>0</v>
      </c>
      <c r="U144" s="19" t="n">
        <f aca="false">SUMIFS(Permissions!$F$2:$F$3000,Permissions!$B$2:$B$3000,$A144,Permissions!$H$2:$H$3000,"Under construction",Permissions!$I$2:$I$3000,"Yes")</f>
        <v>92</v>
      </c>
      <c r="V144" s="19" t="n">
        <f aca="false">SUMIFS(Permissions!$F$2:$F$3000,Permissions!$B$2:$B$3000,$A144,Permissions!$H$2:$H$3000,"Permitted – not started",Permissions!$I$2:$I$3000,"Yes")</f>
        <v>0</v>
      </c>
      <c r="W144" s="19" t="n">
        <f aca="false">SUMIFS(Permissions!$F$2:$F$3000,Permissions!$B$2:$B$3000,$A144,Permissions!$H$2:$H$3000,"Stalled",Permissions!$I$2:$I$3000,"Yes")</f>
        <v>0</v>
      </c>
      <c r="X144" s="19" t="n">
        <f aca="false">T144+U144+V144+W144</f>
        <v>92</v>
      </c>
      <c r="Y144" s="19" t="n">
        <f aca="false">SUMIFS(Permissions!$F$2:$F$3000,Permissions!$B$2:$B$3000,$A144,Permissions!$H$2:$H$3000,"Expired – not started",Permissions!$I$2:$I$3000,"Yes")</f>
        <v>0</v>
      </c>
      <c r="Z144" s="19" t="n">
        <f aca="false">SUMIFS(Permissions!$F$2:$F$3000,Permissions!$B$2:$B$3000,$A144,Permissions!$H$2:$H$3000,"In planning",Permissions!$I$2:$I$3000,"Yes")</f>
        <v>0</v>
      </c>
      <c r="AA144" s="19" t="n">
        <f aca="false">IF(N144="",0,MAX(N144-X144,0))</f>
        <v>0</v>
      </c>
      <c r="AB144" s="20" t="n">
        <f aca="false">X144+AA144</f>
        <v>92</v>
      </c>
      <c r="AC144" s="19" t="n">
        <f aca="false">AB144-T144</f>
        <v>92</v>
      </c>
      <c r="AD144" s="21" t="n">
        <f aca="false">SUMIFS(Permissions!$T$2:$T$3000,Permissions!$B$2:$B$3000,$A144,Permissions!$I$2:$I$3000,"Yes")</f>
        <v>21.4</v>
      </c>
      <c r="AE144" s="21" t="n">
        <f aca="false">SUMIFS(Permissions!$U$2:$U$3000,Permissions!$B$2:$B$3000,$A144,Permissions!$I$2:$I$3000,"Yes")</f>
        <v>70.6</v>
      </c>
      <c r="AF144" s="21" t="n">
        <f aca="false">SUMIFS(Permissions!$V$2:$V$3000,Permissions!$B$2:$B$3000,$A144,Permissions!$I$2:$I$3000,"Yes")</f>
        <v>0</v>
      </c>
      <c r="AG144" s="21" t="n">
        <f aca="false">SUMIFS(Permissions!$W$2:$W$3000,Permissions!$B$2:$B$3000,$A144,Permissions!$I$2:$I$3000,"Yes")</f>
        <v>0</v>
      </c>
      <c r="AH144" s="21" t="n">
        <f aca="false">SUMIFS(Permissions!$X$2:$X$3000,Permissions!$B$2:$B$3000,$A144,Permissions!$I$2:$I$3000,"Yes")</f>
        <v>0</v>
      </c>
      <c r="AI144" s="21" t="n">
        <f aca="false">SUMIFS(Permissions!$Y$2:$Y$3000,Permissions!$B$2:$B$3000,$A144,Permissions!$I$2:$I$3000,"Yes")</f>
        <v>0</v>
      </c>
      <c r="AJ144" s="19" t="n">
        <f aca="false">COUNTIFS(Permissions!$B$2:$B$3000,$A144,Permissions!$I$2:$I$3000,"Yes")</f>
        <v>1</v>
      </c>
      <c r="AK144" s="22" t="str">
        <f aca="false">IF(AND(N144&lt;&gt;"",X144&gt;1.1*N144),"Consented above capacity",IF(AND(LEFT(B144,8)="Planning",AJ144=0),"Consent parcel with no permission",IF(COUNTIF($A$2:$A$3000,$A144)&gt;1,"Duplicate parcel_id","")))</f>
        <v/>
      </c>
    </row>
    <row r="145" customFormat="false" ht="15" hidden="false" customHeight="false" outlineLevel="0" collapsed="false">
      <c r="A145" s="18" t="s">
        <v>300</v>
      </c>
      <c r="B145" s="18" t="s">
        <v>12</v>
      </c>
      <c r="C145" s="18" t="s">
        <v>15</v>
      </c>
      <c r="D145" s="18"/>
      <c r="E145" s="18" t="s">
        <v>111</v>
      </c>
      <c r="F145" s="18" t="s">
        <v>112</v>
      </c>
      <c r="G145" s="18" t="s">
        <v>301</v>
      </c>
      <c r="H145" s="18"/>
      <c r="I145" s="18"/>
      <c r="J145" s="18"/>
      <c r="K145" s="18"/>
      <c r="L145" s="18" t="n">
        <v>0.213</v>
      </c>
      <c r="M145" s="18" t="n">
        <v>0.213</v>
      </c>
      <c r="N145" s="18"/>
      <c r="O145" s="18" t="s">
        <v>283</v>
      </c>
      <c r="P145" s="18"/>
      <c r="Q145" s="18"/>
      <c r="R145" s="18" t="s">
        <v>98</v>
      </c>
      <c r="S145" s="18"/>
      <c r="T145" s="19" t="n">
        <f aca="false">SUMIFS(Permissions!$F$2:$F$3000,Permissions!$B$2:$B$3000,$A145,Permissions!$H$2:$H$3000,"Complete",Permissions!$I$2:$I$3000,"Yes")</f>
        <v>0</v>
      </c>
      <c r="U145" s="19" t="n">
        <f aca="false">SUMIFS(Permissions!$F$2:$F$3000,Permissions!$B$2:$B$3000,$A145,Permissions!$H$2:$H$3000,"Under construction",Permissions!$I$2:$I$3000,"Yes")</f>
        <v>0</v>
      </c>
      <c r="V145" s="19" t="n">
        <f aca="false">SUMIFS(Permissions!$F$2:$F$3000,Permissions!$B$2:$B$3000,$A145,Permissions!$H$2:$H$3000,"Permitted – not started",Permissions!$I$2:$I$3000,"Yes")</f>
        <v>11</v>
      </c>
      <c r="W145" s="19" t="n">
        <f aca="false">SUMIFS(Permissions!$F$2:$F$3000,Permissions!$B$2:$B$3000,$A145,Permissions!$H$2:$H$3000,"Stalled",Permissions!$I$2:$I$3000,"Yes")</f>
        <v>0</v>
      </c>
      <c r="X145" s="19" t="n">
        <f aca="false">T145+U145+V145+W145</f>
        <v>11</v>
      </c>
      <c r="Y145" s="19" t="n">
        <f aca="false">SUMIFS(Permissions!$F$2:$F$3000,Permissions!$B$2:$B$3000,$A145,Permissions!$H$2:$H$3000,"Expired – not started",Permissions!$I$2:$I$3000,"Yes")</f>
        <v>0</v>
      </c>
      <c r="Z145" s="19" t="n">
        <f aca="false">SUMIFS(Permissions!$F$2:$F$3000,Permissions!$B$2:$B$3000,$A145,Permissions!$H$2:$H$3000,"In planning",Permissions!$I$2:$I$3000,"Yes")</f>
        <v>0</v>
      </c>
      <c r="AA145" s="19" t="n">
        <f aca="false">IF(N145="",0,MAX(N145-X145,0))</f>
        <v>0</v>
      </c>
      <c r="AB145" s="20" t="n">
        <f aca="false">X145+AA145</f>
        <v>11</v>
      </c>
      <c r="AC145" s="19" t="n">
        <f aca="false">AB145-T145</f>
        <v>11</v>
      </c>
      <c r="AD145" s="21" t="n">
        <f aca="false">SUMIFS(Permissions!$T$2:$T$3000,Permissions!$B$2:$B$3000,$A145,Permissions!$I$2:$I$3000,"Yes")</f>
        <v>0</v>
      </c>
      <c r="AE145" s="21" t="n">
        <f aca="false">SUMIFS(Permissions!$U$2:$U$3000,Permissions!$B$2:$B$3000,$A145,Permissions!$I$2:$I$3000,"Yes")</f>
        <v>0</v>
      </c>
      <c r="AF145" s="21" t="n">
        <f aca="false">SUMIFS(Permissions!$V$2:$V$3000,Permissions!$B$2:$B$3000,$A145,Permissions!$I$2:$I$3000,"Yes")</f>
        <v>6.4</v>
      </c>
      <c r="AG145" s="21" t="n">
        <f aca="false">SUMIFS(Permissions!$W$2:$W$3000,Permissions!$B$2:$B$3000,$A145,Permissions!$I$2:$I$3000,"Yes")</f>
        <v>4.6</v>
      </c>
      <c r="AH145" s="21" t="n">
        <f aca="false">SUMIFS(Permissions!$X$2:$X$3000,Permissions!$B$2:$B$3000,$A145,Permissions!$I$2:$I$3000,"Yes")</f>
        <v>0</v>
      </c>
      <c r="AI145" s="21" t="n">
        <f aca="false">SUMIFS(Permissions!$Y$2:$Y$3000,Permissions!$B$2:$B$3000,$A145,Permissions!$I$2:$I$3000,"Yes")</f>
        <v>0</v>
      </c>
      <c r="AJ145" s="19" t="n">
        <f aca="false">COUNTIFS(Permissions!$B$2:$B$3000,$A145,Permissions!$I$2:$I$3000,"Yes")</f>
        <v>1</v>
      </c>
      <c r="AK145" s="22" t="str">
        <f aca="false">IF(AND(N145&lt;&gt;"",X145&gt;1.1*N145),"Consented above capacity",IF(AND(LEFT(B145,8)="Planning",AJ145=0),"Consent parcel with no permission",IF(COUNTIF($A$2:$A$3000,$A145)&gt;1,"Duplicate parcel_id","")))</f>
        <v/>
      </c>
    </row>
    <row r="146" customFormat="false" ht="15" hidden="false" customHeight="false" outlineLevel="0" collapsed="false">
      <c r="A146" s="18" t="s">
        <v>302</v>
      </c>
      <c r="B146" s="18" t="s">
        <v>12</v>
      </c>
      <c r="C146" s="18" t="s">
        <v>15</v>
      </c>
      <c r="D146" s="18"/>
      <c r="E146" s="18" t="s">
        <v>111</v>
      </c>
      <c r="F146" s="18" t="s">
        <v>112</v>
      </c>
      <c r="G146" s="18" t="s">
        <v>303</v>
      </c>
      <c r="H146" s="18"/>
      <c r="I146" s="18"/>
      <c r="J146" s="18"/>
      <c r="K146" s="18"/>
      <c r="L146" s="18" t="n">
        <v>0.148</v>
      </c>
      <c r="M146" s="18" t="n">
        <v>0.148</v>
      </c>
      <c r="N146" s="18"/>
      <c r="O146" s="18" t="s">
        <v>283</v>
      </c>
      <c r="P146" s="18"/>
      <c r="Q146" s="18"/>
      <c r="R146" s="18" t="s">
        <v>98</v>
      </c>
      <c r="S146" s="18"/>
      <c r="T146" s="19" t="n">
        <f aca="false">SUMIFS(Permissions!$F$2:$F$3000,Permissions!$B$2:$B$3000,$A146,Permissions!$H$2:$H$3000,"Complete",Permissions!$I$2:$I$3000,"Yes")</f>
        <v>6</v>
      </c>
      <c r="U146" s="19" t="n">
        <f aca="false">SUMIFS(Permissions!$F$2:$F$3000,Permissions!$B$2:$B$3000,$A146,Permissions!$H$2:$H$3000,"Under construction",Permissions!$I$2:$I$3000,"Yes")</f>
        <v>0</v>
      </c>
      <c r="V146" s="19" t="n">
        <f aca="false">SUMIFS(Permissions!$F$2:$F$3000,Permissions!$B$2:$B$3000,$A146,Permissions!$H$2:$H$3000,"Permitted – not started",Permissions!$I$2:$I$3000,"Yes")</f>
        <v>0</v>
      </c>
      <c r="W146" s="19" t="n">
        <f aca="false">SUMIFS(Permissions!$F$2:$F$3000,Permissions!$B$2:$B$3000,$A146,Permissions!$H$2:$H$3000,"Stalled",Permissions!$I$2:$I$3000,"Yes")</f>
        <v>0</v>
      </c>
      <c r="X146" s="19" t="n">
        <f aca="false">T146+U146+V146+W146</f>
        <v>6</v>
      </c>
      <c r="Y146" s="19" t="n">
        <f aca="false">SUMIFS(Permissions!$F$2:$F$3000,Permissions!$B$2:$B$3000,$A146,Permissions!$H$2:$H$3000,"Expired – not started",Permissions!$I$2:$I$3000,"Yes")</f>
        <v>0</v>
      </c>
      <c r="Z146" s="19" t="n">
        <f aca="false">SUMIFS(Permissions!$F$2:$F$3000,Permissions!$B$2:$B$3000,$A146,Permissions!$H$2:$H$3000,"In planning",Permissions!$I$2:$I$3000,"Yes")</f>
        <v>0</v>
      </c>
      <c r="AA146" s="19" t="n">
        <f aca="false">IF(N146="",0,MAX(N146-X146,0))</f>
        <v>0</v>
      </c>
      <c r="AB146" s="20" t="n">
        <f aca="false">X146+AA146</f>
        <v>6</v>
      </c>
      <c r="AC146" s="19" t="n">
        <f aca="false">AB146-T146</f>
        <v>0</v>
      </c>
      <c r="AD146" s="21" t="n">
        <f aca="false">SUMIFS(Permissions!$T$2:$T$3000,Permissions!$B$2:$B$3000,$A146,Permissions!$I$2:$I$3000,"Yes")</f>
        <v>0</v>
      </c>
      <c r="AE146" s="21" t="n">
        <f aca="false">SUMIFS(Permissions!$U$2:$U$3000,Permissions!$B$2:$B$3000,$A146,Permissions!$I$2:$I$3000,"Yes")</f>
        <v>0</v>
      </c>
      <c r="AF146" s="21" t="n">
        <f aca="false">SUMIFS(Permissions!$V$2:$V$3000,Permissions!$B$2:$B$3000,$A146,Permissions!$I$2:$I$3000,"Yes")</f>
        <v>0</v>
      </c>
      <c r="AG146" s="21" t="n">
        <f aca="false">SUMIFS(Permissions!$W$2:$W$3000,Permissions!$B$2:$B$3000,$A146,Permissions!$I$2:$I$3000,"Yes")</f>
        <v>0</v>
      </c>
      <c r="AH146" s="21" t="n">
        <f aca="false">SUMIFS(Permissions!$X$2:$X$3000,Permissions!$B$2:$B$3000,$A146,Permissions!$I$2:$I$3000,"Yes")</f>
        <v>0</v>
      </c>
      <c r="AI146" s="21" t="n">
        <f aca="false">SUMIFS(Permissions!$Y$2:$Y$3000,Permissions!$B$2:$B$3000,$A146,Permissions!$I$2:$I$3000,"Yes")</f>
        <v>0</v>
      </c>
      <c r="AJ146" s="19" t="n">
        <f aca="false">COUNTIFS(Permissions!$B$2:$B$3000,$A146,Permissions!$I$2:$I$3000,"Yes")</f>
        <v>1</v>
      </c>
      <c r="AK146" s="22" t="str">
        <f aca="false">IF(AND(N146&lt;&gt;"",X146&gt;1.1*N146),"Consented above capacity",IF(AND(LEFT(B146,8)="Planning",AJ146=0),"Consent parcel with no permission",IF(COUNTIF($A$2:$A$3000,$A146)&gt;1,"Duplicate parcel_id","")))</f>
        <v/>
      </c>
    </row>
    <row r="147" customFormat="false" ht="15" hidden="false" customHeight="false" outlineLevel="0" collapsed="false">
      <c r="A147" s="18" t="s">
        <v>304</v>
      </c>
      <c r="B147" s="18" t="s">
        <v>12</v>
      </c>
      <c r="C147" s="18" t="s">
        <v>15</v>
      </c>
      <c r="D147" s="18"/>
      <c r="E147" s="18" t="s">
        <v>111</v>
      </c>
      <c r="F147" s="18" t="s">
        <v>112</v>
      </c>
      <c r="G147" s="18" t="s">
        <v>305</v>
      </c>
      <c r="H147" s="18"/>
      <c r="I147" s="18"/>
      <c r="J147" s="18"/>
      <c r="K147" s="18"/>
      <c r="L147" s="18" t="n">
        <v>0.508</v>
      </c>
      <c r="M147" s="18" t="n">
        <v>0.508</v>
      </c>
      <c r="N147" s="18"/>
      <c r="O147" s="18" t="s">
        <v>283</v>
      </c>
      <c r="P147" s="18"/>
      <c r="Q147" s="18"/>
      <c r="R147" s="18" t="s">
        <v>98</v>
      </c>
      <c r="S147" s="18"/>
      <c r="T147" s="19" t="n">
        <f aca="false">SUMIFS(Permissions!$F$2:$F$3000,Permissions!$B$2:$B$3000,$A147,Permissions!$H$2:$H$3000,"Complete",Permissions!$I$2:$I$3000,"Yes")</f>
        <v>0</v>
      </c>
      <c r="U147" s="19" t="n">
        <f aca="false">SUMIFS(Permissions!$F$2:$F$3000,Permissions!$B$2:$B$3000,$A147,Permissions!$H$2:$H$3000,"Under construction",Permissions!$I$2:$I$3000,"Yes")</f>
        <v>28</v>
      </c>
      <c r="V147" s="19" t="n">
        <f aca="false">SUMIFS(Permissions!$F$2:$F$3000,Permissions!$B$2:$B$3000,$A147,Permissions!$H$2:$H$3000,"Permitted – not started",Permissions!$I$2:$I$3000,"Yes")</f>
        <v>0</v>
      </c>
      <c r="W147" s="19" t="n">
        <f aca="false">SUMIFS(Permissions!$F$2:$F$3000,Permissions!$B$2:$B$3000,$A147,Permissions!$H$2:$H$3000,"Stalled",Permissions!$I$2:$I$3000,"Yes")</f>
        <v>0</v>
      </c>
      <c r="X147" s="19" t="n">
        <f aca="false">T147+U147+V147+W147</f>
        <v>28</v>
      </c>
      <c r="Y147" s="19" t="n">
        <f aca="false">SUMIFS(Permissions!$F$2:$F$3000,Permissions!$B$2:$B$3000,$A147,Permissions!$H$2:$H$3000,"Expired – not started",Permissions!$I$2:$I$3000,"Yes")</f>
        <v>0</v>
      </c>
      <c r="Z147" s="19" t="n">
        <f aca="false">SUMIFS(Permissions!$F$2:$F$3000,Permissions!$B$2:$B$3000,$A147,Permissions!$H$2:$H$3000,"In planning",Permissions!$I$2:$I$3000,"Yes")</f>
        <v>0</v>
      </c>
      <c r="AA147" s="19" t="n">
        <f aca="false">IF(N147="",0,MAX(N147-X147,0))</f>
        <v>0</v>
      </c>
      <c r="AB147" s="20" t="n">
        <f aca="false">X147+AA147</f>
        <v>28</v>
      </c>
      <c r="AC147" s="19" t="n">
        <f aca="false">AB147-T147</f>
        <v>28</v>
      </c>
      <c r="AD147" s="21" t="n">
        <f aca="false">SUMIFS(Permissions!$T$2:$T$3000,Permissions!$B$2:$B$3000,$A147,Permissions!$I$2:$I$3000,"Yes")</f>
        <v>3.9</v>
      </c>
      <c r="AE147" s="21" t="n">
        <f aca="false">SUMIFS(Permissions!$U$2:$U$3000,Permissions!$B$2:$B$3000,$A147,Permissions!$I$2:$I$3000,"Yes")</f>
        <v>24.1</v>
      </c>
      <c r="AF147" s="21" t="n">
        <f aca="false">SUMIFS(Permissions!$V$2:$V$3000,Permissions!$B$2:$B$3000,$A147,Permissions!$I$2:$I$3000,"Yes")</f>
        <v>0</v>
      </c>
      <c r="AG147" s="21" t="n">
        <f aca="false">SUMIFS(Permissions!$W$2:$W$3000,Permissions!$B$2:$B$3000,$A147,Permissions!$I$2:$I$3000,"Yes")</f>
        <v>0</v>
      </c>
      <c r="AH147" s="21" t="n">
        <f aca="false">SUMIFS(Permissions!$X$2:$X$3000,Permissions!$B$2:$B$3000,$A147,Permissions!$I$2:$I$3000,"Yes")</f>
        <v>0</v>
      </c>
      <c r="AI147" s="21" t="n">
        <f aca="false">SUMIFS(Permissions!$Y$2:$Y$3000,Permissions!$B$2:$B$3000,$A147,Permissions!$I$2:$I$3000,"Yes")</f>
        <v>0</v>
      </c>
      <c r="AJ147" s="19" t="n">
        <f aca="false">COUNTIFS(Permissions!$B$2:$B$3000,$A147,Permissions!$I$2:$I$3000,"Yes")</f>
        <v>1</v>
      </c>
      <c r="AK147" s="22" t="str">
        <f aca="false">IF(AND(N147&lt;&gt;"",X147&gt;1.1*N147),"Consented above capacity",IF(AND(LEFT(B147,8)="Planning",AJ147=0),"Consent parcel with no permission",IF(COUNTIF($A$2:$A$3000,$A147)&gt;1,"Duplicate parcel_id","")))</f>
        <v/>
      </c>
    </row>
    <row r="148" customFormat="false" ht="15" hidden="false" customHeight="false" outlineLevel="0" collapsed="false">
      <c r="A148" s="18" t="s">
        <v>306</v>
      </c>
      <c r="B148" s="18" t="s">
        <v>12</v>
      </c>
      <c r="C148" s="18" t="s">
        <v>15</v>
      </c>
      <c r="D148" s="18"/>
      <c r="E148" s="18" t="s">
        <v>111</v>
      </c>
      <c r="F148" s="18" t="s">
        <v>112</v>
      </c>
      <c r="G148" s="18" t="s">
        <v>307</v>
      </c>
      <c r="H148" s="18"/>
      <c r="I148" s="18"/>
      <c r="J148" s="18"/>
      <c r="K148" s="18"/>
      <c r="L148" s="18" t="n">
        <v>0.196</v>
      </c>
      <c r="M148" s="18" t="n">
        <v>0.196</v>
      </c>
      <c r="N148" s="18"/>
      <c r="O148" s="18" t="s">
        <v>283</v>
      </c>
      <c r="P148" s="18"/>
      <c r="Q148" s="18" t="s">
        <v>308</v>
      </c>
      <c r="R148" s="18" t="s">
        <v>98</v>
      </c>
      <c r="S148" s="18"/>
      <c r="T148" s="19" t="n">
        <f aca="false">SUMIFS(Permissions!$F$2:$F$3000,Permissions!$B$2:$B$3000,$A148,Permissions!$H$2:$H$3000,"Complete",Permissions!$I$2:$I$3000,"Yes")</f>
        <v>0</v>
      </c>
      <c r="U148" s="19" t="n">
        <f aca="false">SUMIFS(Permissions!$F$2:$F$3000,Permissions!$B$2:$B$3000,$A148,Permissions!$H$2:$H$3000,"Under construction",Permissions!$I$2:$I$3000,"Yes")</f>
        <v>0</v>
      </c>
      <c r="V148" s="19" t="n">
        <f aca="false">SUMIFS(Permissions!$F$2:$F$3000,Permissions!$B$2:$B$3000,$A148,Permissions!$H$2:$H$3000,"Permitted – not started",Permissions!$I$2:$I$3000,"Yes")</f>
        <v>0</v>
      </c>
      <c r="W148" s="19" t="n">
        <f aca="false">SUMIFS(Permissions!$F$2:$F$3000,Permissions!$B$2:$B$3000,$A148,Permissions!$H$2:$H$3000,"Stalled",Permissions!$I$2:$I$3000,"Yes")</f>
        <v>0</v>
      </c>
      <c r="X148" s="19" t="n">
        <f aca="false">T148+U148+V148+W148</f>
        <v>0</v>
      </c>
      <c r="Y148" s="19" t="n">
        <f aca="false">SUMIFS(Permissions!$F$2:$F$3000,Permissions!$B$2:$B$3000,$A148,Permissions!$H$2:$H$3000,"Expired – not started",Permissions!$I$2:$I$3000,"Yes")</f>
        <v>0</v>
      </c>
      <c r="Z148" s="19" t="n">
        <f aca="false">SUMIFS(Permissions!$F$2:$F$3000,Permissions!$B$2:$B$3000,$A148,Permissions!$H$2:$H$3000,"In planning",Permissions!$I$2:$I$3000,"Yes")</f>
        <v>6</v>
      </c>
      <c r="AA148" s="19" t="n">
        <f aca="false">IF(N148="",0,MAX(N148-X148,0))</f>
        <v>0</v>
      </c>
      <c r="AB148" s="20" t="n">
        <f aca="false">X148+AA148</f>
        <v>0</v>
      </c>
      <c r="AC148" s="19" t="n">
        <f aca="false">AB148-T148</f>
        <v>0</v>
      </c>
      <c r="AD148" s="21" t="n">
        <f aca="false">SUMIFS(Permissions!$T$2:$T$3000,Permissions!$B$2:$B$3000,$A148,Permissions!$I$2:$I$3000,"Yes")</f>
        <v>0</v>
      </c>
      <c r="AE148" s="21" t="n">
        <f aca="false">SUMIFS(Permissions!$U$2:$U$3000,Permissions!$B$2:$B$3000,$A148,Permissions!$I$2:$I$3000,"Yes")</f>
        <v>0</v>
      </c>
      <c r="AF148" s="21" t="n">
        <f aca="false">SUMIFS(Permissions!$V$2:$V$3000,Permissions!$B$2:$B$3000,$A148,Permissions!$I$2:$I$3000,"Yes")</f>
        <v>0</v>
      </c>
      <c r="AG148" s="21" t="n">
        <f aca="false">SUMIFS(Permissions!$W$2:$W$3000,Permissions!$B$2:$B$3000,$A148,Permissions!$I$2:$I$3000,"Yes")</f>
        <v>0</v>
      </c>
      <c r="AH148" s="21" t="n">
        <f aca="false">SUMIFS(Permissions!$X$2:$X$3000,Permissions!$B$2:$B$3000,$A148,Permissions!$I$2:$I$3000,"Yes")</f>
        <v>0</v>
      </c>
      <c r="AI148" s="21" t="n">
        <f aca="false">SUMIFS(Permissions!$Y$2:$Y$3000,Permissions!$B$2:$B$3000,$A148,Permissions!$I$2:$I$3000,"Yes")</f>
        <v>0</v>
      </c>
      <c r="AJ148" s="19" t="n">
        <f aca="false">COUNTIFS(Permissions!$B$2:$B$3000,$A148,Permissions!$I$2:$I$3000,"Yes")</f>
        <v>1</v>
      </c>
      <c r="AK148" s="22" t="str">
        <f aca="false">IF(AND(N148&lt;&gt;"",X148&gt;1.1*N148),"Consented above capacity",IF(AND(LEFT(B148,8)="Planning",AJ148=0),"Consent parcel with no permission",IF(COUNTIF($A$2:$A$3000,$A148)&gt;1,"Duplicate parcel_id","")))</f>
        <v/>
      </c>
    </row>
    <row r="149" customFormat="false" ht="15" hidden="false" customHeight="false" outlineLevel="0" collapsed="false">
      <c r="A149" s="18" t="s">
        <v>309</v>
      </c>
      <c r="B149" s="18" t="s">
        <v>12</v>
      </c>
      <c r="C149" s="18" t="s">
        <v>15</v>
      </c>
      <c r="D149" s="18"/>
      <c r="E149" s="18" t="s">
        <v>111</v>
      </c>
      <c r="F149" s="18" t="s">
        <v>112</v>
      </c>
      <c r="G149" s="18" t="s">
        <v>310</v>
      </c>
      <c r="H149" s="18"/>
      <c r="I149" s="18"/>
      <c r="J149" s="18"/>
      <c r="K149" s="18"/>
      <c r="L149" s="18" t="n">
        <v>0.196</v>
      </c>
      <c r="M149" s="18" t="n">
        <v>0.196</v>
      </c>
      <c r="N149" s="18"/>
      <c r="O149" s="18" t="s">
        <v>283</v>
      </c>
      <c r="P149" s="18"/>
      <c r="Q149" s="18" t="s">
        <v>308</v>
      </c>
      <c r="R149" s="18" t="s">
        <v>98</v>
      </c>
      <c r="S149" s="18"/>
      <c r="T149" s="19" t="n">
        <f aca="false">SUMIFS(Permissions!$F$2:$F$3000,Permissions!$B$2:$B$3000,$A149,Permissions!$H$2:$H$3000,"Complete",Permissions!$I$2:$I$3000,"Yes")</f>
        <v>6</v>
      </c>
      <c r="U149" s="19" t="n">
        <f aca="false">SUMIFS(Permissions!$F$2:$F$3000,Permissions!$B$2:$B$3000,$A149,Permissions!$H$2:$H$3000,"Under construction",Permissions!$I$2:$I$3000,"Yes")</f>
        <v>0</v>
      </c>
      <c r="V149" s="19" t="n">
        <f aca="false">SUMIFS(Permissions!$F$2:$F$3000,Permissions!$B$2:$B$3000,$A149,Permissions!$H$2:$H$3000,"Permitted – not started",Permissions!$I$2:$I$3000,"Yes")</f>
        <v>0</v>
      </c>
      <c r="W149" s="19" t="n">
        <f aca="false">SUMIFS(Permissions!$F$2:$F$3000,Permissions!$B$2:$B$3000,$A149,Permissions!$H$2:$H$3000,"Stalled",Permissions!$I$2:$I$3000,"Yes")</f>
        <v>0</v>
      </c>
      <c r="X149" s="19" t="n">
        <f aca="false">T149+U149+V149+W149</f>
        <v>6</v>
      </c>
      <c r="Y149" s="19" t="n">
        <f aca="false">SUMIFS(Permissions!$F$2:$F$3000,Permissions!$B$2:$B$3000,$A149,Permissions!$H$2:$H$3000,"Expired – not started",Permissions!$I$2:$I$3000,"Yes")</f>
        <v>0</v>
      </c>
      <c r="Z149" s="19" t="n">
        <f aca="false">SUMIFS(Permissions!$F$2:$F$3000,Permissions!$B$2:$B$3000,$A149,Permissions!$H$2:$H$3000,"In planning",Permissions!$I$2:$I$3000,"Yes")</f>
        <v>0</v>
      </c>
      <c r="AA149" s="19" t="n">
        <f aca="false">IF(N149="",0,MAX(N149-X149,0))</f>
        <v>0</v>
      </c>
      <c r="AB149" s="20" t="n">
        <f aca="false">X149+AA149</f>
        <v>6</v>
      </c>
      <c r="AC149" s="19" t="n">
        <f aca="false">AB149-T149</f>
        <v>0</v>
      </c>
      <c r="AD149" s="21" t="n">
        <f aca="false">SUMIFS(Permissions!$T$2:$T$3000,Permissions!$B$2:$B$3000,$A149,Permissions!$I$2:$I$3000,"Yes")</f>
        <v>0</v>
      </c>
      <c r="AE149" s="21" t="n">
        <f aca="false">SUMIFS(Permissions!$U$2:$U$3000,Permissions!$B$2:$B$3000,$A149,Permissions!$I$2:$I$3000,"Yes")</f>
        <v>0</v>
      </c>
      <c r="AF149" s="21" t="n">
        <f aca="false">SUMIFS(Permissions!$V$2:$V$3000,Permissions!$B$2:$B$3000,$A149,Permissions!$I$2:$I$3000,"Yes")</f>
        <v>0</v>
      </c>
      <c r="AG149" s="21" t="n">
        <f aca="false">SUMIFS(Permissions!$W$2:$W$3000,Permissions!$B$2:$B$3000,$A149,Permissions!$I$2:$I$3000,"Yes")</f>
        <v>0</v>
      </c>
      <c r="AH149" s="21" t="n">
        <f aca="false">SUMIFS(Permissions!$X$2:$X$3000,Permissions!$B$2:$B$3000,$A149,Permissions!$I$2:$I$3000,"Yes")</f>
        <v>0</v>
      </c>
      <c r="AI149" s="21" t="n">
        <f aca="false">SUMIFS(Permissions!$Y$2:$Y$3000,Permissions!$B$2:$B$3000,$A149,Permissions!$I$2:$I$3000,"Yes")</f>
        <v>0</v>
      </c>
      <c r="AJ149" s="19" t="n">
        <f aca="false">COUNTIFS(Permissions!$B$2:$B$3000,$A149,Permissions!$I$2:$I$3000,"Yes")</f>
        <v>1</v>
      </c>
      <c r="AK149" s="22" t="str">
        <f aca="false">IF(AND(N149&lt;&gt;"",X149&gt;1.1*N149),"Consented above capacity",IF(AND(LEFT(B149,8)="Planning",AJ149=0),"Consent parcel with no permission",IF(COUNTIF($A$2:$A$3000,$A149)&gt;1,"Duplicate parcel_id","")))</f>
        <v/>
      </c>
    </row>
    <row r="150" customFormat="false" ht="15" hidden="false" customHeight="false" outlineLevel="0" collapsed="false">
      <c r="A150" s="18" t="s">
        <v>311</v>
      </c>
      <c r="B150" s="18" t="s">
        <v>12</v>
      </c>
      <c r="C150" s="18" t="s">
        <v>15</v>
      </c>
      <c r="D150" s="18"/>
      <c r="E150" s="18" t="s">
        <v>111</v>
      </c>
      <c r="F150" s="18" t="s">
        <v>112</v>
      </c>
      <c r="G150" s="18" t="s">
        <v>312</v>
      </c>
      <c r="H150" s="18"/>
      <c r="I150" s="18"/>
      <c r="J150" s="18"/>
      <c r="K150" s="18"/>
      <c r="L150" s="18" t="n">
        <v>0.196</v>
      </c>
      <c r="M150" s="18" t="n">
        <v>0.196</v>
      </c>
      <c r="N150" s="18"/>
      <c r="O150" s="18" t="s">
        <v>283</v>
      </c>
      <c r="P150" s="18"/>
      <c r="Q150" s="18" t="s">
        <v>313</v>
      </c>
      <c r="R150" s="18" t="s">
        <v>98</v>
      </c>
      <c r="S150" s="18"/>
      <c r="T150" s="19" t="n">
        <f aca="false">SUMIFS(Permissions!$F$2:$F$3000,Permissions!$B$2:$B$3000,$A150,Permissions!$H$2:$H$3000,"Complete",Permissions!$I$2:$I$3000,"Yes")</f>
        <v>0</v>
      </c>
      <c r="U150" s="19" t="n">
        <f aca="false">SUMIFS(Permissions!$F$2:$F$3000,Permissions!$B$2:$B$3000,$A150,Permissions!$H$2:$H$3000,"Under construction",Permissions!$I$2:$I$3000,"Yes")</f>
        <v>0</v>
      </c>
      <c r="V150" s="19" t="n">
        <f aca="false">SUMIFS(Permissions!$F$2:$F$3000,Permissions!$B$2:$B$3000,$A150,Permissions!$H$2:$H$3000,"Permitted – not started",Permissions!$I$2:$I$3000,"Yes")</f>
        <v>0</v>
      </c>
      <c r="W150" s="19" t="n">
        <f aca="false">SUMIFS(Permissions!$F$2:$F$3000,Permissions!$B$2:$B$3000,$A150,Permissions!$H$2:$H$3000,"Stalled",Permissions!$I$2:$I$3000,"Yes")</f>
        <v>0</v>
      </c>
      <c r="X150" s="19" t="n">
        <f aca="false">T150+U150+V150+W150</f>
        <v>0</v>
      </c>
      <c r="Y150" s="19" t="n">
        <f aca="false">SUMIFS(Permissions!$F$2:$F$3000,Permissions!$B$2:$B$3000,$A150,Permissions!$H$2:$H$3000,"Expired – not started",Permissions!$I$2:$I$3000,"Yes")</f>
        <v>0</v>
      </c>
      <c r="Z150" s="19" t="n">
        <f aca="false">SUMIFS(Permissions!$F$2:$F$3000,Permissions!$B$2:$B$3000,$A150,Permissions!$H$2:$H$3000,"In planning",Permissions!$I$2:$I$3000,"Yes")</f>
        <v>0</v>
      </c>
      <c r="AA150" s="19" t="n">
        <f aca="false">IF(N150="",0,MAX(N150-X150,0))</f>
        <v>0</v>
      </c>
      <c r="AB150" s="20" t="n">
        <f aca="false">X150+AA150</f>
        <v>0</v>
      </c>
      <c r="AC150" s="19" t="n">
        <f aca="false">AB150-T150</f>
        <v>0</v>
      </c>
      <c r="AD150" s="21" t="n">
        <f aca="false">SUMIFS(Permissions!$T$2:$T$3000,Permissions!$B$2:$B$3000,$A150,Permissions!$I$2:$I$3000,"Yes")</f>
        <v>0</v>
      </c>
      <c r="AE150" s="21" t="n">
        <f aca="false">SUMIFS(Permissions!$U$2:$U$3000,Permissions!$B$2:$B$3000,$A150,Permissions!$I$2:$I$3000,"Yes")</f>
        <v>0</v>
      </c>
      <c r="AF150" s="21" t="n">
        <f aca="false">SUMIFS(Permissions!$V$2:$V$3000,Permissions!$B$2:$B$3000,$A150,Permissions!$I$2:$I$3000,"Yes")</f>
        <v>0</v>
      </c>
      <c r="AG150" s="21" t="n">
        <f aca="false">SUMIFS(Permissions!$W$2:$W$3000,Permissions!$B$2:$B$3000,$A150,Permissions!$I$2:$I$3000,"Yes")</f>
        <v>0</v>
      </c>
      <c r="AH150" s="21" t="n">
        <f aca="false">SUMIFS(Permissions!$X$2:$X$3000,Permissions!$B$2:$B$3000,$A150,Permissions!$I$2:$I$3000,"Yes")</f>
        <v>0</v>
      </c>
      <c r="AI150" s="21" t="n">
        <f aca="false">SUMIFS(Permissions!$Y$2:$Y$3000,Permissions!$B$2:$B$3000,$A150,Permissions!$I$2:$I$3000,"Yes")</f>
        <v>0</v>
      </c>
      <c r="AJ150" s="19" t="n">
        <f aca="false">COUNTIFS(Permissions!$B$2:$B$3000,$A150,Permissions!$I$2:$I$3000,"Yes")</f>
        <v>1</v>
      </c>
      <c r="AK150" s="22" t="str">
        <f aca="false">IF(AND(N150&lt;&gt;"",X150&gt;1.1*N150),"Consented above capacity",IF(AND(LEFT(B150,8)="Planning",AJ150=0),"Consent parcel with no permission",IF(COUNTIF($A$2:$A$3000,$A150)&gt;1,"Duplicate parcel_id","")))</f>
        <v/>
      </c>
    </row>
    <row r="151" customFormat="false" ht="15" hidden="false" customHeight="false" outlineLevel="0" collapsed="false">
      <c r="A151" s="18" t="s">
        <v>314</v>
      </c>
      <c r="B151" s="18" t="s">
        <v>12</v>
      </c>
      <c r="C151" s="18" t="s">
        <v>15</v>
      </c>
      <c r="D151" s="18"/>
      <c r="E151" s="18" t="s">
        <v>111</v>
      </c>
      <c r="F151" s="18" t="s">
        <v>112</v>
      </c>
      <c r="G151" s="18" t="s">
        <v>315</v>
      </c>
      <c r="H151" s="18"/>
      <c r="I151" s="18"/>
      <c r="J151" s="18"/>
      <c r="K151" s="18"/>
      <c r="L151" s="18" t="n">
        <v>0.453</v>
      </c>
      <c r="M151" s="18" t="n">
        <v>0.453</v>
      </c>
      <c r="N151" s="18"/>
      <c r="O151" s="18" t="s">
        <v>283</v>
      </c>
      <c r="P151" s="18"/>
      <c r="Q151" s="18"/>
      <c r="R151" s="18" t="s">
        <v>98</v>
      </c>
      <c r="S151" s="18"/>
      <c r="T151" s="19" t="n">
        <f aca="false">SUMIFS(Permissions!$F$2:$F$3000,Permissions!$B$2:$B$3000,$A151,Permissions!$H$2:$H$3000,"Complete",Permissions!$I$2:$I$3000,"Yes")</f>
        <v>0</v>
      </c>
      <c r="U151" s="19" t="n">
        <f aca="false">SUMIFS(Permissions!$F$2:$F$3000,Permissions!$B$2:$B$3000,$A151,Permissions!$H$2:$H$3000,"Under construction",Permissions!$I$2:$I$3000,"Yes")</f>
        <v>0</v>
      </c>
      <c r="V151" s="19" t="n">
        <f aca="false">SUMIFS(Permissions!$F$2:$F$3000,Permissions!$B$2:$B$3000,$A151,Permissions!$H$2:$H$3000,"Permitted – not started",Permissions!$I$2:$I$3000,"Yes")</f>
        <v>0</v>
      </c>
      <c r="W151" s="19" t="n">
        <f aca="false">SUMIFS(Permissions!$F$2:$F$3000,Permissions!$B$2:$B$3000,$A151,Permissions!$H$2:$H$3000,"Stalled",Permissions!$I$2:$I$3000,"Yes")</f>
        <v>0</v>
      </c>
      <c r="X151" s="19" t="n">
        <f aca="false">T151+U151+V151+W151</f>
        <v>0</v>
      </c>
      <c r="Y151" s="19" t="n">
        <f aca="false">SUMIFS(Permissions!$F$2:$F$3000,Permissions!$B$2:$B$3000,$A151,Permissions!$H$2:$H$3000,"Expired – not started",Permissions!$I$2:$I$3000,"Yes")</f>
        <v>0</v>
      </c>
      <c r="Z151" s="19" t="n">
        <f aca="false">SUMIFS(Permissions!$F$2:$F$3000,Permissions!$B$2:$B$3000,$A151,Permissions!$H$2:$H$3000,"In planning",Permissions!$I$2:$I$3000,"Yes")</f>
        <v>22</v>
      </c>
      <c r="AA151" s="19" t="n">
        <f aca="false">IF(N151="",0,MAX(N151-X151,0))</f>
        <v>0</v>
      </c>
      <c r="AB151" s="20" t="n">
        <f aca="false">X151+AA151</f>
        <v>0</v>
      </c>
      <c r="AC151" s="19" t="n">
        <f aca="false">AB151-T151</f>
        <v>0</v>
      </c>
      <c r="AD151" s="21" t="n">
        <f aca="false">SUMIFS(Permissions!$T$2:$T$3000,Permissions!$B$2:$B$3000,$A151,Permissions!$I$2:$I$3000,"Yes")</f>
        <v>0</v>
      </c>
      <c r="AE151" s="21" t="n">
        <f aca="false">SUMIFS(Permissions!$U$2:$U$3000,Permissions!$B$2:$B$3000,$A151,Permissions!$I$2:$I$3000,"Yes")</f>
        <v>0</v>
      </c>
      <c r="AF151" s="21" t="n">
        <f aca="false">SUMIFS(Permissions!$V$2:$V$3000,Permissions!$B$2:$B$3000,$A151,Permissions!$I$2:$I$3000,"Yes")</f>
        <v>0</v>
      </c>
      <c r="AG151" s="21" t="n">
        <f aca="false">SUMIFS(Permissions!$W$2:$W$3000,Permissions!$B$2:$B$3000,$A151,Permissions!$I$2:$I$3000,"Yes")</f>
        <v>0</v>
      </c>
      <c r="AH151" s="21" t="n">
        <f aca="false">SUMIFS(Permissions!$X$2:$X$3000,Permissions!$B$2:$B$3000,$A151,Permissions!$I$2:$I$3000,"Yes")</f>
        <v>0</v>
      </c>
      <c r="AI151" s="21" t="n">
        <f aca="false">SUMIFS(Permissions!$Y$2:$Y$3000,Permissions!$B$2:$B$3000,$A151,Permissions!$I$2:$I$3000,"Yes")</f>
        <v>0</v>
      </c>
      <c r="AJ151" s="19" t="n">
        <f aca="false">COUNTIFS(Permissions!$B$2:$B$3000,$A151,Permissions!$I$2:$I$3000,"Yes")</f>
        <v>1</v>
      </c>
      <c r="AK151" s="22" t="str">
        <f aca="false">IF(AND(N151&lt;&gt;"",X151&gt;1.1*N151),"Consented above capacity",IF(AND(LEFT(B151,8)="Planning",AJ151=0),"Consent parcel with no permission",IF(COUNTIF($A$2:$A$3000,$A151)&gt;1,"Duplicate parcel_id","")))</f>
        <v/>
      </c>
    </row>
    <row r="152" customFormat="false" ht="15" hidden="false" customHeight="false" outlineLevel="0" collapsed="false">
      <c r="A152" s="18" t="s">
        <v>316</v>
      </c>
      <c r="B152" s="18" t="s">
        <v>12</v>
      </c>
      <c r="C152" s="18" t="s">
        <v>15</v>
      </c>
      <c r="D152" s="18"/>
      <c r="E152" s="18" t="s">
        <v>111</v>
      </c>
      <c r="F152" s="18" t="s">
        <v>112</v>
      </c>
      <c r="G152" s="18" t="s">
        <v>317</v>
      </c>
      <c r="H152" s="18"/>
      <c r="I152" s="18"/>
      <c r="J152" s="18"/>
      <c r="K152" s="18"/>
      <c r="L152" s="18" t="n">
        <v>0.143</v>
      </c>
      <c r="M152" s="18" t="n">
        <v>0.143</v>
      </c>
      <c r="N152" s="18"/>
      <c r="O152" s="18" t="s">
        <v>283</v>
      </c>
      <c r="P152" s="18"/>
      <c r="Q152" s="18" t="s">
        <v>313</v>
      </c>
      <c r="R152" s="18" t="s">
        <v>98</v>
      </c>
      <c r="S152" s="18"/>
      <c r="T152" s="19" t="n">
        <f aca="false">SUMIFS(Permissions!$F$2:$F$3000,Permissions!$B$2:$B$3000,$A152,Permissions!$H$2:$H$3000,"Complete",Permissions!$I$2:$I$3000,"Yes")</f>
        <v>0</v>
      </c>
      <c r="U152" s="19" t="n">
        <f aca="false">SUMIFS(Permissions!$F$2:$F$3000,Permissions!$B$2:$B$3000,$A152,Permissions!$H$2:$H$3000,"Under construction",Permissions!$I$2:$I$3000,"Yes")</f>
        <v>38</v>
      </c>
      <c r="V152" s="19" t="n">
        <f aca="false">SUMIFS(Permissions!$F$2:$F$3000,Permissions!$B$2:$B$3000,$A152,Permissions!$H$2:$H$3000,"Permitted – not started",Permissions!$I$2:$I$3000,"Yes")</f>
        <v>0</v>
      </c>
      <c r="W152" s="19" t="n">
        <f aca="false">SUMIFS(Permissions!$F$2:$F$3000,Permissions!$B$2:$B$3000,$A152,Permissions!$H$2:$H$3000,"Stalled",Permissions!$I$2:$I$3000,"Yes")</f>
        <v>0</v>
      </c>
      <c r="X152" s="19" t="n">
        <f aca="false">T152+U152+V152+W152</f>
        <v>38</v>
      </c>
      <c r="Y152" s="19" t="n">
        <f aca="false">SUMIFS(Permissions!$F$2:$F$3000,Permissions!$B$2:$B$3000,$A152,Permissions!$H$2:$H$3000,"Expired – not started",Permissions!$I$2:$I$3000,"Yes")</f>
        <v>0</v>
      </c>
      <c r="Z152" s="19" t="n">
        <f aca="false">SUMIFS(Permissions!$F$2:$F$3000,Permissions!$B$2:$B$3000,$A152,Permissions!$H$2:$H$3000,"In planning",Permissions!$I$2:$I$3000,"Yes")</f>
        <v>0</v>
      </c>
      <c r="AA152" s="19" t="n">
        <f aca="false">IF(N152="",0,MAX(N152-X152,0))</f>
        <v>0</v>
      </c>
      <c r="AB152" s="20" t="n">
        <f aca="false">X152+AA152</f>
        <v>38</v>
      </c>
      <c r="AC152" s="19" t="n">
        <f aca="false">AB152-T152</f>
        <v>38</v>
      </c>
      <c r="AD152" s="21" t="n">
        <f aca="false">SUMIFS(Permissions!$T$2:$T$3000,Permissions!$B$2:$B$3000,$A152,Permissions!$I$2:$I$3000,"Yes")</f>
        <v>8.8</v>
      </c>
      <c r="AE152" s="21" t="n">
        <f aca="false">SUMIFS(Permissions!$U$2:$U$3000,Permissions!$B$2:$B$3000,$A152,Permissions!$I$2:$I$3000,"Yes")</f>
        <v>29.2</v>
      </c>
      <c r="AF152" s="21" t="n">
        <f aca="false">SUMIFS(Permissions!$V$2:$V$3000,Permissions!$B$2:$B$3000,$A152,Permissions!$I$2:$I$3000,"Yes")</f>
        <v>0</v>
      </c>
      <c r="AG152" s="21" t="n">
        <f aca="false">SUMIFS(Permissions!$W$2:$W$3000,Permissions!$B$2:$B$3000,$A152,Permissions!$I$2:$I$3000,"Yes")</f>
        <v>0</v>
      </c>
      <c r="AH152" s="21" t="n">
        <f aca="false">SUMIFS(Permissions!$X$2:$X$3000,Permissions!$B$2:$B$3000,$A152,Permissions!$I$2:$I$3000,"Yes")</f>
        <v>0</v>
      </c>
      <c r="AI152" s="21" t="n">
        <f aca="false">SUMIFS(Permissions!$Y$2:$Y$3000,Permissions!$B$2:$B$3000,$A152,Permissions!$I$2:$I$3000,"Yes")</f>
        <v>0</v>
      </c>
      <c r="AJ152" s="19" t="n">
        <f aca="false">COUNTIFS(Permissions!$B$2:$B$3000,$A152,Permissions!$I$2:$I$3000,"Yes")</f>
        <v>1</v>
      </c>
      <c r="AK152" s="22" t="str">
        <f aca="false">IF(AND(N152&lt;&gt;"",X152&gt;1.1*N152),"Consented above capacity",IF(AND(LEFT(B152,8)="Planning",AJ152=0),"Consent parcel with no permission",IF(COUNTIF($A$2:$A$3000,$A152)&gt;1,"Duplicate parcel_id","")))</f>
        <v/>
      </c>
    </row>
    <row r="153" customFormat="false" ht="15" hidden="false" customHeight="false" outlineLevel="0" collapsed="false">
      <c r="A153" s="18" t="s">
        <v>318</v>
      </c>
      <c r="B153" s="18" t="s">
        <v>12</v>
      </c>
      <c r="C153" s="18" t="s">
        <v>15</v>
      </c>
      <c r="D153" s="18"/>
      <c r="E153" s="18" t="s">
        <v>141</v>
      </c>
      <c r="F153" s="18" t="s">
        <v>142</v>
      </c>
      <c r="G153" s="18" t="s">
        <v>319</v>
      </c>
      <c r="H153" s="18"/>
      <c r="I153" s="18"/>
      <c r="J153" s="18"/>
      <c r="K153" s="18"/>
      <c r="L153" s="18" t="n">
        <v>3.468</v>
      </c>
      <c r="M153" s="18" t="n">
        <v>3.468</v>
      </c>
      <c r="N153" s="18"/>
      <c r="O153" s="18" t="s">
        <v>283</v>
      </c>
      <c r="P153" s="18"/>
      <c r="Q153" s="18"/>
      <c r="R153" s="18" t="s">
        <v>98</v>
      </c>
      <c r="S153" s="18"/>
      <c r="T153" s="19" t="n">
        <f aca="false">SUMIFS(Permissions!$F$2:$F$3000,Permissions!$B$2:$B$3000,$A153,Permissions!$H$2:$H$3000,"Complete",Permissions!$I$2:$I$3000,"Yes")</f>
        <v>0</v>
      </c>
      <c r="U153" s="19" t="n">
        <f aca="false">SUMIFS(Permissions!$F$2:$F$3000,Permissions!$B$2:$B$3000,$A153,Permissions!$H$2:$H$3000,"Under construction",Permissions!$I$2:$I$3000,"Yes")</f>
        <v>122</v>
      </c>
      <c r="V153" s="19" t="n">
        <f aca="false">SUMIFS(Permissions!$F$2:$F$3000,Permissions!$B$2:$B$3000,$A153,Permissions!$H$2:$H$3000,"Permitted – not started",Permissions!$I$2:$I$3000,"Yes")</f>
        <v>0</v>
      </c>
      <c r="W153" s="19" t="n">
        <f aca="false">SUMIFS(Permissions!$F$2:$F$3000,Permissions!$B$2:$B$3000,$A153,Permissions!$H$2:$H$3000,"Stalled",Permissions!$I$2:$I$3000,"Yes")</f>
        <v>0</v>
      </c>
      <c r="X153" s="19" t="n">
        <f aca="false">T153+U153+V153+W153</f>
        <v>122</v>
      </c>
      <c r="Y153" s="19" t="n">
        <f aca="false">SUMIFS(Permissions!$F$2:$F$3000,Permissions!$B$2:$B$3000,$A153,Permissions!$H$2:$H$3000,"Expired – not started",Permissions!$I$2:$I$3000,"Yes")</f>
        <v>0</v>
      </c>
      <c r="Z153" s="19" t="n">
        <f aca="false">SUMIFS(Permissions!$F$2:$F$3000,Permissions!$B$2:$B$3000,$A153,Permissions!$H$2:$H$3000,"In planning",Permissions!$I$2:$I$3000,"Yes")</f>
        <v>0</v>
      </c>
      <c r="AA153" s="19" t="n">
        <f aca="false">IF(N153="",0,MAX(N153-X153,0))</f>
        <v>0</v>
      </c>
      <c r="AB153" s="20" t="n">
        <f aca="false">X153+AA153</f>
        <v>122</v>
      </c>
      <c r="AC153" s="19" t="n">
        <f aca="false">AB153-T153</f>
        <v>122</v>
      </c>
      <c r="AD153" s="21" t="n">
        <f aca="false">SUMIFS(Permissions!$T$2:$T$3000,Permissions!$B$2:$B$3000,$A153,Permissions!$I$2:$I$3000,"Yes")</f>
        <v>28.5</v>
      </c>
      <c r="AE153" s="21" t="n">
        <f aca="false">SUMIFS(Permissions!$U$2:$U$3000,Permissions!$B$2:$B$3000,$A153,Permissions!$I$2:$I$3000,"Yes")</f>
        <v>93.5</v>
      </c>
      <c r="AF153" s="21" t="n">
        <f aca="false">SUMIFS(Permissions!$V$2:$V$3000,Permissions!$B$2:$B$3000,$A153,Permissions!$I$2:$I$3000,"Yes")</f>
        <v>0</v>
      </c>
      <c r="AG153" s="21" t="n">
        <f aca="false">SUMIFS(Permissions!$W$2:$W$3000,Permissions!$B$2:$B$3000,$A153,Permissions!$I$2:$I$3000,"Yes")</f>
        <v>0</v>
      </c>
      <c r="AH153" s="21" t="n">
        <f aca="false">SUMIFS(Permissions!$X$2:$X$3000,Permissions!$B$2:$B$3000,$A153,Permissions!$I$2:$I$3000,"Yes")</f>
        <v>0</v>
      </c>
      <c r="AI153" s="21" t="n">
        <f aca="false">SUMIFS(Permissions!$Y$2:$Y$3000,Permissions!$B$2:$B$3000,$A153,Permissions!$I$2:$I$3000,"Yes")</f>
        <v>0</v>
      </c>
      <c r="AJ153" s="19" t="n">
        <f aca="false">COUNTIFS(Permissions!$B$2:$B$3000,$A153,Permissions!$I$2:$I$3000,"Yes")</f>
        <v>2</v>
      </c>
      <c r="AK153" s="22" t="str">
        <f aca="false">IF(AND(N153&lt;&gt;"",X153&gt;1.1*N153),"Consented above capacity",IF(AND(LEFT(B153,8)="Planning",AJ153=0),"Consent parcel with no permission",IF(COUNTIF($A$2:$A$3000,$A153)&gt;1,"Duplicate parcel_id","")))</f>
        <v/>
      </c>
    </row>
    <row r="154" customFormat="false" ht="15" hidden="false" customHeight="false" outlineLevel="0" collapsed="false">
      <c r="A154" s="18" t="s">
        <v>320</v>
      </c>
      <c r="B154" s="18" t="s">
        <v>12</v>
      </c>
      <c r="C154" s="18" t="s">
        <v>15</v>
      </c>
      <c r="D154" s="18"/>
      <c r="E154" s="18" t="s">
        <v>141</v>
      </c>
      <c r="F154" s="18" t="s">
        <v>142</v>
      </c>
      <c r="G154" s="18" t="s">
        <v>321</v>
      </c>
      <c r="H154" s="18"/>
      <c r="I154" s="18"/>
      <c r="J154" s="18"/>
      <c r="K154" s="18"/>
      <c r="L154" s="18" t="n">
        <v>0.33</v>
      </c>
      <c r="M154" s="18" t="n">
        <v>0.33</v>
      </c>
      <c r="N154" s="18"/>
      <c r="O154" s="18" t="s">
        <v>283</v>
      </c>
      <c r="P154" s="18"/>
      <c r="Q154" s="18"/>
      <c r="R154" s="18" t="s">
        <v>98</v>
      </c>
      <c r="S154" s="18"/>
      <c r="T154" s="19" t="n">
        <f aca="false">SUMIFS(Permissions!$F$2:$F$3000,Permissions!$B$2:$B$3000,$A154,Permissions!$H$2:$H$3000,"Complete",Permissions!$I$2:$I$3000,"Yes")</f>
        <v>12</v>
      </c>
      <c r="U154" s="19" t="n">
        <f aca="false">SUMIFS(Permissions!$F$2:$F$3000,Permissions!$B$2:$B$3000,$A154,Permissions!$H$2:$H$3000,"Under construction",Permissions!$I$2:$I$3000,"Yes")</f>
        <v>0</v>
      </c>
      <c r="V154" s="19" t="n">
        <f aca="false">SUMIFS(Permissions!$F$2:$F$3000,Permissions!$B$2:$B$3000,$A154,Permissions!$H$2:$H$3000,"Permitted – not started",Permissions!$I$2:$I$3000,"Yes")</f>
        <v>0</v>
      </c>
      <c r="W154" s="19" t="n">
        <f aca="false">SUMIFS(Permissions!$F$2:$F$3000,Permissions!$B$2:$B$3000,$A154,Permissions!$H$2:$H$3000,"Stalled",Permissions!$I$2:$I$3000,"Yes")</f>
        <v>0</v>
      </c>
      <c r="X154" s="19" t="n">
        <f aca="false">T154+U154+V154+W154</f>
        <v>12</v>
      </c>
      <c r="Y154" s="19" t="n">
        <f aca="false">SUMIFS(Permissions!$F$2:$F$3000,Permissions!$B$2:$B$3000,$A154,Permissions!$H$2:$H$3000,"Expired – not started",Permissions!$I$2:$I$3000,"Yes")</f>
        <v>0</v>
      </c>
      <c r="Z154" s="19" t="n">
        <f aca="false">SUMIFS(Permissions!$F$2:$F$3000,Permissions!$B$2:$B$3000,$A154,Permissions!$H$2:$H$3000,"In planning",Permissions!$I$2:$I$3000,"Yes")</f>
        <v>0</v>
      </c>
      <c r="AA154" s="19" t="n">
        <f aca="false">IF(N154="",0,MAX(N154-X154,0))</f>
        <v>0</v>
      </c>
      <c r="AB154" s="20" t="n">
        <f aca="false">X154+AA154</f>
        <v>12</v>
      </c>
      <c r="AC154" s="19" t="n">
        <f aca="false">AB154-T154</f>
        <v>0</v>
      </c>
      <c r="AD154" s="21" t="n">
        <f aca="false">SUMIFS(Permissions!$T$2:$T$3000,Permissions!$B$2:$B$3000,$A154,Permissions!$I$2:$I$3000,"Yes")</f>
        <v>0</v>
      </c>
      <c r="AE154" s="21" t="n">
        <f aca="false">SUMIFS(Permissions!$U$2:$U$3000,Permissions!$B$2:$B$3000,$A154,Permissions!$I$2:$I$3000,"Yes")</f>
        <v>0</v>
      </c>
      <c r="AF154" s="21" t="n">
        <f aca="false">SUMIFS(Permissions!$V$2:$V$3000,Permissions!$B$2:$B$3000,$A154,Permissions!$I$2:$I$3000,"Yes")</f>
        <v>0</v>
      </c>
      <c r="AG154" s="21" t="n">
        <f aca="false">SUMIFS(Permissions!$W$2:$W$3000,Permissions!$B$2:$B$3000,$A154,Permissions!$I$2:$I$3000,"Yes")</f>
        <v>0</v>
      </c>
      <c r="AH154" s="21" t="n">
        <f aca="false">SUMIFS(Permissions!$X$2:$X$3000,Permissions!$B$2:$B$3000,$A154,Permissions!$I$2:$I$3000,"Yes")</f>
        <v>0</v>
      </c>
      <c r="AI154" s="21" t="n">
        <f aca="false">SUMIFS(Permissions!$Y$2:$Y$3000,Permissions!$B$2:$B$3000,$A154,Permissions!$I$2:$I$3000,"Yes")</f>
        <v>0</v>
      </c>
      <c r="AJ154" s="19" t="n">
        <f aca="false">COUNTIFS(Permissions!$B$2:$B$3000,$A154,Permissions!$I$2:$I$3000,"Yes")</f>
        <v>1</v>
      </c>
      <c r="AK154" s="22" t="str">
        <f aca="false">IF(AND(N154&lt;&gt;"",X154&gt;1.1*N154),"Consented above capacity",IF(AND(LEFT(B154,8)="Planning",AJ154=0),"Consent parcel with no permission",IF(COUNTIF($A$2:$A$3000,$A154)&gt;1,"Duplicate parcel_id","")))</f>
        <v/>
      </c>
    </row>
    <row r="155" customFormat="false" ht="15" hidden="false" customHeight="false" outlineLevel="0" collapsed="false">
      <c r="A155" s="18" t="s">
        <v>322</v>
      </c>
      <c r="B155" s="18" t="s">
        <v>12</v>
      </c>
      <c r="C155" s="18" t="s">
        <v>15</v>
      </c>
      <c r="D155" s="18"/>
      <c r="E155" s="18" t="s">
        <v>141</v>
      </c>
      <c r="F155" s="18" t="s">
        <v>142</v>
      </c>
      <c r="G155" s="18" t="s">
        <v>323</v>
      </c>
      <c r="H155" s="18"/>
      <c r="I155" s="18"/>
      <c r="J155" s="18"/>
      <c r="K155" s="18"/>
      <c r="L155" s="18" t="n">
        <v>0.333</v>
      </c>
      <c r="M155" s="18" t="n">
        <v>0.333</v>
      </c>
      <c r="N155" s="18"/>
      <c r="O155" s="18" t="s">
        <v>283</v>
      </c>
      <c r="P155" s="18"/>
      <c r="Q155" s="18"/>
      <c r="R155" s="18" t="s">
        <v>98</v>
      </c>
      <c r="S155" s="18"/>
      <c r="T155" s="19" t="n">
        <f aca="false">SUMIFS(Permissions!$F$2:$F$3000,Permissions!$B$2:$B$3000,$A155,Permissions!$H$2:$H$3000,"Complete",Permissions!$I$2:$I$3000,"Yes")</f>
        <v>6</v>
      </c>
      <c r="U155" s="19" t="n">
        <f aca="false">SUMIFS(Permissions!$F$2:$F$3000,Permissions!$B$2:$B$3000,$A155,Permissions!$H$2:$H$3000,"Under construction",Permissions!$I$2:$I$3000,"Yes")</f>
        <v>0</v>
      </c>
      <c r="V155" s="19" t="n">
        <f aca="false">SUMIFS(Permissions!$F$2:$F$3000,Permissions!$B$2:$B$3000,$A155,Permissions!$H$2:$H$3000,"Permitted – not started",Permissions!$I$2:$I$3000,"Yes")</f>
        <v>0</v>
      </c>
      <c r="W155" s="19" t="n">
        <f aca="false">SUMIFS(Permissions!$F$2:$F$3000,Permissions!$B$2:$B$3000,$A155,Permissions!$H$2:$H$3000,"Stalled",Permissions!$I$2:$I$3000,"Yes")</f>
        <v>0</v>
      </c>
      <c r="X155" s="19" t="n">
        <f aca="false">T155+U155+V155+W155</f>
        <v>6</v>
      </c>
      <c r="Y155" s="19" t="n">
        <f aca="false">SUMIFS(Permissions!$F$2:$F$3000,Permissions!$B$2:$B$3000,$A155,Permissions!$H$2:$H$3000,"Expired – not started",Permissions!$I$2:$I$3000,"Yes")</f>
        <v>0</v>
      </c>
      <c r="Z155" s="19" t="n">
        <f aca="false">SUMIFS(Permissions!$F$2:$F$3000,Permissions!$B$2:$B$3000,$A155,Permissions!$H$2:$H$3000,"In planning",Permissions!$I$2:$I$3000,"Yes")</f>
        <v>0</v>
      </c>
      <c r="AA155" s="19" t="n">
        <f aca="false">IF(N155="",0,MAX(N155-X155,0))</f>
        <v>0</v>
      </c>
      <c r="AB155" s="20" t="n">
        <f aca="false">X155+AA155</f>
        <v>6</v>
      </c>
      <c r="AC155" s="19" t="n">
        <f aca="false">AB155-T155</f>
        <v>0</v>
      </c>
      <c r="AD155" s="21" t="n">
        <f aca="false">SUMIFS(Permissions!$T$2:$T$3000,Permissions!$B$2:$B$3000,$A155,Permissions!$I$2:$I$3000,"Yes")</f>
        <v>0</v>
      </c>
      <c r="AE155" s="21" t="n">
        <f aca="false">SUMIFS(Permissions!$U$2:$U$3000,Permissions!$B$2:$B$3000,$A155,Permissions!$I$2:$I$3000,"Yes")</f>
        <v>0</v>
      </c>
      <c r="AF155" s="21" t="n">
        <f aca="false">SUMIFS(Permissions!$V$2:$V$3000,Permissions!$B$2:$B$3000,$A155,Permissions!$I$2:$I$3000,"Yes")</f>
        <v>0</v>
      </c>
      <c r="AG155" s="21" t="n">
        <f aca="false">SUMIFS(Permissions!$W$2:$W$3000,Permissions!$B$2:$B$3000,$A155,Permissions!$I$2:$I$3000,"Yes")</f>
        <v>0</v>
      </c>
      <c r="AH155" s="21" t="n">
        <f aca="false">SUMIFS(Permissions!$X$2:$X$3000,Permissions!$B$2:$B$3000,$A155,Permissions!$I$2:$I$3000,"Yes")</f>
        <v>0</v>
      </c>
      <c r="AI155" s="21" t="n">
        <f aca="false">SUMIFS(Permissions!$Y$2:$Y$3000,Permissions!$B$2:$B$3000,$A155,Permissions!$I$2:$I$3000,"Yes")</f>
        <v>0</v>
      </c>
      <c r="AJ155" s="19" t="n">
        <f aca="false">COUNTIFS(Permissions!$B$2:$B$3000,$A155,Permissions!$I$2:$I$3000,"Yes")</f>
        <v>1</v>
      </c>
      <c r="AK155" s="22" t="str">
        <f aca="false">IF(AND(N155&lt;&gt;"",X155&gt;1.1*N155),"Consented above capacity",IF(AND(LEFT(B155,8)="Planning",AJ155=0),"Consent parcel with no permission",IF(COUNTIF($A$2:$A$3000,$A155)&gt;1,"Duplicate parcel_id","")))</f>
        <v/>
      </c>
    </row>
    <row r="156" customFormat="false" ht="15" hidden="false" customHeight="false" outlineLevel="0" collapsed="false">
      <c r="A156" s="18" t="s">
        <v>324</v>
      </c>
      <c r="B156" s="18" t="s">
        <v>12</v>
      </c>
      <c r="C156" s="18" t="s">
        <v>15</v>
      </c>
      <c r="D156" s="18"/>
      <c r="E156" s="18" t="s">
        <v>141</v>
      </c>
      <c r="F156" s="18" t="s">
        <v>142</v>
      </c>
      <c r="G156" s="18" t="s">
        <v>325</v>
      </c>
      <c r="H156" s="18"/>
      <c r="I156" s="18"/>
      <c r="J156" s="18"/>
      <c r="K156" s="18"/>
      <c r="L156" s="18" t="n">
        <v>0.241</v>
      </c>
      <c r="M156" s="18" t="n">
        <v>0.241</v>
      </c>
      <c r="N156" s="18"/>
      <c r="O156" s="18" t="s">
        <v>283</v>
      </c>
      <c r="P156" s="18"/>
      <c r="Q156" s="18"/>
      <c r="R156" s="18" t="s">
        <v>98</v>
      </c>
      <c r="S156" s="18"/>
      <c r="T156" s="19" t="n">
        <f aca="false">SUMIFS(Permissions!$F$2:$F$3000,Permissions!$B$2:$B$3000,$A156,Permissions!$H$2:$H$3000,"Complete",Permissions!$I$2:$I$3000,"Yes")</f>
        <v>0</v>
      </c>
      <c r="U156" s="19" t="n">
        <f aca="false">SUMIFS(Permissions!$F$2:$F$3000,Permissions!$B$2:$B$3000,$A156,Permissions!$H$2:$H$3000,"Under construction",Permissions!$I$2:$I$3000,"Yes")</f>
        <v>8</v>
      </c>
      <c r="V156" s="19" t="n">
        <f aca="false">SUMIFS(Permissions!$F$2:$F$3000,Permissions!$B$2:$B$3000,$A156,Permissions!$H$2:$H$3000,"Permitted – not started",Permissions!$I$2:$I$3000,"Yes")</f>
        <v>0</v>
      </c>
      <c r="W156" s="19" t="n">
        <f aca="false">SUMIFS(Permissions!$F$2:$F$3000,Permissions!$B$2:$B$3000,$A156,Permissions!$H$2:$H$3000,"Stalled",Permissions!$I$2:$I$3000,"Yes")</f>
        <v>0</v>
      </c>
      <c r="X156" s="19" t="n">
        <f aca="false">T156+U156+V156+W156</f>
        <v>8</v>
      </c>
      <c r="Y156" s="19" t="n">
        <f aca="false">SUMIFS(Permissions!$F$2:$F$3000,Permissions!$B$2:$B$3000,$A156,Permissions!$H$2:$H$3000,"Expired – not started",Permissions!$I$2:$I$3000,"Yes")</f>
        <v>0</v>
      </c>
      <c r="Z156" s="19" t="n">
        <f aca="false">SUMIFS(Permissions!$F$2:$F$3000,Permissions!$B$2:$B$3000,$A156,Permissions!$H$2:$H$3000,"In planning",Permissions!$I$2:$I$3000,"Yes")</f>
        <v>0</v>
      </c>
      <c r="AA156" s="19" t="n">
        <f aca="false">IF(N156="",0,MAX(N156-X156,0))</f>
        <v>0</v>
      </c>
      <c r="AB156" s="20" t="n">
        <f aca="false">X156+AA156</f>
        <v>8</v>
      </c>
      <c r="AC156" s="19" t="n">
        <f aca="false">AB156-T156</f>
        <v>8</v>
      </c>
      <c r="AD156" s="21" t="n">
        <f aca="false">SUMIFS(Permissions!$T$2:$T$3000,Permissions!$B$2:$B$3000,$A156,Permissions!$I$2:$I$3000,"Yes")</f>
        <v>1.9</v>
      </c>
      <c r="AE156" s="21" t="n">
        <f aca="false">SUMIFS(Permissions!$U$2:$U$3000,Permissions!$B$2:$B$3000,$A156,Permissions!$I$2:$I$3000,"Yes")</f>
        <v>6.1</v>
      </c>
      <c r="AF156" s="21" t="n">
        <f aca="false">SUMIFS(Permissions!$V$2:$V$3000,Permissions!$B$2:$B$3000,$A156,Permissions!$I$2:$I$3000,"Yes")</f>
        <v>0</v>
      </c>
      <c r="AG156" s="21" t="n">
        <f aca="false">SUMIFS(Permissions!$W$2:$W$3000,Permissions!$B$2:$B$3000,$A156,Permissions!$I$2:$I$3000,"Yes")</f>
        <v>0</v>
      </c>
      <c r="AH156" s="21" t="n">
        <f aca="false">SUMIFS(Permissions!$X$2:$X$3000,Permissions!$B$2:$B$3000,$A156,Permissions!$I$2:$I$3000,"Yes")</f>
        <v>0</v>
      </c>
      <c r="AI156" s="21" t="n">
        <f aca="false">SUMIFS(Permissions!$Y$2:$Y$3000,Permissions!$B$2:$B$3000,$A156,Permissions!$I$2:$I$3000,"Yes")</f>
        <v>0</v>
      </c>
      <c r="AJ156" s="19" t="n">
        <f aca="false">COUNTIFS(Permissions!$B$2:$B$3000,$A156,Permissions!$I$2:$I$3000,"Yes")</f>
        <v>1</v>
      </c>
      <c r="AK156" s="22" t="str">
        <f aca="false">IF(AND(N156&lt;&gt;"",X156&gt;1.1*N156),"Consented above capacity",IF(AND(LEFT(B156,8)="Planning",AJ156=0),"Consent parcel with no permission",IF(COUNTIF($A$2:$A$3000,$A156)&gt;1,"Duplicate parcel_id","")))</f>
        <v/>
      </c>
    </row>
    <row r="157" customFormat="false" ht="15" hidden="false" customHeight="false" outlineLevel="0" collapsed="false">
      <c r="A157" s="18" t="s">
        <v>326</v>
      </c>
      <c r="B157" s="18" t="s">
        <v>12</v>
      </c>
      <c r="C157" s="18" t="s">
        <v>15</v>
      </c>
      <c r="D157" s="18"/>
      <c r="E157" s="18" t="s">
        <v>141</v>
      </c>
      <c r="F157" s="18" t="s">
        <v>142</v>
      </c>
      <c r="G157" s="18" t="s">
        <v>327</v>
      </c>
      <c r="H157" s="18"/>
      <c r="I157" s="18"/>
      <c r="J157" s="18"/>
      <c r="K157" s="18"/>
      <c r="L157" s="18" t="n">
        <v>1.262</v>
      </c>
      <c r="M157" s="18" t="n">
        <v>1.262</v>
      </c>
      <c r="N157" s="18"/>
      <c r="O157" s="18" t="s">
        <v>283</v>
      </c>
      <c r="P157" s="18"/>
      <c r="Q157" s="18"/>
      <c r="R157" s="18" t="s">
        <v>98</v>
      </c>
      <c r="S157" s="18"/>
      <c r="T157" s="19" t="n">
        <f aca="false">SUMIFS(Permissions!$F$2:$F$3000,Permissions!$B$2:$B$3000,$A157,Permissions!$H$2:$H$3000,"Complete",Permissions!$I$2:$I$3000,"Yes")</f>
        <v>0</v>
      </c>
      <c r="U157" s="19" t="n">
        <f aca="false">SUMIFS(Permissions!$F$2:$F$3000,Permissions!$B$2:$B$3000,$A157,Permissions!$H$2:$H$3000,"Under construction",Permissions!$I$2:$I$3000,"Yes")</f>
        <v>0</v>
      </c>
      <c r="V157" s="19" t="n">
        <f aca="false">SUMIFS(Permissions!$F$2:$F$3000,Permissions!$B$2:$B$3000,$A157,Permissions!$H$2:$H$3000,"Permitted – not started",Permissions!$I$2:$I$3000,"Yes")</f>
        <v>0</v>
      </c>
      <c r="W157" s="19" t="n">
        <f aca="false">SUMIFS(Permissions!$F$2:$F$3000,Permissions!$B$2:$B$3000,$A157,Permissions!$H$2:$H$3000,"Stalled",Permissions!$I$2:$I$3000,"Yes")</f>
        <v>0</v>
      </c>
      <c r="X157" s="19" t="n">
        <f aca="false">T157+U157+V157+W157</f>
        <v>0</v>
      </c>
      <c r="Y157" s="19" t="n">
        <f aca="false">SUMIFS(Permissions!$F$2:$F$3000,Permissions!$B$2:$B$3000,$A157,Permissions!$H$2:$H$3000,"Expired – not started",Permissions!$I$2:$I$3000,"Yes")</f>
        <v>12</v>
      </c>
      <c r="Z157" s="19" t="n">
        <f aca="false">SUMIFS(Permissions!$F$2:$F$3000,Permissions!$B$2:$B$3000,$A157,Permissions!$H$2:$H$3000,"In planning",Permissions!$I$2:$I$3000,"Yes")</f>
        <v>0</v>
      </c>
      <c r="AA157" s="19" t="n">
        <f aca="false">IF(N157="",0,MAX(N157-X157,0))</f>
        <v>0</v>
      </c>
      <c r="AB157" s="20" t="n">
        <f aca="false">X157+AA157</f>
        <v>0</v>
      </c>
      <c r="AC157" s="19" t="n">
        <f aca="false">AB157-T157</f>
        <v>0</v>
      </c>
      <c r="AD157" s="21" t="n">
        <f aca="false">SUMIFS(Permissions!$T$2:$T$3000,Permissions!$B$2:$B$3000,$A157,Permissions!$I$2:$I$3000,"Yes")</f>
        <v>0</v>
      </c>
      <c r="AE157" s="21" t="n">
        <f aca="false">SUMIFS(Permissions!$U$2:$U$3000,Permissions!$B$2:$B$3000,$A157,Permissions!$I$2:$I$3000,"Yes")</f>
        <v>0</v>
      </c>
      <c r="AF157" s="21" t="n">
        <f aca="false">SUMIFS(Permissions!$V$2:$V$3000,Permissions!$B$2:$B$3000,$A157,Permissions!$I$2:$I$3000,"Yes")</f>
        <v>0</v>
      </c>
      <c r="AG157" s="21" t="n">
        <f aca="false">SUMIFS(Permissions!$W$2:$W$3000,Permissions!$B$2:$B$3000,$A157,Permissions!$I$2:$I$3000,"Yes")</f>
        <v>0</v>
      </c>
      <c r="AH157" s="21" t="n">
        <f aca="false">SUMIFS(Permissions!$X$2:$X$3000,Permissions!$B$2:$B$3000,$A157,Permissions!$I$2:$I$3000,"Yes")</f>
        <v>0</v>
      </c>
      <c r="AI157" s="21" t="n">
        <f aca="false">SUMIFS(Permissions!$Y$2:$Y$3000,Permissions!$B$2:$B$3000,$A157,Permissions!$I$2:$I$3000,"Yes")</f>
        <v>0</v>
      </c>
      <c r="AJ157" s="19" t="n">
        <f aca="false">COUNTIFS(Permissions!$B$2:$B$3000,$A157,Permissions!$I$2:$I$3000,"Yes")</f>
        <v>1</v>
      </c>
      <c r="AK157" s="22" t="str">
        <f aca="false">IF(AND(N157&lt;&gt;"",X157&gt;1.1*N157),"Consented above capacity",IF(AND(LEFT(B157,8)="Planning",AJ157=0),"Consent parcel with no permission",IF(COUNTIF($A$2:$A$3000,$A157)&gt;1,"Duplicate parcel_id","")))</f>
        <v/>
      </c>
    </row>
    <row r="158" customFormat="false" ht="15" hidden="false" customHeight="false" outlineLevel="0" collapsed="false">
      <c r="A158" s="18" t="s">
        <v>328</v>
      </c>
      <c r="B158" s="18" t="s">
        <v>12</v>
      </c>
      <c r="C158" s="18" t="s">
        <v>15</v>
      </c>
      <c r="D158" s="18"/>
      <c r="E158" s="18" t="s">
        <v>141</v>
      </c>
      <c r="F158" s="18" t="s">
        <v>142</v>
      </c>
      <c r="G158" s="18" t="s">
        <v>329</v>
      </c>
      <c r="H158" s="18"/>
      <c r="I158" s="18"/>
      <c r="J158" s="18"/>
      <c r="K158" s="18"/>
      <c r="L158" s="18" t="n">
        <v>1.491</v>
      </c>
      <c r="M158" s="18" t="n">
        <v>1.491</v>
      </c>
      <c r="N158" s="18"/>
      <c r="O158" s="18" t="s">
        <v>283</v>
      </c>
      <c r="P158" s="18"/>
      <c r="Q158" s="18"/>
      <c r="R158" s="18" t="s">
        <v>98</v>
      </c>
      <c r="S158" s="18"/>
      <c r="T158" s="19" t="n">
        <f aca="false">SUMIFS(Permissions!$F$2:$F$3000,Permissions!$B$2:$B$3000,$A158,Permissions!$H$2:$H$3000,"Complete",Permissions!$I$2:$I$3000,"Yes")</f>
        <v>0</v>
      </c>
      <c r="U158" s="19" t="n">
        <f aca="false">SUMIFS(Permissions!$F$2:$F$3000,Permissions!$B$2:$B$3000,$A158,Permissions!$H$2:$H$3000,"Under construction",Permissions!$I$2:$I$3000,"Yes")</f>
        <v>62</v>
      </c>
      <c r="V158" s="19" t="n">
        <f aca="false">SUMIFS(Permissions!$F$2:$F$3000,Permissions!$B$2:$B$3000,$A158,Permissions!$H$2:$H$3000,"Permitted – not started",Permissions!$I$2:$I$3000,"Yes")</f>
        <v>0</v>
      </c>
      <c r="W158" s="19" t="n">
        <f aca="false">SUMIFS(Permissions!$F$2:$F$3000,Permissions!$B$2:$B$3000,$A158,Permissions!$H$2:$H$3000,"Stalled",Permissions!$I$2:$I$3000,"Yes")</f>
        <v>0</v>
      </c>
      <c r="X158" s="19" t="n">
        <f aca="false">T158+U158+V158+W158</f>
        <v>62</v>
      </c>
      <c r="Y158" s="19" t="n">
        <f aca="false">SUMIFS(Permissions!$F$2:$F$3000,Permissions!$B$2:$B$3000,$A158,Permissions!$H$2:$H$3000,"Expired – not started",Permissions!$I$2:$I$3000,"Yes")</f>
        <v>0</v>
      </c>
      <c r="Z158" s="19" t="n">
        <f aca="false">SUMIFS(Permissions!$F$2:$F$3000,Permissions!$B$2:$B$3000,$A158,Permissions!$H$2:$H$3000,"In planning",Permissions!$I$2:$I$3000,"Yes")</f>
        <v>0</v>
      </c>
      <c r="AA158" s="19" t="n">
        <f aca="false">IF(N158="",0,MAX(N158-X158,0))</f>
        <v>0</v>
      </c>
      <c r="AB158" s="20" t="n">
        <f aca="false">X158+AA158</f>
        <v>62</v>
      </c>
      <c r="AC158" s="19" t="n">
        <f aca="false">AB158-T158</f>
        <v>62</v>
      </c>
      <c r="AD158" s="21" t="n">
        <f aca="false">SUMIFS(Permissions!$T$2:$T$3000,Permissions!$B$2:$B$3000,$A158,Permissions!$I$2:$I$3000,"Yes")</f>
        <v>14.4</v>
      </c>
      <c r="AE158" s="21" t="n">
        <f aca="false">SUMIFS(Permissions!$U$2:$U$3000,Permissions!$B$2:$B$3000,$A158,Permissions!$I$2:$I$3000,"Yes")</f>
        <v>47.6</v>
      </c>
      <c r="AF158" s="21" t="n">
        <f aca="false">SUMIFS(Permissions!$V$2:$V$3000,Permissions!$B$2:$B$3000,$A158,Permissions!$I$2:$I$3000,"Yes")</f>
        <v>0</v>
      </c>
      <c r="AG158" s="21" t="n">
        <f aca="false">SUMIFS(Permissions!$W$2:$W$3000,Permissions!$B$2:$B$3000,$A158,Permissions!$I$2:$I$3000,"Yes")</f>
        <v>0</v>
      </c>
      <c r="AH158" s="21" t="n">
        <f aca="false">SUMIFS(Permissions!$X$2:$X$3000,Permissions!$B$2:$B$3000,$A158,Permissions!$I$2:$I$3000,"Yes")</f>
        <v>0</v>
      </c>
      <c r="AI158" s="21" t="n">
        <f aca="false">SUMIFS(Permissions!$Y$2:$Y$3000,Permissions!$B$2:$B$3000,$A158,Permissions!$I$2:$I$3000,"Yes")</f>
        <v>0</v>
      </c>
      <c r="AJ158" s="19" t="n">
        <f aca="false">COUNTIFS(Permissions!$B$2:$B$3000,$A158,Permissions!$I$2:$I$3000,"Yes")</f>
        <v>1</v>
      </c>
      <c r="AK158" s="22" t="str">
        <f aca="false">IF(AND(N158&lt;&gt;"",X158&gt;1.1*N158),"Consented above capacity",IF(AND(LEFT(B158,8)="Planning",AJ158=0),"Consent parcel with no permission",IF(COUNTIF($A$2:$A$3000,$A158)&gt;1,"Duplicate parcel_id","")))</f>
        <v/>
      </c>
    </row>
    <row r="159" customFormat="false" ht="15" hidden="false" customHeight="false" outlineLevel="0" collapsed="false">
      <c r="A159" s="18" t="s">
        <v>330</v>
      </c>
      <c r="B159" s="18" t="s">
        <v>12</v>
      </c>
      <c r="C159" s="18" t="s">
        <v>15</v>
      </c>
      <c r="D159" s="18"/>
      <c r="E159" s="18" t="s">
        <v>141</v>
      </c>
      <c r="F159" s="18" t="s">
        <v>142</v>
      </c>
      <c r="G159" s="18" t="s">
        <v>331</v>
      </c>
      <c r="H159" s="18"/>
      <c r="I159" s="18"/>
      <c r="J159" s="18"/>
      <c r="K159" s="18"/>
      <c r="L159" s="18" t="n">
        <v>0.162</v>
      </c>
      <c r="M159" s="18" t="n">
        <v>0.162</v>
      </c>
      <c r="N159" s="18"/>
      <c r="O159" s="18" t="s">
        <v>283</v>
      </c>
      <c r="P159" s="18"/>
      <c r="Q159" s="18"/>
      <c r="R159" s="18" t="s">
        <v>98</v>
      </c>
      <c r="S159" s="18"/>
      <c r="T159" s="19" t="n">
        <f aca="false">SUMIFS(Permissions!$F$2:$F$3000,Permissions!$B$2:$B$3000,$A159,Permissions!$H$2:$H$3000,"Complete",Permissions!$I$2:$I$3000,"Yes")</f>
        <v>0</v>
      </c>
      <c r="U159" s="19" t="n">
        <f aca="false">SUMIFS(Permissions!$F$2:$F$3000,Permissions!$B$2:$B$3000,$A159,Permissions!$H$2:$H$3000,"Under construction",Permissions!$I$2:$I$3000,"Yes")</f>
        <v>3</v>
      </c>
      <c r="V159" s="19" t="n">
        <f aca="false">SUMIFS(Permissions!$F$2:$F$3000,Permissions!$B$2:$B$3000,$A159,Permissions!$H$2:$H$3000,"Permitted – not started",Permissions!$I$2:$I$3000,"Yes")</f>
        <v>0</v>
      </c>
      <c r="W159" s="19" t="n">
        <f aca="false">SUMIFS(Permissions!$F$2:$F$3000,Permissions!$B$2:$B$3000,$A159,Permissions!$H$2:$H$3000,"Stalled",Permissions!$I$2:$I$3000,"Yes")</f>
        <v>0</v>
      </c>
      <c r="X159" s="19" t="n">
        <f aca="false">T159+U159+V159+W159</f>
        <v>3</v>
      </c>
      <c r="Y159" s="19" t="n">
        <f aca="false">SUMIFS(Permissions!$F$2:$F$3000,Permissions!$B$2:$B$3000,$A159,Permissions!$H$2:$H$3000,"Expired – not started",Permissions!$I$2:$I$3000,"Yes")</f>
        <v>0</v>
      </c>
      <c r="Z159" s="19" t="n">
        <f aca="false">SUMIFS(Permissions!$F$2:$F$3000,Permissions!$B$2:$B$3000,$A159,Permissions!$H$2:$H$3000,"In planning",Permissions!$I$2:$I$3000,"Yes")</f>
        <v>0</v>
      </c>
      <c r="AA159" s="19" t="n">
        <f aca="false">IF(N159="",0,MAX(N159-X159,0))</f>
        <v>0</v>
      </c>
      <c r="AB159" s="20" t="n">
        <f aca="false">X159+AA159</f>
        <v>3</v>
      </c>
      <c r="AC159" s="19" t="n">
        <f aca="false">AB159-T159</f>
        <v>3</v>
      </c>
      <c r="AD159" s="21" t="n">
        <f aca="false">SUMIFS(Permissions!$T$2:$T$3000,Permissions!$B$2:$B$3000,$A159,Permissions!$I$2:$I$3000,"Yes")</f>
        <v>0.7</v>
      </c>
      <c r="AE159" s="21" t="n">
        <f aca="false">SUMIFS(Permissions!$U$2:$U$3000,Permissions!$B$2:$B$3000,$A159,Permissions!$I$2:$I$3000,"Yes")</f>
        <v>2.3</v>
      </c>
      <c r="AF159" s="21" t="n">
        <f aca="false">SUMIFS(Permissions!$V$2:$V$3000,Permissions!$B$2:$B$3000,$A159,Permissions!$I$2:$I$3000,"Yes")</f>
        <v>0</v>
      </c>
      <c r="AG159" s="21" t="n">
        <f aca="false">SUMIFS(Permissions!$W$2:$W$3000,Permissions!$B$2:$B$3000,$A159,Permissions!$I$2:$I$3000,"Yes")</f>
        <v>0</v>
      </c>
      <c r="AH159" s="21" t="n">
        <f aca="false">SUMIFS(Permissions!$X$2:$X$3000,Permissions!$B$2:$B$3000,$A159,Permissions!$I$2:$I$3000,"Yes")</f>
        <v>0</v>
      </c>
      <c r="AI159" s="21" t="n">
        <f aca="false">SUMIFS(Permissions!$Y$2:$Y$3000,Permissions!$B$2:$B$3000,$A159,Permissions!$I$2:$I$3000,"Yes")</f>
        <v>0</v>
      </c>
      <c r="AJ159" s="19" t="n">
        <f aca="false">COUNTIFS(Permissions!$B$2:$B$3000,$A159,Permissions!$I$2:$I$3000,"Yes")</f>
        <v>1</v>
      </c>
      <c r="AK159" s="22" t="str">
        <f aca="false">IF(AND(N159&lt;&gt;"",X159&gt;1.1*N159),"Consented above capacity",IF(AND(LEFT(B159,8)="Planning",AJ159=0),"Consent parcel with no permission",IF(COUNTIF($A$2:$A$3000,$A159)&gt;1,"Duplicate parcel_id","")))</f>
        <v/>
      </c>
    </row>
    <row r="160" customFormat="false" ht="15" hidden="false" customHeight="false" outlineLevel="0" collapsed="false">
      <c r="A160" s="18" t="s">
        <v>332</v>
      </c>
      <c r="B160" s="18" t="s">
        <v>12</v>
      </c>
      <c r="C160" s="18" t="s">
        <v>15</v>
      </c>
      <c r="D160" s="18"/>
      <c r="E160" s="18" t="s">
        <v>141</v>
      </c>
      <c r="F160" s="18" t="s">
        <v>142</v>
      </c>
      <c r="G160" s="18" t="s">
        <v>333</v>
      </c>
      <c r="H160" s="18"/>
      <c r="I160" s="18"/>
      <c r="J160" s="18"/>
      <c r="K160" s="18"/>
      <c r="L160" s="18" t="n">
        <v>8.757</v>
      </c>
      <c r="M160" s="18" t="n">
        <v>8.757</v>
      </c>
      <c r="N160" s="18"/>
      <c r="O160" s="18" t="s">
        <v>283</v>
      </c>
      <c r="P160" s="18"/>
      <c r="Q160" s="18"/>
      <c r="R160" s="18" t="s">
        <v>98</v>
      </c>
      <c r="S160" s="18"/>
      <c r="T160" s="19" t="n">
        <f aca="false">SUMIFS(Permissions!$F$2:$F$3000,Permissions!$B$2:$B$3000,$A160,Permissions!$H$2:$H$3000,"Complete",Permissions!$I$2:$I$3000,"Yes")</f>
        <v>197</v>
      </c>
      <c r="U160" s="19" t="n">
        <f aca="false">SUMIFS(Permissions!$F$2:$F$3000,Permissions!$B$2:$B$3000,$A160,Permissions!$H$2:$H$3000,"Under construction",Permissions!$I$2:$I$3000,"Yes")</f>
        <v>188</v>
      </c>
      <c r="V160" s="19" t="n">
        <f aca="false">SUMIFS(Permissions!$F$2:$F$3000,Permissions!$B$2:$B$3000,$A160,Permissions!$H$2:$H$3000,"Permitted – not started",Permissions!$I$2:$I$3000,"Yes")</f>
        <v>0</v>
      </c>
      <c r="W160" s="19" t="n">
        <f aca="false">SUMIFS(Permissions!$F$2:$F$3000,Permissions!$B$2:$B$3000,$A160,Permissions!$H$2:$H$3000,"Stalled",Permissions!$I$2:$I$3000,"Yes")</f>
        <v>0</v>
      </c>
      <c r="X160" s="19" t="n">
        <f aca="false">T160+U160+V160+W160</f>
        <v>385</v>
      </c>
      <c r="Y160" s="19" t="n">
        <f aca="false">SUMIFS(Permissions!$F$2:$F$3000,Permissions!$B$2:$B$3000,$A160,Permissions!$H$2:$H$3000,"Expired – not started",Permissions!$I$2:$I$3000,"Yes")</f>
        <v>0</v>
      </c>
      <c r="Z160" s="19" t="n">
        <f aca="false">SUMIFS(Permissions!$F$2:$F$3000,Permissions!$B$2:$B$3000,$A160,Permissions!$H$2:$H$3000,"In planning",Permissions!$I$2:$I$3000,"Yes")</f>
        <v>0</v>
      </c>
      <c r="AA160" s="19" t="n">
        <f aca="false">IF(N160="",0,MAX(N160-X160,0))</f>
        <v>0</v>
      </c>
      <c r="AB160" s="20" t="n">
        <f aca="false">X160+AA160</f>
        <v>385</v>
      </c>
      <c r="AC160" s="19" t="n">
        <f aca="false">AB160-T160</f>
        <v>188</v>
      </c>
      <c r="AD160" s="21" t="n">
        <f aca="false">SUMIFS(Permissions!$T$2:$T$3000,Permissions!$B$2:$B$3000,$A160,Permissions!$I$2:$I$3000,"Yes")</f>
        <v>43.8</v>
      </c>
      <c r="AE160" s="21" t="n">
        <f aca="false">SUMIFS(Permissions!$U$2:$U$3000,Permissions!$B$2:$B$3000,$A160,Permissions!$I$2:$I$3000,"Yes")</f>
        <v>144.2</v>
      </c>
      <c r="AF160" s="21" t="n">
        <f aca="false">SUMIFS(Permissions!$V$2:$V$3000,Permissions!$B$2:$B$3000,$A160,Permissions!$I$2:$I$3000,"Yes")</f>
        <v>0</v>
      </c>
      <c r="AG160" s="21" t="n">
        <f aca="false">SUMIFS(Permissions!$W$2:$W$3000,Permissions!$B$2:$B$3000,$A160,Permissions!$I$2:$I$3000,"Yes")</f>
        <v>0</v>
      </c>
      <c r="AH160" s="21" t="n">
        <f aca="false">SUMIFS(Permissions!$X$2:$X$3000,Permissions!$B$2:$B$3000,$A160,Permissions!$I$2:$I$3000,"Yes")</f>
        <v>0</v>
      </c>
      <c r="AI160" s="21" t="n">
        <f aca="false">SUMIFS(Permissions!$Y$2:$Y$3000,Permissions!$B$2:$B$3000,$A160,Permissions!$I$2:$I$3000,"Yes")</f>
        <v>0</v>
      </c>
      <c r="AJ160" s="19" t="n">
        <f aca="false">COUNTIFS(Permissions!$B$2:$B$3000,$A160,Permissions!$I$2:$I$3000,"Yes")</f>
        <v>4</v>
      </c>
      <c r="AK160" s="22" t="str">
        <f aca="false">IF(AND(N160&lt;&gt;"",X160&gt;1.1*N160),"Consented above capacity",IF(AND(LEFT(B160,8)="Planning",AJ160=0),"Consent parcel with no permission",IF(COUNTIF($A$2:$A$3000,$A160)&gt;1,"Duplicate parcel_id","")))</f>
        <v/>
      </c>
    </row>
    <row r="161" customFormat="false" ht="15" hidden="false" customHeight="false" outlineLevel="0" collapsed="false">
      <c r="A161" s="18" t="s">
        <v>334</v>
      </c>
      <c r="B161" s="18" t="s">
        <v>12</v>
      </c>
      <c r="C161" s="18" t="s">
        <v>15</v>
      </c>
      <c r="D161" s="18"/>
      <c r="E161" s="18" t="s">
        <v>141</v>
      </c>
      <c r="F161" s="18" t="s">
        <v>142</v>
      </c>
      <c r="G161" s="18" t="s">
        <v>335</v>
      </c>
      <c r="H161" s="18"/>
      <c r="I161" s="18"/>
      <c r="J161" s="18"/>
      <c r="K161" s="18"/>
      <c r="L161" s="18" t="n">
        <v>3.249</v>
      </c>
      <c r="M161" s="18" t="n">
        <v>3.249</v>
      </c>
      <c r="N161" s="18"/>
      <c r="O161" s="18" t="s">
        <v>283</v>
      </c>
      <c r="P161" s="18"/>
      <c r="Q161" s="18"/>
      <c r="R161" s="18" t="s">
        <v>98</v>
      </c>
      <c r="S161" s="18"/>
      <c r="T161" s="19" t="n">
        <f aca="false">SUMIFS(Permissions!$F$2:$F$3000,Permissions!$B$2:$B$3000,$A161,Permissions!$H$2:$H$3000,"Complete",Permissions!$I$2:$I$3000,"Yes")</f>
        <v>38</v>
      </c>
      <c r="U161" s="19" t="n">
        <f aca="false">SUMIFS(Permissions!$F$2:$F$3000,Permissions!$B$2:$B$3000,$A161,Permissions!$H$2:$H$3000,"Under construction",Permissions!$I$2:$I$3000,"Yes")</f>
        <v>62</v>
      </c>
      <c r="V161" s="19" t="n">
        <f aca="false">SUMIFS(Permissions!$F$2:$F$3000,Permissions!$B$2:$B$3000,$A161,Permissions!$H$2:$H$3000,"Permitted – not started",Permissions!$I$2:$I$3000,"Yes")</f>
        <v>0</v>
      </c>
      <c r="W161" s="19" t="n">
        <f aca="false">SUMIFS(Permissions!$F$2:$F$3000,Permissions!$B$2:$B$3000,$A161,Permissions!$H$2:$H$3000,"Stalled",Permissions!$I$2:$I$3000,"Yes")</f>
        <v>0</v>
      </c>
      <c r="X161" s="19" t="n">
        <f aca="false">T161+U161+V161+W161</f>
        <v>100</v>
      </c>
      <c r="Y161" s="19" t="n">
        <f aca="false">SUMIFS(Permissions!$F$2:$F$3000,Permissions!$B$2:$B$3000,$A161,Permissions!$H$2:$H$3000,"Expired – not started",Permissions!$I$2:$I$3000,"Yes")</f>
        <v>0</v>
      </c>
      <c r="Z161" s="19" t="n">
        <f aca="false">SUMIFS(Permissions!$F$2:$F$3000,Permissions!$B$2:$B$3000,$A161,Permissions!$H$2:$H$3000,"In planning",Permissions!$I$2:$I$3000,"Yes")</f>
        <v>0</v>
      </c>
      <c r="AA161" s="19" t="n">
        <f aca="false">IF(N161="",0,MAX(N161-X161,0))</f>
        <v>0</v>
      </c>
      <c r="AB161" s="20" t="n">
        <f aca="false">X161+AA161</f>
        <v>100</v>
      </c>
      <c r="AC161" s="19" t="n">
        <f aca="false">AB161-T161</f>
        <v>62</v>
      </c>
      <c r="AD161" s="21" t="n">
        <f aca="false">SUMIFS(Permissions!$T$2:$T$3000,Permissions!$B$2:$B$3000,$A161,Permissions!$I$2:$I$3000,"Yes")</f>
        <v>14.4</v>
      </c>
      <c r="AE161" s="21" t="n">
        <f aca="false">SUMIFS(Permissions!$U$2:$U$3000,Permissions!$B$2:$B$3000,$A161,Permissions!$I$2:$I$3000,"Yes")</f>
        <v>47.6</v>
      </c>
      <c r="AF161" s="21" t="n">
        <f aca="false">SUMIFS(Permissions!$V$2:$V$3000,Permissions!$B$2:$B$3000,$A161,Permissions!$I$2:$I$3000,"Yes")</f>
        <v>0</v>
      </c>
      <c r="AG161" s="21" t="n">
        <f aca="false">SUMIFS(Permissions!$W$2:$W$3000,Permissions!$B$2:$B$3000,$A161,Permissions!$I$2:$I$3000,"Yes")</f>
        <v>0</v>
      </c>
      <c r="AH161" s="21" t="n">
        <f aca="false">SUMIFS(Permissions!$X$2:$X$3000,Permissions!$B$2:$B$3000,$A161,Permissions!$I$2:$I$3000,"Yes")</f>
        <v>0</v>
      </c>
      <c r="AI161" s="21" t="n">
        <f aca="false">SUMIFS(Permissions!$Y$2:$Y$3000,Permissions!$B$2:$B$3000,$A161,Permissions!$I$2:$I$3000,"Yes")</f>
        <v>0</v>
      </c>
      <c r="AJ161" s="19" t="n">
        <f aca="false">COUNTIFS(Permissions!$B$2:$B$3000,$A161,Permissions!$I$2:$I$3000,"Yes")</f>
        <v>2</v>
      </c>
      <c r="AK161" s="22" t="str">
        <f aca="false">IF(AND(N161&lt;&gt;"",X161&gt;1.1*N161),"Consented above capacity",IF(AND(LEFT(B161,8)="Planning",AJ161=0),"Consent parcel with no permission",IF(COUNTIF($A$2:$A$3000,$A161)&gt;1,"Duplicate parcel_id","")))</f>
        <v/>
      </c>
    </row>
    <row r="162" customFormat="false" ht="15" hidden="false" customHeight="false" outlineLevel="0" collapsed="false">
      <c r="A162" s="18" t="s">
        <v>336</v>
      </c>
      <c r="B162" s="18" t="s">
        <v>12</v>
      </c>
      <c r="C162" s="18" t="s">
        <v>15</v>
      </c>
      <c r="D162" s="18"/>
      <c r="E162" s="18" t="s">
        <v>141</v>
      </c>
      <c r="F162" s="18" t="s">
        <v>142</v>
      </c>
      <c r="G162" s="18" t="s">
        <v>337</v>
      </c>
      <c r="H162" s="18"/>
      <c r="I162" s="18"/>
      <c r="J162" s="18"/>
      <c r="K162" s="18"/>
      <c r="L162" s="18" t="n">
        <v>0.085</v>
      </c>
      <c r="M162" s="18" t="n">
        <v>0.085</v>
      </c>
      <c r="N162" s="18"/>
      <c r="O162" s="18" t="s">
        <v>283</v>
      </c>
      <c r="P162" s="18"/>
      <c r="Q162" s="18"/>
      <c r="R162" s="18" t="s">
        <v>98</v>
      </c>
      <c r="S162" s="18"/>
      <c r="T162" s="19" t="n">
        <f aca="false">SUMIFS(Permissions!$F$2:$F$3000,Permissions!$B$2:$B$3000,$A162,Permissions!$H$2:$H$3000,"Complete",Permissions!$I$2:$I$3000,"Yes")</f>
        <v>0</v>
      </c>
      <c r="U162" s="19" t="n">
        <f aca="false">SUMIFS(Permissions!$F$2:$F$3000,Permissions!$B$2:$B$3000,$A162,Permissions!$H$2:$H$3000,"Under construction",Permissions!$I$2:$I$3000,"Yes")</f>
        <v>2</v>
      </c>
      <c r="V162" s="19" t="n">
        <f aca="false">SUMIFS(Permissions!$F$2:$F$3000,Permissions!$B$2:$B$3000,$A162,Permissions!$H$2:$H$3000,"Permitted – not started",Permissions!$I$2:$I$3000,"Yes")</f>
        <v>0</v>
      </c>
      <c r="W162" s="19" t="n">
        <f aca="false">SUMIFS(Permissions!$F$2:$F$3000,Permissions!$B$2:$B$3000,$A162,Permissions!$H$2:$H$3000,"Stalled",Permissions!$I$2:$I$3000,"Yes")</f>
        <v>0</v>
      </c>
      <c r="X162" s="19" t="n">
        <f aca="false">T162+U162+V162+W162</f>
        <v>2</v>
      </c>
      <c r="Y162" s="19" t="n">
        <f aca="false">SUMIFS(Permissions!$F$2:$F$3000,Permissions!$B$2:$B$3000,$A162,Permissions!$H$2:$H$3000,"Expired – not started",Permissions!$I$2:$I$3000,"Yes")</f>
        <v>0</v>
      </c>
      <c r="Z162" s="19" t="n">
        <f aca="false">SUMIFS(Permissions!$F$2:$F$3000,Permissions!$B$2:$B$3000,$A162,Permissions!$H$2:$H$3000,"In planning",Permissions!$I$2:$I$3000,"Yes")</f>
        <v>0</v>
      </c>
      <c r="AA162" s="19" t="n">
        <f aca="false">IF(N162="",0,MAX(N162-X162,0))</f>
        <v>0</v>
      </c>
      <c r="AB162" s="20" t="n">
        <f aca="false">X162+AA162</f>
        <v>2</v>
      </c>
      <c r="AC162" s="19" t="n">
        <f aca="false">AB162-T162</f>
        <v>2</v>
      </c>
      <c r="AD162" s="21" t="n">
        <f aca="false">SUMIFS(Permissions!$T$2:$T$3000,Permissions!$B$2:$B$3000,$A162,Permissions!$I$2:$I$3000,"Yes")</f>
        <v>0.5</v>
      </c>
      <c r="AE162" s="21" t="n">
        <f aca="false">SUMIFS(Permissions!$U$2:$U$3000,Permissions!$B$2:$B$3000,$A162,Permissions!$I$2:$I$3000,"Yes")</f>
        <v>1.5</v>
      </c>
      <c r="AF162" s="21" t="n">
        <f aca="false">SUMIFS(Permissions!$V$2:$V$3000,Permissions!$B$2:$B$3000,$A162,Permissions!$I$2:$I$3000,"Yes")</f>
        <v>0</v>
      </c>
      <c r="AG162" s="21" t="n">
        <f aca="false">SUMIFS(Permissions!$W$2:$W$3000,Permissions!$B$2:$B$3000,$A162,Permissions!$I$2:$I$3000,"Yes")</f>
        <v>0</v>
      </c>
      <c r="AH162" s="21" t="n">
        <f aca="false">SUMIFS(Permissions!$X$2:$X$3000,Permissions!$B$2:$B$3000,$A162,Permissions!$I$2:$I$3000,"Yes")</f>
        <v>0</v>
      </c>
      <c r="AI162" s="21" t="n">
        <f aca="false">SUMIFS(Permissions!$Y$2:$Y$3000,Permissions!$B$2:$B$3000,$A162,Permissions!$I$2:$I$3000,"Yes")</f>
        <v>0</v>
      </c>
      <c r="AJ162" s="19" t="n">
        <f aca="false">COUNTIFS(Permissions!$B$2:$B$3000,$A162,Permissions!$I$2:$I$3000,"Yes")</f>
        <v>1</v>
      </c>
      <c r="AK162" s="22" t="str">
        <f aca="false">IF(AND(N162&lt;&gt;"",X162&gt;1.1*N162),"Consented above capacity",IF(AND(LEFT(B162,8)="Planning",AJ162=0),"Consent parcel with no permission",IF(COUNTIF($A$2:$A$3000,$A162)&gt;1,"Duplicate parcel_id","")))</f>
        <v/>
      </c>
    </row>
    <row r="163" customFormat="false" ht="15" hidden="false" customHeight="false" outlineLevel="0" collapsed="false">
      <c r="A163" s="18" t="s">
        <v>338</v>
      </c>
      <c r="B163" s="18" t="s">
        <v>12</v>
      </c>
      <c r="C163" s="18" t="s">
        <v>15</v>
      </c>
      <c r="D163" s="18"/>
      <c r="E163" s="18" t="s">
        <v>141</v>
      </c>
      <c r="F163" s="18" t="s">
        <v>142</v>
      </c>
      <c r="G163" s="18" t="s">
        <v>339</v>
      </c>
      <c r="H163" s="18"/>
      <c r="I163" s="18"/>
      <c r="J163" s="18"/>
      <c r="K163" s="18"/>
      <c r="L163" s="18" t="n">
        <v>0.81</v>
      </c>
      <c r="M163" s="18" t="n">
        <v>0.81</v>
      </c>
      <c r="N163" s="18"/>
      <c r="O163" s="18" t="s">
        <v>283</v>
      </c>
      <c r="P163" s="18"/>
      <c r="Q163" s="18"/>
      <c r="R163" s="18" t="s">
        <v>98</v>
      </c>
      <c r="S163" s="18"/>
      <c r="T163" s="19" t="n">
        <f aca="false">SUMIFS(Permissions!$F$2:$F$3000,Permissions!$B$2:$B$3000,$A163,Permissions!$H$2:$H$3000,"Complete",Permissions!$I$2:$I$3000,"Yes")</f>
        <v>0</v>
      </c>
      <c r="U163" s="19" t="n">
        <f aca="false">SUMIFS(Permissions!$F$2:$F$3000,Permissions!$B$2:$B$3000,$A163,Permissions!$H$2:$H$3000,"Under construction",Permissions!$I$2:$I$3000,"Yes")</f>
        <v>14</v>
      </c>
      <c r="V163" s="19" t="n">
        <f aca="false">SUMIFS(Permissions!$F$2:$F$3000,Permissions!$B$2:$B$3000,$A163,Permissions!$H$2:$H$3000,"Permitted – not started",Permissions!$I$2:$I$3000,"Yes")</f>
        <v>0</v>
      </c>
      <c r="W163" s="19" t="n">
        <f aca="false">SUMIFS(Permissions!$F$2:$F$3000,Permissions!$B$2:$B$3000,$A163,Permissions!$H$2:$H$3000,"Stalled",Permissions!$I$2:$I$3000,"Yes")</f>
        <v>0</v>
      </c>
      <c r="X163" s="19" t="n">
        <f aca="false">T163+U163+V163+W163</f>
        <v>14</v>
      </c>
      <c r="Y163" s="19" t="n">
        <f aca="false">SUMIFS(Permissions!$F$2:$F$3000,Permissions!$B$2:$B$3000,$A163,Permissions!$H$2:$H$3000,"Expired – not started",Permissions!$I$2:$I$3000,"Yes")</f>
        <v>0</v>
      </c>
      <c r="Z163" s="19" t="n">
        <f aca="false">SUMIFS(Permissions!$F$2:$F$3000,Permissions!$B$2:$B$3000,$A163,Permissions!$H$2:$H$3000,"In planning",Permissions!$I$2:$I$3000,"Yes")</f>
        <v>0</v>
      </c>
      <c r="AA163" s="19" t="n">
        <f aca="false">IF(N163="",0,MAX(N163-X163,0))</f>
        <v>0</v>
      </c>
      <c r="AB163" s="20" t="n">
        <f aca="false">X163+AA163</f>
        <v>14</v>
      </c>
      <c r="AC163" s="19" t="n">
        <f aca="false">AB163-T163</f>
        <v>14</v>
      </c>
      <c r="AD163" s="21" t="n">
        <f aca="false">SUMIFS(Permissions!$T$2:$T$3000,Permissions!$B$2:$B$3000,$A163,Permissions!$I$2:$I$3000,"Yes")</f>
        <v>3.3</v>
      </c>
      <c r="AE163" s="21" t="n">
        <f aca="false">SUMIFS(Permissions!$U$2:$U$3000,Permissions!$B$2:$B$3000,$A163,Permissions!$I$2:$I$3000,"Yes")</f>
        <v>10.7</v>
      </c>
      <c r="AF163" s="21" t="n">
        <f aca="false">SUMIFS(Permissions!$V$2:$V$3000,Permissions!$B$2:$B$3000,$A163,Permissions!$I$2:$I$3000,"Yes")</f>
        <v>0</v>
      </c>
      <c r="AG163" s="21" t="n">
        <f aca="false">SUMIFS(Permissions!$W$2:$W$3000,Permissions!$B$2:$B$3000,$A163,Permissions!$I$2:$I$3000,"Yes")</f>
        <v>0</v>
      </c>
      <c r="AH163" s="21" t="n">
        <f aca="false">SUMIFS(Permissions!$X$2:$X$3000,Permissions!$B$2:$B$3000,$A163,Permissions!$I$2:$I$3000,"Yes")</f>
        <v>0</v>
      </c>
      <c r="AI163" s="21" t="n">
        <f aca="false">SUMIFS(Permissions!$Y$2:$Y$3000,Permissions!$B$2:$B$3000,$A163,Permissions!$I$2:$I$3000,"Yes")</f>
        <v>0</v>
      </c>
      <c r="AJ163" s="19" t="n">
        <f aca="false">COUNTIFS(Permissions!$B$2:$B$3000,$A163,Permissions!$I$2:$I$3000,"Yes")</f>
        <v>1</v>
      </c>
      <c r="AK163" s="22" t="str">
        <f aca="false">IF(AND(N163&lt;&gt;"",X163&gt;1.1*N163),"Consented above capacity",IF(AND(LEFT(B163,8)="Planning",AJ163=0),"Consent parcel with no permission",IF(COUNTIF($A$2:$A$3000,$A163)&gt;1,"Duplicate parcel_id","")))</f>
        <v/>
      </c>
    </row>
    <row r="164" customFormat="false" ht="15" hidden="false" customHeight="false" outlineLevel="0" collapsed="false">
      <c r="A164" s="18" t="s">
        <v>340</v>
      </c>
      <c r="B164" s="18" t="s">
        <v>12</v>
      </c>
      <c r="C164" s="18" t="s">
        <v>15</v>
      </c>
      <c r="D164" s="18"/>
      <c r="E164" s="18" t="s">
        <v>141</v>
      </c>
      <c r="F164" s="18" t="s">
        <v>142</v>
      </c>
      <c r="G164" s="18" t="s">
        <v>341</v>
      </c>
      <c r="H164" s="18"/>
      <c r="I164" s="18"/>
      <c r="J164" s="18"/>
      <c r="K164" s="18"/>
      <c r="L164" s="18" t="n">
        <v>3.097</v>
      </c>
      <c r="M164" s="18" t="n">
        <v>3.097</v>
      </c>
      <c r="N164" s="18"/>
      <c r="O164" s="18" t="s">
        <v>283</v>
      </c>
      <c r="P164" s="18"/>
      <c r="Q164" s="18"/>
      <c r="R164" s="18" t="s">
        <v>98</v>
      </c>
      <c r="S164" s="18"/>
      <c r="T164" s="19" t="n">
        <f aca="false">SUMIFS(Permissions!$F$2:$F$3000,Permissions!$B$2:$B$3000,$A164,Permissions!$H$2:$H$3000,"Complete",Permissions!$I$2:$I$3000,"Yes")</f>
        <v>0</v>
      </c>
      <c r="U164" s="19" t="n">
        <f aca="false">SUMIFS(Permissions!$F$2:$F$3000,Permissions!$B$2:$B$3000,$A164,Permissions!$H$2:$H$3000,"Under construction",Permissions!$I$2:$I$3000,"Yes")</f>
        <v>122</v>
      </c>
      <c r="V164" s="19" t="n">
        <f aca="false">SUMIFS(Permissions!$F$2:$F$3000,Permissions!$B$2:$B$3000,$A164,Permissions!$H$2:$H$3000,"Permitted – not started",Permissions!$I$2:$I$3000,"Yes")</f>
        <v>0</v>
      </c>
      <c r="W164" s="19" t="n">
        <f aca="false">SUMIFS(Permissions!$F$2:$F$3000,Permissions!$B$2:$B$3000,$A164,Permissions!$H$2:$H$3000,"Stalled",Permissions!$I$2:$I$3000,"Yes")</f>
        <v>0</v>
      </c>
      <c r="X164" s="19" t="n">
        <f aca="false">T164+U164+V164+W164</f>
        <v>122</v>
      </c>
      <c r="Y164" s="19" t="n">
        <f aca="false">SUMIFS(Permissions!$F$2:$F$3000,Permissions!$B$2:$B$3000,$A164,Permissions!$H$2:$H$3000,"Expired – not started",Permissions!$I$2:$I$3000,"Yes")</f>
        <v>0</v>
      </c>
      <c r="Z164" s="19" t="n">
        <f aca="false">SUMIFS(Permissions!$F$2:$F$3000,Permissions!$B$2:$B$3000,$A164,Permissions!$H$2:$H$3000,"In planning",Permissions!$I$2:$I$3000,"Yes")</f>
        <v>0</v>
      </c>
      <c r="AA164" s="19" t="n">
        <f aca="false">IF(N164="",0,MAX(N164-X164,0))</f>
        <v>0</v>
      </c>
      <c r="AB164" s="20" t="n">
        <f aca="false">X164+AA164</f>
        <v>122</v>
      </c>
      <c r="AC164" s="19" t="n">
        <f aca="false">AB164-T164</f>
        <v>122</v>
      </c>
      <c r="AD164" s="21" t="n">
        <f aca="false">SUMIFS(Permissions!$T$2:$T$3000,Permissions!$B$2:$B$3000,$A164,Permissions!$I$2:$I$3000,"Yes")</f>
        <v>28.4</v>
      </c>
      <c r="AE164" s="21" t="n">
        <f aca="false">SUMIFS(Permissions!$U$2:$U$3000,Permissions!$B$2:$B$3000,$A164,Permissions!$I$2:$I$3000,"Yes")</f>
        <v>93.6</v>
      </c>
      <c r="AF164" s="21" t="n">
        <f aca="false">SUMIFS(Permissions!$V$2:$V$3000,Permissions!$B$2:$B$3000,$A164,Permissions!$I$2:$I$3000,"Yes")</f>
        <v>0</v>
      </c>
      <c r="AG164" s="21" t="n">
        <f aca="false">SUMIFS(Permissions!$W$2:$W$3000,Permissions!$B$2:$B$3000,$A164,Permissions!$I$2:$I$3000,"Yes")</f>
        <v>0</v>
      </c>
      <c r="AH164" s="21" t="n">
        <f aca="false">SUMIFS(Permissions!$X$2:$X$3000,Permissions!$B$2:$B$3000,$A164,Permissions!$I$2:$I$3000,"Yes")</f>
        <v>0</v>
      </c>
      <c r="AI164" s="21" t="n">
        <f aca="false">SUMIFS(Permissions!$Y$2:$Y$3000,Permissions!$B$2:$B$3000,$A164,Permissions!$I$2:$I$3000,"Yes")</f>
        <v>0</v>
      </c>
      <c r="AJ164" s="19" t="n">
        <f aca="false">COUNTIFS(Permissions!$B$2:$B$3000,$A164,Permissions!$I$2:$I$3000,"Yes")</f>
        <v>1</v>
      </c>
      <c r="AK164" s="22" t="str">
        <f aca="false">IF(AND(N164&lt;&gt;"",X164&gt;1.1*N164),"Consented above capacity",IF(AND(LEFT(B164,8)="Planning",AJ164=0),"Consent parcel with no permission",IF(COUNTIF($A$2:$A$3000,$A164)&gt;1,"Duplicate parcel_id","")))</f>
        <v/>
      </c>
    </row>
    <row r="165" customFormat="false" ht="15" hidden="false" customHeight="false" outlineLevel="0" collapsed="false">
      <c r="A165" s="18" t="s">
        <v>342</v>
      </c>
      <c r="B165" s="18" t="s">
        <v>12</v>
      </c>
      <c r="C165" s="18" t="s">
        <v>15</v>
      </c>
      <c r="D165" s="18"/>
      <c r="E165" s="18" t="s">
        <v>141</v>
      </c>
      <c r="F165" s="18" t="s">
        <v>142</v>
      </c>
      <c r="G165" s="18" t="s">
        <v>343</v>
      </c>
      <c r="H165" s="18"/>
      <c r="I165" s="18"/>
      <c r="J165" s="18"/>
      <c r="K165" s="18"/>
      <c r="L165" s="18" t="n">
        <v>0.196</v>
      </c>
      <c r="M165" s="18" t="n">
        <v>0.196</v>
      </c>
      <c r="N165" s="18"/>
      <c r="O165" s="18" t="s">
        <v>283</v>
      </c>
      <c r="P165" s="18"/>
      <c r="Q165" s="18" t="s">
        <v>308</v>
      </c>
      <c r="R165" s="18" t="s">
        <v>98</v>
      </c>
      <c r="S165" s="18"/>
      <c r="T165" s="19" t="n">
        <f aca="false">SUMIFS(Permissions!$F$2:$F$3000,Permissions!$B$2:$B$3000,$A165,Permissions!$H$2:$H$3000,"Complete",Permissions!$I$2:$I$3000,"Yes")</f>
        <v>0</v>
      </c>
      <c r="U165" s="19" t="n">
        <f aca="false">SUMIFS(Permissions!$F$2:$F$3000,Permissions!$B$2:$B$3000,$A165,Permissions!$H$2:$H$3000,"Under construction",Permissions!$I$2:$I$3000,"Yes")</f>
        <v>6</v>
      </c>
      <c r="V165" s="19" t="n">
        <f aca="false">SUMIFS(Permissions!$F$2:$F$3000,Permissions!$B$2:$B$3000,$A165,Permissions!$H$2:$H$3000,"Permitted – not started",Permissions!$I$2:$I$3000,"Yes")</f>
        <v>0</v>
      </c>
      <c r="W165" s="19" t="n">
        <f aca="false">SUMIFS(Permissions!$F$2:$F$3000,Permissions!$B$2:$B$3000,$A165,Permissions!$H$2:$H$3000,"Stalled",Permissions!$I$2:$I$3000,"Yes")</f>
        <v>0</v>
      </c>
      <c r="X165" s="19" t="n">
        <f aca="false">T165+U165+V165+W165</f>
        <v>6</v>
      </c>
      <c r="Y165" s="19" t="n">
        <f aca="false">SUMIFS(Permissions!$F$2:$F$3000,Permissions!$B$2:$B$3000,$A165,Permissions!$H$2:$H$3000,"Expired – not started",Permissions!$I$2:$I$3000,"Yes")</f>
        <v>0</v>
      </c>
      <c r="Z165" s="19" t="n">
        <f aca="false">SUMIFS(Permissions!$F$2:$F$3000,Permissions!$B$2:$B$3000,$A165,Permissions!$H$2:$H$3000,"In planning",Permissions!$I$2:$I$3000,"Yes")</f>
        <v>0</v>
      </c>
      <c r="AA165" s="19" t="n">
        <f aca="false">IF(N165="",0,MAX(N165-X165,0))</f>
        <v>0</v>
      </c>
      <c r="AB165" s="20" t="n">
        <f aca="false">X165+AA165</f>
        <v>6</v>
      </c>
      <c r="AC165" s="19" t="n">
        <f aca="false">AB165-T165</f>
        <v>6</v>
      </c>
      <c r="AD165" s="21" t="n">
        <f aca="false">SUMIFS(Permissions!$T$2:$T$3000,Permissions!$B$2:$B$3000,$A165,Permissions!$I$2:$I$3000,"Yes")</f>
        <v>0</v>
      </c>
      <c r="AE165" s="21" t="n">
        <f aca="false">SUMIFS(Permissions!$U$2:$U$3000,Permissions!$B$2:$B$3000,$A165,Permissions!$I$2:$I$3000,"Yes")</f>
        <v>4.7</v>
      </c>
      <c r="AF165" s="21" t="n">
        <f aca="false">SUMIFS(Permissions!$V$2:$V$3000,Permissions!$B$2:$B$3000,$A165,Permissions!$I$2:$I$3000,"Yes")</f>
        <v>1.3</v>
      </c>
      <c r="AG165" s="21" t="n">
        <f aca="false">SUMIFS(Permissions!$W$2:$W$3000,Permissions!$B$2:$B$3000,$A165,Permissions!$I$2:$I$3000,"Yes")</f>
        <v>0</v>
      </c>
      <c r="AH165" s="21" t="n">
        <f aca="false">SUMIFS(Permissions!$X$2:$X$3000,Permissions!$B$2:$B$3000,$A165,Permissions!$I$2:$I$3000,"Yes")</f>
        <v>0</v>
      </c>
      <c r="AI165" s="21" t="n">
        <f aca="false">SUMIFS(Permissions!$Y$2:$Y$3000,Permissions!$B$2:$B$3000,$A165,Permissions!$I$2:$I$3000,"Yes")</f>
        <v>0</v>
      </c>
      <c r="AJ165" s="19" t="n">
        <f aca="false">COUNTIFS(Permissions!$B$2:$B$3000,$A165,Permissions!$I$2:$I$3000,"Yes")</f>
        <v>1</v>
      </c>
      <c r="AK165" s="22" t="str">
        <f aca="false">IF(AND(N165&lt;&gt;"",X165&gt;1.1*N165),"Consented above capacity",IF(AND(LEFT(B165,8)="Planning",AJ165=0),"Consent parcel with no permission",IF(COUNTIF($A$2:$A$3000,$A165)&gt;1,"Duplicate parcel_id","")))</f>
        <v/>
      </c>
    </row>
    <row r="166" customFormat="false" ht="15" hidden="false" customHeight="false" outlineLevel="0" collapsed="false">
      <c r="A166" s="18" t="s">
        <v>344</v>
      </c>
      <c r="B166" s="18" t="s">
        <v>12</v>
      </c>
      <c r="C166" s="18" t="s">
        <v>15</v>
      </c>
      <c r="D166" s="18"/>
      <c r="E166" s="18" t="s">
        <v>141</v>
      </c>
      <c r="F166" s="18" t="s">
        <v>142</v>
      </c>
      <c r="G166" s="18" t="s">
        <v>345</v>
      </c>
      <c r="H166" s="18"/>
      <c r="I166" s="18"/>
      <c r="J166" s="18"/>
      <c r="K166" s="18"/>
      <c r="L166" s="18" t="n">
        <v>0.196</v>
      </c>
      <c r="M166" s="18" t="n">
        <v>0.196</v>
      </c>
      <c r="N166" s="18"/>
      <c r="O166" s="18" t="s">
        <v>283</v>
      </c>
      <c r="P166" s="18"/>
      <c r="Q166" s="18" t="s">
        <v>308</v>
      </c>
      <c r="R166" s="18" t="s">
        <v>98</v>
      </c>
      <c r="S166" s="18"/>
      <c r="T166" s="19" t="n">
        <f aca="false">SUMIFS(Permissions!$F$2:$F$3000,Permissions!$B$2:$B$3000,$A166,Permissions!$H$2:$H$3000,"Complete",Permissions!$I$2:$I$3000,"Yes")</f>
        <v>0</v>
      </c>
      <c r="U166" s="19" t="n">
        <f aca="false">SUMIFS(Permissions!$F$2:$F$3000,Permissions!$B$2:$B$3000,$A166,Permissions!$H$2:$H$3000,"Under construction",Permissions!$I$2:$I$3000,"Yes")</f>
        <v>0</v>
      </c>
      <c r="V166" s="19" t="n">
        <f aca="false">SUMIFS(Permissions!$F$2:$F$3000,Permissions!$B$2:$B$3000,$A166,Permissions!$H$2:$H$3000,"Permitted – not started",Permissions!$I$2:$I$3000,"Yes")</f>
        <v>4</v>
      </c>
      <c r="W166" s="19" t="n">
        <f aca="false">SUMIFS(Permissions!$F$2:$F$3000,Permissions!$B$2:$B$3000,$A166,Permissions!$H$2:$H$3000,"Stalled",Permissions!$I$2:$I$3000,"Yes")</f>
        <v>0</v>
      </c>
      <c r="X166" s="19" t="n">
        <f aca="false">T166+U166+V166+W166</f>
        <v>4</v>
      </c>
      <c r="Y166" s="19" t="n">
        <f aca="false">SUMIFS(Permissions!$F$2:$F$3000,Permissions!$B$2:$B$3000,$A166,Permissions!$H$2:$H$3000,"Expired – not started",Permissions!$I$2:$I$3000,"Yes")</f>
        <v>0</v>
      </c>
      <c r="Z166" s="19" t="n">
        <f aca="false">SUMIFS(Permissions!$F$2:$F$3000,Permissions!$B$2:$B$3000,$A166,Permissions!$H$2:$H$3000,"In planning",Permissions!$I$2:$I$3000,"Yes")</f>
        <v>0</v>
      </c>
      <c r="AA166" s="19" t="n">
        <f aca="false">IF(N166="",0,MAX(N166-X166,0))</f>
        <v>0</v>
      </c>
      <c r="AB166" s="20" t="n">
        <f aca="false">X166+AA166</f>
        <v>4</v>
      </c>
      <c r="AC166" s="19" t="n">
        <f aca="false">AB166-T166</f>
        <v>4</v>
      </c>
      <c r="AD166" s="21" t="n">
        <f aca="false">SUMIFS(Permissions!$T$2:$T$3000,Permissions!$B$2:$B$3000,$A166,Permissions!$I$2:$I$3000,"Yes")</f>
        <v>0</v>
      </c>
      <c r="AE166" s="21" t="n">
        <f aca="false">SUMIFS(Permissions!$U$2:$U$3000,Permissions!$B$2:$B$3000,$A166,Permissions!$I$2:$I$3000,"Yes")</f>
        <v>0</v>
      </c>
      <c r="AF166" s="21" t="n">
        <f aca="false">SUMIFS(Permissions!$V$2:$V$3000,Permissions!$B$2:$B$3000,$A166,Permissions!$I$2:$I$3000,"Yes")</f>
        <v>1.2</v>
      </c>
      <c r="AG166" s="21" t="n">
        <f aca="false">SUMIFS(Permissions!$W$2:$W$3000,Permissions!$B$2:$B$3000,$A166,Permissions!$I$2:$I$3000,"Yes")</f>
        <v>2.8</v>
      </c>
      <c r="AH166" s="21" t="n">
        <f aca="false">SUMIFS(Permissions!$X$2:$X$3000,Permissions!$B$2:$B$3000,$A166,Permissions!$I$2:$I$3000,"Yes")</f>
        <v>0</v>
      </c>
      <c r="AI166" s="21" t="n">
        <f aca="false">SUMIFS(Permissions!$Y$2:$Y$3000,Permissions!$B$2:$B$3000,$A166,Permissions!$I$2:$I$3000,"Yes")</f>
        <v>0</v>
      </c>
      <c r="AJ166" s="19" t="n">
        <f aca="false">COUNTIFS(Permissions!$B$2:$B$3000,$A166,Permissions!$I$2:$I$3000,"Yes")</f>
        <v>1</v>
      </c>
      <c r="AK166" s="22" t="str">
        <f aca="false">IF(AND(N166&lt;&gt;"",X166&gt;1.1*N166),"Consented above capacity",IF(AND(LEFT(B166,8)="Planning",AJ166=0),"Consent parcel with no permission",IF(COUNTIF($A$2:$A$3000,$A166)&gt;1,"Duplicate parcel_id","")))</f>
        <v/>
      </c>
    </row>
    <row r="167" customFormat="false" ht="15" hidden="false" customHeight="false" outlineLevel="0" collapsed="false">
      <c r="A167" s="18" t="s">
        <v>346</v>
      </c>
      <c r="B167" s="18" t="s">
        <v>12</v>
      </c>
      <c r="C167" s="18" t="s">
        <v>15</v>
      </c>
      <c r="D167" s="18"/>
      <c r="E167" s="18" t="s">
        <v>141</v>
      </c>
      <c r="F167" s="18" t="s">
        <v>142</v>
      </c>
      <c r="G167" s="18" t="s">
        <v>347</v>
      </c>
      <c r="H167" s="18"/>
      <c r="I167" s="18"/>
      <c r="J167" s="18"/>
      <c r="K167" s="18"/>
      <c r="L167" s="18" t="n">
        <v>18.97</v>
      </c>
      <c r="M167" s="18" t="n">
        <v>18.97</v>
      </c>
      <c r="N167" s="18"/>
      <c r="O167" s="18" t="s">
        <v>283</v>
      </c>
      <c r="P167" s="18"/>
      <c r="Q167" s="18"/>
      <c r="R167" s="18" t="s">
        <v>98</v>
      </c>
      <c r="S167" s="18"/>
      <c r="T167" s="19" t="n">
        <f aca="false">SUMIFS(Permissions!$F$2:$F$3000,Permissions!$B$2:$B$3000,$A167,Permissions!$H$2:$H$3000,"Complete",Permissions!$I$2:$I$3000,"Yes")</f>
        <v>221</v>
      </c>
      <c r="U167" s="19" t="n">
        <f aca="false">SUMIFS(Permissions!$F$2:$F$3000,Permissions!$B$2:$B$3000,$A167,Permissions!$H$2:$H$3000,"Under construction",Permissions!$I$2:$I$3000,"Yes")</f>
        <v>77</v>
      </c>
      <c r="V167" s="19" t="n">
        <f aca="false">SUMIFS(Permissions!$F$2:$F$3000,Permissions!$B$2:$B$3000,$A167,Permissions!$H$2:$H$3000,"Permitted – not started",Permissions!$I$2:$I$3000,"Yes")</f>
        <v>0</v>
      </c>
      <c r="W167" s="19" t="n">
        <f aca="false">SUMIFS(Permissions!$F$2:$F$3000,Permissions!$B$2:$B$3000,$A167,Permissions!$H$2:$H$3000,"Stalled",Permissions!$I$2:$I$3000,"Yes")</f>
        <v>0</v>
      </c>
      <c r="X167" s="19" t="n">
        <f aca="false">T167+U167+V167+W167</f>
        <v>298</v>
      </c>
      <c r="Y167" s="19" t="n">
        <f aca="false">SUMIFS(Permissions!$F$2:$F$3000,Permissions!$B$2:$B$3000,$A167,Permissions!$H$2:$H$3000,"Expired – not started",Permissions!$I$2:$I$3000,"Yes")</f>
        <v>0</v>
      </c>
      <c r="Z167" s="19" t="n">
        <f aca="false">SUMIFS(Permissions!$F$2:$F$3000,Permissions!$B$2:$B$3000,$A167,Permissions!$H$2:$H$3000,"In planning",Permissions!$I$2:$I$3000,"Yes")</f>
        <v>0</v>
      </c>
      <c r="AA167" s="19" t="n">
        <f aca="false">IF(N167="",0,MAX(N167-X167,0))</f>
        <v>0</v>
      </c>
      <c r="AB167" s="20" t="n">
        <f aca="false">X167+AA167</f>
        <v>298</v>
      </c>
      <c r="AC167" s="19" t="n">
        <f aca="false">AB167-T167</f>
        <v>77</v>
      </c>
      <c r="AD167" s="21" t="n">
        <f aca="false">SUMIFS(Permissions!$T$2:$T$3000,Permissions!$B$2:$B$3000,$A167,Permissions!$I$2:$I$3000,"Yes")</f>
        <v>18</v>
      </c>
      <c r="AE167" s="21" t="n">
        <f aca="false">SUMIFS(Permissions!$U$2:$U$3000,Permissions!$B$2:$B$3000,$A167,Permissions!$I$2:$I$3000,"Yes")</f>
        <v>59</v>
      </c>
      <c r="AF167" s="21" t="n">
        <f aca="false">SUMIFS(Permissions!$V$2:$V$3000,Permissions!$B$2:$B$3000,$A167,Permissions!$I$2:$I$3000,"Yes")</f>
        <v>0</v>
      </c>
      <c r="AG167" s="21" t="n">
        <f aca="false">SUMIFS(Permissions!$W$2:$W$3000,Permissions!$B$2:$B$3000,$A167,Permissions!$I$2:$I$3000,"Yes")</f>
        <v>0</v>
      </c>
      <c r="AH167" s="21" t="n">
        <f aca="false">SUMIFS(Permissions!$X$2:$X$3000,Permissions!$B$2:$B$3000,$A167,Permissions!$I$2:$I$3000,"Yes")</f>
        <v>0</v>
      </c>
      <c r="AI167" s="21" t="n">
        <f aca="false">SUMIFS(Permissions!$Y$2:$Y$3000,Permissions!$B$2:$B$3000,$A167,Permissions!$I$2:$I$3000,"Yes")</f>
        <v>0</v>
      </c>
      <c r="AJ167" s="19" t="n">
        <f aca="false">COUNTIFS(Permissions!$B$2:$B$3000,$A167,Permissions!$I$2:$I$3000,"Yes")</f>
        <v>4</v>
      </c>
      <c r="AK167" s="22" t="str">
        <f aca="false">IF(AND(N167&lt;&gt;"",X167&gt;1.1*N167),"Consented above capacity",IF(AND(LEFT(B167,8)="Planning",AJ167=0),"Consent parcel with no permission",IF(COUNTIF($A$2:$A$3000,$A167)&gt;1,"Duplicate parcel_id","")))</f>
        <v/>
      </c>
    </row>
    <row r="168" customFormat="false" ht="15" hidden="false" customHeight="false" outlineLevel="0" collapsed="false">
      <c r="A168" s="18" t="s">
        <v>348</v>
      </c>
      <c r="B168" s="18" t="s">
        <v>12</v>
      </c>
      <c r="C168" s="18" t="s">
        <v>15</v>
      </c>
      <c r="D168" s="18"/>
      <c r="E168" s="18" t="s">
        <v>90</v>
      </c>
      <c r="F168" s="18" t="s">
        <v>142</v>
      </c>
      <c r="G168" s="18" t="s">
        <v>349</v>
      </c>
      <c r="H168" s="18"/>
      <c r="I168" s="18"/>
      <c r="J168" s="18"/>
      <c r="K168" s="18"/>
      <c r="L168" s="18" t="n">
        <v>0.286</v>
      </c>
      <c r="M168" s="18" t="n">
        <v>0.286</v>
      </c>
      <c r="N168" s="18"/>
      <c r="O168" s="18" t="s">
        <v>283</v>
      </c>
      <c r="P168" s="18"/>
      <c r="Q168" s="18"/>
      <c r="R168" s="18" t="s">
        <v>98</v>
      </c>
      <c r="S168" s="18"/>
      <c r="T168" s="19" t="n">
        <f aca="false">SUMIFS(Permissions!$F$2:$F$3000,Permissions!$B$2:$B$3000,$A168,Permissions!$H$2:$H$3000,"Complete",Permissions!$I$2:$I$3000,"Yes")</f>
        <v>0</v>
      </c>
      <c r="U168" s="19" t="n">
        <f aca="false">SUMIFS(Permissions!$F$2:$F$3000,Permissions!$B$2:$B$3000,$A168,Permissions!$H$2:$H$3000,"Under construction",Permissions!$I$2:$I$3000,"Yes")</f>
        <v>13</v>
      </c>
      <c r="V168" s="19" t="n">
        <f aca="false">SUMIFS(Permissions!$F$2:$F$3000,Permissions!$B$2:$B$3000,$A168,Permissions!$H$2:$H$3000,"Permitted – not started",Permissions!$I$2:$I$3000,"Yes")</f>
        <v>0</v>
      </c>
      <c r="W168" s="19" t="n">
        <f aca="false">SUMIFS(Permissions!$F$2:$F$3000,Permissions!$B$2:$B$3000,$A168,Permissions!$H$2:$H$3000,"Stalled",Permissions!$I$2:$I$3000,"Yes")</f>
        <v>0</v>
      </c>
      <c r="X168" s="19" t="n">
        <f aca="false">T168+U168+V168+W168</f>
        <v>13</v>
      </c>
      <c r="Y168" s="19" t="n">
        <f aca="false">SUMIFS(Permissions!$F$2:$F$3000,Permissions!$B$2:$B$3000,$A168,Permissions!$H$2:$H$3000,"Expired – not started",Permissions!$I$2:$I$3000,"Yes")</f>
        <v>0</v>
      </c>
      <c r="Z168" s="19" t="n">
        <f aca="false">SUMIFS(Permissions!$F$2:$F$3000,Permissions!$B$2:$B$3000,$A168,Permissions!$H$2:$H$3000,"In planning",Permissions!$I$2:$I$3000,"Yes")</f>
        <v>0</v>
      </c>
      <c r="AA168" s="19" t="n">
        <f aca="false">IF(N168="",0,MAX(N168-X168,0))</f>
        <v>0</v>
      </c>
      <c r="AB168" s="20" t="n">
        <f aca="false">X168+AA168</f>
        <v>13</v>
      </c>
      <c r="AC168" s="19" t="n">
        <f aca="false">AB168-T168</f>
        <v>13</v>
      </c>
      <c r="AD168" s="21" t="n">
        <f aca="false">SUMIFS(Permissions!$T$2:$T$3000,Permissions!$B$2:$B$3000,$A168,Permissions!$I$2:$I$3000,"Yes")</f>
        <v>3</v>
      </c>
      <c r="AE168" s="21" t="n">
        <f aca="false">SUMIFS(Permissions!$U$2:$U$3000,Permissions!$B$2:$B$3000,$A168,Permissions!$I$2:$I$3000,"Yes")</f>
        <v>10</v>
      </c>
      <c r="AF168" s="21" t="n">
        <f aca="false">SUMIFS(Permissions!$V$2:$V$3000,Permissions!$B$2:$B$3000,$A168,Permissions!$I$2:$I$3000,"Yes")</f>
        <v>0</v>
      </c>
      <c r="AG168" s="21" t="n">
        <f aca="false">SUMIFS(Permissions!$W$2:$W$3000,Permissions!$B$2:$B$3000,$A168,Permissions!$I$2:$I$3000,"Yes")</f>
        <v>0</v>
      </c>
      <c r="AH168" s="21" t="n">
        <f aca="false">SUMIFS(Permissions!$X$2:$X$3000,Permissions!$B$2:$B$3000,$A168,Permissions!$I$2:$I$3000,"Yes")</f>
        <v>0</v>
      </c>
      <c r="AI168" s="21" t="n">
        <f aca="false">SUMIFS(Permissions!$Y$2:$Y$3000,Permissions!$B$2:$B$3000,$A168,Permissions!$I$2:$I$3000,"Yes")</f>
        <v>0</v>
      </c>
      <c r="AJ168" s="19" t="n">
        <f aca="false">COUNTIFS(Permissions!$B$2:$B$3000,$A168,Permissions!$I$2:$I$3000,"Yes")</f>
        <v>1</v>
      </c>
      <c r="AK168" s="22" t="str">
        <f aca="false">IF(AND(N168&lt;&gt;"",X168&gt;1.1*N168),"Consented above capacity",IF(AND(LEFT(B168,8)="Planning",AJ168=0),"Consent parcel with no permission",IF(COUNTIF($A$2:$A$3000,$A168)&gt;1,"Duplicate parcel_id","")))</f>
        <v/>
      </c>
    </row>
    <row r="169" customFormat="false" ht="15" hidden="false" customHeight="false" outlineLevel="0" collapsed="false">
      <c r="A169" s="18" t="s">
        <v>350</v>
      </c>
      <c r="B169" s="18" t="s">
        <v>12</v>
      </c>
      <c r="C169" s="18" t="s">
        <v>15</v>
      </c>
      <c r="D169" s="18"/>
      <c r="E169" s="18" t="s">
        <v>90</v>
      </c>
      <c r="F169" s="18" t="s">
        <v>89</v>
      </c>
      <c r="G169" s="18" t="s">
        <v>351</v>
      </c>
      <c r="H169" s="18"/>
      <c r="I169" s="18"/>
      <c r="J169" s="18"/>
      <c r="K169" s="18"/>
      <c r="L169" s="18" t="n">
        <v>0.085</v>
      </c>
      <c r="M169" s="18" t="n">
        <v>0.085</v>
      </c>
      <c r="N169" s="18"/>
      <c r="O169" s="18" t="s">
        <v>283</v>
      </c>
      <c r="P169" s="18"/>
      <c r="Q169" s="18"/>
      <c r="R169" s="18" t="s">
        <v>98</v>
      </c>
      <c r="S169" s="18"/>
      <c r="T169" s="19" t="n">
        <f aca="false">SUMIFS(Permissions!$F$2:$F$3000,Permissions!$B$2:$B$3000,$A169,Permissions!$H$2:$H$3000,"Complete",Permissions!$I$2:$I$3000,"Yes")</f>
        <v>14</v>
      </c>
      <c r="U169" s="19" t="n">
        <f aca="false">SUMIFS(Permissions!$F$2:$F$3000,Permissions!$B$2:$B$3000,$A169,Permissions!$H$2:$H$3000,"Under construction",Permissions!$I$2:$I$3000,"Yes")</f>
        <v>0</v>
      </c>
      <c r="V169" s="19" t="n">
        <f aca="false">SUMIFS(Permissions!$F$2:$F$3000,Permissions!$B$2:$B$3000,$A169,Permissions!$H$2:$H$3000,"Permitted – not started",Permissions!$I$2:$I$3000,"Yes")</f>
        <v>0</v>
      </c>
      <c r="W169" s="19" t="n">
        <f aca="false">SUMIFS(Permissions!$F$2:$F$3000,Permissions!$B$2:$B$3000,$A169,Permissions!$H$2:$H$3000,"Stalled",Permissions!$I$2:$I$3000,"Yes")</f>
        <v>0</v>
      </c>
      <c r="X169" s="19" t="n">
        <f aca="false">T169+U169+V169+W169</f>
        <v>14</v>
      </c>
      <c r="Y169" s="19" t="n">
        <f aca="false">SUMIFS(Permissions!$F$2:$F$3000,Permissions!$B$2:$B$3000,$A169,Permissions!$H$2:$H$3000,"Expired – not started",Permissions!$I$2:$I$3000,"Yes")</f>
        <v>0</v>
      </c>
      <c r="Z169" s="19" t="n">
        <f aca="false">SUMIFS(Permissions!$F$2:$F$3000,Permissions!$B$2:$B$3000,$A169,Permissions!$H$2:$H$3000,"In planning",Permissions!$I$2:$I$3000,"Yes")</f>
        <v>0</v>
      </c>
      <c r="AA169" s="19" t="n">
        <f aca="false">IF(N169="",0,MAX(N169-X169,0))</f>
        <v>0</v>
      </c>
      <c r="AB169" s="20" t="n">
        <f aca="false">X169+AA169</f>
        <v>14</v>
      </c>
      <c r="AC169" s="19" t="n">
        <f aca="false">AB169-T169</f>
        <v>0</v>
      </c>
      <c r="AD169" s="21" t="n">
        <f aca="false">SUMIFS(Permissions!$T$2:$T$3000,Permissions!$B$2:$B$3000,$A169,Permissions!$I$2:$I$3000,"Yes")</f>
        <v>0</v>
      </c>
      <c r="AE169" s="21" t="n">
        <f aca="false">SUMIFS(Permissions!$U$2:$U$3000,Permissions!$B$2:$B$3000,$A169,Permissions!$I$2:$I$3000,"Yes")</f>
        <v>0</v>
      </c>
      <c r="AF169" s="21" t="n">
        <f aca="false">SUMIFS(Permissions!$V$2:$V$3000,Permissions!$B$2:$B$3000,$A169,Permissions!$I$2:$I$3000,"Yes")</f>
        <v>0</v>
      </c>
      <c r="AG169" s="21" t="n">
        <f aca="false">SUMIFS(Permissions!$W$2:$W$3000,Permissions!$B$2:$B$3000,$A169,Permissions!$I$2:$I$3000,"Yes")</f>
        <v>0</v>
      </c>
      <c r="AH169" s="21" t="n">
        <f aca="false">SUMIFS(Permissions!$X$2:$X$3000,Permissions!$B$2:$B$3000,$A169,Permissions!$I$2:$I$3000,"Yes")</f>
        <v>0</v>
      </c>
      <c r="AI169" s="21" t="n">
        <f aca="false">SUMIFS(Permissions!$Y$2:$Y$3000,Permissions!$B$2:$B$3000,$A169,Permissions!$I$2:$I$3000,"Yes")</f>
        <v>0</v>
      </c>
      <c r="AJ169" s="19" t="n">
        <f aca="false">COUNTIFS(Permissions!$B$2:$B$3000,$A169,Permissions!$I$2:$I$3000,"Yes")</f>
        <v>1</v>
      </c>
      <c r="AK169" s="22" t="str">
        <f aca="false">IF(AND(N169&lt;&gt;"",X169&gt;1.1*N169),"Consented above capacity",IF(AND(LEFT(B169,8)="Planning",AJ169=0),"Consent parcel with no permission",IF(COUNTIF($A$2:$A$3000,$A169)&gt;1,"Duplicate parcel_id","")))</f>
        <v/>
      </c>
    </row>
    <row r="170" customFormat="false" ht="15" hidden="false" customHeight="false" outlineLevel="0" collapsed="false">
      <c r="A170" s="18" t="s">
        <v>352</v>
      </c>
      <c r="B170" s="18" t="s">
        <v>12</v>
      </c>
      <c r="C170" s="18" t="s">
        <v>15</v>
      </c>
      <c r="D170" s="18"/>
      <c r="E170" s="18" t="s">
        <v>90</v>
      </c>
      <c r="F170" s="18" t="s">
        <v>112</v>
      </c>
      <c r="G170" s="18" t="s">
        <v>353</v>
      </c>
      <c r="H170" s="18"/>
      <c r="I170" s="18"/>
      <c r="J170" s="18"/>
      <c r="K170" s="18"/>
      <c r="L170" s="18" t="n">
        <v>0.167</v>
      </c>
      <c r="M170" s="18" t="n">
        <v>0.167</v>
      </c>
      <c r="N170" s="18"/>
      <c r="O170" s="18" t="s">
        <v>283</v>
      </c>
      <c r="P170" s="18"/>
      <c r="Q170" s="18"/>
      <c r="R170" s="18" t="s">
        <v>98</v>
      </c>
      <c r="S170" s="18"/>
      <c r="T170" s="19" t="n">
        <f aca="false">SUMIFS(Permissions!$F$2:$F$3000,Permissions!$B$2:$B$3000,$A170,Permissions!$H$2:$H$3000,"Complete",Permissions!$I$2:$I$3000,"Yes")</f>
        <v>14</v>
      </c>
      <c r="U170" s="19" t="n">
        <f aca="false">SUMIFS(Permissions!$F$2:$F$3000,Permissions!$B$2:$B$3000,$A170,Permissions!$H$2:$H$3000,"Under construction",Permissions!$I$2:$I$3000,"Yes")</f>
        <v>0</v>
      </c>
      <c r="V170" s="19" t="n">
        <f aca="false">SUMIFS(Permissions!$F$2:$F$3000,Permissions!$B$2:$B$3000,$A170,Permissions!$H$2:$H$3000,"Permitted – not started",Permissions!$I$2:$I$3000,"Yes")</f>
        <v>0</v>
      </c>
      <c r="W170" s="19" t="n">
        <f aca="false">SUMIFS(Permissions!$F$2:$F$3000,Permissions!$B$2:$B$3000,$A170,Permissions!$H$2:$H$3000,"Stalled",Permissions!$I$2:$I$3000,"Yes")</f>
        <v>0</v>
      </c>
      <c r="X170" s="19" t="n">
        <f aca="false">T170+U170+V170+W170</f>
        <v>14</v>
      </c>
      <c r="Y170" s="19" t="n">
        <f aca="false">SUMIFS(Permissions!$F$2:$F$3000,Permissions!$B$2:$B$3000,$A170,Permissions!$H$2:$H$3000,"Expired – not started",Permissions!$I$2:$I$3000,"Yes")</f>
        <v>0</v>
      </c>
      <c r="Z170" s="19" t="n">
        <f aca="false">SUMIFS(Permissions!$F$2:$F$3000,Permissions!$B$2:$B$3000,$A170,Permissions!$H$2:$H$3000,"In planning",Permissions!$I$2:$I$3000,"Yes")</f>
        <v>0</v>
      </c>
      <c r="AA170" s="19" t="n">
        <f aca="false">IF(N170="",0,MAX(N170-X170,0))</f>
        <v>0</v>
      </c>
      <c r="AB170" s="20" t="n">
        <f aca="false">X170+AA170</f>
        <v>14</v>
      </c>
      <c r="AC170" s="19" t="n">
        <f aca="false">AB170-T170</f>
        <v>0</v>
      </c>
      <c r="AD170" s="21" t="n">
        <f aca="false">SUMIFS(Permissions!$T$2:$T$3000,Permissions!$B$2:$B$3000,$A170,Permissions!$I$2:$I$3000,"Yes")</f>
        <v>0</v>
      </c>
      <c r="AE170" s="21" t="n">
        <f aca="false">SUMIFS(Permissions!$U$2:$U$3000,Permissions!$B$2:$B$3000,$A170,Permissions!$I$2:$I$3000,"Yes")</f>
        <v>0</v>
      </c>
      <c r="AF170" s="21" t="n">
        <f aca="false">SUMIFS(Permissions!$V$2:$V$3000,Permissions!$B$2:$B$3000,$A170,Permissions!$I$2:$I$3000,"Yes")</f>
        <v>0</v>
      </c>
      <c r="AG170" s="21" t="n">
        <f aca="false">SUMIFS(Permissions!$W$2:$W$3000,Permissions!$B$2:$B$3000,$A170,Permissions!$I$2:$I$3000,"Yes")</f>
        <v>0</v>
      </c>
      <c r="AH170" s="21" t="n">
        <f aca="false">SUMIFS(Permissions!$X$2:$X$3000,Permissions!$B$2:$B$3000,$A170,Permissions!$I$2:$I$3000,"Yes")</f>
        <v>0</v>
      </c>
      <c r="AI170" s="21" t="n">
        <f aca="false">SUMIFS(Permissions!$Y$2:$Y$3000,Permissions!$B$2:$B$3000,$A170,Permissions!$I$2:$I$3000,"Yes")</f>
        <v>0</v>
      </c>
      <c r="AJ170" s="19" t="n">
        <f aca="false">COUNTIFS(Permissions!$B$2:$B$3000,$A170,Permissions!$I$2:$I$3000,"Yes")</f>
        <v>1</v>
      </c>
      <c r="AK170" s="22" t="str">
        <f aca="false">IF(AND(N170&lt;&gt;"",X170&gt;1.1*N170),"Consented above capacity",IF(AND(LEFT(B170,8)="Planning",AJ170=0),"Consent parcel with no permission",IF(COUNTIF($A$2:$A$3000,$A170)&gt;1,"Duplicate parcel_id","")))</f>
        <v/>
      </c>
    </row>
    <row r="171" customFormat="false" ht="15" hidden="false" customHeight="false" outlineLevel="0" collapsed="false">
      <c r="A171" s="18" t="s">
        <v>354</v>
      </c>
      <c r="B171" s="18" t="s">
        <v>12</v>
      </c>
      <c r="C171" s="18" t="s">
        <v>15</v>
      </c>
      <c r="D171" s="18"/>
      <c r="E171" s="18" t="s">
        <v>90</v>
      </c>
      <c r="F171" s="18" t="s">
        <v>89</v>
      </c>
      <c r="G171" s="18" t="s">
        <v>355</v>
      </c>
      <c r="H171" s="18"/>
      <c r="I171" s="18"/>
      <c r="J171" s="18"/>
      <c r="K171" s="18"/>
      <c r="L171" s="18" t="n">
        <v>0.409</v>
      </c>
      <c r="M171" s="18" t="n">
        <v>0.409</v>
      </c>
      <c r="N171" s="18"/>
      <c r="O171" s="18" t="s">
        <v>283</v>
      </c>
      <c r="P171" s="18"/>
      <c r="Q171" s="18"/>
      <c r="R171" s="18" t="s">
        <v>98</v>
      </c>
      <c r="S171" s="18"/>
      <c r="T171" s="19" t="n">
        <f aca="false">SUMIFS(Permissions!$F$2:$F$3000,Permissions!$B$2:$B$3000,$A171,Permissions!$H$2:$H$3000,"Complete",Permissions!$I$2:$I$3000,"Yes")</f>
        <v>35</v>
      </c>
      <c r="U171" s="19" t="n">
        <f aca="false">SUMIFS(Permissions!$F$2:$F$3000,Permissions!$B$2:$B$3000,$A171,Permissions!$H$2:$H$3000,"Under construction",Permissions!$I$2:$I$3000,"Yes")</f>
        <v>0</v>
      </c>
      <c r="V171" s="19" t="n">
        <f aca="false">SUMIFS(Permissions!$F$2:$F$3000,Permissions!$B$2:$B$3000,$A171,Permissions!$H$2:$H$3000,"Permitted – not started",Permissions!$I$2:$I$3000,"Yes")</f>
        <v>0</v>
      </c>
      <c r="W171" s="19" t="n">
        <f aca="false">SUMIFS(Permissions!$F$2:$F$3000,Permissions!$B$2:$B$3000,$A171,Permissions!$H$2:$H$3000,"Stalled",Permissions!$I$2:$I$3000,"Yes")</f>
        <v>0</v>
      </c>
      <c r="X171" s="19" t="n">
        <f aca="false">T171+U171+V171+W171</f>
        <v>35</v>
      </c>
      <c r="Y171" s="19" t="n">
        <f aca="false">SUMIFS(Permissions!$F$2:$F$3000,Permissions!$B$2:$B$3000,$A171,Permissions!$H$2:$H$3000,"Expired – not started",Permissions!$I$2:$I$3000,"Yes")</f>
        <v>0</v>
      </c>
      <c r="Z171" s="19" t="n">
        <f aca="false">SUMIFS(Permissions!$F$2:$F$3000,Permissions!$B$2:$B$3000,$A171,Permissions!$H$2:$H$3000,"In planning",Permissions!$I$2:$I$3000,"Yes")</f>
        <v>0</v>
      </c>
      <c r="AA171" s="19" t="n">
        <f aca="false">IF(N171="",0,MAX(N171-X171,0))</f>
        <v>0</v>
      </c>
      <c r="AB171" s="20" t="n">
        <f aca="false">X171+AA171</f>
        <v>35</v>
      </c>
      <c r="AC171" s="19" t="n">
        <f aca="false">AB171-T171</f>
        <v>0</v>
      </c>
      <c r="AD171" s="21" t="n">
        <f aca="false">SUMIFS(Permissions!$T$2:$T$3000,Permissions!$B$2:$B$3000,$A171,Permissions!$I$2:$I$3000,"Yes")</f>
        <v>0</v>
      </c>
      <c r="AE171" s="21" t="n">
        <f aca="false">SUMIFS(Permissions!$U$2:$U$3000,Permissions!$B$2:$B$3000,$A171,Permissions!$I$2:$I$3000,"Yes")</f>
        <v>0</v>
      </c>
      <c r="AF171" s="21" t="n">
        <f aca="false">SUMIFS(Permissions!$V$2:$V$3000,Permissions!$B$2:$B$3000,$A171,Permissions!$I$2:$I$3000,"Yes")</f>
        <v>0</v>
      </c>
      <c r="AG171" s="21" t="n">
        <f aca="false">SUMIFS(Permissions!$W$2:$W$3000,Permissions!$B$2:$B$3000,$A171,Permissions!$I$2:$I$3000,"Yes")</f>
        <v>0</v>
      </c>
      <c r="AH171" s="21" t="n">
        <f aca="false">SUMIFS(Permissions!$X$2:$X$3000,Permissions!$B$2:$B$3000,$A171,Permissions!$I$2:$I$3000,"Yes")</f>
        <v>0</v>
      </c>
      <c r="AI171" s="21" t="n">
        <f aca="false">SUMIFS(Permissions!$Y$2:$Y$3000,Permissions!$B$2:$B$3000,$A171,Permissions!$I$2:$I$3000,"Yes")</f>
        <v>0</v>
      </c>
      <c r="AJ171" s="19" t="n">
        <f aca="false">COUNTIFS(Permissions!$B$2:$B$3000,$A171,Permissions!$I$2:$I$3000,"Yes")</f>
        <v>1</v>
      </c>
      <c r="AK171" s="22" t="str">
        <f aca="false">IF(AND(N171&lt;&gt;"",X171&gt;1.1*N171),"Consented above capacity",IF(AND(LEFT(B171,8)="Planning",AJ171=0),"Consent parcel with no permission",IF(COUNTIF($A$2:$A$3000,$A171)&gt;1,"Duplicate parcel_id","")))</f>
        <v/>
      </c>
    </row>
    <row r="172" customFormat="false" ht="15" hidden="false" customHeight="false" outlineLevel="0" collapsed="false">
      <c r="A172" s="18" t="s">
        <v>356</v>
      </c>
      <c r="B172" s="18" t="s">
        <v>12</v>
      </c>
      <c r="C172" s="18" t="s">
        <v>15</v>
      </c>
      <c r="D172" s="18"/>
      <c r="E172" s="18" t="s">
        <v>90</v>
      </c>
      <c r="F172" s="18" t="s">
        <v>89</v>
      </c>
      <c r="G172" s="18" t="s">
        <v>357</v>
      </c>
      <c r="H172" s="18"/>
      <c r="I172" s="18"/>
      <c r="J172" s="18"/>
      <c r="K172" s="18"/>
      <c r="L172" s="18" t="n">
        <v>0.015</v>
      </c>
      <c r="M172" s="18" t="n">
        <v>0.015</v>
      </c>
      <c r="N172" s="18"/>
      <c r="O172" s="18" t="s">
        <v>283</v>
      </c>
      <c r="P172" s="18"/>
      <c r="Q172" s="18"/>
      <c r="R172" s="18" t="s">
        <v>98</v>
      </c>
      <c r="S172" s="18"/>
      <c r="T172" s="19" t="n">
        <f aca="false">SUMIFS(Permissions!$F$2:$F$3000,Permissions!$B$2:$B$3000,$A172,Permissions!$H$2:$H$3000,"Complete",Permissions!$I$2:$I$3000,"Yes")</f>
        <v>0</v>
      </c>
      <c r="U172" s="19" t="n">
        <f aca="false">SUMIFS(Permissions!$F$2:$F$3000,Permissions!$B$2:$B$3000,$A172,Permissions!$H$2:$H$3000,"Under construction",Permissions!$I$2:$I$3000,"Yes")</f>
        <v>5</v>
      </c>
      <c r="V172" s="19" t="n">
        <f aca="false">SUMIFS(Permissions!$F$2:$F$3000,Permissions!$B$2:$B$3000,$A172,Permissions!$H$2:$H$3000,"Permitted – not started",Permissions!$I$2:$I$3000,"Yes")</f>
        <v>0</v>
      </c>
      <c r="W172" s="19" t="n">
        <f aca="false">SUMIFS(Permissions!$F$2:$F$3000,Permissions!$B$2:$B$3000,$A172,Permissions!$H$2:$H$3000,"Stalled",Permissions!$I$2:$I$3000,"Yes")</f>
        <v>0</v>
      </c>
      <c r="X172" s="19" t="n">
        <f aca="false">T172+U172+V172+W172</f>
        <v>5</v>
      </c>
      <c r="Y172" s="19" t="n">
        <f aca="false">SUMIFS(Permissions!$F$2:$F$3000,Permissions!$B$2:$B$3000,$A172,Permissions!$H$2:$H$3000,"Expired – not started",Permissions!$I$2:$I$3000,"Yes")</f>
        <v>0</v>
      </c>
      <c r="Z172" s="19" t="n">
        <f aca="false">SUMIFS(Permissions!$F$2:$F$3000,Permissions!$B$2:$B$3000,$A172,Permissions!$H$2:$H$3000,"In planning",Permissions!$I$2:$I$3000,"Yes")</f>
        <v>0</v>
      </c>
      <c r="AA172" s="19" t="n">
        <f aca="false">IF(N172="",0,MAX(N172-X172,0))</f>
        <v>0</v>
      </c>
      <c r="AB172" s="20" t="n">
        <f aca="false">X172+AA172</f>
        <v>5</v>
      </c>
      <c r="AC172" s="19" t="n">
        <f aca="false">AB172-T172</f>
        <v>5</v>
      </c>
      <c r="AD172" s="21" t="n">
        <f aca="false">SUMIFS(Permissions!$T$2:$T$3000,Permissions!$B$2:$B$3000,$A172,Permissions!$I$2:$I$3000,"Yes")</f>
        <v>1.2</v>
      </c>
      <c r="AE172" s="21" t="n">
        <f aca="false">SUMIFS(Permissions!$U$2:$U$3000,Permissions!$B$2:$B$3000,$A172,Permissions!$I$2:$I$3000,"Yes")</f>
        <v>3.8</v>
      </c>
      <c r="AF172" s="21" t="n">
        <f aca="false">SUMIFS(Permissions!$V$2:$V$3000,Permissions!$B$2:$B$3000,$A172,Permissions!$I$2:$I$3000,"Yes")</f>
        <v>0</v>
      </c>
      <c r="AG172" s="21" t="n">
        <f aca="false">SUMIFS(Permissions!$W$2:$W$3000,Permissions!$B$2:$B$3000,$A172,Permissions!$I$2:$I$3000,"Yes")</f>
        <v>0</v>
      </c>
      <c r="AH172" s="21" t="n">
        <f aca="false">SUMIFS(Permissions!$X$2:$X$3000,Permissions!$B$2:$B$3000,$A172,Permissions!$I$2:$I$3000,"Yes")</f>
        <v>0</v>
      </c>
      <c r="AI172" s="21" t="n">
        <f aca="false">SUMIFS(Permissions!$Y$2:$Y$3000,Permissions!$B$2:$B$3000,$A172,Permissions!$I$2:$I$3000,"Yes")</f>
        <v>0</v>
      </c>
      <c r="AJ172" s="19" t="n">
        <f aca="false">COUNTIFS(Permissions!$B$2:$B$3000,$A172,Permissions!$I$2:$I$3000,"Yes")</f>
        <v>1</v>
      </c>
      <c r="AK172" s="22" t="str">
        <f aca="false">IF(AND(N172&lt;&gt;"",X172&gt;1.1*N172),"Consented above capacity",IF(AND(LEFT(B172,8)="Planning",AJ172=0),"Consent parcel with no permission",IF(COUNTIF($A$2:$A$3000,$A172)&gt;1,"Duplicate parcel_id","")))</f>
        <v/>
      </c>
    </row>
    <row r="173" customFormat="false" ht="15" hidden="false" customHeight="false" outlineLevel="0" collapsed="false">
      <c r="A173" s="18" t="s">
        <v>358</v>
      </c>
      <c r="B173" s="18" t="s">
        <v>12</v>
      </c>
      <c r="C173" s="18" t="s">
        <v>15</v>
      </c>
      <c r="D173" s="18"/>
      <c r="E173" s="18" t="s">
        <v>90</v>
      </c>
      <c r="F173" s="18" t="s">
        <v>112</v>
      </c>
      <c r="G173" s="18" t="s">
        <v>359</v>
      </c>
      <c r="H173" s="18"/>
      <c r="I173" s="18"/>
      <c r="J173" s="18"/>
      <c r="K173" s="18"/>
      <c r="L173" s="18" t="n">
        <v>0.023</v>
      </c>
      <c r="M173" s="18" t="n">
        <v>0.023</v>
      </c>
      <c r="N173" s="18"/>
      <c r="O173" s="18" t="s">
        <v>283</v>
      </c>
      <c r="P173" s="18"/>
      <c r="Q173" s="18"/>
      <c r="R173" s="18" t="s">
        <v>98</v>
      </c>
      <c r="S173" s="18"/>
      <c r="T173" s="19" t="n">
        <f aca="false">SUMIFS(Permissions!$F$2:$F$3000,Permissions!$B$2:$B$3000,$A173,Permissions!$H$2:$H$3000,"Complete",Permissions!$I$2:$I$3000,"Yes")</f>
        <v>0</v>
      </c>
      <c r="U173" s="19" t="n">
        <f aca="false">SUMIFS(Permissions!$F$2:$F$3000,Permissions!$B$2:$B$3000,$A173,Permissions!$H$2:$H$3000,"Under construction",Permissions!$I$2:$I$3000,"Yes")</f>
        <v>3</v>
      </c>
      <c r="V173" s="19" t="n">
        <f aca="false">SUMIFS(Permissions!$F$2:$F$3000,Permissions!$B$2:$B$3000,$A173,Permissions!$H$2:$H$3000,"Permitted – not started",Permissions!$I$2:$I$3000,"Yes")</f>
        <v>0</v>
      </c>
      <c r="W173" s="19" t="n">
        <f aca="false">SUMIFS(Permissions!$F$2:$F$3000,Permissions!$B$2:$B$3000,$A173,Permissions!$H$2:$H$3000,"Stalled",Permissions!$I$2:$I$3000,"Yes")</f>
        <v>0</v>
      </c>
      <c r="X173" s="19" t="n">
        <f aca="false">T173+U173+V173+W173</f>
        <v>3</v>
      </c>
      <c r="Y173" s="19" t="n">
        <f aca="false">SUMIFS(Permissions!$F$2:$F$3000,Permissions!$B$2:$B$3000,$A173,Permissions!$H$2:$H$3000,"Expired – not started",Permissions!$I$2:$I$3000,"Yes")</f>
        <v>0</v>
      </c>
      <c r="Z173" s="19" t="n">
        <f aca="false">SUMIFS(Permissions!$F$2:$F$3000,Permissions!$B$2:$B$3000,$A173,Permissions!$H$2:$H$3000,"In planning",Permissions!$I$2:$I$3000,"Yes")</f>
        <v>0</v>
      </c>
      <c r="AA173" s="19" t="n">
        <f aca="false">IF(N173="",0,MAX(N173-X173,0))</f>
        <v>0</v>
      </c>
      <c r="AB173" s="20" t="n">
        <f aca="false">X173+AA173</f>
        <v>3</v>
      </c>
      <c r="AC173" s="19" t="n">
        <f aca="false">AB173-T173</f>
        <v>3</v>
      </c>
      <c r="AD173" s="21" t="n">
        <f aca="false">SUMIFS(Permissions!$T$2:$T$3000,Permissions!$B$2:$B$3000,$A173,Permissions!$I$2:$I$3000,"Yes")</f>
        <v>0.7</v>
      </c>
      <c r="AE173" s="21" t="n">
        <f aca="false">SUMIFS(Permissions!$U$2:$U$3000,Permissions!$B$2:$B$3000,$A173,Permissions!$I$2:$I$3000,"Yes")</f>
        <v>2.3</v>
      </c>
      <c r="AF173" s="21" t="n">
        <f aca="false">SUMIFS(Permissions!$V$2:$V$3000,Permissions!$B$2:$B$3000,$A173,Permissions!$I$2:$I$3000,"Yes")</f>
        <v>0</v>
      </c>
      <c r="AG173" s="21" t="n">
        <f aca="false">SUMIFS(Permissions!$W$2:$W$3000,Permissions!$B$2:$B$3000,$A173,Permissions!$I$2:$I$3000,"Yes")</f>
        <v>0</v>
      </c>
      <c r="AH173" s="21" t="n">
        <f aca="false">SUMIFS(Permissions!$X$2:$X$3000,Permissions!$B$2:$B$3000,$A173,Permissions!$I$2:$I$3000,"Yes")</f>
        <v>0</v>
      </c>
      <c r="AI173" s="21" t="n">
        <f aca="false">SUMIFS(Permissions!$Y$2:$Y$3000,Permissions!$B$2:$B$3000,$A173,Permissions!$I$2:$I$3000,"Yes")</f>
        <v>0</v>
      </c>
      <c r="AJ173" s="19" t="n">
        <f aca="false">COUNTIFS(Permissions!$B$2:$B$3000,$A173,Permissions!$I$2:$I$3000,"Yes")</f>
        <v>1</v>
      </c>
      <c r="AK173" s="22" t="str">
        <f aca="false">IF(AND(N173&lt;&gt;"",X173&gt;1.1*N173),"Consented above capacity",IF(AND(LEFT(B173,8)="Planning",AJ173=0),"Consent parcel with no permission",IF(COUNTIF($A$2:$A$3000,$A173)&gt;1,"Duplicate parcel_id","")))</f>
        <v/>
      </c>
    </row>
    <row r="174" customFormat="false" ht="15" hidden="false" customHeight="false" outlineLevel="0" collapsed="false">
      <c r="A174" s="18" t="s">
        <v>360</v>
      </c>
      <c r="B174" s="18" t="s">
        <v>12</v>
      </c>
      <c r="C174" s="18" t="s">
        <v>15</v>
      </c>
      <c r="D174" s="18"/>
      <c r="E174" s="18" t="s">
        <v>90</v>
      </c>
      <c r="F174" s="18" t="s">
        <v>89</v>
      </c>
      <c r="G174" s="18" t="s">
        <v>361</v>
      </c>
      <c r="H174" s="18"/>
      <c r="I174" s="18"/>
      <c r="J174" s="18"/>
      <c r="K174" s="18"/>
      <c r="L174" s="18" t="n">
        <v>0.037</v>
      </c>
      <c r="M174" s="18" t="n">
        <v>0.037</v>
      </c>
      <c r="N174" s="18"/>
      <c r="O174" s="18" t="s">
        <v>283</v>
      </c>
      <c r="P174" s="18"/>
      <c r="Q174" s="18"/>
      <c r="R174" s="18" t="s">
        <v>98</v>
      </c>
      <c r="S174" s="18"/>
      <c r="T174" s="19" t="n">
        <f aca="false">SUMIFS(Permissions!$F$2:$F$3000,Permissions!$B$2:$B$3000,$A174,Permissions!$H$2:$H$3000,"Complete",Permissions!$I$2:$I$3000,"Yes")</f>
        <v>0</v>
      </c>
      <c r="U174" s="19" t="n">
        <f aca="false">SUMIFS(Permissions!$F$2:$F$3000,Permissions!$B$2:$B$3000,$A174,Permissions!$H$2:$H$3000,"Under construction",Permissions!$I$2:$I$3000,"Yes")</f>
        <v>2</v>
      </c>
      <c r="V174" s="19" t="n">
        <f aca="false">SUMIFS(Permissions!$F$2:$F$3000,Permissions!$B$2:$B$3000,$A174,Permissions!$H$2:$H$3000,"Permitted – not started",Permissions!$I$2:$I$3000,"Yes")</f>
        <v>0</v>
      </c>
      <c r="W174" s="19" t="n">
        <f aca="false">SUMIFS(Permissions!$F$2:$F$3000,Permissions!$B$2:$B$3000,$A174,Permissions!$H$2:$H$3000,"Stalled",Permissions!$I$2:$I$3000,"Yes")</f>
        <v>0</v>
      </c>
      <c r="X174" s="19" t="n">
        <f aca="false">T174+U174+V174+W174</f>
        <v>2</v>
      </c>
      <c r="Y174" s="19" t="n">
        <f aca="false">SUMIFS(Permissions!$F$2:$F$3000,Permissions!$B$2:$B$3000,$A174,Permissions!$H$2:$H$3000,"Expired – not started",Permissions!$I$2:$I$3000,"Yes")</f>
        <v>0</v>
      </c>
      <c r="Z174" s="19" t="n">
        <f aca="false">SUMIFS(Permissions!$F$2:$F$3000,Permissions!$B$2:$B$3000,$A174,Permissions!$H$2:$H$3000,"In planning",Permissions!$I$2:$I$3000,"Yes")</f>
        <v>0</v>
      </c>
      <c r="AA174" s="19" t="n">
        <f aca="false">IF(N174="",0,MAX(N174-X174,0))</f>
        <v>0</v>
      </c>
      <c r="AB174" s="20" t="n">
        <f aca="false">X174+AA174</f>
        <v>2</v>
      </c>
      <c r="AC174" s="19" t="n">
        <f aca="false">AB174-T174</f>
        <v>2</v>
      </c>
      <c r="AD174" s="21" t="n">
        <f aca="false">SUMIFS(Permissions!$T$2:$T$3000,Permissions!$B$2:$B$3000,$A174,Permissions!$I$2:$I$3000,"Yes")</f>
        <v>0.5</v>
      </c>
      <c r="AE174" s="21" t="n">
        <f aca="false">SUMIFS(Permissions!$U$2:$U$3000,Permissions!$B$2:$B$3000,$A174,Permissions!$I$2:$I$3000,"Yes")</f>
        <v>1.5</v>
      </c>
      <c r="AF174" s="21" t="n">
        <f aca="false">SUMIFS(Permissions!$V$2:$V$3000,Permissions!$B$2:$B$3000,$A174,Permissions!$I$2:$I$3000,"Yes")</f>
        <v>0</v>
      </c>
      <c r="AG174" s="21" t="n">
        <f aca="false">SUMIFS(Permissions!$W$2:$W$3000,Permissions!$B$2:$B$3000,$A174,Permissions!$I$2:$I$3000,"Yes")</f>
        <v>0</v>
      </c>
      <c r="AH174" s="21" t="n">
        <f aca="false">SUMIFS(Permissions!$X$2:$X$3000,Permissions!$B$2:$B$3000,$A174,Permissions!$I$2:$I$3000,"Yes")</f>
        <v>0</v>
      </c>
      <c r="AI174" s="21" t="n">
        <f aca="false">SUMIFS(Permissions!$Y$2:$Y$3000,Permissions!$B$2:$B$3000,$A174,Permissions!$I$2:$I$3000,"Yes")</f>
        <v>0</v>
      </c>
      <c r="AJ174" s="19" t="n">
        <f aca="false">COUNTIFS(Permissions!$B$2:$B$3000,$A174,Permissions!$I$2:$I$3000,"Yes")</f>
        <v>1</v>
      </c>
      <c r="AK174" s="22" t="str">
        <f aca="false">IF(AND(N174&lt;&gt;"",X174&gt;1.1*N174),"Consented above capacity",IF(AND(LEFT(B174,8)="Planning",AJ174=0),"Consent parcel with no permission",IF(COUNTIF($A$2:$A$3000,$A174)&gt;1,"Duplicate parcel_id","")))</f>
        <v/>
      </c>
    </row>
    <row r="175" customFormat="false" ht="15" hidden="false" customHeight="false" outlineLevel="0" collapsed="false">
      <c r="A175" s="18" t="s">
        <v>362</v>
      </c>
      <c r="B175" s="18" t="s">
        <v>12</v>
      </c>
      <c r="C175" s="18" t="s">
        <v>15</v>
      </c>
      <c r="D175" s="18"/>
      <c r="E175" s="18" t="s">
        <v>90</v>
      </c>
      <c r="F175" s="18" t="s">
        <v>89</v>
      </c>
      <c r="G175" s="18" t="s">
        <v>363</v>
      </c>
      <c r="H175" s="18"/>
      <c r="I175" s="18"/>
      <c r="J175" s="18"/>
      <c r="K175" s="18"/>
      <c r="L175" s="18" t="n">
        <v>0.029</v>
      </c>
      <c r="M175" s="18" t="n">
        <v>0.029</v>
      </c>
      <c r="N175" s="18"/>
      <c r="O175" s="18" t="s">
        <v>283</v>
      </c>
      <c r="P175" s="18"/>
      <c r="Q175" s="18"/>
      <c r="R175" s="18" t="s">
        <v>98</v>
      </c>
      <c r="S175" s="18"/>
      <c r="T175" s="19" t="n">
        <f aca="false">SUMIFS(Permissions!$F$2:$F$3000,Permissions!$B$2:$B$3000,$A175,Permissions!$H$2:$H$3000,"Complete",Permissions!$I$2:$I$3000,"Yes")</f>
        <v>0</v>
      </c>
      <c r="U175" s="19" t="n">
        <f aca="false">SUMIFS(Permissions!$F$2:$F$3000,Permissions!$B$2:$B$3000,$A175,Permissions!$H$2:$H$3000,"Under construction",Permissions!$I$2:$I$3000,"Yes")</f>
        <v>0</v>
      </c>
      <c r="V175" s="19" t="n">
        <f aca="false">SUMIFS(Permissions!$F$2:$F$3000,Permissions!$B$2:$B$3000,$A175,Permissions!$H$2:$H$3000,"Permitted – not started",Permissions!$I$2:$I$3000,"Yes")</f>
        <v>0</v>
      </c>
      <c r="W175" s="19" t="n">
        <f aca="false">SUMIFS(Permissions!$F$2:$F$3000,Permissions!$B$2:$B$3000,$A175,Permissions!$H$2:$H$3000,"Stalled",Permissions!$I$2:$I$3000,"Yes")</f>
        <v>0</v>
      </c>
      <c r="X175" s="19" t="n">
        <f aca="false">T175+U175+V175+W175</f>
        <v>0</v>
      </c>
      <c r="Y175" s="19" t="n">
        <f aca="false">SUMIFS(Permissions!$F$2:$F$3000,Permissions!$B$2:$B$3000,$A175,Permissions!$H$2:$H$3000,"Expired – not started",Permissions!$I$2:$I$3000,"Yes")</f>
        <v>0</v>
      </c>
      <c r="Z175" s="19" t="n">
        <f aca="false">SUMIFS(Permissions!$F$2:$F$3000,Permissions!$B$2:$B$3000,$A175,Permissions!$H$2:$H$3000,"In planning",Permissions!$I$2:$I$3000,"Yes")</f>
        <v>0</v>
      </c>
      <c r="AA175" s="19" t="n">
        <f aca="false">IF(N175="",0,MAX(N175-X175,0))</f>
        <v>0</v>
      </c>
      <c r="AB175" s="20" t="n">
        <f aca="false">X175+AA175</f>
        <v>0</v>
      </c>
      <c r="AC175" s="19" t="n">
        <f aca="false">AB175-T175</f>
        <v>0</v>
      </c>
      <c r="AD175" s="21" t="n">
        <f aca="false">SUMIFS(Permissions!$T$2:$T$3000,Permissions!$B$2:$B$3000,$A175,Permissions!$I$2:$I$3000,"Yes")</f>
        <v>0</v>
      </c>
      <c r="AE175" s="21" t="n">
        <f aca="false">SUMIFS(Permissions!$U$2:$U$3000,Permissions!$B$2:$B$3000,$A175,Permissions!$I$2:$I$3000,"Yes")</f>
        <v>0</v>
      </c>
      <c r="AF175" s="21" t="n">
        <f aca="false">SUMIFS(Permissions!$V$2:$V$3000,Permissions!$B$2:$B$3000,$A175,Permissions!$I$2:$I$3000,"Yes")</f>
        <v>0</v>
      </c>
      <c r="AG175" s="21" t="n">
        <f aca="false">SUMIFS(Permissions!$W$2:$W$3000,Permissions!$B$2:$B$3000,$A175,Permissions!$I$2:$I$3000,"Yes")</f>
        <v>0</v>
      </c>
      <c r="AH175" s="21" t="n">
        <f aca="false">SUMIFS(Permissions!$X$2:$X$3000,Permissions!$B$2:$B$3000,$A175,Permissions!$I$2:$I$3000,"Yes")</f>
        <v>0</v>
      </c>
      <c r="AI175" s="21" t="n">
        <f aca="false">SUMIFS(Permissions!$Y$2:$Y$3000,Permissions!$B$2:$B$3000,$A175,Permissions!$I$2:$I$3000,"Yes")</f>
        <v>0</v>
      </c>
      <c r="AJ175" s="19" t="n">
        <f aca="false">COUNTIFS(Permissions!$B$2:$B$3000,$A175,Permissions!$I$2:$I$3000,"Yes")</f>
        <v>1</v>
      </c>
      <c r="AK175" s="22" t="str">
        <f aca="false">IF(AND(N175&lt;&gt;"",X175&gt;1.1*N175),"Consented above capacity",IF(AND(LEFT(B175,8)="Planning",AJ175=0),"Consent parcel with no permission",IF(COUNTIF($A$2:$A$3000,$A175)&gt;1,"Duplicate parcel_id","")))</f>
        <v/>
      </c>
    </row>
    <row r="176" customFormat="false" ht="15" hidden="false" customHeight="false" outlineLevel="0" collapsed="false">
      <c r="A176" s="18" t="s">
        <v>364</v>
      </c>
      <c r="B176" s="18" t="s">
        <v>12</v>
      </c>
      <c r="C176" s="18" t="s">
        <v>15</v>
      </c>
      <c r="D176" s="18"/>
      <c r="E176" s="18" t="s">
        <v>90</v>
      </c>
      <c r="F176" s="18" t="s">
        <v>89</v>
      </c>
      <c r="G176" s="18" t="s">
        <v>365</v>
      </c>
      <c r="H176" s="18"/>
      <c r="I176" s="18"/>
      <c r="J176" s="18"/>
      <c r="K176" s="18"/>
      <c r="L176" s="18" t="n">
        <v>0.047</v>
      </c>
      <c r="M176" s="18" t="n">
        <v>0.047</v>
      </c>
      <c r="N176" s="18"/>
      <c r="O176" s="18" t="s">
        <v>283</v>
      </c>
      <c r="P176" s="18"/>
      <c r="Q176" s="18"/>
      <c r="R176" s="18" t="s">
        <v>98</v>
      </c>
      <c r="S176" s="18"/>
      <c r="T176" s="19" t="n">
        <f aca="false">SUMIFS(Permissions!$F$2:$F$3000,Permissions!$B$2:$B$3000,$A176,Permissions!$H$2:$H$3000,"Complete",Permissions!$I$2:$I$3000,"Yes")</f>
        <v>0</v>
      </c>
      <c r="U176" s="19" t="n">
        <f aca="false">SUMIFS(Permissions!$F$2:$F$3000,Permissions!$B$2:$B$3000,$A176,Permissions!$H$2:$H$3000,"Under construction",Permissions!$I$2:$I$3000,"Yes")</f>
        <v>0</v>
      </c>
      <c r="V176" s="19" t="n">
        <f aca="false">SUMIFS(Permissions!$F$2:$F$3000,Permissions!$B$2:$B$3000,$A176,Permissions!$H$2:$H$3000,"Permitted – not started",Permissions!$I$2:$I$3000,"Yes")</f>
        <v>0</v>
      </c>
      <c r="W176" s="19" t="n">
        <f aca="false">SUMIFS(Permissions!$F$2:$F$3000,Permissions!$B$2:$B$3000,$A176,Permissions!$H$2:$H$3000,"Stalled",Permissions!$I$2:$I$3000,"Yes")</f>
        <v>0</v>
      </c>
      <c r="X176" s="19" t="n">
        <f aca="false">T176+U176+V176+W176</f>
        <v>0</v>
      </c>
      <c r="Y176" s="19" t="n">
        <f aca="false">SUMIFS(Permissions!$F$2:$F$3000,Permissions!$B$2:$B$3000,$A176,Permissions!$H$2:$H$3000,"Expired – not started",Permissions!$I$2:$I$3000,"Yes")</f>
        <v>15</v>
      </c>
      <c r="Z176" s="19" t="n">
        <f aca="false">SUMIFS(Permissions!$F$2:$F$3000,Permissions!$B$2:$B$3000,$A176,Permissions!$H$2:$H$3000,"In planning",Permissions!$I$2:$I$3000,"Yes")</f>
        <v>0</v>
      </c>
      <c r="AA176" s="19" t="n">
        <f aca="false">IF(N176="",0,MAX(N176-X176,0))</f>
        <v>0</v>
      </c>
      <c r="AB176" s="20" t="n">
        <f aca="false">X176+AA176</f>
        <v>0</v>
      </c>
      <c r="AC176" s="19" t="n">
        <f aca="false">AB176-T176</f>
        <v>0</v>
      </c>
      <c r="AD176" s="21" t="n">
        <f aca="false">SUMIFS(Permissions!$T$2:$T$3000,Permissions!$B$2:$B$3000,$A176,Permissions!$I$2:$I$3000,"Yes")</f>
        <v>0</v>
      </c>
      <c r="AE176" s="21" t="n">
        <f aca="false">SUMIFS(Permissions!$U$2:$U$3000,Permissions!$B$2:$B$3000,$A176,Permissions!$I$2:$I$3000,"Yes")</f>
        <v>0</v>
      </c>
      <c r="AF176" s="21" t="n">
        <f aca="false">SUMIFS(Permissions!$V$2:$V$3000,Permissions!$B$2:$B$3000,$A176,Permissions!$I$2:$I$3000,"Yes")</f>
        <v>0</v>
      </c>
      <c r="AG176" s="21" t="n">
        <f aca="false">SUMIFS(Permissions!$W$2:$W$3000,Permissions!$B$2:$B$3000,$A176,Permissions!$I$2:$I$3000,"Yes")</f>
        <v>0</v>
      </c>
      <c r="AH176" s="21" t="n">
        <f aca="false">SUMIFS(Permissions!$X$2:$X$3000,Permissions!$B$2:$B$3000,$A176,Permissions!$I$2:$I$3000,"Yes")</f>
        <v>0</v>
      </c>
      <c r="AI176" s="21" t="n">
        <f aca="false">SUMIFS(Permissions!$Y$2:$Y$3000,Permissions!$B$2:$B$3000,$A176,Permissions!$I$2:$I$3000,"Yes")</f>
        <v>0</v>
      </c>
      <c r="AJ176" s="19" t="n">
        <f aca="false">COUNTIFS(Permissions!$B$2:$B$3000,$A176,Permissions!$I$2:$I$3000,"Yes")</f>
        <v>1</v>
      </c>
      <c r="AK176" s="22" t="str">
        <f aca="false">IF(AND(N176&lt;&gt;"",X176&gt;1.1*N176),"Consented above capacity",IF(AND(LEFT(B176,8)="Planning",AJ176=0),"Consent parcel with no permission",IF(COUNTIF($A$2:$A$3000,$A176)&gt;1,"Duplicate parcel_id","")))</f>
        <v/>
      </c>
    </row>
    <row r="177" customFormat="false" ht="15" hidden="false" customHeight="false" outlineLevel="0" collapsed="false">
      <c r="A177" s="18" t="s">
        <v>366</v>
      </c>
      <c r="B177" s="18" t="s">
        <v>12</v>
      </c>
      <c r="C177" s="18" t="s">
        <v>15</v>
      </c>
      <c r="D177" s="18"/>
      <c r="E177" s="18" t="s">
        <v>90</v>
      </c>
      <c r="F177" s="18" t="s">
        <v>89</v>
      </c>
      <c r="G177" s="18" t="s">
        <v>367</v>
      </c>
      <c r="H177" s="18"/>
      <c r="I177" s="18"/>
      <c r="J177" s="18"/>
      <c r="K177" s="18"/>
      <c r="L177" s="18" t="n">
        <v>0.048</v>
      </c>
      <c r="M177" s="18" t="n">
        <v>0.048</v>
      </c>
      <c r="N177" s="18"/>
      <c r="O177" s="18" t="s">
        <v>283</v>
      </c>
      <c r="P177" s="18"/>
      <c r="Q177" s="18"/>
      <c r="R177" s="18" t="s">
        <v>98</v>
      </c>
      <c r="S177" s="18"/>
      <c r="T177" s="19" t="n">
        <f aca="false">SUMIFS(Permissions!$F$2:$F$3000,Permissions!$B$2:$B$3000,$A177,Permissions!$H$2:$H$3000,"Complete",Permissions!$I$2:$I$3000,"Yes")</f>
        <v>0</v>
      </c>
      <c r="U177" s="19" t="n">
        <f aca="false">SUMIFS(Permissions!$F$2:$F$3000,Permissions!$B$2:$B$3000,$A177,Permissions!$H$2:$H$3000,"Under construction",Permissions!$I$2:$I$3000,"Yes")</f>
        <v>0</v>
      </c>
      <c r="V177" s="19" t="n">
        <f aca="false">SUMIFS(Permissions!$F$2:$F$3000,Permissions!$B$2:$B$3000,$A177,Permissions!$H$2:$H$3000,"Permitted – not started",Permissions!$I$2:$I$3000,"Yes")</f>
        <v>14</v>
      </c>
      <c r="W177" s="19" t="n">
        <f aca="false">SUMIFS(Permissions!$F$2:$F$3000,Permissions!$B$2:$B$3000,$A177,Permissions!$H$2:$H$3000,"Stalled",Permissions!$I$2:$I$3000,"Yes")</f>
        <v>0</v>
      </c>
      <c r="X177" s="19" t="n">
        <f aca="false">T177+U177+V177+W177</f>
        <v>14</v>
      </c>
      <c r="Y177" s="19" t="n">
        <f aca="false">SUMIFS(Permissions!$F$2:$F$3000,Permissions!$B$2:$B$3000,$A177,Permissions!$H$2:$H$3000,"Expired – not started",Permissions!$I$2:$I$3000,"Yes")</f>
        <v>0</v>
      </c>
      <c r="Z177" s="19" t="n">
        <f aca="false">SUMIFS(Permissions!$F$2:$F$3000,Permissions!$B$2:$B$3000,$A177,Permissions!$H$2:$H$3000,"In planning",Permissions!$I$2:$I$3000,"Yes")</f>
        <v>0</v>
      </c>
      <c r="AA177" s="19" t="n">
        <f aca="false">IF(N177="",0,MAX(N177-X177,0))</f>
        <v>0</v>
      </c>
      <c r="AB177" s="20" t="n">
        <f aca="false">X177+AA177</f>
        <v>14</v>
      </c>
      <c r="AC177" s="19" t="n">
        <f aca="false">AB177-T177</f>
        <v>14</v>
      </c>
      <c r="AD177" s="21" t="n">
        <f aca="false">SUMIFS(Permissions!$T$2:$T$3000,Permissions!$B$2:$B$3000,$A177,Permissions!$I$2:$I$3000,"Yes")</f>
        <v>0</v>
      </c>
      <c r="AE177" s="21" t="n">
        <f aca="false">SUMIFS(Permissions!$U$2:$U$3000,Permissions!$B$2:$B$3000,$A177,Permissions!$I$2:$I$3000,"Yes")</f>
        <v>0</v>
      </c>
      <c r="AF177" s="21" t="n">
        <f aca="false">SUMIFS(Permissions!$V$2:$V$3000,Permissions!$B$2:$B$3000,$A177,Permissions!$I$2:$I$3000,"Yes")</f>
        <v>8.2</v>
      </c>
      <c r="AG177" s="21" t="n">
        <f aca="false">SUMIFS(Permissions!$W$2:$W$3000,Permissions!$B$2:$B$3000,$A177,Permissions!$I$2:$I$3000,"Yes")</f>
        <v>5.8</v>
      </c>
      <c r="AH177" s="21" t="n">
        <f aca="false">SUMIFS(Permissions!$X$2:$X$3000,Permissions!$B$2:$B$3000,$A177,Permissions!$I$2:$I$3000,"Yes")</f>
        <v>0</v>
      </c>
      <c r="AI177" s="21" t="n">
        <f aca="false">SUMIFS(Permissions!$Y$2:$Y$3000,Permissions!$B$2:$B$3000,$A177,Permissions!$I$2:$I$3000,"Yes")</f>
        <v>0</v>
      </c>
      <c r="AJ177" s="19" t="n">
        <f aca="false">COUNTIFS(Permissions!$B$2:$B$3000,$A177,Permissions!$I$2:$I$3000,"Yes")</f>
        <v>1</v>
      </c>
      <c r="AK177" s="22" t="str">
        <f aca="false">IF(AND(N177&lt;&gt;"",X177&gt;1.1*N177),"Consented above capacity",IF(AND(LEFT(B177,8)="Planning",AJ177=0),"Consent parcel with no permission",IF(COUNTIF($A$2:$A$3000,$A177)&gt;1,"Duplicate parcel_id","")))</f>
        <v/>
      </c>
    </row>
    <row r="178" customFormat="false" ht="15" hidden="false" customHeight="false" outlineLevel="0" collapsed="false">
      <c r="A178" s="18" t="s">
        <v>368</v>
      </c>
      <c r="B178" s="18" t="s">
        <v>12</v>
      </c>
      <c r="C178" s="18" t="s">
        <v>15</v>
      </c>
      <c r="D178" s="18"/>
      <c r="E178" s="18" t="s">
        <v>90</v>
      </c>
      <c r="F178" s="18" t="s">
        <v>89</v>
      </c>
      <c r="G178" s="18" t="s">
        <v>369</v>
      </c>
      <c r="H178" s="18"/>
      <c r="I178" s="18"/>
      <c r="J178" s="18"/>
      <c r="K178" s="18"/>
      <c r="L178" s="18" t="n">
        <v>0.077</v>
      </c>
      <c r="M178" s="18" t="n">
        <v>0.077</v>
      </c>
      <c r="N178" s="18"/>
      <c r="O178" s="18" t="s">
        <v>283</v>
      </c>
      <c r="P178" s="18"/>
      <c r="Q178" s="18"/>
      <c r="R178" s="18" t="s">
        <v>98</v>
      </c>
      <c r="S178" s="18"/>
      <c r="T178" s="19" t="n">
        <f aca="false">SUMIFS(Permissions!$F$2:$F$3000,Permissions!$B$2:$B$3000,$A178,Permissions!$H$2:$H$3000,"Complete",Permissions!$I$2:$I$3000,"Yes")</f>
        <v>0</v>
      </c>
      <c r="U178" s="19" t="n">
        <f aca="false">SUMIFS(Permissions!$F$2:$F$3000,Permissions!$B$2:$B$3000,$A178,Permissions!$H$2:$H$3000,"Under construction",Permissions!$I$2:$I$3000,"Yes")</f>
        <v>0</v>
      </c>
      <c r="V178" s="19" t="n">
        <f aca="false">SUMIFS(Permissions!$F$2:$F$3000,Permissions!$B$2:$B$3000,$A178,Permissions!$H$2:$H$3000,"Permitted – not started",Permissions!$I$2:$I$3000,"Yes")</f>
        <v>29</v>
      </c>
      <c r="W178" s="19" t="n">
        <f aca="false">SUMIFS(Permissions!$F$2:$F$3000,Permissions!$B$2:$B$3000,$A178,Permissions!$H$2:$H$3000,"Stalled",Permissions!$I$2:$I$3000,"Yes")</f>
        <v>0</v>
      </c>
      <c r="X178" s="19" t="n">
        <f aca="false">T178+U178+V178+W178</f>
        <v>29</v>
      </c>
      <c r="Y178" s="19" t="n">
        <f aca="false">SUMIFS(Permissions!$F$2:$F$3000,Permissions!$B$2:$B$3000,$A178,Permissions!$H$2:$H$3000,"Expired – not started",Permissions!$I$2:$I$3000,"Yes")</f>
        <v>0</v>
      </c>
      <c r="Z178" s="19" t="n">
        <f aca="false">SUMIFS(Permissions!$F$2:$F$3000,Permissions!$B$2:$B$3000,$A178,Permissions!$H$2:$H$3000,"In planning",Permissions!$I$2:$I$3000,"Yes")</f>
        <v>0</v>
      </c>
      <c r="AA178" s="19" t="n">
        <f aca="false">IF(N178="",0,MAX(N178-X178,0))</f>
        <v>0</v>
      </c>
      <c r="AB178" s="20" t="n">
        <f aca="false">X178+AA178</f>
        <v>29</v>
      </c>
      <c r="AC178" s="19" t="n">
        <f aca="false">AB178-T178</f>
        <v>29</v>
      </c>
      <c r="AD178" s="21" t="n">
        <f aca="false">SUMIFS(Permissions!$T$2:$T$3000,Permissions!$B$2:$B$3000,$A178,Permissions!$I$2:$I$3000,"Yes")</f>
        <v>0</v>
      </c>
      <c r="AE178" s="21" t="n">
        <f aca="false">SUMIFS(Permissions!$U$2:$U$3000,Permissions!$B$2:$B$3000,$A178,Permissions!$I$2:$I$3000,"Yes")</f>
        <v>0</v>
      </c>
      <c r="AF178" s="21" t="n">
        <f aca="false">SUMIFS(Permissions!$V$2:$V$3000,Permissions!$B$2:$B$3000,$A178,Permissions!$I$2:$I$3000,"Yes")</f>
        <v>22</v>
      </c>
      <c r="AG178" s="21" t="n">
        <f aca="false">SUMIFS(Permissions!$W$2:$W$3000,Permissions!$B$2:$B$3000,$A178,Permissions!$I$2:$I$3000,"Yes")</f>
        <v>7</v>
      </c>
      <c r="AH178" s="21" t="n">
        <f aca="false">SUMIFS(Permissions!$X$2:$X$3000,Permissions!$B$2:$B$3000,$A178,Permissions!$I$2:$I$3000,"Yes")</f>
        <v>0</v>
      </c>
      <c r="AI178" s="21" t="n">
        <f aca="false">SUMIFS(Permissions!$Y$2:$Y$3000,Permissions!$B$2:$B$3000,$A178,Permissions!$I$2:$I$3000,"Yes")</f>
        <v>0</v>
      </c>
      <c r="AJ178" s="19" t="n">
        <f aca="false">COUNTIFS(Permissions!$B$2:$B$3000,$A178,Permissions!$I$2:$I$3000,"Yes")</f>
        <v>1</v>
      </c>
      <c r="AK178" s="22" t="str">
        <f aca="false">IF(AND(N178&lt;&gt;"",X178&gt;1.1*N178),"Consented above capacity",IF(AND(LEFT(B178,8)="Planning",AJ178=0),"Consent parcel with no permission",IF(COUNTIF($A$2:$A$3000,$A178)&gt;1,"Duplicate parcel_id","")))</f>
        <v/>
      </c>
    </row>
    <row r="179" customFormat="false" ht="15" hidden="false" customHeight="false" outlineLevel="0" collapsed="false">
      <c r="A179" s="18" t="s">
        <v>370</v>
      </c>
      <c r="B179" s="18" t="s">
        <v>12</v>
      </c>
      <c r="C179" s="18" t="s">
        <v>15</v>
      </c>
      <c r="D179" s="18"/>
      <c r="E179" s="18" t="s">
        <v>90</v>
      </c>
      <c r="F179" s="18" t="s">
        <v>89</v>
      </c>
      <c r="G179" s="18" t="s">
        <v>371</v>
      </c>
      <c r="H179" s="18"/>
      <c r="I179" s="18"/>
      <c r="J179" s="18"/>
      <c r="K179" s="18"/>
      <c r="L179" s="18" t="n">
        <v>0.089</v>
      </c>
      <c r="M179" s="18" t="n">
        <v>0.089</v>
      </c>
      <c r="N179" s="18"/>
      <c r="O179" s="18" t="s">
        <v>283</v>
      </c>
      <c r="P179" s="18"/>
      <c r="Q179" s="18"/>
      <c r="R179" s="18" t="s">
        <v>98</v>
      </c>
      <c r="S179" s="18"/>
      <c r="T179" s="19" t="n">
        <f aca="false">SUMIFS(Permissions!$F$2:$F$3000,Permissions!$B$2:$B$3000,$A179,Permissions!$H$2:$H$3000,"Complete",Permissions!$I$2:$I$3000,"Yes")</f>
        <v>0</v>
      </c>
      <c r="U179" s="19" t="n">
        <f aca="false">SUMIFS(Permissions!$F$2:$F$3000,Permissions!$B$2:$B$3000,$A179,Permissions!$H$2:$H$3000,"Under construction",Permissions!$I$2:$I$3000,"Yes")</f>
        <v>0</v>
      </c>
      <c r="V179" s="19" t="n">
        <f aca="false">SUMIFS(Permissions!$F$2:$F$3000,Permissions!$B$2:$B$3000,$A179,Permissions!$H$2:$H$3000,"Permitted – not started",Permissions!$I$2:$I$3000,"Yes")</f>
        <v>25</v>
      </c>
      <c r="W179" s="19" t="n">
        <f aca="false">SUMIFS(Permissions!$F$2:$F$3000,Permissions!$B$2:$B$3000,$A179,Permissions!$H$2:$H$3000,"Stalled",Permissions!$I$2:$I$3000,"Yes")</f>
        <v>0</v>
      </c>
      <c r="X179" s="19" t="n">
        <f aca="false">T179+U179+V179+W179</f>
        <v>25</v>
      </c>
      <c r="Y179" s="19" t="n">
        <f aca="false">SUMIFS(Permissions!$F$2:$F$3000,Permissions!$B$2:$B$3000,$A179,Permissions!$H$2:$H$3000,"Expired – not started",Permissions!$I$2:$I$3000,"Yes")</f>
        <v>0</v>
      </c>
      <c r="Z179" s="19" t="n">
        <f aca="false">SUMIFS(Permissions!$F$2:$F$3000,Permissions!$B$2:$B$3000,$A179,Permissions!$H$2:$H$3000,"In planning",Permissions!$I$2:$I$3000,"Yes")</f>
        <v>0</v>
      </c>
      <c r="AA179" s="19" t="n">
        <f aca="false">IF(N179="",0,MAX(N179-X179,0))</f>
        <v>0</v>
      </c>
      <c r="AB179" s="20" t="n">
        <f aca="false">X179+AA179</f>
        <v>25</v>
      </c>
      <c r="AC179" s="19" t="n">
        <f aca="false">AB179-T179</f>
        <v>25</v>
      </c>
      <c r="AD179" s="21" t="n">
        <f aca="false">SUMIFS(Permissions!$T$2:$T$3000,Permissions!$B$2:$B$3000,$A179,Permissions!$I$2:$I$3000,"Yes")</f>
        <v>0</v>
      </c>
      <c r="AE179" s="21" t="n">
        <f aca="false">SUMIFS(Permissions!$U$2:$U$3000,Permissions!$B$2:$B$3000,$A179,Permissions!$I$2:$I$3000,"Yes")</f>
        <v>0</v>
      </c>
      <c r="AF179" s="21" t="n">
        <f aca="false">SUMIFS(Permissions!$V$2:$V$3000,Permissions!$B$2:$B$3000,$A179,Permissions!$I$2:$I$3000,"Yes")</f>
        <v>25</v>
      </c>
      <c r="AG179" s="21" t="n">
        <f aca="false">SUMIFS(Permissions!$W$2:$W$3000,Permissions!$B$2:$B$3000,$A179,Permissions!$I$2:$I$3000,"Yes")</f>
        <v>0</v>
      </c>
      <c r="AH179" s="21" t="n">
        <f aca="false">SUMIFS(Permissions!$X$2:$X$3000,Permissions!$B$2:$B$3000,$A179,Permissions!$I$2:$I$3000,"Yes")</f>
        <v>0</v>
      </c>
      <c r="AI179" s="21" t="n">
        <f aca="false">SUMIFS(Permissions!$Y$2:$Y$3000,Permissions!$B$2:$B$3000,$A179,Permissions!$I$2:$I$3000,"Yes")</f>
        <v>0</v>
      </c>
      <c r="AJ179" s="19" t="n">
        <f aca="false">COUNTIFS(Permissions!$B$2:$B$3000,$A179,Permissions!$I$2:$I$3000,"Yes")</f>
        <v>1</v>
      </c>
      <c r="AK179" s="22" t="str">
        <f aca="false">IF(AND(N179&lt;&gt;"",X179&gt;1.1*N179),"Consented above capacity",IF(AND(LEFT(B179,8)="Planning",AJ179=0),"Consent parcel with no permission",IF(COUNTIF($A$2:$A$3000,$A179)&gt;1,"Duplicate parcel_id","")))</f>
        <v/>
      </c>
    </row>
    <row r="180" customFormat="false" ht="15" hidden="false" customHeight="false" outlineLevel="0" collapsed="false">
      <c r="A180" s="18" t="s">
        <v>372</v>
      </c>
      <c r="B180" s="18" t="s">
        <v>12</v>
      </c>
      <c r="C180" s="18" t="s">
        <v>15</v>
      </c>
      <c r="D180" s="18"/>
      <c r="E180" s="18" t="s">
        <v>90</v>
      </c>
      <c r="F180" s="18" t="s">
        <v>89</v>
      </c>
      <c r="G180" s="18" t="s">
        <v>373</v>
      </c>
      <c r="H180" s="18"/>
      <c r="I180" s="18"/>
      <c r="J180" s="18"/>
      <c r="K180" s="18"/>
      <c r="L180" s="18" t="n">
        <v>0.079</v>
      </c>
      <c r="M180" s="18" t="n">
        <v>0.079</v>
      </c>
      <c r="N180" s="18"/>
      <c r="O180" s="18" t="s">
        <v>283</v>
      </c>
      <c r="P180" s="18"/>
      <c r="Q180" s="18"/>
      <c r="R180" s="18" t="s">
        <v>98</v>
      </c>
      <c r="S180" s="18"/>
      <c r="T180" s="19" t="n">
        <f aca="false">SUMIFS(Permissions!$F$2:$F$3000,Permissions!$B$2:$B$3000,$A180,Permissions!$H$2:$H$3000,"Complete",Permissions!$I$2:$I$3000,"Yes")</f>
        <v>0</v>
      </c>
      <c r="U180" s="19" t="n">
        <f aca="false">SUMIFS(Permissions!$F$2:$F$3000,Permissions!$B$2:$B$3000,$A180,Permissions!$H$2:$H$3000,"Under construction",Permissions!$I$2:$I$3000,"Yes")</f>
        <v>0</v>
      </c>
      <c r="V180" s="19" t="n">
        <f aca="false">SUMIFS(Permissions!$F$2:$F$3000,Permissions!$B$2:$B$3000,$A180,Permissions!$H$2:$H$3000,"Permitted – not started",Permissions!$I$2:$I$3000,"Yes")</f>
        <v>24</v>
      </c>
      <c r="W180" s="19" t="n">
        <f aca="false">SUMIFS(Permissions!$F$2:$F$3000,Permissions!$B$2:$B$3000,$A180,Permissions!$H$2:$H$3000,"Stalled",Permissions!$I$2:$I$3000,"Yes")</f>
        <v>0</v>
      </c>
      <c r="X180" s="19" t="n">
        <f aca="false">T180+U180+V180+W180</f>
        <v>24</v>
      </c>
      <c r="Y180" s="19" t="n">
        <f aca="false">SUMIFS(Permissions!$F$2:$F$3000,Permissions!$B$2:$B$3000,$A180,Permissions!$H$2:$H$3000,"Expired – not started",Permissions!$I$2:$I$3000,"Yes")</f>
        <v>0</v>
      </c>
      <c r="Z180" s="19" t="n">
        <f aca="false">SUMIFS(Permissions!$F$2:$F$3000,Permissions!$B$2:$B$3000,$A180,Permissions!$H$2:$H$3000,"In planning",Permissions!$I$2:$I$3000,"Yes")</f>
        <v>0</v>
      </c>
      <c r="AA180" s="19" t="n">
        <f aca="false">IF(N180="",0,MAX(N180-X180,0))</f>
        <v>0</v>
      </c>
      <c r="AB180" s="20" t="n">
        <f aca="false">X180+AA180</f>
        <v>24</v>
      </c>
      <c r="AC180" s="19" t="n">
        <f aca="false">AB180-T180</f>
        <v>24</v>
      </c>
      <c r="AD180" s="21" t="n">
        <f aca="false">SUMIFS(Permissions!$T$2:$T$3000,Permissions!$B$2:$B$3000,$A180,Permissions!$I$2:$I$3000,"Yes")</f>
        <v>0</v>
      </c>
      <c r="AE180" s="21" t="n">
        <f aca="false">SUMIFS(Permissions!$U$2:$U$3000,Permissions!$B$2:$B$3000,$A180,Permissions!$I$2:$I$3000,"Yes")</f>
        <v>0</v>
      </c>
      <c r="AF180" s="21" t="n">
        <f aca="false">SUMIFS(Permissions!$V$2:$V$3000,Permissions!$B$2:$B$3000,$A180,Permissions!$I$2:$I$3000,"Yes")</f>
        <v>6.2</v>
      </c>
      <c r="AG180" s="21" t="n">
        <f aca="false">SUMIFS(Permissions!$W$2:$W$3000,Permissions!$B$2:$B$3000,$A180,Permissions!$I$2:$I$3000,"Yes")</f>
        <v>12.8</v>
      </c>
      <c r="AH180" s="21" t="n">
        <f aca="false">SUMIFS(Permissions!$X$2:$X$3000,Permissions!$B$2:$B$3000,$A180,Permissions!$I$2:$I$3000,"Yes")</f>
        <v>5</v>
      </c>
      <c r="AI180" s="21" t="n">
        <f aca="false">SUMIFS(Permissions!$Y$2:$Y$3000,Permissions!$B$2:$B$3000,$A180,Permissions!$I$2:$I$3000,"Yes")</f>
        <v>0</v>
      </c>
      <c r="AJ180" s="19" t="n">
        <f aca="false">COUNTIFS(Permissions!$B$2:$B$3000,$A180,Permissions!$I$2:$I$3000,"Yes")</f>
        <v>1</v>
      </c>
      <c r="AK180" s="22" t="str">
        <f aca="false">IF(AND(N180&lt;&gt;"",X180&gt;1.1*N180),"Consented above capacity",IF(AND(LEFT(B180,8)="Planning",AJ180=0),"Consent parcel with no permission",IF(COUNTIF($A$2:$A$3000,$A180)&gt;1,"Duplicate parcel_id","")))</f>
        <v/>
      </c>
    </row>
    <row r="181" customFormat="false" ht="15" hidden="false" customHeight="false" outlineLevel="0" collapsed="false">
      <c r="A181" s="18" t="s">
        <v>374</v>
      </c>
      <c r="B181" s="18" t="s">
        <v>12</v>
      </c>
      <c r="C181" s="18" t="s">
        <v>15</v>
      </c>
      <c r="D181" s="18"/>
      <c r="E181" s="18" t="s">
        <v>90</v>
      </c>
      <c r="F181" s="18" t="s">
        <v>89</v>
      </c>
      <c r="G181" s="18" t="s">
        <v>375</v>
      </c>
      <c r="H181" s="18"/>
      <c r="I181" s="18"/>
      <c r="J181" s="18"/>
      <c r="K181" s="18"/>
      <c r="L181" s="18" t="n">
        <v>0.072</v>
      </c>
      <c r="M181" s="18" t="n">
        <v>0.072</v>
      </c>
      <c r="N181" s="18"/>
      <c r="O181" s="18" t="s">
        <v>283</v>
      </c>
      <c r="P181" s="18"/>
      <c r="Q181" s="18"/>
      <c r="R181" s="18" t="s">
        <v>98</v>
      </c>
      <c r="S181" s="18"/>
      <c r="T181" s="19" t="n">
        <f aca="false">SUMIFS(Permissions!$F$2:$F$3000,Permissions!$B$2:$B$3000,$A181,Permissions!$H$2:$H$3000,"Complete",Permissions!$I$2:$I$3000,"Yes")</f>
        <v>9</v>
      </c>
      <c r="U181" s="19" t="n">
        <f aca="false">SUMIFS(Permissions!$F$2:$F$3000,Permissions!$B$2:$B$3000,$A181,Permissions!$H$2:$H$3000,"Under construction",Permissions!$I$2:$I$3000,"Yes")</f>
        <v>0</v>
      </c>
      <c r="V181" s="19" t="n">
        <f aca="false">SUMIFS(Permissions!$F$2:$F$3000,Permissions!$B$2:$B$3000,$A181,Permissions!$H$2:$H$3000,"Permitted – not started",Permissions!$I$2:$I$3000,"Yes")</f>
        <v>0</v>
      </c>
      <c r="W181" s="19" t="n">
        <f aca="false">SUMIFS(Permissions!$F$2:$F$3000,Permissions!$B$2:$B$3000,$A181,Permissions!$H$2:$H$3000,"Stalled",Permissions!$I$2:$I$3000,"Yes")</f>
        <v>0</v>
      </c>
      <c r="X181" s="19" t="n">
        <f aca="false">T181+U181+V181+W181</f>
        <v>9</v>
      </c>
      <c r="Y181" s="19" t="n">
        <f aca="false">SUMIFS(Permissions!$F$2:$F$3000,Permissions!$B$2:$B$3000,$A181,Permissions!$H$2:$H$3000,"Expired – not started",Permissions!$I$2:$I$3000,"Yes")</f>
        <v>8</v>
      </c>
      <c r="Z181" s="19" t="n">
        <f aca="false">SUMIFS(Permissions!$F$2:$F$3000,Permissions!$B$2:$B$3000,$A181,Permissions!$H$2:$H$3000,"In planning",Permissions!$I$2:$I$3000,"Yes")</f>
        <v>0</v>
      </c>
      <c r="AA181" s="19" t="n">
        <f aca="false">IF(N181="",0,MAX(N181-X181,0))</f>
        <v>0</v>
      </c>
      <c r="AB181" s="20" t="n">
        <f aca="false">X181+AA181</f>
        <v>9</v>
      </c>
      <c r="AC181" s="19" t="n">
        <f aca="false">AB181-T181</f>
        <v>0</v>
      </c>
      <c r="AD181" s="21" t="n">
        <f aca="false">SUMIFS(Permissions!$T$2:$T$3000,Permissions!$B$2:$B$3000,$A181,Permissions!$I$2:$I$3000,"Yes")</f>
        <v>0</v>
      </c>
      <c r="AE181" s="21" t="n">
        <f aca="false">SUMIFS(Permissions!$U$2:$U$3000,Permissions!$B$2:$B$3000,$A181,Permissions!$I$2:$I$3000,"Yes")</f>
        <v>0</v>
      </c>
      <c r="AF181" s="21" t="n">
        <f aca="false">SUMIFS(Permissions!$V$2:$V$3000,Permissions!$B$2:$B$3000,$A181,Permissions!$I$2:$I$3000,"Yes")</f>
        <v>0</v>
      </c>
      <c r="AG181" s="21" t="n">
        <f aca="false">SUMIFS(Permissions!$W$2:$W$3000,Permissions!$B$2:$B$3000,$A181,Permissions!$I$2:$I$3000,"Yes")</f>
        <v>0</v>
      </c>
      <c r="AH181" s="21" t="n">
        <f aca="false">SUMIFS(Permissions!$X$2:$X$3000,Permissions!$B$2:$B$3000,$A181,Permissions!$I$2:$I$3000,"Yes")</f>
        <v>0</v>
      </c>
      <c r="AI181" s="21" t="n">
        <f aca="false">SUMIFS(Permissions!$Y$2:$Y$3000,Permissions!$B$2:$B$3000,$A181,Permissions!$I$2:$I$3000,"Yes")</f>
        <v>0</v>
      </c>
      <c r="AJ181" s="19" t="n">
        <f aca="false">COUNTIFS(Permissions!$B$2:$B$3000,$A181,Permissions!$I$2:$I$3000,"Yes")</f>
        <v>2</v>
      </c>
      <c r="AK181" s="22" t="str">
        <f aca="false">IF(AND(N181&lt;&gt;"",X181&gt;1.1*N181),"Consented above capacity",IF(AND(LEFT(B181,8)="Planning",AJ181=0),"Consent parcel with no permission",IF(COUNTIF($A$2:$A$3000,$A181)&gt;1,"Duplicate parcel_id","")))</f>
        <v/>
      </c>
    </row>
    <row r="182" customFormat="false" ht="15" hidden="false" customHeight="false" outlineLevel="0" collapsed="false">
      <c r="A182" s="18" t="s">
        <v>376</v>
      </c>
      <c r="B182" s="18" t="s">
        <v>12</v>
      </c>
      <c r="C182" s="18" t="s">
        <v>15</v>
      </c>
      <c r="D182" s="18"/>
      <c r="E182" s="18" t="s">
        <v>90</v>
      </c>
      <c r="F182" s="18" t="s">
        <v>89</v>
      </c>
      <c r="G182" s="18" t="s">
        <v>377</v>
      </c>
      <c r="H182" s="18"/>
      <c r="I182" s="18"/>
      <c r="J182" s="18"/>
      <c r="K182" s="18"/>
      <c r="L182" s="18" t="n">
        <v>0.054</v>
      </c>
      <c r="M182" s="18" t="n">
        <v>0.054</v>
      </c>
      <c r="N182" s="18"/>
      <c r="O182" s="18" t="s">
        <v>283</v>
      </c>
      <c r="P182" s="18"/>
      <c r="Q182" s="18"/>
      <c r="R182" s="18" t="s">
        <v>98</v>
      </c>
      <c r="S182" s="18"/>
      <c r="T182" s="19" t="n">
        <f aca="false">SUMIFS(Permissions!$F$2:$F$3000,Permissions!$B$2:$B$3000,$A182,Permissions!$H$2:$H$3000,"Complete",Permissions!$I$2:$I$3000,"Yes")</f>
        <v>0</v>
      </c>
      <c r="U182" s="19" t="n">
        <f aca="false">SUMIFS(Permissions!$F$2:$F$3000,Permissions!$B$2:$B$3000,$A182,Permissions!$H$2:$H$3000,"Under construction",Permissions!$I$2:$I$3000,"Yes")</f>
        <v>13</v>
      </c>
      <c r="V182" s="19" t="n">
        <f aca="false">SUMIFS(Permissions!$F$2:$F$3000,Permissions!$B$2:$B$3000,$A182,Permissions!$H$2:$H$3000,"Permitted – not started",Permissions!$I$2:$I$3000,"Yes")</f>
        <v>0</v>
      </c>
      <c r="W182" s="19" t="n">
        <f aca="false">SUMIFS(Permissions!$F$2:$F$3000,Permissions!$B$2:$B$3000,$A182,Permissions!$H$2:$H$3000,"Stalled",Permissions!$I$2:$I$3000,"Yes")</f>
        <v>0</v>
      </c>
      <c r="X182" s="19" t="n">
        <f aca="false">T182+U182+V182+W182</f>
        <v>13</v>
      </c>
      <c r="Y182" s="19" t="n">
        <f aca="false">SUMIFS(Permissions!$F$2:$F$3000,Permissions!$B$2:$B$3000,$A182,Permissions!$H$2:$H$3000,"Expired – not started",Permissions!$I$2:$I$3000,"Yes")</f>
        <v>0</v>
      </c>
      <c r="Z182" s="19" t="n">
        <f aca="false">SUMIFS(Permissions!$F$2:$F$3000,Permissions!$B$2:$B$3000,$A182,Permissions!$H$2:$H$3000,"In planning",Permissions!$I$2:$I$3000,"Yes")</f>
        <v>0</v>
      </c>
      <c r="AA182" s="19" t="n">
        <f aca="false">IF(N182="",0,MAX(N182-X182,0))</f>
        <v>0</v>
      </c>
      <c r="AB182" s="20" t="n">
        <f aca="false">X182+AA182</f>
        <v>13</v>
      </c>
      <c r="AC182" s="19" t="n">
        <f aca="false">AB182-T182</f>
        <v>13</v>
      </c>
      <c r="AD182" s="21" t="n">
        <f aca="false">SUMIFS(Permissions!$T$2:$T$3000,Permissions!$B$2:$B$3000,$A182,Permissions!$I$2:$I$3000,"Yes")</f>
        <v>0</v>
      </c>
      <c r="AE182" s="21" t="n">
        <f aca="false">SUMIFS(Permissions!$U$2:$U$3000,Permissions!$B$2:$B$3000,$A182,Permissions!$I$2:$I$3000,"Yes")</f>
        <v>13</v>
      </c>
      <c r="AF182" s="21" t="n">
        <f aca="false">SUMIFS(Permissions!$V$2:$V$3000,Permissions!$B$2:$B$3000,$A182,Permissions!$I$2:$I$3000,"Yes")</f>
        <v>0</v>
      </c>
      <c r="AG182" s="21" t="n">
        <f aca="false">SUMIFS(Permissions!$W$2:$W$3000,Permissions!$B$2:$B$3000,$A182,Permissions!$I$2:$I$3000,"Yes")</f>
        <v>0</v>
      </c>
      <c r="AH182" s="21" t="n">
        <f aca="false">SUMIFS(Permissions!$X$2:$X$3000,Permissions!$B$2:$B$3000,$A182,Permissions!$I$2:$I$3000,"Yes")</f>
        <v>0</v>
      </c>
      <c r="AI182" s="21" t="n">
        <f aca="false">SUMIFS(Permissions!$Y$2:$Y$3000,Permissions!$B$2:$B$3000,$A182,Permissions!$I$2:$I$3000,"Yes")</f>
        <v>0</v>
      </c>
      <c r="AJ182" s="19" t="n">
        <f aca="false">COUNTIFS(Permissions!$B$2:$B$3000,$A182,Permissions!$I$2:$I$3000,"Yes")</f>
        <v>1</v>
      </c>
      <c r="AK182" s="22" t="str">
        <f aca="false">IF(AND(N182&lt;&gt;"",X182&gt;1.1*N182),"Consented above capacity",IF(AND(LEFT(B182,8)="Planning",AJ182=0),"Consent parcel with no permission",IF(COUNTIF($A$2:$A$3000,$A182)&gt;1,"Duplicate parcel_id","")))</f>
        <v/>
      </c>
    </row>
    <row r="183" customFormat="false" ht="15" hidden="false" customHeight="false" outlineLevel="0" collapsed="false">
      <c r="A183" s="18" t="s">
        <v>378</v>
      </c>
      <c r="B183" s="18" t="s">
        <v>12</v>
      </c>
      <c r="C183" s="18" t="s">
        <v>15</v>
      </c>
      <c r="D183" s="18"/>
      <c r="E183" s="18" t="s">
        <v>90</v>
      </c>
      <c r="F183" s="18" t="s">
        <v>112</v>
      </c>
      <c r="G183" s="18" t="s">
        <v>379</v>
      </c>
      <c r="H183" s="18"/>
      <c r="I183" s="18"/>
      <c r="J183" s="18"/>
      <c r="K183" s="18"/>
      <c r="L183" s="18" t="n">
        <v>0.196</v>
      </c>
      <c r="M183" s="18" t="n">
        <v>0.196</v>
      </c>
      <c r="N183" s="18"/>
      <c r="O183" s="18" t="s">
        <v>283</v>
      </c>
      <c r="P183" s="18"/>
      <c r="Q183" s="18" t="s">
        <v>313</v>
      </c>
      <c r="R183" s="18" t="s">
        <v>98</v>
      </c>
      <c r="S183" s="18"/>
      <c r="T183" s="19" t="n">
        <f aca="false">SUMIFS(Permissions!$F$2:$F$3000,Permissions!$B$2:$B$3000,$A183,Permissions!$H$2:$H$3000,"Complete",Permissions!$I$2:$I$3000,"Yes")</f>
        <v>0</v>
      </c>
      <c r="U183" s="19" t="n">
        <f aca="false">SUMIFS(Permissions!$F$2:$F$3000,Permissions!$B$2:$B$3000,$A183,Permissions!$H$2:$H$3000,"Under construction",Permissions!$I$2:$I$3000,"Yes")</f>
        <v>0</v>
      </c>
      <c r="V183" s="19" t="n">
        <f aca="false">SUMIFS(Permissions!$F$2:$F$3000,Permissions!$B$2:$B$3000,$A183,Permissions!$H$2:$H$3000,"Permitted – not started",Permissions!$I$2:$I$3000,"Yes")</f>
        <v>4</v>
      </c>
      <c r="W183" s="19" t="n">
        <f aca="false">SUMIFS(Permissions!$F$2:$F$3000,Permissions!$B$2:$B$3000,$A183,Permissions!$H$2:$H$3000,"Stalled",Permissions!$I$2:$I$3000,"Yes")</f>
        <v>0</v>
      </c>
      <c r="X183" s="19" t="n">
        <f aca="false">T183+U183+V183+W183</f>
        <v>4</v>
      </c>
      <c r="Y183" s="19" t="n">
        <f aca="false">SUMIFS(Permissions!$F$2:$F$3000,Permissions!$B$2:$B$3000,$A183,Permissions!$H$2:$H$3000,"Expired – not started",Permissions!$I$2:$I$3000,"Yes")</f>
        <v>0</v>
      </c>
      <c r="Z183" s="19" t="n">
        <f aca="false">SUMIFS(Permissions!$F$2:$F$3000,Permissions!$B$2:$B$3000,$A183,Permissions!$H$2:$H$3000,"In planning",Permissions!$I$2:$I$3000,"Yes")</f>
        <v>0</v>
      </c>
      <c r="AA183" s="19" t="n">
        <f aca="false">IF(N183="",0,MAX(N183-X183,0))</f>
        <v>0</v>
      </c>
      <c r="AB183" s="20" t="n">
        <f aca="false">X183+AA183</f>
        <v>4</v>
      </c>
      <c r="AC183" s="19" t="n">
        <f aca="false">AB183-T183</f>
        <v>4</v>
      </c>
      <c r="AD183" s="21" t="n">
        <f aca="false">SUMIFS(Permissions!$T$2:$T$3000,Permissions!$B$2:$B$3000,$A183,Permissions!$I$2:$I$3000,"Yes")</f>
        <v>0</v>
      </c>
      <c r="AE183" s="21" t="n">
        <f aca="false">SUMIFS(Permissions!$U$2:$U$3000,Permissions!$B$2:$B$3000,$A183,Permissions!$I$2:$I$3000,"Yes")</f>
        <v>0</v>
      </c>
      <c r="AF183" s="21" t="n">
        <f aca="false">SUMIFS(Permissions!$V$2:$V$3000,Permissions!$B$2:$B$3000,$A183,Permissions!$I$2:$I$3000,"Yes")</f>
        <v>2.5</v>
      </c>
      <c r="AG183" s="21" t="n">
        <f aca="false">SUMIFS(Permissions!$W$2:$W$3000,Permissions!$B$2:$B$3000,$A183,Permissions!$I$2:$I$3000,"Yes")</f>
        <v>1.5</v>
      </c>
      <c r="AH183" s="21" t="n">
        <f aca="false">SUMIFS(Permissions!$X$2:$X$3000,Permissions!$B$2:$B$3000,$A183,Permissions!$I$2:$I$3000,"Yes")</f>
        <v>0</v>
      </c>
      <c r="AI183" s="21" t="n">
        <f aca="false">SUMIFS(Permissions!$Y$2:$Y$3000,Permissions!$B$2:$B$3000,$A183,Permissions!$I$2:$I$3000,"Yes")</f>
        <v>0</v>
      </c>
      <c r="AJ183" s="19" t="n">
        <f aca="false">COUNTIFS(Permissions!$B$2:$B$3000,$A183,Permissions!$I$2:$I$3000,"Yes")</f>
        <v>1</v>
      </c>
      <c r="AK183" s="22" t="str">
        <f aca="false">IF(AND(N183&lt;&gt;"",X183&gt;1.1*N183),"Consented above capacity",IF(AND(LEFT(B183,8)="Planning",AJ183=0),"Consent parcel with no permission",IF(COUNTIF($A$2:$A$3000,$A183)&gt;1,"Duplicate parcel_id","")))</f>
        <v/>
      </c>
    </row>
    <row r="184" customFormat="false" ht="15" hidden="false" customHeight="false" outlineLevel="0" collapsed="false">
      <c r="A184" s="18" t="s">
        <v>380</v>
      </c>
      <c r="B184" s="18" t="s">
        <v>12</v>
      </c>
      <c r="C184" s="18" t="s">
        <v>15</v>
      </c>
      <c r="D184" s="18"/>
      <c r="E184" s="18" t="s">
        <v>90</v>
      </c>
      <c r="F184" s="18" t="s">
        <v>89</v>
      </c>
      <c r="G184" s="18" t="s">
        <v>381</v>
      </c>
      <c r="H184" s="18"/>
      <c r="I184" s="18"/>
      <c r="J184" s="18"/>
      <c r="K184" s="18"/>
      <c r="L184" s="18" t="n">
        <v>0.081</v>
      </c>
      <c r="M184" s="18" t="n">
        <v>0.081</v>
      </c>
      <c r="N184" s="18"/>
      <c r="O184" s="18" t="s">
        <v>283</v>
      </c>
      <c r="P184" s="18"/>
      <c r="Q184" s="18"/>
      <c r="R184" s="18" t="s">
        <v>98</v>
      </c>
      <c r="S184" s="18"/>
      <c r="T184" s="19" t="n">
        <f aca="false">SUMIFS(Permissions!$F$2:$F$3000,Permissions!$B$2:$B$3000,$A184,Permissions!$H$2:$H$3000,"Complete",Permissions!$I$2:$I$3000,"Yes")</f>
        <v>0</v>
      </c>
      <c r="U184" s="19" t="n">
        <f aca="false">SUMIFS(Permissions!$F$2:$F$3000,Permissions!$B$2:$B$3000,$A184,Permissions!$H$2:$H$3000,"Under construction",Permissions!$I$2:$I$3000,"Yes")</f>
        <v>24</v>
      </c>
      <c r="V184" s="19" t="n">
        <f aca="false">SUMIFS(Permissions!$F$2:$F$3000,Permissions!$B$2:$B$3000,$A184,Permissions!$H$2:$H$3000,"Permitted – not started",Permissions!$I$2:$I$3000,"Yes")</f>
        <v>0</v>
      </c>
      <c r="W184" s="19" t="n">
        <f aca="false">SUMIFS(Permissions!$F$2:$F$3000,Permissions!$B$2:$B$3000,$A184,Permissions!$H$2:$H$3000,"Stalled",Permissions!$I$2:$I$3000,"Yes")</f>
        <v>0</v>
      </c>
      <c r="X184" s="19" t="n">
        <f aca="false">T184+U184+V184+W184</f>
        <v>24</v>
      </c>
      <c r="Y184" s="19" t="n">
        <f aca="false">SUMIFS(Permissions!$F$2:$F$3000,Permissions!$B$2:$B$3000,$A184,Permissions!$H$2:$H$3000,"Expired – not started",Permissions!$I$2:$I$3000,"Yes")</f>
        <v>0</v>
      </c>
      <c r="Z184" s="19" t="n">
        <f aca="false">SUMIFS(Permissions!$F$2:$F$3000,Permissions!$B$2:$B$3000,$A184,Permissions!$H$2:$H$3000,"In planning",Permissions!$I$2:$I$3000,"Yes")</f>
        <v>0</v>
      </c>
      <c r="AA184" s="19" t="n">
        <f aca="false">IF(N184="",0,MAX(N184-X184,0))</f>
        <v>0</v>
      </c>
      <c r="AB184" s="20" t="n">
        <f aca="false">X184+AA184</f>
        <v>24</v>
      </c>
      <c r="AC184" s="19" t="n">
        <f aca="false">AB184-T184</f>
        <v>24</v>
      </c>
      <c r="AD184" s="21" t="n">
        <f aca="false">SUMIFS(Permissions!$T$2:$T$3000,Permissions!$B$2:$B$3000,$A184,Permissions!$I$2:$I$3000,"Yes")</f>
        <v>1.1</v>
      </c>
      <c r="AE184" s="21" t="n">
        <f aca="false">SUMIFS(Permissions!$U$2:$U$3000,Permissions!$B$2:$B$3000,$A184,Permissions!$I$2:$I$3000,"Yes")</f>
        <v>12.8</v>
      </c>
      <c r="AF184" s="21" t="n">
        <f aca="false">SUMIFS(Permissions!$V$2:$V$3000,Permissions!$B$2:$B$3000,$A184,Permissions!$I$2:$I$3000,"Yes")</f>
        <v>10.1</v>
      </c>
      <c r="AG184" s="21" t="n">
        <f aca="false">SUMIFS(Permissions!$W$2:$W$3000,Permissions!$B$2:$B$3000,$A184,Permissions!$I$2:$I$3000,"Yes")</f>
        <v>0</v>
      </c>
      <c r="AH184" s="21" t="n">
        <f aca="false">SUMIFS(Permissions!$X$2:$X$3000,Permissions!$B$2:$B$3000,$A184,Permissions!$I$2:$I$3000,"Yes")</f>
        <v>0</v>
      </c>
      <c r="AI184" s="21" t="n">
        <f aca="false">SUMIFS(Permissions!$Y$2:$Y$3000,Permissions!$B$2:$B$3000,$A184,Permissions!$I$2:$I$3000,"Yes")</f>
        <v>0</v>
      </c>
      <c r="AJ184" s="19" t="n">
        <f aca="false">COUNTIFS(Permissions!$B$2:$B$3000,$A184,Permissions!$I$2:$I$3000,"Yes")</f>
        <v>1</v>
      </c>
      <c r="AK184" s="22" t="str">
        <f aca="false">IF(AND(N184&lt;&gt;"",X184&gt;1.1*N184),"Consented above capacity",IF(AND(LEFT(B184,8)="Planning",AJ184=0),"Consent parcel with no permission",IF(COUNTIF($A$2:$A$3000,$A184)&gt;1,"Duplicate parcel_id","")))</f>
        <v/>
      </c>
    </row>
    <row r="185" customFormat="false" ht="15" hidden="false" customHeight="false" outlineLevel="0" collapsed="false">
      <c r="A185" s="18" t="s">
        <v>382</v>
      </c>
      <c r="B185" s="18" t="s">
        <v>12</v>
      </c>
      <c r="C185" s="18" t="s">
        <v>15</v>
      </c>
      <c r="D185" s="18"/>
      <c r="E185" s="18" t="s">
        <v>90</v>
      </c>
      <c r="F185" s="18" t="s">
        <v>89</v>
      </c>
      <c r="G185" s="18" t="s">
        <v>383</v>
      </c>
      <c r="H185" s="18"/>
      <c r="I185" s="18"/>
      <c r="J185" s="18"/>
      <c r="K185" s="18"/>
      <c r="L185" s="18" t="n">
        <v>0.032</v>
      </c>
      <c r="M185" s="18" t="n">
        <v>0.032</v>
      </c>
      <c r="N185" s="18"/>
      <c r="O185" s="18" t="s">
        <v>283</v>
      </c>
      <c r="P185" s="18"/>
      <c r="Q185" s="18"/>
      <c r="R185" s="18" t="s">
        <v>98</v>
      </c>
      <c r="S185" s="18"/>
      <c r="T185" s="19" t="n">
        <f aca="false">SUMIFS(Permissions!$F$2:$F$3000,Permissions!$B$2:$B$3000,$A185,Permissions!$H$2:$H$3000,"Complete",Permissions!$I$2:$I$3000,"Yes")</f>
        <v>0</v>
      </c>
      <c r="U185" s="19" t="n">
        <f aca="false">SUMIFS(Permissions!$F$2:$F$3000,Permissions!$B$2:$B$3000,$A185,Permissions!$H$2:$H$3000,"Under construction",Permissions!$I$2:$I$3000,"Yes")</f>
        <v>0</v>
      </c>
      <c r="V185" s="19" t="n">
        <f aca="false">SUMIFS(Permissions!$F$2:$F$3000,Permissions!$B$2:$B$3000,$A185,Permissions!$H$2:$H$3000,"Permitted – not started",Permissions!$I$2:$I$3000,"Yes")</f>
        <v>21</v>
      </c>
      <c r="W185" s="19" t="n">
        <f aca="false">SUMIFS(Permissions!$F$2:$F$3000,Permissions!$B$2:$B$3000,$A185,Permissions!$H$2:$H$3000,"Stalled",Permissions!$I$2:$I$3000,"Yes")</f>
        <v>0</v>
      </c>
      <c r="X185" s="19" t="n">
        <f aca="false">T185+U185+V185+W185</f>
        <v>21</v>
      </c>
      <c r="Y185" s="19" t="n">
        <f aca="false">SUMIFS(Permissions!$F$2:$F$3000,Permissions!$B$2:$B$3000,$A185,Permissions!$H$2:$H$3000,"Expired – not started",Permissions!$I$2:$I$3000,"Yes")</f>
        <v>0</v>
      </c>
      <c r="Z185" s="19" t="n">
        <f aca="false">SUMIFS(Permissions!$F$2:$F$3000,Permissions!$B$2:$B$3000,$A185,Permissions!$H$2:$H$3000,"In planning",Permissions!$I$2:$I$3000,"Yes")</f>
        <v>0</v>
      </c>
      <c r="AA185" s="19" t="n">
        <f aca="false">IF(N185="",0,MAX(N185-X185,0))</f>
        <v>0</v>
      </c>
      <c r="AB185" s="20" t="n">
        <f aca="false">X185+AA185</f>
        <v>21</v>
      </c>
      <c r="AC185" s="19" t="n">
        <f aca="false">AB185-T185</f>
        <v>21</v>
      </c>
      <c r="AD185" s="21" t="n">
        <f aca="false">SUMIFS(Permissions!$T$2:$T$3000,Permissions!$B$2:$B$3000,$A185,Permissions!$I$2:$I$3000,"Yes")</f>
        <v>0</v>
      </c>
      <c r="AE185" s="21" t="n">
        <f aca="false">SUMIFS(Permissions!$U$2:$U$3000,Permissions!$B$2:$B$3000,$A185,Permissions!$I$2:$I$3000,"Yes")</f>
        <v>0</v>
      </c>
      <c r="AF185" s="21" t="n">
        <f aca="false">SUMIFS(Permissions!$V$2:$V$3000,Permissions!$B$2:$B$3000,$A185,Permissions!$I$2:$I$3000,"Yes")</f>
        <v>6.7</v>
      </c>
      <c r="AG185" s="21" t="n">
        <f aca="false">SUMIFS(Permissions!$W$2:$W$3000,Permissions!$B$2:$B$3000,$A185,Permissions!$I$2:$I$3000,"Yes")</f>
        <v>13.9</v>
      </c>
      <c r="AH185" s="21" t="n">
        <f aca="false">SUMIFS(Permissions!$X$2:$X$3000,Permissions!$B$2:$B$3000,$A185,Permissions!$I$2:$I$3000,"Yes")</f>
        <v>0.5</v>
      </c>
      <c r="AI185" s="21" t="n">
        <f aca="false">SUMIFS(Permissions!$Y$2:$Y$3000,Permissions!$B$2:$B$3000,$A185,Permissions!$I$2:$I$3000,"Yes")</f>
        <v>-0.1</v>
      </c>
      <c r="AJ185" s="19" t="n">
        <f aca="false">COUNTIFS(Permissions!$B$2:$B$3000,$A185,Permissions!$I$2:$I$3000,"Yes")</f>
        <v>1</v>
      </c>
      <c r="AK185" s="22" t="str">
        <f aca="false">IF(AND(N185&lt;&gt;"",X185&gt;1.1*N185),"Consented above capacity",IF(AND(LEFT(B185,8)="Planning",AJ185=0),"Consent parcel with no permission",IF(COUNTIF($A$2:$A$3000,$A185)&gt;1,"Duplicate parcel_id","")))</f>
        <v/>
      </c>
    </row>
    <row r="186" customFormat="false" ht="15" hidden="false" customHeight="false" outlineLevel="0" collapsed="false">
      <c r="A186" s="18" t="s">
        <v>384</v>
      </c>
      <c r="B186" s="18" t="s">
        <v>12</v>
      </c>
      <c r="C186" s="18" t="s">
        <v>15</v>
      </c>
      <c r="D186" s="18"/>
      <c r="E186" s="18" t="s">
        <v>90</v>
      </c>
      <c r="F186" s="18" t="s">
        <v>89</v>
      </c>
      <c r="G186" s="18" t="s">
        <v>385</v>
      </c>
      <c r="H186" s="18"/>
      <c r="I186" s="18"/>
      <c r="J186" s="18"/>
      <c r="K186" s="18"/>
      <c r="L186" s="18" t="n">
        <v>0.008</v>
      </c>
      <c r="M186" s="18" t="n">
        <v>0.008</v>
      </c>
      <c r="N186" s="18"/>
      <c r="O186" s="18" t="s">
        <v>283</v>
      </c>
      <c r="P186" s="18"/>
      <c r="Q186" s="18"/>
      <c r="R186" s="18" t="s">
        <v>98</v>
      </c>
      <c r="S186" s="18"/>
      <c r="T186" s="19" t="n">
        <f aca="false">SUMIFS(Permissions!$F$2:$F$3000,Permissions!$B$2:$B$3000,$A186,Permissions!$H$2:$H$3000,"Complete",Permissions!$I$2:$I$3000,"Yes")</f>
        <v>0</v>
      </c>
      <c r="U186" s="19" t="n">
        <f aca="false">SUMIFS(Permissions!$F$2:$F$3000,Permissions!$B$2:$B$3000,$A186,Permissions!$H$2:$H$3000,"Under construction",Permissions!$I$2:$I$3000,"Yes")</f>
        <v>3</v>
      </c>
      <c r="V186" s="19" t="n">
        <f aca="false">SUMIFS(Permissions!$F$2:$F$3000,Permissions!$B$2:$B$3000,$A186,Permissions!$H$2:$H$3000,"Permitted – not started",Permissions!$I$2:$I$3000,"Yes")</f>
        <v>0</v>
      </c>
      <c r="W186" s="19" t="n">
        <f aca="false">SUMIFS(Permissions!$F$2:$F$3000,Permissions!$B$2:$B$3000,$A186,Permissions!$H$2:$H$3000,"Stalled",Permissions!$I$2:$I$3000,"Yes")</f>
        <v>0</v>
      </c>
      <c r="X186" s="19" t="n">
        <f aca="false">T186+U186+V186+W186</f>
        <v>3</v>
      </c>
      <c r="Y186" s="19" t="n">
        <f aca="false">SUMIFS(Permissions!$F$2:$F$3000,Permissions!$B$2:$B$3000,$A186,Permissions!$H$2:$H$3000,"Expired – not started",Permissions!$I$2:$I$3000,"Yes")</f>
        <v>0</v>
      </c>
      <c r="Z186" s="19" t="n">
        <f aca="false">SUMIFS(Permissions!$F$2:$F$3000,Permissions!$B$2:$B$3000,$A186,Permissions!$H$2:$H$3000,"In planning",Permissions!$I$2:$I$3000,"Yes")</f>
        <v>0</v>
      </c>
      <c r="AA186" s="19" t="n">
        <f aca="false">IF(N186="",0,MAX(N186-X186,0))</f>
        <v>0</v>
      </c>
      <c r="AB186" s="20" t="n">
        <f aca="false">X186+AA186</f>
        <v>3</v>
      </c>
      <c r="AC186" s="19" t="n">
        <f aca="false">AB186-T186</f>
        <v>3</v>
      </c>
      <c r="AD186" s="21" t="n">
        <f aca="false">SUMIFS(Permissions!$T$2:$T$3000,Permissions!$B$2:$B$3000,$A186,Permissions!$I$2:$I$3000,"Yes")</f>
        <v>0.7</v>
      </c>
      <c r="AE186" s="21" t="n">
        <f aca="false">SUMIFS(Permissions!$U$2:$U$3000,Permissions!$B$2:$B$3000,$A186,Permissions!$I$2:$I$3000,"Yes")</f>
        <v>2.3</v>
      </c>
      <c r="AF186" s="21" t="n">
        <f aca="false">SUMIFS(Permissions!$V$2:$V$3000,Permissions!$B$2:$B$3000,$A186,Permissions!$I$2:$I$3000,"Yes")</f>
        <v>0</v>
      </c>
      <c r="AG186" s="21" t="n">
        <f aca="false">SUMIFS(Permissions!$W$2:$W$3000,Permissions!$B$2:$B$3000,$A186,Permissions!$I$2:$I$3000,"Yes")</f>
        <v>0</v>
      </c>
      <c r="AH186" s="21" t="n">
        <f aca="false">SUMIFS(Permissions!$X$2:$X$3000,Permissions!$B$2:$B$3000,$A186,Permissions!$I$2:$I$3000,"Yes")</f>
        <v>0</v>
      </c>
      <c r="AI186" s="21" t="n">
        <f aca="false">SUMIFS(Permissions!$Y$2:$Y$3000,Permissions!$B$2:$B$3000,$A186,Permissions!$I$2:$I$3000,"Yes")</f>
        <v>0</v>
      </c>
      <c r="AJ186" s="19" t="n">
        <f aca="false">COUNTIFS(Permissions!$B$2:$B$3000,$A186,Permissions!$I$2:$I$3000,"Yes")</f>
        <v>1</v>
      </c>
      <c r="AK186" s="22" t="str">
        <f aca="false">IF(AND(N186&lt;&gt;"",X186&gt;1.1*N186),"Consented above capacity",IF(AND(LEFT(B186,8)="Planning",AJ186=0),"Consent parcel with no permission",IF(COUNTIF($A$2:$A$3000,$A186)&gt;1,"Duplicate parcel_id","")))</f>
        <v/>
      </c>
    </row>
    <row r="187" customFormat="false" ht="15" hidden="false" customHeight="false" outlineLevel="0" collapsed="false">
      <c r="A187" s="18" t="s">
        <v>386</v>
      </c>
      <c r="B187" s="18" t="s">
        <v>12</v>
      </c>
      <c r="C187" s="18" t="s">
        <v>15</v>
      </c>
      <c r="D187" s="18"/>
      <c r="E187" s="18" t="s">
        <v>90</v>
      </c>
      <c r="F187" s="18" t="s">
        <v>89</v>
      </c>
      <c r="G187" s="18" t="s">
        <v>387</v>
      </c>
      <c r="H187" s="18"/>
      <c r="I187" s="18"/>
      <c r="J187" s="18"/>
      <c r="K187" s="18"/>
      <c r="L187" s="18" t="n">
        <v>0.026</v>
      </c>
      <c r="M187" s="18" t="n">
        <v>0.026</v>
      </c>
      <c r="N187" s="18"/>
      <c r="O187" s="18" t="s">
        <v>283</v>
      </c>
      <c r="P187" s="18"/>
      <c r="Q187" s="18"/>
      <c r="R187" s="18" t="s">
        <v>98</v>
      </c>
      <c r="S187" s="18"/>
      <c r="T187" s="19" t="n">
        <f aca="false">SUMIFS(Permissions!$F$2:$F$3000,Permissions!$B$2:$B$3000,$A187,Permissions!$H$2:$H$3000,"Complete",Permissions!$I$2:$I$3000,"Yes")</f>
        <v>0</v>
      </c>
      <c r="U187" s="19" t="n">
        <f aca="false">SUMIFS(Permissions!$F$2:$F$3000,Permissions!$B$2:$B$3000,$A187,Permissions!$H$2:$H$3000,"Under construction",Permissions!$I$2:$I$3000,"Yes")</f>
        <v>8</v>
      </c>
      <c r="V187" s="19" t="n">
        <f aca="false">SUMIFS(Permissions!$F$2:$F$3000,Permissions!$B$2:$B$3000,$A187,Permissions!$H$2:$H$3000,"Permitted – not started",Permissions!$I$2:$I$3000,"Yes")</f>
        <v>0</v>
      </c>
      <c r="W187" s="19" t="n">
        <f aca="false">SUMIFS(Permissions!$F$2:$F$3000,Permissions!$B$2:$B$3000,$A187,Permissions!$H$2:$H$3000,"Stalled",Permissions!$I$2:$I$3000,"Yes")</f>
        <v>0</v>
      </c>
      <c r="X187" s="19" t="n">
        <f aca="false">T187+U187+V187+W187</f>
        <v>8</v>
      </c>
      <c r="Y187" s="19" t="n">
        <f aca="false">SUMIFS(Permissions!$F$2:$F$3000,Permissions!$B$2:$B$3000,$A187,Permissions!$H$2:$H$3000,"Expired – not started",Permissions!$I$2:$I$3000,"Yes")</f>
        <v>0</v>
      </c>
      <c r="Z187" s="19" t="n">
        <f aca="false">SUMIFS(Permissions!$F$2:$F$3000,Permissions!$B$2:$B$3000,$A187,Permissions!$H$2:$H$3000,"In planning",Permissions!$I$2:$I$3000,"Yes")</f>
        <v>0</v>
      </c>
      <c r="AA187" s="19" t="n">
        <f aca="false">IF(N187="",0,MAX(N187-X187,0))</f>
        <v>0</v>
      </c>
      <c r="AB187" s="20" t="n">
        <f aca="false">X187+AA187</f>
        <v>8</v>
      </c>
      <c r="AC187" s="19" t="n">
        <f aca="false">AB187-T187</f>
        <v>8</v>
      </c>
      <c r="AD187" s="21" t="n">
        <f aca="false">SUMIFS(Permissions!$T$2:$T$3000,Permissions!$B$2:$B$3000,$A187,Permissions!$I$2:$I$3000,"Yes")</f>
        <v>1.9</v>
      </c>
      <c r="AE187" s="21" t="n">
        <f aca="false">SUMIFS(Permissions!$U$2:$U$3000,Permissions!$B$2:$B$3000,$A187,Permissions!$I$2:$I$3000,"Yes")</f>
        <v>6.1</v>
      </c>
      <c r="AF187" s="21" t="n">
        <f aca="false">SUMIFS(Permissions!$V$2:$V$3000,Permissions!$B$2:$B$3000,$A187,Permissions!$I$2:$I$3000,"Yes")</f>
        <v>0</v>
      </c>
      <c r="AG187" s="21" t="n">
        <f aca="false">SUMIFS(Permissions!$W$2:$W$3000,Permissions!$B$2:$B$3000,$A187,Permissions!$I$2:$I$3000,"Yes")</f>
        <v>0</v>
      </c>
      <c r="AH187" s="21" t="n">
        <f aca="false">SUMIFS(Permissions!$X$2:$X$3000,Permissions!$B$2:$B$3000,$A187,Permissions!$I$2:$I$3000,"Yes")</f>
        <v>0</v>
      </c>
      <c r="AI187" s="21" t="n">
        <f aca="false">SUMIFS(Permissions!$Y$2:$Y$3000,Permissions!$B$2:$B$3000,$A187,Permissions!$I$2:$I$3000,"Yes")</f>
        <v>0</v>
      </c>
      <c r="AJ187" s="19" t="n">
        <f aca="false">COUNTIFS(Permissions!$B$2:$B$3000,$A187,Permissions!$I$2:$I$3000,"Yes")</f>
        <v>1</v>
      </c>
      <c r="AK187" s="22" t="str">
        <f aca="false">IF(AND(N187&lt;&gt;"",X187&gt;1.1*N187),"Consented above capacity",IF(AND(LEFT(B187,8)="Planning",AJ187=0),"Consent parcel with no permission",IF(COUNTIF($A$2:$A$3000,$A187)&gt;1,"Duplicate parcel_id","")))</f>
        <v/>
      </c>
    </row>
    <row r="188" customFormat="false" ht="15" hidden="false" customHeight="false" outlineLevel="0" collapsed="false">
      <c r="A188" s="18" t="s">
        <v>388</v>
      </c>
      <c r="B188" s="18" t="s">
        <v>12</v>
      </c>
      <c r="C188" s="18" t="s">
        <v>15</v>
      </c>
      <c r="D188" s="18"/>
      <c r="E188" s="18" t="s">
        <v>90</v>
      </c>
      <c r="F188" s="18" t="s">
        <v>89</v>
      </c>
      <c r="G188" s="18" t="s">
        <v>389</v>
      </c>
      <c r="H188" s="18"/>
      <c r="I188" s="18"/>
      <c r="J188" s="18"/>
      <c r="K188" s="18"/>
      <c r="L188" s="18" t="n">
        <v>0.031</v>
      </c>
      <c r="M188" s="18" t="n">
        <v>0.031</v>
      </c>
      <c r="N188" s="18"/>
      <c r="O188" s="18" t="s">
        <v>283</v>
      </c>
      <c r="P188" s="18"/>
      <c r="Q188" s="18"/>
      <c r="R188" s="18" t="s">
        <v>98</v>
      </c>
      <c r="S188" s="18"/>
      <c r="T188" s="19" t="n">
        <f aca="false">SUMIFS(Permissions!$F$2:$F$3000,Permissions!$B$2:$B$3000,$A188,Permissions!$H$2:$H$3000,"Complete",Permissions!$I$2:$I$3000,"Yes")</f>
        <v>0</v>
      </c>
      <c r="U188" s="19" t="n">
        <f aca="false">SUMIFS(Permissions!$F$2:$F$3000,Permissions!$B$2:$B$3000,$A188,Permissions!$H$2:$H$3000,"Under construction",Permissions!$I$2:$I$3000,"Yes")</f>
        <v>0</v>
      </c>
      <c r="V188" s="19" t="n">
        <f aca="false">SUMIFS(Permissions!$F$2:$F$3000,Permissions!$B$2:$B$3000,$A188,Permissions!$H$2:$H$3000,"Permitted – not started",Permissions!$I$2:$I$3000,"Yes")</f>
        <v>8</v>
      </c>
      <c r="W188" s="19" t="n">
        <f aca="false">SUMIFS(Permissions!$F$2:$F$3000,Permissions!$B$2:$B$3000,$A188,Permissions!$H$2:$H$3000,"Stalled",Permissions!$I$2:$I$3000,"Yes")</f>
        <v>0</v>
      </c>
      <c r="X188" s="19" t="n">
        <f aca="false">T188+U188+V188+W188</f>
        <v>8</v>
      </c>
      <c r="Y188" s="19" t="n">
        <f aca="false">SUMIFS(Permissions!$F$2:$F$3000,Permissions!$B$2:$B$3000,$A188,Permissions!$H$2:$H$3000,"Expired – not started",Permissions!$I$2:$I$3000,"Yes")</f>
        <v>0</v>
      </c>
      <c r="Z188" s="19" t="n">
        <f aca="false">SUMIFS(Permissions!$F$2:$F$3000,Permissions!$B$2:$B$3000,$A188,Permissions!$H$2:$H$3000,"In planning",Permissions!$I$2:$I$3000,"Yes")</f>
        <v>0</v>
      </c>
      <c r="AA188" s="19" t="n">
        <f aca="false">IF(N188="",0,MAX(N188-X188,0))</f>
        <v>0</v>
      </c>
      <c r="AB188" s="20" t="n">
        <f aca="false">X188+AA188</f>
        <v>8</v>
      </c>
      <c r="AC188" s="19" t="n">
        <f aca="false">AB188-T188</f>
        <v>8</v>
      </c>
      <c r="AD188" s="21" t="n">
        <f aca="false">SUMIFS(Permissions!$T$2:$T$3000,Permissions!$B$2:$B$3000,$A188,Permissions!$I$2:$I$3000,"Yes")</f>
        <v>0</v>
      </c>
      <c r="AE188" s="21" t="n">
        <f aca="false">SUMIFS(Permissions!$U$2:$U$3000,Permissions!$B$2:$B$3000,$A188,Permissions!$I$2:$I$3000,"Yes")</f>
        <v>0</v>
      </c>
      <c r="AF188" s="21" t="n">
        <f aca="false">SUMIFS(Permissions!$V$2:$V$3000,Permissions!$B$2:$B$3000,$A188,Permissions!$I$2:$I$3000,"Yes")</f>
        <v>4</v>
      </c>
      <c r="AG188" s="21" t="n">
        <f aca="false">SUMIFS(Permissions!$W$2:$W$3000,Permissions!$B$2:$B$3000,$A188,Permissions!$I$2:$I$3000,"Yes")</f>
        <v>4</v>
      </c>
      <c r="AH188" s="21" t="n">
        <f aca="false">SUMIFS(Permissions!$X$2:$X$3000,Permissions!$B$2:$B$3000,$A188,Permissions!$I$2:$I$3000,"Yes")</f>
        <v>0</v>
      </c>
      <c r="AI188" s="21" t="n">
        <f aca="false">SUMIFS(Permissions!$Y$2:$Y$3000,Permissions!$B$2:$B$3000,$A188,Permissions!$I$2:$I$3000,"Yes")</f>
        <v>0</v>
      </c>
      <c r="AJ188" s="19" t="n">
        <f aca="false">COUNTIFS(Permissions!$B$2:$B$3000,$A188,Permissions!$I$2:$I$3000,"Yes")</f>
        <v>1</v>
      </c>
      <c r="AK188" s="22" t="str">
        <f aca="false">IF(AND(N188&lt;&gt;"",X188&gt;1.1*N188),"Consented above capacity",IF(AND(LEFT(B188,8)="Planning",AJ188=0),"Consent parcel with no permission",IF(COUNTIF($A$2:$A$3000,$A188)&gt;1,"Duplicate parcel_id","")))</f>
        <v/>
      </c>
    </row>
    <row r="189" customFormat="false" ht="15" hidden="false" customHeight="false" outlineLevel="0" collapsed="false">
      <c r="A189" s="18" t="s">
        <v>390</v>
      </c>
      <c r="B189" s="18" t="s">
        <v>12</v>
      </c>
      <c r="C189" s="18" t="s">
        <v>15</v>
      </c>
      <c r="D189" s="18"/>
      <c r="E189" s="18" t="s">
        <v>90</v>
      </c>
      <c r="F189" s="18" t="s">
        <v>89</v>
      </c>
      <c r="G189" s="18" t="s">
        <v>391</v>
      </c>
      <c r="H189" s="18"/>
      <c r="I189" s="18"/>
      <c r="J189" s="18"/>
      <c r="K189" s="18"/>
      <c r="L189" s="18" t="n">
        <v>0.045</v>
      </c>
      <c r="M189" s="18" t="n">
        <v>0.045</v>
      </c>
      <c r="N189" s="18"/>
      <c r="O189" s="18" t="s">
        <v>283</v>
      </c>
      <c r="P189" s="18"/>
      <c r="Q189" s="18"/>
      <c r="R189" s="18" t="s">
        <v>98</v>
      </c>
      <c r="S189" s="18"/>
      <c r="T189" s="19" t="n">
        <f aca="false">SUMIFS(Permissions!$F$2:$F$3000,Permissions!$B$2:$B$3000,$A189,Permissions!$H$2:$H$3000,"Complete",Permissions!$I$2:$I$3000,"Yes")</f>
        <v>0</v>
      </c>
      <c r="U189" s="19" t="n">
        <f aca="false">SUMIFS(Permissions!$F$2:$F$3000,Permissions!$B$2:$B$3000,$A189,Permissions!$H$2:$H$3000,"Under construction",Permissions!$I$2:$I$3000,"Yes")</f>
        <v>7</v>
      </c>
      <c r="V189" s="19" t="n">
        <f aca="false">SUMIFS(Permissions!$F$2:$F$3000,Permissions!$B$2:$B$3000,$A189,Permissions!$H$2:$H$3000,"Permitted – not started",Permissions!$I$2:$I$3000,"Yes")</f>
        <v>0</v>
      </c>
      <c r="W189" s="19" t="n">
        <f aca="false">SUMIFS(Permissions!$F$2:$F$3000,Permissions!$B$2:$B$3000,$A189,Permissions!$H$2:$H$3000,"Stalled",Permissions!$I$2:$I$3000,"Yes")</f>
        <v>0</v>
      </c>
      <c r="X189" s="19" t="n">
        <f aca="false">T189+U189+V189+W189</f>
        <v>7</v>
      </c>
      <c r="Y189" s="19" t="n">
        <f aca="false">SUMIFS(Permissions!$F$2:$F$3000,Permissions!$B$2:$B$3000,$A189,Permissions!$H$2:$H$3000,"Expired – not started",Permissions!$I$2:$I$3000,"Yes")</f>
        <v>0</v>
      </c>
      <c r="Z189" s="19" t="n">
        <f aca="false">SUMIFS(Permissions!$F$2:$F$3000,Permissions!$B$2:$B$3000,$A189,Permissions!$H$2:$H$3000,"In planning",Permissions!$I$2:$I$3000,"Yes")</f>
        <v>0</v>
      </c>
      <c r="AA189" s="19" t="n">
        <f aca="false">IF(N189="",0,MAX(N189-X189,0))</f>
        <v>0</v>
      </c>
      <c r="AB189" s="20" t="n">
        <f aca="false">X189+AA189</f>
        <v>7</v>
      </c>
      <c r="AC189" s="19" t="n">
        <f aca="false">AB189-T189</f>
        <v>7</v>
      </c>
      <c r="AD189" s="21" t="n">
        <f aca="false">SUMIFS(Permissions!$T$2:$T$3000,Permissions!$B$2:$B$3000,$A189,Permissions!$I$2:$I$3000,"Yes")</f>
        <v>0</v>
      </c>
      <c r="AE189" s="21" t="n">
        <f aca="false">SUMIFS(Permissions!$U$2:$U$3000,Permissions!$B$2:$B$3000,$A189,Permissions!$I$2:$I$3000,"Yes")</f>
        <v>5.8</v>
      </c>
      <c r="AF189" s="21" t="n">
        <f aca="false">SUMIFS(Permissions!$V$2:$V$3000,Permissions!$B$2:$B$3000,$A189,Permissions!$I$2:$I$3000,"Yes")</f>
        <v>1.2</v>
      </c>
      <c r="AG189" s="21" t="n">
        <f aca="false">SUMIFS(Permissions!$W$2:$W$3000,Permissions!$B$2:$B$3000,$A189,Permissions!$I$2:$I$3000,"Yes")</f>
        <v>0</v>
      </c>
      <c r="AH189" s="21" t="n">
        <f aca="false">SUMIFS(Permissions!$X$2:$X$3000,Permissions!$B$2:$B$3000,$A189,Permissions!$I$2:$I$3000,"Yes")</f>
        <v>0</v>
      </c>
      <c r="AI189" s="21" t="n">
        <f aca="false">SUMIFS(Permissions!$Y$2:$Y$3000,Permissions!$B$2:$B$3000,$A189,Permissions!$I$2:$I$3000,"Yes")</f>
        <v>0</v>
      </c>
      <c r="AJ189" s="19" t="n">
        <f aca="false">COUNTIFS(Permissions!$B$2:$B$3000,$A189,Permissions!$I$2:$I$3000,"Yes")</f>
        <v>1</v>
      </c>
      <c r="AK189" s="22" t="str">
        <f aca="false">IF(AND(N189&lt;&gt;"",X189&gt;1.1*N189),"Consented above capacity",IF(AND(LEFT(B189,8)="Planning",AJ189=0),"Consent parcel with no permission",IF(COUNTIF($A$2:$A$3000,$A189)&gt;1,"Duplicate parcel_id","")))</f>
        <v/>
      </c>
    </row>
    <row r="190" customFormat="false" ht="15" hidden="false" customHeight="false" outlineLevel="0" collapsed="false">
      <c r="A190" s="18" t="s">
        <v>392</v>
      </c>
      <c r="B190" s="18" t="s">
        <v>12</v>
      </c>
      <c r="C190" s="18" t="s">
        <v>15</v>
      </c>
      <c r="D190" s="18"/>
      <c r="E190" s="18" t="s">
        <v>90</v>
      </c>
      <c r="F190" s="18" t="s">
        <v>89</v>
      </c>
      <c r="G190" s="18" t="s">
        <v>393</v>
      </c>
      <c r="H190" s="18"/>
      <c r="I190" s="18"/>
      <c r="J190" s="18"/>
      <c r="K190" s="18"/>
      <c r="L190" s="18" t="n">
        <v>0.129</v>
      </c>
      <c r="M190" s="18" t="n">
        <v>0.129</v>
      </c>
      <c r="N190" s="18"/>
      <c r="O190" s="18" t="s">
        <v>283</v>
      </c>
      <c r="P190" s="18"/>
      <c r="Q190" s="18"/>
      <c r="R190" s="18" t="s">
        <v>98</v>
      </c>
      <c r="S190" s="18"/>
      <c r="T190" s="19" t="n">
        <f aca="false">SUMIFS(Permissions!$F$2:$F$3000,Permissions!$B$2:$B$3000,$A190,Permissions!$H$2:$H$3000,"Complete",Permissions!$I$2:$I$3000,"Yes")</f>
        <v>0</v>
      </c>
      <c r="U190" s="19" t="n">
        <f aca="false">SUMIFS(Permissions!$F$2:$F$3000,Permissions!$B$2:$B$3000,$A190,Permissions!$H$2:$H$3000,"Under construction",Permissions!$I$2:$I$3000,"Yes")</f>
        <v>0</v>
      </c>
      <c r="V190" s="19" t="n">
        <f aca="false">SUMIFS(Permissions!$F$2:$F$3000,Permissions!$B$2:$B$3000,$A190,Permissions!$H$2:$H$3000,"Permitted – not started",Permissions!$I$2:$I$3000,"Yes")</f>
        <v>40</v>
      </c>
      <c r="W190" s="19" t="n">
        <f aca="false">SUMIFS(Permissions!$F$2:$F$3000,Permissions!$B$2:$B$3000,$A190,Permissions!$H$2:$H$3000,"Stalled",Permissions!$I$2:$I$3000,"Yes")</f>
        <v>0</v>
      </c>
      <c r="X190" s="19" t="n">
        <f aca="false">T190+U190+V190+W190</f>
        <v>40</v>
      </c>
      <c r="Y190" s="19" t="n">
        <f aca="false">SUMIFS(Permissions!$F$2:$F$3000,Permissions!$B$2:$B$3000,$A190,Permissions!$H$2:$H$3000,"Expired – not started",Permissions!$I$2:$I$3000,"Yes")</f>
        <v>0</v>
      </c>
      <c r="Z190" s="19" t="n">
        <f aca="false">SUMIFS(Permissions!$F$2:$F$3000,Permissions!$B$2:$B$3000,$A190,Permissions!$H$2:$H$3000,"In planning",Permissions!$I$2:$I$3000,"Yes")</f>
        <v>0</v>
      </c>
      <c r="AA190" s="19" t="n">
        <f aca="false">IF(N190="",0,MAX(N190-X190,0))</f>
        <v>0</v>
      </c>
      <c r="AB190" s="20" t="n">
        <f aca="false">X190+AA190</f>
        <v>40</v>
      </c>
      <c r="AC190" s="19" t="n">
        <f aca="false">AB190-T190</f>
        <v>40</v>
      </c>
      <c r="AD190" s="21" t="n">
        <f aca="false">SUMIFS(Permissions!$T$2:$T$3000,Permissions!$B$2:$B$3000,$A190,Permissions!$I$2:$I$3000,"Yes")</f>
        <v>0</v>
      </c>
      <c r="AE190" s="21" t="n">
        <f aca="false">SUMIFS(Permissions!$U$2:$U$3000,Permissions!$B$2:$B$3000,$A190,Permissions!$I$2:$I$3000,"Yes")</f>
        <v>0</v>
      </c>
      <c r="AF190" s="21" t="n">
        <f aca="false">SUMIFS(Permissions!$V$2:$V$3000,Permissions!$B$2:$B$3000,$A190,Permissions!$I$2:$I$3000,"Yes")</f>
        <v>22</v>
      </c>
      <c r="AG190" s="21" t="n">
        <f aca="false">SUMIFS(Permissions!$W$2:$W$3000,Permissions!$B$2:$B$3000,$A190,Permissions!$I$2:$I$3000,"Yes")</f>
        <v>18</v>
      </c>
      <c r="AH190" s="21" t="n">
        <f aca="false">SUMIFS(Permissions!$X$2:$X$3000,Permissions!$B$2:$B$3000,$A190,Permissions!$I$2:$I$3000,"Yes")</f>
        <v>0</v>
      </c>
      <c r="AI190" s="21" t="n">
        <f aca="false">SUMIFS(Permissions!$Y$2:$Y$3000,Permissions!$B$2:$B$3000,$A190,Permissions!$I$2:$I$3000,"Yes")</f>
        <v>0</v>
      </c>
      <c r="AJ190" s="19" t="n">
        <f aca="false">COUNTIFS(Permissions!$B$2:$B$3000,$A190,Permissions!$I$2:$I$3000,"Yes")</f>
        <v>1</v>
      </c>
      <c r="AK190" s="22" t="str">
        <f aca="false">IF(AND(N190&lt;&gt;"",X190&gt;1.1*N190),"Consented above capacity",IF(AND(LEFT(B190,8)="Planning",AJ190=0),"Consent parcel with no permission",IF(COUNTIF($A$2:$A$3000,$A190)&gt;1,"Duplicate parcel_id","")))</f>
        <v/>
      </c>
    </row>
    <row r="191" customFormat="false" ht="15" hidden="false" customHeight="false" outlineLevel="0" collapsed="false">
      <c r="A191" s="18" t="s">
        <v>394</v>
      </c>
      <c r="B191" s="18" t="s">
        <v>12</v>
      </c>
      <c r="C191" s="18" t="s">
        <v>15</v>
      </c>
      <c r="D191" s="18"/>
      <c r="E191" s="18" t="s">
        <v>90</v>
      </c>
      <c r="F191" s="18" t="s">
        <v>112</v>
      </c>
      <c r="G191" s="18" t="s">
        <v>395</v>
      </c>
      <c r="H191" s="18"/>
      <c r="I191" s="18"/>
      <c r="J191" s="18"/>
      <c r="K191" s="18"/>
      <c r="L191" s="18" t="n">
        <v>0.054</v>
      </c>
      <c r="M191" s="18" t="n">
        <v>0.054</v>
      </c>
      <c r="N191" s="18"/>
      <c r="O191" s="18" t="s">
        <v>283</v>
      </c>
      <c r="P191" s="18"/>
      <c r="Q191" s="18"/>
      <c r="R191" s="18" t="s">
        <v>98</v>
      </c>
      <c r="S191" s="18"/>
      <c r="T191" s="19" t="n">
        <f aca="false">SUMIFS(Permissions!$F$2:$F$3000,Permissions!$B$2:$B$3000,$A191,Permissions!$H$2:$H$3000,"Complete",Permissions!$I$2:$I$3000,"Yes")</f>
        <v>0</v>
      </c>
      <c r="U191" s="19" t="n">
        <f aca="false">SUMIFS(Permissions!$F$2:$F$3000,Permissions!$B$2:$B$3000,$A191,Permissions!$H$2:$H$3000,"Under construction",Permissions!$I$2:$I$3000,"Yes")</f>
        <v>0</v>
      </c>
      <c r="V191" s="19" t="n">
        <f aca="false">SUMIFS(Permissions!$F$2:$F$3000,Permissions!$B$2:$B$3000,$A191,Permissions!$H$2:$H$3000,"Permitted – not started",Permissions!$I$2:$I$3000,"Yes")</f>
        <v>15</v>
      </c>
      <c r="W191" s="19" t="n">
        <f aca="false">SUMIFS(Permissions!$F$2:$F$3000,Permissions!$B$2:$B$3000,$A191,Permissions!$H$2:$H$3000,"Stalled",Permissions!$I$2:$I$3000,"Yes")</f>
        <v>0</v>
      </c>
      <c r="X191" s="19" t="n">
        <f aca="false">T191+U191+V191+W191</f>
        <v>15</v>
      </c>
      <c r="Y191" s="19" t="n">
        <f aca="false">SUMIFS(Permissions!$F$2:$F$3000,Permissions!$B$2:$B$3000,$A191,Permissions!$H$2:$H$3000,"Expired – not started",Permissions!$I$2:$I$3000,"Yes")</f>
        <v>0</v>
      </c>
      <c r="Z191" s="19" t="n">
        <f aca="false">SUMIFS(Permissions!$F$2:$F$3000,Permissions!$B$2:$B$3000,$A191,Permissions!$H$2:$H$3000,"In planning",Permissions!$I$2:$I$3000,"Yes")</f>
        <v>0</v>
      </c>
      <c r="AA191" s="19" t="n">
        <f aca="false">IF(N191="",0,MAX(N191-X191,0))</f>
        <v>0</v>
      </c>
      <c r="AB191" s="20" t="n">
        <f aca="false">X191+AA191</f>
        <v>15</v>
      </c>
      <c r="AC191" s="19" t="n">
        <f aca="false">AB191-T191</f>
        <v>15</v>
      </c>
      <c r="AD191" s="21" t="n">
        <f aca="false">SUMIFS(Permissions!$T$2:$T$3000,Permissions!$B$2:$B$3000,$A191,Permissions!$I$2:$I$3000,"Yes")</f>
        <v>0</v>
      </c>
      <c r="AE191" s="21" t="n">
        <f aca="false">SUMIFS(Permissions!$U$2:$U$3000,Permissions!$B$2:$B$3000,$A191,Permissions!$I$2:$I$3000,"Yes")</f>
        <v>0</v>
      </c>
      <c r="AF191" s="21" t="n">
        <f aca="false">SUMIFS(Permissions!$V$2:$V$3000,Permissions!$B$2:$B$3000,$A191,Permissions!$I$2:$I$3000,"Yes")</f>
        <v>8.8</v>
      </c>
      <c r="AG191" s="21" t="n">
        <f aca="false">SUMIFS(Permissions!$W$2:$W$3000,Permissions!$B$2:$B$3000,$A191,Permissions!$I$2:$I$3000,"Yes")</f>
        <v>6.2</v>
      </c>
      <c r="AH191" s="21" t="n">
        <f aca="false">SUMIFS(Permissions!$X$2:$X$3000,Permissions!$B$2:$B$3000,$A191,Permissions!$I$2:$I$3000,"Yes")</f>
        <v>0</v>
      </c>
      <c r="AI191" s="21" t="n">
        <f aca="false">SUMIFS(Permissions!$Y$2:$Y$3000,Permissions!$B$2:$B$3000,$A191,Permissions!$I$2:$I$3000,"Yes")</f>
        <v>0</v>
      </c>
      <c r="AJ191" s="19" t="n">
        <f aca="false">COUNTIFS(Permissions!$B$2:$B$3000,$A191,Permissions!$I$2:$I$3000,"Yes")</f>
        <v>1</v>
      </c>
      <c r="AK191" s="22" t="str">
        <f aca="false">IF(AND(N191&lt;&gt;"",X191&gt;1.1*N191),"Consented above capacity",IF(AND(LEFT(B191,8)="Planning",AJ191=0),"Consent parcel with no permission",IF(COUNTIF($A$2:$A$3000,$A191)&gt;1,"Duplicate parcel_id","")))</f>
        <v/>
      </c>
    </row>
    <row r="192" customFormat="false" ht="15" hidden="false" customHeight="false" outlineLevel="0" collapsed="false">
      <c r="A192" s="18" t="s">
        <v>396</v>
      </c>
      <c r="B192" s="18" t="s">
        <v>12</v>
      </c>
      <c r="C192" s="18" t="s">
        <v>15</v>
      </c>
      <c r="D192" s="18"/>
      <c r="E192" s="18" t="s">
        <v>90</v>
      </c>
      <c r="F192" s="18" t="s">
        <v>89</v>
      </c>
      <c r="G192" s="18" t="s">
        <v>397</v>
      </c>
      <c r="H192" s="18"/>
      <c r="I192" s="18"/>
      <c r="J192" s="18"/>
      <c r="K192" s="18"/>
      <c r="L192" s="18" t="n">
        <v>0.022</v>
      </c>
      <c r="M192" s="18" t="n">
        <v>0.022</v>
      </c>
      <c r="N192" s="18"/>
      <c r="O192" s="18" t="s">
        <v>283</v>
      </c>
      <c r="P192" s="18"/>
      <c r="Q192" s="18"/>
      <c r="R192" s="18" t="s">
        <v>98</v>
      </c>
      <c r="S192" s="18"/>
      <c r="T192" s="19" t="n">
        <f aca="false">SUMIFS(Permissions!$F$2:$F$3000,Permissions!$B$2:$B$3000,$A192,Permissions!$H$2:$H$3000,"Complete",Permissions!$I$2:$I$3000,"Yes")</f>
        <v>0</v>
      </c>
      <c r="U192" s="19" t="n">
        <f aca="false">SUMIFS(Permissions!$F$2:$F$3000,Permissions!$B$2:$B$3000,$A192,Permissions!$H$2:$H$3000,"Under construction",Permissions!$I$2:$I$3000,"Yes")</f>
        <v>6</v>
      </c>
      <c r="V192" s="19" t="n">
        <f aca="false">SUMIFS(Permissions!$F$2:$F$3000,Permissions!$B$2:$B$3000,$A192,Permissions!$H$2:$H$3000,"Permitted – not started",Permissions!$I$2:$I$3000,"Yes")</f>
        <v>0</v>
      </c>
      <c r="W192" s="19" t="n">
        <f aca="false">SUMIFS(Permissions!$F$2:$F$3000,Permissions!$B$2:$B$3000,$A192,Permissions!$H$2:$H$3000,"Stalled",Permissions!$I$2:$I$3000,"Yes")</f>
        <v>0</v>
      </c>
      <c r="X192" s="19" t="n">
        <f aca="false">T192+U192+V192+W192</f>
        <v>6</v>
      </c>
      <c r="Y192" s="19" t="n">
        <f aca="false">SUMIFS(Permissions!$F$2:$F$3000,Permissions!$B$2:$B$3000,$A192,Permissions!$H$2:$H$3000,"Expired – not started",Permissions!$I$2:$I$3000,"Yes")</f>
        <v>0</v>
      </c>
      <c r="Z192" s="19" t="n">
        <f aca="false">SUMIFS(Permissions!$F$2:$F$3000,Permissions!$B$2:$B$3000,$A192,Permissions!$H$2:$H$3000,"In planning",Permissions!$I$2:$I$3000,"Yes")</f>
        <v>0</v>
      </c>
      <c r="AA192" s="19" t="n">
        <f aca="false">IF(N192="",0,MAX(N192-X192,0))</f>
        <v>0</v>
      </c>
      <c r="AB192" s="20" t="n">
        <f aca="false">X192+AA192</f>
        <v>6</v>
      </c>
      <c r="AC192" s="19" t="n">
        <f aca="false">AB192-T192</f>
        <v>6</v>
      </c>
      <c r="AD192" s="21" t="n">
        <f aca="false">SUMIFS(Permissions!$T$2:$T$3000,Permissions!$B$2:$B$3000,$A192,Permissions!$I$2:$I$3000,"Yes")</f>
        <v>0</v>
      </c>
      <c r="AE192" s="21" t="n">
        <f aca="false">SUMIFS(Permissions!$U$2:$U$3000,Permissions!$B$2:$B$3000,$A192,Permissions!$I$2:$I$3000,"Yes")</f>
        <v>6</v>
      </c>
      <c r="AF192" s="21" t="n">
        <f aca="false">SUMIFS(Permissions!$V$2:$V$3000,Permissions!$B$2:$B$3000,$A192,Permissions!$I$2:$I$3000,"Yes")</f>
        <v>0</v>
      </c>
      <c r="AG192" s="21" t="n">
        <f aca="false">SUMIFS(Permissions!$W$2:$W$3000,Permissions!$B$2:$B$3000,$A192,Permissions!$I$2:$I$3000,"Yes")</f>
        <v>0</v>
      </c>
      <c r="AH192" s="21" t="n">
        <f aca="false">SUMIFS(Permissions!$X$2:$X$3000,Permissions!$B$2:$B$3000,$A192,Permissions!$I$2:$I$3000,"Yes")</f>
        <v>0</v>
      </c>
      <c r="AI192" s="21" t="n">
        <f aca="false">SUMIFS(Permissions!$Y$2:$Y$3000,Permissions!$B$2:$B$3000,$A192,Permissions!$I$2:$I$3000,"Yes")</f>
        <v>0</v>
      </c>
      <c r="AJ192" s="19" t="n">
        <f aca="false">COUNTIFS(Permissions!$B$2:$B$3000,$A192,Permissions!$I$2:$I$3000,"Yes")</f>
        <v>1</v>
      </c>
      <c r="AK192" s="22" t="str">
        <f aca="false">IF(AND(N192&lt;&gt;"",X192&gt;1.1*N192),"Consented above capacity",IF(AND(LEFT(B192,8)="Planning",AJ192=0),"Consent parcel with no permission",IF(COUNTIF($A$2:$A$3000,$A192)&gt;1,"Duplicate parcel_id","")))</f>
        <v/>
      </c>
    </row>
    <row r="193" customFormat="false" ht="15" hidden="false" customHeight="false" outlineLevel="0" collapsed="false">
      <c r="A193" s="18" t="s">
        <v>398</v>
      </c>
      <c r="B193" s="18" t="s">
        <v>12</v>
      </c>
      <c r="C193" s="18" t="s">
        <v>15</v>
      </c>
      <c r="D193" s="18"/>
      <c r="E193" s="18" t="s">
        <v>90</v>
      </c>
      <c r="F193" s="18" t="s">
        <v>112</v>
      </c>
      <c r="G193" s="18" t="s">
        <v>399</v>
      </c>
      <c r="H193" s="18"/>
      <c r="I193" s="18"/>
      <c r="J193" s="18"/>
      <c r="K193" s="18"/>
      <c r="L193" s="18" t="n">
        <v>0.032</v>
      </c>
      <c r="M193" s="18" t="n">
        <v>0.032</v>
      </c>
      <c r="N193" s="18"/>
      <c r="O193" s="18" t="s">
        <v>283</v>
      </c>
      <c r="P193" s="18"/>
      <c r="Q193" s="18"/>
      <c r="R193" s="18" t="s">
        <v>98</v>
      </c>
      <c r="S193" s="18"/>
      <c r="T193" s="19" t="n">
        <f aca="false">SUMIFS(Permissions!$F$2:$F$3000,Permissions!$B$2:$B$3000,$A193,Permissions!$H$2:$H$3000,"Complete",Permissions!$I$2:$I$3000,"Yes")</f>
        <v>0</v>
      </c>
      <c r="U193" s="19" t="n">
        <f aca="false">SUMIFS(Permissions!$F$2:$F$3000,Permissions!$B$2:$B$3000,$A193,Permissions!$H$2:$H$3000,"Under construction",Permissions!$I$2:$I$3000,"Yes")</f>
        <v>7</v>
      </c>
      <c r="V193" s="19" t="n">
        <f aca="false">SUMIFS(Permissions!$F$2:$F$3000,Permissions!$B$2:$B$3000,$A193,Permissions!$H$2:$H$3000,"Permitted – not started",Permissions!$I$2:$I$3000,"Yes")</f>
        <v>0</v>
      </c>
      <c r="W193" s="19" t="n">
        <f aca="false">SUMIFS(Permissions!$F$2:$F$3000,Permissions!$B$2:$B$3000,$A193,Permissions!$H$2:$H$3000,"Stalled",Permissions!$I$2:$I$3000,"Yes")</f>
        <v>0</v>
      </c>
      <c r="X193" s="19" t="n">
        <f aca="false">T193+U193+V193+W193</f>
        <v>7</v>
      </c>
      <c r="Y193" s="19" t="n">
        <f aca="false">SUMIFS(Permissions!$F$2:$F$3000,Permissions!$B$2:$B$3000,$A193,Permissions!$H$2:$H$3000,"Expired – not started",Permissions!$I$2:$I$3000,"Yes")</f>
        <v>0</v>
      </c>
      <c r="Z193" s="19" t="n">
        <f aca="false">SUMIFS(Permissions!$F$2:$F$3000,Permissions!$B$2:$B$3000,$A193,Permissions!$H$2:$H$3000,"In planning",Permissions!$I$2:$I$3000,"Yes")</f>
        <v>0</v>
      </c>
      <c r="AA193" s="19" t="n">
        <f aca="false">IF(N193="",0,MAX(N193-X193,0))</f>
        <v>0</v>
      </c>
      <c r="AB193" s="20" t="n">
        <f aca="false">X193+AA193</f>
        <v>7</v>
      </c>
      <c r="AC193" s="19" t="n">
        <f aca="false">AB193-T193</f>
        <v>7</v>
      </c>
      <c r="AD193" s="21" t="n">
        <f aca="false">SUMIFS(Permissions!$T$2:$T$3000,Permissions!$B$2:$B$3000,$A193,Permissions!$I$2:$I$3000,"Yes")</f>
        <v>0</v>
      </c>
      <c r="AE193" s="21" t="n">
        <f aca="false">SUMIFS(Permissions!$U$2:$U$3000,Permissions!$B$2:$B$3000,$A193,Permissions!$I$2:$I$3000,"Yes")</f>
        <v>6.6</v>
      </c>
      <c r="AF193" s="21" t="n">
        <f aca="false">SUMIFS(Permissions!$V$2:$V$3000,Permissions!$B$2:$B$3000,$A193,Permissions!$I$2:$I$3000,"Yes")</f>
        <v>0.4</v>
      </c>
      <c r="AG193" s="21" t="n">
        <f aca="false">SUMIFS(Permissions!$W$2:$W$3000,Permissions!$B$2:$B$3000,$A193,Permissions!$I$2:$I$3000,"Yes")</f>
        <v>0</v>
      </c>
      <c r="AH193" s="21" t="n">
        <f aca="false">SUMIFS(Permissions!$X$2:$X$3000,Permissions!$B$2:$B$3000,$A193,Permissions!$I$2:$I$3000,"Yes")</f>
        <v>0</v>
      </c>
      <c r="AI193" s="21" t="n">
        <f aca="false">SUMIFS(Permissions!$Y$2:$Y$3000,Permissions!$B$2:$B$3000,$A193,Permissions!$I$2:$I$3000,"Yes")</f>
        <v>0</v>
      </c>
      <c r="AJ193" s="19" t="n">
        <f aca="false">COUNTIFS(Permissions!$B$2:$B$3000,$A193,Permissions!$I$2:$I$3000,"Yes")</f>
        <v>1</v>
      </c>
      <c r="AK193" s="22" t="str">
        <f aca="false">IF(AND(N193&lt;&gt;"",X193&gt;1.1*N193),"Consented above capacity",IF(AND(LEFT(B193,8)="Planning",AJ193=0),"Consent parcel with no permission",IF(COUNTIF($A$2:$A$3000,$A193)&gt;1,"Duplicate parcel_id","")))</f>
        <v/>
      </c>
    </row>
    <row r="194" customFormat="false" ht="15" hidden="false" customHeight="false" outlineLevel="0" collapsed="false">
      <c r="A194" s="18" t="s">
        <v>400</v>
      </c>
      <c r="B194" s="18" t="s">
        <v>12</v>
      </c>
      <c r="C194" s="18" t="s">
        <v>15</v>
      </c>
      <c r="D194" s="18"/>
      <c r="E194" s="18" t="s">
        <v>90</v>
      </c>
      <c r="F194" s="18" t="s">
        <v>89</v>
      </c>
      <c r="G194" s="18" t="s">
        <v>401</v>
      </c>
      <c r="H194" s="18"/>
      <c r="I194" s="18"/>
      <c r="J194" s="18"/>
      <c r="K194" s="18"/>
      <c r="L194" s="18" t="n">
        <v>0.032</v>
      </c>
      <c r="M194" s="18" t="n">
        <v>0.032</v>
      </c>
      <c r="N194" s="18"/>
      <c r="O194" s="18" t="s">
        <v>283</v>
      </c>
      <c r="P194" s="18"/>
      <c r="Q194" s="18"/>
      <c r="R194" s="18" t="s">
        <v>98</v>
      </c>
      <c r="S194" s="18"/>
      <c r="T194" s="19" t="n">
        <f aca="false">SUMIFS(Permissions!$F$2:$F$3000,Permissions!$B$2:$B$3000,$A194,Permissions!$H$2:$H$3000,"Complete",Permissions!$I$2:$I$3000,"Yes")</f>
        <v>0</v>
      </c>
      <c r="U194" s="19" t="n">
        <f aca="false">SUMIFS(Permissions!$F$2:$F$3000,Permissions!$B$2:$B$3000,$A194,Permissions!$H$2:$H$3000,"Under construction",Permissions!$I$2:$I$3000,"Yes")</f>
        <v>0</v>
      </c>
      <c r="V194" s="19" t="n">
        <f aca="false">SUMIFS(Permissions!$F$2:$F$3000,Permissions!$B$2:$B$3000,$A194,Permissions!$H$2:$H$3000,"Permitted – not started",Permissions!$I$2:$I$3000,"Yes")</f>
        <v>16</v>
      </c>
      <c r="W194" s="19" t="n">
        <f aca="false">SUMIFS(Permissions!$F$2:$F$3000,Permissions!$B$2:$B$3000,$A194,Permissions!$H$2:$H$3000,"Stalled",Permissions!$I$2:$I$3000,"Yes")</f>
        <v>0</v>
      </c>
      <c r="X194" s="19" t="n">
        <f aca="false">T194+U194+V194+W194</f>
        <v>16</v>
      </c>
      <c r="Y194" s="19" t="n">
        <f aca="false">SUMIFS(Permissions!$F$2:$F$3000,Permissions!$B$2:$B$3000,$A194,Permissions!$H$2:$H$3000,"Expired – not started",Permissions!$I$2:$I$3000,"Yes")</f>
        <v>0</v>
      </c>
      <c r="Z194" s="19" t="n">
        <f aca="false">SUMIFS(Permissions!$F$2:$F$3000,Permissions!$B$2:$B$3000,$A194,Permissions!$H$2:$H$3000,"In planning",Permissions!$I$2:$I$3000,"Yes")</f>
        <v>0</v>
      </c>
      <c r="AA194" s="19" t="n">
        <f aca="false">IF(N194="",0,MAX(N194-X194,0))</f>
        <v>0</v>
      </c>
      <c r="AB194" s="20" t="n">
        <f aca="false">X194+AA194</f>
        <v>16</v>
      </c>
      <c r="AC194" s="19" t="n">
        <f aca="false">AB194-T194</f>
        <v>16</v>
      </c>
      <c r="AD194" s="21" t="n">
        <f aca="false">SUMIFS(Permissions!$T$2:$T$3000,Permissions!$B$2:$B$3000,$A194,Permissions!$I$2:$I$3000,"Yes")</f>
        <v>0</v>
      </c>
      <c r="AE194" s="21" t="n">
        <f aca="false">SUMIFS(Permissions!$U$2:$U$3000,Permissions!$B$2:$B$3000,$A194,Permissions!$I$2:$I$3000,"Yes")</f>
        <v>0</v>
      </c>
      <c r="AF194" s="21" t="n">
        <f aca="false">SUMIFS(Permissions!$V$2:$V$3000,Permissions!$B$2:$B$3000,$A194,Permissions!$I$2:$I$3000,"Yes")</f>
        <v>3.1</v>
      </c>
      <c r="AG194" s="21" t="n">
        <f aca="false">SUMIFS(Permissions!$W$2:$W$3000,Permissions!$B$2:$B$3000,$A194,Permissions!$I$2:$I$3000,"Yes")</f>
        <v>12.9</v>
      </c>
      <c r="AH194" s="21" t="n">
        <f aca="false">SUMIFS(Permissions!$X$2:$X$3000,Permissions!$B$2:$B$3000,$A194,Permissions!$I$2:$I$3000,"Yes")</f>
        <v>0</v>
      </c>
      <c r="AI194" s="21" t="n">
        <f aca="false">SUMIFS(Permissions!$Y$2:$Y$3000,Permissions!$B$2:$B$3000,$A194,Permissions!$I$2:$I$3000,"Yes")</f>
        <v>0</v>
      </c>
      <c r="AJ194" s="19" t="n">
        <f aca="false">COUNTIFS(Permissions!$B$2:$B$3000,$A194,Permissions!$I$2:$I$3000,"Yes")</f>
        <v>1</v>
      </c>
      <c r="AK194" s="22" t="str">
        <f aca="false">IF(AND(N194&lt;&gt;"",X194&gt;1.1*N194),"Consented above capacity",IF(AND(LEFT(B194,8)="Planning",AJ194=0),"Consent parcel with no permission",IF(COUNTIF($A$2:$A$3000,$A194)&gt;1,"Duplicate parcel_id","")))</f>
        <v/>
      </c>
    </row>
    <row r="195" customFormat="false" ht="15" hidden="false" customHeight="false" outlineLevel="0" collapsed="false">
      <c r="A195" s="18" t="s">
        <v>402</v>
      </c>
      <c r="B195" s="18" t="s">
        <v>12</v>
      </c>
      <c r="C195" s="18" t="s">
        <v>15</v>
      </c>
      <c r="D195" s="18"/>
      <c r="E195" s="18" t="s">
        <v>90</v>
      </c>
      <c r="F195" s="18" t="s">
        <v>89</v>
      </c>
      <c r="G195" s="18" t="s">
        <v>403</v>
      </c>
      <c r="H195" s="18"/>
      <c r="I195" s="18"/>
      <c r="J195" s="18"/>
      <c r="K195" s="18"/>
      <c r="L195" s="18" t="n">
        <v>0.126</v>
      </c>
      <c r="M195" s="18" t="n">
        <v>0.126</v>
      </c>
      <c r="N195" s="18"/>
      <c r="O195" s="18" t="s">
        <v>283</v>
      </c>
      <c r="P195" s="18"/>
      <c r="Q195" s="18"/>
      <c r="R195" s="18" t="s">
        <v>98</v>
      </c>
      <c r="S195" s="18"/>
      <c r="T195" s="19" t="n">
        <f aca="false">SUMIFS(Permissions!$F$2:$F$3000,Permissions!$B$2:$B$3000,$A195,Permissions!$H$2:$H$3000,"Complete",Permissions!$I$2:$I$3000,"Yes")</f>
        <v>0</v>
      </c>
      <c r="U195" s="19" t="n">
        <f aca="false">SUMIFS(Permissions!$F$2:$F$3000,Permissions!$B$2:$B$3000,$A195,Permissions!$H$2:$H$3000,"Under construction",Permissions!$I$2:$I$3000,"Yes")</f>
        <v>0</v>
      </c>
      <c r="V195" s="19" t="n">
        <f aca="false">SUMIFS(Permissions!$F$2:$F$3000,Permissions!$B$2:$B$3000,$A195,Permissions!$H$2:$H$3000,"Permitted – not started",Permissions!$I$2:$I$3000,"Yes")</f>
        <v>48</v>
      </c>
      <c r="W195" s="19" t="n">
        <f aca="false">SUMIFS(Permissions!$F$2:$F$3000,Permissions!$B$2:$B$3000,$A195,Permissions!$H$2:$H$3000,"Stalled",Permissions!$I$2:$I$3000,"Yes")</f>
        <v>0</v>
      </c>
      <c r="X195" s="19" t="n">
        <f aca="false">T195+U195+V195+W195</f>
        <v>48</v>
      </c>
      <c r="Y195" s="19" t="n">
        <f aca="false">SUMIFS(Permissions!$F$2:$F$3000,Permissions!$B$2:$B$3000,$A195,Permissions!$H$2:$H$3000,"Expired – not started",Permissions!$I$2:$I$3000,"Yes")</f>
        <v>0</v>
      </c>
      <c r="Z195" s="19" t="n">
        <f aca="false">SUMIFS(Permissions!$F$2:$F$3000,Permissions!$B$2:$B$3000,$A195,Permissions!$H$2:$H$3000,"In planning",Permissions!$I$2:$I$3000,"Yes")</f>
        <v>0</v>
      </c>
      <c r="AA195" s="19" t="n">
        <f aca="false">IF(N195="",0,MAX(N195-X195,0))</f>
        <v>0</v>
      </c>
      <c r="AB195" s="20" t="n">
        <f aca="false">X195+AA195</f>
        <v>48</v>
      </c>
      <c r="AC195" s="19" t="n">
        <f aca="false">AB195-T195</f>
        <v>48</v>
      </c>
      <c r="AD195" s="21" t="n">
        <f aca="false">SUMIFS(Permissions!$T$2:$T$3000,Permissions!$B$2:$B$3000,$A195,Permissions!$I$2:$I$3000,"Yes")</f>
        <v>0</v>
      </c>
      <c r="AE195" s="21" t="n">
        <f aca="false">SUMIFS(Permissions!$U$2:$U$3000,Permissions!$B$2:$B$3000,$A195,Permissions!$I$2:$I$3000,"Yes")</f>
        <v>0</v>
      </c>
      <c r="AF195" s="21" t="n">
        <f aca="false">SUMIFS(Permissions!$V$2:$V$3000,Permissions!$B$2:$B$3000,$A195,Permissions!$I$2:$I$3000,"Yes")</f>
        <v>20.5</v>
      </c>
      <c r="AG195" s="21" t="n">
        <f aca="false">SUMIFS(Permissions!$W$2:$W$3000,Permissions!$B$2:$B$3000,$A195,Permissions!$I$2:$I$3000,"Yes")</f>
        <v>27.5</v>
      </c>
      <c r="AH195" s="21" t="n">
        <f aca="false">SUMIFS(Permissions!$X$2:$X$3000,Permissions!$B$2:$B$3000,$A195,Permissions!$I$2:$I$3000,"Yes")</f>
        <v>0</v>
      </c>
      <c r="AI195" s="21" t="n">
        <f aca="false">SUMIFS(Permissions!$Y$2:$Y$3000,Permissions!$B$2:$B$3000,$A195,Permissions!$I$2:$I$3000,"Yes")</f>
        <v>0</v>
      </c>
      <c r="AJ195" s="19" t="n">
        <f aca="false">COUNTIFS(Permissions!$B$2:$B$3000,$A195,Permissions!$I$2:$I$3000,"Yes")</f>
        <v>1</v>
      </c>
      <c r="AK195" s="22" t="str">
        <f aca="false">IF(AND(N195&lt;&gt;"",X195&gt;1.1*N195),"Consented above capacity",IF(AND(LEFT(B195,8)="Planning",AJ195=0),"Consent parcel with no permission",IF(COUNTIF($A$2:$A$3000,$A195)&gt;1,"Duplicate parcel_id","")))</f>
        <v/>
      </c>
    </row>
    <row r="196" customFormat="false" ht="15" hidden="false" customHeight="false" outlineLevel="0" collapsed="false">
      <c r="A196" s="18" t="s">
        <v>404</v>
      </c>
      <c r="B196" s="18" t="s">
        <v>12</v>
      </c>
      <c r="C196" s="18" t="s">
        <v>15</v>
      </c>
      <c r="D196" s="18"/>
      <c r="E196" s="18" t="s">
        <v>90</v>
      </c>
      <c r="F196" s="18" t="s">
        <v>89</v>
      </c>
      <c r="G196" s="18" t="s">
        <v>405</v>
      </c>
      <c r="H196" s="18"/>
      <c r="I196" s="18"/>
      <c r="J196" s="18"/>
      <c r="K196" s="18"/>
      <c r="L196" s="18" t="n">
        <v>0.074</v>
      </c>
      <c r="M196" s="18" t="n">
        <v>0.074</v>
      </c>
      <c r="N196" s="18"/>
      <c r="O196" s="18" t="s">
        <v>283</v>
      </c>
      <c r="P196" s="18"/>
      <c r="Q196" s="18"/>
      <c r="R196" s="18" t="s">
        <v>98</v>
      </c>
      <c r="S196" s="18"/>
      <c r="T196" s="19" t="n">
        <f aca="false">SUMIFS(Permissions!$F$2:$F$3000,Permissions!$B$2:$B$3000,$A196,Permissions!$H$2:$H$3000,"Complete",Permissions!$I$2:$I$3000,"Yes")</f>
        <v>0</v>
      </c>
      <c r="U196" s="19" t="n">
        <f aca="false">SUMIFS(Permissions!$F$2:$F$3000,Permissions!$B$2:$B$3000,$A196,Permissions!$H$2:$H$3000,"Under construction",Permissions!$I$2:$I$3000,"Yes")</f>
        <v>0</v>
      </c>
      <c r="V196" s="19" t="n">
        <f aca="false">SUMIFS(Permissions!$F$2:$F$3000,Permissions!$B$2:$B$3000,$A196,Permissions!$H$2:$H$3000,"Permitted – not started",Permissions!$I$2:$I$3000,"Yes")</f>
        <v>74</v>
      </c>
      <c r="W196" s="19" t="n">
        <f aca="false">SUMIFS(Permissions!$F$2:$F$3000,Permissions!$B$2:$B$3000,$A196,Permissions!$H$2:$H$3000,"Stalled",Permissions!$I$2:$I$3000,"Yes")</f>
        <v>0</v>
      </c>
      <c r="X196" s="19" t="n">
        <f aca="false">T196+U196+V196+W196</f>
        <v>74</v>
      </c>
      <c r="Y196" s="19" t="n">
        <f aca="false">SUMIFS(Permissions!$F$2:$F$3000,Permissions!$B$2:$B$3000,$A196,Permissions!$H$2:$H$3000,"Expired – not started",Permissions!$I$2:$I$3000,"Yes")</f>
        <v>0</v>
      </c>
      <c r="Z196" s="19" t="n">
        <f aca="false">SUMIFS(Permissions!$F$2:$F$3000,Permissions!$B$2:$B$3000,$A196,Permissions!$H$2:$H$3000,"In planning",Permissions!$I$2:$I$3000,"Yes")</f>
        <v>0</v>
      </c>
      <c r="AA196" s="19" t="n">
        <f aca="false">IF(N196="",0,MAX(N196-X196,0))</f>
        <v>0</v>
      </c>
      <c r="AB196" s="20" t="n">
        <f aca="false">X196+AA196</f>
        <v>74</v>
      </c>
      <c r="AC196" s="19" t="n">
        <f aca="false">AB196-T196</f>
        <v>74</v>
      </c>
      <c r="AD196" s="21" t="n">
        <f aca="false">SUMIFS(Permissions!$T$2:$T$3000,Permissions!$B$2:$B$3000,$A196,Permissions!$I$2:$I$3000,"Yes")</f>
        <v>0</v>
      </c>
      <c r="AE196" s="21" t="n">
        <f aca="false">SUMIFS(Permissions!$U$2:$U$3000,Permissions!$B$2:$B$3000,$A196,Permissions!$I$2:$I$3000,"Yes")</f>
        <v>0</v>
      </c>
      <c r="AF196" s="21" t="n">
        <f aca="false">SUMIFS(Permissions!$V$2:$V$3000,Permissions!$B$2:$B$3000,$A196,Permissions!$I$2:$I$3000,"Yes")</f>
        <v>54.4</v>
      </c>
      <c r="AG196" s="21" t="n">
        <f aca="false">SUMIFS(Permissions!$W$2:$W$3000,Permissions!$B$2:$B$3000,$A196,Permissions!$I$2:$I$3000,"Yes")</f>
        <v>19.6</v>
      </c>
      <c r="AH196" s="21" t="n">
        <f aca="false">SUMIFS(Permissions!$X$2:$X$3000,Permissions!$B$2:$B$3000,$A196,Permissions!$I$2:$I$3000,"Yes")</f>
        <v>0</v>
      </c>
      <c r="AI196" s="21" t="n">
        <f aca="false">SUMIFS(Permissions!$Y$2:$Y$3000,Permissions!$B$2:$B$3000,$A196,Permissions!$I$2:$I$3000,"Yes")</f>
        <v>0</v>
      </c>
      <c r="AJ196" s="19" t="n">
        <f aca="false">COUNTIFS(Permissions!$B$2:$B$3000,$A196,Permissions!$I$2:$I$3000,"Yes")</f>
        <v>2</v>
      </c>
      <c r="AK196" s="22" t="str">
        <f aca="false">IF(AND(N196&lt;&gt;"",X196&gt;1.1*N196),"Consented above capacity",IF(AND(LEFT(B196,8)="Planning",AJ196=0),"Consent parcel with no permission",IF(COUNTIF($A$2:$A$3000,$A196)&gt;1,"Duplicate parcel_id","")))</f>
        <v/>
      </c>
    </row>
    <row r="197" customFormat="false" ht="15" hidden="false" customHeight="false" outlineLevel="0" collapsed="false">
      <c r="A197" s="18" t="s">
        <v>406</v>
      </c>
      <c r="B197" s="18" t="s">
        <v>12</v>
      </c>
      <c r="C197" s="18" t="s">
        <v>15</v>
      </c>
      <c r="D197" s="18"/>
      <c r="E197" s="18" t="s">
        <v>90</v>
      </c>
      <c r="F197" s="18" t="s">
        <v>89</v>
      </c>
      <c r="G197" s="18" t="s">
        <v>407</v>
      </c>
      <c r="H197" s="18"/>
      <c r="I197" s="18"/>
      <c r="J197" s="18"/>
      <c r="K197" s="18"/>
      <c r="L197" s="18" t="n">
        <v>0.024</v>
      </c>
      <c r="M197" s="18" t="n">
        <v>0.024</v>
      </c>
      <c r="N197" s="18"/>
      <c r="O197" s="18" t="s">
        <v>283</v>
      </c>
      <c r="P197" s="18"/>
      <c r="Q197" s="18"/>
      <c r="R197" s="18" t="s">
        <v>98</v>
      </c>
      <c r="S197" s="18"/>
      <c r="T197" s="19" t="n">
        <f aca="false">SUMIFS(Permissions!$F$2:$F$3000,Permissions!$B$2:$B$3000,$A197,Permissions!$H$2:$H$3000,"Complete",Permissions!$I$2:$I$3000,"Yes")</f>
        <v>0</v>
      </c>
      <c r="U197" s="19" t="n">
        <f aca="false">SUMIFS(Permissions!$F$2:$F$3000,Permissions!$B$2:$B$3000,$A197,Permissions!$H$2:$H$3000,"Under construction",Permissions!$I$2:$I$3000,"Yes")</f>
        <v>0</v>
      </c>
      <c r="V197" s="19" t="n">
        <f aca="false">SUMIFS(Permissions!$F$2:$F$3000,Permissions!$B$2:$B$3000,$A197,Permissions!$H$2:$H$3000,"Permitted – not started",Permissions!$I$2:$I$3000,"Yes")</f>
        <v>6</v>
      </c>
      <c r="W197" s="19" t="n">
        <f aca="false">SUMIFS(Permissions!$F$2:$F$3000,Permissions!$B$2:$B$3000,$A197,Permissions!$H$2:$H$3000,"Stalled",Permissions!$I$2:$I$3000,"Yes")</f>
        <v>0</v>
      </c>
      <c r="X197" s="19" t="n">
        <f aca="false">T197+U197+V197+W197</f>
        <v>6</v>
      </c>
      <c r="Y197" s="19" t="n">
        <f aca="false">SUMIFS(Permissions!$F$2:$F$3000,Permissions!$B$2:$B$3000,$A197,Permissions!$H$2:$H$3000,"Expired – not started",Permissions!$I$2:$I$3000,"Yes")</f>
        <v>0</v>
      </c>
      <c r="Z197" s="19" t="n">
        <f aca="false">SUMIFS(Permissions!$F$2:$F$3000,Permissions!$B$2:$B$3000,$A197,Permissions!$H$2:$H$3000,"In planning",Permissions!$I$2:$I$3000,"Yes")</f>
        <v>0</v>
      </c>
      <c r="AA197" s="19" t="n">
        <f aca="false">IF(N197="",0,MAX(N197-X197,0))</f>
        <v>0</v>
      </c>
      <c r="AB197" s="20" t="n">
        <f aca="false">X197+AA197</f>
        <v>6</v>
      </c>
      <c r="AC197" s="19" t="n">
        <f aca="false">AB197-T197</f>
        <v>6</v>
      </c>
      <c r="AD197" s="21" t="n">
        <f aca="false">SUMIFS(Permissions!$T$2:$T$3000,Permissions!$B$2:$B$3000,$A197,Permissions!$I$2:$I$3000,"Yes")</f>
        <v>0</v>
      </c>
      <c r="AE197" s="21" t="n">
        <f aca="false">SUMIFS(Permissions!$U$2:$U$3000,Permissions!$B$2:$B$3000,$A197,Permissions!$I$2:$I$3000,"Yes")</f>
        <v>0</v>
      </c>
      <c r="AF197" s="21" t="n">
        <f aca="false">SUMIFS(Permissions!$V$2:$V$3000,Permissions!$B$2:$B$3000,$A197,Permissions!$I$2:$I$3000,"Yes")</f>
        <v>4.5</v>
      </c>
      <c r="AG197" s="21" t="n">
        <f aca="false">SUMIFS(Permissions!$W$2:$W$3000,Permissions!$B$2:$B$3000,$A197,Permissions!$I$2:$I$3000,"Yes")</f>
        <v>1.5</v>
      </c>
      <c r="AH197" s="21" t="n">
        <f aca="false">SUMIFS(Permissions!$X$2:$X$3000,Permissions!$B$2:$B$3000,$A197,Permissions!$I$2:$I$3000,"Yes")</f>
        <v>0</v>
      </c>
      <c r="AI197" s="21" t="n">
        <f aca="false">SUMIFS(Permissions!$Y$2:$Y$3000,Permissions!$B$2:$B$3000,$A197,Permissions!$I$2:$I$3000,"Yes")</f>
        <v>0</v>
      </c>
      <c r="AJ197" s="19" t="n">
        <f aca="false">COUNTIFS(Permissions!$B$2:$B$3000,$A197,Permissions!$I$2:$I$3000,"Yes")</f>
        <v>1</v>
      </c>
      <c r="AK197" s="22" t="str">
        <f aca="false">IF(AND(N197&lt;&gt;"",X197&gt;1.1*N197),"Consented above capacity",IF(AND(LEFT(B197,8)="Planning",AJ197=0),"Consent parcel with no permission",IF(COUNTIF($A$2:$A$3000,$A197)&gt;1,"Duplicate parcel_id","")))</f>
        <v/>
      </c>
    </row>
    <row r="198" customFormat="false" ht="15" hidden="false" customHeight="false" outlineLevel="0" collapsed="false">
      <c r="A198" s="18" t="s">
        <v>408</v>
      </c>
      <c r="B198" s="18" t="s">
        <v>12</v>
      </c>
      <c r="C198" s="18" t="s">
        <v>15</v>
      </c>
      <c r="D198" s="18"/>
      <c r="E198" s="18" t="s">
        <v>90</v>
      </c>
      <c r="F198" s="18" t="s">
        <v>89</v>
      </c>
      <c r="G198" s="18" t="s">
        <v>409</v>
      </c>
      <c r="H198" s="18"/>
      <c r="I198" s="18"/>
      <c r="J198" s="18"/>
      <c r="K198" s="18"/>
      <c r="L198" s="18" t="n">
        <v>0.058</v>
      </c>
      <c r="M198" s="18" t="n">
        <v>0.058</v>
      </c>
      <c r="N198" s="18"/>
      <c r="O198" s="18" t="s">
        <v>283</v>
      </c>
      <c r="P198" s="18"/>
      <c r="Q198" s="18"/>
      <c r="R198" s="18" t="s">
        <v>98</v>
      </c>
      <c r="S198" s="18"/>
      <c r="T198" s="19" t="n">
        <f aca="false">SUMIFS(Permissions!$F$2:$F$3000,Permissions!$B$2:$B$3000,$A198,Permissions!$H$2:$H$3000,"Complete",Permissions!$I$2:$I$3000,"Yes")</f>
        <v>0</v>
      </c>
      <c r="U198" s="19" t="n">
        <f aca="false">SUMIFS(Permissions!$F$2:$F$3000,Permissions!$B$2:$B$3000,$A198,Permissions!$H$2:$H$3000,"Under construction",Permissions!$I$2:$I$3000,"Yes")</f>
        <v>0</v>
      </c>
      <c r="V198" s="19" t="n">
        <f aca="false">SUMIFS(Permissions!$F$2:$F$3000,Permissions!$B$2:$B$3000,$A198,Permissions!$H$2:$H$3000,"Permitted – not started",Permissions!$I$2:$I$3000,"Yes")</f>
        <v>22</v>
      </c>
      <c r="W198" s="19" t="n">
        <f aca="false">SUMIFS(Permissions!$F$2:$F$3000,Permissions!$B$2:$B$3000,$A198,Permissions!$H$2:$H$3000,"Stalled",Permissions!$I$2:$I$3000,"Yes")</f>
        <v>0</v>
      </c>
      <c r="X198" s="19" t="n">
        <f aca="false">T198+U198+V198+W198</f>
        <v>22</v>
      </c>
      <c r="Y198" s="19" t="n">
        <f aca="false">SUMIFS(Permissions!$F$2:$F$3000,Permissions!$B$2:$B$3000,$A198,Permissions!$H$2:$H$3000,"Expired – not started",Permissions!$I$2:$I$3000,"Yes")</f>
        <v>0</v>
      </c>
      <c r="Z198" s="19" t="n">
        <f aca="false">SUMIFS(Permissions!$F$2:$F$3000,Permissions!$B$2:$B$3000,$A198,Permissions!$H$2:$H$3000,"In planning",Permissions!$I$2:$I$3000,"Yes")</f>
        <v>0</v>
      </c>
      <c r="AA198" s="19" t="n">
        <f aca="false">IF(N198="",0,MAX(N198-X198,0))</f>
        <v>0</v>
      </c>
      <c r="AB198" s="20" t="n">
        <f aca="false">X198+AA198</f>
        <v>22</v>
      </c>
      <c r="AC198" s="19" t="n">
        <f aca="false">AB198-T198</f>
        <v>22</v>
      </c>
      <c r="AD198" s="21" t="n">
        <f aca="false">SUMIFS(Permissions!$T$2:$T$3000,Permissions!$B$2:$B$3000,$A198,Permissions!$I$2:$I$3000,"Yes")</f>
        <v>0</v>
      </c>
      <c r="AE198" s="21" t="n">
        <f aca="false">SUMIFS(Permissions!$U$2:$U$3000,Permissions!$B$2:$B$3000,$A198,Permissions!$I$2:$I$3000,"Yes")</f>
        <v>0</v>
      </c>
      <c r="AF198" s="21" t="n">
        <f aca="false">SUMIFS(Permissions!$V$2:$V$3000,Permissions!$B$2:$B$3000,$A198,Permissions!$I$2:$I$3000,"Yes")</f>
        <v>2.4</v>
      </c>
      <c r="AG198" s="21" t="n">
        <f aca="false">SUMIFS(Permissions!$W$2:$W$3000,Permissions!$B$2:$B$3000,$A198,Permissions!$I$2:$I$3000,"Yes")</f>
        <v>13.5</v>
      </c>
      <c r="AH198" s="21" t="n">
        <f aca="false">SUMIFS(Permissions!$X$2:$X$3000,Permissions!$B$2:$B$3000,$A198,Permissions!$I$2:$I$3000,"Yes")</f>
        <v>6.2</v>
      </c>
      <c r="AI198" s="21" t="n">
        <f aca="false">SUMIFS(Permissions!$Y$2:$Y$3000,Permissions!$B$2:$B$3000,$A198,Permissions!$I$2:$I$3000,"Yes")</f>
        <v>-0.1</v>
      </c>
      <c r="AJ198" s="19" t="n">
        <f aca="false">COUNTIFS(Permissions!$B$2:$B$3000,$A198,Permissions!$I$2:$I$3000,"Yes")</f>
        <v>1</v>
      </c>
      <c r="AK198" s="22" t="str">
        <f aca="false">IF(AND(N198&lt;&gt;"",X198&gt;1.1*N198),"Consented above capacity",IF(AND(LEFT(B198,8)="Planning",AJ198=0),"Consent parcel with no permission",IF(COUNTIF($A$2:$A$3000,$A198)&gt;1,"Duplicate parcel_id","")))</f>
        <v/>
      </c>
    </row>
    <row r="199" customFormat="false" ht="15" hidden="false" customHeight="false" outlineLevel="0" collapsed="false">
      <c r="A199" s="18" t="s">
        <v>410</v>
      </c>
      <c r="B199" s="18" t="s">
        <v>12</v>
      </c>
      <c r="C199" s="18" t="s">
        <v>15</v>
      </c>
      <c r="D199" s="18"/>
      <c r="E199" s="18" t="s">
        <v>90</v>
      </c>
      <c r="F199" s="18" t="s">
        <v>89</v>
      </c>
      <c r="G199" s="18" t="s">
        <v>411</v>
      </c>
      <c r="H199" s="18"/>
      <c r="I199" s="18"/>
      <c r="J199" s="18"/>
      <c r="K199" s="18"/>
      <c r="L199" s="18" t="n">
        <v>0.206</v>
      </c>
      <c r="M199" s="18" t="n">
        <v>0.206</v>
      </c>
      <c r="N199" s="18"/>
      <c r="O199" s="18" t="s">
        <v>283</v>
      </c>
      <c r="P199" s="18"/>
      <c r="Q199" s="18"/>
      <c r="R199" s="18" t="s">
        <v>98</v>
      </c>
      <c r="S199" s="18"/>
      <c r="T199" s="19" t="n">
        <f aca="false">SUMIFS(Permissions!$F$2:$F$3000,Permissions!$B$2:$B$3000,$A199,Permissions!$H$2:$H$3000,"Complete",Permissions!$I$2:$I$3000,"Yes")</f>
        <v>0</v>
      </c>
      <c r="U199" s="19" t="n">
        <f aca="false">SUMIFS(Permissions!$F$2:$F$3000,Permissions!$B$2:$B$3000,$A199,Permissions!$H$2:$H$3000,"Under construction",Permissions!$I$2:$I$3000,"Yes")</f>
        <v>0</v>
      </c>
      <c r="V199" s="19" t="n">
        <f aca="false">SUMIFS(Permissions!$F$2:$F$3000,Permissions!$B$2:$B$3000,$A199,Permissions!$H$2:$H$3000,"Permitted – not started",Permissions!$I$2:$I$3000,"Yes")</f>
        <v>76</v>
      </c>
      <c r="W199" s="19" t="n">
        <f aca="false">SUMIFS(Permissions!$F$2:$F$3000,Permissions!$B$2:$B$3000,$A199,Permissions!$H$2:$H$3000,"Stalled",Permissions!$I$2:$I$3000,"Yes")</f>
        <v>0</v>
      </c>
      <c r="X199" s="19" t="n">
        <f aca="false">T199+U199+V199+W199</f>
        <v>76</v>
      </c>
      <c r="Y199" s="19" t="n">
        <f aca="false">SUMIFS(Permissions!$F$2:$F$3000,Permissions!$B$2:$B$3000,$A199,Permissions!$H$2:$H$3000,"Expired – not started",Permissions!$I$2:$I$3000,"Yes")</f>
        <v>24</v>
      </c>
      <c r="Z199" s="19" t="n">
        <f aca="false">SUMIFS(Permissions!$F$2:$F$3000,Permissions!$B$2:$B$3000,$A199,Permissions!$H$2:$H$3000,"In planning",Permissions!$I$2:$I$3000,"Yes")</f>
        <v>0</v>
      </c>
      <c r="AA199" s="19" t="n">
        <f aca="false">IF(N199="",0,MAX(N199-X199,0))</f>
        <v>0</v>
      </c>
      <c r="AB199" s="20" t="n">
        <f aca="false">X199+AA199</f>
        <v>76</v>
      </c>
      <c r="AC199" s="19" t="n">
        <f aca="false">AB199-T199</f>
        <v>76</v>
      </c>
      <c r="AD199" s="21" t="n">
        <f aca="false">SUMIFS(Permissions!$T$2:$T$3000,Permissions!$B$2:$B$3000,$A199,Permissions!$I$2:$I$3000,"Yes")</f>
        <v>0</v>
      </c>
      <c r="AE199" s="21" t="n">
        <f aca="false">SUMIFS(Permissions!$U$2:$U$3000,Permissions!$B$2:$B$3000,$A199,Permissions!$I$2:$I$3000,"Yes")</f>
        <v>0</v>
      </c>
      <c r="AF199" s="21" t="n">
        <f aca="false">SUMIFS(Permissions!$V$2:$V$3000,Permissions!$B$2:$B$3000,$A199,Permissions!$I$2:$I$3000,"Yes")</f>
        <v>26.3</v>
      </c>
      <c r="AG199" s="21" t="n">
        <f aca="false">SUMIFS(Permissions!$W$2:$W$3000,Permissions!$B$2:$B$3000,$A199,Permissions!$I$2:$I$3000,"Yes")</f>
        <v>49.7</v>
      </c>
      <c r="AH199" s="21" t="n">
        <f aca="false">SUMIFS(Permissions!$X$2:$X$3000,Permissions!$B$2:$B$3000,$A199,Permissions!$I$2:$I$3000,"Yes")</f>
        <v>0</v>
      </c>
      <c r="AI199" s="21" t="n">
        <f aca="false">SUMIFS(Permissions!$Y$2:$Y$3000,Permissions!$B$2:$B$3000,$A199,Permissions!$I$2:$I$3000,"Yes")</f>
        <v>0</v>
      </c>
      <c r="AJ199" s="19" t="n">
        <f aca="false">COUNTIFS(Permissions!$B$2:$B$3000,$A199,Permissions!$I$2:$I$3000,"Yes")</f>
        <v>2</v>
      </c>
      <c r="AK199" s="22" t="str">
        <f aca="false">IF(AND(N199&lt;&gt;"",X199&gt;1.1*N199),"Consented above capacity",IF(AND(LEFT(B199,8)="Planning",AJ199=0),"Consent parcel with no permission",IF(COUNTIF($A$2:$A$3000,$A199)&gt;1,"Duplicate parcel_id","")))</f>
        <v/>
      </c>
    </row>
    <row r="200" customFormat="false" ht="15" hidden="false" customHeight="false" outlineLevel="0" collapsed="false">
      <c r="A200" s="18" t="s">
        <v>412</v>
      </c>
      <c r="B200" s="18" t="s">
        <v>12</v>
      </c>
      <c r="C200" s="18" t="s">
        <v>15</v>
      </c>
      <c r="D200" s="18"/>
      <c r="E200" s="18" t="s">
        <v>90</v>
      </c>
      <c r="F200" s="18" t="s">
        <v>112</v>
      </c>
      <c r="G200" s="18" t="s">
        <v>413</v>
      </c>
      <c r="H200" s="18"/>
      <c r="I200" s="18"/>
      <c r="J200" s="18"/>
      <c r="K200" s="18"/>
      <c r="L200" s="18" t="n">
        <v>0.196</v>
      </c>
      <c r="M200" s="18" t="n">
        <v>0.196</v>
      </c>
      <c r="N200" s="18"/>
      <c r="O200" s="18" t="s">
        <v>283</v>
      </c>
      <c r="P200" s="18"/>
      <c r="Q200" s="18" t="s">
        <v>308</v>
      </c>
      <c r="R200" s="18" t="s">
        <v>98</v>
      </c>
      <c r="S200" s="18"/>
      <c r="T200" s="19" t="n">
        <f aca="false">SUMIFS(Permissions!$F$2:$F$3000,Permissions!$B$2:$B$3000,$A200,Permissions!$H$2:$H$3000,"Complete",Permissions!$I$2:$I$3000,"Yes")</f>
        <v>0</v>
      </c>
      <c r="U200" s="19" t="n">
        <f aca="false">SUMIFS(Permissions!$F$2:$F$3000,Permissions!$B$2:$B$3000,$A200,Permissions!$H$2:$H$3000,"Under construction",Permissions!$I$2:$I$3000,"Yes")</f>
        <v>0</v>
      </c>
      <c r="V200" s="19" t="n">
        <f aca="false">SUMIFS(Permissions!$F$2:$F$3000,Permissions!$B$2:$B$3000,$A200,Permissions!$H$2:$H$3000,"Permitted – not started",Permissions!$I$2:$I$3000,"Yes")</f>
        <v>0</v>
      </c>
      <c r="W200" s="19" t="n">
        <f aca="false">SUMIFS(Permissions!$F$2:$F$3000,Permissions!$B$2:$B$3000,$A200,Permissions!$H$2:$H$3000,"Stalled",Permissions!$I$2:$I$3000,"Yes")</f>
        <v>0</v>
      </c>
      <c r="X200" s="19" t="n">
        <f aca="false">T200+U200+V200+W200</f>
        <v>0</v>
      </c>
      <c r="Y200" s="19" t="n">
        <f aca="false">SUMIFS(Permissions!$F$2:$F$3000,Permissions!$B$2:$B$3000,$A200,Permissions!$H$2:$H$3000,"Expired – not started",Permissions!$I$2:$I$3000,"Yes")</f>
        <v>0</v>
      </c>
      <c r="Z200" s="19" t="n">
        <f aca="false">SUMIFS(Permissions!$F$2:$F$3000,Permissions!$B$2:$B$3000,$A200,Permissions!$H$2:$H$3000,"In planning",Permissions!$I$2:$I$3000,"Yes")</f>
        <v>13</v>
      </c>
      <c r="AA200" s="19" t="n">
        <f aca="false">IF(N200="",0,MAX(N200-X200,0))</f>
        <v>0</v>
      </c>
      <c r="AB200" s="20" t="n">
        <f aca="false">X200+AA200</f>
        <v>0</v>
      </c>
      <c r="AC200" s="19" t="n">
        <f aca="false">AB200-T200</f>
        <v>0</v>
      </c>
      <c r="AD200" s="21" t="n">
        <f aca="false">SUMIFS(Permissions!$T$2:$T$3000,Permissions!$B$2:$B$3000,$A200,Permissions!$I$2:$I$3000,"Yes")</f>
        <v>0</v>
      </c>
      <c r="AE200" s="21" t="n">
        <f aca="false">SUMIFS(Permissions!$U$2:$U$3000,Permissions!$B$2:$B$3000,$A200,Permissions!$I$2:$I$3000,"Yes")</f>
        <v>0</v>
      </c>
      <c r="AF200" s="21" t="n">
        <f aca="false">SUMIFS(Permissions!$V$2:$V$3000,Permissions!$B$2:$B$3000,$A200,Permissions!$I$2:$I$3000,"Yes")</f>
        <v>0</v>
      </c>
      <c r="AG200" s="21" t="n">
        <f aca="false">SUMIFS(Permissions!$W$2:$W$3000,Permissions!$B$2:$B$3000,$A200,Permissions!$I$2:$I$3000,"Yes")</f>
        <v>0</v>
      </c>
      <c r="AH200" s="21" t="n">
        <f aca="false">SUMIFS(Permissions!$X$2:$X$3000,Permissions!$B$2:$B$3000,$A200,Permissions!$I$2:$I$3000,"Yes")</f>
        <v>0</v>
      </c>
      <c r="AI200" s="21" t="n">
        <f aca="false">SUMIFS(Permissions!$Y$2:$Y$3000,Permissions!$B$2:$B$3000,$A200,Permissions!$I$2:$I$3000,"Yes")</f>
        <v>0</v>
      </c>
      <c r="AJ200" s="19" t="n">
        <f aca="false">COUNTIFS(Permissions!$B$2:$B$3000,$A200,Permissions!$I$2:$I$3000,"Yes")</f>
        <v>1</v>
      </c>
      <c r="AK200" s="22" t="str">
        <f aca="false">IF(AND(N200&lt;&gt;"",X200&gt;1.1*N200),"Consented above capacity",IF(AND(LEFT(B200,8)="Planning",AJ200=0),"Consent parcel with no permission",IF(COUNTIF($A$2:$A$3000,$A200)&gt;1,"Duplicate parcel_id","")))</f>
        <v/>
      </c>
    </row>
    <row r="201" customFormat="false" ht="15" hidden="false" customHeight="false" outlineLevel="0" collapsed="false">
      <c r="A201" s="18" t="s">
        <v>414</v>
      </c>
      <c r="B201" s="18" t="s">
        <v>12</v>
      </c>
      <c r="C201" s="18" t="s">
        <v>15</v>
      </c>
      <c r="D201" s="18"/>
      <c r="E201" s="18" t="s">
        <v>90</v>
      </c>
      <c r="F201" s="18" t="s">
        <v>89</v>
      </c>
      <c r="G201" s="18" t="s">
        <v>415</v>
      </c>
      <c r="H201" s="18"/>
      <c r="I201" s="18"/>
      <c r="J201" s="18"/>
      <c r="K201" s="18"/>
      <c r="L201" s="18" t="n">
        <v>0.196</v>
      </c>
      <c r="M201" s="18" t="n">
        <v>0.196</v>
      </c>
      <c r="N201" s="18"/>
      <c r="O201" s="18" t="s">
        <v>283</v>
      </c>
      <c r="P201" s="18"/>
      <c r="Q201" s="18" t="s">
        <v>313</v>
      </c>
      <c r="R201" s="18" t="s">
        <v>98</v>
      </c>
      <c r="S201" s="18"/>
      <c r="T201" s="19" t="n">
        <f aca="false">SUMIFS(Permissions!$F$2:$F$3000,Permissions!$B$2:$B$3000,$A201,Permissions!$H$2:$H$3000,"Complete",Permissions!$I$2:$I$3000,"Yes")</f>
        <v>0</v>
      </c>
      <c r="U201" s="19" t="n">
        <f aca="false">SUMIFS(Permissions!$F$2:$F$3000,Permissions!$B$2:$B$3000,$A201,Permissions!$H$2:$H$3000,"Under construction",Permissions!$I$2:$I$3000,"Yes")</f>
        <v>0</v>
      </c>
      <c r="V201" s="19" t="n">
        <f aca="false">SUMIFS(Permissions!$F$2:$F$3000,Permissions!$B$2:$B$3000,$A201,Permissions!$H$2:$H$3000,"Permitted – not started",Permissions!$I$2:$I$3000,"Yes")</f>
        <v>8</v>
      </c>
      <c r="W201" s="19" t="n">
        <f aca="false">SUMIFS(Permissions!$F$2:$F$3000,Permissions!$B$2:$B$3000,$A201,Permissions!$H$2:$H$3000,"Stalled",Permissions!$I$2:$I$3000,"Yes")</f>
        <v>0</v>
      </c>
      <c r="X201" s="19" t="n">
        <f aca="false">T201+U201+V201+W201</f>
        <v>8</v>
      </c>
      <c r="Y201" s="19" t="n">
        <f aca="false">SUMIFS(Permissions!$F$2:$F$3000,Permissions!$B$2:$B$3000,$A201,Permissions!$H$2:$H$3000,"Expired – not started",Permissions!$I$2:$I$3000,"Yes")</f>
        <v>0</v>
      </c>
      <c r="Z201" s="19" t="n">
        <f aca="false">SUMIFS(Permissions!$F$2:$F$3000,Permissions!$B$2:$B$3000,$A201,Permissions!$H$2:$H$3000,"In planning",Permissions!$I$2:$I$3000,"Yes")</f>
        <v>0</v>
      </c>
      <c r="AA201" s="19" t="n">
        <f aca="false">IF(N201="",0,MAX(N201-X201,0))</f>
        <v>0</v>
      </c>
      <c r="AB201" s="20" t="n">
        <f aca="false">X201+AA201</f>
        <v>8</v>
      </c>
      <c r="AC201" s="19" t="n">
        <f aca="false">AB201-T201</f>
        <v>8</v>
      </c>
      <c r="AD201" s="21" t="n">
        <f aca="false">SUMIFS(Permissions!$T$2:$T$3000,Permissions!$B$2:$B$3000,$A201,Permissions!$I$2:$I$3000,"Yes")</f>
        <v>0</v>
      </c>
      <c r="AE201" s="21" t="n">
        <f aca="false">SUMIFS(Permissions!$U$2:$U$3000,Permissions!$B$2:$B$3000,$A201,Permissions!$I$2:$I$3000,"Yes")</f>
        <v>0</v>
      </c>
      <c r="AF201" s="21" t="n">
        <f aca="false">SUMIFS(Permissions!$V$2:$V$3000,Permissions!$B$2:$B$3000,$A201,Permissions!$I$2:$I$3000,"Yes")</f>
        <v>4</v>
      </c>
      <c r="AG201" s="21" t="n">
        <f aca="false">SUMIFS(Permissions!$W$2:$W$3000,Permissions!$B$2:$B$3000,$A201,Permissions!$I$2:$I$3000,"Yes")</f>
        <v>4</v>
      </c>
      <c r="AH201" s="21" t="n">
        <f aca="false">SUMIFS(Permissions!$X$2:$X$3000,Permissions!$B$2:$B$3000,$A201,Permissions!$I$2:$I$3000,"Yes")</f>
        <v>0</v>
      </c>
      <c r="AI201" s="21" t="n">
        <f aca="false">SUMIFS(Permissions!$Y$2:$Y$3000,Permissions!$B$2:$B$3000,$A201,Permissions!$I$2:$I$3000,"Yes")</f>
        <v>0</v>
      </c>
      <c r="AJ201" s="19" t="n">
        <f aca="false">COUNTIFS(Permissions!$B$2:$B$3000,$A201,Permissions!$I$2:$I$3000,"Yes")</f>
        <v>1</v>
      </c>
      <c r="AK201" s="22" t="str">
        <f aca="false">IF(AND(N201&lt;&gt;"",X201&gt;1.1*N201),"Consented above capacity",IF(AND(LEFT(B201,8)="Planning",AJ201=0),"Consent parcel with no permission",IF(COUNTIF($A$2:$A$3000,$A201)&gt;1,"Duplicate parcel_id","")))</f>
        <v/>
      </c>
    </row>
    <row r="202" customFormat="false" ht="15" hidden="false" customHeight="false" outlineLevel="0" collapsed="false">
      <c r="A202" s="18" t="s">
        <v>416</v>
      </c>
      <c r="B202" s="18" t="s">
        <v>12</v>
      </c>
      <c r="C202" s="18" t="s">
        <v>15</v>
      </c>
      <c r="D202" s="18"/>
      <c r="E202" s="18" t="s">
        <v>90</v>
      </c>
      <c r="F202" s="18" t="s">
        <v>112</v>
      </c>
      <c r="G202" s="18" t="s">
        <v>417</v>
      </c>
      <c r="H202" s="18"/>
      <c r="I202" s="18"/>
      <c r="J202" s="18"/>
      <c r="K202" s="18"/>
      <c r="L202" s="18" t="n">
        <v>0.196</v>
      </c>
      <c r="M202" s="18" t="n">
        <v>0.196</v>
      </c>
      <c r="N202" s="18"/>
      <c r="O202" s="18" t="s">
        <v>283</v>
      </c>
      <c r="P202" s="18"/>
      <c r="Q202" s="18" t="s">
        <v>308</v>
      </c>
      <c r="R202" s="18" t="s">
        <v>98</v>
      </c>
      <c r="S202" s="18"/>
      <c r="T202" s="19" t="n">
        <f aca="false">SUMIFS(Permissions!$F$2:$F$3000,Permissions!$B$2:$B$3000,$A202,Permissions!$H$2:$H$3000,"Complete",Permissions!$I$2:$I$3000,"Yes")</f>
        <v>0</v>
      </c>
      <c r="U202" s="19" t="n">
        <f aca="false">SUMIFS(Permissions!$F$2:$F$3000,Permissions!$B$2:$B$3000,$A202,Permissions!$H$2:$H$3000,"Under construction",Permissions!$I$2:$I$3000,"Yes")</f>
        <v>0</v>
      </c>
      <c r="V202" s="19" t="n">
        <f aca="false">SUMIFS(Permissions!$F$2:$F$3000,Permissions!$B$2:$B$3000,$A202,Permissions!$H$2:$H$3000,"Permitted – not started",Permissions!$I$2:$I$3000,"Yes")</f>
        <v>0</v>
      </c>
      <c r="W202" s="19" t="n">
        <f aca="false">SUMIFS(Permissions!$F$2:$F$3000,Permissions!$B$2:$B$3000,$A202,Permissions!$H$2:$H$3000,"Stalled",Permissions!$I$2:$I$3000,"Yes")</f>
        <v>0</v>
      </c>
      <c r="X202" s="19" t="n">
        <f aca="false">T202+U202+V202+W202</f>
        <v>0</v>
      </c>
      <c r="Y202" s="19" t="n">
        <f aca="false">SUMIFS(Permissions!$F$2:$F$3000,Permissions!$B$2:$B$3000,$A202,Permissions!$H$2:$H$3000,"Expired – not started",Permissions!$I$2:$I$3000,"Yes")</f>
        <v>0</v>
      </c>
      <c r="Z202" s="19" t="n">
        <f aca="false">SUMIFS(Permissions!$F$2:$F$3000,Permissions!$B$2:$B$3000,$A202,Permissions!$H$2:$H$3000,"In planning",Permissions!$I$2:$I$3000,"Yes")</f>
        <v>13</v>
      </c>
      <c r="AA202" s="19" t="n">
        <f aca="false">IF(N202="",0,MAX(N202-X202,0))</f>
        <v>0</v>
      </c>
      <c r="AB202" s="20" t="n">
        <f aca="false">X202+AA202</f>
        <v>0</v>
      </c>
      <c r="AC202" s="19" t="n">
        <f aca="false">AB202-T202</f>
        <v>0</v>
      </c>
      <c r="AD202" s="21" t="n">
        <f aca="false">SUMIFS(Permissions!$T$2:$T$3000,Permissions!$B$2:$B$3000,$A202,Permissions!$I$2:$I$3000,"Yes")</f>
        <v>0</v>
      </c>
      <c r="AE202" s="21" t="n">
        <f aca="false">SUMIFS(Permissions!$U$2:$U$3000,Permissions!$B$2:$B$3000,$A202,Permissions!$I$2:$I$3000,"Yes")</f>
        <v>0</v>
      </c>
      <c r="AF202" s="21" t="n">
        <f aca="false">SUMIFS(Permissions!$V$2:$V$3000,Permissions!$B$2:$B$3000,$A202,Permissions!$I$2:$I$3000,"Yes")</f>
        <v>0</v>
      </c>
      <c r="AG202" s="21" t="n">
        <f aca="false">SUMIFS(Permissions!$W$2:$W$3000,Permissions!$B$2:$B$3000,$A202,Permissions!$I$2:$I$3000,"Yes")</f>
        <v>0</v>
      </c>
      <c r="AH202" s="21" t="n">
        <f aca="false">SUMIFS(Permissions!$X$2:$X$3000,Permissions!$B$2:$B$3000,$A202,Permissions!$I$2:$I$3000,"Yes")</f>
        <v>0</v>
      </c>
      <c r="AI202" s="21" t="n">
        <f aca="false">SUMIFS(Permissions!$Y$2:$Y$3000,Permissions!$B$2:$B$3000,$A202,Permissions!$I$2:$I$3000,"Yes")</f>
        <v>0</v>
      </c>
      <c r="AJ202" s="19" t="n">
        <f aca="false">COUNTIFS(Permissions!$B$2:$B$3000,$A202,Permissions!$I$2:$I$3000,"Yes")</f>
        <v>1</v>
      </c>
      <c r="AK202" s="22" t="str">
        <f aca="false">IF(AND(N202&lt;&gt;"",X202&gt;1.1*N202),"Consented above capacity",IF(AND(LEFT(B202,8)="Planning",AJ202=0),"Consent parcel with no permission",IF(COUNTIF($A$2:$A$3000,$A202)&gt;1,"Duplicate parcel_id","")))</f>
        <v/>
      </c>
    </row>
    <row r="203" customFormat="false" ht="15" hidden="false" customHeight="false" outlineLevel="0" collapsed="false">
      <c r="A203" s="18" t="s">
        <v>418</v>
      </c>
      <c r="B203" s="18" t="s">
        <v>12</v>
      </c>
      <c r="C203" s="18" t="s">
        <v>15</v>
      </c>
      <c r="D203" s="18"/>
      <c r="E203" s="18" t="s">
        <v>188</v>
      </c>
      <c r="F203" s="18" t="s">
        <v>112</v>
      </c>
      <c r="G203" s="18" t="s">
        <v>419</v>
      </c>
      <c r="H203" s="18"/>
      <c r="I203" s="18"/>
      <c r="J203" s="18"/>
      <c r="K203" s="18"/>
      <c r="L203" s="18" t="n">
        <v>1.352</v>
      </c>
      <c r="M203" s="18" t="n">
        <v>1.352</v>
      </c>
      <c r="N203" s="18"/>
      <c r="O203" s="18" t="s">
        <v>283</v>
      </c>
      <c r="P203" s="18"/>
      <c r="Q203" s="18"/>
      <c r="R203" s="18" t="s">
        <v>98</v>
      </c>
      <c r="S203" s="18"/>
      <c r="T203" s="19" t="n">
        <f aca="false">SUMIFS(Permissions!$F$2:$F$3000,Permissions!$B$2:$B$3000,$A203,Permissions!$H$2:$H$3000,"Complete",Permissions!$I$2:$I$3000,"Yes")</f>
        <v>24</v>
      </c>
      <c r="U203" s="19" t="n">
        <f aca="false">SUMIFS(Permissions!$F$2:$F$3000,Permissions!$B$2:$B$3000,$A203,Permissions!$H$2:$H$3000,"Under construction",Permissions!$I$2:$I$3000,"Yes")</f>
        <v>0</v>
      </c>
      <c r="V203" s="19" t="n">
        <f aca="false">SUMIFS(Permissions!$F$2:$F$3000,Permissions!$B$2:$B$3000,$A203,Permissions!$H$2:$H$3000,"Permitted – not started",Permissions!$I$2:$I$3000,"Yes")</f>
        <v>0</v>
      </c>
      <c r="W203" s="19" t="n">
        <f aca="false">SUMIFS(Permissions!$F$2:$F$3000,Permissions!$B$2:$B$3000,$A203,Permissions!$H$2:$H$3000,"Stalled",Permissions!$I$2:$I$3000,"Yes")</f>
        <v>0</v>
      </c>
      <c r="X203" s="19" t="n">
        <f aca="false">T203+U203+V203+W203</f>
        <v>24</v>
      </c>
      <c r="Y203" s="19" t="n">
        <f aca="false">SUMIFS(Permissions!$F$2:$F$3000,Permissions!$B$2:$B$3000,$A203,Permissions!$H$2:$H$3000,"Expired – not started",Permissions!$I$2:$I$3000,"Yes")</f>
        <v>0</v>
      </c>
      <c r="Z203" s="19" t="n">
        <f aca="false">SUMIFS(Permissions!$F$2:$F$3000,Permissions!$B$2:$B$3000,$A203,Permissions!$H$2:$H$3000,"In planning",Permissions!$I$2:$I$3000,"Yes")</f>
        <v>0</v>
      </c>
      <c r="AA203" s="19" t="n">
        <f aca="false">IF(N203="",0,MAX(N203-X203,0))</f>
        <v>0</v>
      </c>
      <c r="AB203" s="20" t="n">
        <f aca="false">X203+AA203</f>
        <v>24</v>
      </c>
      <c r="AC203" s="19" t="n">
        <f aca="false">AB203-T203</f>
        <v>0</v>
      </c>
      <c r="AD203" s="21" t="n">
        <f aca="false">SUMIFS(Permissions!$T$2:$T$3000,Permissions!$B$2:$B$3000,$A203,Permissions!$I$2:$I$3000,"Yes")</f>
        <v>0</v>
      </c>
      <c r="AE203" s="21" t="n">
        <f aca="false">SUMIFS(Permissions!$U$2:$U$3000,Permissions!$B$2:$B$3000,$A203,Permissions!$I$2:$I$3000,"Yes")</f>
        <v>0</v>
      </c>
      <c r="AF203" s="21" t="n">
        <f aca="false">SUMIFS(Permissions!$V$2:$V$3000,Permissions!$B$2:$B$3000,$A203,Permissions!$I$2:$I$3000,"Yes")</f>
        <v>0</v>
      </c>
      <c r="AG203" s="21" t="n">
        <f aca="false">SUMIFS(Permissions!$W$2:$W$3000,Permissions!$B$2:$B$3000,$A203,Permissions!$I$2:$I$3000,"Yes")</f>
        <v>0</v>
      </c>
      <c r="AH203" s="21" t="n">
        <f aca="false">SUMIFS(Permissions!$X$2:$X$3000,Permissions!$B$2:$B$3000,$A203,Permissions!$I$2:$I$3000,"Yes")</f>
        <v>0</v>
      </c>
      <c r="AI203" s="21" t="n">
        <f aca="false">SUMIFS(Permissions!$Y$2:$Y$3000,Permissions!$B$2:$B$3000,$A203,Permissions!$I$2:$I$3000,"Yes")</f>
        <v>0</v>
      </c>
      <c r="AJ203" s="19" t="n">
        <f aca="false">COUNTIFS(Permissions!$B$2:$B$3000,$A203,Permissions!$I$2:$I$3000,"Yes")</f>
        <v>1</v>
      </c>
      <c r="AK203" s="22" t="str">
        <f aca="false">IF(AND(N203&lt;&gt;"",X203&gt;1.1*N203),"Consented above capacity",IF(AND(LEFT(B203,8)="Planning",AJ203=0),"Consent parcel with no permission",IF(COUNTIF($A$2:$A$3000,$A203)&gt;1,"Duplicate parcel_id","")))</f>
        <v/>
      </c>
    </row>
    <row r="204" customFormat="false" ht="15" hidden="false" customHeight="false" outlineLevel="0" collapsed="false">
      <c r="A204" s="18" t="s">
        <v>420</v>
      </c>
      <c r="B204" s="18" t="s">
        <v>12</v>
      </c>
      <c r="C204" s="18" t="s">
        <v>15</v>
      </c>
      <c r="D204" s="18"/>
      <c r="E204" s="18" t="s">
        <v>188</v>
      </c>
      <c r="F204" s="18" t="s">
        <v>112</v>
      </c>
      <c r="G204" s="18" t="s">
        <v>421</v>
      </c>
      <c r="H204" s="18"/>
      <c r="I204" s="18"/>
      <c r="J204" s="18"/>
      <c r="K204" s="18"/>
      <c r="L204" s="18" t="n">
        <v>0.764</v>
      </c>
      <c r="M204" s="18" t="n">
        <v>0.764</v>
      </c>
      <c r="N204" s="18"/>
      <c r="O204" s="18" t="s">
        <v>283</v>
      </c>
      <c r="P204" s="18"/>
      <c r="Q204" s="18" t="s">
        <v>422</v>
      </c>
      <c r="R204" s="18" t="s">
        <v>98</v>
      </c>
      <c r="S204" s="18"/>
      <c r="T204" s="19" t="n">
        <f aca="false">SUMIFS(Permissions!$F$2:$F$3000,Permissions!$B$2:$B$3000,$A204,Permissions!$H$2:$H$3000,"Complete",Permissions!$I$2:$I$3000,"Yes")</f>
        <v>0</v>
      </c>
      <c r="U204" s="19" t="n">
        <f aca="false">SUMIFS(Permissions!$F$2:$F$3000,Permissions!$B$2:$B$3000,$A204,Permissions!$H$2:$H$3000,"Under construction",Permissions!$I$2:$I$3000,"Yes")</f>
        <v>0</v>
      </c>
      <c r="V204" s="19" t="n">
        <f aca="false">SUMIFS(Permissions!$F$2:$F$3000,Permissions!$B$2:$B$3000,$A204,Permissions!$H$2:$H$3000,"Permitted – not started",Permissions!$I$2:$I$3000,"Yes")</f>
        <v>15</v>
      </c>
      <c r="W204" s="19" t="n">
        <f aca="false">SUMIFS(Permissions!$F$2:$F$3000,Permissions!$B$2:$B$3000,$A204,Permissions!$H$2:$H$3000,"Stalled",Permissions!$I$2:$I$3000,"Yes")</f>
        <v>0</v>
      </c>
      <c r="X204" s="19" t="n">
        <f aca="false">T204+U204+V204+W204</f>
        <v>15</v>
      </c>
      <c r="Y204" s="19" t="n">
        <f aca="false">SUMIFS(Permissions!$F$2:$F$3000,Permissions!$B$2:$B$3000,$A204,Permissions!$H$2:$H$3000,"Expired – not started",Permissions!$I$2:$I$3000,"Yes")</f>
        <v>0</v>
      </c>
      <c r="Z204" s="19" t="n">
        <f aca="false">SUMIFS(Permissions!$F$2:$F$3000,Permissions!$B$2:$B$3000,$A204,Permissions!$H$2:$H$3000,"In planning",Permissions!$I$2:$I$3000,"Yes")</f>
        <v>0</v>
      </c>
      <c r="AA204" s="19" t="n">
        <f aca="false">IF(N204="",0,MAX(N204-X204,0))</f>
        <v>0</v>
      </c>
      <c r="AB204" s="20" t="n">
        <f aca="false">X204+AA204</f>
        <v>15</v>
      </c>
      <c r="AC204" s="19" t="n">
        <f aca="false">AB204-T204</f>
        <v>15</v>
      </c>
      <c r="AD204" s="21" t="n">
        <f aca="false">SUMIFS(Permissions!$T$2:$T$3000,Permissions!$B$2:$B$3000,$A204,Permissions!$I$2:$I$3000,"Yes")</f>
        <v>0</v>
      </c>
      <c r="AE204" s="21" t="n">
        <f aca="false">SUMIFS(Permissions!$U$2:$U$3000,Permissions!$B$2:$B$3000,$A204,Permissions!$I$2:$I$3000,"Yes")</f>
        <v>0</v>
      </c>
      <c r="AF204" s="21" t="n">
        <f aca="false">SUMIFS(Permissions!$V$2:$V$3000,Permissions!$B$2:$B$3000,$A204,Permissions!$I$2:$I$3000,"Yes")</f>
        <v>15</v>
      </c>
      <c r="AG204" s="21" t="n">
        <f aca="false">SUMIFS(Permissions!$W$2:$W$3000,Permissions!$B$2:$B$3000,$A204,Permissions!$I$2:$I$3000,"Yes")</f>
        <v>0</v>
      </c>
      <c r="AH204" s="21" t="n">
        <f aca="false">SUMIFS(Permissions!$X$2:$X$3000,Permissions!$B$2:$B$3000,$A204,Permissions!$I$2:$I$3000,"Yes")</f>
        <v>0</v>
      </c>
      <c r="AI204" s="21" t="n">
        <f aca="false">SUMIFS(Permissions!$Y$2:$Y$3000,Permissions!$B$2:$B$3000,$A204,Permissions!$I$2:$I$3000,"Yes")</f>
        <v>0</v>
      </c>
      <c r="AJ204" s="19" t="n">
        <f aca="false">COUNTIFS(Permissions!$B$2:$B$3000,$A204,Permissions!$I$2:$I$3000,"Yes")</f>
        <v>1</v>
      </c>
      <c r="AK204" s="22" t="str">
        <f aca="false">IF(AND(N204&lt;&gt;"",X204&gt;1.1*N204),"Consented above capacity",IF(AND(LEFT(B204,8)="Planning",AJ204=0),"Consent parcel with no permission",IF(COUNTIF($A$2:$A$3000,$A204)&gt;1,"Duplicate parcel_id","")))</f>
        <v/>
      </c>
    </row>
    <row r="205" customFormat="false" ht="15" hidden="false" customHeight="false" outlineLevel="0" collapsed="false">
      <c r="A205" s="18" t="s">
        <v>423</v>
      </c>
      <c r="B205" s="18" t="s">
        <v>12</v>
      </c>
      <c r="C205" s="18" t="s">
        <v>15</v>
      </c>
      <c r="D205" s="18"/>
      <c r="E205" s="18" t="s">
        <v>188</v>
      </c>
      <c r="F205" s="18" t="s">
        <v>112</v>
      </c>
      <c r="G205" s="18" t="s">
        <v>424</v>
      </c>
      <c r="H205" s="18"/>
      <c r="I205" s="18"/>
      <c r="J205" s="18"/>
      <c r="K205" s="18"/>
      <c r="L205" s="18" t="n">
        <v>0.196</v>
      </c>
      <c r="M205" s="18" t="n">
        <v>0.196</v>
      </c>
      <c r="N205" s="18"/>
      <c r="O205" s="18" t="s">
        <v>283</v>
      </c>
      <c r="P205" s="18"/>
      <c r="Q205" s="18" t="s">
        <v>308</v>
      </c>
      <c r="R205" s="18" t="s">
        <v>98</v>
      </c>
      <c r="S205" s="18"/>
      <c r="T205" s="19" t="n">
        <f aca="false">SUMIFS(Permissions!$F$2:$F$3000,Permissions!$B$2:$B$3000,$A205,Permissions!$H$2:$H$3000,"Complete",Permissions!$I$2:$I$3000,"Yes")</f>
        <v>0</v>
      </c>
      <c r="U205" s="19" t="n">
        <f aca="false">SUMIFS(Permissions!$F$2:$F$3000,Permissions!$B$2:$B$3000,$A205,Permissions!$H$2:$H$3000,"Under construction",Permissions!$I$2:$I$3000,"Yes")</f>
        <v>0</v>
      </c>
      <c r="V205" s="19" t="n">
        <f aca="false">SUMIFS(Permissions!$F$2:$F$3000,Permissions!$B$2:$B$3000,$A205,Permissions!$H$2:$H$3000,"Permitted – not started",Permissions!$I$2:$I$3000,"Yes")</f>
        <v>0</v>
      </c>
      <c r="W205" s="19" t="n">
        <f aca="false">SUMIFS(Permissions!$F$2:$F$3000,Permissions!$B$2:$B$3000,$A205,Permissions!$H$2:$H$3000,"Stalled",Permissions!$I$2:$I$3000,"Yes")</f>
        <v>0</v>
      </c>
      <c r="X205" s="19" t="n">
        <f aca="false">T205+U205+V205+W205</f>
        <v>0</v>
      </c>
      <c r="Y205" s="19" t="n">
        <f aca="false">SUMIFS(Permissions!$F$2:$F$3000,Permissions!$B$2:$B$3000,$A205,Permissions!$H$2:$H$3000,"Expired – not started",Permissions!$I$2:$I$3000,"Yes")</f>
        <v>0</v>
      </c>
      <c r="Z205" s="19" t="n">
        <f aca="false">SUMIFS(Permissions!$F$2:$F$3000,Permissions!$B$2:$B$3000,$A205,Permissions!$H$2:$H$3000,"In planning",Permissions!$I$2:$I$3000,"Yes")</f>
        <v>6</v>
      </c>
      <c r="AA205" s="19" t="n">
        <f aca="false">IF(N205="",0,MAX(N205-X205,0))</f>
        <v>0</v>
      </c>
      <c r="AB205" s="20" t="n">
        <f aca="false">X205+AA205</f>
        <v>0</v>
      </c>
      <c r="AC205" s="19" t="n">
        <f aca="false">AB205-T205</f>
        <v>0</v>
      </c>
      <c r="AD205" s="21" t="n">
        <f aca="false">SUMIFS(Permissions!$T$2:$T$3000,Permissions!$B$2:$B$3000,$A205,Permissions!$I$2:$I$3000,"Yes")</f>
        <v>0</v>
      </c>
      <c r="AE205" s="21" t="n">
        <f aca="false">SUMIFS(Permissions!$U$2:$U$3000,Permissions!$B$2:$B$3000,$A205,Permissions!$I$2:$I$3000,"Yes")</f>
        <v>0</v>
      </c>
      <c r="AF205" s="21" t="n">
        <f aca="false">SUMIFS(Permissions!$V$2:$V$3000,Permissions!$B$2:$B$3000,$A205,Permissions!$I$2:$I$3000,"Yes")</f>
        <v>0</v>
      </c>
      <c r="AG205" s="21" t="n">
        <f aca="false">SUMIFS(Permissions!$W$2:$W$3000,Permissions!$B$2:$B$3000,$A205,Permissions!$I$2:$I$3000,"Yes")</f>
        <v>0</v>
      </c>
      <c r="AH205" s="21" t="n">
        <f aca="false">SUMIFS(Permissions!$X$2:$X$3000,Permissions!$B$2:$B$3000,$A205,Permissions!$I$2:$I$3000,"Yes")</f>
        <v>0</v>
      </c>
      <c r="AI205" s="21" t="n">
        <f aca="false">SUMIFS(Permissions!$Y$2:$Y$3000,Permissions!$B$2:$B$3000,$A205,Permissions!$I$2:$I$3000,"Yes")</f>
        <v>0</v>
      </c>
      <c r="AJ205" s="19" t="n">
        <f aca="false">COUNTIFS(Permissions!$B$2:$B$3000,$A205,Permissions!$I$2:$I$3000,"Yes")</f>
        <v>1</v>
      </c>
      <c r="AK205" s="22" t="str">
        <f aca="false">IF(AND(N205&lt;&gt;"",X205&gt;1.1*N205),"Consented above capacity",IF(AND(LEFT(B205,8)="Planning",AJ205=0),"Consent parcel with no permission",IF(COUNTIF($A$2:$A$3000,$A205)&gt;1,"Duplicate parcel_id","")))</f>
        <v/>
      </c>
    </row>
    <row r="206" customFormat="false" ht="15" hidden="false" customHeight="false" outlineLevel="0" collapsed="false">
      <c r="A206" s="18" t="s">
        <v>425</v>
      </c>
      <c r="B206" s="18" t="s">
        <v>12</v>
      </c>
      <c r="C206" s="18" t="s">
        <v>15</v>
      </c>
      <c r="D206" s="18"/>
      <c r="E206" s="18" t="s">
        <v>203</v>
      </c>
      <c r="F206" s="18" t="s">
        <v>89</v>
      </c>
      <c r="G206" s="18" t="s">
        <v>426</v>
      </c>
      <c r="H206" s="18"/>
      <c r="I206" s="18"/>
      <c r="J206" s="18"/>
      <c r="K206" s="18"/>
      <c r="L206" s="18" t="n">
        <v>0.133</v>
      </c>
      <c r="M206" s="18" t="n">
        <v>0.133</v>
      </c>
      <c r="N206" s="18"/>
      <c r="O206" s="18" t="s">
        <v>283</v>
      </c>
      <c r="P206" s="18"/>
      <c r="Q206" s="18"/>
      <c r="R206" s="18" t="s">
        <v>98</v>
      </c>
      <c r="S206" s="18"/>
      <c r="T206" s="19" t="n">
        <f aca="false">SUMIFS(Permissions!$F$2:$F$3000,Permissions!$B$2:$B$3000,$A206,Permissions!$H$2:$H$3000,"Complete",Permissions!$I$2:$I$3000,"Yes")</f>
        <v>0</v>
      </c>
      <c r="U206" s="19" t="n">
        <f aca="false">SUMIFS(Permissions!$F$2:$F$3000,Permissions!$B$2:$B$3000,$A206,Permissions!$H$2:$H$3000,"Under construction",Permissions!$I$2:$I$3000,"Yes")</f>
        <v>0</v>
      </c>
      <c r="V206" s="19" t="n">
        <f aca="false">SUMIFS(Permissions!$F$2:$F$3000,Permissions!$B$2:$B$3000,$A206,Permissions!$H$2:$H$3000,"Permitted – not started",Permissions!$I$2:$I$3000,"Yes")</f>
        <v>0</v>
      </c>
      <c r="W206" s="19" t="n">
        <f aca="false">SUMIFS(Permissions!$F$2:$F$3000,Permissions!$B$2:$B$3000,$A206,Permissions!$H$2:$H$3000,"Stalled",Permissions!$I$2:$I$3000,"Yes")</f>
        <v>0</v>
      </c>
      <c r="X206" s="19" t="n">
        <f aca="false">T206+U206+V206+W206</f>
        <v>0</v>
      </c>
      <c r="Y206" s="19" t="n">
        <f aca="false">SUMIFS(Permissions!$F$2:$F$3000,Permissions!$B$2:$B$3000,$A206,Permissions!$H$2:$H$3000,"Expired – not started",Permissions!$I$2:$I$3000,"Yes")</f>
        <v>0</v>
      </c>
      <c r="Z206" s="19" t="n">
        <f aca="false">SUMIFS(Permissions!$F$2:$F$3000,Permissions!$B$2:$B$3000,$A206,Permissions!$H$2:$H$3000,"In planning",Permissions!$I$2:$I$3000,"Yes")</f>
        <v>0</v>
      </c>
      <c r="AA206" s="19" t="n">
        <f aca="false">IF(N206="",0,MAX(N206-X206,0))</f>
        <v>0</v>
      </c>
      <c r="AB206" s="20" t="n">
        <f aca="false">X206+AA206</f>
        <v>0</v>
      </c>
      <c r="AC206" s="19" t="n">
        <f aca="false">AB206-T206</f>
        <v>0</v>
      </c>
      <c r="AD206" s="21" t="n">
        <f aca="false">SUMIFS(Permissions!$T$2:$T$3000,Permissions!$B$2:$B$3000,$A206,Permissions!$I$2:$I$3000,"Yes")</f>
        <v>0</v>
      </c>
      <c r="AE206" s="21" t="n">
        <f aca="false">SUMIFS(Permissions!$U$2:$U$3000,Permissions!$B$2:$B$3000,$A206,Permissions!$I$2:$I$3000,"Yes")</f>
        <v>0</v>
      </c>
      <c r="AF206" s="21" t="n">
        <f aca="false">SUMIFS(Permissions!$V$2:$V$3000,Permissions!$B$2:$B$3000,$A206,Permissions!$I$2:$I$3000,"Yes")</f>
        <v>0</v>
      </c>
      <c r="AG206" s="21" t="n">
        <f aca="false">SUMIFS(Permissions!$W$2:$W$3000,Permissions!$B$2:$B$3000,$A206,Permissions!$I$2:$I$3000,"Yes")</f>
        <v>0</v>
      </c>
      <c r="AH206" s="21" t="n">
        <f aca="false">SUMIFS(Permissions!$X$2:$X$3000,Permissions!$B$2:$B$3000,$A206,Permissions!$I$2:$I$3000,"Yes")</f>
        <v>0</v>
      </c>
      <c r="AI206" s="21" t="n">
        <f aca="false">SUMIFS(Permissions!$Y$2:$Y$3000,Permissions!$B$2:$B$3000,$A206,Permissions!$I$2:$I$3000,"Yes")</f>
        <v>0</v>
      </c>
      <c r="AJ206" s="19" t="n">
        <f aca="false">COUNTIFS(Permissions!$B$2:$B$3000,$A206,Permissions!$I$2:$I$3000,"Yes")</f>
        <v>1</v>
      </c>
      <c r="AK206" s="22" t="str">
        <f aca="false">IF(AND(N206&lt;&gt;"",X206&gt;1.1*N206),"Consented above capacity",IF(AND(LEFT(B206,8)="Planning",AJ206=0),"Consent parcel with no permission",IF(COUNTIF($A$2:$A$3000,$A206)&gt;1,"Duplicate parcel_id","")))</f>
        <v/>
      </c>
    </row>
    <row r="207" customFormat="false" ht="15" hidden="false" customHeight="false" outlineLevel="0" collapsed="false">
      <c r="A207" s="18" t="s">
        <v>427</v>
      </c>
      <c r="B207" s="18" t="s">
        <v>12</v>
      </c>
      <c r="C207" s="18" t="s">
        <v>15</v>
      </c>
      <c r="D207" s="18"/>
      <c r="E207" s="18" t="s">
        <v>203</v>
      </c>
      <c r="F207" s="18" t="s">
        <v>89</v>
      </c>
      <c r="G207" s="18" t="s">
        <v>428</v>
      </c>
      <c r="H207" s="18"/>
      <c r="I207" s="18"/>
      <c r="J207" s="18"/>
      <c r="K207" s="18"/>
      <c r="L207" s="18" t="n">
        <v>5.246</v>
      </c>
      <c r="M207" s="18" t="n">
        <v>5.246</v>
      </c>
      <c r="N207" s="18"/>
      <c r="O207" s="18" t="s">
        <v>283</v>
      </c>
      <c r="P207" s="18"/>
      <c r="Q207" s="18"/>
      <c r="R207" s="18" t="s">
        <v>98</v>
      </c>
      <c r="S207" s="18"/>
      <c r="T207" s="19" t="n">
        <f aca="false">SUMIFS(Permissions!$F$2:$F$3000,Permissions!$B$2:$B$3000,$A207,Permissions!$H$2:$H$3000,"Complete",Permissions!$I$2:$I$3000,"Yes")</f>
        <v>0</v>
      </c>
      <c r="U207" s="19" t="n">
        <f aca="false">SUMIFS(Permissions!$F$2:$F$3000,Permissions!$B$2:$B$3000,$A207,Permissions!$H$2:$H$3000,"Under construction",Permissions!$I$2:$I$3000,"Yes")</f>
        <v>192</v>
      </c>
      <c r="V207" s="19" t="n">
        <f aca="false">SUMIFS(Permissions!$F$2:$F$3000,Permissions!$B$2:$B$3000,$A207,Permissions!$H$2:$H$3000,"Permitted – not started",Permissions!$I$2:$I$3000,"Yes")</f>
        <v>0</v>
      </c>
      <c r="W207" s="19" t="n">
        <f aca="false">SUMIFS(Permissions!$F$2:$F$3000,Permissions!$B$2:$B$3000,$A207,Permissions!$H$2:$H$3000,"Stalled",Permissions!$I$2:$I$3000,"Yes")</f>
        <v>0</v>
      </c>
      <c r="X207" s="19" t="n">
        <f aca="false">T207+U207+V207+W207</f>
        <v>192</v>
      </c>
      <c r="Y207" s="19" t="n">
        <f aca="false">SUMIFS(Permissions!$F$2:$F$3000,Permissions!$B$2:$B$3000,$A207,Permissions!$H$2:$H$3000,"Expired – not started",Permissions!$I$2:$I$3000,"Yes")</f>
        <v>0</v>
      </c>
      <c r="Z207" s="19" t="n">
        <f aca="false">SUMIFS(Permissions!$F$2:$F$3000,Permissions!$B$2:$B$3000,$A207,Permissions!$H$2:$H$3000,"In planning",Permissions!$I$2:$I$3000,"Yes")</f>
        <v>0</v>
      </c>
      <c r="AA207" s="19" t="n">
        <f aca="false">IF(N207="",0,MAX(N207-X207,0))</f>
        <v>0</v>
      </c>
      <c r="AB207" s="20" t="n">
        <f aca="false">X207+AA207</f>
        <v>192</v>
      </c>
      <c r="AC207" s="19" t="n">
        <f aca="false">AB207-T207</f>
        <v>192</v>
      </c>
      <c r="AD207" s="21" t="n">
        <f aca="false">SUMIFS(Permissions!$T$2:$T$3000,Permissions!$B$2:$B$3000,$A207,Permissions!$I$2:$I$3000,"Yes")</f>
        <v>22.4</v>
      </c>
      <c r="AE207" s="21" t="n">
        <f aca="false">SUMIFS(Permissions!$U$2:$U$3000,Permissions!$B$2:$B$3000,$A207,Permissions!$I$2:$I$3000,"Yes")</f>
        <v>112.5</v>
      </c>
      <c r="AF207" s="21" t="n">
        <f aca="false">SUMIFS(Permissions!$V$2:$V$3000,Permissions!$B$2:$B$3000,$A207,Permissions!$I$2:$I$3000,"Yes")</f>
        <v>52.8</v>
      </c>
      <c r="AG207" s="21" t="n">
        <f aca="false">SUMIFS(Permissions!$W$2:$W$3000,Permissions!$B$2:$B$3000,$A207,Permissions!$I$2:$I$3000,"Yes")</f>
        <v>4.3</v>
      </c>
      <c r="AH207" s="21" t="n">
        <f aca="false">SUMIFS(Permissions!$X$2:$X$3000,Permissions!$B$2:$B$3000,$A207,Permissions!$I$2:$I$3000,"Yes")</f>
        <v>0</v>
      </c>
      <c r="AI207" s="21" t="n">
        <f aca="false">SUMIFS(Permissions!$Y$2:$Y$3000,Permissions!$B$2:$B$3000,$A207,Permissions!$I$2:$I$3000,"Yes")</f>
        <v>0</v>
      </c>
      <c r="AJ207" s="19" t="n">
        <f aca="false">COUNTIFS(Permissions!$B$2:$B$3000,$A207,Permissions!$I$2:$I$3000,"Yes")</f>
        <v>2</v>
      </c>
      <c r="AK207" s="22" t="str">
        <f aca="false">IF(AND(N207&lt;&gt;"",X207&gt;1.1*N207),"Consented above capacity",IF(AND(LEFT(B207,8)="Planning",AJ207=0),"Consent parcel with no permission",IF(COUNTIF($A$2:$A$3000,$A207)&gt;1,"Duplicate parcel_id","")))</f>
        <v/>
      </c>
    </row>
    <row r="208" customFormat="false" ht="15" hidden="false" customHeight="false" outlineLevel="0" collapsed="false">
      <c r="A208" s="18" t="s">
        <v>429</v>
      </c>
      <c r="B208" s="18" t="s">
        <v>12</v>
      </c>
      <c r="C208" s="18" t="s">
        <v>15</v>
      </c>
      <c r="D208" s="18"/>
      <c r="E208" s="18" t="s">
        <v>203</v>
      </c>
      <c r="F208" s="18" t="s">
        <v>89</v>
      </c>
      <c r="G208" s="18" t="s">
        <v>430</v>
      </c>
      <c r="H208" s="18"/>
      <c r="I208" s="18"/>
      <c r="J208" s="18"/>
      <c r="K208" s="18"/>
      <c r="L208" s="18" t="n">
        <v>1.44</v>
      </c>
      <c r="M208" s="18" t="n">
        <v>1.44</v>
      </c>
      <c r="N208" s="18"/>
      <c r="O208" s="18" t="s">
        <v>283</v>
      </c>
      <c r="P208" s="18"/>
      <c r="Q208" s="18"/>
      <c r="R208" s="18" t="s">
        <v>98</v>
      </c>
      <c r="S208" s="18"/>
      <c r="T208" s="19" t="n">
        <f aca="false">SUMIFS(Permissions!$F$2:$F$3000,Permissions!$B$2:$B$3000,$A208,Permissions!$H$2:$H$3000,"Complete",Permissions!$I$2:$I$3000,"Yes")</f>
        <v>66</v>
      </c>
      <c r="U208" s="19" t="n">
        <f aca="false">SUMIFS(Permissions!$F$2:$F$3000,Permissions!$B$2:$B$3000,$A208,Permissions!$H$2:$H$3000,"Under construction",Permissions!$I$2:$I$3000,"Yes")</f>
        <v>0</v>
      </c>
      <c r="V208" s="19" t="n">
        <f aca="false">SUMIFS(Permissions!$F$2:$F$3000,Permissions!$B$2:$B$3000,$A208,Permissions!$H$2:$H$3000,"Permitted – not started",Permissions!$I$2:$I$3000,"Yes")</f>
        <v>0</v>
      </c>
      <c r="W208" s="19" t="n">
        <f aca="false">SUMIFS(Permissions!$F$2:$F$3000,Permissions!$B$2:$B$3000,$A208,Permissions!$H$2:$H$3000,"Stalled",Permissions!$I$2:$I$3000,"Yes")</f>
        <v>0</v>
      </c>
      <c r="X208" s="19" t="n">
        <f aca="false">T208+U208+V208+W208</f>
        <v>66</v>
      </c>
      <c r="Y208" s="19" t="n">
        <f aca="false">SUMIFS(Permissions!$F$2:$F$3000,Permissions!$B$2:$B$3000,$A208,Permissions!$H$2:$H$3000,"Expired – not started",Permissions!$I$2:$I$3000,"Yes")</f>
        <v>0</v>
      </c>
      <c r="Z208" s="19" t="n">
        <f aca="false">SUMIFS(Permissions!$F$2:$F$3000,Permissions!$B$2:$B$3000,$A208,Permissions!$H$2:$H$3000,"In planning",Permissions!$I$2:$I$3000,"Yes")</f>
        <v>0</v>
      </c>
      <c r="AA208" s="19" t="n">
        <f aca="false">IF(N208="",0,MAX(N208-X208,0))</f>
        <v>0</v>
      </c>
      <c r="AB208" s="20" t="n">
        <f aca="false">X208+AA208</f>
        <v>66</v>
      </c>
      <c r="AC208" s="19" t="n">
        <f aca="false">AB208-T208</f>
        <v>0</v>
      </c>
      <c r="AD208" s="21" t="n">
        <f aca="false">SUMIFS(Permissions!$T$2:$T$3000,Permissions!$B$2:$B$3000,$A208,Permissions!$I$2:$I$3000,"Yes")</f>
        <v>0</v>
      </c>
      <c r="AE208" s="21" t="n">
        <f aca="false">SUMIFS(Permissions!$U$2:$U$3000,Permissions!$B$2:$B$3000,$A208,Permissions!$I$2:$I$3000,"Yes")</f>
        <v>0</v>
      </c>
      <c r="AF208" s="21" t="n">
        <f aca="false">SUMIFS(Permissions!$V$2:$V$3000,Permissions!$B$2:$B$3000,$A208,Permissions!$I$2:$I$3000,"Yes")</f>
        <v>0</v>
      </c>
      <c r="AG208" s="21" t="n">
        <f aca="false">SUMIFS(Permissions!$W$2:$W$3000,Permissions!$B$2:$B$3000,$A208,Permissions!$I$2:$I$3000,"Yes")</f>
        <v>0</v>
      </c>
      <c r="AH208" s="21" t="n">
        <f aca="false">SUMIFS(Permissions!$X$2:$X$3000,Permissions!$B$2:$B$3000,$A208,Permissions!$I$2:$I$3000,"Yes")</f>
        <v>0</v>
      </c>
      <c r="AI208" s="21" t="n">
        <f aca="false">SUMIFS(Permissions!$Y$2:$Y$3000,Permissions!$B$2:$B$3000,$A208,Permissions!$I$2:$I$3000,"Yes")</f>
        <v>0</v>
      </c>
      <c r="AJ208" s="19" t="n">
        <f aca="false">COUNTIFS(Permissions!$B$2:$B$3000,$A208,Permissions!$I$2:$I$3000,"Yes")</f>
        <v>1</v>
      </c>
      <c r="AK208" s="22" t="str">
        <f aca="false">IF(AND(N208&lt;&gt;"",X208&gt;1.1*N208),"Consented above capacity",IF(AND(LEFT(B208,8)="Planning",AJ208=0),"Consent parcel with no permission",IF(COUNTIF($A$2:$A$3000,$A208)&gt;1,"Duplicate parcel_id","")))</f>
        <v/>
      </c>
    </row>
    <row r="209" customFormat="false" ht="15" hidden="false" customHeight="false" outlineLevel="0" collapsed="false">
      <c r="A209" s="18" t="s">
        <v>431</v>
      </c>
      <c r="B209" s="18" t="s">
        <v>12</v>
      </c>
      <c r="C209" s="18" t="s">
        <v>15</v>
      </c>
      <c r="D209" s="18"/>
      <c r="E209" s="18" t="s">
        <v>203</v>
      </c>
      <c r="F209" s="18" t="s">
        <v>89</v>
      </c>
      <c r="G209" s="18" t="s">
        <v>432</v>
      </c>
      <c r="H209" s="18"/>
      <c r="I209" s="18"/>
      <c r="J209" s="18"/>
      <c r="K209" s="18"/>
      <c r="L209" s="18" t="n">
        <v>5.37</v>
      </c>
      <c r="M209" s="18" t="n">
        <v>5.37</v>
      </c>
      <c r="N209" s="18"/>
      <c r="O209" s="18" t="s">
        <v>283</v>
      </c>
      <c r="P209" s="18"/>
      <c r="Q209" s="18"/>
      <c r="R209" s="18" t="s">
        <v>98</v>
      </c>
      <c r="S209" s="18"/>
      <c r="T209" s="19" t="n">
        <f aca="false">SUMIFS(Permissions!$F$2:$F$3000,Permissions!$B$2:$B$3000,$A209,Permissions!$H$2:$H$3000,"Complete",Permissions!$I$2:$I$3000,"Yes")</f>
        <v>25</v>
      </c>
      <c r="U209" s="19" t="n">
        <f aca="false">SUMIFS(Permissions!$F$2:$F$3000,Permissions!$B$2:$B$3000,$A209,Permissions!$H$2:$H$3000,"Under construction",Permissions!$I$2:$I$3000,"Yes")</f>
        <v>29</v>
      </c>
      <c r="V209" s="19" t="n">
        <f aca="false">SUMIFS(Permissions!$F$2:$F$3000,Permissions!$B$2:$B$3000,$A209,Permissions!$H$2:$H$3000,"Permitted – not started",Permissions!$I$2:$I$3000,"Yes")</f>
        <v>0</v>
      </c>
      <c r="W209" s="19" t="n">
        <f aca="false">SUMIFS(Permissions!$F$2:$F$3000,Permissions!$B$2:$B$3000,$A209,Permissions!$H$2:$H$3000,"Stalled",Permissions!$I$2:$I$3000,"Yes")</f>
        <v>0</v>
      </c>
      <c r="X209" s="19" t="n">
        <f aca="false">T209+U209+V209+W209</f>
        <v>54</v>
      </c>
      <c r="Y209" s="19" t="n">
        <f aca="false">SUMIFS(Permissions!$F$2:$F$3000,Permissions!$B$2:$B$3000,$A209,Permissions!$H$2:$H$3000,"Expired – not started",Permissions!$I$2:$I$3000,"Yes")</f>
        <v>0</v>
      </c>
      <c r="Z209" s="19" t="n">
        <f aca="false">SUMIFS(Permissions!$F$2:$F$3000,Permissions!$B$2:$B$3000,$A209,Permissions!$H$2:$H$3000,"In planning",Permissions!$I$2:$I$3000,"Yes")</f>
        <v>0</v>
      </c>
      <c r="AA209" s="19" t="n">
        <f aca="false">IF(N209="",0,MAX(N209-X209,0))</f>
        <v>0</v>
      </c>
      <c r="AB209" s="20" t="n">
        <f aca="false">X209+AA209</f>
        <v>54</v>
      </c>
      <c r="AC209" s="19" t="n">
        <f aca="false">AB209-T209</f>
        <v>29</v>
      </c>
      <c r="AD209" s="21" t="n">
        <f aca="false">SUMIFS(Permissions!$T$2:$T$3000,Permissions!$B$2:$B$3000,$A209,Permissions!$I$2:$I$3000,"Yes")</f>
        <v>6.8</v>
      </c>
      <c r="AE209" s="21" t="n">
        <f aca="false">SUMIFS(Permissions!$U$2:$U$3000,Permissions!$B$2:$B$3000,$A209,Permissions!$I$2:$I$3000,"Yes")</f>
        <v>22.2</v>
      </c>
      <c r="AF209" s="21" t="n">
        <f aca="false">SUMIFS(Permissions!$V$2:$V$3000,Permissions!$B$2:$B$3000,$A209,Permissions!$I$2:$I$3000,"Yes")</f>
        <v>0</v>
      </c>
      <c r="AG209" s="21" t="n">
        <f aca="false">SUMIFS(Permissions!$W$2:$W$3000,Permissions!$B$2:$B$3000,$A209,Permissions!$I$2:$I$3000,"Yes")</f>
        <v>0</v>
      </c>
      <c r="AH209" s="21" t="n">
        <f aca="false">SUMIFS(Permissions!$X$2:$X$3000,Permissions!$B$2:$B$3000,$A209,Permissions!$I$2:$I$3000,"Yes")</f>
        <v>0</v>
      </c>
      <c r="AI209" s="21" t="n">
        <f aca="false">SUMIFS(Permissions!$Y$2:$Y$3000,Permissions!$B$2:$B$3000,$A209,Permissions!$I$2:$I$3000,"Yes")</f>
        <v>0</v>
      </c>
      <c r="AJ209" s="19" t="n">
        <f aca="false">COUNTIFS(Permissions!$B$2:$B$3000,$A209,Permissions!$I$2:$I$3000,"Yes")</f>
        <v>3</v>
      </c>
      <c r="AK209" s="22" t="str">
        <f aca="false">IF(AND(N209&lt;&gt;"",X209&gt;1.1*N209),"Consented above capacity",IF(AND(LEFT(B209,8)="Planning",AJ209=0),"Consent parcel with no permission",IF(COUNTIF($A$2:$A$3000,$A209)&gt;1,"Duplicate parcel_id","")))</f>
        <v/>
      </c>
    </row>
    <row r="210" customFormat="false" ht="15" hidden="false" customHeight="false" outlineLevel="0" collapsed="false">
      <c r="A210" s="18" t="s">
        <v>433</v>
      </c>
      <c r="B210" s="18" t="s">
        <v>12</v>
      </c>
      <c r="C210" s="18" t="s">
        <v>15</v>
      </c>
      <c r="D210" s="18"/>
      <c r="E210" s="18" t="s">
        <v>203</v>
      </c>
      <c r="F210" s="18" t="s">
        <v>89</v>
      </c>
      <c r="G210" s="18" t="s">
        <v>434</v>
      </c>
      <c r="H210" s="18"/>
      <c r="I210" s="18"/>
      <c r="J210" s="18"/>
      <c r="K210" s="18"/>
      <c r="L210" s="18" t="n">
        <v>2.48</v>
      </c>
      <c r="M210" s="18" t="n">
        <v>2.48</v>
      </c>
      <c r="N210" s="18"/>
      <c r="O210" s="18" t="s">
        <v>283</v>
      </c>
      <c r="P210" s="18"/>
      <c r="Q210" s="18"/>
      <c r="R210" s="18" t="s">
        <v>98</v>
      </c>
      <c r="S210" s="18"/>
      <c r="T210" s="19" t="n">
        <f aca="false">SUMIFS(Permissions!$F$2:$F$3000,Permissions!$B$2:$B$3000,$A210,Permissions!$H$2:$H$3000,"Complete",Permissions!$I$2:$I$3000,"Yes")</f>
        <v>0</v>
      </c>
      <c r="U210" s="19" t="n">
        <f aca="false">SUMIFS(Permissions!$F$2:$F$3000,Permissions!$B$2:$B$3000,$A210,Permissions!$H$2:$H$3000,"Under construction",Permissions!$I$2:$I$3000,"Yes")</f>
        <v>99</v>
      </c>
      <c r="V210" s="19" t="n">
        <f aca="false">SUMIFS(Permissions!$F$2:$F$3000,Permissions!$B$2:$B$3000,$A210,Permissions!$H$2:$H$3000,"Permitted – not started",Permissions!$I$2:$I$3000,"Yes")</f>
        <v>0</v>
      </c>
      <c r="W210" s="19" t="n">
        <f aca="false">SUMIFS(Permissions!$F$2:$F$3000,Permissions!$B$2:$B$3000,$A210,Permissions!$H$2:$H$3000,"Stalled",Permissions!$I$2:$I$3000,"Yes")</f>
        <v>0</v>
      </c>
      <c r="X210" s="19" t="n">
        <f aca="false">T210+U210+V210+W210</f>
        <v>99</v>
      </c>
      <c r="Y210" s="19" t="n">
        <f aca="false">SUMIFS(Permissions!$F$2:$F$3000,Permissions!$B$2:$B$3000,$A210,Permissions!$H$2:$H$3000,"Expired – not started",Permissions!$I$2:$I$3000,"Yes")</f>
        <v>0</v>
      </c>
      <c r="Z210" s="19" t="n">
        <f aca="false">SUMIFS(Permissions!$F$2:$F$3000,Permissions!$B$2:$B$3000,$A210,Permissions!$H$2:$H$3000,"In planning",Permissions!$I$2:$I$3000,"Yes")</f>
        <v>0</v>
      </c>
      <c r="AA210" s="19" t="n">
        <f aca="false">IF(N210="",0,MAX(N210-X210,0))</f>
        <v>0</v>
      </c>
      <c r="AB210" s="20" t="n">
        <f aca="false">X210+AA210</f>
        <v>99</v>
      </c>
      <c r="AC210" s="19" t="n">
        <f aca="false">AB210-T210</f>
        <v>99</v>
      </c>
      <c r="AD210" s="21" t="n">
        <f aca="false">SUMIFS(Permissions!$T$2:$T$3000,Permissions!$B$2:$B$3000,$A210,Permissions!$I$2:$I$3000,"Yes")</f>
        <v>23.1</v>
      </c>
      <c r="AE210" s="21" t="n">
        <f aca="false">SUMIFS(Permissions!$U$2:$U$3000,Permissions!$B$2:$B$3000,$A210,Permissions!$I$2:$I$3000,"Yes")</f>
        <v>75.9</v>
      </c>
      <c r="AF210" s="21" t="n">
        <f aca="false">SUMIFS(Permissions!$V$2:$V$3000,Permissions!$B$2:$B$3000,$A210,Permissions!$I$2:$I$3000,"Yes")</f>
        <v>0</v>
      </c>
      <c r="AG210" s="21" t="n">
        <f aca="false">SUMIFS(Permissions!$W$2:$W$3000,Permissions!$B$2:$B$3000,$A210,Permissions!$I$2:$I$3000,"Yes")</f>
        <v>0</v>
      </c>
      <c r="AH210" s="21" t="n">
        <f aca="false">SUMIFS(Permissions!$X$2:$X$3000,Permissions!$B$2:$B$3000,$A210,Permissions!$I$2:$I$3000,"Yes")</f>
        <v>0</v>
      </c>
      <c r="AI210" s="21" t="n">
        <f aca="false">SUMIFS(Permissions!$Y$2:$Y$3000,Permissions!$B$2:$B$3000,$A210,Permissions!$I$2:$I$3000,"Yes")</f>
        <v>0</v>
      </c>
      <c r="AJ210" s="19" t="n">
        <f aca="false">COUNTIFS(Permissions!$B$2:$B$3000,$A210,Permissions!$I$2:$I$3000,"Yes")</f>
        <v>1</v>
      </c>
      <c r="AK210" s="22" t="str">
        <f aca="false">IF(AND(N210&lt;&gt;"",X210&gt;1.1*N210),"Consented above capacity",IF(AND(LEFT(B210,8)="Planning",AJ210=0),"Consent parcel with no permission",IF(COUNTIF($A$2:$A$3000,$A210)&gt;1,"Duplicate parcel_id","")))</f>
        <v/>
      </c>
    </row>
    <row r="211" customFormat="false" ht="15" hidden="false" customHeight="false" outlineLevel="0" collapsed="false">
      <c r="A211" s="18" t="s">
        <v>435</v>
      </c>
      <c r="B211" s="18" t="s">
        <v>12</v>
      </c>
      <c r="C211" s="18" t="s">
        <v>15</v>
      </c>
      <c r="D211" s="18"/>
      <c r="E211" s="18" t="s">
        <v>203</v>
      </c>
      <c r="F211" s="18" t="s">
        <v>89</v>
      </c>
      <c r="G211" s="18" t="s">
        <v>436</v>
      </c>
      <c r="H211" s="18"/>
      <c r="I211" s="18"/>
      <c r="J211" s="18"/>
      <c r="K211" s="18"/>
      <c r="L211" s="18" t="n">
        <v>2.869</v>
      </c>
      <c r="M211" s="18" t="n">
        <v>2.869</v>
      </c>
      <c r="N211" s="18"/>
      <c r="O211" s="18" t="s">
        <v>283</v>
      </c>
      <c r="P211" s="18"/>
      <c r="Q211" s="18"/>
      <c r="R211" s="18" t="s">
        <v>98</v>
      </c>
      <c r="S211" s="18"/>
      <c r="T211" s="19" t="n">
        <f aca="false">SUMIFS(Permissions!$F$2:$F$3000,Permissions!$B$2:$B$3000,$A211,Permissions!$H$2:$H$3000,"Complete",Permissions!$I$2:$I$3000,"Yes")</f>
        <v>0</v>
      </c>
      <c r="U211" s="19" t="n">
        <f aca="false">SUMIFS(Permissions!$F$2:$F$3000,Permissions!$B$2:$B$3000,$A211,Permissions!$H$2:$H$3000,"Under construction",Permissions!$I$2:$I$3000,"Yes")</f>
        <v>101</v>
      </c>
      <c r="V211" s="19" t="n">
        <f aca="false">SUMIFS(Permissions!$F$2:$F$3000,Permissions!$B$2:$B$3000,$A211,Permissions!$H$2:$H$3000,"Permitted – not started",Permissions!$I$2:$I$3000,"Yes")</f>
        <v>0</v>
      </c>
      <c r="W211" s="19" t="n">
        <f aca="false">SUMIFS(Permissions!$F$2:$F$3000,Permissions!$B$2:$B$3000,$A211,Permissions!$H$2:$H$3000,"Stalled",Permissions!$I$2:$I$3000,"Yes")</f>
        <v>0</v>
      </c>
      <c r="X211" s="19" t="n">
        <f aca="false">T211+U211+V211+W211</f>
        <v>101</v>
      </c>
      <c r="Y211" s="19" t="n">
        <f aca="false">SUMIFS(Permissions!$F$2:$F$3000,Permissions!$B$2:$B$3000,$A211,Permissions!$H$2:$H$3000,"Expired – not started",Permissions!$I$2:$I$3000,"Yes")</f>
        <v>0</v>
      </c>
      <c r="Z211" s="19" t="n">
        <f aca="false">SUMIFS(Permissions!$F$2:$F$3000,Permissions!$B$2:$B$3000,$A211,Permissions!$H$2:$H$3000,"In planning",Permissions!$I$2:$I$3000,"Yes")</f>
        <v>0</v>
      </c>
      <c r="AA211" s="19" t="n">
        <f aca="false">IF(N211="",0,MAX(N211-X211,0))</f>
        <v>0</v>
      </c>
      <c r="AB211" s="20" t="n">
        <f aca="false">X211+AA211</f>
        <v>101</v>
      </c>
      <c r="AC211" s="19" t="n">
        <f aca="false">AB211-T211</f>
        <v>101</v>
      </c>
      <c r="AD211" s="21" t="n">
        <f aca="false">SUMIFS(Permissions!$T$2:$T$3000,Permissions!$B$2:$B$3000,$A211,Permissions!$I$2:$I$3000,"Yes")</f>
        <v>23.5</v>
      </c>
      <c r="AE211" s="21" t="n">
        <f aca="false">SUMIFS(Permissions!$U$2:$U$3000,Permissions!$B$2:$B$3000,$A211,Permissions!$I$2:$I$3000,"Yes")</f>
        <v>77.5</v>
      </c>
      <c r="AF211" s="21" t="n">
        <f aca="false">SUMIFS(Permissions!$V$2:$V$3000,Permissions!$B$2:$B$3000,$A211,Permissions!$I$2:$I$3000,"Yes")</f>
        <v>0</v>
      </c>
      <c r="AG211" s="21" t="n">
        <f aca="false">SUMIFS(Permissions!$W$2:$W$3000,Permissions!$B$2:$B$3000,$A211,Permissions!$I$2:$I$3000,"Yes")</f>
        <v>0</v>
      </c>
      <c r="AH211" s="21" t="n">
        <f aca="false">SUMIFS(Permissions!$X$2:$X$3000,Permissions!$B$2:$B$3000,$A211,Permissions!$I$2:$I$3000,"Yes")</f>
        <v>0</v>
      </c>
      <c r="AI211" s="21" t="n">
        <f aca="false">SUMIFS(Permissions!$Y$2:$Y$3000,Permissions!$B$2:$B$3000,$A211,Permissions!$I$2:$I$3000,"Yes")</f>
        <v>0</v>
      </c>
      <c r="AJ211" s="19" t="n">
        <f aca="false">COUNTIFS(Permissions!$B$2:$B$3000,$A211,Permissions!$I$2:$I$3000,"Yes")</f>
        <v>1</v>
      </c>
      <c r="AK211" s="22" t="str">
        <f aca="false">IF(AND(N211&lt;&gt;"",X211&gt;1.1*N211),"Consented above capacity",IF(AND(LEFT(B211,8)="Planning",AJ211=0),"Consent parcel with no permission",IF(COUNTIF($A$2:$A$3000,$A211)&gt;1,"Duplicate parcel_id","")))</f>
        <v/>
      </c>
    </row>
    <row r="212" customFormat="false" ht="15" hidden="false" customHeight="false" outlineLevel="0" collapsed="false">
      <c r="A212" s="18" t="s">
        <v>437</v>
      </c>
      <c r="B212" s="18" t="s">
        <v>12</v>
      </c>
      <c r="C212" s="18" t="s">
        <v>15</v>
      </c>
      <c r="D212" s="18"/>
      <c r="E212" s="18" t="s">
        <v>203</v>
      </c>
      <c r="F212" s="18" t="s">
        <v>89</v>
      </c>
      <c r="G212" s="18" t="s">
        <v>438</v>
      </c>
      <c r="H212" s="18"/>
      <c r="I212" s="18"/>
      <c r="J212" s="18"/>
      <c r="K212" s="18"/>
      <c r="L212" s="18" t="n">
        <v>0.346</v>
      </c>
      <c r="M212" s="18" t="n">
        <v>0.346</v>
      </c>
      <c r="N212" s="18"/>
      <c r="O212" s="18" t="s">
        <v>283</v>
      </c>
      <c r="P212" s="18"/>
      <c r="Q212" s="18"/>
      <c r="R212" s="18" t="s">
        <v>98</v>
      </c>
      <c r="S212" s="18"/>
      <c r="T212" s="19" t="n">
        <f aca="false">SUMIFS(Permissions!$F$2:$F$3000,Permissions!$B$2:$B$3000,$A212,Permissions!$H$2:$H$3000,"Complete",Permissions!$I$2:$I$3000,"Yes")</f>
        <v>0</v>
      </c>
      <c r="U212" s="19" t="n">
        <f aca="false">SUMIFS(Permissions!$F$2:$F$3000,Permissions!$B$2:$B$3000,$A212,Permissions!$H$2:$H$3000,"Under construction",Permissions!$I$2:$I$3000,"Yes")</f>
        <v>12</v>
      </c>
      <c r="V212" s="19" t="n">
        <f aca="false">SUMIFS(Permissions!$F$2:$F$3000,Permissions!$B$2:$B$3000,$A212,Permissions!$H$2:$H$3000,"Permitted – not started",Permissions!$I$2:$I$3000,"Yes")</f>
        <v>0</v>
      </c>
      <c r="W212" s="19" t="n">
        <f aca="false">SUMIFS(Permissions!$F$2:$F$3000,Permissions!$B$2:$B$3000,$A212,Permissions!$H$2:$H$3000,"Stalled",Permissions!$I$2:$I$3000,"Yes")</f>
        <v>0</v>
      </c>
      <c r="X212" s="19" t="n">
        <f aca="false">T212+U212+V212+W212</f>
        <v>12</v>
      </c>
      <c r="Y212" s="19" t="n">
        <f aca="false">SUMIFS(Permissions!$F$2:$F$3000,Permissions!$B$2:$B$3000,$A212,Permissions!$H$2:$H$3000,"Expired – not started",Permissions!$I$2:$I$3000,"Yes")</f>
        <v>0</v>
      </c>
      <c r="Z212" s="19" t="n">
        <f aca="false">SUMIFS(Permissions!$F$2:$F$3000,Permissions!$B$2:$B$3000,$A212,Permissions!$H$2:$H$3000,"In planning",Permissions!$I$2:$I$3000,"Yes")</f>
        <v>0</v>
      </c>
      <c r="AA212" s="19" t="n">
        <f aca="false">IF(N212="",0,MAX(N212-X212,0))</f>
        <v>0</v>
      </c>
      <c r="AB212" s="20" t="n">
        <f aca="false">X212+AA212</f>
        <v>12</v>
      </c>
      <c r="AC212" s="19" t="n">
        <f aca="false">AB212-T212</f>
        <v>12</v>
      </c>
      <c r="AD212" s="21" t="n">
        <f aca="false">SUMIFS(Permissions!$T$2:$T$3000,Permissions!$B$2:$B$3000,$A212,Permissions!$I$2:$I$3000,"Yes")</f>
        <v>2.8</v>
      </c>
      <c r="AE212" s="21" t="n">
        <f aca="false">SUMIFS(Permissions!$U$2:$U$3000,Permissions!$B$2:$B$3000,$A212,Permissions!$I$2:$I$3000,"Yes")</f>
        <v>9.2</v>
      </c>
      <c r="AF212" s="21" t="n">
        <f aca="false">SUMIFS(Permissions!$V$2:$V$3000,Permissions!$B$2:$B$3000,$A212,Permissions!$I$2:$I$3000,"Yes")</f>
        <v>0</v>
      </c>
      <c r="AG212" s="21" t="n">
        <f aca="false">SUMIFS(Permissions!$W$2:$W$3000,Permissions!$B$2:$B$3000,$A212,Permissions!$I$2:$I$3000,"Yes")</f>
        <v>0</v>
      </c>
      <c r="AH212" s="21" t="n">
        <f aca="false">SUMIFS(Permissions!$X$2:$X$3000,Permissions!$B$2:$B$3000,$A212,Permissions!$I$2:$I$3000,"Yes")</f>
        <v>0</v>
      </c>
      <c r="AI212" s="21" t="n">
        <f aca="false">SUMIFS(Permissions!$Y$2:$Y$3000,Permissions!$B$2:$B$3000,$A212,Permissions!$I$2:$I$3000,"Yes")</f>
        <v>0</v>
      </c>
      <c r="AJ212" s="19" t="n">
        <f aca="false">COUNTIFS(Permissions!$B$2:$B$3000,$A212,Permissions!$I$2:$I$3000,"Yes")</f>
        <v>1</v>
      </c>
      <c r="AK212" s="22" t="str">
        <f aca="false">IF(AND(N212&lt;&gt;"",X212&gt;1.1*N212),"Consented above capacity",IF(AND(LEFT(B212,8)="Planning",AJ212=0),"Consent parcel with no permission",IF(COUNTIF($A$2:$A$3000,$A212)&gt;1,"Duplicate parcel_id","")))</f>
        <v/>
      </c>
    </row>
    <row r="213" customFormat="false" ht="15" hidden="false" customHeight="false" outlineLevel="0" collapsed="false">
      <c r="A213" s="18" t="s">
        <v>439</v>
      </c>
      <c r="B213" s="18" t="s">
        <v>12</v>
      </c>
      <c r="C213" s="18" t="s">
        <v>15</v>
      </c>
      <c r="D213" s="18"/>
      <c r="E213" s="18" t="s">
        <v>203</v>
      </c>
      <c r="F213" s="18" t="s">
        <v>89</v>
      </c>
      <c r="G213" s="18" t="s">
        <v>440</v>
      </c>
      <c r="H213" s="18"/>
      <c r="I213" s="18"/>
      <c r="J213" s="18"/>
      <c r="K213" s="18"/>
      <c r="L213" s="18" t="n">
        <v>0.206</v>
      </c>
      <c r="M213" s="18" t="n">
        <v>0.206</v>
      </c>
      <c r="N213" s="18"/>
      <c r="O213" s="18" t="s">
        <v>283</v>
      </c>
      <c r="P213" s="18"/>
      <c r="Q213" s="18"/>
      <c r="R213" s="18" t="s">
        <v>98</v>
      </c>
      <c r="S213" s="18"/>
      <c r="T213" s="19" t="n">
        <f aca="false">SUMIFS(Permissions!$F$2:$F$3000,Permissions!$B$2:$B$3000,$A213,Permissions!$H$2:$H$3000,"Complete",Permissions!$I$2:$I$3000,"Yes")</f>
        <v>7</v>
      </c>
      <c r="U213" s="19" t="n">
        <f aca="false">SUMIFS(Permissions!$F$2:$F$3000,Permissions!$B$2:$B$3000,$A213,Permissions!$H$2:$H$3000,"Under construction",Permissions!$I$2:$I$3000,"Yes")</f>
        <v>0</v>
      </c>
      <c r="V213" s="19" t="n">
        <f aca="false">SUMIFS(Permissions!$F$2:$F$3000,Permissions!$B$2:$B$3000,$A213,Permissions!$H$2:$H$3000,"Permitted – not started",Permissions!$I$2:$I$3000,"Yes")</f>
        <v>0</v>
      </c>
      <c r="W213" s="19" t="n">
        <f aca="false">SUMIFS(Permissions!$F$2:$F$3000,Permissions!$B$2:$B$3000,$A213,Permissions!$H$2:$H$3000,"Stalled",Permissions!$I$2:$I$3000,"Yes")</f>
        <v>0</v>
      </c>
      <c r="X213" s="19" t="n">
        <f aca="false">T213+U213+V213+W213</f>
        <v>7</v>
      </c>
      <c r="Y213" s="19" t="n">
        <f aca="false">SUMIFS(Permissions!$F$2:$F$3000,Permissions!$B$2:$B$3000,$A213,Permissions!$H$2:$H$3000,"Expired – not started",Permissions!$I$2:$I$3000,"Yes")</f>
        <v>0</v>
      </c>
      <c r="Z213" s="19" t="n">
        <f aca="false">SUMIFS(Permissions!$F$2:$F$3000,Permissions!$B$2:$B$3000,$A213,Permissions!$H$2:$H$3000,"In planning",Permissions!$I$2:$I$3000,"Yes")</f>
        <v>0</v>
      </c>
      <c r="AA213" s="19" t="n">
        <f aca="false">IF(N213="",0,MAX(N213-X213,0))</f>
        <v>0</v>
      </c>
      <c r="AB213" s="20" t="n">
        <f aca="false">X213+AA213</f>
        <v>7</v>
      </c>
      <c r="AC213" s="19" t="n">
        <f aca="false">AB213-T213</f>
        <v>0</v>
      </c>
      <c r="AD213" s="21" t="n">
        <f aca="false">SUMIFS(Permissions!$T$2:$T$3000,Permissions!$B$2:$B$3000,$A213,Permissions!$I$2:$I$3000,"Yes")</f>
        <v>0</v>
      </c>
      <c r="AE213" s="21" t="n">
        <f aca="false">SUMIFS(Permissions!$U$2:$U$3000,Permissions!$B$2:$B$3000,$A213,Permissions!$I$2:$I$3000,"Yes")</f>
        <v>0</v>
      </c>
      <c r="AF213" s="21" t="n">
        <f aca="false">SUMIFS(Permissions!$V$2:$V$3000,Permissions!$B$2:$B$3000,$A213,Permissions!$I$2:$I$3000,"Yes")</f>
        <v>0</v>
      </c>
      <c r="AG213" s="21" t="n">
        <f aca="false">SUMIFS(Permissions!$W$2:$W$3000,Permissions!$B$2:$B$3000,$A213,Permissions!$I$2:$I$3000,"Yes")</f>
        <v>0</v>
      </c>
      <c r="AH213" s="21" t="n">
        <f aca="false">SUMIFS(Permissions!$X$2:$X$3000,Permissions!$B$2:$B$3000,$A213,Permissions!$I$2:$I$3000,"Yes")</f>
        <v>0</v>
      </c>
      <c r="AI213" s="21" t="n">
        <f aca="false">SUMIFS(Permissions!$Y$2:$Y$3000,Permissions!$B$2:$B$3000,$A213,Permissions!$I$2:$I$3000,"Yes")</f>
        <v>0</v>
      </c>
      <c r="AJ213" s="19" t="n">
        <f aca="false">COUNTIFS(Permissions!$B$2:$B$3000,$A213,Permissions!$I$2:$I$3000,"Yes")</f>
        <v>1</v>
      </c>
      <c r="AK213" s="22" t="str">
        <f aca="false">IF(AND(N213&lt;&gt;"",X213&gt;1.1*N213),"Consented above capacity",IF(AND(LEFT(B213,8)="Planning",AJ213=0),"Consent parcel with no permission",IF(COUNTIF($A$2:$A$3000,$A213)&gt;1,"Duplicate parcel_id","")))</f>
        <v/>
      </c>
    </row>
    <row r="214" customFormat="false" ht="15" hidden="false" customHeight="false" outlineLevel="0" collapsed="false">
      <c r="A214" s="18" t="s">
        <v>441</v>
      </c>
      <c r="B214" s="18" t="s">
        <v>12</v>
      </c>
      <c r="C214" s="18" t="s">
        <v>15</v>
      </c>
      <c r="D214" s="18"/>
      <c r="E214" s="18" t="s">
        <v>203</v>
      </c>
      <c r="F214" s="18" t="s">
        <v>89</v>
      </c>
      <c r="G214" s="18" t="s">
        <v>442</v>
      </c>
      <c r="H214" s="18"/>
      <c r="I214" s="18"/>
      <c r="J214" s="18"/>
      <c r="K214" s="18"/>
      <c r="L214" s="18" t="n">
        <v>0.228</v>
      </c>
      <c r="M214" s="18" t="n">
        <v>0.228</v>
      </c>
      <c r="N214" s="18"/>
      <c r="O214" s="18" t="s">
        <v>283</v>
      </c>
      <c r="P214" s="18"/>
      <c r="Q214" s="18"/>
      <c r="R214" s="18" t="s">
        <v>98</v>
      </c>
      <c r="S214" s="18"/>
      <c r="T214" s="19" t="n">
        <f aca="false">SUMIFS(Permissions!$F$2:$F$3000,Permissions!$B$2:$B$3000,$A214,Permissions!$H$2:$H$3000,"Complete",Permissions!$I$2:$I$3000,"Yes")</f>
        <v>0</v>
      </c>
      <c r="U214" s="19" t="n">
        <f aca="false">SUMIFS(Permissions!$F$2:$F$3000,Permissions!$B$2:$B$3000,$A214,Permissions!$H$2:$H$3000,"Under construction",Permissions!$I$2:$I$3000,"Yes")</f>
        <v>0</v>
      </c>
      <c r="V214" s="19" t="n">
        <f aca="false">SUMIFS(Permissions!$F$2:$F$3000,Permissions!$B$2:$B$3000,$A214,Permissions!$H$2:$H$3000,"Permitted – not started",Permissions!$I$2:$I$3000,"Yes")</f>
        <v>30</v>
      </c>
      <c r="W214" s="19" t="n">
        <f aca="false">SUMIFS(Permissions!$F$2:$F$3000,Permissions!$B$2:$B$3000,$A214,Permissions!$H$2:$H$3000,"Stalled",Permissions!$I$2:$I$3000,"Yes")</f>
        <v>0</v>
      </c>
      <c r="X214" s="19" t="n">
        <f aca="false">T214+U214+V214+W214</f>
        <v>30</v>
      </c>
      <c r="Y214" s="19" t="n">
        <f aca="false">SUMIFS(Permissions!$F$2:$F$3000,Permissions!$B$2:$B$3000,$A214,Permissions!$H$2:$H$3000,"Expired – not started",Permissions!$I$2:$I$3000,"Yes")</f>
        <v>0</v>
      </c>
      <c r="Z214" s="19" t="n">
        <f aca="false">SUMIFS(Permissions!$F$2:$F$3000,Permissions!$B$2:$B$3000,$A214,Permissions!$H$2:$H$3000,"In planning",Permissions!$I$2:$I$3000,"Yes")</f>
        <v>0</v>
      </c>
      <c r="AA214" s="19" t="n">
        <f aca="false">IF(N214="",0,MAX(N214-X214,0))</f>
        <v>0</v>
      </c>
      <c r="AB214" s="20" t="n">
        <f aca="false">X214+AA214</f>
        <v>30</v>
      </c>
      <c r="AC214" s="19" t="n">
        <f aca="false">AB214-T214</f>
        <v>30</v>
      </c>
      <c r="AD214" s="21" t="n">
        <f aca="false">SUMIFS(Permissions!$T$2:$T$3000,Permissions!$B$2:$B$3000,$A214,Permissions!$I$2:$I$3000,"Yes")</f>
        <v>0</v>
      </c>
      <c r="AE214" s="21" t="n">
        <f aca="false">SUMIFS(Permissions!$U$2:$U$3000,Permissions!$B$2:$B$3000,$A214,Permissions!$I$2:$I$3000,"Yes")</f>
        <v>0</v>
      </c>
      <c r="AF214" s="21" t="n">
        <f aca="false">SUMIFS(Permissions!$V$2:$V$3000,Permissions!$B$2:$B$3000,$A214,Permissions!$I$2:$I$3000,"Yes")</f>
        <v>22.8</v>
      </c>
      <c r="AG214" s="21" t="n">
        <f aca="false">SUMIFS(Permissions!$W$2:$W$3000,Permissions!$B$2:$B$3000,$A214,Permissions!$I$2:$I$3000,"Yes")</f>
        <v>7.2</v>
      </c>
      <c r="AH214" s="21" t="n">
        <f aca="false">SUMIFS(Permissions!$X$2:$X$3000,Permissions!$B$2:$B$3000,$A214,Permissions!$I$2:$I$3000,"Yes")</f>
        <v>0</v>
      </c>
      <c r="AI214" s="21" t="n">
        <f aca="false">SUMIFS(Permissions!$Y$2:$Y$3000,Permissions!$B$2:$B$3000,$A214,Permissions!$I$2:$I$3000,"Yes")</f>
        <v>0</v>
      </c>
      <c r="AJ214" s="19" t="n">
        <f aca="false">COUNTIFS(Permissions!$B$2:$B$3000,$A214,Permissions!$I$2:$I$3000,"Yes")</f>
        <v>1</v>
      </c>
      <c r="AK214" s="22" t="str">
        <f aca="false">IF(AND(N214&lt;&gt;"",X214&gt;1.1*N214),"Consented above capacity",IF(AND(LEFT(B214,8)="Planning",AJ214=0),"Consent parcel with no permission",IF(COUNTIF($A$2:$A$3000,$A214)&gt;1,"Duplicate parcel_id","")))</f>
        <v/>
      </c>
    </row>
    <row r="215" customFormat="false" ht="15" hidden="false" customHeight="false" outlineLevel="0" collapsed="false">
      <c r="A215" s="18" t="s">
        <v>443</v>
      </c>
      <c r="B215" s="18" t="s">
        <v>12</v>
      </c>
      <c r="C215" s="18" t="s">
        <v>15</v>
      </c>
      <c r="D215" s="18"/>
      <c r="E215" s="18" t="s">
        <v>203</v>
      </c>
      <c r="F215" s="18" t="s">
        <v>89</v>
      </c>
      <c r="G215" s="18" t="s">
        <v>444</v>
      </c>
      <c r="H215" s="18"/>
      <c r="I215" s="18"/>
      <c r="J215" s="18"/>
      <c r="K215" s="18"/>
      <c r="L215" s="18" t="n">
        <v>0.875</v>
      </c>
      <c r="M215" s="18" t="n">
        <v>0.875</v>
      </c>
      <c r="N215" s="18"/>
      <c r="O215" s="18" t="s">
        <v>283</v>
      </c>
      <c r="P215" s="18"/>
      <c r="Q215" s="18"/>
      <c r="R215" s="18" t="s">
        <v>98</v>
      </c>
      <c r="S215" s="18"/>
      <c r="T215" s="19" t="n">
        <f aca="false">SUMIFS(Permissions!$F$2:$F$3000,Permissions!$B$2:$B$3000,$A215,Permissions!$H$2:$H$3000,"Complete",Permissions!$I$2:$I$3000,"Yes")</f>
        <v>0</v>
      </c>
      <c r="U215" s="19" t="n">
        <f aca="false">SUMIFS(Permissions!$F$2:$F$3000,Permissions!$B$2:$B$3000,$A215,Permissions!$H$2:$H$3000,"Under construction",Permissions!$I$2:$I$3000,"Yes")</f>
        <v>0</v>
      </c>
      <c r="V215" s="19" t="n">
        <f aca="false">SUMIFS(Permissions!$F$2:$F$3000,Permissions!$B$2:$B$3000,$A215,Permissions!$H$2:$H$3000,"Permitted – not started",Permissions!$I$2:$I$3000,"Yes")</f>
        <v>21</v>
      </c>
      <c r="W215" s="19" t="n">
        <f aca="false">SUMIFS(Permissions!$F$2:$F$3000,Permissions!$B$2:$B$3000,$A215,Permissions!$H$2:$H$3000,"Stalled",Permissions!$I$2:$I$3000,"Yes")</f>
        <v>0</v>
      </c>
      <c r="X215" s="19" t="n">
        <f aca="false">T215+U215+V215+W215</f>
        <v>21</v>
      </c>
      <c r="Y215" s="19" t="n">
        <f aca="false">SUMIFS(Permissions!$F$2:$F$3000,Permissions!$B$2:$B$3000,$A215,Permissions!$H$2:$H$3000,"Expired – not started",Permissions!$I$2:$I$3000,"Yes")</f>
        <v>0</v>
      </c>
      <c r="Z215" s="19" t="n">
        <f aca="false">SUMIFS(Permissions!$F$2:$F$3000,Permissions!$B$2:$B$3000,$A215,Permissions!$H$2:$H$3000,"In planning",Permissions!$I$2:$I$3000,"Yes")</f>
        <v>0</v>
      </c>
      <c r="AA215" s="19" t="n">
        <f aca="false">IF(N215="",0,MAX(N215-X215,0))</f>
        <v>0</v>
      </c>
      <c r="AB215" s="20" t="n">
        <f aca="false">X215+AA215</f>
        <v>21</v>
      </c>
      <c r="AC215" s="19" t="n">
        <f aca="false">AB215-T215</f>
        <v>21</v>
      </c>
      <c r="AD215" s="21" t="n">
        <f aca="false">SUMIFS(Permissions!$T$2:$T$3000,Permissions!$B$2:$B$3000,$A215,Permissions!$I$2:$I$3000,"Yes")</f>
        <v>0</v>
      </c>
      <c r="AE215" s="21" t="n">
        <f aca="false">SUMIFS(Permissions!$U$2:$U$3000,Permissions!$B$2:$B$3000,$A215,Permissions!$I$2:$I$3000,"Yes")</f>
        <v>0</v>
      </c>
      <c r="AF215" s="21" t="n">
        <f aca="false">SUMIFS(Permissions!$V$2:$V$3000,Permissions!$B$2:$B$3000,$A215,Permissions!$I$2:$I$3000,"Yes")</f>
        <v>6.7</v>
      </c>
      <c r="AG215" s="21" t="n">
        <f aca="false">SUMIFS(Permissions!$W$2:$W$3000,Permissions!$B$2:$B$3000,$A215,Permissions!$I$2:$I$3000,"Yes")</f>
        <v>13.9</v>
      </c>
      <c r="AH215" s="21" t="n">
        <f aca="false">SUMIFS(Permissions!$X$2:$X$3000,Permissions!$B$2:$B$3000,$A215,Permissions!$I$2:$I$3000,"Yes")</f>
        <v>0.5</v>
      </c>
      <c r="AI215" s="21" t="n">
        <f aca="false">SUMIFS(Permissions!$Y$2:$Y$3000,Permissions!$B$2:$B$3000,$A215,Permissions!$I$2:$I$3000,"Yes")</f>
        <v>-0.1</v>
      </c>
      <c r="AJ215" s="19" t="n">
        <f aca="false">COUNTIFS(Permissions!$B$2:$B$3000,$A215,Permissions!$I$2:$I$3000,"Yes")</f>
        <v>1</v>
      </c>
      <c r="AK215" s="22" t="str">
        <f aca="false">IF(AND(N215&lt;&gt;"",X215&gt;1.1*N215),"Consented above capacity",IF(AND(LEFT(B215,8)="Planning",AJ215=0),"Consent parcel with no permission",IF(COUNTIF($A$2:$A$3000,$A215)&gt;1,"Duplicate parcel_id","")))</f>
        <v/>
      </c>
    </row>
    <row r="216" customFormat="false" ht="15" hidden="false" customHeight="false" outlineLevel="0" collapsed="false">
      <c r="A216" s="18" t="s">
        <v>445</v>
      </c>
      <c r="B216" s="18" t="s">
        <v>12</v>
      </c>
      <c r="C216" s="18" t="s">
        <v>15</v>
      </c>
      <c r="D216" s="18"/>
      <c r="E216" s="18" t="s">
        <v>203</v>
      </c>
      <c r="F216" s="18" t="s">
        <v>89</v>
      </c>
      <c r="G216" s="18" t="s">
        <v>446</v>
      </c>
      <c r="H216" s="18"/>
      <c r="I216" s="18"/>
      <c r="J216" s="18"/>
      <c r="K216" s="18"/>
      <c r="L216" s="18" t="n">
        <v>2.533</v>
      </c>
      <c r="M216" s="18" t="n">
        <v>2.533</v>
      </c>
      <c r="N216" s="18"/>
      <c r="O216" s="18" t="s">
        <v>283</v>
      </c>
      <c r="P216" s="18"/>
      <c r="Q216" s="18"/>
      <c r="R216" s="18" t="s">
        <v>98</v>
      </c>
      <c r="S216" s="18"/>
      <c r="T216" s="19" t="n">
        <f aca="false">SUMIFS(Permissions!$F$2:$F$3000,Permissions!$B$2:$B$3000,$A216,Permissions!$H$2:$H$3000,"Complete",Permissions!$I$2:$I$3000,"Yes")</f>
        <v>0</v>
      </c>
      <c r="U216" s="19" t="n">
        <f aca="false">SUMIFS(Permissions!$F$2:$F$3000,Permissions!$B$2:$B$3000,$A216,Permissions!$H$2:$H$3000,"Under construction",Permissions!$I$2:$I$3000,"Yes")</f>
        <v>66</v>
      </c>
      <c r="V216" s="19" t="n">
        <f aca="false">SUMIFS(Permissions!$F$2:$F$3000,Permissions!$B$2:$B$3000,$A216,Permissions!$H$2:$H$3000,"Permitted – not started",Permissions!$I$2:$I$3000,"Yes")</f>
        <v>0</v>
      </c>
      <c r="W216" s="19" t="n">
        <f aca="false">SUMIFS(Permissions!$F$2:$F$3000,Permissions!$B$2:$B$3000,$A216,Permissions!$H$2:$H$3000,"Stalled",Permissions!$I$2:$I$3000,"Yes")</f>
        <v>0</v>
      </c>
      <c r="X216" s="19" t="n">
        <f aca="false">T216+U216+V216+W216</f>
        <v>66</v>
      </c>
      <c r="Y216" s="19" t="n">
        <f aca="false">SUMIFS(Permissions!$F$2:$F$3000,Permissions!$B$2:$B$3000,$A216,Permissions!$H$2:$H$3000,"Expired – not started",Permissions!$I$2:$I$3000,"Yes")</f>
        <v>0</v>
      </c>
      <c r="Z216" s="19" t="n">
        <f aca="false">SUMIFS(Permissions!$F$2:$F$3000,Permissions!$B$2:$B$3000,$A216,Permissions!$H$2:$H$3000,"In planning",Permissions!$I$2:$I$3000,"Yes")</f>
        <v>0</v>
      </c>
      <c r="AA216" s="19" t="n">
        <f aca="false">IF(N216="",0,MAX(N216-X216,0))</f>
        <v>0</v>
      </c>
      <c r="AB216" s="20" t="n">
        <f aca="false">X216+AA216</f>
        <v>66</v>
      </c>
      <c r="AC216" s="19" t="n">
        <f aca="false">AB216-T216</f>
        <v>66</v>
      </c>
      <c r="AD216" s="21" t="n">
        <f aca="false">SUMIFS(Permissions!$T$2:$T$3000,Permissions!$B$2:$B$3000,$A216,Permissions!$I$2:$I$3000,"Yes")</f>
        <v>15.4</v>
      </c>
      <c r="AE216" s="21" t="n">
        <f aca="false">SUMIFS(Permissions!$U$2:$U$3000,Permissions!$B$2:$B$3000,$A216,Permissions!$I$2:$I$3000,"Yes")</f>
        <v>50.6</v>
      </c>
      <c r="AF216" s="21" t="n">
        <f aca="false">SUMIFS(Permissions!$V$2:$V$3000,Permissions!$B$2:$B$3000,$A216,Permissions!$I$2:$I$3000,"Yes")</f>
        <v>0</v>
      </c>
      <c r="AG216" s="21" t="n">
        <f aca="false">SUMIFS(Permissions!$W$2:$W$3000,Permissions!$B$2:$B$3000,$A216,Permissions!$I$2:$I$3000,"Yes")</f>
        <v>0</v>
      </c>
      <c r="AH216" s="21" t="n">
        <f aca="false">SUMIFS(Permissions!$X$2:$X$3000,Permissions!$B$2:$B$3000,$A216,Permissions!$I$2:$I$3000,"Yes")</f>
        <v>0</v>
      </c>
      <c r="AI216" s="21" t="n">
        <f aca="false">SUMIFS(Permissions!$Y$2:$Y$3000,Permissions!$B$2:$B$3000,$A216,Permissions!$I$2:$I$3000,"Yes")</f>
        <v>0</v>
      </c>
      <c r="AJ216" s="19" t="n">
        <f aca="false">COUNTIFS(Permissions!$B$2:$B$3000,$A216,Permissions!$I$2:$I$3000,"Yes")</f>
        <v>1</v>
      </c>
      <c r="AK216" s="22" t="str">
        <f aca="false">IF(AND(N216&lt;&gt;"",X216&gt;1.1*N216),"Consented above capacity",IF(AND(LEFT(B216,8)="Planning",AJ216=0),"Consent parcel with no permission",IF(COUNTIF($A$2:$A$3000,$A216)&gt;1,"Duplicate parcel_id","")))</f>
        <v/>
      </c>
    </row>
    <row r="217" customFormat="false" ht="15" hidden="false" customHeight="false" outlineLevel="0" collapsed="false">
      <c r="A217" s="18" t="s">
        <v>447</v>
      </c>
      <c r="B217" s="18" t="s">
        <v>12</v>
      </c>
      <c r="C217" s="18" t="s">
        <v>15</v>
      </c>
      <c r="D217" s="18"/>
      <c r="E217" s="18" t="s">
        <v>203</v>
      </c>
      <c r="F217" s="18" t="s">
        <v>89</v>
      </c>
      <c r="G217" s="18" t="s">
        <v>448</v>
      </c>
      <c r="H217" s="18"/>
      <c r="I217" s="18"/>
      <c r="J217" s="18"/>
      <c r="K217" s="18"/>
      <c r="L217" s="18" t="n">
        <v>0.935</v>
      </c>
      <c r="M217" s="18" t="n">
        <v>0.935</v>
      </c>
      <c r="N217" s="18"/>
      <c r="O217" s="18" t="s">
        <v>283</v>
      </c>
      <c r="P217" s="18"/>
      <c r="Q217" s="18"/>
      <c r="R217" s="18" t="s">
        <v>98</v>
      </c>
      <c r="S217" s="18"/>
      <c r="T217" s="19" t="n">
        <f aca="false">SUMIFS(Permissions!$F$2:$F$3000,Permissions!$B$2:$B$3000,$A217,Permissions!$H$2:$H$3000,"Complete",Permissions!$I$2:$I$3000,"Yes")</f>
        <v>0</v>
      </c>
      <c r="U217" s="19" t="n">
        <f aca="false">SUMIFS(Permissions!$F$2:$F$3000,Permissions!$B$2:$B$3000,$A217,Permissions!$H$2:$H$3000,"Under construction",Permissions!$I$2:$I$3000,"Yes")</f>
        <v>0</v>
      </c>
      <c r="V217" s="19" t="n">
        <f aca="false">SUMIFS(Permissions!$F$2:$F$3000,Permissions!$B$2:$B$3000,$A217,Permissions!$H$2:$H$3000,"Permitted – not started",Permissions!$I$2:$I$3000,"Yes")</f>
        <v>104</v>
      </c>
      <c r="W217" s="19" t="n">
        <f aca="false">SUMIFS(Permissions!$F$2:$F$3000,Permissions!$B$2:$B$3000,$A217,Permissions!$H$2:$H$3000,"Stalled",Permissions!$I$2:$I$3000,"Yes")</f>
        <v>0</v>
      </c>
      <c r="X217" s="19" t="n">
        <f aca="false">T217+U217+V217+W217</f>
        <v>104</v>
      </c>
      <c r="Y217" s="19" t="n">
        <f aca="false">SUMIFS(Permissions!$F$2:$F$3000,Permissions!$B$2:$B$3000,$A217,Permissions!$H$2:$H$3000,"Expired – not started",Permissions!$I$2:$I$3000,"Yes")</f>
        <v>0</v>
      </c>
      <c r="Z217" s="19" t="n">
        <f aca="false">SUMIFS(Permissions!$F$2:$F$3000,Permissions!$B$2:$B$3000,$A217,Permissions!$H$2:$H$3000,"In planning",Permissions!$I$2:$I$3000,"Yes")</f>
        <v>0</v>
      </c>
      <c r="AA217" s="19" t="n">
        <f aca="false">IF(N217="",0,MAX(N217-X217,0))</f>
        <v>0</v>
      </c>
      <c r="AB217" s="20" t="n">
        <f aca="false">X217+AA217</f>
        <v>104</v>
      </c>
      <c r="AC217" s="19" t="n">
        <f aca="false">AB217-T217</f>
        <v>104</v>
      </c>
      <c r="AD217" s="21" t="n">
        <f aca="false">SUMIFS(Permissions!$T$2:$T$3000,Permissions!$B$2:$B$3000,$A217,Permissions!$I$2:$I$3000,"Yes")</f>
        <v>0</v>
      </c>
      <c r="AE217" s="21" t="n">
        <f aca="false">SUMIFS(Permissions!$U$2:$U$3000,Permissions!$B$2:$B$3000,$A217,Permissions!$I$2:$I$3000,"Yes")</f>
        <v>0</v>
      </c>
      <c r="AF217" s="21" t="n">
        <f aca="false">SUMIFS(Permissions!$V$2:$V$3000,Permissions!$B$2:$B$3000,$A217,Permissions!$I$2:$I$3000,"Yes")</f>
        <v>70</v>
      </c>
      <c r="AG217" s="21" t="n">
        <f aca="false">SUMIFS(Permissions!$W$2:$W$3000,Permissions!$B$2:$B$3000,$A217,Permissions!$I$2:$I$3000,"Yes")</f>
        <v>34</v>
      </c>
      <c r="AH217" s="21" t="n">
        <f aca="false">SUMIFS(Permissions!$X$2:$X$3000,Permissions!$B$2:$B$3000,$A217,Permissions!$I$2:$I$3000,"Yes")</f>
        <v>0</v>
      </c>
      <c r="AI217" s="21" t="n">
        <f aca="false">SUMIFS(Permissions!$Y$2:$Y$3000,Permissions!$B$2:$B$3000,$A217,Permissions!$I$2:$I$3000,"Yes")</f>
        <v>0</v>
      </c>
      <c r="AJ217" s="19" t="n">
        <f aca="false">COUNTIFS(Permissions!$B$2:$B$3000,$A217,Permissions!$I$2:$I$3000,"Yes")</f>
        <v>1</v>
      </c>
      <c r="AK217" s="22" t="str">
        <f aca="false">IF(AND(N217&lt;&gt;"",X217&gt;1.1*N217),"Consented above capacity",IF(AND(LEFT(B217,8)="Planning",AJ217=0),"Consent parcel with no permission",IF(COUNTIF($A$2:$A$3000,$A217)&gt;1,"Duplicate parcel_id","")))</f>
        <v/>
      </c>
    </row>
    <row r="218" customFormat="false" ht="15" hidden="false" customHeight="false" outlineLevel="0" collapsed="false">
      <c r="A218" s="18" t="s">
        <v>449</v>
      </c>
      <c r="B218" s="18" t="s">
        <v>12</v>
      </c>
      <c r="C218" s="18" t="s">
        <v>15</v>
      </c>
      <c r="D218" s="18"/>
      <c r="E218" s="18" t="s">
        <v>203</v>
      </c>
      <c r="F218" s="18" t="s">
        <v>89</v>
      </c>
      <c r="G218" s="18" t="s">
        <v>450</v>
      </c>
      <c r="H218" s="18"/>
      <c r="I218" s="18"/>
      <c r="J218" s="18"/>
      <c r="K218" s="18"/>
      <c r="L218" s="18" t="n">
        <v>0.272</v>
      </c>
      <c r="M218" s="18" t="n">
        <v>0.272</v>
      </c>
      <c r="N218" s="18"/>
      <c r="O218" s="18" t="s">
        <v>283</v>
      </c>
      <c r="P218" s="18"/>
      <c r="Q218" s="18"/>
      <c r="R218" s="18" t="s">
        <v>98</v>
      </c>
      <c r="S218" s="18"/>
      <c r="T218" s="19" t="n">
        <f aca="false">SUMIFS(Permissions!$F$2:$F$3000,Permissions!$B$2:$B$3000,$A218,Permissions!$H$2:$H$3000,"Complete",Permissions!$I$2:$I$3000,"Yes")</f>
        <v>0</v>
      </c>
      <c r="U218" s="19" t="n">
        <f aca="false">SUMIFS(Permissions!$F$2:$F$3000,Permissions!$B$2:$B$3000,$A218,Permissions!$H$2:$H$3000,"Under construction",Permissions!$I$2:$I$3000,"Yes")</f>
        <v>0</v>
      </c>
      <c r="V218" s="19" t="n">
        <f aca="false">SUMIFS(Permissions!$F$2:$F$3000,Permissions!$B$2:$B$3000,$A218,Permissions!$H$2:$H$3000,"Permitted – not started",Permissions!$I$2:$I$3000,"Yes")</f>
        <v>24</v>
      </c>
      <c r="W218" s="19" t="n">
        <f aca="false">SUMIFS(Permissions!$F$2:$F$3000,Permissions!$B$2:$B$3000,$A218,Permissions!$H$2:$H$3000,"Stalled",Permissions!$I$2:$I$3000,"Yes")</f>
        <v>0</v>
      </c>
      <c r="X218" s="19" t="n">
        <f aca="false">T218+U218+V218+W218</f>
        <v>24</v>
      </c>
      <c r="Y218" s="19" t="n">
        <f aca="false">SUMIFS(Permissions!$F$2:$F$3000,Permissions!$B$2:$B$3000,$A218,Permissions!$H$2:$H$3000,"Expired – not started",Permissions!$I$2:$I$3000,"Yes")</f>
        <v>0</v>
      </c>
      <c r="Z218" s="19" t="n">
        <f aca="false">SUMIFS(Permissions!$F$2:$F$3000,Permissions!$B$2:$B$3000,$A218,Permissions!$H$2:$H$3000,"In planning",Permissions!$I$2:$I$3000,"Yes")</f>
        <v>0</v>
      </c>
      <c r="AA218" s="19" t="n">
        <f aca="false">IF(N218="",0,MAX(N218-X218,0))</f>
        <v>0</v>
      </c>
      <c r="AB218" s="20" t="n">
        <f aca="false">X218+AA218</f>
        <v>24</v>
      </c>
      <c r="AC218" s="19" t="n">
        <f aca="false">AB218-T218</f>
        <v>24</v>
      </c>
      <c r="AD218" s="21" t="n">
        <f aca="false">SUMIFS(Permissions!$T$2:$T$3000,Permissions!$B$2:$B$3000,$A218,Permissions!$I$2:$I$3000,"Yes")</f>
        <v>0</v>
      </c>
      <c r="AE218" s="21" t="n">
        <f aca="false">SUMIFS(Permissions!$U$2:$U$3000,Permissions!$B$2:$B$3000,$A218,Permissions!$I$2:$I$3000,"Yes")</f>
        <v>0</v>
      </c>
      <c r="AF218" s="21" t="n">
        <f aca="false">SUMIFS(Permissions!$V$2:$V$3000,Permissions!$B$2:$B$3000,$A218,Permissions!$I$2:$I$3000,"Yes")</f>
        <v>4.2</v>
      </c>
      <c r="AG218" s="21" t="n">
        <f aca="false">SUMIFS(Permissions!$W$2:$W$3000,Permissions!$B$2:$B$3000,$A218,Permissions!$I$2:$I$3000,"Yes")</f>
        <v>12.8</v>
      </c>
      <c r="AH218" s="21" t="n">
        <f aca="false">SUMIFS(Permissions!$X$2:$X$3000,Permissions!$B$2:$B$3000,$A218,Permissions!$I$2:$I$3000,"Yes")</f>
        <v>7</v>
      </c>
      <c r="AI218" s="21" t="n">
        <f aca="false">SUMIFS(Permissions!$Y$2:$Y$3000,Permissions!$B$2:$B$3000,$A218,Permissions!$I$2:$I$3000,"Yes")</f>
        <v>0</v>
      </c>
      <c r="AJ218" s="19" t="n">
        <f aca="false">COUNTIFS(Permissions!$B$2:$B$3000,$A218,Permissions!$I$2:$I$3000,"Yes")</f>
        <v>1</v>
      </c>
      <c r="AK218" s="22" t="str">
        <f aca="false">IF(AND(N218&lt;&gt;"",X218&gt;1.1*N218),"Consented above capacity",IF(AND(LEFT(B218,8)="Planning",AJ218=0),"Consent parcel with no permission",IF(COUNTIF($A$2:$A$3000,$A218)&gt;1,"Duplicate parcel_id","")))</f>
        <v/>
      </c>
    </row>
    <row r="219" customFormat="false" ht="15" hidden="false" customHeight="false" outlineLevel="0" collapsed="false">
      <c r="A219" s="18" t="s">
        <v>451</v>
      </c>
      <c r="B219" s="18" t="s">
        <v>12</v>
      </c>
      <c r="C219" s="18" t="s">
        <v>15</v>
      </c>
      <c r="D219" s="18"/>
      <c r="E219" s="18" t="s">
        <v>203</v>
      </c>
      <c r="F219" s="18" t="s">
        <v>89</v>
      </c>
      <c r="G219" s="18" t="s">
        <v>452</v>
      </c>
      <c r="H219" s="18"/>
      <c r="I219" s="18"/>
      <c r="J219" s="18"/>
      <c r="K219" s="18"/>
      <c r="L219" s="18" t="n">
        <v>0.196</v>
      </c>
      <c r="M219" s="18" t="n">
        <v>0.196</v>
      </c>
      <c r="N219" s="18"/>
      <c r="O219" s="18" t="s">
        <v>283</v>
      </c>
      <c r="P219" s="18"/>
      <c r="Q219" s="18" t="s">
        <v>308</v>
      </c>
      <c r="R219" s="18" t="s">
        <v>98</v>
      </c>
      <c r="S219" s="18"/>
      <c r="T219" s="19" t="n">
        <f aca="false">SUMIFS(Permissions!$F$2:$F$3000,Permissions!$B$2:$B$3000,$A219,Permissions!$H$2:$H$3000,"Complete",Permissions!$I$2:$I$3000,"Yes")</f>
        <v>0</v>
      </c>
      <c r="U219" s="19" t="n">
        <f aca="false">SUMIFS(Permissions!$F$2:$F$3000,Permissions!$B$2:$B$3000,$A219,Permissions!$H$2:$H$3000,"Under construction",Permissions!$I$2:$I$3000,"Yes")</f>
        <v>0</v>
      </c>
      <c r="V219" s="19" t="n">
        <f aca="false">SUMIFS(Permissions!$F$2:$F$3000,Permissions!$B$2:$B$3000,$A219,Permissions!$H$2:$H$3000,"Permitted – not started",Permissions!$I$2:$I$3000,"Yes")</f>
        <v>20</v>
      </c>
      <c r="W219" s="19" t="n">
        <f aca="false">SUMIFS(Permissions!$F$2:$F$3000,Permissions!$B$2:$B$3000,$A219,Permissions!$H$2:$H$3000,"Stalled",Permissions!$I$2:$I$3000,"Yes")</f>
        <v>0</v>
      </c>
      <c r="X219" s="19" t="n">
        <f aca="false">T219+U219+V219+W219</f>
        <v>20</v>
      </c>
      <c r="Y219" s="19" t="n">
        <f aca="false">SUMIFS(Permissions!$F$2:$F$3000,Permissions!$B$2:$B$3000,$A219,Permissions!$H$2:$H$3000,"Expired – not started",Permissions!$I$2:$I$3000,"Yes")</f>
        <v>0</v>
      </c>
      <c r="Z219" s="19" t="n">
        <f aca="false">SUMIFS(Permissions!$F$2:$F$3000,Permissions!$B$2:$B$3000,$A219,Permissions!$H$2:$H$3000,"In planning",Permissions!$I$2:$I$3000,"Yes")</f>
        <v>0</v>
      </c>
      <c r="AA219" s="19" t="n">
        <f aca="false">IF(N219="",0,MAX(N219-X219,0))</f>
        <v>0</v>
      </c>
      <c r="AB219" s="20" t="n">
        <f aca="false">X219+AA219</f>
        <v>20</v>
      </c>
      <c r="AC219" s="19" t="n">
        <f aca="false">AB219-T219</f>
        <v>20</v>
      </c>
      <c r="AD219" s="21" t="n">
        <f aca="false">SUMIFS(Permissions!$T$2:$T$3000,Permissions!$B$2:$B$3000,$A219,Permissions!$I$2:$I$3000,"Yes")</f>
        <v>0</v>
      </c>
      <c r="AE219" s="21" t="n">
        <f aca="false">SUMIFS(Permissions!$U$2:$U$3000,Permissions!$B$2:$B$3000,$A219,Permissions!$I$2:$I$3000,"Yes")</f>
        <v>0</v>
      </c>
      <c r="AF219" s="21" t="n">
        <f aca="false">SUMIFS(Permissions!$V$2:$V$3000,Permissions!$B$2:$B$3000,$A219,Permissions!$I$2:$I$3000,"Yes")</f>
        <v>6.9</v>
      </c>
      <c r="AG219" s="21" t="n">
        <f aca="false">SUMIFS(Permissions!$W$2:$W$3000,Permissions!$B$2:$B$3000,$A219,Permissions!$I$2:$I$3000,"Yes")</f>
        <v>13.1</v>
      </c>
      <c r="AH219" s="21" t="n">
        <f aca="false">SUMIFS(Permissions!$X$2:$X$3000,Permissions!$B$2:$B$3000,$A219,Permissions!$I$2:$I$3000,"Yes")</f>
        <v>0</v>
      </c>
      <c r="AI219" s="21" t="n">
        <f aca="false">SUMIFS(Permissions!$Y$2:$Y$3000,Permissions!$B$2:$B$3000,$A219,Permissions!$I$2:$I$3000,"Yes")</f>
        <v>0</v>
      </c>
      <c r="AJ219" s="19" t="n">
        <f aca="false">COUNTIFS(Permissions!$B$2:$B$3000,$A219,Permissions!$I$2:$I$3000,"Yes")</f>
        <v>1</v>
      </c>
      <c r="AK219" s="22" t="str">
        <f aca="false">IF(AND(N219&lt;&gt;"",X219&gt;1.1*N219),"Consented above capacity",IF(AND(LEFT(B219,8)="Planning",AJ219=0),"Consent parcel with no permission",IF(COUNTIF($A$2:$A$3000,$A219)&gt;1,"Duplicate parcel_id","")))</f>
        <v/>
      </c>
    </row>
    <row r="220" customFormat="false" ht="15" hidden="false" customHeight="false" outlineLevel="0" collapsed="false">
      <c r="A220" s="18" t="s">
        <v>453</v>
      </c>
      <c r="B220" s="18" t="s">
        <v>12</v>
      </c>
      <c r="C220" s="18" t="s">
        <v>15</v>
      </c>
      <c r="D220" s="18"/>
      <c r="E220" s="18" t="s">
        <v>228</v>
      </c>
      <c r="F220" s="18" t="s">
        <v>112</v>
      </c>
      <c r="G220" s="18" t="s">
        <v>454</v>
      </c>
      <c r="H220" s="18"/>
      <c r="I220" s="18"/>
      <c r="J220" s="18"/>
      <c r="K220" s="18"/>
      <c r="L220" s="18" t="n">
        <v>0.172</v>
      </c>
      <c r="M220" s="18" t="n">
        <v>0.172</v>
      </c>
      <c r="N220" s="18"/>
      <c r="O220" s="18" t="s">
        <v>283</v>
      </c>
      <c r="P220" s="18"/>
      <c r="Q220" s="18" t="s">
        <v>313</v>
      </c>
      <c r="R220" s="18" t="s">
        <v>98</v>
      </c>
      <c r="S220" s="18"/>
      <c r="T220" s="19" t="n">
        <f aca="false">SUMIFS(Permissions!$F$2:$F$3000,Permissions!$B$2:$B$3000,$A220,Permissions!$H$2:$H$3000,"Complete",Permissions!$I$2:$I$3000,"Yes")</f>
        <v>0</v>
      </c>
      <c r="U220" s="19" t="n">
        <f aca="false">SUMIFS(Permissions!$F$2:$F$3000,Permissions!$B$2:$B$3000,$A220,Permissions!$H$2:$H$3000,"Under construction",Permissions!$I$2:$I$3000,"Yes")</f>
        <v>0</v>
      </c>
      <c r="V220" s="19" t="n">
        <f aca="false">SUMIFS(Permissions!$F$2:$F$3000,Permissions!$B$2:$B$3000,$A220,Permissions!$H$2:$H$3000,"Permitted – not started",Permissions!$I$2:$I$3000,"Yes")</f>
        <v>23</v>
      </c>
      <c r="W220" s="19" t="n">
        <f aca="false">SUMIFS(Permissions!$F$2:$F$3000,Permissions!$B$2:$B$3000,$A220,Permissions!$H$2:$H$3000,"Stalled",Permissions!$I$2:$I$3000,"Yes")</f>
        <v>0</v>
      </c>
      <c r="X220" s="19" t="n">
        <f aca="false">T220+U220+V220+W220</f>
        <v>23</v>
      </c>
      <c r="Y220" s="19" t="n">
        <f aca="false">SUMIFS(Permissions!$F$2:$F$3000,Permissions!$B$2:$B$3000,$A220,Permissions!$H$2:$H$3000,"Expired – not started",Permissions!$I$2:$I$3000,"Yes")</f>
        <v>0</v>
      </c>
      <c r="Z220" s="19" t="n">
        <f aca="false">SUMIFS(Permissions!$F$2:$F$3000,Permissions!$B$2:$B$3000,$A220,Permissions!$H$2:$H$3000,"In planning",Permissions!$I$2:$I$3000,"Yes")</f>
        <v>0</v>
      </c>
      <c r="AA220" s="19" t="n">
        <f aca="false">IF(N220="",0,MAX(N220-X220,0))</f>
        <v>0</v>
      </c>
      <c r="AB220" s="20" t="n">
        <f aca="false">X220+AA220</f>
        <v>23</v>
      </c>
      <c r="AC220" s="19" t="n">
        <f aca="false">AB220-T220</f>
        <v>23</v>
      </c>
      <c r="AD220" s="21" t="n">
        <f aca="false">SUMIFS(Permissions!$T$2:$T$3000,Permissions!$B$2:$B$3000,$A220,Permissions!$I$2:$I$3000,"Yes")</f>
        <v>0</v>
      </c>
      <c r="AE220" s="21" t="n">
        <f aca="false">SUMIFS(Permissions!$U$2:$U$3000,Permissions!$B$2:$B$3000,$A220,Permissions!$I$2:$I$3000,"Yes")</f>
        <v>0</v>
      </c>
      <c r="AF220" s="21" t="n">
        <f aca="false">SUMIFS(Permissions!$V$2:$V$3000,Permissions!$B$2:$B$3000,$A220,Permissions!$I$2:$I$3000,"Yes")</f>
        <v>9.6</v>
      </c>
      <c r="AG220" s="21" t="n">
        <f aca="false">SUMIFS(Permissions!$W$2:$W$3000,Permissions!$B$2:$B$3000,$A220,Permissions!$I$2:$I$3000,"Yes")</f>
        <v>13.1</v>
      </c>
      <c r="AH220" s="21" t="n">
        <f aca="false">SUMIFS(Permissions!$X$2:$X$3000,Permissions!$B$2:$B$3000,$A220,Permissions!$I$2:$I$3000,"Yes")</f>
        <v>0.3</v>
      </c>
      <c r="AI220" s="21" t="n">
        <f aca="false">SUMIFS(Permissions!$Y$2:$Y$3000,Permissions!$B$2:$B$3000,$A220,Permissions!$I$2:$I$3000,"Yes")</f>
        <v>0</v>
      </c>
      <c r="AJ220" s="19" t="n">
        <f aca="false">COUNTIFS(Permissions!$B$2:$B$3000,$A220,Permissions!$I$2:$I$3000,"Yes")</f>
        <v>1</v>
      </c>
      <c r="AK220" s="22" t="str">
        <f aca="false">IF(AND(N220&lt;&gt;"",X220&gt;1.1*N220),"Consented above capacity",IF(AND(LEFT(B220,8)="Planning",AJ220=0),"Consent parcel with no permission",IF(COUNTIF($A$2:$A$3000,$A220)&gt;1,"Duplicate parcel_id","")))</f>
        <v/>
      </c>
    </row>
    <row r="221" customFormat="false" ht="15" hidden="false" customHeight="false" outlineLevel="0" collapsed="false">
      <c r="A221" s="18" t="s">
        <v>455</v>
      </c>
      <c r="B221" s="18" t="s">
        <v>12</v>
      </c>
      <c r="C221" s="18" t="s">
        <v>15</v>
      </c>
      <c r="D221" s="18"/>
      <c r="E221" s="18" t="s">
        <v>232</v>
      </c>
      <c r="F221" s="18" t="s">
        <v>112</v>
      </c>
      <c r="G221" s="18" t="s">
        <v>456</v>
      </c>
      <c r="H221" s="18"/>
      <c r="I221" s="18"/>
      <c r="J221" s="18"/>
      <c r="K221" s="18"/>
      <c r="L221" s="18" t="n">
        <v>0.19</v>
      </c>
      <c r="M221" s="18" t="n">
        <v>0.19</v>
      </c>
      <c r="N221" s="18"/>
      <c r="O221" s="18" t="s">
        <v>283</v>
      </c>
      <c r="P221" s="18"/>
      <c r="Q221" s="18"/>
      <c r="R221" s="18" t="s">
        <v>98</v>
      </c>
      <c r="S221" s="18"/>
      <c r="T221" s="19" t="n">
        <f aca="false">SUMIFS(Permissions!$F$2:$F$3000,Permissions!$B$2:$B$3000,$A221,Permissions!$H$2:$H$3000,"Complete",Permissions!$I$2:$I$3000,"Yes")</f>
        <v>0</v>
      </c>
      <c r="U221" s="19" t="n">
        <f aca="false">SUMIFS(Permissions!$F$2:$F$3000,Permissions!$B$2:$B$3000,$A221,Permissions!$H$2:$H$3000,"Under construction",Permissions!$I$2:$I$3000,"Yes")</f>
        <v>7</v>
      </c>
      <c r="V221" s="19" t="n">
        <f aca="false">SUMIFS(Permissions!$F$2:$F$3000,Permissions!$B$2:$B$3000,$A221,Permissions!$H$2:$H$3000,"Permitted – not started",Permissions!$I$2:$I$3000,"Yes")</f>
        <v>0</v>
      </c>
      <c r="W221" s="19" t="n">
        <f aca="false">SUMIFS(Permissions!$F$2:$F$3000,Permissions!$B$2:$B$3000,$A221,Permissions!$H$2:$H$3000,"Stalled",Permissions!$I$2:$I$3000,"Yes")</f>
        <v>0</v>
      </c>
      <c r="X221" s="19" t="n">
        <f aca="false">T221+U221+V221+W221</f>
        <v>7</v>
      </c>
      <c r="Y221" s="19" t="n">
        <f aca="false">SUMIFS(Permissions!$F$2:$F$3000,Permissions!$B$2:$B$3000,$A221,Permissions!$H$2:$H$3000,"Expired – not started",Permissions!$I$2:$I$3000,"Yes")</f>
        <v>0</v>
      </c>
      <c r="Z221" s="19" t="n">
        <f aca="false">SUMIFS(Permissions!$F$2:$F$3000,Permissions!$B$2:$B$3000,$A221,Permissions!$H$2:$H$3000,"In planning",Permissions!$I$2:$I$3000,"Yes")</f>
        <v>0</v>
      </c>
      <c r="AA221" s="19" t="n">
        <f aca="false">IF(N221="",0,MAX(N221-X221,0))</f>
        <v>0</v>
      </c>
      <c r="AB221" s="20" t="n">
        <f aca="false">X221+AA221</f>
        <v>7</v>
      </c>
      <c r="AC221" s="19" t="n">
        <f aca="false">AB221-T221</f>
        <v>7</v>
      </c>
      <c r="AD221" s="21" t="n">
        <f aca="false">SUMIFS(Permissions!$T$2:$T$3000,Permissions!$B$2:$B$3000,$A221,Permissions!$I$2:$I$3000,"Yes")</f>
        <v>1.6</v>
      </c>
      <c r="AE221" s="21" t="n">
        <f aca="false">SUMIFS(Permissions!$U$2:$U$3000,Permissions!$B$2:$B$3000,$A221,Permissions!$I$2:$I$3000,"Yes")</f>
        <v>5.4</v>
      </c>
      <c r="AF221" s="21" t="n">
        <f aca="false">SUMIFS(Permissions!$V$2:$V$3000,Permissions!$B$2:$B$3000,$A221,Permissions!$I$2:$I$3000,"Yes")</f>
        <v>0</v>
      </c>
      <c r="AG221" s="21" t="n">
        <f aca="false">SUMIFS(Permissions!$W$2:$W$3000,Permissions!$B$2:$B$3000,$A221,Permissions!$I$2:$I$3000,"Yes")</f>
        <v>0</v>
      </c>
      <c r="AH221" s="21" t="n">
        <f aca="false">SUMIFS(Permissions!$X$2:$X$3000,Permissions!$B$2:$B$3000,$A221,Permissions!$I$2:$I$3000,"Yes")</f>
        <v>0</v>
      </c>
      <c r="AI221" s="21" t="n">
        <f aca="false">SUMIFS(Permissions!$Y$2:$Y$3000,Permissions!$B$2:$B$3000,$A221,Permissions!$I$2:$I$3000,"Yes")</f>
        <v>0</v>
      </c>
      <c r="AJ221" s="19" t="n">
        <f aca="false">COUNTIFS(Permissions!$B$2:$B$3000,$A221,Permissions!$I$2:$I$3000,"Yes")</f>
        <v>1</v>
      </c>
      <c r="AK221" s="22" t="str">
        <f aca="false">IF(AND(N221&lt;&gt;"",X221&gt;1.1*N221),"Consented above capacity",IF(AND(LEFT(B221,8)="Planning",AJ221=0),"Consent parcel with no permission",IF(COUNTIF($A$2:$A$3000,$A221)&gt;1,"Duplicate parcel_id","")))</f>
        <v/>
      </c>
    </row>
    <row r="222" customFormat="false" ht="15" hidden="false" customHeight="false" outlineLevel="0" collapsed="false">
      <c r="A222" s="18" t="s">
        <v>457</v>
      </c>
      <c r="B222" s="18" t="s">
        <v>12</v>
      </c>
      <c r="C222" s="18" t="s">
        <v>15</v>
      </c>
      <c r="D222" s="18"/>
      <c r="E222" s="18" t="s">
        <v>232</v>
      </c>
      <c r="F222" s="18" t="s">
        <v>112</v>
      </c>
      <c r="G222" s="18" t="s">
        <v>458</v>
      </c>
      <c r="H222" s="18"/>
      <c r="I222" s="18"/>
      <c r="J222" s="18"/>
      <c r="K222" s="18"/>
      <c r="L222" s="18" t="n">
        <v>0.061</v>
      </c>
      <c r="M222" s="18" t="n">
        <v>0.061</v>
      </c>
      <c r="N222" s="18"/>
      <c r="O222" s="18" t="s">
        <v>283</v>
      </c>
      <c r="P222" s="18"/>
      <c r="Q222" s="18"/>
      <c r="R222" s="18" t="s">
        <v>98</v>
      </c>
      <c r="S222" s="18"/>
      <c r="T222" s="19" t="n">
        <f aca="false">SUMIFS(Permissions!$F$2:$F$3000,Permissions!$B$2:$B$3000,$A222,Permissions!$H$2:$H$3000,"Complete",Permissions!$I$2:$I$3000,"Yes")</f>
        <v>7</v>
      </c>
      <c r="U222" s="19" t="n">
        <f aca="false">SUMIFS(Permissions!$F$2:$F$3000,Permissions!$B$2:$B$3000,$A222,Permissions!$H$2:$H$3000,"Under construction",Permissions!$I$2:$I$3000,"Yes")</f>
        <v>0</v>
      </c>
      <c r="V222" s="19" t="n">
        <f aca="false">SUMIFS(Permissions!$F$2:$F$3000,Permissions!$B$2:$B$3000,$A222,Permissions!$H$2:$H$3000,"Permitted – not started",Permissions!$I$2:$I$3000,"Yes")</f>
        <v>0</v>
      </c>
      <c r="W222" s="19" t="n">
        <f aca="false">SUMIFS(Permissions!$F$2:$F$3000,Permissions!$B$2:$B$3000,$A222,Permissions!$H$2:$H$3000,"Stalled",Permissions!$I$2:$I$3000,"Yes")</f>
        <v>0</v>
      </c>
      <c r="X222" s="19" t="n">
        <f aca="false">T222+U222+V222+W222</f>
        <v>7</v>
      </c>
      <c r="Y222" s="19" t="n">
        <f aca="false">SUMIFS(Permissions!$F$2:$F$3000,Permissions!$B$2:$B$3000,$A222,Permissions!$H$2:$H$3000,"Expired – not started",Permissions!$I$2:$I$3000,"Yes")</f>
        <v>0</v>
      </c>
      <c r="Z222" s="19" t="n">
        <f aca="false">SUMIFS(Permissions!$F$2:$F$3000,Permissions!$B$2:$B$3000,$A222,Permissions!$H$2:$H$3000,"In planning",Permissions!$I$2:$I$3000,"Yes")</f>
        <v>0</v>
      </c>
      <c r="AA222" s="19" t="n">
        <f aca="false">IF(N222="",0,MAX(N222-X222,0))</f>
        <v>0</v>
      </c>
      <c r="AB222" s="20" t="n">
        <f aca="false">X222+AA222</f>
        <v>7</v>
      </c>
      <c r="AC222" s="19" t="n">
        <f aca="false">AB222-T222</f>
        <v>0</v>
      </c>
      <c r="AD222" s="21" t="n">
        <f aca="false">SUMIFS(Permissions!$T$2:$T$3000,Permissions!$B$2:$B$3000,$A222,Permissions!$I$2:$I$3000,"Yes")</f>
        <v>0</v>
      </c>
      <c r="AE222" s="21" t="n">
        <f aca="false">SUMIFS(Permissions!$U$2:$U$3000,Permissions!$B$2:$B$3000,$A222,Permissions!$I$2:$I$3000,"Yes")</f>
        <v>0</v>
      </c>
      <c r="AF222" s="21" t="n">
        <f aca="false">SUMIFS(Permissions!$V$2:$V$3000,Permissions!$B$2:$B$3000,$A222,Permissions!$I$2:$I$3000,"Yes")</f>
        <v>0</v>
      </c>
      <c r="AG222" s="21" t="n">
        <f aca="false">SUMIFS(Permissions!$W$2:$W$3000,Permissions!$B$2:$B$3000,$A222,Permissions!$I$2:$I$3000,"Yes")</f>
        <v>0</v>
      </c>
      <c r="AH222" s="21" t="n">
        <f aca="false">SUMIFS(Permissions!$X$2:$X$3000,Permissions!$B$2:$B$3000,$A222,Permissions!$I$2:$I$3000,"Yes")</f>
        <v>0</v>
      </c>
      <c r="AI222" s="21" t="n">
        <f aca="false">SUMIFS(Permissions!$Y$2:$Y$3000,Permissions!$B$2:$B$3000,$A222,Permissions!$I$2:$I$3000,"Yes")</f>
        <v>0</v>
      </c>
      <c r="AJ222" s="19" t="n">
        <f aca="false">COUNTIFS(Permissions!$B$2:$B$3000,$A222,Permissions!$I$2:$I$3000,"Yes")</f>
        <v>1</v>
      </c>
      <c r="AK222" s="22" t="str">
        <f aca="false">IF(AND(N222&lt;&gt;"",X222&gt;1.1*N222),"Consented above capacity",IF(AND(LEFT(B222,8)="Planning",AJ222=0),"Consent parcel with no permission",IF(COUNTIF($A$2:$A$3000,$A222)&gt;1,"Duplicate parcel_id","")))</f>
        <v/>
      </c>
    </row>
    <row r="223" customFormat="false" ht="15" hidden="false" customHeight="false" outlineLevel="0" collapsed="false">
      <c r="A223" s="18" t="s">
        <v>459</v>
      </c>
      <c r="B223" s="18" t="s">
        <v>12</v>
      </c>
      <c r="C223" s="18" t="s">
        <v>15</v>
      </c>
      <c r="D223" s="18"/>
      <c r="E223" s="18" t="s">
        <v>232</v>
      </c>
      <c r="F223" s="18" t="s">
        <v>112</v>
      </c>
      <c r="G223" s="18" t="s">
        <v>460</v>
      </c>
      <c r="H223" s="18"/>
      <c r="I223" s="18"/>
      <c r="J223" s="18"/>
      <c r="K223" s="18"/>
      <c r="L223" s="18" t="n">
        <v>1.005</v>
      </c>
      <c r="M223" s="18" t="n">
        <v>1.005</v>
      </c>
      <c r="N223" s="18"/>
      <c r="O223" s="18" t="s">
        <v>283</v>
      </c>
      <c r="P223" s="18"/>
      <c r="Q223" s="18"/>
      <c r="R223" s="18" t="s">
        <v>98</v>
      </c>
      <c r="S223" s="18"/>
      <c r="T223" s="19" t="n">
        <f aca="false">SUMIFS(Permissions!$F$2:$F$3000,Permissions!$B$2:$B$3000,$A223,Permissions!$H$2:$H$3000,"Complete",Permissions!$I$2:$I$3000,"Yes")</f>
        <v>0</v>
      </c>
      <c r="U223" s="19" t="n">
        <f aca="false">SUMIFS(Permissions!$F$2:$F$3000,Permissions!$B$2:$B$3000,$A223,Permissions!$H$2:$H$3000,"Under construction",Permissions!$I$2:$I$3000,"Yes")</f>
        <v>26</v>
      </c>
      <c r="V223" s="19" t="n">
        <f aca="false">SUMIFS(Permissions!$F$2:$F$3000,Permissions!$B$2:$B$3000,$A223,Permissions!$H$2:$H$3000,"Permitted – not started",Permissions!$I$2:$I$3000,"Yes")</f>
        <v>0</v>
      </c>
      <c r="W223" s="19" t="n">
        <f aca="false">SUMIFS(Permissions!$F$2:$F$3000,Permissions!$B$2:$B$3000,$A223,Permissions!$H$2:$H$3000,"Stalled",Permissions!$I$2:$I$3000,"Yes")</f>
        <v>0</v>
      </c>
      <c r="X223" s="19" t="n">
        <f aca="false">T223+U223+V223+W223</f>
        <v>26</v>
      </c>
      <c r="Y223" s="19" t="n">
        <f aca="false">SUMIFS(Permissions!$F$2:$F$3000,Permissions!$B$2:$B$3000,$A223,Permissions!$H$2:$H$3000,"Expired – not started",Permissions!$I$2:$I$3000,"Yes")</f>
        <v>0</v>
      </c>
      <c r="Z223" s="19" t="n">
        <f aca="false">SUMIFS(Permissions!$F$2:$F$3000,Permissions!$B$2:$B$3000,$A223,Permissions!$H$2:$H$3000,"In planning",Permissions!$I$2:$I$3000,"Yes")</f>
        <v>0</v>
      </c>
      <c r="AA223" s="19" t="n">
        <f aca="false">IF(N223="",0,MAX(N223-X223,0))</f>
        <v>0</v>
      </c>
      <c r="AB223" s="20" t="n">
        <f aca="false">X223+AA223</f>
        <v>26</v>
      </c>
      <c r="AC223" s="19" t="n">
        <f aca="false">AB223-T223</f>
        <v>26</v>
      </c>
      <c r="AD223" s="21" t="n">
        <f aca="false">SUMIFS(Permissions!$T$2:$T$3000,Permissions!$B$2:$B$3000,$A223,Permissions!$I$2:$I$3000,"Yes")</f>
        <v>6.1</v>
      </c>
      <c r="AE223" s="21" t="n">
        <f aca="false">SUMIFS(Permissions!$U$2:$U$3000,Permissions!$B$2:$B$3000,$A223,Permissions!$I$2:$I$3000,"Yes")</f>
        <v>19.9</v>
      </c>
      <c r="AF223" s="21" t="n">
        <f aca="false">SUMIFS(Permissions!$V$2:$V$3000,Permissions!$B$2:$B$3000,$A223,Permissions!$I$2:$I$3000,"Yes")</f>
        <v>0</v>
      </c>
      <c r="AG223" s="21" t="n">
        <f aca="false">SUMIFS(Permissions!$W$2:$W$3000,Permissions!$B$2:$B$3000,$A223,Permissions!$I$2:$I$3000,"Yes")</f>
        <v>0</v>
      </c>
      <c r="AH223" s="21" t="n">
        <f aca="false">SUMIFS(Permissions!$X$2:$X$3000,Permissions!$B$2:$B$3000,$A223,Permissions!$I$2:$I$3000,"Yes")</f>
        <v>0</v>
      </c>
      <c r="AI223" s="21" t="n">
        <f aca="false">SUMIFS(Permissions!$Y$2:$Y$3000,Permissions!$B$2:$B$3000,$A223,Permissions!$I$2:$I$3000,"Yes")</f>
        <v>0</v>
      </c>
      <c r="AJ223" s="19" t="n">
        <f aca="false">COUNTIFS(Permissions!$B$2:$B$3000,$A223,Permissions!$I$2:$I$3000,"Yes")</f>
        <v>1</v>
      </c>
      <c r="AK223" s="22" t="str">
        <f aca="false">IF(AND(N223&lt;&gt;"",X223&gt;1.1*N223),"Consented above capacity",IF(AND(LEFT(B223,8)="Planning",AJ223=0),"Consent parcel with no permission",IF(COUNTIF($A$2:$A$3000,$A223)&gt;1,"Duplicate parcel_id","")))</f>
        <v/>
      </c>
    </row>
    <row r="224" customFormat="false" ht="15" hidden="false" customHeight="false" outlineLevel="0" collapsed="false">
      <c r="A224" s="18" t="s">
        <v>461</v>
      </c>
      <c r="B224" s="18" t="s">
        <v>12</v>
      </c>
      <c r="C224" s="18" t="s">
        <v>15</v>
      </c>
      <c r="D224" s="18"/>
      <c r="E224" s="18" t="s">
        <v>232</v>
      </c>
      <c r="F224" s="18" t="s">
        <v>142</v>
      </c>
      <c r="G224" s="18" t="s">
        <v>462</v>
      </c>
      <c r="H224" s="18"/>
      <c r="I224" s="18"/>
      <c r="J224" s="18"/>
      <c r="K224" s="18"/>
      <c r="L224" s="18" t="n">
        <v>0.13</v>
      </c>
      <c r="M224" s="18" t="n">
        <v>0.13</v>
      </c>
      <c r="N224" s="18"/>
      <c r="O224" s="18" t="s">
        <v>283</v>
      </c>
      <c r="P224" s="18"/>
      <c r="Q224" s="18"/>
      <c r="R224" s="18" t="s">
        <v>98</v>
      </c>
      <c r="S224" s="18"/>
      <c r="T224" s="19" t="n">
        <f aca="false">SUMIFS(Permissions!$F$2:$F$3000,Permissions!$B$2:$B$3000,$A224,Permissions!$H$2:$H$3000,"Complete",Permissions!$I$2:$I$3000,"Yes")</f>
        <v>15</v>
      </c>
      <c r="U224" s="19" t="n">
        <f aca="false">SUMIFS(Permissions!$F$2:$F$3000,Permissions!$B$2:$B$3000,$A224,Permissions!$H$2:$H$3000,"Under construction",Permissions!$I$2:$I$3000,"Yes")</f>
        <v>0</v>
      </c>
      <c r="V224" s="19" t="n">
        <f aca="false">SUMIFS(Permissions!$F$2:$F$3000,Permissions!$B$2:$B$3000,$A224,Permissions!$H$2:$H$3000,"Permitted – not started",Permissions!$I$2:$I$3000,"Yes")</f>
        <v>0</v>
      </c>
      <c r="W224" s="19" t="n">
        <f aca="false">SUMIFS(Permissions!$F$2:$F$3000,Permissions!$B$2:$B$3000,$A224,Permissions!$H$2:$H$3000,"Stalled",Permissions!$I$2:$I$3000,"Yes")</f>
        <v>0</v>
      </c>
      <c r="X224" s="19" t="n">
        <f aca="false">T224+U224+V224+W224</f>
        <v>15</v>
      </c>
      <c r="Y224" s="19" t="n">
        <f aca="false">SUMIFS(Permissions!$F$2:$F$3000,Permissions!$B$2:$B$3000,$A224,Permissions!$H$2:$H$3000,"Expired – not started",Permissions!$I$2:$I$3000,"Yes")</f>
        <v>0</v>
      </c>
      <c r="Z224" s="19" t="n">
        <f aca="false">SUMIFS(Permissions!$F$2:$F$3000,Permissions!$B$2:$B$3000,$A224,Permissions!$H$2:$H$3000,"In planning",Permissions!$I$2:$I$3000,"Yes")</f>
        <v>0</v>
      </c>
      <c r="AA224" s="19" t="n">
        <f aca="false">IF(N224="",0,MAX(N224-X224,0))</f>
        <v>0</v>
      </c>
      <c r="AB224" s="20" t="n">
        <f aca="false">X224+AA224</f>
        <v>15</v>
      </c>
      <c r="AC224" s="19" t="n">
        <f aca="false">AB224-T224</f>
        <v>0</v>
      </c>
      <c r="AD224" s="21" t="n">
        <f aca="false">SUMIFS(Permissions!$T$2:$T$3000,Permissions!$B$2:$B$3000,$A224,Permissions!$I$2:$I$3000,"Yes")</f>
        <v>0</v>
      </c>
      <c r="AE224" s="21" t="n">
        <f aca="false">SUMIFS(Permissions!$U$2:$U$3000,Permissions!$B$2:$B$3000,$A224,Permissions!$I$2:$I$3000,"Yes")</f>
        <v>0</v>
      </c>
      <c r="AF224" s="21" t="n">
        <f aca="false">SUMIFS(Permissions!$V$2:$V$3000,Permissions!$B$2:$B$3000,$A224,Permissions!$I$2:$I$3000,"Yes")</f>
        <v>0</v>
      </c>
      <c r="AG224" s="21" t="n">
        <f aca="false">SUMIFS(Permissions!$W$2:$W$3000,Permissions!$B$2:$B$3000,$A224,Permissions!$I$2:$I$3000,"Yes")</f>
        <v>0</v>
      </c>
      <c r="AH224" s="21" t="n">
        <f aca="false">SUMIFS(Permissions!$X$2:$X$3000,Permissions!$B$2:$B$3000,$A224,Permissions!$I$2:$I$3000,"Yes")</f>
        <v>0</v>
      </c>
      <c r="AI224" s="21" t="n">
        <f aca="false">SUMIFS(Permissions!$Y$2:$Y$3000,Permissions!$B$2:$B$3000,$A224,Permissions!$I$2:$I$3000,"Yes")</f>
        <v>0</v>
      </c>
      <c r="AJ224" s="19" t="n">
        <f aca="false">COUNTIFS(Permissions!$B$2:$B$3000,$A224,Permissions!$I$2:$I$3000,"Yes")</f>
        <v>1</v>
      </c>
      <c r="AK224" s="22" t="str">
        <f aca="false">IF(AND(N224&lt;&gt;"",X224&gt;1.1*N224),"Consented above capacity",IF(AND(LEFT(B224,8)="Planning",AJ224=0),"Consent parcel with no permission",IF(COUNTIF($A$2:$A$3000,$A224)&gt;1,"Duplicate parcel_id","")))</f>
        <v/>
      </c>
    </row>
    <row r="225" customFormat="false" ht="15" hidden="false" customHeight="false" outlineLevel="0" collapsed="false">
      <c r="A225" s="18" t="s">
        <v>463</v>
      </c>
      <c r="B225" s="18" t="s">
        <v>12</v>
      </c>
      <c r="C225" s="18" t="s">
        <v>15</v>
      </c>
      <c r="D225" s="18"/>
      <c r="E225" s="18" t="s">
        <v>232</v>
      </c>
      <c r="F225" s="18" t="s">
        <v>112</v>
      </c>
      <c r="G225" s="18" t="s">
        <v>464</v>
      </c>
      <c r="H225" s="18"/>
      <c r="I225" s="18"/>
      <c r="J225" s="18"/>
      <c r="K225" s="18"/>
      <c r="L225" s="18" t="n">
        <v>0.264</v>
      </c>
      <c r="M225" s="18" t="n">
        <v>0.264</v>
      </c>
      <c r="N225" s="18"/>
      <c r="O225" s="18" t="s">
        <v>283</v>
      </c>
      <c r="P225" s="18"/>
      <c r="Q225" s="18"/>
      <c r="R225" s="18" t="s">
        <v>98</v>
      </c>
      <c r="S225" s="18"/>
      <c r="T225" s="19" t="n">
        <f aca="false">SUMIFS(Permissions!$F$2:$F$3000,Permissions!$B$2:$B$3000,$A225,Permissions!$H$2:$H$3000,"Complete",Permissions!$I$2:$I$3000,"Yes")</f>
        <v>0</v>
      </c>
      <c r="U225" s="19" t="n">
        <f aca="false">SUMIFS(Permissions!$F$2:$F$3000,Permissions!$B$2:$B$3000,$A225,Permissions!$H$2:$H$3000,"Under construction",Permissions!$I$2:$I$3000,"Yes")</f>
        <v>6</v>
      </c>
      <c r="V225" s="19" t="n">
        <f aca="false">SUMIFS(Permissions!$F$2:$F$3000,Permissions!$B$2:$B$3000,$A225,Permissions!$H$2:$H$3000,"Permitted – not started",Permissions!$I$2:$I$3000,"Yes")</f>
        <v>0</v>
      </c>
      <c r="W225" s="19" t="n">
        <f aca="false">SUMIFS(Permissions!$F$2:$F$3000,Permissions!$B$2:$B$3000,$A225,Permissions!$H$2:$H$3000,"Stalled",Permissions!$I$2:$I$3000,"Yes")</f>
        <v>0</v>
      </c>
      <c r="X225" s="19" t="n">
        <f aca="false">T225+U225+V225+W225</f>
        <v>6</v>
      </c>
      <c r="Y225" s="19" t="n">
        <f aca="false">SUMIFS(Permissions!$F$2:$F$3000,Permissions!$B$2:$B$3000,$A225,Permissions!$H$2:$H$3000,"Expired – not started",Permissions!$I$2:$I$3000,"Yes")</f>
        <v>0</v>
      </c>
      <c r="Z225" s="19" t="n">
        <f aca="false">SUMIFS(Permissions!$F$2:$F$3000,Permissions!$B$2:$B$3000,$A225,Permissions!$H$2:$H$3000,"In planning",Permissions!$I$2:$I$3000,"Yes")</f>
        <v>0</v>
      </c>
      <c r="AA225" s="19" t="n">
        <f aca="false">IF(N225="",0,MAX(N225-X225,0))</f>
        <v>0</v>
      </c>
      <c r="AB225" s="20" t="n">
        <f aca="false">X225+AA225</f>
        <v>6</v>
      </c>
      <c r="AC225" s="19" t="n">
        <f aca="false">AB225-T225</f>
        <v>6</v>
      </c>
      <c r="AD225" s="21" t="n">
        <f aca="false">SUMIFS(Permissions!$T$2:$T$3000,Permissions!$B$2:$B$3000,$A225,Permissions!$I$2:$I$3000,"Yes")</f>
        <v>0.2</v>
      </c>
      <c r="AE225" s="21" t="n">
        <f aca="false">SUMIFS(Permissions!$U$2:$U$3000,Permissions!$B$2:$B$3000,$A225,Permissions!$I$2:$I$3000,"Yes")</f>
        <v>5.8</v>
      </c>
      <c r="AF225" s="21" t="n">
        <f aca="false">SUMIFS(Permissions!$V$2:$V$3000,Permissions!$B$2:$B$3000,$A225,Permissions!$I$2:$I$3000,"Yes")</f>
        <v>0</v>
      </c>
      <c r="AG225" s="21" t="n">
        <f aca="false">SUMIFS(Permissions!$W$2:$W$3000,Permissions!$B$2:$B$3000,$A225,Permissions!$I$2:$I$3000,"Yes")</f>
        <v>0</v>
      </c>
      <c r="AH225" s="21" t="n">
        <f aca="false">SUMIFS(Permissions!$X$2:$X$3000,Permissions!$B$2:$B$3000,$A225,Permissions!$I$2:$I$3000,"Yes")</f>
        <v>0</v>
      </c>
      <c r="AI225" s="21" t="n">
        <f aca="false">SUMIFS(Permissions!$Y$2:$Y$3000,Permissions!$B$2:$B$3000,$A225,Permissions!$I$2:$I$3000,"Yes")</f>
        <v>0</v>
      </c>
      <c r="AJ225" s="19" t="n">
        <f aca="false">COUNTIFS(Permissions!$B$2:$B$3000,$A225,Permissions!$I$2:$I$3000,"Yes")</f>
        <v>1</v>
      </c>
      <c r="AK225" s="22" t="str">
        <f aca="false">IF(AND(N225&lt;&gt;"",X225&gt;1.1*N225),"Consented above capacity",IF(AND(LEFT(B225,8)="Planning",AJ225=0),"Consent parcel with no permission",IF(COUNTIF($A$2:$A$3000,$A225)&gt;1,"Duplicate parcel_id","")))</f>
        <v/>
      </c>
    </row>
    <row r="226" customFormat="false" ht="15" hidden="false" customHeight="false" outlineLevel="0" collapsed="false">
      <c r="A226" s="18" t="s">
        <v>465</v>
      </c>
      <c r="B226" s="18" t="s">
        <v>12</v>
      </c>
      <c r="C226" s="18" t="s">
        <v>15</v>
      </c>
      <c r="D226" s="18"/>
      <c r="E226" s="18" t="s">
        <v>232</v>
      </c>
      <c r="F226" s="18" t="s">
        <v>112</v>
      </c>
      <c r="G226" s="18" t="s">
        <v>466</v>
      </c>
      <c r="H226" s="18"/>
      <c r="I226" s="18"/>
      <c r="J226" s="18"/>
      <c r="K226" s="18"/>
      <c r="L226" s="18" t="n">
        <v>0.053</v>
      </c>
      <c r="M226" s="18" t="n">
        <v>0.053</v>
      </c>
      <c r="N226" s="18"/>
      <c r="O226" s="18" t="s">
        <v>283</v>
      </c>
      <c r="P226" s="18"/>
      <c r="Q226" s="18"/>
      <c r="R226" s="18" t="s">
        <v>98</v>
      </c>
      <c r="S226" s="18"/>
      <c r="T226" s="19" t="n">
        <f aca="false">SUMIFS(Permissions!$F$2:$F$3000,Permissions!$B$2:$B$3000,$A226,Permissions!$H$2:$H$3000,"Complete",Permissions!$I$2:$I$3000,"Yes")</f>
        <v>0</v>
      </c>
      <c r="U226" s="19" t="n">
        <f aca="false">SUMIFS(Permissions!$F$2:$F$3000,Permissions!$B$2:$B$3000,$A226,Permissions!$H$2:$H$3000,"Under construction",Permissions!$I$2:$I$3000,"Yes")</f>
        <v>0</v>
      </c>
      <c r="V226" s="19" t="n">
        <f aca="false">SUMIFS(Permissions!$F$2:$F$3000,Permissions!$B$2:$B$3000,$A226,Permissions!$H$2:$H$3000,"Permitted – not started",Permissions!$I$2:$I$3000,"Yes")</f>
        <v>8</v>
      </c>
      <c r="W226" s="19" t="n">
        <f aca="false">SUMIFS(Permissions!$F$2:$F$3000,Permissions!$B$2:$B$3000,$A226,Permissions!$H$2:$H$3000,"Stalled",Permissions!$I$2:$I$3000,"Yes")</f>
        <v>0</v>
      </c>
      <c r="X226" s="19" t="n">
        <f aca="false">T226+U226+V226+W226</f>
        <v>8</v>
      </c>
      <c r="Y226" s="19" t="n">
        <f aca="false">SUMIFS(Permissions!$F$2:$F$3000,Permissions!$B$2:$B$3000,$A226,Permissions!$H$2:$H$3000,"Expired – not started",Permissions!$I$2:$I$3000,"Yes")</f>
        <v>0</v>
      </c>
      <c r="Z226" s="19" t="n">
        <f aca="false">SUMIFS(Permissions!$F$2:$F$3000,Permissions!$B$2:$B$3000,$A226,Permissions!$H$2:$H$3000,"In planning",Permissions!$I$2:$I$3000,"Yes")</f>
        <v>0</v>
      </c>
      <c r="AA226" s="19" t="n">
        <f aca="false">IF(N226="",0,MAX(N226-X226,0))</f>
        <v>0</v>
      </c>
      <c r="AB226" s="20" t="n">
        <f aca="false">X226+AA226</f>
        <v>8</v>
      </c>
      <c r="AC226" s="19" t="n">
        <f aca="false">AB226-T226</f>
        <v>8</v>
      </c>
      <c r="AD226" s="21" t="n">
        <f aca="false">SUMIFS(Permissions!$T$2:$T$3000,Permissions!$B$2:$B$3000,$A226,Permissions!$I$2:$I$3000,"Yes")</f>
        <v>0</v>
      </c>
      <c r="AE226" s="21" t="n">
        <f aca="false">SUMIFS(Permissions!$U$2:$U$3000,Permissions!$B$2:$B$3000,$A226,Permissions!$I$2:$I$3000,"Yes")</f>
        <v>0</v>
      </c>
      <c r="AF226" s="21" t="n">
        <f aca="false">SUMIFS(Permissions!$V$2:$V$3000,Permissions!$B$2:$B$3000,$A226,Permissions!$I$2:$I$3000,"Yes")</f>
        <v>4</v>
      </c>
      <c r="AG226" s="21" t="n">
        <f aca="false">SUMIFS(Permissions!$W$2:$W$3000,Permissions!$B$2:$B$3000,$A226,Permissions!$I$2:$I$3000,"Yes")</f>
        <v>4</v>
      </c>
      <c r="AH226" s="21" t="n">
        <f aca="false">SUMIFS(Permissions!$X$2:$X$3000,Permissions!$B$2:$B$3000,$A226,Permissions!$I$2:$I$3000,"Yes")</f>
        <v>0</v>
      </c>
      <c r="AI226" s="21" t="n">
        <f aca="false">SUMIFS(Permissions!$Y$2:$Y$3000,Permissions!$B$2:$B$3000,$A226,Permissions!$I$2:$I$3000,"Yes")</f>
        <v>0</v>
      </c>
      <c r="AJ226" s="19" t="n">
        <f aca="false">COUNTIFS(Permissions!$B$2:$B$3000,$A226,Permissions!$I$2:$I$3000,"Yes")</f>
        <v>1</v>
      </c>
      <c r="AK226" s="22" t="str">
        <f aca="false">IF(AND(N226&lt;&gt;"",X226&gt;1.1*N226),"Consented above capacity",IF(AND(LEFT(B226,8)="Planning",AJ226=0),"Consent parcel with no permission",IF(COUNTIF($A$2:$A$3000,$A226)&gt;1,"Duplicate parcel_id","")))</f>
        <v/>
      </c>
    </row>
    <row r="227" customFormat="false" ht="15" hidden="false" customHeight="false" outlineLevel="0" collapsed="false">
      <c r="A227" s="18" t="s">
        <v>467</v>
      </c>
      <c r="B227" s="18" t="s">
        <v>12</v>
      </c>
      <c r="C227" s="18" t="s">
        <v>15</v>
      </c>
      <c r="D227" s="18"/>
      <c r="E227" s="18" t="s">
        <v>232</v>
      </c>
      <c r="F227" s="18" t="s">
        <v>112</v>
      </c>
      <c r="G227" s="18" t="s">
        <v>468</v>
      </c>
      <c r="H227" s="18"/>
      <c r="I227" s="18"/>
      <c r="J227" s="18"/>
      <c r="K227" s="18"/>
      <c r="L227" s="18" t="n">
        <v>0.165</v>
      </c>
      <c r="M227" s="18" t="n">
        <v>0.165</v>
      </c>
      <c r="N227" s="18"/>
      <c r="O227" s="18" t="s">
        <v>283</v>
      </c>
      <c r="P227" s="18"/>
      <c r="Q227" s="18"/>
      <c r="R227" s="18" t="s">
        <v>98</v>
      </c>
      <c r="S227" s="18"/>
      <c r="T227" s="19" t="n">
        <f aca="false">SUMIFS(Permissions!$F$2:$F$3000,Permissions!$B$2:$B$3000,$A227,Permissions!$H$2:$H$3000,"Complete",Permissions!$I$2:$I$3000,"Yes")</f>
        <v>0</v>
      </c>
      <c r="U227" s="19" t="n">
        <f aca="false">SUMIFS(Permissions!$F$2:$F$3000,Permissions!$B$2:$B$3000,$A227,Permissions!$H$2:$H$3000,"Under construction",Permissions!$I$2:$I$3000,"Yes")</f>
        <v>0</v>
      </c>
      <c r="V227" s="19" t="n">
        <f aca="false">SUMIFS(Permissions!$F$2:$F$3000,Permissions!$B$2:$B$3000,$A227,Permissions!$H$2:$H$3000,"Permitted – not started",Permissions!$I$2:$I$3000,"Yes")</f>
        <v>0</v>
      </c>
      <c r="W227" s="19" t="n">
        <f aca="false">SUMIFS(Permissions!$F$2:$F$3000,Permissions!$B$2:$B$3000,$A227,Permissions!$H$2:$H$3000,"Stalled",Permissions!$I$2:$I$3000,"Yes")</f>
        <v>0</v>
      </c>
      <c r="X227" s="19" t="n">
        <f aca="false">T227+U227+V227+W227</f>
        <v>0</v>
      </c>
      <c r="Y227" s="19" t="n">
        <f aca="false">SUMIFS(Permissions!$F$2:$F$3000,Permissions!$B$2:$B$3000,$A227,Permissions!$H$2:$H$3000,"Expired – not started",Permissions!$I$2:$I$3000,"Yes")</f>
        <v>0</v>
      </c>
      <c r="Z227" s="19" t="n">
        <f aca="false">SUMIFS(Permissions!$F$2:$F$3000,Permissions!$B$2:$B$3000,$A227,Permissions!$H$2:$H$3000,"In planning",Permissions!$I$2:$I$3000,"Yes")</f>
        <v>0</v>
      </c>
      <c r="AA227" s="19" t="n">
        <f aca="false">IF(N227="",0,MAX(N227-X227,0))</f>
        <v>0</v>
      </c>
      <c r="AB227" s="20" t="n">
        <f aca="false">X227+AA227</f>
        <v>0</v>
      </c>
      <c r="AC227" s="19" t="n">
        <f aca="false">AB227-T227</f>
        <v>0</v>
      </c>
      <c r="AD227" s="21" t="n">
        <f aca="false">SUMIFS(Permissions!$T$2:$T$3000,Permissions!$B$2:$B$3000,$A227,Permissions!$I$2:$I$3000,"Yes")</f>
        <v>0</v>
      </c>
      <c r="AE227" s="21" t="n">
        <f aca="false">SUMIFS(Permissions!$U$2:$U$3000,Permissions!$B$2:$B$3000,$A227,Permissions!$I$2:$I$3000,"Yes")</f>
        <v>0</v>
      </c>
      <c r="AF227" s="21" t="n">
        <f aca="false">SUMIFS(Permissions!$V$2:$V$3000,Permissions!$B$2:$B$3000,$A227,Permissions!$I$2:$I$3000,"Yes")</f>
        <v>0</v>
      </c>
      <c r="AG227" s="21" t="n">
        <f aca="false">SUMIFS(Permissions!$W$2:$W$3000,Permissions!$B$2:$B$3000,$A227,Permissions!$I$2:$I$3000,"Yes")</f>
        <v>0</v>
      </c>
      <c r="AH227" s="21" t="n">
        <f aca="false">SUMIFS(Permissions!$X$2:$X$3000,Permissions!$B$2:$B$3000,$A227,Permissions!$I$2:$I$3000,"Yes")</f>
        <v>0</v>
      </c>
      <c r="AI227" s="21" t="n">
        <f aca="false">SUMIFS(Permissions!$Y$2:$Y$3000,Permissions!$B$2:$B$3000,$A227,Permissions!$I$2:$I$3000,"Yes")</f>
        <v>0</v>
      </c>
      <c r="AJ227" s="19" t="n">
        <f aca="false">COUNTIFS(Permissions!$B$2:$B$3000,$A227,Permissions!$I$2:$I$3000,"Yes")</f>
        <v>1</v>
      </c>
      <c r="AK227" s="22" t="str">
        <f aca="false">IF(AND(N227&lt;&gt;"",X227&gt;1.1*N227),"Consented above capacity",IF(AND(LEFT(B227,8)="Planning",AJ227=0),"Consent parcel with no permission",IF(COUNTIF($A$2:$A$3000,$A227)&gt;1,"Duplicate parcel_id","")))</f>
        <v/>
      </c>
    </row>
    <row r="228" customFormat="false" ht="15" hidden="false" customHeight="false" outlineLevel="0" collapsed="false">
      <c r="A228" s="18" t="s">
        <v>469</v>
      </c>
      <c r="B228" s="18" t="s">
        <v>12</v>
      </c>
      <c r="C228" s="18" t="s">
        <v>15</v>
      </c>
      <c r="D228" s="18"/>
      <c r="E228" s="18" t="s">
        <v>254</v>
      </c>
      <c r="F228" s="18" t="s">
        <v>142</v>
      </c>
      <c r="G228" s="18" t="s">
        <v>470</v>
      </c>
      <c r="H228" s="18"/>
      <c r="I228" s="18"/>
      <c r="J228" s="18"/>
      <c r="K228" s="18"/>
      <c r="L228" s="18" t="n">
        <v>0.094</v>
      </c>
      <c r="M228" s="18" t="n">
        <v>0.094</v>
      </c>
      <c r="N228" s="18"/>
      <c r="O228" s="18" t="s">
        <v>283</v>
      </c>
      <c r="P228" s="18"/>
      <c r="Q228" s="18"/>
      <c r="R228" s="18" t="s">
        <v>98</v>
      </c>
      <c r="S228" s="18"/>
      <c r="T228" s="19" t="n">
        <f aca="false">SUMIFS(Permissions!$F$2:$F$3000,Permissions!$B$2:$B$3000,$A228,Permissions!$H$2:$H$3000,"Complete",Permissions!$I$2:$I$3000,"Yes")</f>
        <v>0</v>
      </c>
      <c r="U228" s="19" t="n">
        <f aca="false">SUMIFS(Permissions!$F$2:$F$3000,Permissions!$B$2:$B$3000,$A228,Permissions!$H$2:$H$3000,"Under construction",Permissions!$I$2:$I$3000,"Yes")</f>
        <v>5</v>
      </c>
      <c r="V228" s="19" t="n">
        <f aca="false">SUMIFS(Permissions!$F$2:$F$3000,Permissions!$B$2:$B$3000,$A228,Permissions!$H$2:$H$3000,"Permitted – not started",Permissions!$I$2:$I$3000,"Yes")</f>
        <v>0</v>
      </c>
      <c r="W228" s="19" t="n">
        <f aca="false">SUMIFS(Permissions!$F$2:$F$3000,Permissions!$B$2:$B$3000,$A228,Permissions!$H$2:$H$3000,"Stalled",Permissions!$I$2:$I$3000,"Yes")</f>
        <v>0</v>
      </c>
      <c r="X228" s="19" t="n">
        <f aca="false">T228+U228+V228+W228</f>
        <v>5</v>
      </c>
      <c r="Y228" s="19" t="n">
        <f aca="false">SUMIFS(Permissions!$F$2:$F$3000,Permissions!$B$2:$B$3000,$A228,Permissions!$H$2:$H$3000,"Expired – not started",Permissions!$I$2:$I$3000,"Yes")</f>
        <v>0</v>
      </c>
      <c r="Z228" s="19" t="n">
        <f aca="false">SUMIFS(Permissions!$F$2:$F$3000,Permissions!$B$2:$B$3000,$A228,Permissions!$H$2:$H$3000,"In planning",Permissions!$I$2:$I$3000,"Yes")</f>
        <v>0</v>
      </c>
      <c r="AA228" s="19" t="n">
        <f aca="false">IF(N228="",0,MAX(N228-X228,0))</f>
        <v>0</v>
      </c>
      <c r="AB228" s="20" t="n">
        <f aca="false">X228+AA228</f>
        <v>5</v>
      </c>
      <c r="AC228" s="19" t="n">
        <f aca="false">AB228-T228</f>
        <v>5</v>
      </c>
      <c r="AD228" s="21" t="n">
        <f aca="false">SUMIFS(Permissions!$T$2:$T$3000,Permissions!$B$2:$B$3000,$A228,Permissions!$I$2:$I$3000,"Yes")</f>
        <v>1.2</v>
      </c>
      <c r="AE228" s="21" t="n">
        <f aca="false">SUMIFS(Permissions!$U$2:$U$3000,Permissions!$B$2:$B$3000,$A228,Permissions!$I$2:$I$3000,"Yes")</f>
        <v>3.8</v>
      </c>
      <c r="AF228" s="21" t="n">
        <f aca="false">SUMIFS(Permissions!$V$2:$V$3000,Permissions!$B$2:$B$3000,$A228,Permissions!$I$2:$I$3000,"Yes")</f>
        <v>0</v>
      </c>
      <c r="AG228" s="21" t="n">
        <f aca="false">SUMIFS(Permissions!$W$2:$W$3000,Permissions!$B$2:$B$3000,$A228,Permissions!$I$2:$I$3000,"Yes")</f>
        <v>0</v>
      </c>
      <c r="AH228" s="21" t="n">
        <f aca="false">SUMIFS(Permissions!$X$2:$X$3000,Permissions!$B$2:$B$3000,$A228,Permissions!$I$2:$I$3000,"Yes")</f>
        <v>0</v>
      </c>
      <c r="AI228" s="21" t="n">
        <f aca="false">SUMIFS(Permissions!$Y$2:$Y$3000,Permissions!$B$2:$B$3000,$A228,Permissions!$I$2:$I$3000,"Yes")</f>
        <v>0</v>
      </c>
      <c r="AJ228" s="19" t="n">
        <f aca="false">COUNTIFS(Permissions!$B$2:$B$3000,$A228,Permissions!$I$2:$I$3000,"Yes")</f>
        <v>1</v>
      </c>
      <c r="AK228" s="22" t="str">
        <f aca="false">IF(AND(N228&lt;&gt;"",X228&gt;1.1*N228),"Consented above capacity",IF(AND(LEFT(B228,8)="Planning",AJ228=0),"Consent parcel with no permission",IF(COUNTIF($A$2:$A$3000,$A228)&gt;1,"Duplicate parcel_id","")))</f>
        <v/>
      </c>
    </row>
    <row r="229" customFormat="false" ht="15" hidden="false" customHeight="false" outlineLevel="0" collapsed="false">
      <c r="A229" s="18" t="s">
        <v>471</v>
      </c>
      <c r="B229" s="18" t="s">
        <v>12</v>
      </c>
      <c r="C229" s="18" t="s">
        <v>15</v>
      </c>
      <c r="D229" s="18"/>
      <c r="E229" s="18" t="s">
        <v>254</v>
      </c>
      <c r="F229" s="18" t="s">
        <v>142</v>
      </c>
      <c r="G229" s="18" t="s">
        <v>472</v>
      </c>
      <c r="H229" s="18"/>
      <c r="I229" s="18"/>
      <c r="J229" s="18"/>
      <c r="K229" s="18"/>
      <c r="L229" s="18" t="n">
        <v>1.793</v>
      </c>
      <c r="M229" s="18" t="n">
        <v>1.793</v>
      </c>
      <c r="N229" s="18"/>
      <c r="O229" s="18" t="s">
        <v>283</v>
      </c>
      <c r="P229" s="18"/>
      <c r="Q229" s="18"/>
      <c r="R229" s="18" t="s">
        <v>98</v>
      </c>
      <c r="S229" s="18"/>
      <c r="T229" s="19" t="n">
        <f aca="false">SUMIFS(Permissions!$F$2:$F$3000,Permissions!$B$2:$B$3000,$A229,Permissions!$H$2:$H$3000,"Complete",Permissions!$I$2:$I$3000,"Yes")</f>
        <v>53</v>
      </c>
      <c r="U229" s="19" t="n">
        <f aca="false">SUMIFS(Permissions!$F$2:$F$3000,Permissions!$B$2:$B$3000,$A229,Permissions!$H$2:$H$3000,"Under construction",Permissions!$I$2:$I$3000,"Yes")</f>
        <v>0</v>
      </c>
      <c r="V229" s="19" t="n">
        <f aca="false">SUMIFS(Permissions!$F$2:$F$3000,Permissions!$B$2:$B$3000,$A229,Permissions!$H$2:$H$3000,"Permitted – not started",Permissions!$I$2:$I$3000,"Yes")</f>
        <v>0</v>
      </c>
      <c r="W229" s="19" t="n">
        <f aca="false">SUMIFS(Permissions!$F$2:$F$3000,Permissions!$B$2:$B$3000,$A229,Permissions!$H$2:$H$3000,"Stalled",Permissions!$I$2:$I$3000,"Yes")</f>
        <v>0</v>
      </c>
      <c r="X229" s="19" t="n">
        <f aca="false">T229+U229+V229+W229</f>
        <v>53</v>
      </c>
      <c r="Y229" s="19" t="n">
        <f aca="false">SUMIFS(Permissions!$F$2:$F$3000,Permissions!$B$2:$B$3000,$A229,Permissions!$H$2:$H$3000,"Expired – not started",Permissions!$I$2:$I$3000,"Yes")</f>
        <v>0</v>
      </c>
      <c r="Z229" s="19" t="n">
        <f aca="false">SUMIFS(Permissions!$F$2:$F$3000,Permissions!$B$2:$B$3000,$A229,Permissions!$H$2:$H$3000,"In planning",Permissions!$I$2:$I$3000,"Yes")</f>
        <v>0</v>
      </c>
      <c r="AA229" s="19" t="n">
        <f aca="false">IF(N229="",0,MAX(N229-X229,0))</f>
        <v>0</v>
      </c>
      <c r="AB229" s="20" t="n">
        <f aca="false">X229+AA229</f>
        <v>53</v>
      </c>
      <c r="AC229" s="19" t="n">
        <f aca="false">AB229-T229</f>
        <v>0</v>
      </c>
      <c r="AD229" s="21" t="n">
        <f aca="false">SUMIFS(Permissions!$T$2:$T$3000,Permissions!$B$2:$B$3000,$A229,Permissions!$I$2:$I$3000,"Yes")</f>
        <v>0</v>
      </c>
      <c r="AE229" s="21" t="n">
        <f aca="false">SUMIFS(Permissions!$U$2:$U$3000,Permissions!$B$2:$B$3000,$A229,Permissions!$I$2:$I$3000,"Yes")</f>
        <v>0</v>
      </c>
      <c r="AF229" s="21" t="n">
        <f aca="false">SUMIFS(Permissions!$V$2:$V$3000,Permissions!$B$2:$B$3000,$A229,Permissions!$I$2:$I$3000,"Yes")</f>
        <v>0</v>
      </c>
      <c r="AG229" s="21" t="n">
        <f aca="false">SUMIFS(Permissions!$W$2:$W$3000,Permissions!$B$2:$B$3000,$A229,Permissions!$I$2:$I$3000,"Yes")</f>
        <v>0</v>
      </c>
      <c r="AH229" s="21" t="n">
        <f aca="false">SUMIFS(Permissions!$X$2:$X$3000,Permissions!$B$2:$B$3000,$A229,Permissions!$I$2:$I$3000,"Yes")</f>
        <v>0</v>
      </c>
      <c r="AI229" s="21" t="n">
        <f aca="false">SUMIFS(Permissions!$Y$2:$Y$3000,Permissions!$B$2:$B$3000,$A229,Permissions!$I$2:$I$3000,"Yes")</f>
        <v>0</v>
      </c>
      <c r="AJ229" s="19" t="n">
        <f aca="false">COUNTIFS(Permissions!$B$2:$B$3000,$A229,Permissions!$I$2:$I$3000,"Yes")</f>
        <v>1</v>
      </c>
      <c r="AK229" s="22" t="str">
        <f aca="false">IF(AND(N229&lt;&gt;"",X229&gt;1.1*N229),"Consented above capacity",IF(AND(LEFT(B229,8)="Planning",AJ229=0),"Consent parcel with no permission",IF(COUNTIF($A$2:$A$3000,$A229)&gt;1,"Duplicate parcel_id","")))</f>
        <v/>
      </c>
    </row>
    <row r="230" customFormat="false" ht="15" hidden="false" customHeight="false" outlineLevel="0" collapsed="false">
      <c r="A230" s="18" t="s">
        <v>473</v>
      </c>
      <c r="B230" s="18" t="s">
        <v>12</v>
      </c>
      <c r="C230" s="18" t="s">
        <v>15</v>
      </c>
      <c r="D230" s="18"/>
      <c r="E230" s="18" t="s">
        <v>254</v>
      </c>
      <c r="F230" s="18" t="s">
        <v>142</v>
      </c>
      <c r="G230" s="18" t="s">
        <v>474</v>
      </c>
      <c r="H230" s="18"/>
      <c r="I230" s="18"/>
      <c r="J230" s="18"/>
      <c r="K230" s="18"/>
      <c r="L230" s="18" t="n">
        <v>4.882</v>
      </c>
      <c r="M230" s="18" t="n">
        <v>4.882</v>
      </c>
      <c r="N230" s="18"/>
      <c r="O230" s="18" t="s">
        <v>283</v>
      </c>
      <c r="P230" s="18"/>
      <c r="Q230" s="18"/>
      <c r="R230" s="18" t="s">
        <v>98</v>
      </c>
      <c r="S230" s="18"/>
      <c r="T230" s="19" t="n">
        <f aca="false">SUMIFS(Permissions!$F$2:$F$3000,Permissions!$B$2:$B$3000,$A230,Permissions!$H$2:$H$3000,"Complete",Permissions!$I$2:$I$3000,"Yes")</f>
        <v>170</v>
      </c>
      <c r="U230" s="19" t="n">
        <f aca="false">SUMIFS(Permissions!$F$2:$F$3000,Permissions!$B$2:$B$3000,$A230,Permissions!$H$2:$H$3000,"Under construction",Permissions!$I$2:$I$3000,"Yes")</f>
        <v>0</v>
      </c>
      <c r="V230" s="19" t="n">
        <f aca="false">SUMIFS(Permissions!$F$2:$F$3000,Permissions!$B$2:$B$3000,$A230,Permissions!$H$2:$H$3000,"Permitted – not started",Permissions!$I$2:$I$3000,"Yes")</f>
        <v>0</v>
      </c>
      <c r="W230" s="19" t="n">
        <f aca="false">SUMIFS(Permissions!$F$2:$F$3000,Permissions!$B$2:$B$3000,$A230,Permissions!$H$2:$H$3000,"Stalled",Permissions!$I$2:$I$3000,"Yes")</f>
        <v>0</v>
      </c>
      <c r="X230" s="19" t="n">
        <f aca="false">T230+U230+V230+W230</f>
        <v>170</v>
      </c>
      <c r="Y230" s="19" t="n">
        <f aca="false">SUMIFS(Permissions!$F$2:$F$3000,Permissions!$B$2:$B$3000,$A230,Permissions!$H$2:$H$3000,"Expired – not started",Permissions!$I$2:$I$3000,"Yes")</f>
        <v>0</v>
      </c>
      <c r="Z230" s="19" t="n">
        <f aca="false">SUMIFS(Permissions!$F$2:$F$3000,Permissions!$B$2:$B$3000,$A230,Permissions!$H$2:$H$3000,"In planning",Permissions!$I$2:$I$3000,"Yes")</f>
        <v>0</v>
      </c>
      <c r="AA230" s="19" t="n">
        <f aca="false">IF(N230="",0,MAX(N230-X230,0))</f>
        <v>0</v>
      </c>
      <c r="AB230" s="20" t="n">
        <f aca="false">X230+AA230</f>
        <v>170</v>
      </c>
      <c r="AC230" s="19" t="n">
        <f aca="false">AB230-T230</f>
        <v>0</v>
      </c>
      <c r="AD230" s="21" t="n">
        <f aca="false">SUMIFS(Permissions!$T$2:$T$3000,Permissions!$B$2:$B$3000,$A230,Permissions!$I$2:$I$3000,"Yes")</f>
        <v>0</v>
      </c>
      <c r="AE230" s="21" t="n">
        <f aca="false">SUMIFS(Permissions!$U$2:$U$3000,Permissions!$B$2:$B$3000,$A230,Permissions!$I$2:$I$3000,"Yes")</f>
        <v>0</v>
      </c>
      <c r="AF230" s="21" t="n">
        <f aca="false">SUMIFS(Permissions!$V$2:$V$3000,Permissions!$B$2:$B$3000,$A230,Permissions!$I$2:$I$3000,"Yes")</f>
        <v>0</v>
      </c>
      <c r="AG230" s="21" t="n">
        <f aca="false">SUMIFS(Permissions!$W$2:$W$3000,Permissions!$B$2:$B$3000,$A230,Permissions!$I$2:$I$3000,"Yes")</f>
        <v>0</v>
      </c>
      <c r="AH230" s="21" t="n">
        <f aca="false">SUMIFS(Permissions!$X$2:$X$3000,Permissions!$B$2:$B$3000,$A230,Permissions!$I$2:$I$3000,"Yes")</f>
        <v>0</v>
      </c>
      <c r="AI230" s="21" t="n">
        <f aca="false">SUMIFS(Permissions!$Y$2:$Y$3000,Permissions!$B$2:$B$3000,$A230,Permissions!$I$2:$I$3000,"Yes")</f>
        <v>0</v>
      </c>
      <c r="AJ230" s="19" t="n">
        <f aca="false">COUNTIFS(Permissions!$B$2:$B$3000,$A230,Permissions!$I$2:$I$3000,"Yes")</f>
        <v>2</v>
      </c>
      <c r="AK230" s="22" t="str">
        <f aca="false">IF(AND(N230&lt;&gt;"",X230&gt;1.1*N230),"Consented above capacity",IF(AND(LEFT(B230,8)="Planning",AJ230=0),"Consent parcel with no permission",IF(COUNTIF($A$2:$A$3000,$A230)&gt;1,"Duplicate parcel_id","")))</f>
        <v/>
      </c>
    </row>
    <row r="231" customFormat="false" ht="15" hidden="false" customHeight="false" outlineLevel="0" collapsed="false">
      <c r="A231" s="18" t="s">
        <v>475</v>
      </c>
      <c r="B231" s="18" t="s">
        <v>12</v>
      </c>
      <c r="C231" s="18" t="s">
        <v>15</v>
      </c>
      <c r="D231" s="18"/>
      <c r="E231" s="18" t="s">
        <v>254</v>
      </c>
      <c r="F231" s="18" t="s">
        <v>142</v>
      </c>
      <c r="G231" s="18" t="s">
        <v>476</v>
      </c>
      <c r="H231" s="18"/>
      <c r="I231" s="18"/>
      <c r="J231" s="18"/>
      <c r="K231" s="18"/>
      <c r="L231" s="18" t="n">
        <v>0.133</v>
      </c>
      <c r="M231" s="18" t="n">
        <v>0.133</v>
      </c>
      <c r="N231" s="18"/>
      <c r="O231" s="18" t="s">
        <v>283</v>
      </c>
      <c r="P231" s="18"/>
      <c r="Q231" s="18"/>
      <c r="R231" s="18" t="s">
        <v>98</v>
      </c>
      <c r="S231" s="18"/>
      <c r="T231" s="19" t="n">
        <f aca="false">SUMIFS(Permissions!$F$2:$F$3000,Permissions!$B$2:$B$3000,$A231,Permissions!$H$2:$H$3000,"Complete",Permissions!$I$2:$I$3000,"Yes")</f>
        <v>0</v>
      </c>
      <c r="U231" s="19" t="n">
        <f aca="false">SUMIFS(Permissions!$F$2:$F$3000,Permissions!$B$2:$B$3000,$A231,Permissions!$H$2:$H$3000,"Under construction",Permissions!$I$2:$I$3000,"Yes")</f>
        <v>4</v>
      </c>
      <c r="V231" s="19" t="n">
        <f aca="false">SUMIFS(Permissions!$F$2:$F$3000,Permissions!$B$2:$B$3000,$A231,Permissions!$H$2:$H$3000,"Permitted – not started",Permissions!$I$2:$I$3000,"Yes")</f>
        <v>0</v>
      </c>
      <c r="W231" s="19" t="n">
        <f aca="false">SUMIFS(Permissions!$F$2:$F$3000,Permissions!$B$2:$B$3000,$A231,Permissions!$H$2:$H$3000,"Stalled",Permissions!$I$2:$I$3000,"Yes")</f>
        <v>0</v>
      </c>
      <c r="X231" s="19" t="n">
        <f aca="false">T231+U231+V231+W231</f>
        <v>4</v>
      </c>
      <c r="Y231" s="19" t="n">
        <f aca="false">SUMIFS(Permissions!$F$2:$F$3000,Permissions!$B$2:$B$3000,$A231,Permissions!$H$2:$H$3000,"Expired – not started",Permissions!$I$2:$I$3000,"Yes")</f>
        <v>0</v>
      </c>
      <c r="Z231" s="19" t="n">
        <f aca="false">SUMIFS(Permissions!$F$2:$F$3000,Permissions!$B$2:$B$3000,$A231,Permissions!$H$2:$H$3000,"In planning",Permissions!$I$2:$I$3000,"Yes")</f>
        <v>0</v>
      </c>
      <c r="AA231" s="19" t="n">
        <f aca="false">IF(N231="",0,MAX(N231-X231,0))</f>
        <v>0</v>
      </c>
      <c r="AB231" s="20" t="n">
        <f aca="false">X231+AA231</f>
        <v>4</v>
      </c>
      <c r="AC231" s="19" t="n">
        <f aca="false">AB231-T231</f>
        <v>4</v>
      </c>
      <c r="AD231" s="21" t="n">
        <f aca="false">SUMIFS(Permissions!$T$2:$T$3000,Permissions!$B$2:$B$3000,$A231,Permissions!$I$2:$I$3000,"Yes")</f>
        <v>0.9</v>
      </c>
      <c r="AE231" s="21" t="n">
        <f aca="false">SUMIFS(Permissions!$U$2:$U$3000,Permissions!$B$2:$B$3000,$A231,Permissions!$I$2:$I$3000,"Yes")</f>
        <v>3.1</v>
      </c>
      <c r="AF231" s="21" t="n">
        <f aca="false">SUMIFS(Permissions!$V$2:$V$3000,Permissions!$B$2:$B$3000,$A231,Permissions!$I$2:$I$3000,"Yes")</f>
        <v>0</v>
      </c>
      <c r="AG231" s="21" t="n">
        <f aca="false">SUMIFS(Permissions!$W$2:$W$3000,Permissions!$B$2:$B$3000,$A231,Permissions!$I$2:$I$3000,"Yes")</f>
        <v>0</v>
      </c>
      <c r="AH231" s="21" t="n">
        <f aca="false">SUMIFS(Permissions!$X$2:$X$3000,Permissions!$B$2:$B$3000,$A231,Permissions!$I$2:$I$3000,"Yes")</f>
        <v>0</v>
      </c>
      <c r="AI231" s="21" t="n">
        <f aca="false">SUMIFS(Permissions!$Y$2:$Y$3000,Permissions!$B$2:$B$3000,$A231,Permissions!$I$2:$I$3000,"Yes")</f>
        <v>0</v>
      </c>
      <c r="AJ231" s="19" t="n">
        <f aca="false">COUNTIFS(Permissions!$B$2:$B$3000,$A231,Permissions!$I$2:$I$3000,"Yes")</f>
        <v>1</v>
      </c>
      <c r="AK231" s="22" t="str">
        <f aca="false">IF(AND(N231&lt;&gt;"",X231&gt;1.1*N231),"Consented above capacity",IF(AND(LEFT(B231,8)="Planning",AJ231=0),"Consent parcel with no permission",IF(COUNTIF($A$2:$A$3000,$A231)&gt;1,"Duplicate parcel_id","")))</f>
        <v/>
      </c>
    </row>
    <row r="232" customFormat="false" ht="15" hidden="false" customHeight="false" outlineLevel="0" collapsed="false">
      <c r="A232" s="18" t="s">
        <v>477</v>
      </c>
      <c r="B232" s="18" t="s">
        <v>12</v>
      </c>
      <c r="C232" s="18" t="s">
        <v>15</v>
      </c>
      <c r="D232" s="18"/>
      <c r="E232" s="18" t="s">
        <v>254</v>
      </c>
      <c r="F232" s="18" t="s">
        <v>142</v>
      </c>
      <c r="G232" s="18" t="s">
        <v>478</v>
      </c>
      <c r="H232" s="18"/>
      <c r="I232" s="18"/>
      <c r="J232" s="18"/>
      <c r="K232" s="18"/>
      <c r="L232" s="18" t="n">
        <v>0.242</v>
      </c>
      <c r="M232" s="18" t="n">
        <v>0.242</v>
      </c>
      <c r="N232" s="18"/>
      <c r="O232" s="18" t="s">
        <v>283</v>
      </c>
      <c r="P232" s="18"/>
      <c r="Q232" s="18"/>
      <c r="R232" s="18" t="s">
        <v>98</v>
      </c>
      <c r="S232" s="18"/>
      <c r="T232" s="19" t="n">
        <f aca="false">SUMIFS(Permissions!$F$2:$F$3000,Permissions!$B$2:$B$3000,$A232,Permissions!$H$2:$H$3000,"Complete",Permissions!$I$2:$I$3000,"Yes")</f>
        <v>4</v>
      </c>
      <c r="U232" s="19" t="n">
        <f aca="false">SUMIFS(Permissions!$F$2:$F$3000,Permissions!$B$2:$B$3000,$A232,Permissions!$H$2:$H$3000,"Under construction",Permissions!$I$2:$I$3000,"Yes")</f>
        <v>0</v>
      </c>
      <c r="V232" s="19" t="n">
        <f aca="false">SUMIFS(Permissions!$F$2:$F$3000,Permissions!$B$2:$B$3000,$A232,Permissions!$H$2:$H$3000,"Permitted – not started",Permissions!$I$2:$I$3000,"Yes")</f>
        <v>0</v>
      </c>
      <c r="W232" s="19" t="n">
        <f aca="false">SUMIFS(Permissions!$F$2:$F$3000,Permissions!$B$2:$B$3000,$A232,Permissions!$H$2:$H$3000,"Stalled",Permissions!$I$2:$I$3000,"Yes")</f>
        <v>0</v>
      </c>
      <c r="X232" s="19" t="n">
        <f aca="false">T232+U232+V232+W232</f>
        <v>4</v>
      </c>
      <c r="Y232" s="19" t="n">
        <f aca="false">SUMIFS(Permissions!$F$2:$F$3000,Permissions!$B$2:$B$3000,$A232,Permissions!$H$2:$H$3000,"Expired – not started",Permissions!$I$2:$I$3000,"Yes")</f>
        <v>0</v>
      </c>
      <c r="Z232" s="19" t="n">
        <f aca="false">SUMIFS(Permissions!$F$2:$F$3000,Permissions!$B$2:$B$3000,$A232,Permissions!$H$2:$H$3000,"In planning",Permissions!$I$2:$I$3000,"Yes")</f>
        <v>0</v>
      </c>
      <c r="AA232" s="19" t="n">
        <f aca="false">IF(N232="",0,MAX(N232-X232,0))</f>
        <v>0</v>
      </c>
      <c r="AB232" s="20" t="n">
        <f aca="false">X232+AA232</f>
        <v>4</v>
      </c>
      <c r="AC232" s="19" t="n">
        <f aca="false">AB232-T232</f>
        <v>0</v>
      </c>
      <c r="AD232" s="21" t="n">
        <f aca="false">SUMIFS(Permissions!$T$2:$T$3000,Permissions!$B$2:$B$3000,$A232,Permissions!$I$2:$I$3000,"Yes")</f>
        <v>0</v>
      </c>
      <c r="AE232" s="21" t="n">
        <f aca="false">SUMIFS(Permissions!$U$2:$U$3000,Permissions!$B$2:$B$3000,$A232,Permissions!$I$2:$I$3000,"Yes")</f>
        <v>0</v>
      </c>
      <c r="AF232" s="21" t="n">
        <f aca="false">SUMIFS(Permissions!$V$2:$V$3000,Permissions!$B$2:$B$3000,$A232,Permissions!$I$2:$I$3000,"Yes")</f>
        <v>0</v>
      </c>
      <c r="AG232" s="21" t="n">
        <f aca="false">SUMIFS(Permissions!$W$2:$W$3000,Permissions!$B$2:$B$3000,$A232,Permissions!$I$2:$I$3000,"Yes")</f>
        <v>0</v>
      </c>
      <c r="AH232" s="21" t="n">
        <f aca="false">SUMIFS(Permissions!$X$2:$X$3000,Permissions!$B$2:$B$3000,$A232,Permissions!$I$2:$I$3000,"Yes")</f>
        <v>0</v>
      </c>
      <c r="AI232" s="21" t="n">
        <f aca="false">SUMIFS(Permissions!$Y$2:$Y$3000,Permissions!$B$2:$B$3000,$A232,Permissions!$I$2:$I$3000,"Yes")</f>
        <v>0</v>
      </c>
      <c r="AJ232" s="19" t="n">
        <f aca="false">COUNTIFS(Permissions!$B$2:$B$3000,$A232,Permissions!$I$2:$I$3000,"Yes")</f>
        <v>1</v>
      </c>
      <c r="AK232" s="22" t="str">
        <f aca="false">IF(AND(N232&lt;&gt;"",X232&gt;1.1*N232),"Consented above capacity",IF(AND(LEFT(B232,8)="Planning",AJ232=0),"Consent parcel with no permission",IF(COUNTIF($A$2:$A$3000,$A232)&gt;1,"Duplicate parcel_id","")))</f>
        <v/>
      </c>
    </row>
    <row r="233" customFormat="false" ht="15" hidden="false" customHeight="false" outlineLevel="0" collapsed="false">
      <c r="A233" s="18" t="s">
        <v>479</v>
      </c>
      <c r="B233" s="18" t="s">
        <v>12</v>
      </c>
      <c r="C233" s="18" t="s">
        <v>15</v>
      </c>
      <c r="D233" s="18"/>
      <c r="E233" s="18" t="s">
        <v>254</v>
      </c>
      <c r="F233" s="18" t="s">
        <v>142</v>
      </c>
      <c r="G233" s="18" t="s">
        <v>480</v>
      </c>
      <c r="H233" s="18"/>
      <c r="I233" s="18"/>
      <c r="J233" s="18"/>
      <c r="K233" s="18"/>
      <c r="L233" s="18" t="n">
        <v>2.777</v>
      </c>
      <c r="M233" s="18" t="n">
        <v>2.777</v>
      </c>
      <c r="N233" s="18"/>
      <c r="O233" s="18" t="s">
        <v>283</v>
      </c>
      <c r="P233" s="18"/>
      <c r="Q233" s="18"/>
      <c r="R233" s="18" t="s">
        <v>98</v>
      </c>
      <c r="S233" s="18"/>
      <c r="T233" s="19" t="n">
        <f aca="false">SUMIFS(Permissions!$F$2:$F$3000,Permissions!$B$2:$B$3000,$A233,Permissions!$H$2:$H$3000,"Complete",Permissions!$I$2:$I$3000,"Yes")</f>
        <v>43</v>
      </c>
      <c r="U233" s="19" t="n">
        <f aca="false">SUMIFS(Permissions!$F$2:$F$3000,Permissions!$B$2:$B$3000,$A233,Permissions!$H$2:$H$3000,"Under construction",Permissions!$I$2:$I$3000,"Yes")</f>
        <v>0</v>
      </c>
      <c r="V233" s="19" t="n">
        <f aca="false">SUMIFS(Permissions!$F$2:$F$3000,Permissions!$B$2:$B$3000,$A233,Permissions!$H$2:$H$3000,"Permitted – not started",Permissions!$I$2:$I$3000,"Yes")</f>
        <v>0</v>
      </c>
      <c r="W233" s="19" t="n">
        <f aca="false">SUMIFS(Permissions!$F$2:$F$3000,Permissions!$B$2:$B$3000,$A233,Permissions!$H$2:$H$3000,"Stalled",Permissions!$I$2:$I$3000,"Yes")</f>
        <v>0</v>
      </c>
      <c r="X233" s="19" t="n">
        <f aca="false">T233+U233+V233+W233</f>
        <v>43</v>
      </c>
      <c r="Y233" s="19" t="n">
        <f aca="false">SUMIFS(Permissions!$F$2:$F$3000,Permissions!$B$2:$B$3000,$A233,Permissions!$H$2:$H$3000,"Expired – not started",Permissions!$I$2:$I$3000,"Yes")</f>
        <v>0</v>
      </c>
      <c r="Z233" s="19" t="n">
        <f aca="false">SUMIFS(Permissions!$F$2:$F$3000,Permissions!$B$2:$B$3000,$A233,Permissions!$H$2:$H$3000,"In planning",Permissions!$I$2:$I$3000,"Yes")</f>
        <v>0</v>
      </c>
      <c r="AA233" s="19" t="n">
        <f aca="false">IF(N233="",0,MAX(N233-X233,0))</f>
        <v>0</v>
      </c>
      <c r="AB233" s="20" t="n">
        <f aca="false">X233+AA233</f>
        <v>43</v>
      </c>
      <c r="AC233" s="19" t="n">
        <f aca="false">AB233-T233</f>
        <v>0</v>
      </c>
      <c r="AD233" s="21" t="n">
        <f aca="false">SUMIFS(Permissions!$T$2:$T$3000,Permissions!$B$2:$B$3000,$A233,Permissions!$I$2:$I$3000,"Yes")</f>
        <v>0</v>
      </c>
      <c r="AE233" s="21" t="n">
        <f aca="false">SUMIFS(Permissions!$U$2:$U$3000,Permissions!$B$2:$B$3000,$A233,Permissions!$I$2:$I$3000,"Yes")</f>
        <v>0</v>
      </c>
      <c r="AF233" s="21" t="n">
        <f aca="false">SUMIFS(Permissions!$V$2:$V$3000,Permissions!$B$2:$B$3000,$A233,Permissions!$I$2:$I$3000,"Yes")</f>
        <v>0</v>
      </c>
      <c r="AG233" s="21" t="n">
        <f aca="false">SUMIFS(Permissions!$W$2:$W$3000,Permissions!$B$2:$B$3000,$A233,Permissions!$I$2:$I$3000,"Yes")</f>
        <v>0</v>
      </c>
      <c r="AH233" s="21" t="n">
        <f aca="false">SUMIFS(Permissions!$X$2:$X$3000,Permissions!$B$2:$B$3000,$A233,Permissions!$I$2:$I$3000,"Yes")</f>
        <v>0</v>
      </c>
      <c r="AI233" s="21" t="n">
        <f aca="false">SUMIFS(Permissions!$Y$2:$Y$3000,Permissions!$B$2:$B$3000,$A233,Permissions!$I$2:$I$3000,"Yes")</f>
        <v>0</v>
      </c>
      <c r="AJ233" s="19" t="n">
        <f aca="false">COUNTIFS(Permissions!$B$2:$B$3000,$A233,Permissions!$I$2:$I$3000,"Yes")</f>
        <v>1</v>
      </c>
      <c r="AK233" s="22" t="str">
        <f aca="false">IF(AND(N233&lt;&gt;"",X233&gt;1.1*N233),"Consented above capacity",IF(AND(LEFT(B233,8)="Planning",AJ233=0),"Consent parcel with no permission",IF(COUNTIF($A$2:$A$3000,$A233)&gt;1,"Duplicate parcel_id","")))</f>
        <v/>
      </c>
    </row>
    <row r="234" customFormat="false" ht="15" hidden="false" customHeight="false" outlineLevel="0" collapsed="false">
      <c r="A234" s="18" t="s">
        <v>481</v>
      </c>
      <c r="B234" s="18" t="s">
        <v>12</v>
      </c>
      <c r="C234" s="18" t="s">
        <v>15</v>
      </c>
      <c r="D234" s="18"/>
      <c r="E234" s="18" t="s">
        <v>254</v>
      </c>
      <c r="F234" s="18" t="s">
        <v>142</v>
      </c>
      <c r="G234" s="18" t="s">
        <v>482</v>
      </c>
      <c r="H234" s="18"/>
      <c r="I234" s="18"/>
      <c r="J234" s="18"/>
      <c r="K234" s="18"/>
      <c r="L234" s="18" t="n">
        <v>0.522</v>
      </c>
      <c r="M234" s="18" t="n">
        <v>0.522</v>
      </c>
      <c r="N234" s="18"/>
      <c r="O234" s="18" t="s">
        <v>283</v>
      </c>
      <c r="P234" s="18"/>
      <c r="Q234" s="18" t="s">
        <v>422</v>
      </c>
      <c r="R234" s="18" t="s">
        <v>98</v>
      </c>
      <c r="S234" s="18"/>
      <c r="T234" s="19" t="n">
        <f aca="false">SUMIFS(Permissions!$F$2:$F$3000,Permissions!$B$2:$B$3000,$A234,Permissions!$H$2:$H$3000,"Complete",Permissions!$I$2:$I$3000,"Yes")</f>
        <v>0</v>
      </c>
      <c r="U234" s="19" t="n">
        <f aca="false">SUMIFS(Permissions!$F$2:$F$3000,Permissions!$B$2:$B$3000,$A234,Permissions!$H$2:$H$3000,"Under construction",Permissions!$I$2:$I$3000,"Yes")</f>
        <v>12</v>
      </c>
      <c r="V234" s="19" t="n">
        <f aca="false">SUMIFS(Permissions!$F$2:$F$3000,Permissions!$B$2:$B$3000,$A234,Permissions!$H$2:$H$3000,"Permitted – not started",Permissions!$I$2:$I$3000,"Yes")</f>
        <v>0</v>
      </c>
      <c r="W234" s="19" t="n">
        <f aca="false">SUMIFS(Permissions!$F$2:$F$3000,Permissions!$B$2:$B$3000,$A234,Permissions!$H$2:$H$3000,"Stalled",Permissions!$I$2:$I$3000,"Yes")</f>
        <v>0</v>
      </c>
      <c r="X234" s="19" t="n">
        <f aca="false">T234+U234+V234+W234</f>
        <v>12</v>
      </c>
      <c r="Y234" s="19" t="n">
        <f aca="false">SUMIFS(Permissions!$F$2:$F$3000,Permissions!$B$2:$B$3000,$A234,Permissions!$H$2:$H$3000,"Expired – not started",Permissions!$I$2:$I$3000,"Yes")</f>
        <v>0</v>
      </c>
      <c r="Z234" s="19" t="n">
        <f aca="false">SUMIFS(Permissions!$F$2:$F$3000,Permissions!$B$2:$B$3000,$A234,Permissions!$H$2:$H$3000,"In planning",Permissions!$I$2:$I$3000,"Yes")</f>
        <v>0</v>
      </c>
      <c r="AA234" s="19" t="n">
        <f aca="false">IF(N234="",0,MAX(N234-X234,0))</f>
        <v>0</v>
      </c>
      <c r="AB234" s="20" t="n">
        <f aca="false">X234+AA234</f>
        <v>12</v>
      </c>
      <c r="AC234" s="19" t="n">
        <f aca="false">AB234-T234</f>
        <v>12</v>
      </c>
      <c r="AD234" s="21" t="n">
        <f aca="false">SUMIFS(Permissions!$T$2:$T$3000,Permissions!$B$2:$B$3000,$A234,Permissions!$I$2:$I$3000,"Yes")</f>
        <v>2.8</v>
      </c>
      <c r="AE234" s="21" t="n">
        <f aca="false">SUMIFS(Permissions!$U$2:$U$3000,Permissions!$B$2:$B$3000,$A234,Permissions!$I$2:$I$3000,"Yes")</f>
        <v>9.2</v>
      </c>
      <c r="AF234" s="21" t="n">
        <f aca="false">SUMIFS(Permissions!$V$2:$V$3000,Permissions!$B$2:$B$3000,$A234,Permissions!$I$2:$I$3000,"Yes")</f>
        <v>0</v>
      </c>
      <c r="AG234" s="21" t="n">
        <f aca="false">SUMIFS(Permissions!$W$2:$W$3000,Permissions!$B$2:$B$3000,$A234,Permissions!$I$2:$I$3000,"Yes")</f>
        <v>0</v>
      </c>
      <c r="AH234" s="21" t="n">
        <f aca="false">SUMIFS(Permissions!$X$2:$X$3000,Permissions!$B$2:$B$3000,$A234,Permissions!$I$2:$I$3000,"Yes")</f>
        <v>0</v>
      </c>
      <c r="AI234" s="21" t="n">
        <f aca="false">SUMIFS(Permissions!$Y$2:$Y$3000,Permissions!$B$2:$B$3000,$A234,Permissions!$I$2:$I$3000,"Yes")</f>
        <v>0</v>
      </c>
      <c r="AJ234" s="19" t="n">
        <f aca="false">COUNTIFS(Permissions!$B$2:$B$3000,$A234,Permissions!$I$2:$I$3000,"Yes")</f>
        <v>1</v>
      </c>
      <c r="AK234" s="22" t="str">
        <f aca="false">IF(AND(N234&lt;&gt;"",X234&gt;1.1*N234),"Consented above capacity",IF(AND(LEFT(B234,8)="Planning",AJ234=0),"Consent parcel with no permission",IF(COUNTIF($A$2:$A$3000,$A234)&gt;1,"Duplicate parcel_id","")))</f>
        <v/>
      </c>
    </row>
    <row r="235" customFormat="false" ht="15" hidden="false" customHeight="false" outlineLevel="0" collapsed="false">
      <c r="A235" s="18" t="s">
        <v>483</v>
      </c>
      <c r="B235" s="18" t="s">
        <v>12</v>
      </c>
      <c r="C235" s="18" t="s">
        <v>15</v>
      </c>
      <c r="D235" s="18"/>
      <c r="E235" s="18" t="s">
        <v>254</v>
      </c>
      <c r="F235" s="18" t="s">
        <v>142</v>
      </c>
      <c r="G235" s="18" t="s">
        <v>484</v>
      </c>
      <c r="H235" s="18"/>
      <c r="I235" s="18"/>
      <c r="J235" s="18"/>
      <c r="K235" s="18"/>
      <c r="L235" s="18" t="n">
        <v>0.196</v>
      </c>
      <c r="M235" s="18" t="n">
        <v>0.196</v>
      </c>
      <c r="N235" s="18"/>
      <c r="O235" s="18" t="s">
        <v>283</v>
      </c>
      <c r="P235" s="18"/>
      <c r="Q235" s="18" t="s">
        <v>308</v>
      </c>
      <c r="R235" s="18" t="s">
        <v>98</v>
      </c>
      <c r="S235" s="18"/>
      <c r="T235" s="19" t="n">
        <f aca="false">SUMIFS(Permissions!$F$2:$F$3000,Permissions!$B$2:$B$3000,$A235,Permissions!$H$2:$H$3000,"Complete",Permissions!$I$2:$I$3000,"Yes")</f>
        <v>0</v>
      </c>
      <c r="U235" s="19" t="n">
        <f aca="false">SUMIFS(Permissions!$F$2:$F$3000,Permissions!$B$2:$B$3000,$A235,Permissions!$H$2:$H$3000,"Under construction",Permissions!$I$2:$I$3000,"Yes")</f>
        <v>0</v>
      </c>
      <c r="V235" s="19" t="n">
        <f aca="false">SUMIFS(Permissions!$F$2:$F$3000,Permissions!$B$2:$B$3000,$A235,Permissions!$H$2:$H$3000,"Permitted – not started",Permissions!$I$2:$I$3000,"Yes")</f>
        <v>0</v>
      </c>
      <c r="W235" s="19" t="n">
        <f aca="false">SUMIFS(Permissions!$F$2:$F$3000,Permissions!$B$2:$B$3000,$A235,Permissions!$H$2:$H$3000,"Stalled",Permissions!$I$2:$I$3000,"Yes")</f>
        <v>0</v>
      </c>
      <c r="X235" s="19" t="n">
        <f aca="false">T235+U235+V235+W235</f>
        <v>0</v>
      </c>
      <c r="Y235" s="19" t="n">
        <f aca="false">SUMIFS(Permissions!$F$2:$F$3000,Permissions!$B$2:$B$3000,$A235,Permissions!$H$2:$H$3000,"Expired – not started",Permissions!$I$2:$I$3000,"Yes")</f>
        <v>0</v>
      </c>
      <c r="Z235" s="19" t="n">
        <f aca="false">SUMIFS(Permissions!$F$2:$F$3000,Permissions!$B$2:$B$3000,$A235,Permissions!$H$2:$H$3000,"In planning",Permissions!$I$2:$I$3000,"Yes")</f>
        <v>12</v>
      </c>
      <c r="AA235" s="19" t="n">
        <f aca="false">IF(N235="",0,MAX(N235-X235,0))</f>
        <v>0</v>
      </c>
      <c r="AB235" s="20" t="n">
        <f aca="false">X235+AA235</f>
        <v>0</v>
      </c>
      <c r="AC235" s="19" t="n">
        <f aca="false">AB235-T235</f>
        <v>0</v>
      </c>
      <c r="AD235" s="21" t="n">
        <f aca="false">SUMIFS(Permissions!$T$2:$T$3000,Permissions!$B$2:$B$3000,$A235,Permissions!$I$2:$I$3000,"Yes")</f>
        <v>0</v>
      </c>
      <c r="AE235" s="21" t="n">
        <f aca="false">SUMIFS(Permissions!$U$2:$U$3000,Permissions!$B$2:$B$3000,$A235,Permissions!$I$2:$I$3000,"Yes")</f>
        <v>0</v>
      </c>
      <c r="AF235" s="21" t="n">
        <f aca="false">SUMIFS(Permissions!$V$2:$V$3000,Permissions!$B$2:$B$3000,$A235,Permissions!$I$2:$I$3000,"Yes")</f>
        <v>0</v>
      </c>
      <c r="AG235" s="21" t="n">
        <f aca="false">SUMIFS(Permissions!$W$2:$W$3000,Permissions!$B$2:$B$3000,$A235,Permissions!$I$2:$I$3000,"Yes")</f>
        <v>0</v>
      </c>
      <c r="AH235" s="21" t="n">
        <f aca="false">SUMIFS(Permissions!$X$2:$X$3000,Permissions!$B$2:$B$3000,$A235,Permissions!$I$2:$I$3000,"Yes")</f>
        <v>0</v>
      </c>
      <c r="AI235" s="21" t="n">
        <f aca="false">SUMIFS(Permissions!$Y$2:$Y$3000,Permissions!$B$2:$B$3000,$A235,Permissions!$I$2:$I$3000,"Yes")</f>
        <v>0</v>
      </c>
      <c r="AJ235" s="19" t="n">
        <f aca="false">COUNTIFS(Permissions!$B$2:$B$3000,$A235,Permissions!$I$2:$I$3000,"Yes")</f>
        <v>1</v>
      </c>
      <c r="AK235" s="22" t="str">
        <f aca="false">IF(AND(N235&lt;&gt;"",X235&gt;1.1*N235),"Consented above capacity",IF(AND(LEFT(B235,8)="Planning",AJ235=0),"Consent parcel with no permission",IF(COUNTIF($A$2:$A$3000,$A235)&gt;1,"Duplicate parcel_id","")))</f>
        <v/>
      </c>
    </row>
    <row r="236" customFormat="false" ht="15" hidden="false" customHeight="false" outlineLevel="0" collapsed="false">
      <c r="A236" s="18" t="s">
        <v>485</v>
      </c>
      <c r="B236" s="18" t="s">
        <v>12</v>
      </c>
      <c r="C236" s="18" t="s">
        <v>15</v>
      </c>
      <c r="D236" s="18"/>
      <c r="E236" s="18" t="s">
        <v>254</v>
      </c>
      <c r="F236" s="18" t="s">
        <v>142</v>
      </c>
      <c r="G236" s="18" t="s">
        <v>486</v>
      </c>
      <c r="H236" s="18"/>
      <c r="I236" s="18"/>
      <c r="J236" s="18"/>
      <c r="K236" s="18"/>
      <c r="L236" s="18" t="n">
        <v>0.196</v>
      </c>
      <c r="M236" s="18" t="n">
        <v>0.196</v>
      </c>
      <c r="N236" s="18"/>
      <c r="O236" s="18" t="s">
        <v>283</v>
      </c>
      <c r="P236" s="18"/>
      <c r="Q236" s="18" t="s">
        <v>313</v>
      </c>
      <c r="R236" s="18" t="s">
        <v>98</v>
      </c>
      <c r="S236" s="18"/>
      <c r="T236" s="19" t="n">
        <f aca="false">SUMIFS(Permissions!$F$2:$F$3000,Permissions!$B$2:$B$3000,$A236,Permissions!$H$2:$H$3000,"Complete",Permissions!$I$2:$I$3000,"Yes")</f>
        <v>0</v>
      </c>
      <c r="U236" s="19" t="n">
        <f aca="false">SUMIFS(Permissions!$F$2:$F$3000,Permissions!$B$2:$B$3000,$A236,Permissions!$H$2:$H$3000,"Under construction",Permissions!$I$2:$I$3000,"Yes")</f>
        <v>0</v>
      </c>
      <c r="V236" s="19" t="n">
        <f aca="false">SUMIFS(Permissions!$F$2:$F$3000,Permissions!$B$2:$B$3000,$A236,Permissions!$H$2:$H$3000,"Permitted – not started",Permissions!$I$2:$I$3000,"Yes")</f>
        <v>5</v>
      </c>
      <c r="W236" s="19" t="n">
        <f aca="false">SUMIFS(Permissions!$F$2:$F$3000,Permissions!$B$2:$B$3000,$A236,Permissions!$H$2:$H$3000,"Stalled",Permissions!$I$2:$I$3000,"Yes")</f>
        <v>0</v>
      </c>
      <c r="X236" s="19" t="n">
        <f aca="false">T236+U236+V236+W236</f>
        <v>5</v>
      </c>
      <c r="Y236" s="19" t="n">
        <f aca="false">SUMIFS(Permissions!$F$2:$F$3000,Permissions!$B$2:$B$3000,$A236,Permissions!$H$2:$H$3000,"Expired – not started",Permissions!$I$2:$I$3000,"Yes")</f>
        <v>0</v>
      </c>
      <c r="Z236" s="19" t="n">
        <f aca="false">SUMIFS(Permissions!$F$2:$F$3000,Permissions!$B$2:$B$3000,$A236,Permissions!$H$2:$H$3000,"In planning",Permissions!$I$2:$I$3000,"Yes")</f>
        <v>0</v>
      </c>
      <c r="AA236" s="19" t="n">
        <f aca="false">IF(N236="",0,MAX(N236-X236,0))</f>
        <v>0</v>
      </c>
      <c r="AB236" s="20" t="n">
        <f aca="false">X236+AA236</f>
        <v>5</v>
      </c>
      <c r="AC236" s="19" t="n">
        <f aca="false">AB236-T236</f>
        <v>5</v>
      </c>
      <c r="AD236" s="21" t="n">
        <f aca="false">SUMIFS(Permissions!$T$2:$T$3000,Permissions!$B$2:$B$3000,$A236,Permissions!$I$2:$I$3000,"Yes")</f>
        <v>0</v>
      </c>
      <c r="AE236" s="21" t="n">
        <f aca="false">SUMIFS(Permissions!$U$2:$U$3000,Permissions!$B$2:$B$3000,$A236,Permissions!$I$2:$I$3000,"Yes")</f>
        <v>0</v>
      </c>
      <c r="AF236" s="21" t="n">
        <f aca="false">SUMIFS(Permissions!$V$2:$V$3000,Permissions!$B$2:$B$3000,$A236,Permissions!$I$2:$I$3000,"Yes")</f>
        <v>4.4</v>
      </c>
      <c r="AG236" s="21" t="n">
        <f aca="false">SUMIFS(Permissions!$W$2:$W$3000,Permissions!$B$2:$B$3000,$A236,Permissions!$I$2:$I$3000,"Yes")</f>
        <v>0.6</v>
      </c>
      <c r="AH236" s="21" t="n">
        <f aca="false">SUMIFS(Permissions!$X$2:$X$3000,Permissions!$B$2:$B$3000,$A236,Permissions!$I$2:$I$3000,"Yes")</f>
        <v>0</v>
      </c>
      <c r="AI236" s="21" t="n">
        <f aca="false">SUMIFS(Permissions!$Y$2:$Y$3000,Permissions!$B$2:$B$3000,$A236,Permissions!$I$2:$I$3000,"Yes")</f>
        <v>0</v>
      </c>
      <c r="AJ236" s="19" t="n">
        <f aca="false">COUNTIFS(Permissions!$B$2:$B$3000,$A236,Permissions!$I$2:$I$3000,"Yes")</f>
        <v>1</v>
      </c>
      <c r="AK236" s="22" t="str">
        <f aca="false">IF(AND(N236&lt;&gt;"",X236&gt;1.1*N236),"Consented above capacity",IF(AND(LEFT(B236,8)="Planning",AJ236=0),"Consent parcel with no permission",IF(COUNTIF($A$2:$A$3000,$A236)&gt;1,"Duplicate parcel_id","")))</f>
        <v/>
      </c>
    </row>
    <row r="237" customFormat="false" ht="15" hidden="false" customHeight="false" outlineLevel="0" collapsed="false">
      <c r="A237" s="18" t="s">
        <v>487</v>
      </c>
      <c r="B237" s="18" t="s">
        <v>12</v>
      </c>
      <c r="C237" s="18" t="s">
        <v>15</v>
      </c>
      <c r="D237" s="18"/>
      <c r="E237" s="18" t="s">
        <v>254</v>
      </c>
      <c r="F237" s="18" t="s">
        <v>142</v>
      </c>
      <c r="G237" s="18" t="s">
        <v>488</v>
      </c>
      <c r="H237" s="18"/>
      <c r="I237" s="18"/>
      <c r="J237" s="18"/>
      <c r="K237" s="18"/>
      <c r="L237" s="18" t="n">
        <v>0.196</v>
      </c>
      <c r="M237" s="18" t="n">
        <v>0.196</v>
      </c>
      <c r="N237" s="18"/>
      <c r="O237" s="18" t="s">
        <v>283</v>
      </c>
      <c r="P237" s="18"/>
      <c r="Q237" s="18" t="s">
        <v>308</v>
      </c>
      <c r="R237" s="18" t="s">
        <v>98</v>
      </c>
      <c r="S237" s="18"/>
      <c r="T237" s="19" t="n">
        <f aca="false">SUMIFS(Permissions!$F$2:$F$3000,Permissions!$B$2:$B$3000,$A237,Permissions!$H$2:$H$3000,"Complete",Permissions!$I$2:$I$3000,"Yes")</f>
        <v>14</v>
      </c>
      <c r="U237" s="19" t="n">
        <f aca="false">SUMIFS(Permissions!$F$2:$F$3000,Permissions!$B$2:$B$3000,$A237,Permissions!$H$2:$H$3000,"Under construction",Permissions!$I$2:$I$3000,"Yes")</f>
        <v>0</v>
      </c>
      <c r="V237" s="19" t="n">
        <f aca="false">SUMIFS(Permissions!$F$2:$F$3000,Permissions!$B$2:$B$3000,$A237,Permissions!$H$2:$H$3000,"Permitted – not started",Permissions!$I$2:$I$3000,"Yes")</f>
        <v>0</v>
      </c>
      <c r="W237" s="19" t="n">
        <f aca="false">SUMIFS(Permissions!$F$2:$F$3000,Permissions!$B$2:$B$3000,$A237,Permissions!$H$2:$H$3000,"Stalled",Permissions!$I$2:$I$3000,"Yes")</f>
        <v>0</v>
      </c>
      <c r="X237" s="19" t="n">
        <f aca="false">T237+U237+V237+W237</f>
        <v>14</v>
      </c>
      <c r="Y237" s="19" t="n">
        <f aca="false">SUMIFS(Permissions!$F$2:$F$3000,Permissions!$B$2:$B$3000,$A237,Permissions!$H$2:$H$3000,"Expired – not started",Permissions!$I$2:$I$3000,"Yes")</f>
        <v>0</v>
      </c>
      <c r="Z237" s="19" t="n">
        <f aca="false">SUMIFS(Permissions!$F$2:$F$3000,Permissions!$B$2:$B$3000,$A237,Permissions!$H$2:$H$3000,"In planning",Permissions!$I$2:$I$3000,"Yes")</f>
        <v>0</v>
      </c>
      <c r="AA237" s="19" t="n">
        <f aca="false">IF(N237="",0,MAX(N237-X237,0))</f>
        <v>0</v>
      </c>
      <c r="AB237" s="20" t="n">
        <f aca="false">X237+AA237</f>
        <v>14</v>
      </c>
      <c r="AC237" s="19" t="n">
        <f aca="false">AB237-T237</f>
        <v>0</v>
      </c>
      <c r="AD237" s="21" t="n">
        <f aca="false">SUMIFS(Permissions!$T$2:$T$3000,Permissions!$B$2:$B$3000,$A237,Permissions!$I$2:$I$3000,"Yes")</f>
        <v>0</v>
      </c>
      <c r="AE237" s="21" t="n">
        <f aca="false">SUMIFS(Permissions!$U$2:$U$3000,Permissions!$B$2:$B$3000,$A237,Permissions!$I$2:$I$3000,"Yes")</f>
        <v>0</v>
      </c>
      <c r="AF237" s="21" t="n">
        <f aca="false">SUMIFS(Permissions!$V$2:$V$3000,Permissions!$B$2:$B$3000,$A237,Permissions!$I$2:$I$3000,"Yes")</f>
        <v>0</v>
      </c>
      <c r="AG237" s="21" t="n">
        <f aca="false">SUMIFS(Permissions!$W$2:$W$3000,Permissions!$B$2:$B$3000,$A237,Permissions!$I$2:$I$3000,"Yes")</f>
        <v>0</v>
      </c>
      <c r="AH237" s="21" t="n">
        <f aca="false">SUMIFS(Permissions!$X$2:$X$3000,Permissions!$B$2:$B$3000,$A237,Permissions!$I$2:$I$3000,"Yes")</f>
        <v>0</v>
      </c>
      <c r="AI237" s="21" t="n">
        <f aca="false">SUMIFS(Permissions!$Y$2:$Y$3000,Permissions!$B$2:$B$3000,$A237,Permissions!$I$2:$I$3000,"Yes")</f>
        <v>0</v>
      </c>
      <c r="AJ237" s="19" t="n">
        <f aca="false">COUNTIFS(Permissions!$B$2:$B$3000,$A237,Permissions!$I$2:$I$3000,"Yes")</f>
        <v>1</v>
      </c>
      <c r="AK237" s="22" t="str">
        <f aca="false">IF(AND(N237&lt;&gt;"",X237&gt;1.1*N237),"Consented above capacity",IF(AND(LEFT(B237,8)="Planning",AJ237=0),"Consent parcel with no permission",IF(COUNTIF($A$2:$A$3000,$A237)&gt;1,"Duplicate parcel_id","")))</f>
        <v/>
      </c>
    </row>
    <row r="238" customFormat="false" ht="15" hidden="false" customHeight="false" outlineLevel="0" collapsed="false">
      <c r="A238" s="18" t="s">
        <v>489</v>
      </c>
      <c r="B238" s="18" t="s">
        <v>12</v>
      </c>
      <c r="C238" s="18" t="s">
        <v>15</v>
      </c>
      <c r="D238" s="18"/>
      <c r="E238" s="18" t="s">
        <v>254</v>
      </c>
      <c r="F238" s="18" t="s">
        <v>142</v>
      </c>
      <c r="G238" s="18" t="s">
        <v>490</v>
      </c>
      <c r="H238" s="18"/>
      <c r="I238" s="18"/>
      <c r="J238" s="18"/>
      <c r="K238" s="18"/>
      <c r="L238" s="18" t="n">
        <v>0.187</v>
      </c>
      <c r="M238" s="18" t="n">
        <v>0.187</v>
      </c>
      <c r="N238" s="18"/>
      <c r="O238" s="18" t="s">
        <v>283</v>
      </c>
      <c r="P238" s="18"/>
      <c r="Q238" s="18" t="s">
        <v>313</v>
      </c>
      <c r="R238" s="18" t="s">
        <v>98</v>
      </c>
      <c r="S238" s="18"/>
      <c r="T238" s="19" t="n">
        <f aca="false">SUMIFS(Permissions!$F$2:$F$3000,Permissions!$B$2:$B$3000,$A238,Permissions!$H$2:$H$3000,"Complete",Permissions!$I$2:$I$3000,"Yes")</f>
        <v>0</v>
      </c>
      <c r="U238" s="19" t="n">
        <f aca="false">SUMIFS(Permissions!$F$2:$F$3000,Permissions!$B$2:$B$3000,$A238,Permissions!$H$2:$H$3000,"Under construction",Permissions!$I$2:$I$3000,"Yes")</f>
        <v>0</v>
      </c>
      <c r="V238" s="19" t="n">
        <f aca="false">SUMIFS(Permissions!$F$2:$F$3000,Permissions!$B$2:$B$3000,$A238,Permissions!$H$2:$H$3000,"Permitted – not started",Permissions!$I$2:$I$3000,"Yes")</f>
        <v>0</v>
      </c>
      <c r="W238" s="19" t="n">
        <f aca="false">SUMIFS(Permissions!$F$2:$F$3000,Permissions!$B$2:$B$3000,$A238,Permissions!$H$2:$H$3000,"Stalled",Permissions!$I$2:$I$3000,"Yes")</f>
        <v>0</v>
      </c>
      <c r="X238" s="19" t="n">
        <f aca="false">T238+U238+V238+W238</f>
        <v>0</v>
      </c>
      <c r="Y238" s="19" t="n">
        <f aca="false">SUMIFS(Permissions!$F$2:$F$3000,Permissions!$B$2:$B$3000,$A238,Permissions!$H$2:$H$3000,"Expired – not started",Permissions!$I$2:$I$3000,"Yes")</f>
        <v>0</v>
      </c>
      <c r="Z238" s="19" t="n">
        <f aca="false">SUMIFS(Permissions!$F$2:$F$3000,Permissions!$B$2:$B$3000,$A238,Permissions!$H$2:$H$3000,"In planning",Permissions!$I$2:$I$3000,"Yes")</f>
        <v>4</v>
      </c>
      <c r="AA238" s="19" t="n">
        <f aca="false">IF(N238="",0,MAX(N238-X238,0))</f>
        <v>0</v>
      </c>
      <c r="AB238" s="20" t="n">
        <f aca="false">X238+AA238</f>
        <v>0</v>
      </c>
      <c r="AC238" s="19" t="n">
        <f aca="false">AB238-T238</f>
        <v>0</v>
      </c>
      <c r="AD238" s="21" t="n">
        <f aca="false">SUMIFS(Permissions!$T$2:$T$3000,Permissions!$B$2:$B$3000,$A238,Permissions!$I$2:$I$3000,"Yes")</f>
        <v>0</v>
      </c>
      <c r="AE238" s="21" t="n">
        <f aca="false">SUMIFS(Permissions!$U$2:$U$3000,Permissions!$B$2:$B$3000,$A238,Permissions!$I$2:$I$3000,"Yes")</f>
        <v>0</v>
      </c>
      <c r="AF238" s="21" t="n">
        <f aca="false">SUMIFS(Permissions!$V$2:$V$3000,Permissions!$B$2:$B$3000,$A238,Permissions!$I$2:$I$3000,"Yes")</f>
        <v>0</v>
      </c>
      <c r="AG238" s="21" t="n">
        <f aca="false">SUMIFS(Permissions!$W$2:$W$3000,Permissions!$B$2:$B$3000,$A238,Permissions!$I$2:$I$3000,"Yes")</f>
        <v>0</v>
      </c>
      <c r="AH238" s="21" t="n">
        <f aca="false">SUMIFS(Permissions!$X$2:$X$3000,Permissions!$B$2:$B$3000,$A238,Permissions!$I$2:$I$3000,"Yes")</f>
        <v>0</v>
      </c>
      <c r="AI238" s="21" t="n">
        <f aca="false">SUMIFS(Permissions!$Y$2:$Y$3000,Permissions!$B$2:$B$3000,$A238,Permissions!$I$2:$I$3000,"Yes")</f>
        <v>0</v>
      </c>
      <c r="AJ238" s="19" t="n">
        <f aca="false">COUNTIFS(Permissions!$B$2:$B$3000,$A238,Permissions!$I$2:$I$3000,"Yes")</f>
        <v>1</v>
      </c>
      <c r="AK238" s="22" t="str">
        <f aca="false">IF(AND(N238&lt;&gt;"",X238&gt;1.1*N238),"Consented above capacity",IF(AND(LEFT(B238,8)="Planning",AJ238=0),"Consent parcel with no permission",IF(COUNTIF($A$2:$A$3000,$A238)&gt;1,"Duplicate parcel_id","")))</f>
        <v/>
      </c>
    </row>
    <row r="239" customFormat="false" ht="15" hidden="false" customHeight="false" outlineLevel="0" collapsed="false">
      <c r="A239" s="18" t="s">
        <v>491</v>
      </c>
      <c r="B239" s="18" t="s">
        <v>12</v>
      </c>
      <c r="C239" s="18" t="s">
        <v>16</v>
      </c>
      <c r="D239" s="18"/>
      <c r="E239" s="18" t="s">
        <v>492</v>
      </c>
      <c r="F239" s="18" t="s">
        <v>493</v>
      </c>
      <c r="G239" s="18" t="s">
        <v>494</v>
      </c>
      <c r="H239" s="18"/>
      <c r="I239" s="18"/>
      <c r="J239" s="18"/>
      <c r="K239" s="18"/>
      <c r="L239" s="18" t="n">
        <v>0.818</v>
      </c>
      <c r="M239" s="18" t="n">
        <v>0.818</v>
      </c>
      <c r="N239" s="18"/>
      <c r="O239" s="18" t="s">
        <v>283</v>
      </c>
      <c r="P239" s="18"/>
      <c r="Q239" s="18" t="s">
        <v>308</v>
      </c>
      <c r="R239" s="18" t="s">
        <v>98</v>
      </c>
      <c r="S239" s="18"/>
      <c r="T239" s="19" t="n">
        <f aca="false">SUMIFS(Permissions!$F$2:$F$3000,Permissions!$B$2:$B$3000,$A239,Permissions!$H$2:$H$3000,"Complete",Permissions!$I$2:$I$3000,"Yes")</f>
        <v>3</v>
      </c>
      <c r="U239" s="19" t="n">
        <f aca="false">SUMIFS(Permissions!$F$2:$F$3000,Permissions!$B$2:$B$3000,$A239,Permissions!$H$2:$H$3000,"Under construction",Permissions!$I$2:$I$3000,"Yes")</f>
        <v>0</v>
      </c>
      <c r="V239" s="19" t="n">
        <f aca="false">SUMIFS(Permissions!$F$2:$F$3000,Permissions!$B$2:$B$3000,$A239,Permissions!$H$2:$H$3000,"Permitted – not started",Permissions!$I$2:$I$3000,"Yes")</f>
        <v>3</v>
      </c>
      <c r="W239" s="19" t="n">
        <f aca="false">SUMIFS(Permissions!$F$2:$F$3000,Permissions!$B$2:$B$3000,$A239,Permissions!$H$2:$H$3000,"Stalled",Permissions!$I$2:$I$3000,"Yes")</f>
        <v>0</v>
      </c>
      <c r="X239" s="19" t="n">
        <f aca="false">T239+U239+V239+W239</f>
        <v>6</v>
      </c>
      <c r="Y239" s="19" t="n">
        <f aca="false">SUMIFS(Permissions!$F$2:$F$3000,Permissions!$B$2:$B$3000,$A239,Permissions!$H$2:$H$3000,"Expired – not started",Permissions!$I$2:$I$3000,"Yes")</f>
        <v>0</v>
      </c>
      <c r="Z239" s="19" t="n">
        <f aca="false">SUMIFS(Permissions!$F$2:$F$3000,Permissions!$B$2:$B$3000,$A239,Permissions!$H$2:$H$3000,"In planning",Permissions!$I$2:$I$3000,"Yes")</f>
        <v>0</v>
      </c>
      <c r="AA239" s="19" t="n">
        <f aca="false">IF(N239="",0,MAX(N239-X239,0))</f>
        <v>0</v>
      </c>
      <c r="AB239" s="20" t="n">
        <f aca="false">X239+AA239</f>
        <v>6</v>
      </c>
      <c r="AC239" s="19" t="n">
        <f aca="false">AB239-T239</f>
        <v>3</v>
      </c>
      <c r="AD239" s="21" t="n">
        <f aca="false">SUMIFS(Permissions!$T$2:$T$3000,Permissions!$B$2:$B$3000,$A239,Permissions!$I$2:$I$3000,"Yes")</f>
        <v>0</v>
      </c>
      <c r="AE239" s="21" t="n">
        <f aca="false">SUMIFS(Permissions!$U$2:$U$3000,Permissions!$B$2:$B$3000,$A239,Permissions!$I$2:$I$3000,"Yes")</f>
        <v>0</v>
      </c>
      <c r="AF239" s="21" t="n">
        <f aca="false">SUMIFS(Permissions!$V$2:$V$3000,Permissions!$B$2:$B$3000,$A239,Permissions!$I$2:$I$3000,"Yes")</f>
        <v>2.6</v>
      </c>
      <c r="AG239" s="21" t="n">
        <f aca="false">SUMIFS(Permissions!$W$2:$W$3000,Permissions!$B$2:$B$3000,$A239,Permissions!$I$2:$I$3000,"Yes")</f>
        <v>0.4</v>
      </c>
      <c r="AH239" s="21" t="n">
        <f aca="false">SUMIFS(Permissions!$X$2:$X$3000,Permissions!$B$2:$B$3000,$A239,Permissions!$I$2:$I$3000,"Yes")</f>
        <v>0</v>
      </c>
      <c r="AI239" s="21" t="n">
        <f aca="false">SUMIFS(Permissions!$Y$2:$Y$3000,Permissions!$B$2:$B$3000,$A239,Permissions!$I$2:$I$3000,"Yes")</f>
        <v>0</v>
      </c>
      <c r="AJ239" s="19" t="n">
        <f aca="false">COUNTIFS(Permissions!$B$2:$B$3000,$A239,Permissions!$I$2:$I$3000,"Yes")</f>
        <v>2</v>
      </c>
      <c r="AK239" s="22" t="str">
        <f aca="false">IF(AND(N239&lt;&gt;"",X239&gt;1.1*N239),"Consented above capacity",IF(AND(LEFT(B239,8)="Planning",AJ239=0),"Consent parcel with no permission",IF(COUNTIF($A$2:$A$3000,$A239)&gt;1,"Duplicate parcel_id","")))</f>
        <v/>
      </c>
    </row>
    <row r="240" customFormat="false" ht="15" hidden="false" customHeight="false" outlineLevel="0" collapsed="false">
      <c r="A240" s="18" t="s">
        <v>495</v>
      </c>
      <c r="B240" s="18" t="s">
        <v>12</v>
      </c>
      <c r="C240" s="18" t="s">
        <v>16</v>
      </c>
      <c r="D240" s="18"/>
      <c r="E240" s="18" t="s">
        <v>492</v>
      </c>
      <c r="F240" s="18" t="s">
        <v>89</v>
      </c>
      <c r="G240" s="18" t="s">
        <v>496</v>
      </c>
      <c r="H240" s="18"/>
      <c r="I240" s="18"/>
      <c r="J240" s="18"/>
      <c r="K240" s="18"/>
      <c r="L240" s="18" t="n">
        <v>0.824</v>
      </c>
      <c r="M240" s="18" t="n">
        <v>0.824</v>
      </c>
      <c r="N240" s="18"/>
      <c r="O240" s="18" t="s">
        <v>283</v>
      </c>
      <c r="P240" s="18"/>
      <c r="Q240" s="18"/>
      <c r="R240" s="18" t="s">
        <v>98</v>
      </c>
      <c r="S240" s="18"/>
      <c r="T240" s="19" t="n">
        <f aca="false">SUMIFS(Permissions!$F$2:$F$3000,Permissions!$B$2:$B$3000,$A240,Permissions!$H$2:$H$3000,"Complete",Permissions!$I$2:$I$3000,"Yes")</f>
        <v>0</v>
      </c>
      <c r="U240" s="19" t="n">
        <f aca="false">SUMIFS(Permissions!$F$2:$F$3000,Permissions!$B$2:$B$3000,$A240,Permissions!$H$2:$H$3000,"Under construction",Permissions!$I$2:$I$3000,"Yes")</f>
        <v>16</v>
      </c>
      <c r="V240" s="19" t="n">
        <f aca="false">SUMIFS(Permissions!$F$2:$F$3000,Permissions!$B$2:$B$3000,$A240,Permissions!$H$2:$H$3000,"Permitted – not started",Permissions!$I$2:$I$3000,"Yes")</f>
        <v>0</v>
      </c>
      <c r="W240" s="19" t="n">
        <f aca="false">SUMIFS(Permissions!$F$2:$F$3000,Permissions!$B$2:$B$3000,$A240,Permissions!$H$2:$H$3000,"Stalled",Permissions!$I$2:$I$3000,"Yes")</f>
        <v>0</v>
      </c>
      <c r="X240" s="19" t="n">
        <f aca="false">T240+U240+V240+W240</f>
        <v>16</v>
      </c>
      <c r="Y240" s="19" t="n">
        <f aca="false">SUMIFS(Permissions!$F$2:$F$3000,Permissions!$B$2:$B$3000,$A240,Permissions!$H$2:$H$3000,"Expired – not started",Permissions!$I$2:$I$3000,"Yes")</f>
        <v>0</v>
      </c>
      <c r="Z240" s="19" t="n">
        <f aca="false">SUMIFS(Permissions!$F$2:$F$3000,Permissions!$B$2:$B$3000,$A240,Permissions!$H$2:$H$3000,"In planning",Permissions!$I$2:$I$3000,"Yes")</f>
        <v>0</v>
      </c>
      <c r="AA240" s="19" t="n">
        <f aca="false">IF(N240="",0,MAX(N240-X240,0))</f>
        <v>0</v>
      </c>
      <c r="AB240" s="20" t="n">
        <f aca="false">X240+AA240</f>
        <v>16</v>
      </c>
      <c r="AC240" s="19" t="n">
        <f aca="false">AB240-T240</f>
        <v>16</v>
      </c>
      <c r="AD240" s="21" t="n">
        <f aca="false">SUMIFS(Permissions!$T$2:$T$3000,Permissions!$B$2:$B$3000,$A240,Permissions!$I$2:$I$3000,"Yes")</f>
        <v>3.7</v>
      </c>
      <c r="AE240" s="21" t="n">
        <f aca="false">SUMIFS(Permissions!$U$2:$U$3000,Permissions!$B$2:$B$3000,$A240,Permissions!$I$2:$I$3000,"Yes")</f>
        <v>12.3</v>
      </c>
      <c r="AF240" s="21" t="n">
        <f aca="false">SUMIFS(Permissions!$V$2:$V$3000,Permissions!$B$2:$B$3000,$A240,Permissions!$I$2:$I$3000,"Yes")</f>
        <v>0</v>
      </c>
      <c r="AG240" s="21" t="n">
        <f aca="false">SUMIFS(Permissions!$W$2:$W$3000,Permissions!$B$2:$B$3000,$A240,Permissions!$I$2:$I$3000,"Yes")</f>
        <v>0</v>
      </c>
      <c r="AH240" s="21" t="n">
        <f aca="false">SUMIFS(Permissions!$X$2:$X$3000,Permissions!$B$2:$B$3000,$A240,Permissions!$I$2:$I$3000,"Yes")</f>
        <v>0</v>
      </c>
      <c r="AI240" s="21" t="n">
        <f aca="false">SUMIFS(Permissions!$Y$2:$Y$3000,Permissions!$B$2:$B$3000,$A240,Permissions!$I$2:$I$3000,"Yes")</f>
        <v>0</v>
      </c>
      <c r="AJ240" s="19" t="n">
        <f aca="false">COUNTIFS(Permissions!$B$2:$B$3000,$A240,Permissions!$I$2:$I$3000,"Yes")</f>
        <v>1</v>
      </c>
      <c r="AK240" s="22" t="str">
        <f aca="false">IF(AND(N240&lt;&gt;"",X240&gt;1.1*N240),"Consented above capacity",IF(AND(LEFT(B240,8)="Planning",AJ240=0),"Consent parcel with no permission",IF(COUNTIF($A$2:$A$3000,$A240)&gt;1,"Duplicate parcel_id","")))</f>
        <v/>
      </c>
    </row>
    <row r="241" customFormat="false" ht="15" hidden="false" customHeight="false" outlineLevel="0" collapsed="false">
      <c r="A241" s="18" t="s">
        <v>497</v>
      </c>
      <c r="B241" s="18" t="s">
        <v>12</v>
      </c>
      <c r="C241" s="18" t="s">
        <v>16</v>
      </c>
      <c r="D241" s="18"/>
      <c r="E241" s="18" t="s">
        <v>492</v>
      </c>
      <c r="F241" s="18" t="s">
        <v>89</v>
      </c>
      <c r="G241" s="18" t="s">
        <v>498</v>
      </c>
      <c r="H241" s="18"/>
      <c r="I241" s="18"/>
      <c r="J241" s="18"/>
      <c r="K241" s="18"/>
      <c r="L241" s="18" t="n">
        <v>4.427</v>
      </c>
      <c r="M241" s="18" t="n">
        <v>4.427</v>
      </c>
      <c r="N241" s="18"/>
      <c r="O241" s="18" t="s">
        <v>283</v>
      </c>
      <c r="P241" s="18"/>
      <c r="Q241" s="18"/>
      <c r="R241" s="18" t="s">
        <v>98</v>
      </c>
      <c r="S241" s="18"/>
      <c r="T241" s="19" t="n">
        <f aca="false">SUMIFS(Permissions!$F$2:$F$3000,Permissions!$B$2:$B$3000,$A241,Permissions!$H$2:$H$3000,"Complete",Permissions!$I$2:$I$3000,"Yes")</f>
        <v>0</v>
      </c>
      <c r="U241" s="19" t="n">
        <f aca="false">SUMIFS(Permissions!$F$2:$F$3000,Permissions!$B$2:$B$3000,$A241,Permissions!$H$2:$H$3000,"Under construction",Permissions!$I$2:$I$3000,"Yes")</f>
        <v>112</v>
      </c>
      <c r="V241" s="19" t="n">
        <f aca="false">SUMIFS(Permissions!$F$2:$F$3000,Permissions!$B$2:$B$3000,$A241,Permissions!$H$2:$H$3000,"Permitted – not started",Permissions!$I$2:$I$3000,"Yes")</f>
        <v>0</v>
      </c>
      <c r="W241" s="19" t="n">
        <f aca="false">SUMIFS(Permissions!$F$2:$F$3000,Permissions!$B$2:$B$3000,$A241,Permissions!$H$2:$H$3000,"Stalled",Permissions!$I$2:$I$3000,"Yes")</f>
        <v>0</v>
      </c>
      <c r="X241" s="19" t="n">
        <f aca="false">T241+U241+V241+W241</f>
        <v>112</v>
      </c>
      <c r="Y241" s="19" t="n">
        <f aca="false">SUMIFS(Permissions!$F$2:$F$3000,Permissions!$B$2:$B$3000,$A241,Permissions!$H$2:$H$3000,"Expired – not started",Permissions!$I$2:$I$3000,"Yes")</f>
        <v>0</v>
      </c>
      <c r="Z241" s="19" t="n">
        <f aca="false">SUMIFS(Permissions!$F$2:$F$3000,Permissions!$B$2:$B$3000,$A241,Permissions!$H$2:$H$3000,"In planning",Permissions!$I$2:$I$3000,"Yes")</f>
        <v>0</v>
      </c>
      <c r="AA241" s="19" t="n">
        <f aca="false">IF(N241="",0,MAX(N241-X241,0))</f>
        <v>0</v>
      </c>
      <c r="AB241" s="20" t="n">
        <f aca="false">X241+AA241</f>
        <v>112</v>
      </c>
      <c r="AC241" s="19" t="n">
        <f aca="false">AB241-T241</f>
        <v>112</v>
      </c>
      <c r="AD241" s="21" t="n">
        <f aca="false">SUMIFS(Permissions!$T$2:$T$3000,Permissions!$B$2:$B$3000,$A241,Permissions!$I$2:$I$3000,"Yes")</f>
        <v>26.1</v>
      </c>
      <c r="AE241" s="21" t="n">
        <f aca="false">SUMIFS(Permissions!$U$2:$U$3000,Permissions!$B$2:$B$3000,$A241,Permissions!$I$2:$I$3000,"Yes")</f>
        <v>85.9</v>
      </c>
      <c r="AF241" s="21" t="n">
        <f aca="false">SUMIFS(Permissions!$V$2:$V$3000,Permissions!$B$2:$B$3000,$A241,Permissions!$I$2:$I$3000,"Yes")</f>
        <v>0</v>
      </c>
      <c r="AG241" s="21" t="n">
        <f aca="false">SUMIFS(Permissions!$W$2:$W$3000,Permissions!$B$2:$B$3000,$A241,Permissions!$I$2:$I$3000,"Yes")</f>
        <v>0</v>
      </c>
      <c r="AH241" s="21" t="n">
        <f aca="false">SUMIFS(Permissions!$X$2:$X$3000,Permissions!$B$2:$B$3000,$A241,Permissions!$I$2:$I$3000,"Yes")</f>
        <v>0</v>
      </c>
      <c r="AI241" s="21" t="n">
        <f aca="false">SUMIFS(Permissions!$Y$2:$Y$3000,Permissions!$B$2:$B$3000,$A241,Permissions!$I$2:$I$3000,"Yes")</f>
        <v>0</v>
      </c>
      <c r="AJ241" s="19" t="n">
        <f aca="false">COUNTIFS(Permissions!$B$2:$B$3000,$A241,Permissions!$I$2:$I$3000,"Yes")</f>
        <v>3</v>
      </c>
      <c r="AK241" s="22" t="str">
        <f aca="false">IF(AND(N241&lt;&gt;"",X241&gt;1.1*N241),"Consented above capacity",IF(AND(LEFT(B241,8)="Planning",AJ241=0),"Consent parcel with no permission",IF(COUNTIF($A$2:$A$3000,$A241)&gt;1,"Duplicate parcel_id","")))</f>
        <v/>
      </c>
    </row>
    <row r="242" customFormat="false" ht="15" hidden="false" customHeight="false" outlineLevel="0" collapsed="false">
      <c r="A242" s="18" t="s">
        <v>499</v>
      </c>
      <c r="B242" s="18" t="s">
        <v>12</v>
      </c>
      <c r="C242" s="18" t="s">
        <v>16</v>
      </c>
      <c r="D242" s="18"/>
      <c r="E242" s="18" t="s">
        <v>492</v>
      </c>
      <c r="F242" s="18" t="s">
        <v>493</v>
      </c>
      <c r="G242" s="18" t="s">
        <v>500</v>
      </c>
      <c r="H242" s="18"/>
      <c r="I242" s="18"/>
      <c r="J242" s="18"/>
      <c r="K242" s="18"/>
      <c r="L242" s="18" t="n">
        <v>1.015</v>
      </c>
      <c r="M242" s="18" t="n">
        <v>1.015</v>
      </c>
      <c r="N242" s="18"/>
      <c r="O242" s="18" t="s">
        <v>283</v>
      </c>
      <c r="P242" s="18"/>
      <c r="Q242" s="18"/>
      <c r="R242" s="18" t="s">
        <v>98</v>
      </c>
      <c r="S242" s="18"/>
      <c r="T242" s="19" t="n">
        <f aca="false">SUMIFS(Permissions!$F$2:$F$3000,Permissions!$B$2:$B$3000,$A242,Permissions!$H$2:$H$3000,"Complete",Permissions!$I$2:$I$3000,"Yes")</f>
        <v>20</v>
      </c>
      <c r="U242" s="19" t="n">
        <f aca="false">SUMIFS(Permissions!$F$2:$F$3000,Permissions!$B$2:$B$3000,$A242,Permissions!$H$2:$H$3000,"Under construction",Permissions!$I$2:$I$3000,"Yes")</f>
        <v>0</v>
      </c>
      <c r="V242" s="19" t="n">
        <f aca="false">SUMIFS(Permissions!$F$2:$F$3000,Permissions!$B$2:$B$3000,$A242,Permissions!$H$2:$H$3000,"Permitted – not started",Permissions!$I$2:$I$3000,"Yes")</f>
        <v>0</v>
      </c>
      <c r="W242" s="19" t="n">
        <f aca="false">SUMIFS(Permissions!$F$2:$F$3000,Permissions!$B$2:$B$3000,$A242,Permissions!$H$2:$H$3000,"Stalled",Permissions!$I$2:$I$3000,"Yes")</f>
        <v>0</v>
      </c>
      <c r="X242" s="19" t="n">
        <f aca="false">T242+U242+V242+W242</f>
        <v>20</v>
      </c>
      <c r="Y242" s="19" t="n">
        <f aca="false">SUMIFS(Permissions!$F$2:$F$3000,Permissions!$B$2:$B$3000,$A242,Permissions!$H$2:$H$3000,"Expired – not started",Permissions!$I$2:$I$3000,"Yes")</f>
        <v>0</v>
      </c>
      <c r="Z242" s="19" t="n">
        <f aca="false">SUMIFS(Permissions!$F$2:$F$3000,Permissions!$B$2:$B$3000,$A242,Permissions!$H$2:$H$3000,"In planning",Permissions!$I$2:$I$3000,"Yes")</f>
        <v>0</v>
      </c>
      <c r="AA242" s="19" t="n">
        <f aca="false">IF(N242="",0,MAX(N242-X242,0))</f>
        <v>0</v>
      </c>
      <c r="AB242" s="20" t="n">
        <f aca="false">X242+AA242</f>
        <v>20</v>
      </c>
      <c r="AC242" s="19" t="n">
        <f aca="false">AB242-T242</f>
        <v>0</v>
      </c>
      <c r="AD242" s="21" t="n">
        <f aca="false">SUMIFS(Permissions!$T$2:$T$3000,Permissions!$B$2:$B$3000,$A242,Permissions!$I$2:$I$3000,"Yes")</f>
        <v>0</v>
      </c>
      <c r="AE242" s="21" t="n">
        <f aca="false">SUMIFS(Permissions!$U$2:$U$3000,Permissions!$B$2:$B$3000,$A242,Permissions!$I$2:$I$3000,"Yes")</f>
        <v>0</v>
      </c>
      <c r="AF242" s="21" t="n">
        <f aca="false">SUMIFS(Permissions!$V$2:$V$3000,Permissions!$B$2:$B$3000,$A242,Permissions!$I$2:$I$3000,"Yes")</f>
        <v>0</v>
      </c>
      <c r="AG242" s="21" t="n">
        <f aca="false">SUMIFS(Permissions!$W$2:$W$3000,Permissions!$B$2:$B$3000,$A242,Permissions!$I$2:$I$3000,"Yes")</f>
        <v>0</v>
      </c>
      <c r="AH242" s="21" t="n">
        <f aca="false">SUMIFS(Permissions!$X$2:$X$3000,Permissions!$B$2:$B$3000,$A242,Permissions!$I$2:$I$3000,"Yes")</f>
        <v>0</v>
      </c>
      <c r="AI242" s="21" t="n">
        <f aca="false">SUMIFS(Permissions!$Y$2:$Y$3000,Permissions!$B$2:$B$3000,$A242,Permissions!$I$2:$I$3000,"Yes")</f>
        <v>0</v>
      </c>
      <c r="AJ242" s="19" t="n">
        <f aca="false">COUNTIFS(Permissions!$B$2:$B$3000,$A242,Permissions!$I$2:$I$3000,"Yes")</f>
        <v>1</v>
      </c>
      <c r="AK242" s="22" t="str">
        <f aca="false">IF(AND(N242&lt;&gt;"",X242&gt;1.1*N242),"Consented above capacity",IF(AND(LEFT(B242,8)="Planning",AJ242=0),"Consent parcel with no permission",IF(COUNTIF($A$2:$A$3000,$A242)&gt;1,"Duplicate parcel_id","")))</f>
        <v/>
      </c>
    </row>
    <row r="243" customFormat="false" ht="15" hidden="false" customHeight="false" outlineLevel="0" collapsed="false">
      <c r="A243" s="18" t="s">
        <v>501</v>
      </c>
      <c r="B243" s="18" t="s">
        <v>12</v>
      </c>
      <c r="C243" s="18" t="s">
        <v>16</v>
      </c>
      <c r="D243" s="18"/>
      <c r="E243" s="18" t="s">
        <v>492</v>
      </c>
      <c r="F243" s="18" t="s">
        <v>502</v>
      </c>
      <c r="G243" s="18" t="s">
        <v>503</v>
      </c>
      <c r="H243" s="18"/>
      <c r="I243" s="18"/>
      <c r="J243" s="18"/>
      <c r="K243" s="18"/>
      <c r="L243" s="18" t="n">
        <v>0.115</v>
      </c>
      <c r="M243" s="18" t="n">
        <v>0.115</v>
      </c>
      <c r="N243" s="18"/>
      <c r="O243" s="18" t="s">
        <v>283</v>
      </c>
      <c r="P243" s="18"/>
      <c r="Q243" s="18"/>
      <c r="R243" s="18" t="s">
        <v>98</v>
      </c>
      <c r="S243" s="18"/>
      <c r="T243" s="19" t="n">
        <f aca="false">SUMIFS(Permissions!$F$2:$F$3000,Permissions!$B$2:$B$3000,$A243,Permissions!$H$2:$H$3000,"Complete",Permissions!$I$2:$I$3000,"Yes")</f>
        <v>0</v>
      </c>
      <c r="U243" s="19" t="n">
        <f aca="false">SUMIFS(Permissions!$F$2:$F$3000,Permissions!$B$2:$B$3000,$A243,Permissions!$H$2:$H$3000,"Under construction",Permissions!$I$2:$I$3000,"Yes")</f>
        <v>0</v>
      </c>
      <c r="V243" s="19" t="n">
        <f aca="false">SUMIFS(Permissions!$F$2:$F$3000,Permissions!$B$2:$B$3000,$A243,Permissions!$H$2:$H$3000,"Permitted – not started",Permissions!$I$2:$I$3000,"Yes")</f>
        <v>7</v>
      </c>
      <c r="W243" s="19" t="n">
        <f aca="false">SUMIFS(Permissions!$F$2:$F$3000,Permissions!$B$2:$B$3000,$A243,Permissions!$H$2:$H$3000,"Stalled",Permissions!$I$2:$I$3000,"Yes")</f>
        <v>0</v>
      </c>
      <c r="X243" s="19" t="n">
        <f aca="false">T243+U243+V243+W243</f>
        <v>7</v>
      </c>
      <c r="Y243" s="19" t="n">
        <f aca="false">SUMIFS(Permissions!$F$2:$F$3000,Permissions!$B$2:$B$3000,$A243,Permissions!$H$2:$H$3000,"Expired – not started",Permissions!$I$2:$I$3000,"Yes")</f>
        <v>0</v>
      </c>
      <c r="Z243" s="19" t="n">
        <f aca="false">SUMIFS(Permissions!$F$2:$F$3000,Permissions!$B$2:$B$3000,$A243,Permissions!$H$2:$H$3000,"In planning",Permissions!$I$2:$I$3000,"Yes")</f>
        <v>0</v>
      </c>
      <c r="AA243" s="19" t="n">
        <f aca="false">IF(N243="",0,MAX(N243-X243,0))</f>
        <v>0</v>
      </c>
      <c r="AB243" s="20" t="n">
        <f aca="false">X243+AA243</f>
        <v>7</v>
      </c>
      <c r="AC243" s="19" t="n">
        <f aca="false">AB243-T243</f>
        <v>7</v>
      </c>
      <c r="AD243" s="21" t="n">
        <f aca="false">SUMIFS(Permissions!$T$2:$T$3000,Permissions!$B$2:$B$3000,$A243,Permissions!$I$2:$I$3000,"Yes")</f>
        <v>0</v>
      </c>
      <c r="AE243" s="21" t="n">
        <f aca="false">SUMIFS(Permissions!$U$2:$U$3000,Permissions!$B$2:$B$3000,$A243,Permissions!$I$2:$I$3000,"Yes")</f>
        <v>0</v>
      </c>
      <c r="AF243" s="21" t="n">
        <f aca="false">SUMIFS(Permissions!$V$2:$V$3000,Permissions!$B$2:$B$3000,$A243,Permissions!$I$2:$I$3000,"Yes")</f>
        <v>4.4</v>
      </c>
      <c r="AG243" s="21" t="n">
        <f aca="false">SUMIFS(Permissions!$W$2:$W$3000,Permissions!$B$2:$B$3000,$A243,Permissions!$I$2:$I$3000,"Yes")</f>
        <v>2.6</v>
      </c>
      <c r="AH243" s="21" t="n">
        <f aca="false">SUMIFS(Permissions!$X$2:$X$3000,Permissions!$B$2:$B$3000,$A243,Permissions!$I$2:$I$3000,"Yes")</f>
        <v>0</v>
      </c>
      <c r="AI243" s="21" t="n">
        <f aca="false">SUMIFS(Permissions!$Y$2:$Y$3000,Permissions!$B$2:$B$3000,$A243,Permissions!$I$2:$I$3000,"Yes")</f>
        <v>0</v>
      </c>
      <c r="AJ243" s="19" t="n">
        <f aca="false">COUNTIFS(Permissions!$B$2:$B$3000,$A243,Permissions!$I$2:$I$3000,"Yes")</f>
        <v>1</v>
      </c>
      <c r="AK243" s="22" t="str">
        <f aca="false">IF(AND(N243&lt;&gt;"",X243&gt;1.1*N243),"Consented above capacity",IF(AND(LEFT(B243,8)="Planning",AJ243=0),"Consent parcel with no permission",IF(COUNTIF($A$2:$A$3000,$A243)&gt;1,"Duplicate parcel_id","")))</f>
        <v/>
      </c>
    </row>
    <row r="244" customFormat="false" ht="15" hidden="false" customHeight="false" outlineLevel="0" collapsed="false">
      <c r="A244" s="18" t="s">
        <v>504</v>
      </c>
      <c r="B244" s="18" t="s">
        <v>12</v>
      </c>
      <c r="C244" s="18" t="s">
        <v>16</v>
      </c>
      <c r="D244" s="18"/>
      <c r="E244" s="18" t="s">
        <v>492</v>
      </c>
      <c r="F244" s="18" t="s">
        <v>502</v>
      </c>
      <c r="G244" s="18" t="s">
        <v>505</v>
      </c>
      <c r="H244" s="18"/>
      <c r="I244" s="18"/>
      <c r="J244" s="18"/>
      <c r="K244" s="18"/>
      <c r="L244" s="18" t="n">
        <v>0.132</v>
      </c>
      <c r="M244" s="18" t="n">
        <v>0.132</v>
      </c>
      <c r="N244" s="18"/>
      <c r="O244" s="18" t="s">
        <v>283</v>
      </c>
      <c r="P244" s="18"/>
      <c r="Q244" s="18"/>
      <c r="R244" s="18" t="s">
        <v>98</v>
      </c>
      <c r="S244" s="18"/>
      <c r="T244" s="19" t="n">
        <f aca="false">SUMIFS(Permissions!$F$2:$F$3000,Permissions!$B$2:$B$3000,$A244,Permissions!$H$2:$H$3000,"Complete",Permissions!$I$2:$I$3000,"Yes")</f>
        <v>6</v>
      </c>
      <c r="U244" s="19" t="n">
        <f aca="false">SUMIFS(Permissions!$F$2:$F$3000,Permissions!$B$2:$B$3000,$A244,Permissions!$H$2:$H$3000,"Under construction",Permissions!$I$2:$I$3000,"Yes")</f>
        <v>0</v>
      </c>
      <c r="V244" s="19" t="n">
        <f aca="false">SUMIFS(Permissions!$F$2:$F$3000,Permissions!$B$2:$B$3000,$A244,Permissions!$H$2:$H$3000,"Permitted – not started",Permissions!$I$2:$I$3000,"Yes")</f>
        <v>0</v>
      </c>
      <c r="W244" s="19" t="n">
        <f aca="false">SUMIFS(Permissions!$F$2:$F$3000,Permissions!$B$2:$B$3000,$A244,Permissions!$H$2:$H$3000,"Stalled",Permissions!$I$2:$I$3000,"Yes")</f>
        <v>0</v>
      </c>
      <c r="X244" s="19" t="n">
        <f aca="false">T244+U244+V244+W244</f>
        <v>6</v>
      </c>
      <c r="Y244" s="19" t="n">
        <f aca="false">SUMIFS(Permissions!$F$2:$F$3000,Permissions!$B$2:$B$3000,$A244,Permissions!$H$2:$H$3000,"Expired – not started",Permissions!$I$2:$I$3000,"Yes")</f>
        <v>0</v>
      </c>
      <c r="Z244" s="19" t="n">
        <f aca="false">SUMIFS(Permissions!$F$2:$F$3000,Permissions!$B$2:$B$3000,$A244,Permissions!$H$2:$H$3000,"In planning",Permissions!$I$2:$I$3000,"Yes")</f>
        <v>0</v>
      </c>
      <c r="AA244" s="19" t="n">
        <f aca="false">IF(N244="",0,MAX(N244-X244,0))</f>
        <v>0</v>
      </c>
      <c r="AB244" s="20" t="n">
        <f aca="false">X244+AA244</f>
        <v>6</v>
      </c>
      <c r="AC244" s="19" t="n">
        <f aca="false">AB244-T244</f>
        <v>0</v>
      </c>
      <c r="AD244" s="21" t="n">
        <f aca="false">SUMIFS(Permissions!$T$2:$T$3000,Permissions!$B$2:$B$3000,$A244,Permissions!$I$2:$I$3000,"Yes")</f>
        <v>0</v>
      </c>
      <c r="AE244" s="21" t="n">
        <f aca="false">SUMIFS(Permissions!$U$2:$U$3000,Permissions!$B$2:$B$3000,$A244,Permissions!$I$2:$I$3000,"Yes")</f>
        <v>0</v>
      </c>
      <c r="AF244" s="21" t="n">
        <f aca="false">SUMIFS(Permissions!$V$2:$V$3000,Permissions!$B$2:$B$3000,$A244,Permissions!$I$2:$I$3000,"Yes")</f>
        <v>0</v>
      </c>
      <c r="AG244" s="21" t="n">
        <f aca="false">SUMIFS(Permissions!$W$2:$W$3000,Permissions!$B$2:$B$3000,$A244,Permissions!$I$2:$I$3000,"Yes")</f>
        <v>0</v>
      </c>
      <c r="AH244" s="21" t="n">
        <f aca="false">SUMIFS(Permissions!$X$2:$X$3000,Permissions!$B$2:$B$3000,$A244,Permissions!$I$2:$I$3000,"Yes")</f>
        <v>0</v>
      </c>
      <c r="AI244" s="21" t="n">
        <f aca="false">SUMIFS(Permissions!$Y$2:$Y$3000,Permissions!$B$2:$B$3000,$A244,Permissions!$I$2:$I$3000,"Yes")</f>
        <v>0</v>
      </c>
      <c r="AJ244" s="19" t="n">
        <f aca="false">COUNTIFS(Permissions!$B$2:$B$3000,$A244,Permissions!$I$2:$I$3000,"Yes")</f>
        <v>1</v>
      </c>
      <c r="AK244" s="22" t="str">
        <f aca="false">IF(AND(N244&lt;&gt;"",X244&gt;1.1*N244),"Consented above capacity",IF(AND(LEFT(B244,8)="Planning",AJ244=0),"Consent parcel with no permission",IF(COUNTIF($A$2:$A$3000,$A244)&gt;1,"Duplicate parcel_id","")))</f>
        <v/>
      </c>
    </row>
    <row r="245" customFormat="false" ht="15" hidden="false" customHeight="false" outlineLevel="0" collapsed="false">
      <c r="A245" s="18" t="s">
        <v>506</v>
      </c>
      <c r="B245" s="18" t="s">
        <v>12</v>
      </c>
      <c r="C245" s="18" t="s">
        <v>16</v>
      </c>
      <c r="D245" s="18"/>
      <c r="E245" s="18" t="s">
        <v>492</v>
      </c>
      <c r="F245" s="18" t="s">
        <v>493</v>
      </c>
      <c r="G245" s="18" t="s">
        <v>507</v>
      </c>
      <c r="H245" s="18"/>
      <c r="I245" s="18"/>
      <c r="J245" s="18"/>
      <c r="K245" s="18"/>
      <c r="L245" s="18" t="n">
        <v>0.081</v>
      </c>
      <c r="M245" s="18" t="n">
        <v>0.081</v>
      </c>
      <c r="N245" s="18"/>
      <c r="O245" s="18" t="s">
        <v>283</v>
      </c>
      <c r="P245" s="18"/>
      <c r="Q245" s="18"/>
      <c r="R245" s="18" t="s">
        <v>98</v>
      </c>
      <c r="S245" s="18"/>
      <c r="T245" s="19" t="n">
        <f aca="false">SUMIFS(Permissions!$F$2:$F$3000,Permissions!$B$2:$B$3000,$A245,Permissions!$H$2:$H$3000,"Complete",Permissions!$I$2:$I$3000,"Yes")</f>
        <v>2</v>
      </c>
      <c r="U245" s="19" t="n">
        <f aca="false">SUMIFS(Permissions!$F$2:$F$3000,Permissions!$B$2:$B$3000,$A245,Permissions!$H$2:$H$3000,"Under construction",Permissions!$I$2:$I$3000,"Yes")</f>
        <v>0</v>
      </c>
      <c r="V245" s="19" t="n">
        <f aca="false">SUMIFS(Permissions!$F$2:$F$3000,Permissions!$B$2:$B$3000,$A245,Permissions!$H$2:$H$3000,"Permitted – not started",Permissions!$I$2:$I$3000,"Yes")</f>
        <v>0</v>
      </c>
      <c r="W245" s="19" t="n">
        <f aca="false">SUMIFS(Permissions!$F$2:$F$3000,Permissions!$B$2:$B$3000,$A245,Permissions!$H$2:$H$3000,"Stalled",Permissions!$I$2:$I$3000,"Yes")</f>
        <v>0</v>
      </c>
      <c r="X245" s="19" t="n">
        <f aca="false">T245+U245+V245+W245</f>
        <v>2</v>
      </c>
      <c r="Y245" s="19" t="n">
        <f aca="false">SUMIFS(Permissions!$F$2:$F$3000,Permissions!$B$2:$B$3000,$A245,Permissions!$H$2:$H$3000,"Expired – not started",Permissions!$I$2:$I$3000,"Yes")</f>
        <v>0</v>
      </c>
      <c r="Z245" s="19" t="n">
        <f aca="false">SUMIFS(Permissions!$F$2:$F$3000,Permissions!$B$2:$B$3000,$A245,Permissions!$H$2:$H$3000,"In planning",Permissions!$I$2:$I$3000,"Yes")</f>
        <v>0</v>
      </c>
      <c r="AA245" s="19" t="n">
        <f aca="false">IF(N245="",0,MAX(N245-X245,0))</f>
        <v>0</v>
      </c>
      <c r="AB245" s="20" t="n">
        <f aca="false">X245+AA245</f>
        <v>2</v>
      </c>
      <c r="AC245" s="19" t="n">
        <f aca="false">AB245-T245</f>
        <v>0</v>
      </c>
      <c r="AD245" s="21" t="n">
        <f aca="false">SUMIFS(Permissions!$T$2:$T$3000,Permissions!$B$2:$B$3000,$A245,Permissions!$I$2:$I$3000,"Yes")</f>
        <v>0</v>
      </c>
      <c r="AE245" s="21" t="n">
        <f aca="false">SUMIFS(Permissions!$U$2:$U$3000,Permissions!$B$2:$B$3000,$A245,Permissions!$I$2:$I$3000,"Yes")</f>
        <v>0</v>
      </c>
      <c r="AF245" s="21" t="n">
        <f aca="false">SUMIFS(Permissions!$V$2:$V$3000,Permissions!$B$2:$B$3000,$A245,Permissions!$I$2:$I$3000,"Yes")</f>
        <v>0</v>
      </c>
      <c r="AG245" s="21" t="n">
        <f aca="false">SUMIFS(Permissions!$W$2:$W$3000,Permissions!$B$2:$B$3000,$A245,Permissions!$I$2:$I$3000,"Yes")</f>
        <v>0</v>
      </c>
      <c r="AH245" s="21" t="n">
        <f aca="false">SUMIFS(Permissions!$X$2:$X$3000,Permissions!$B$2:$B$3000,$A245,Permissions!$I$2:$I$3000,"Yes")</f>
        <v>0</v>
      </c>
      <c r="AI245" s="21" t="n">
        <f aca="false">SUMIFS(Permissions!$Y$2:$Y$3000,Permissions!$B$2:$B$3000,$A245,Permissions!$I$2:$I$3000,"Yes")</f>
        <v>0</v>
      </c>
      <c r="AJ245" s="19" t="n">
        <f aca="false">COUNTIFS(Permissions!$B$2:$B$3000,$A245,Permissions!$I$2:$I$3000,"Yes")</f>
        <v>1</v>
      </c>
      <c r="AK245" s="22" t="str">
        <f aca="false">IF(AND(N245&lt;&gt;"",X245&gt;1.1*N245),"Consented above capacity",IF(AND(LEFT(B245,8)="Planning",AJ245=0),"Consent parcel with no permission",IF(COUNTIF($A$2:$A$3000,$A245)&gt;1,"Duplicate parcel_id","")))</f>
        <v/>
      </c>
    </row>
    <row r="246" customFormat="false" ht="15" hidden="false" customHeight="false" outlineLevel="0" collapsed="false">
      <c r="A246" s="18" t="s">
        <v>508</v>
      </c>
      <c r="B246" s="18" t="s">
        <v>12</v>
      </c>
      <c r="C246" s="18" t="s">
        <v>16</v>
      </c>
      <c r="D246" s="18"/>
      <c r="E246" s="18" t="s">
        <v>492</v>
      </c>
      <c r="F246" s="18" t="s">
        <v>493</v>
      </c>
      <c r="G246" s="18" t="s">
        <v>509</v>
      </c>
      <c r="H246" s="18"/>
      <c r="I246" s="18"/>
      <c r="J246" s="18"/>
      <c r="K246" s="18"/>
      <c r="L246" s="18" t="n">
        <v>1.417</v>
      </c>
      <c r="M246" s="18" t="n">
        <v>1.417</v>
      </c>
      <c r="N246" s="18"/>
      <c r="O246" s="18" t="s">
        <v>283</v>
      </c>
      <c r="P246" s="18"/>
      <c r="Q246" s="18"/>
      <c r="R246" s="18" t="s">
        <v>98</v>
      </c>
      <c r="S246" s="18"/>
      <c r="T246" s="19" t="n">
        <f aca="false">SUMIFS(Permissions!$F$2:$F$3000,Permissions!$B$2:$B$3000,$A246,Permissions!$H$2:$H$3000,"Complete",Permissions!$I$2:$I$3000,"Yes")</f>
        <v>0</v>
      </c>
      <c r="U246" s="19" t="n">
        <f aca="false">SUMIFS(Permissions!$F$2:$F$3000,Permissions!$B$2:$B$3000,$A246,Permissions!$H$2:$H$3000,"Under construction",Permissions!$I$2:$I$3000,"Yes")</f>
        <v>0</v>
      </c>
      <c r="V246" s="19" t="n">
        <f aca="false">SUMIFS(Permissions!$F$2:$F$3000,Permissions!$B$2:$B$3000,$A246,Permissions!$H$2:$H$3000,"Permitted – not started",Permissions!$I$2:$I$3000,"Yes")</f>
        <v>0</v>
      </c>
      <c r="W246" s="19" t="n">
        <f aca="false">SUMIFS(Permissions!$F$2:$F$3000,Permissions!$B$2:$B$3000,$A246,Permissions!$H$2:$H$3000,"Stalled",Permissions!$I$2:$I$3000,"Yes")</f>
        <v>32</v>
      </c>
      <c r="X246" s="19" t="n">
        <f aca="false">T246+U246+V246+W246</f>
        <v>32</v>
      </c>
      <c r="Y246" s="19" t="n">
        <f aca="false">SUMIFS(Permissions!$F$2:$F$3000,Permissions!$B$2:$B$3000,$A246,Permissions!$H$2:$H$3000,"Expired – not started",Permissions!$I$2:$I$3000,"Yes")</f>
        <v>0</v>
      </c>
      <c r="Z246" s="19" t="n">
        <f aca="false">SUMIFS(Permissions!$F$2:$F$3000,Permissions!$B$2:$B$3000,$A246,Permissions!$H$2:$H$3000,"In planning",Permissions!$I$2:$I$3000,"Yes")</f>
        <v>0</v>
      </c>
      <c r="AA246" s="19" t="n">
        <f aca="false">IF(N246="",0,MAX(N246-X246,0))</f>
        <v>0</v>
      </c>
      <c r="AB246" s="20" t="n">
        <f aca="false">X246+AA246</f>
        <v>32</v>
      </c>
      <c r="AC246" s="19" t="n">
        <f aca="false">AB246-T246</f>
        <v>32</v>
      </c>
      <c r="AD246" s="21" t="n">
        <f aca="false">SUMIFS(Permissions!$T$2:$T$3000,Permissions!$B$2:$B$3000,$A246,Permissions!$I$2:$I$3000,"Yes")</f>
        <v>0</v>
      </c>
      <c r="AE246" s="21" t="n">
        <f aca="false">SUMIFS(Permissions!$U$2:$U$3000,Permissions!$B$2:$B$3000,$A246,Permissions!$I$2:$I$3000,"Yes")</f>
        <v>0</v>
      </c>
      <c r="AF246" s="21" t="n">
        <f aca="false">SUMIFS(Permissions!$V$2:$V$3000,Permissions!$B$2:$B$3000,$A246,Permissions!$I$2:$I$3000,"Yes")</f>
        <v>0</v>
      </c>
      <c r="AG246" s="21" t="n">
        <f aca="false">SUMIFS(Permissions!$W$2:$W$3000,Permissions!$B$2:$B$3000,$A246,Permissions!$I$2:$I$3000,"Yes")</f>
        <v>0</v>
      </c>
      <c r="AH246" s="21" t="n">
        <f aca="false">SUMIFS(Permissions!$X$2:$X$3000,Permissions!$B$2:$B$3000,$A246,Permissions!$I$2:$I$3000,"Yes")</f>
        <v>0</v>
      </c>
      <c r="AI246" s="21" t="n">
        <f aca="false">SUMIFS(Permissions!$Y$2:$Y$3000,Permissions!$B$2:$B$3000,$A246,Permissions!$I$2:$I$3000,"Yes")</f>
        <v>0</v>
      </c>
      <c r="AJ246" s="19" t="n">
        <f aca="false">COUNTIFS(Permissions!$B$2:$B$3000,$A246,Permissions!$I$2:$I$3000,"Yes")</f>
        <v>1</v>
      </c>
      <c r="AK246" s="22" t="str">
        <f aca="false">IF(AND(N246&lt;&gt;"",X246&gt;1.1*N246),"Consented above capacity",IF(AND(LEFT(B246,8)="Planning",AJ246=0),"Consent parcel with no permission",IF(COUNTIF($A$2:$A$3000,$A246)&gt;1,"Duplicate parcel_id","")))</f>
        <v/>
      </c>
    </row>
    <row r="247" customFormat="false" ht="15" hidden="false" customHeight="false" outlineLevel="0" collapsed="false">
      <c r="A247" s="18" t="s">
        <v>510</v>
      </c>
      <c r="B247" s="18" t="s">
        <v>12</v>
      </c>
      <c r="C247" s="18" t="s">
        <v>16</v>
      </c>
      <c r="D247" s="18"/>
      <c r="E247" s="18" t="s">
        <v>492</v>
      </c>
      <c r="F247" s="18" t="s">
        <v>493</v>
      </c>
      <c r="G247" s="18" t="s">
        <v>511</v>
      </c>
      <c r="H247" s="18"/>
      <c r="I247" s="18"/>
      <c r="J247" s="18"/>
      <c r="K247" s="18"/>
      <c r="L247" s="18" t="n">
        <v>1.529</v>
      </c>
      <c r="M247" s="18" t="n">
        <v>1.529</v>
      </c>
      <c r="N247" s="18"/>
      <c r="O247" s="18" t="s">
        <v>283</v>
      </c>
      <c r="P247" s="18"/>
      <c r="Q247" s="18"/>
      <c r="R247" s="18" t="s">
        <v>98</v>
      </c>
      <c r="S247" s="18"/>
      <c r="T247" s="19" t="n">
        <f aca="false">SUMIFS(Permissions!$F$2:$F$3000,Permissions!$B$2:$B$3000,$A247,Permissions!$H$2:$H$3000,"Complete",Permissions!$I$2:$I$3000,"Yes")</f>
        <v>0</v>
      </c>
      <c r="U247" s="19" t="n">
        <f aca="false">SUMIFS(Permissions!$F$2:$F$3000,Permissions!$B$2:$B$3000,$A247,Permissions!$H$2:$H$3000,"Under construction",Permissions!$I$2:$I$3000,"Yes")</f>
        <v>0</v>
      </c>
      <c r="V247" s="19" t="n">
        <f aca="false">SUMIFS(Permissions!$F$2:$F$3000,Permissions!$B$2:$B$3000,$A247,Permissions!$H$2:$H$3000,"Permitted – not started",Permissions!$I$2:$I$3000,"Yes")</f>
        <v>0</v>
      </c>
      <c r="W247" s="19" t="n">
        <f aca="false">SUMIFS(Permissions!$F$2:$F$3000,Permissions!$B$2:$B$3000,$A247,Permissions!$H$2:$H$3000,"Stalled",Permissions!$I$2:$I$3000,"Yes")</f>
        <v>0</v>
      </c>
      <c r="X247" s="19" t="n">
        <f aca="false">T247+U247+V247+W247</f>
        <v>0</v>
      </c>
      <c r="Y247" s="19" t="n">
        <f aca="false">SUMIFS(Permissions!$F$2:$F$3000,Permissions!$B$2:$B$3000,$A247,Permissions!$H$2:$H$3000,"Expired – not started",Permissions!$I$2:$I$3000,"Yes")</f>
        <v>21</v>
      </c>
      <c r="Z247" s="19" t="n">
        <f aca="false">SUMIFS(Permissions!$F$2:$F$3000,Permissions!$B$2:$B$3000,$A247,Permissions!$H$2:$H$3000,"In planning",Permissions!$I$2:$I$3000,"Yes")</f>
        <v>0</v>
      </c>
      <c r="AA247" s="19" t="n">
        <f aca="false">IF(N247="",0,MAX(N247-X247,0))</f>
        <v>0</v>
      </c>
      <c r="AB247" s="20" t="n">
        <f aca="false">X247+AA247</f>
        <v>0</v>
      </c>
      <c r="AC247" s="19" t="n">
        <f aca="false">AB247-T247</f>
        <v>0</v>
      </c>
      <c r="AD247" s="21" t="n">
        <f aca="false">SUMIFS(Permissions!$T$2:$T$3000,Permissions!$B$2:$B$3000,$A247,Permissions!$I$2:$I$3000,"Yes")</f>
        <v>0</v>
      </c>
      <c r="AE247" s="21" t="n">
        <f aca="false">SUMIFS(Permissions!$U$2:$U$3000,Permissions!$B$2:$B$3000,$A247,Permissions!$I$2:$I$3000,"Yes")</f>
        <v>0</v>
      </c>
      <c r="AF247" s="21" t="n">
        <f aca="false">SUMIFS(Permissions!$V$2:$V$3000,Permissions!$B$2:$B$3000,$A247,Permissions!$I$2:$I$3000,"Yes")</f>
        <v>0</v>
      </c>
      <c r="AG247" s="21" t="n">
        <f aca="false">SUMIFS(Permissions!$W$2:$W$3000,Permissions!$B$2:$B$3000,$A247,Permissions!$I$2:$I$3000,"Yes")</f>
        <v>0</v>
      </c>
      <c r="AH247" s="21" t="n">
        <f aca="false">SUMIFS(Permissions!$X$2:$X$3000,Permissions!$B$2:$B$3000,$A247,Permissions!$I$2:$I$3000,"Yes")</f>
        <v>0</v>
      </c>
      <c r="AI247" s="21" t="n">
        <f aca="false">SUMIFS(Permissions!$Y$2:$Y$3000,Permissions!$B$2:$B$3000,$A247,Permissions!$I$2:$I$3000,"Yes")</f>
        <v>0</v>
      </c>
      <c r="AJ247" s="19" t="n">
        <f aca="false">COUNTIFS(Permissions!$B$2:$B$3000,$A247,Permissions!$I$2:$I$3000,"Yes")</f>
        <v>1</v>
      </c>
      <c r="AK247" s="22" t="str">
        <f aca="false">IF(AND(N247&lt;&gt;"",X247&gt;1.1*N247),"Consented above capacity",IF(AND(LEFT(B247,8)="Planning",AJ247=0),"Consent parcel with no permission",IF(COUNTIF($A$2:$A$3000,$A247)&gt;1,"Duplicate parcel_id","")))</f>
        <v/>
      </c>
    </row>
    <row r="248" customFormat="false" ht="15" hidden="false" customHeight="false" outlineLevel="0" collapsed="false">
      <c r="A248" s="18" t="s">
        <v>512</v>
      </c>
      <c r="B248" s="18" t="s">
        <v>12</v>
      </c>
      <c r="C248" s="18" t="s">
        <v>16</v>
      </c>
      <c r="D248" s="18"/>
      <c r="E248" s="18" t="s">
        <v>492</v>
      </c>
      <c r="F248" s="18" t="s">
        <v>493</v>
      </c>
      <c r="G248" s="18" t="s">
        <v>513</v>
      </c>
      <c r="H248" s="18"/>
      <c r="I248" s="18"/>
      <c r="J248" s="18"/>
      <c r="K248" s="18"/>
      <c r="L248" s="18" t="n">
        <v>0.144</v>
      </c>
      <c r="M248" s="18" t="n">
        <v>0.144</v>
      </c>
      <c r="N248" s="18"/>
      <c r="O248" s="18" t="s">
        <v>283</v>
      </c>
      <c r="P248" s="18"/>
      <c r="Q248" s="18"/>
      <c r="R248" s="18" t="s">
        <v>98</v>
      </c>
      <c r="S248" s="18"/>
      <c r="T248" s="19" t="n">
        <f aca="false">SUMIFS(Permissions!$F$2:$F$3000,Permissions!$B$2:$B$3000,$A248,Permissions!$H$2:$H$3000,"Complete",Permissions!$I$2:$I$3000,"Yes")</f>
        <v>5</v>
      </c>
      <c r="U248" s="19" t="n">
        <f aca="false">SUMIFS(Permissions!$F$2:$F$3000,Permissions!$B$2:$B$3000,$A248,Permissions!$H$2:$H$3000,"Under construction",Permissions!$I$2:$I$3000,"Yes")</f>
        <v>0</v>
      </c>
      <c r="V248" s="19" t="n">
        <f aca="false">SUMIFS(Permissions!$F$2:$F$3000,Permissions!$B$2:$B$3000,$A248,Permissions!$H$2:$H$3000,"Permitted – not started",Permissions!$I$2:$I$3000,"Yes")</f>
        <v>0</v>
      </c>
      <c r="W248" s="19" t="n">
        <f aca="false">SUMIFS(Permissions!$F$2:$F$3000,Permissions!$B$2:$B$3000,$A248,Permissions!$H$2:$H$3000,"Stalled",Permissions!$I$2:$I$3000,"Yes")</f>
        <v>0</v>
      </c>
      <c r="X248" s="19" t="n">
        <f aca="false">T248+U248+V248+W248</f>
        <v>5</v>
      </c>
      <c r="Y248" s="19" t="n">
        <f aca="false">SUMIFS(Permissions!$F$2:$F$3000,Permissions!$B$2:$B$3000,$A248,Permissions!$H$2:$H$3000,"Expired – not started",Permissions!$I$2:$I$3000,"Yes")</f>
        <v>0</v>
      </c>
      <c r="Z248" s="19" t="n">
        <f aca="false">SUMIFS(Permissions!$F$2:$F$3000,Permissions!$B$2:$B$3000,$A248,Permissions!$H$2:$H$3000,"In planning",Permissions!$I$2:$I$3000,"Yes")</f>
        <v>0</v>
      </c>
      <c r="AA248" s="19" t="n">
        <f aca="false">IF(N248="",0,MAX(N248-X248,0))</f>
        <v>0</v>
      </c>
      <c r="AB248" s="20" t="n">
        <f aca="false">X248+AA248</f>
        <v>5</v>
      </c>
      <c r="AC248" s="19" t="n">
        <f aca="false">AB248-T248</f>
        <v>0</v>
      </c>
      <c r="AD248" s="21" t="n">
        <f aca="false">SUMIFS(Permissions!$T$2:$T$3000,Permissions!$B$2:$B$3000,$A248,Permissions!$I$2:$I$3000,"Yes")</f>
        <v>0</v>
      </c>
      <c r="AE248" s="21" t="n">
        <f aca="false">SUMIFS(Permissions!$U$2:$U$3000,Permissions!$B$2:$B$3000,$A248,Permissions!$I$2:$I$3000,"Yes")</f>
        <v>0</v>
      </c>
      <c r="AF248" s="21" t="n">
        <f aca="false">SUMIFS(Permissions!$V$2:$V$3000,Permissions!$B$2:$B$3000,$A248,Permissions!$I$2:$I$3000,"Yes")</f>
        <v>0</v>
      </c>
      <c r="AG248" s="21" t="n">
        <f aca="false">SUMIFS(Permissions!$W$2:$W$3000,Permissions!$B$2:$B$3000,$A248,Permissions!$I$2:$I$3000,"Yes")</f>
        <v>0</v>
      </c>
      <c r="AH248" s="21" t="n">
        <f aca="false">SUMIFS(Permissions!$X$2:$X$3000,Permissions!$B$2:$B$3000,$A248,Permissions!$I$2:$I$3000,"Yes")</f>
        <v>0</v>
      </c>
      <c r="AI248" s="21" t="n">
        <f aca="false">SUMIFS(Permissions!$Y$2:$Y$3000,Permissions!$B$2:$B$3000,$A248,Permissions!$I$2:$I$3000,"Yes")</f>
        <v>0</v>
      </c>
      <c r="AJ248" s="19" t="n">
        <f aca="false">COUNTIFS(Permissions!$B$2:$B$3000,$A248,Permissions!$I$2:$I$3000,"Yes")</f>
        <v>1</v>
      </c>
      <c r="AK248" s="22" t="str">
        <f aca="false">IF(AND(N248&lt;&gt;"",X248&gt;1.1*N248),"Consented above capacity",IF(AND(LEFT(B248,8)="Planning",AJ248=0),"Consent parcel with no permission",IF(COUNTIF($A$2:$A$3000,$A248)&gt;1,"Duplicate parcel_id","")))</f>
        <v/>
      </c>
    </row>
    <row r="249" customFormat="false" ht="15" hidden="false" customHeight="false" outlineLevel="0" collapsed="false">
      <c r="A249" s="18" t="s">
        <v>514</v>
      </c>
      <c r="B249" s="18" t="s">
        <v>12</v>
      </c>
      <c r="C249" s="18" t="s">
        <v>16</v>
      </c>
      <c r="D249" s="18"/>
      <c r="E249" s="18" t="s">
        <v>492</v>
      </c>
      <c r="F249" s="18" t="s">
        <v>142</v>
      </c>
      <c r="G249" s="18" t="s">
        <v>515</v>
      </c>
      <c r="H249" s="18"/>
      <c r="I249" s="18"/>
      <c r="J249" s="18"/>
      <c r="K249" s="18"/>
      <c r="L249" s="18" t="n">
        <v>5.817</v>
      </c>
      <c r="M249" s="18" t="n">
        <v>5.817</v>
      </c>
      <c r="N249" s="18"/>
      <c r="O249" s="18" t="s">
        <v>283</v>
      </c>
      <c r="P249" s="18"/>
      <c r="Q249" s="18"/>
      <c r="R249" s="18" t="s">
        <v>98</v>
      </c>
      <c r="S249" s="18"/>
      <c r="T249" s="19" t="n">
        <f aca="false">SUMIFS(Permissions!$F$2:$F$3000,Permissions!$B$2:$B$3000,$A249,Permissions!$H$2:$H$3000,"Complete",Permissions!$I$2:$I$3000,"Yes")</f>
        <v>0</v>
      </c>
      <c r="U249" s="19" t="n">
        <f aca="false">SUMIFS(Permissions!$F$2:$F$3000,Permissions!$B$2:$B$3000,$A249,Permissions!$H$2:$H$3000,"Under construction",Permissions!$I$2:$I$3000,"Yes")</f>
        <v>51</v>
      </c>
      <c r="V249" s="19" t="n">
        <f aca="false">SUMIFS(Permissions!$F$2:$F$3000,Permissions!$B$2:$B$3000,$A249,Permissions!$H$2:$H$3000,"Permitted – not started",Permissions!$I$2:$I$3000,"Yes")</f>
        <v>14</v>
      </c>
      <c r="W249" s="19" t="n">
        <f aca="false">SUMIFS(Permissions!$F$2:$F$3000,Permissions!$B$2:$B$3000,$A249,Permissions!$H$2:$H$3000,"Stalled",Permissions!$I$2:$I$3000,"Yes")</f>
        <v>0</v>
      </c>
      <c r="X249" s="19" t="n">
        <f aca="false">T249+U249+V249+W249</f>
        <v>65</v>
      </c>
      <c r="Y249" s="19" t="n">
        <f aca="false">SUMIFS(Permissions!$F$2:$F$3000,Permissions!$B$2:$B$3000,$A249,Permissions!$H$2:$H$3000,"Expired – not started",Permissions!$I$2:$I$3000,"Yes")</f>
        <v>0</v>
      </c>
      <c r="Z249" s="19" t="n">
        <f aca="false">SUMIFS(Permissions!$F$2:$F$3000,Permissions!$B$2:$B$3000,$A249,Permissions!$H$2:$H$3000,"In planning",Permissions!$I$2:$I$3000,"Yes")</f>
        <v>0</v>
      </c>
      <c r="AA249" s="19" t="n">
        <f aca="false">IF(N249="",0,MAX(N249-X249,0))</f>
        <v>0</v>
      </c>
      <c r="AB249" s="20" t="n">
        <f aca="false">X249+AA249</f>
        <v>65</v>
      </c>
      <c r="AC249" s="19" t="n">
        <f aca="false">AB249-T249</f>
        <v>65</v>
      </c>
      <c r="AD249" s="21" t="n">
        <f aca="false">SUMIFS(Permissions!$T$2:$T$3000,Permissions!$B$2:$B$3000,$A249,Permissions!$I$2:$I$3000,"Yes")</f>
        <v>11.9</v>
      </c>
      <c r="AE249" s="21" t="n">
        <f aca="false">SUMIFS(Permissions!$U$2:$U$3000,Permissions!$B$2:$B$3000,$A249,Permissions!$I$2:$I$3000,"Yes")</f>
        <v>39.1</v>
      </c>
      <c r="AF249" s="21" t="n">
        <f aca="false">SUMIFS(Permissions!$V$2:$V$3000,Permissions!$B$2:$B$3000,$A249,Permissions!$I$2:$I$3000,"Yes")</f>
        <v>8.2</v>
      </c>
      <c r="AG249" s="21" t="n">
        <f aca="false">SUMIFS(Permissions!$W$2:$W$3000,Permissions!$B$2:$B$3000,$A249,Permissions!$I$2:$I$3000,"Yes")</f>
        <v>5.8</v>
      </c>
      <c r="AH249" s="21" t="n">
        <f aca="false">SUMIFS(Permissions!$X$2:$X$3000,Permissions!$B$2:$B$3000,$A249,Permissions!$I$2:$I$3000,"Yes")</f>
        <v>0</v>
      </c>
      <c r="AI249" s="21" t="n">
        <f aca="false">SUMIFS(Permissions!$Y$2:$Y$3000,Permissions!$B$2:$B$3000,$A249,Permissions!$I$2:$I$3000,"Yes")</f>
        <v>0</v>
      </c>
      <c r="AJ249" s="19" t="n">
        <f aca="false">COUNTIFS(Permissions!$B$2:$B$3000,$A249,Permissions!$I$2:$I$3000,"Yes")</f>
        <v>2</v>
      </c>
      <c r="AK249" s="22" t="str">
        <f aca="false">IF(AND(N249&lt;&gt;"",X249&gt;1.1*N249),"Consented above capacity",IF(AND(LEFT(B249,8)="Planning",AJ249=0),"Consent parcel with no permission",IF(COUNTIF($A$2:$A$3000,$A249)&gt;1,"Duplicate parcel_id","")))</f>
        <v/>
      </c>
    </row>
    <row r="250" customFormat="false" ht="15" hidden="false" customHeight="false" outlineLevel="0" collapsed="false">
      <c r="A250" s="18" t="s">
        <v>516</v>
      </c>
      <c r="B250" s="18" t="s">
        <v>12</v>
      </c>
      <c r="C250" s="18" t="s">
        <v>16</v>
      </c>
      <c r="D250" s="18"/>
      <c r="E250" s="18" t="s">
        <v>492</v>
      </c>
      <c r="F250" s="18" t="s">
        <v>517</v>
      </c>
      <c r="G250" s="18" t="s">
        <v>351</v>
      </c>
      <c r="H250" s="18"/>
      <c r="I250" s="18"/>
      <c r="J250" s="18"/>
      <c r="K250" s="18"/>
      <c r="L250" s="18" t="n">
        <v>0.318</v>
      </c>
      <c r="M250" s="18" t="n">
        <v>0.318</v>
      </c>
      <c r="N250" s="18"/>
      <c r="O250" s="18" t="s">
        <v>283</v>
      </c>
      <c r="P250" s="18"/>
      <c r="Q250" s="18"/>
      <c r="R250" s="18" t="s">
        <v>98</v>
      </c>
      <c r="S250" s="18"/>
      <c r="T250" s="19" t="n">
        <f aca="false">SUMIFS(Permissions!$F$2:$F$3000,Permissions!$B$2:$B$3000,$A250,Permissions!$H$2:$H$3000,"Complete",Permissions!$I$2:$I$3000,"Yes")</f>
        <v>0</v>
      </c>
      <c r="U250" s="19" t="n">
        <f aca="false">SUMIFS(Permissions!$F$2:$F$3000,Permissions!$B$2:$B$3000,$A250,Permissions!$H$2:$H$3000,"Under construction",Permissions!$I$2:$I$3000,"Yes")</f>
        <v>0</v>
      </c>
      <c r="V250" s="19" t="n">
        <f aca="false">SUMIFS(Permissions!$F$2:$F$3000,Permissions!$B$2:$B$3000,$A250,Permissions!$H$2:$H$3000,"Permitted – not started",Permissions!$I$2:$I$3000,"Yes")</f>
        <v>14</v>
      </c>
      <c r="W250" s="19" t="n">
        <f aca="false">SUMIFS(Permissions!$F$2:$F$3000,Permissions!$B$2:$B$3000,$A250,Permissions!$H$2:$H$3000,"Stalled",Permissions!$I$2:$I$3000,"Yes")</f>
        <v>0</v>
      </c>
      <c r="X250" s="19" t="n">
        <f aca="false">T250+U250+V250+W250</f>
        <v>14</v>
      </c>
      <c r="Y250" s="19" t="n">
        <f aca="false">SUMIFS(Permissions!$F$2:$F$3000,Permissions!$B$2:$B$3000,$A250,Permissions!$H$2:$H$3000,"Expired – not started",Permissions!$I$2:$I$3000,"Yes")</f>
        <v>0</v>
      </c>
      <c r="Z250" s="19" t="n">
        <f aca="false">SUMIFS(Permissions!$F$2:$F$3000,Permissions!$B$2:$B$3000,$A250,Permissions!$H$2:$H$3000,"In planning",Permissions!$I$2:$I$3000,"Yes")</f>
        <v>0</v>
      </c>
      <c r="AA250" s="19" t="n">
        <f aca="false">IF(N250="",0,MAX(N250-X250,0))</f>
        <v>0</v>
      </c>
      <c r="AB250" s="20" t="n">
        <f aca="false">X250+AA250</f>
        <v>14</v>
      </c>
      <c r="AC250" s="19" t="n">
        <f aca="false">AB250-T250</f>
        <v>14</v>
      </c>
      <c r="AD250" s="21" t="n">
        <f aca="false">SUMIFS(Permissions!$T$2:$T$3000,Permissions!$B$2:$B$3000,$A250,Permissions!$I$2:$I$3000,"Yes")</f>
        <v>0</v>
      </c>
      <c r="AE250" s="21" t="n">
        <f aca="false">SUMIFS(Permissions!$U$2:$U$3000,Permissions!$B$2:$B$3000,$A250,Permissions!$I$2:$I$3000,"Yes")</f>
        <v>0</v>
      </c>
      <c r="AF250" s="21" t="n">
        <f aca="false">SUMIFS(Permissions!$V$2:$V$3000,Permissions!$B$2:$B$3000,$A250,Permissions!$I$2:$I$3000,"Yes")</f>
        <v>8.2</v>
      </c>
      <c r="AG250" s="21" t="n">
        <f aca="false">SUMIFS(Permissions!$W$2:$W$3000,Permissions!$B$2:$B$3000,$A250,Permissions!$I$2:$I$3000,"Yes")</f>
        <v>5.8</v>
      </c>
      <c r="AH250" s="21" t="n">
        <f aca="false">SUMIFS(Permissions!$X$2:$X$3000,Permissions!$B$2:$B$3000,$A250,Permissions!$I$2:$I$3000,"Yes")</f>
        <v>0</v>
      </c>
      <c r="AI250" s="21" t="n">
        <f aca="false">SUMIFS(Permissions!$Y$2:$Y$3000,Permissions!$B$2:$B$3000,$A250,Permissions!$I$2:$I$3000,"Yes")</f>
        <v>0</v>
      </c>
      <c r="AJ250" s="19" t="n">
        <f aca="false">COUNTIFS(Permissions!$B$2:$B$3000,$A250,Permissions!$I$2:$I$3000,"Yes")</f>
        <v>1</v>
      </c>
      <c r="AK250" s="22" t="str">
        <f aca="false">IF(AND(N250&lt;&gt;"",X250&gt;1.1*N250),"Consented above capacity",IF(AND(LEFT(B250,8)="Planning",AJ250=0),"Consent parcel with no permission",IF(COUNTIF($A$2:$A$3000,$A250)&gt;1,"Duplicate parcel_id","")))</f>
        <v/>
      </c>
    </row>
    <row r="251" customFormat="false" ht="15" hidden="false" customHeight="false" outlineLevel="0" collapsed="false">
      <c r="A251" s="18" t="s">
        <v>518</v>
      </c>
      <c r="B251" s="18" t="s">
        <v>12</v>
      </c>
      <c r="C251" s="18" t="s">
        <v>16</v>
      </c>
      <c r="D251" s="18"/>
      <c r="E251" s="18" t="s">
        <v>492</v>
      </c>
      <c r="F251" s="18" t="s">
        <v>89</v>
      </c>
      <c r="G251" s="18" t="s">
        <v>519</v>
      </c>
      <c r="H251" s="18"/>
      <c r="I251" s="18"/>
      <c r="J251" s="18"/>
      <c r="K251" s="18"/>
      <c r="L251" s="18" t="n">
        <v>0.361</v>
      </c>
      <c r="M251" s="18" t="n">
        <v>0.361</v>
      </c>
      <c r="N251" s="18"/>
      <c r="O251" s="18" t="s">
        <v>283</v>
      </c>
      <c r="P251" s="18"/>
      <c r="Q251" s="18"/>
      <c r="R251" s="18" t="s">
        <v>98</v>
      </c>
      <c r="S251" s="18"/>
      <c r="T251" s="19" t="n">
        <f aca="false">SUMIFS(Permissions!$F$2:$F$3000,Permissions!$B$2:$B$3000,$A251,Permissions!$H$2:$H$3000,"Complete",Permissions!$I$2:$I$3000,"Yes")</f>
        <v>0</v>
      </c>
      <c r="U251" s="19" t="n">
        <f aca="false">SUMIFS(Permissions!$F$2:$F$3000,Permissions!$B$2:$B$3000,$A251,Permissions!$H$2:$H$3000,"Under construction",Permissions!$I$2:$I$3000,"Yes")</f>
        <v>9</v>
      </c>
      <c r="V251" s="19" t="n">
        <f aca="false">SUMIFS(Permissions!$F$2:$F$3000,Permissions!$B$2:$B$3000,$A251,Permissions!$H$2:$H$3000,"Permitted – not started",Permissions!$I$2:$I$3000,"Yes")</f>
        <v>0</v>
      </c>
      <c r="W251" s="19" t="n">
        <f aca="false">SUMIFS(Permissions!$F$2:$F$3000,Permissions!$B$2:$B$3000,$A251,Permissions!$H$2:$H$3000,"Stalled",Permissions!$I$2:$I$3000,"Yes")</f>
        <v>0</v>
      </c>
      <c r="X251" s="19" t="n">
        <f aca="false">T251+U251+V251+W251</f>
        <v>9</v>
      </c>
      <c r="Y251" s="19" t="n">
        <f aca="false">SUMIFS(Permissions!$F$2:$F$3000,Permissions!$B$2:$B$3000,$A251,Permissions!$H$2:$H$3000,"Expired – not started",Permissions!$I$2:$I$3000,"Yes")</f>
        <v>0</v>
      </c>
      <c r="Z251" s="19" t="n">
        <f aca="false">SUMIFS(Permissions!$F$2:$F$3000,Permissions!$B$2:$B$3000,$A251,Permissions!$H$2:$H$3000,"In planning",Permissions!$I$2:$I$3000,"Yes")</f>
        <v>0</v>
      </c>
      <c r="AA251" s="19" t="n">
        <f aca="false">IF(N251="",0,MAX(N251-X251,0))</f>
        <v>0</v>
      </c>
      <c r="AB251" s="20" t="n">
        <f aca="false">X251+AA251</f>
        <v>9</v>
      </c>
      <c r="AC251" s="19" t="n">
        <f aca="false">AB251-T251</f>
        <v>9</v>
      </c>
      <c r="AD251" s="21" t="n">
        <f aca="false">SUMIFS(Permissions!$T$2:$T$3000,Permissions!$B$2:$B$3000,$A251,Permissions!$I$2:$I$3000,"Yes")</f>
        <v>2.1</v>
      </c>
      <c r="AE251" s="21" t="n">
        <f aca="false">SUMIFS(Permissions!$U$2:$U$3000,Permissions!$B$2:$B$3000,$A251,Permissions!$I$2:$I$3000,"Yes")</f>
        <v>6.9</v>
      </c>
      <c r="AF251" s="21" t="n">
        <f aca="false">SUMIFS(Permissions!$V$2:$V$3000,Permissions!$B$2:$B$3000,$A251,Permissions!$I$2:$I$3000,"Yes")</f>
        <v>0</v>
      </c>
      <c r="AG251" s="21" t="n">
        <f aca="false">SUMIFS(Permissions!$W$2:$W$3000,Permissions!$B$2:$B$3000,$A251,Permissions!$I$2:$I$3000,"Yes")</f>
        <v>0</v>
      </c>
      <c r="AH251" s="21" t="n">
        <f aca="false">SUMIFS(Permissions!$X$2:$X$3000,Permissions!$B$2:$B$3000,$A251,Permissions!$I$2:$I$3000,"Yes")</f>
        <v>0</v>
      </c>
      <c r="AI251" s="21" t="n">
        <f aca="false">SUMIFS(Permissions!$Y$2:$Y$3000,Permissions!$B$2:$B$3000,$A251,Permissions!$I$2:$I$3000,"Yes")</f>
        <v>0</v>
      </c>
      <c r="AJ251" s="19" t="n">
        <f aca="false">COUNTIFS(Permissions!$B$2:$B$3000,$A251,Permissions!$I$2:$I$3000,"Yes")</f>
        <v>1</v>
      </c>
      <c r="AK251" s="22" t="str">
        <f aca="false">IF(AND(N251&lt;&gt;"",X251&gt;1.1*N251),"Consented above capacity",IF(AND(LEFT(B251,8)="Planning",AJ251=0),"Consent parcel with no permission",IF(COUNTIF($A$2:$A$3000,$A251)&gt;1,"Duplicate parcel_id","")))</f>
        <v/>
      </c>
    </row>
    <row r="252" customFormat="false" ht="15" hidden="false" customHeight="false" outlineLevel="0" collapsed="false">
      <c r="A252" s="18" t="s">
        <v>520</v>
      </c>
      <c r="B252" s="18" t="s">
        <v>12</v>
      </c>
      <c r="C252" s="18" t="s">
        <v>16</v>
      </c>
      <c r="D252" s="18"/>
      <c r="E252" s="18" t="s">
        <v>492</v>
      </c>
      <c r="F252" s="18" t="s">
        <v>517</v>
      </c>
      <c r="G252" s="18" t="s">
        <v>521</v>
      </c>
      <c r="H252" s="18"/>
      <c r="I252" s="18"/>
      <c r="J252" s="18"/>
      <c r="K252" s="18"/>
      <c r="L252" s="18" t="n">
        <v>1.683</v>
      </c>
      <c r="M252" s="18" t="n">
        <v>1.683</v>
      </c>
      <c r="N252" s="18"/>
      <c r="O252" s="18" t="s">
        <v>283</v>
      </c>
      <c r="P252" s="18"/>
      <c r="Q252" s="18"/>
      <c r="R252" s="18" t="s">
        <v>98</v>
      </c>
      <c r="S252" s="18"/>
      <c r="T252" s="19" t="n">
        <f aca="false">SUMIFS(Permissions!$F$2:$F$3000,Permissions!$B$2:$B$3000,$A252,Permissions!$H$2:$H$3000,"Complete",Permissions!$I$2:$I$3000,"Yes")</f>
        <v>0</v>
      </c>
      <c r="U252" s="19" t="n">
        <f aca="false">SUMIFS(Permissions!$F$2:$F$3000,Permissions!$B$2:$B$3000,$A252,Permissions!$H$2:$H$3000,"Under construction",Permissions!$I$2:$I$3000,"Yes")</f>
        <v>4</v>
      </c>
      <c r="V252" s="19" t="n">
        <f aca="false">SUMIFS(Permissions!$F$2:$F$3000,Permissions!$B$2:$B$3000,$A252,Permissions!$H$2:$H$3000,"Permitted – not started",Permissions!$I$2:$I$3000,"Yes")</f>
        <v>0</v>
      </c>
      <c r="W252" s="19" t="n">
        <f aca="false">SUMIFS(Permissions!$F$2:$F$3000,Permissions!$B$2:$B$3000,$A252,Permissions!$H$2:$H$3000,"Stalled",Permissions!$I$2:$I$3000,"Yes")</f>
        <v>0</v>
      </c>
      <c r="X252" s="19" t="n">
        <f aca="false">T252+U252+V252+W252</f>
        <v>4</v>
      </c>
      <c r="Y252" s="19" t="n">
        <f aca="false">SUMIFS(Permissions!$F$2:$F$3000,Permissions!$B$2:$B$3000,$A252,Permissions!$H$2:$H$3000,"Expired – not started",Permissions!$I$2:$I$3000,"Yes")</f>
        <v>0</v>
      </c>
      <c r="Z252" s="19" t="n">
        <f aca="false">SUMIFS(Permissions!$F$2:$F$3000,Permissions!$B$2:$B$3000,$A252,Permissions!$H$2:$H$3000,"In planning",Permissions!$I$2:$I$3000,"Yes")</f>
        <v>0</v>
      </c>
      <c r="AA252" s="19" t="n">
        <f aca="false">IF(N252="",0,MAX(N252-X252,0))</f>
        <v>0</v>
      </c>
      <c r="AB252" s="20" t="n">
        <f aca="false">X252+AA252</f>
        <v>4</v>
      </c>
      <c r="AC252" s="19" t="n">
        <f aca="false">AB252-T252</f>
        <v>4</v>
      </c>
      <c r="AD252" s="21" t="n">
        <f aca="false">SUMIFS(Permissions!$T$2:$T$3000,Permissions!$B$2:$B$3000,$A252,Permissions!$I$2:$I$3000,"Yes")</f>
        <v>0.9</v>
      </c>
      <c r="AE252" s="21" t="n">
        <f aca="false">SUMIFS(Permissions!$U$2:$U$3000,Permissions!$B$2:$B$3000,$A252,Permissions!$I$2:$I$3000,"Yes")</f>
        <v>3.1</v>
      </c>
      <c r="AF252" s="21" t="n">
        <f aca="false">SUMIFS(Permissions!$V$2:$V$3000,Permissions!$B$2:$B$3000,$A252,Permissions!$I$2:$I$3000,"Yes")</f>
        <v>0</v>
      </c>
      <c r="AG252" s="21" t="n">
        <f aca="false">SUMIFS(Permissions!$W$2:$W$3000,Permissions!$B$2:$B$3000,$A252,Permissions!$I$2:$I$3000,"Yes")</f>
        <v>0</v>
      </c>
      <c r="AH252" s="21" t="n">
        <f aca="false">SUMIFS(Permissions!$X$2:$X$3000,Permissions!$B$2:$B$3000,$A252,Permissions!$I$2:$I$3000,"Yes")</f>
        <v>0</v>
      </c>
      <c r="AI252" s="21" t="n">
        <f aca="false">SUMIFS(Permissions!$Y$2:$Y$3000,Permissions!$B$2:$B$3000,$A252,Permissions!$I$2:$I$3000,"Yes")</f>
        <v>0</v>
      </c>
      <c r="AJ252" s="19" t="n">
        <f aca="false">COUNTIFS(Permissions!$B$2:$B$3000,$A252,Permissions!$I$2:$I$3000,"Yes")</f>
        <v>1</v>
      </c>
      <c r="AK252" s="22" t="str">
        <f aca="false">IF(AND(N252&lt;&gt;"",X252&gt;1.1*N252),"Consented above capacity",IF(AND(LEFT(B252,8)="Planning",AJ252=0),"Consent parcel with no permission",IF(COUNTIF($A$2:$A$3000,$A252)&gt;1,"Duplicate parcel_id","")))</f>
        <v/>
      </c>
    </row>
    <row r="253" customFormat="false" ht="15" hidden="false" customHeight="false" outlineLevel="0" collapsed="false">
      <c r="A253" s="18" t="s">
        <v>522</v>
      </c>
      <c r="B253" s="18" t="s">
        <v>12</v>
      </c>
      <c r="C253" s="18" t="s">
        <v>16</v>
      </c>
      <c r="D253" s="18"/>
      <c r="E253" s="18" t="s">
        <v>492</v>
      </c>
      <c r="F253" s="18" t="s">
        <v>517</v>
      </c>
      <c r="G253" s="18" t="s">
        <v>523</v>
      </c>
      <c r="H253" s="18"/>
      <c r="I253" s="18"/>
      <c r="J253" s="18"/>
      <c r="K253" s="18"/>
      <c r="L253" s="18" t="n">
        <v>0.432</v>
      </c>
      <c r="M253" s="18" t="n">
        <v>0.432</v>
      </c>
      <c r="N253" s="18"/>
      <c r="O253" s="18" t="s">
        <v>283</v>
      </c>
      <c r="P253" s="18"/>
      <c r="Q253" s="18"/>
      <c r="R253" s="18" t="s">
        <v>98</v>
      </c>
      <c r="S253" s="18"/>
      <c r="T253" s="19" t="n">
        <f aca="false">SUMIFS(Permissions!$F$2:$F$3000,Permissions!$B$2:$B$3000,$A253,Permissions!$H$2:$H$3000,"Complete",Permissions!$I$2:$I$3000,"Yes")</f>
        <v>16</v>
      </c>
      <c r="U253" s="19" t="n">
        <f aca="false">SUMIFS(Permissions!$F$2:$F$3000,Permissions!$B$2:$B$3000,$A253,Permissions!$H$2:$H$3000,"Under construction",Permissions!$I$2:$I$3000,"Yes")</f>
        <v>0</v>
      </c>
      <c r="V253" s="19" t="n">
        <f aca="false">SUMIFS(Permissions!$F$2:$F$3000,Permissions!$B$2:$B$3000,$A253,Permissions!$H$2:$H$3000,"Permitted – not started",Permissions!$I$2:$I$3000,"Yes")</f>
        <v>0</v>
      </c>
      <c r="W253" s="19" t="n">
        <f aca="false">SUMIFS(Permissions!$F$2:$F$3000,Permissions!$B$2:$B$3000,$A253,Permissions!$H$2:$H$3000,"Stalled",Permissions!$I$2:$I$3000,"Yes")</f>
        <v>0</v>
      </c>
      <c r="X253" s="19" t="n">
        <f aca="false">T253+U253+V253+W253</f>
        <v>16</v>
      </c>
      <c r="Y253" s="19" t="n">
        <f aca="false">SUMIFS(Permissions!$F$2:$F$3000,Permissions!$B$2:$B$3000,$A253,Permissions!$H$2:$H$3000,"Expired – not started",Permissions!$I$2:$I$3000,"Yes")</f>
        <v>0</v>
      </c>
      <c r="Z253" s="19" t="n">
        <f aca="false">SUMIFS(Permissions!$F$2:$F$3000,Permissions!$B$2:$B$3000,$A253,Permissions!$H$2:$H$3000,"In planning",Permissions!$I$2:$I$3000,"Yes")</f>
        <v>0</v>
      </c>
      <c r="AA253" s="19" t="n">
        <f aca="false">IF(N253="",0,MAX(N253-X253,0))</f>
        <v>0</v>
      </c>
      <c r="AB253" s="20" t="n">
        <f aca="false">X253+AA253</f>
        <v>16</v>
      </c>
      <c r="AC253" s="19" t="n">
        <f aca="false">AB253-T253</f>
        <v>0</v>
      </c>
      <c r="AD253" s="21" t="n">
        <f aca="false">SUMIFS(Permissions!$T$2:$T$3000,Permissions!$B$2:$B$3000,$A253,Permissions!$I$2:$I$3000,"Yes")</f>
        <v>0</v>
      </c>
      <c r="AE253" s="21" t="n">
        <f aca="false">SUMIFS(Permissions!$U$2:$U$3000,Permissions!$B$2:$B$3000,$A253,Permissions!$I$2:$I$3000,"Yes")</f>
        <v>0</v>
      </c>
      <c r="AF253" s="21" t="n">
        <f aca="false">SUMIFS(Permissions!$V$2:$V$3000,Permissions!$B$2:$B$3000,$A253,Permissions!$I$2:$I$3000,"Yes")</f>
        <v>0</v>
      </c>
      <c r="AG253" s="21" t="n">
        <f aca="false">SUMIFS(Permissions!$W$2:$W$3000,Permissions!$B$2:$B$3000,$A253,Permissions!$I$2:$I$3000,"Yes")</f>
        <v>0</v>
      </c>
      <c r="AH253" s="21" t="n">
        <f aca="false">SUMIFS(Permissions!$X$2:$X$3000,Permissions!$B$2:$B$3000,$A253,Permissions!$I$2:$I$3000,"Yes")</f>
        <v>0</v>
      </c>
      <c r="AI253" s="21" t="n">
        <f aca="false">SUMIFS(Permissions!$Y$2:$Y$3000,Permissions!$B$2:$B$3000,$A253,Permissions!$I$2:$I$3000,"Yes")</f>
        <v>0</v>
      </c>
      <c r="AJ253" s="19" t="n">
        <f aca="false">COUNTIFS(Permissions!$B$2:$B$3000,$A253,Permissions!$I$2:$I$3000,"Yes")</f>
        <v>1</v>
      </c>
      <c r="AK253" s="22" t="str">
        <f aca="false">IF(AND(N253&lt;&gt;"",X253&gt;1.1*N253),"Consented above capacity",IF(AND(LEFT(B253,8)="Planning",AJ253=0),"Consent parcel with no permission",IF(COUNTIF($A$2:$A$3000,$A253)&gt;1,"Duplicate parcel_id","")))</f>
        <v/>
      </c>
    </row>
    <row r="254" customFormat="false" ht="15" hidden="false" customHeight="false" outlineLevel="0" collapsed="false">
      <c r="A254" s="18" t="s">
        <v>524</v>
      </c>
      <c r="B254" s="18" t="s">
        <v>12</v>
      </c>
      <c r="C254" s="18" t="s">
        <v>16</v>
      </c>
      <c r="D254" s="18"/>
      <c r="E254" s="18" t="s">
        <v>492</v>
      </c>
      <c r="F254" s="18" t="s">
        <v>493</v>
      </c>
      <c r="G254" s="18" t="s">
        <v>301</v>
      </c>
      <c r="H254" s="18"/>
      <c r="I254" s="18"/>
      <c r="J254" s="18"/>
      <c r="K254" s="18"/>
      <c r="L254" s="18" t="n">
        <v>1.004</v>
      </c>
      <c r="M254" s="18" t="n">
        <v>1.004</v>
      </c>
      <c r="N254" s="18"/>
      <c r="O254" s="18" t="s">
        <v>283</v>
      </c>
      <c r="P254" s="18"/>
      <c r="Q254" s="18"/>
      <c r="R254" s="18" t="s">
        <v>98</v>
      </c>
      <c r="S254" s="18"/>
      <c r="T254" s="19" t="n">
        <f aca="false">SUMIFS(Permissions!$F$2:$F$3000,Permissions!$B$2:$B$3000,$A254,Permissions!$H$2:$H$3000,"Complete",Permissions!$I$2:$I$3000,"Yes")</f>
        <v>12</v>
      </c>
      <c r="U254" s="19" t="n">
        <f aca="false">SUMIFS(Permissions!$F$2:$F$3000,Permissions!$B$2:$B$3000,$A254,Permissions!$H$2:$H$3000,"Under construction",Permissions!$I$2:$I$3000,"Yes")</f>
        <v>5</v>
      </c>
      <c r="V254" s="19" t="n">
        <f aca="false">SUMIFS(Permissions!$F$2:$F$3000,Permissions!$B$2:$B$3000,$A254,Permissions!$H$2:$H$3000,"Permitted – not started",Permissions!$I$2:$I$3000,"Yes")</f>
        <v>0</v>
      </c>
      <c r="W254" s="19" t="n">
        <f aca="false">SUMIFS(Permissions!$F$2:$F$3000,Permissions!$B$2:$B$3000,$A254,Permissions!$H$2:$H$3000,"Stalled",Permissions!$I$2:$I$3000,"Yes")</f>
        <v>0</v>
      </c>
      <c r="X254" s="19" t="n">
        <f aca="false">T254+U254+V254+W254</f>
        <v>17</v>
      </c>
      <c r="Y254" s="19" t="n">
        <f aca="false">SUMIFS(Permissions!$F$2:$F$3000,Permissions!$B$2:$B$3000,$A254,Permissions!$H$2:$H$3000,"Expired – not started",Permissions!$I$2:$I$3000,"Yes")</f>
        <v>0</v>
      </c>
      <c r="Z254" s="19" t="n">
        <f aca="false">SUMIFS(Permissions!$F$2:$F$3000,Permissions!$B$2:$B$3000,$A254,Permissions!$H$2:$H$3000,"In planning",Permissions!$I$2:$I$3000,"Yes")</f>
        <v>0</v>
      </c>
      <c r="AA254" s="19" t="n">
        <f aca="false">IF(N254="",0,MAX(N254-X254,0))</f>
        <v>0</v>
      </c>
      <c r="AB254" s="20" t="n">
        <f aca="false">X254+AA254</f>
        <v>17</v>
      </c>
      <c r="AC254" s="19" t="n">
        <f aca="false">AB254-T254</f>
        <v>5</v>
      </c>
      <c r="AD254" s="21" t="n">
        <f aca="false">SUMIFS(Permissions!$T$2:$T$3000,Permissions!$B$2:$B$3000,$A254,Permissions!$I$2:$I$3000,"Yes")</f>
        <v>1.2</v>
      </c>
      <c r="AE254" s="21" t="n">
        <f aca="false">SUMIFS(Permissions!$U$2:$U$3000,Permissions!$B$2:$B$3000,$A254,Permissions!$I$2:$I$3000,"Yes")</f>
        <v>3.8</v>
      </c>
      <c r="AF254" s="21" t="n">
        <f aca="false">SUMIFS(Permissions!$V$2:$V$3000,Permissions!$B$2:$B$3000,$A254,Permissions!$I$2:$I$3000,"Yes")</f>
        <v>0</v>
      </c>
      <c r="AG254" s="21" t="n">
        <f aca="false">SUMIFS(Permissions!$W$2:$W$3000,Permissions!$B$2:$B$3000,$A254,Permissions!$I$2:$I$3000,"Yes")</f>
        <v>0</v>
      </c>
      <c r="AH254" s="21" t="n">
        <f aca="false">SUMIFS(Permissions!$X$2:$X$3000,Permissions!$B$2:$B$3000,$A254,Permissions!$I$2:$I$3000,"Yes")</f>
        <v>0</v>
      </c>
      <c r="AI254" s="21" t="n">
        <f aca="false">SUMIFS(Permissions!$Y$2:$Y$3000,Permissions!$B$2:$B$3000,$A254,Permissions!$I$2:$I$3000,"Yes")</f>
        <v>0</v>
      </c>
      <c r="AJ254" s="19" t="n">
        <f aca="false">COUNTIFS(Permissions!$B$2:$B$3000,$A254,Permissions!$I$2:$I$3000,"Yes")</f>
        <v>2</v>
      </c>
      <c r="AK254" s="22" t="str">
        <f aca="false">IF(AND(N254&lt;&gt;"",X254&gt;1.1*N254),"Consented above capacity",IF(AND(LEFT(B254,8)="Planning",AJ254=0),"Consent parcel with no permission",IF(COUNTIF($A$2:$A$3000,$A254)&gt;1,"Duplicate parcel_id","")))</f>
        <v/>
      </c>
    </row>
    <row r="255" customFormat="false" ht="15" hidden="false" customHeight="false" outlineLevel="0" collapsed="false">
      <c r="A255" s="18" t="s">
        <v>525</v>
      </c>
      <c r="B255" s="18" t="s">
        <v>12</v>
      </c>
      <c r="C255" s="18" t="s">
        <v>16</v>
      </c>
      <c r="D255" s="18"/>
      <c r="E255" s="18" t="s">
        <v>492</v>
      </c>
      <c r="F255" s="18" t="s">
        <v>142</v>
      </c>
      <c r="G255" s="18" t="s">
        <v>526</v>
      </c>
      <c r="H255" s="18"/>
      <c r="I255" s="18"/>
      <c r="J255" s="18"/>
      <c r="K255" s="18"/>
      <c r="L255" s="18" t="n">
        <v>0.861</v>
      </c>
      <c r="M255" s="18" t="n">
        <v>0.861</v>
      </c>
      <c r="N255" s="18"/>
      <c r="O255" s="18" t="s">
        <v>283</v>
      </c>
      <c r="P255" s="18"/>
      <c r="Q255" s="18"/>
      <c r="R255" s="18" t="s">
        <v>98</v>
      </c>
      <c r="S255" s="18"/>
      <c r="T255" s="19" t="n">
        <f aca="false">SUMIFS(Permissions!$F$2:$F$3000,Permissions!$B$2:$B$3000,$A255,Permissions!$H$2:$H$3000,"Complete",Permissions!$I$2:$I$3000,"Yes")</f>
        <v>0</v>
      </c>
      <c r="U255" s="19" t="n">
        <f aca="false">SUMIFS(Permissions!$F$2:$F$3000,Permissions!$B$2:$B$3000,$A255,Permissions!$H$2:$H$3000,"Under construction",Permissions!$I$2:$I$3000,"Yes")</f>
        <v>0</v>
      </c>
      <c r="V255" s="19" t="n">
        <f aca="false">SUMIFS(Permissions!$F$2:$F$3000,Permissions!$B$2:$B$3000,$A255,Permissions!$H$2:$H$3000,"Permitted – not started",Permissions!$I$2:$I$3000,"Yes")</f>
        <v>12</v>
      </c>
      <c r="W255" s="19" t="n">
        <f aca="false">SUMIFS(Permissions!$F$2:$F$3000,Permissions!$B$2:$B$3000,$A255,Permissions!$H$2:$H$3000,"Stalled",Permissions!$I$2:$I$3000,"Yes")</f>
        <v>0</v>
      </c>
      <c r="X255" s="19" t="n">
        <f aca="false">T255+U255+V255+W255</f>
        <v>12</v>
      </c>
      <c r="Y255" s="19" t="n">
        <f aca="false">SUMIFS(Permissions!$F$2:$F$3000,Permissions!$B$2:$B$3000,$A255,Permissions!$H$2:$H$3000,"Expired – not started",Permissions!$I$2:$I$3000,"Yes")</f>
        <v>0</v>
      </c>
      <c r="Z255" s="19" t="n">
        <f aca="false">SUMIFS(Permissions!$F$2:$F$3000,Permissions!$B$2:$B$3000,$A255,Permissions!$H$2:$H$3000,"In planning",Permissions!$I$2:$I$3000,"Yes")</f>
        <v>0</v>
      </c>
      <c r="AA255" s="19" t="n">
        <f aca="false">IF(N255="",0,MAX(N255-X255,0))</f>
        <v>0</v>
      </c>
      <c r="AB255" s="20" t="n">
        <f aca="false">X255+AA255</f>
        <v>12</v>
      </c>
      <c r="AC255" s="19" t="n">
        <f aca="false">AB255-T255</f>
        <v>12</v>
      </c>
      <c r="AD255" s="21" t="n">
        <f aca="false">SUMIFS(Permissions!$T$2:$T$3000,Permissions!$B$2:$B$3000,$A255,Permissions!$I$2:$I$3000,"Yes")</f>
        <v>0</v>
      </c>
      <c r="AE255" s="21" t="n">
        <f aca="false">SUMIFS(Permissions!$U$2:$U$3000,Permissions!$B$2:$B$3000,$A255,Permissions!$I$2:$I$3000,"Yes")</f>
        <v>0</v>
      </c>
      <c r="AF255" s="21" t="n">
        <f aca="false">SUMIFS(Permissions!$V$2:$V$3000,Permissions!$B$2:$B$3000,$A255,Permissions!$I$2:$I$3000,"Yes")</f>
        <v>7</v>
      </c>
      <c r="AG255" s="21" t="n">
        <f aca="false">SUMIFS(Permissions!$W$2:$W$3000,Permissions!$B$2:$B$3000,$A255,Permissions!$I$2:$I$3000,"Yes")</f>
        <v>5</v>
      </c>
      <c r="AH255" s="21" t="n">
        <f aca="false">SUMIFS(Permissions!$X$2:$X$3000,Permissions!$B$2:$B$3000,$A255,Permissions!$I$2:$I$3000,"Yes")</f>
        <v>0</v>
      </c>
      <c r="AI255" s="21" t="n">
        <f aca="false">SUMIFS(Permissions!$Y$2:$Y$3000,Permissions!$B$2:$B$3000,$A255,Permissions!$I$2:$I$3000,"Yes")</f>
        <v>0</v>
      </c>
      <c r="AJ255" s="19" t="n">
        <f aca="false">COUNTIFS(Permissions!$B$2:$B$3000,$A255,Permissions!$I$2:$I$3000,"Yes")</f>
        <v>1</v>
      </c>
      <c r="AK255" s="22" t="str">
        <f aca="false">IF(AND(N255&lt;&gt;"",X255&gt;1.1*N255),"Consented above capacity",IF(AND(LEFT(B255,8)="Planning",AJ255=0),"Consent parcel with no permission",IF(COUNTIF($A$2:$A$3000,$A255)&gt;1,"Duplicate parcel_id","")))</f>
        <v/>
      </c>
    </row>
    <row r="256" customFormat="false" ht="15" hidden="false" customHeight="false" outlineLevel="0" collapsed="false">
      <c r="A256" s="18" t="s">
        <v>527</v>
      </c>
      <c r="B256" s="18" t="s">
        <v>12</v>
      </c>
      <c r="C256" s="18" t="s">
        <v>16</v>
      </c>
      <c r="D256" s="18"/>
      <c r="E256" s="18" t="s">
        <v>492</v>
      </c>
      <c r="F256" s="18" t="s">
        <v>517</v>
      </c>
      <c r="G256" s="18" t="s">
        <v>528</v>
      </c>
      <c r="H256" s="18"/>
      <c r="I256" s="18"/>
      <c r="J256" s="18"/>
      <c r="K256" s="18"/>
      <c r="L256" s="18" t="n">
        <v>2.18</v>
      </c>
      <c r="M256" s="18" t="n">
        <v>2.18</v>
      </c>
      <c r="N256" s="18"/>
      <c r="O256" s="18" t="s">
        <v>283</v>
      </c>
      <c r="P256" s="18"/>
      <c r="Q256" s="18"/>
      <c r="R256" s="18" t="s">
        <v>98</v>
      </c>
      <c r="S256" s="18"/>
      <c r="T256" s="19" t="n">
        <f aca="false">SUMIFS(Permissions!$F$2:$F$3000,Permissions!$B$2:$B$3000,$A256,Permissions!$H$2:$H$3000,"Complete",Permissions!$I$2:$I$3000,"Yes")</f>
        <v>0</v>
      </c>
      <c r="U256" s="19" t="n">
        <f aca="false">SUMIFS(Permissions!$F$2:$F$3000,Permissions!$B$2:$B$3000,$A256,Permissions!$H$2:$H$3000,"Under construction",Permissions!$I$2:$I$3000,"Yes")</f>
        <v>0</v>
      </c>
      <c r="V256" s="19" t="n">
        <f aca="false">SUMIFS(Permissions!$F$2:$F$3000,Permissions!$B$2:$B$3000,$A256,Permissions!$H$2:$H$3000,"Permitted – not started",Permissions!$I$2:$I$3000,"Yes")</f>
        <v>31</v>
      </c>
      <c r="W256" s="19" t="n">
        <f aca="false">SUMIFS(Permissions!$F$2:$F$3000,Permissions!$B$2:$B$3000,$A256,Permissions!$H$2:$H$3000,"Stalled",Permissions!$I$2:$I$3000,"Yes")</f>
        <v>0</v>
      </c>
      <c r="X256" s="19" t="n">
        <f aca="false">T256+U256+V256+W256</f>
        <v>31</v>
      </c>
      <c r="Y256" s="19" t="n">
        <f aca="false">SUMIFS(Permissions!$F$2:$F$3000,Permissions!$B$2:$B$3000,$A256,Permissions!$H$2:$H$3000,"Expired – not started",Permissions!$I$2:$I$3000,"Yes")</f>
        <v>0</v>
      </c>
      <c r="Z256" s="19" t="n">
        <f aca="false">SUMIFS(Permissions!$F$2:$F$3000,Permissions!$B$2:$B$3000,$A256,Permissions!$H$2:$H$3000,"In planning",Permissions!$I$2:$I$3000,"Yes")</f>
        <v>0</v>
      </c>
      <c r="AA256" s="19" t="n">
        <f aca="false">IF(N256="",0,MAX(N256-X256,0))</f>
        <v>0</v>
      </c>
      <c r="AB256" s="20" t="n">
        <f aca="false">X256+AA256</f>
        <v>31</v>
      </c>
      <c r="AC256" s="19" t="n">
        <f aca="false">AB256-T256</f>
        <v>31</v>
      </c>
      <c r="AD256" s="21" t="n">
        <f aca="false">SUMIFS(Permissions!$T$2:$T$3000,Permissions!$B$2:$B$3000,$A256,Permissions!$I$2:$I$3000,"Yes")</f>
        <v>0</v>
      </c>
      <c r="AE256" s="21" t="n">
        <f aca="false">SUMIFS(Permissions!$U$2:$U$3000,Permissions!$B$2:$B$3000,$A256,Permissions!$I$2:$I$3000,"Yes")</f>
        <v>0</v>
      </c>
      <c r="AF256" s="21" t="n">
        <f aca="false">SUMIFS(Permissions!$V$2:$V$3000,Permissions!$B$2:$B$3000,$A256,Permissions!$I$2:$I$3000,"Yes")</f>
        <v>23.6</v>
      </c>
      <c r="AG256" s="21" t="n">
        <f aca="false">SUMIFS(Permissions!$W$2:$W$3000,Permissions!$B$2:$B$3000,$A256,Permissions!$I$2:$I$3000,"Yes")</f>
        <v>7.4</v>
      </c>
      <c r="AH256" s="21" t="n">
        <f aca="false">SUMIFS(Permissions!$X$2:$X$3000,Permissions!$B$2:$B$3000,$A256,Permissions!$I$2:$I$3000,"Yes")</f>
        <v>0</v>
      </c>
      <c r="AI256" s="21" t="n">
        <f aca="false">SUMIFS(Permissions!$Y$2:$Y$3000,Permissions!$B$2:$B$3000,$A256,Permissions!$I$2:$I$3000,"Yes")</f>
        <v>0</v>
      </c>
      <c r="AJ256" s="19" t="n">
        <f aca="false">COUNTIFS(Permissions!$B$2:$B$3000,$A256,Permissions!$I$2:$I$3000,"Yes")</f>
        <v>1</v>
      </c>
      <c r="AK256" s="22" t="str">
        <f aca="false">IF(AND(N256&lt;&gt;"",X256&gt;1.1*N256),"Consented above capacity",IF(AND(LEFT(B256,8)="Planning",AJ256=0),"Consent parcel with no permission",IF(COUNTIF($A$2:$A$3000,$A256)&gt;1,"Duplicate parcel_id","")))</f>
        <v/>
      </c>
    </row>
    <row r="257" customFormat="false" ht="15" hidden="false" customHeight="false" outlineLevel="0" collapsed="false">
      <c r="A257" s="18" t="s">
        <v>529</v>
      </c>
      <c r="B257" s="18" t="s">
        <v>12</v>
      </c>
      <c r="C257" s="18" t="s">
        <v>16</v>
      </c>
      <c r="D257" s="18"/>
      <c r="E257" s="18" t="s">
        <v>492</v>
      </c>
      <c r="F257" s="18" t="s">
        <v>493</v>
      </c>
      <c r="G257" s="18" t="s">
        <v>530</v>
      </c>
      <c r="H257" s="18"/>
      <c r="I257" s="18"/>
      <c r="J257" s="18"/>
      <c r="K257" s="18"/>
      <c r="L257" s="18" t="n">
        <v>0.253</v>
      </c>
      <c r="M257" s="18" t="n">
        <v>0.253</v>
      </c>
      <c r="N257" s="18"/>
      <c r="O257" s="18" t="s">
        <v>283</v>
      </c>
      <c r="P257" s="18"/>
      <c r="Q257" s="18"/>
      <c r="R257" s="18" t="s">
        <v>98</v>
      </c>
      <c r="S257" s="18"/>
      <c r="T257" s="19" t="n">
        <f aca="false">SUMIFS(Permissions!$F$2:$F$3000,Permissions!$B$2:$B$3000,$A257,Permissions!$H$2:$H$3000,"Complete",Permissions!$I$2:$I$3000,"Yes")</f>
        <v>0</v>
      </c>
      <c r="U257" s="19" t="n">
        <f aca="false">SUMIFS(Permissions!$F$2:$F$3000,Permissions!$B$2:$B$3000,$A257,Permissions!$H$2:$H$3000,"Under construction",Permissions!$I$2:$I$3000,"Yes")</f>
        <v>10</v>
      </c>
      <c r="V257" s="19" t="n">
        <f aca="false">SUMIFS(Permissions!$F$2:$F$3000,Permissions!$B$2:$B$3000,$A257,Permissions!$H$2:$H$3000,"Permitted – not started",Permissions!$I$2:$I$3000,"Yes")</f>
        <v>0</v>
      </c>
      <c r="W257" s="19" t="n">
        <f aca="false">SUMIFS(Permissions!$F$2:$F$3000,Permissions!$B$2:$B$3000,$A257,Permissions!$H$2:$H$3000,"Stalled",Permissions!$I$2:$I$3000,"Yes")</f>
        <v>0</v>
      </c>
      <c r="X257" s="19" t="n">
        <f aca="false">T257+U257+V257+W257</f>
        <v>10</v>
      </c>
      <c r="Y257" s="19" t="n">
        <f aca="false">SUMIFS(Permissions!$F$2:$F$3000,Permissions!$B$2:$B$3000,$A257,Permissions!$H$2:$H$3000,"Expired – not started",Permissions!$I$2:$I$3000,"Yes")</f>
        <v>0</v>
      </c>
      <c r="Z257" s="19" t="n">
        <f aca="false">SUMIFS(Permissions!$F$2:$F$3000,Permissions!$B$2:$B$3000,$A257,Permissions!$H$2:$H$3000,"In planning",Permissions!$I$2:$I$3000,"Yes")</f>
        <v>0</v>
      </c>
      <c r="AA257" s="19" t="n">
        <f aca="false">IF(N257="",0,MAX(N257-X257,0))</f>
        <v>0</v>
      </c>
      <c r="AB257" s="20" t="n">
        <f aca="false">X257+AA257</f>
        <v>10</v>
      </c>
      <c r="AC257" s="19" t="n">
        <f aca="false">AB257-T257</f>
        <v>10</v>
      </c>
      <c r="AD257" s="21" t="n">
        <f aca="false">SUMIFS(Permissions!$T$2:$T$3000,Permissions!$B$2:$B$3000,$A257,Permissions!$I$2:$I$3000,"Yes")</f>
        <v>2.3</v>
      </c>
      <c r="AE257" s="21" t="n">
        <f aca="false">SUMIFS(Permissions!$U$2:$U$3000,Permissions!$B$2:$B$3000,$A257,Permissions!$I$2:$I$3000,"Yes")</f>
        <v>7.7</v>
      </c>
      <c r="AF257" s="21" t="n">
        <f aca="false">SUMIFS(Permissions!$V$2:$V$3000,Permissions!$B$2:$B$3000,$A257,Permissions!$I$2:$I$3000,"Yes")</f>
        <v>0</v>
      </c>
      <c r="AG257" s="21" t="n">
        <f aca="false">SUMIFS(Permissions!$W$2:$W$3000,Permissions!$B$2:$B$3000,$A257,Permissions!$I$2:$I$3000,"Yes")</f>
        <v>0</v>
      </c>
      <c r="AH257" s="21" t="n">
        <f aca="false">SUMIFS(Permissions!$X$2:$X$3000,Permissions!$B$2:$B$3000,$A257,Permissions!$I$2:$I$3000,"Yes")</f>
        <v>0</v>
      </c>
      <c r="AI257" s="21" t="n">
        <f aca="false">SUMIFS(Permissions!$Y$2:$Y$3000,Permissions!$B$2:$B$3000,$A257,Permissions!$I$2:$I$3000,"Yes")</f>
        <v>0</v>
      </c>
      <c r="AJ257" s="19" t="n">
        <f aca="false">COUNTIFS(Permissions!$B$2:$B$3000,$A257,Permissions!$I$2:$I$3000,"Yes")</f>
        <v>1</v>
      </c>
      <c r="AK257" s="22" t="str">
        <f aca="false">IF(AND(N257&lt;&gt;"",X257&gt;1.1*N257),"Consented above capacity",IF(AND(LEFT(B257,8)="Planning",AJ257=0),"Consent parcel with no permission",IF(COUNTIF($A$2:$A$3000,$A257)&gt;1,"Duplicate parcel_id","")))</f>
        <v/>
      </c>
    </row>
    <row r="258" customFormat="false" ht="15" hidden="false" customHeight="false" outlineLevel="0" collapsed="false">
      <c r="A258" s="18" t="s">
        <v>531</v>
      </c>
      <c r="B258" s="18" t="s">
        <v>12</v>
      </c>
      <c r="C258" s="18" t="s">
        <v>16</v>
      </c>
      <c r="D258" s="18"/>
      <c r="E258" s="18" t="s">
        <v>492</v>
      </c>
      <c r="F258" s="18" t="s">
        <v>517</v>
      </c>
      <c r="G258" s="18" t="s">
        <v>532</v>
      </c>
      <c r="H258" s="18"/>
      <c r="I258" s="18"/>
      <c r="J258" s="18"/>
      <c r="K258" s="18"/>
      <c r="L258" s="18" t="n">
        <v>0.735</v>
      </c>
      <c r="M258" s="18" t="n">
        <v>0.735</v>
      </c>
      <c r="N258" s="18"/>
      <c r="O258" s="18" t="s">
        <v>283</v>
      </c>
      <c r="P258" s="18"/>
      <c r="Q258" s="18"/>
      <c r="R258" s="18" t="s">
        <v>98</v>
      </c>
      <c r="S258" s="18"/>
      <c r="T258" s="19" t="n">
        <f aca="false">SUMIFS(Permissions!$F$2:$F$3000,Permissions!$B$2:$B$3000,$A258,Permissions!$H$2:$H$3000,"Complete",Permissions!$I$2:$I$3000,"Yes")</f>
        <v>0</v>
      </c>
      <c r="U258" s="19" t="n">
        <f aca="false">SUMIFS(Permissions!$F$2:$F$3000,Permissions!$B$2:$B$3000,$A258,Permissions!$H$2:$H$3000,"Under construction",Permissions!$I$2:$I$3000,"Yes")</f>
        <v>5</v>
      </c>
      <c r="V258" s="19" t="n">
        <f aca="false">SUMIFS(Permissions!$F$2:$F$3000,Permissions!$B$2:$B$3000,$A258,Permissions!$H$2:$H$3000,"Permitted – not started",Permissions!$I$2:$I$3000,"Yes")</f>
        <v>0</v>
      </c>
      <c r="W258" s="19" t="n">
        <f aca="false">SUMIFS(Permissions!$F$2:$F$3000,Permissions!$B$2:$B$3000,$A258,Permissions!$H$2:$H$3000,"Stalled",Permissions!$I$2:$I$3000,"Yes")</f>
        <v>0</v>
      </c>
      <c r="X258" s="19" t="n">
        <f aca="false">T258+U258+V258+W258</f>
        <v>5</v>
      </c>
      <c r="Y258" s="19" t="n">
        <f aca="false">SUMIFS(Permissions!$F$2:$F$3000,Permissions!$B$2:$B$3000,$A258,Permissions!$H$2:$H$3000,"Expired – not started",Permissions!$I$2:$I$3000,"Yes")</f>
        <v>0</v>
      </c>
      <c r="Z258" s="19" t="n">
        <f aca="false">SUMIFS(Permissions!$F$2:$F$3000,Permissions!$B$2:$B$3000,$A258,Permissions!$H$2:$H$3000,"In planning",Permissions!$I$2:$I$3000,"Yes")</f>
        <v>0</v>
      </c>
      <c r="AA258" s="19" t="n">
        <f aca="false">IF(N258="",0,MAX(N258-X258,0))</f>
        <v>0</v>
      </c>
      <c r="AB258" s="20" t="n">
        <f aca="false">X258+AA258</f>
        <v>5</v>
      </c>
      <c r="AC258" s="19" t="n">
        <f aca="false">AB258-T258</f>
        <v>5</v>
      </c>
      <c r="AD258" s="21" t="n">
        <f aca="false">SUMIFS(Permissions!$T$2:$T$3000,Permissions!$B$2:$B$3000,$A258,Permissions!$I$2:$I$3000,"Yes")</f>
        <v>1.2</v>
      </c>
      <c r="AE258" s="21" t="n">
        <f aca="false">SUMIFS(Permissions!$U$2:$U$3000,Permissions!$B$2:$B$3000,$A258,Permissions!$I$2:$I$3000,"Yes")</f>
        <v>3.8</v>
      </c>
      <c r="AF258" s="21" t="n">
        <f aca="false">SUMIFS(Permissions!$V$2:$V$3000,Permissions!$B$2:$B$3000,$A258,Permissions!$I$2:$I$3000,"Yes")</f>
        <v>0</v>
      </c>
      <c r="AG258" s="21" t="n">
        <f aca="false">SUMIFS(Permissions!$W$2:$W$3000,Permissions!$B$2:$B$3000,$A258,Permissions!$I$2:$I$3000,"Yes")</f>
        <v>0</v>
      </c>
      <c r="AH258" s="21" t="n">
        <f aca="false">SUMIFS(Permissions!$X$2:$X$3000,Permissions!$B$2:$B$3000,$A258,Permissions!$I$2:$I$3000,"Yes")</f>
        <v>0</v>
      </c>
      <c r="AI258" s="21" t="n">
        <f aca="false">SUMIFS(Permissions!$Y$2:$Y$3000,Permissions!$B$2:$B$3000,$A258,Permissions!$I$2:$I$3000,"Yes")</f>
        <v>0</v>
      </c>
      <c r="AJ258" s="19" t="n">
        <f aca="false">COUNTIFS(Permissions!$B$2:$B$3000,$A258,Permissions!$I$2:$I$3000,"Yes")</f>
        <v>1</v>
      </c>
      <c r="AK258" s="22" t="str">
        <f aca="false">IF(AND(N258&lt;&gt;"",X258&gt;1.1*N258),"Consented above capacity",IF(AND(LEFT(B258,8)="Planning",AJ258=0),"Consent parcel with no permission",IF(COUNTIF($A$2:$A$3000,$A258)&gt;1,"Duplicate parcel_id","")))</f>
        <v/>
      </c>
    </row>
    <row r="259" customFormat="false" ht="15" hidden="false" customHeight="false" outlineLevel="0" collapsed="false">
      <c r="A259" s="18" t="s">
        <v>533</v>
      </c>
      <c r="B259" s="18" t="s">
        <v>12</v>
      </c>
      <c r="C259" s="18" t="s">
        <v>16</v>
      </c>
      <c r="D259" s="18"/>
      <c r="E259" s="18" t="s">
        <v>492</v>
      </c>
      <c r="F259" s="18" t="s">
        <v>517</v>
      </c>
      <c r="G259" s="18" t="s">
        <v>534</v>
      </c>
      <c r="H259" s="18"/>
      <c r="I259" s="18"/>
      <c r="J259" s="18"/>
      <c r="K259" s="18"/>
      <c r="L259" s="18" t="n">
        <v>0.625</v>
      </c>
      <c r="M259" s="18" t="n">
        <v>0.625</v>
      </c>
      <c r="N259" s="18"/>
      <c r="O259" s="18" t="s">
        <v>283</v>
      </c>
      <c r="P259" s="18"/>
      <c r="Q259" s="18"/>
      <c r="R259" s="18" t="s">
        <v>98</v>
      </c>
      <c r="S259" s="18"/>
      <c r="T259" s="19" t="n">
        <f aca="false">SUMIFS(Permissions!$F$2:$F$3000,Permissions!$B$2:$B$3000,$A259,Permissions!$H$2:$H$3000,"Complete",Permissions!$I$2:$I$3000,"Yes")</f>
        <v>0</v>
      </c>
      <c r="U259" s="19" t="n">
        <f aca="false">SUMIFS(Permissions!$F$2:$F$3000,Permissions!$B$2:$B$3000,$A259,Permissions!$H$2:$H$3000,"Under construction",Permissions!$I$2:$I$3000,"Yes")</f>
        <v>6</v>
      </c>
      <c r="V259" s="19" t="n">
        <f aca="false">SUMIFS(Permissions!$F$2:$F$3000,Permissions!$B$2:$B$3000,$A259,Permissions!$H$2:$H$3000,"Permitted – not started",Permissions!$I$2:$I$3000,"Yes")</f>
        <v>0</v>
      </c>
      <c r="W259" s="19" t="n">
        <f aca="false">SUMIFS(Permissions!$F$2:$F$3000,Permissions!$B$2:$B$3000,$A259,Permissions!$H$2:$H$3000,"Stalled",Permissions!$I$2:$I$3000,"Yes")</f>
        <v>0</v>
      </c>
      <c r="X259" s="19" t="n">
        <f aca="false">T259+U259+V259+W259</f>
        <v>6</v>
      </c>
      <c r="Y259" s="19" t="n">
        <f aca="false">SUMIFS(Permissions!$F$2:$F$3000,Permissions!$B$2:$B$3000,$A259,Permissions!$H$2:$H$3000,"Expired – not started",Permissions!$I$2:$I$3000,"Yes")</f>
        <v>0</v>
      </c>
      <c r="Z259" s="19" t="n">
        <f aca="false">SUMIFS(Permissions!$F$2:$F$3000,Permissions!$B$2:$B$3000,$A259,Permissions!$H$2:$H$3000,"In planning",Permissions!$I$2:$I$3000,"Yes")</f>
        <v>0</v>
      </c>
      <c r="AA259" s="19" t="n">
        <f aca="false">IF(N259="",0,MAX(N259-X259,0))</f>
        <v>0</v>
      </c>
      <c r="AB259" s="20" t="n">
        <f aca="false">X259+AA259</f>
        <v>6</v>
      </c>
      <c r="AC259" s="19" t="n">
        <f aca="false">AB259-T259</f>
        <v>6</v>
      </c>
      <c r="AD259" s="21" t="n">
        <f aca="false">SUMIFS(Permissions!$T$2:$T$3000,Permissions!$B$2:$B$3000,$A259,Permissions!$I$2:$I$3000,"Yes")</f>
        <v>1.4</v>
      </c>
      <c r="AE259" s="21" t="n">
        <f aca="false">SUMIFS(Permissions!$U$2:$U$3000,Permissions!$B$2:$B$3000,$A259,Permissions!$I$2:$I$3000,"Yes")</f>
        <v>4.6</v>
      </c>
      <c r="AF259" s="21" t="n">
        <f aca="false">SUMIFS(Permissions!$V$2:$V$3000,Permissions!$B$2:$B$3000,$A259,Permissions!$I$2:$I$3000,"Yes")</f>
        <v>0</v>
      </c>
      <c r="AG259" s="21" t="n">
        <f aca="false">SUMIFS(Permissions!$W$2:$W$3000,Permissions!$B$2:$B$3000,$A259,Permissions!$I$2:$I$3000,"Yes")</f>
        <v>0</v>
      </c>
      <c r="AH259" s="21" t="n">
        <f aca="false">SUMIFS(Permissions!$X$2:$X$3000,Permissions!$B$2:$B$3000,$A259,Permissions!$I$2:$I$3000,"Yes")</f>
        <v>0</v>
      </c>
      <c r="AI259" s="21" t="n">
        <f aca="false">SUMIFS(Permissions!$Y$2:$Y$3000,Permissions!$B$2:$B$3000,$A259,Permissions!$I$2:$I$3000,"Yes")</f>
        <v>0</v>
      </c>
      <c r="AJ259" s="19" t="n">
        <f aca="false">COUNTIFS(Permissions!$B$2:$B$3000,$A259,Permissions!$I$2:$I$3000,"Yes")</f>
        <v>1</v>
      </c>
      <c r="AK259" s="22" t="str">
        <f aca="false">IF(AND(N259&lt;&gt;"",X259&gt;1.1*N259),"Consented above capacity",IF(AND(LEFT(B259,8)="Planning",AJ259=0),"Consent parcel with no permission",IF(COUNTIF($A$2:$A$3000,$A259)&gt;1,"Duplicate parcel_id","")))</f>
        <v/>
      </c>
    </row>
    <row r="260" customFormat="false" ht="15" hidden="false" customHeight="false" outlineLevel="0" collapsed="false">
      <c r="A260" s="18" t="s">
        <v>535</v>
      </c>
      <c r="B260" s="18" t="s">
        <v>12</v>
      </c>
      <c r="C260" s="18" t="s">
        <v>16</v>
      </c>
      <c r="D260" s="18"/>
      <c r="E260" s="18" t="s">
        <v>492</v>
      </c>
      <c r="F260" s="18" t="s">
        <v>493</v>
      </c>
      <c r="G260" s="18" t="s">
        <v>536</v>
      </c>
      <c r="H260" s="18"/>
      <c r="I260" s="18"/>
      <c r="J260" s="18"/>
      <c r="K260" s="18"/>
      <c r="L260" s="18" t="n">
        <v>0.174</v>
      </c>
      <c r="M260" s="18" t="n">
        <v>0.174</v>
      </c>
      <c r="N260" s="18"/>
      <c r="O260" s="18" t="s">
        <v>283</v>
      </c>
      <c r="P260" s="18"/>
      <c r="Q260" s="18"/>
      <c r="R260" s="18" t="s">
        <v>98</v>
      </c>
      <c r="S260" s="18"/>
      <c r="T260" s="19" t="n">
        <f aca="false">SUMIFS(Permissions!$F$2:$F$3000,Permissions!$B$2:$B$3000,$A260,Permissions!$H$2:$H$3000,"Complete",Permissions!$I$2:$I$3000,"Yes")</f>
        <v>0</v>
      </c>
      <c r="U260" s="19" t="n">
        <f aca="false">SUMIFS(Permissions!$F$2:$F$3000,Permissions!$B$2:$B$3000,$A260,Permissions!$H$2:$H$3000,"Under construction",Permissions!$I$2:$I$3000,"Yes")</f>
        <v>0</v>
      </c>
      <c r="V260" s="19" t="n">
        <f aca="false">SUMIFS(Permissions!$F$2:$F$3000,Permissions!$B$2:$B$3000,$A260,Permissions!$H$2:$H$3000,"Permitted – not started",Permissions!$I$2:$I$3000,"Yes")</f>
        <v>0</v>
      </c>
      <c r="W260" s="19" t="n">
        <f aca="false">SUMIFS(Permissions!$F$2:$F$3000,Permissions!$B$2:$B$3000,$A260,Permissions!$H$2:$H$3000,"Stalled",Permissions!$I$2:$I$3000,"Yes")</f>
        <v>0</v>
      </c>
      <c r="X260" s="19" t="n">
        <f aca="false">T260+U260+V260+W260</f>
        <v>0</v>
      </c>
      <c r="Y260" s="19" t="n">
        <f aca="false">SUMIFS(Permissions!$F$2:$F$3000,Permissions!$B$2:$B$3000,$A260,Permissions!$H$2:$H$3000,"Expired – not started",Permissions!$I$2:$I$3000,"Yes")</f>
        <v>1</v>
      </c>
      <c r="Z260" s="19" t="n">
        <f aca="false">SUMIFS(Permissions!$F$2:$F$3000,Permissions!$B$2:$B$3000,$A260,Permissions!$H$2:$H$3000,"In planning",Permissions!$I$2:$I$3000,"Yes")</f>
        <v>0</v>
      </c>
      <c r="AA260" s="19" t="n">
        <f aca="false">IF(N260="",0,MAX(N260-X260,0))</f>
        <v>0</v>
      </c>
      <c r="AB260" s="20" t="n">
        <f aca="false">X260+AA260</f>
        <v>0</v>
      </c>
      <c r="AC260" s="19" t="n">
        <f aca="false">AB260-T260</f>
        <v>0</v>
      </c>
      <c r="AD260" s="21" t="n">
        <f aca="false">SUMIFS(Permissions!$T$2:$T$3000,Permissions!$B$2:$B$3000,$A260,Permissions!$I$2:$I$3000,"Yes")</f>
        <v>0</v>
      </c>
      <c r="AE260" s="21" t="n">
        <f aca="false">SUMIFS(Permissions!$U$2:$U$3000,Permissions!$B$2:$B$3000,$A260,Permissions!$I$2:$I$3000,"Yes")</f>
        <v>0</v>
      </c>
      <c r="AF260" s="21" t="n">
        <f aca="false">SUMIFS(Permissions!$V$2:$V$3000,Permissions!$B$2:$B$3000,$A260,Permissions!$I$2:$I$3000,"Yes")</f>
        <v>0</v>
      </c>
      <c r="AG260" s="21" t="n">
        <f aca="false">SUMIFS(Permissions!$W$2:$W$3000,Permissions!$B$2:$B$3000,$A260,Permissions!$I$2:$I$3000,"Yes")</f>
        <v>0</v>
      </c>
      <c r="AH260" s="21" t="n">
        <f aca="false">SUMIFS(Permissions!$X$2:$X$3000,Permissions!$B$2:$B$3000,$A260,Permissions!$I$2:$I$3000,"Yes")</f>
        <v>0</v>
      </c>
      <c r="AI260" s="21" t="n">
        <f aca="false">SUMIFS(Permissions!$Y$2:$Y$3000,Permissions!$B$2:$B$3000,$A260,Permissions!$I$2:$I$3000,"Yes")</f>
        <v>0</v>
      </c>
      <c r="AJ260" s="19" t="n">
        <f aca="false">COUNTIFS(Permissions!$B$2:$B$3000,$A260,Permissions!$I$2:$I$3000,"Yes")</f>
        <v>1</v>
      </c>
      <c r="AK260" s="22" t="str">
        <f aca="false">IF(AND(N260&lt;&gt;"",X260&gt;1.1*N260),"Consented above capacity",IF(AND(LEFT(B260,8)="Planning",AJ260=0),"Consent parcel with no permission",IF(COUNTIF($A$2:$A$3000,$A260)&gt;1,"Duplicate parcel_id","")))</f>
        <v/>
      </c>
    </row>
    <row r="261" customFormat="false" ht="15" hidden="false" customHeight="false" outlineLevel="0" collapsed="false">
      <c r="A261" s="18" t="s">
        <v>537</v>
      </c>
      <c r="B261" s="18" t="s">
        <v>12</v>
      </c>
      <c r="C261" s="18" t="s">
        <v>16</v>
      </c>
      <c r="D261" s="18"/>
      <c r="E261" s="18" t="s">
        <v>492</v>
      </c>
      <c r="F261" s="18" t="s">
        <v>517</v>
      </c>
      <c r="G261" s="18" t="s">
        <v>538</v>
      </c>
      <c r="H261" s="18"/>
      <c r="I261" s="18"/>
      <c r="J261" s="18"/>
      <c r="K261" s="18"/>
      <c r="L261" s="18" t="n">
        <v>0.313</v>
      </c>
      <c r="M261" s="18" t="n">
        <v>0.313</v>
      </c>
      <c r="N261" s="18"/>
      <c r="O261" s="18" t="s">
        <v>283</v>
      </c>
      <c r="P261" s="18"/>
      <c r="Q261" s="18"/>
      <c r="R261" s="18" t="s">
        <v>98</v>
      </c>
      <c r="S261" s="18"/>
      <c r="T261" s="19" t="n">
        <f aca="false">SUMIFS(Permissions!$F$2:$F$3000,Permissions!$B$2:$B$3000,$A261,Permissions!$H$2:$H$3000,"Complete",Permissions!$I$2:$I$3000,"Yes")</f>
        <v>0</v>
      </c>
      <c r="U261" s="19" t="n">
        <f aca="false">SUMIFS(Permissions!$F$2:$F$3000,Permissions!$B$2:$B$3000,$A261,Permissions!$H$2:$H$3000,"Under construction",Permissions!$I$2:$I$3000,"Yes")</f>
        <v>0</v>
      </c>
      <c r="V261" s="19" t="n">
        <f aca="false">SUMIFS(Permissions!$F$2:$F$3000,Permissions!$B$2:$B$3000,$A261,Permissions!$H$2:$H$3000,"Permitted – not started",Permissions!$I$2:$I$3000,"Yes")</f>
        <v>14</v>
      </c>
      <c r="W261" s="19" t="n">
        <f aca="false">SUMIFS(Permissions!$F$2:$F$3000,Permissions!$B$2:$B$3000,$A261,Permissions!$H$2:$H$3000,"Stalled",Permissions!$I$2:$I$3000,"Yes")</f>
        <v>0</v>
      </c>
      <c r="X261" s="19" t="n">
        <f aca="false">T261+U261+V261+W261</f>
        <v>14</v>
      </c>
      <c r="Y261" s="19" t="n">
        <f aca="false">SUMIFS(Permissions!$F$2:$F$3000,Permissions!$B$2:$B$3000,$A261,Permissions!$H$2:$H$3000,"Expired – not started",Permissions!$I$2:$I$3000,"Yes")</f>
        <v>0</v>
      </c>
      <c r="Z261" s="19" t="n">
        <f aca="false">SUMIFS(Permissions!$F$2:$F$3000,Permissions!$B$2:$B$3000,$A261,Permissions!$H$2:$H$3000,"In planning",Permissions!$I$2:$I$3000,"Yes")</f>
        <v>0</v>
      </c>
      <c r="AA261" s="19" t="n">
        <f aca="false">IF(N261="",0,MAX(N261-X261,0))</f>
        <v>0</v>
      </c>
      <c r="AB261" s="20" t="n">
        <f aca="false">X261+AA261</f>
        <v>14</v>
      </c>
      <c r="AC261" s="19" t="n">
        <f aca="false">AB261-T261</f>
        <v>14</v>
      </c>
      <c r="AD261" s="21" t="n">
        <f aca="false">SUMIFS(Permissions!$T$2:$T$3000,Permissions!$B$2:$B$3000,$A261,Permissions!$I$2:$I$3000,"Yes")</f>
        <v>0</v>
      </c>
      <c r="AE261" s="21" t="n">
        <f aca="false">SUMIFS(Permissions!$U$2:$U$3000,Permissions!$B$2:$B$3000,$A261,Permissions!$I$2:$I$3000,"Yes")</f>
        <v>0</v>
      </c>
      <c r="AF261" s="21" t="n">
        <f aca="false">SUMIFS(Permissions!$V$2:$V$3000,Permissions!$B$2:$B$3000,$A261,Permissions!$I$2:$I$3000,"Yes")</f>
        <v>8.2</v>
      </c>
      <c r="AG261" s="21" t="n">
        <f aca="false">SUMIFS(Permissions!$W$2:$W$3000,Permissions!$B$2:$B$3000,$A261,Permissions!$I$2:$I$3000,"Yes")</f>
        <v>5.8</v>
      </c>
      <c r="AH261" s="21" t="n">
        <f aca="false">SUMIFS(Permissions!$X$2:$X$3000,Permissions!$B$2:$B$3000,$A261,Permissions!$I$2:$I$3000,"Yes")</f>
        <v>0</v>
      </c>
      <c r="AI261" s="21" t="n">
        <f aca="false">SUMIFS(Permissions!$Y$2:$Y$3000,Permissions!$B$2:$B$3000,$A261,Permissions!$I$2:$I$3000,"Yes")</f>
        <v>0</v>
      </c>
      <c r="AJ261" s="19" t="n">
        <f aca="false">COUNTIFS(Permissions!$B$2:$B$3000,$A261,Permissions!$I$2:$I$3000,"Yes")</f>
        <v>1</v>
      </c>
      <c r="AK261" s="22" t="str">
        <f aca="false">IF(AND(N261&lt;&gt;"",X261&gt;1.1*N261),"Consented above capacity",IF(AND(LEFT(B261,8)="Planning",AJ261=0),"Consent parcel with no permission",IF(COUNTIF($A$2:$A$3000,$A261)&gt;1,"Duplicate parcel_id","")))</f>
        <v/>
      </c>
    </row>
    <row r="262" customFormat="false" ht="15" hidden="false" customHeight="false" outlineLevel="0" collapsed="false">
      <c r="A262" s="18" t="s">
        <v>539</v>
      </c>
      <c r="B262" s="18" t="s">
        <v>12</v>
      </c>
      <c r="C262" s="18" t="s">
        <v>16</v>
      </c>
      <c r="D262" s="18"/>
      <c r="E262" s="18" t="s">
        <v>492</v>
      </c>
      <c r="F262" s="18" t="s">
        <v>502</v>
      </c>
      <c r="G262" s="18" t="s">
        <v>540</v>
      </c>
      <c r="H262" s="18"/>
      <c r="I262" s="18"/>
      <c r="J262" s="18"/>
      <c r="K262" s="18"/>
      <c r="L262" s="18" t="n">
        <v>0.884</v>
      </c>
      <c r="M262" s="18" t="n">
        <v>0.884</v>
      </c>
      <c r="N262" s="18"/>
      <c r="O262" s="18" t="s">
        <v>283</v>
      </c>
      <c r="P262" s="18"/>
      <c r="Q262" s="18"/>
      <c r="R262" s="18" t="s">
        <v>98</v>
      </c>
      <c r="S262" s="18"/>
      <c r="T262" s="19" t="n">
        <f aca="false">SUMIFS(Permissions!$F$2:$F$3000,Permissions!$B$2:$B$3000,$A262,Permissions!$H$2:$H$3000,"Complete",Permissions!$I$2:$I$3000,"Yes")</f>
        <v>0</v>
      </c>
      <c r="U262" s="19" t="n">
        <f aca="false">SUMIFS(Permissions!$F$2:$F$3000,Permissions!$B$2:$B$3000,$A262,Permissions!$H$2:$H$3000,"Under construction",Permissions!$I$2:$I$3000,"Yes")</f>
        <v>4</v>
      </c>
      <c r="V262" s="19" t="n">
        <f aca="false">SUMIFS(Permissions!$F$2:$F$3000,Permissions!$B$2:$B$3000,$A262,Permissions!$H$2:$H$3000,"Permitted – not started",Permissions!$I$2:$I$3000,"Yes")</f>
        <v>0</v>
      </c>
      <c r="W262" s="19" t="n">
        <f aca="false">SUMIFS(Permissions!$F$2:$F$3000,Permissions!$B$2:$B$3000,$A262,Permissions!$H$2:$H$3000,"Stalled",Permissions!$I$2:$I$3000,"Yes")</f>
        <v>0</v>
      </c>
      <c r="X262" s="19" t="n">
        <f aca="false">T262+U262+V262+W262</f>
        <v>4</v>
      </c>
      <c r="Y262" s="19" t="n">
        <f aca="false">SUMIFS(Permissions!$F$2:$F$3000,Permissions!$B$2:$B$3000,$A262,Permissions!$H$2:$H$3000,"Expired – not started",Permissions!$I$2:$I$3000,"Yes")</f>
        <v>0</v>
      </c>
      <c r="Z262" s="19" t="n">
        <f aca="false">SUMIFS(Permissions!$F$2:$F$3000,Permissions!$B$2:$B$3000,$A262,Permissions!$H$2:$H$3000,"In planning",Permissions!$I$2:$I$3000,"Yes")</f>
        <v>0</v>
      </c>
      <c r="AA262" s="19" t="n">
        <f aca="false">IF(N262="",0,MAX(N262-X262,0))</f>
        <v>0</v>
      </c>
      <c r="AB262" s="20" t="n">
        <f aca="false">X262+AA262</f>
        <v>4</v>
      </c>
      <c r="AC262" s="19" t="n">
        <f aca="false">AB262-T262</f>
        <v>4</v>
      </c>
      <c r="AD262" s="21" t="n">
        <f aca="false">SUMIFS(Permissions!$T$2:$T$3000,Permissions!$B$2:$B$3000,$A262,Permissions!$I$2:$I$3000,"Yes")</f>
        <v>0.9</v>
      </c>
      <c r="AE262" s="21" t="n">
        <f aca="false">SUMIFS(Permissions!$U$2:$U$3000,Permissions!$B$2:$B$3000,$A262,Permissions!$I$2:$I$3000,"Yes")</f>
        <v>3.1</v>
      </c>
      <c r="AF262" s="21" t="n">
        <f aca="false">SUMIFS(Permissions!$V$2:$V$3000,Permissions!$B$2:$B$3000,$A262,Permissions!$I$2:$I$3000,"Yes")</f>
        <v>0</v>
      </c>
      <c r="AG262" s="21" t="n">
        <f aca="false">SUMIFS(Permissions!$W$2:$W$3000,Permissions!$B$2:$B$3000,$A262,Permissions!$I$2:$I$3000,"Yes")</f>
        <v>0</v>
      </c>
      <c r="AH262" s="21" t="n">
        <f aca="false">SUMIFS(Permissions!$X$2:$X$3000,Permissions!$B$2:$B$3000,$A262,Permissions!$I$2:$I$3000,"Yes")</f>
        <v>0</v>
      </c>
      <c r="AI262" s="21" t="n">
        <f aca="false">SUMIFS(Permissions!$Y$2:$Y$3000,Permissions!$B$2:$B$3000,$A262,Permissions!$I$2:$I$3000,"Yes")</f>
        <v>0</v>
      </c>
      <c r="AJ262" s="19" t="n">
        <f aca="false">COUNTIFS(Permissions!$B$2:$B$3000,$A262,Permissions!$I$2:$I$3000,"Yes")</f>
        <v>1</v>
      </c>
      <c r="AK262" s="22" t="str">
        <f aca="false">IF(AND(N262&lt;&gt;"",X262&gt;1.1*N262),"Consented above capacity",IF(AND(LEFT(B262,8)="Planning",AJ262=0),"Consent parcel with no permission",IF(COUNTIF($A$2:$A$3000,$A262)&gt;1,"Duplicate parcel_id","")))</f>
        <v/>
      </c>
    </row>
    <row r="263" customFormat="false" ht="15" hidden="false" customHeight="false" outlineLevel="0" collapsed="false">
      <c r="A263" s="18" t="s">
        <v>541</v>
      </c>
      <c r="B263" s="18" t="s">
        <v>12</v>
      </c>
      <c r="C263" s="18" t="s">
        <v>16</v>
      </c>
      <c r="D263" s="18"/>
      <c r="E263" s="18" t="s">
        <v>492</v>
      </c>
      <c r="F263" s="18" t="s">
        <v>502</v>
      </c>
      <c r="G263" s="18" t="s">
        <v>542</v>
      </c>
      <c r="H263" s="18"/>
      <c r="I263" s="18"/>
      <c r="J263" s="18"/>
      <c r="K263" s="18"/>
      <c r="L263" s="18" t="n">
        <v>0.24</v>
      </c>
      <c r="M263" s="18" t="n">
        <v>0.24</v>
      </c>
      <c r="N263" s="18"/>
      <c r="O263" s="18" t="s">
        <v>283</v>
      </c>
      <c r="P263" s="18"/>
      <c r="Q263" s="18"/>
      <c r="R263" s="18" t="s">
        <v>98</v>
      </c>
      <c r="S263" s="18"/>
      <c r="T263" s="19" t="n">
        <f aca="false">SUMIFS(Permissions!$F$2:$F$3000,Permissions!$B$2:$B$3000,$A263,Permissions!$H$2:$H$3000,"Complete",Permissions!$I$2:$I$3000,"Yes")</f>
        <v>0</v>
      </c>
      <c r="U263" s="19" t="n">
        <f aca="false">SUMIFS(Permissions!$F$2:$F$3000,Permissions!$B$2:$B$3000,$A263,Permissions!$H$2:$H$3000,"Under construction",Permissions!$I$2:$I$3000,"Yes")</f>
        <v>2</v>
      </c>
      <c r="V263" s="19" t="n">
        <f aca="false">SUMIFS(Permissions!$F$2:$F$3000,Permissions!$B$2:$B$3000,$A263,Permissions!$H$2:$H$3000,"Permitted – not started",Permissions!$I$2:$I$3000,"Yes")</f>
        <v>0</v>
      </c>
      <c r="W263" s="19" t="n">
        <f aca="false">SUMIFS(Permissions!$F$2:$F$3000,Permissions!$B$2:$B$3000,$A263,Permissions!$H$2:$H$3000,"Stalled",Permissions!$I$2:$I$3000,"Yes")</f>
        <v>0</v>
      </c>
      <c r="X263" s="19" t="n">
        <f aca="false">T263+U263+V263+W263</f>
        <v>2</v>
      </c>
      <c r="Y263" s="19" t="n">
        <f aca="false">SUMIFS(Permissions!$F$2:$F$3000,Permissions!$B$2:$B$3000,$A263,Permissions!$H$2:$H$3000,"Expired – not started",Permissions!$I$2:$I$3000,"Yes")</f>
        <v>0</v>
      </c>
      <c r="Z263" s="19" t="n">
        <f aca="false">SUMIFS(Permissions!$F$2:$F$3000,Permissions!$B$2:$B$3000,$A263,Permissions!$H$2:$H$3000,"In planning",Permissions!$I$2:$I$3000,"Yes")</f>
        <v>0</v>
      </c>
      <c r="AA263" s="19" t="n">
        <f aca="false">IF(N263="",0,MAX(N263-X263,0))</f>
        <v>0</v>
      </c>
      <c r="AB263" s="20" t="n">
        <f aca="false">X263+AA263</f>
        <v>2</v>
      </c>
      <c r="AC263" s="19" t="n">
        <f aca="false">AB263-T263</f>
        <v>2</v>
      </c>
      <c r="AD263" s="21" t="n">
        <f aca="false">SUMIFS(Permissions!$T$2:$T$3000,Permissions!$B$2:$B$3000,$A263,Permissions!$I$2:$I$3000,"Yes")</f>
        <v>0.5</v>
      </c>
      <c r="AE263" s="21" t="n">
        <f aca="false">SUMIFS(Permissions!$U$2:$U$3000,Permissions!$B$2:$B$3000,$A263,Permissions!$I$2:$I$3000,"Yes")</f>
        <v>1.5</v>
      </c>
      <c r="AF263" s="21" t="n">
        <f aca="false">SUMIFS(Permissions!$V$2:$V$3000,Permissions!$B$2:$B$3000,$A263,Permissions!$I$2:$I$3000,"Yes")</f>
        <v>0</v>
      </c>
      <c r="AG263" s="21" t="n">
        <f aca="false">SUMIFS(Permissions!$W$2:$W$3000,Permissions!$B$2:$B$3000,$A263,Permissions!$I$2:$I$3000,"Yes")</f>
        <v>0</v>
      </c>
      <c r="AH263" s="21" t="n">
        <f aca="false">SUMIFS(Permissions!$X$2:$X$3000,Permissions!$B$2:$B$3000,$A263,Permissions!$I$2:$I$3000,"Yes")</f>
        <v>0</v>
      </c>
      <c r="AI263" s="21" t="n">
        <f aca="false">SUMIFS(Permissions!$Y$2:$Y$3000,Permissions!$B$2:$B$3000,$A263,Permissions!$I$2:$I$3000,"Yes")</f>
        <v>0</v>
      </c>
      <c r="AJ263" s="19" t="n">
        <f aca="false">COUNTIFS(Permissions!$B$2:$B$3000,$A263,Permissions!$I$2:$I$3000,"Yes")</f>
        <v>1</v>
      </c>
      <c r="AK263" s="22" t="str">
        <f aca="false">IF(AND(N263&lt;&gt;"",X263&gt;1.1*N263),"Consented above capacity",IF(AND(LEFT(B263,8)="Planning",AJ263=0),"Consent parcel with no permission",IF(COUNTIF($A$2:$A$3000,$A263)&gt;1,"Duplicate parcel_id","")))</f>
        <v/>
      </c>
    </row>
    <row r="264" customFormat="false" ht="15" hidden="false" customHeight="false" outlineLevel="0" collapsed="false">
      <c r="A264" s="18" t="s">
        <v>543</v>
      </c>
      <c r="B264" s="18" t="s">
        <v>12</v>
      </c>
      <c r="C264" s="18" t="s">
        <v>16</v>
      </c>
      <c r="D264" s="18"/>
      <c r="E264" s="18" t="s">
        <v>492</v>
      </c>
      <c r="F264" s="18" t="s">
        <v>493</v>
      </c>
      <c r="G264" s="18" t="s">
        <v>544</v>
      </c>
      <c r="H264" s="18"/>
      <c r="I264" s="18"/>
      <c r="J264" s="18"/>
      <c r="K264" s="18"/>
      <c r="L264" s="18" t="n">
        <v>0.395</v>
      </c>
      <c r="M264" s="18" t="n">
        <v>0.395</v>
      </c>
      <c r="N264" s="18"/>
      <c r="O264" s="18" t="s">
        <v>283</v>
      </c>
      <c r="P264" s="18"/>
      <c r="Q264" s="18"/>
      <c r="R264" s="18" t="s">
        <v>98</v>
      </c>
      <c r="S264" s="18"/>
      <c r="T264" s="19" t="n">
        <f aca="false">SUMIFS(Permissions!$F$2:$F$3000,Permissions!$B$2:$B$3000,$A264,Permissions!$H$2:$H$3000,"Complete",Permissions!$I$2:$I$3000,"Yes")</f>
        <v>0</v>
      </c>
      <c r="U264" s="19" t="n">
        <f aca="false">SUMIFS(Permissions!$F$2:$F$3000,Permissions!$B$2:$B$3000,$A264,Permissions!$H$2:$H$3000,"Under construction",Permissions!$I$2:$I$3000,"Yes")</f>
        <v>14</v>
      </c>
      <c r="V264" s="19" t="n">
        <f aca="false">SUMIFS(Permissions!$F$2:$F$3000,Permissions!$B$2:$B$3000,$A264,Permissions!$H$2:$H$3000,"Permitted – not started",Permissions!$I$2:$I$3000,"Yes")</f>
        <v>0</v>
      </c>
      <c r="W264" s="19" t="n">
        <f aca="false">SUMIFS(Permissions!$F$2:$F$3000,Permissions!$B$2:$B$3000,$A264,Permissions!$H$2:$H$3000,"Stalled",Permissions!$I$2:$I$3000,"Yes")</f>
        <v>0</v>
      </c>
      <c r="X264" s="19" t="n">
        <f aca="false">T264+U264+V264+W264</f>
        <v>14</v>
      </c>
      <c r="Y264" s="19" t="n">
        <f aca="false">SUMIFS(Permissions!$F$2:$F$3000,Permissions!$B$2:$B$3000,$A264,Permissions!$H$2:$H$3000,"Expired – not started",Permissions!$I$2:$I$3000,"Yes")</f>
        <v>0</v>
      </c>
      <c r="Z264" s="19" t="n">
        <f aca="false">SUMIFS(Permissions!$F$2:$F$3000,Permissions!$B$2:$B$3000,$A264,Permissions!$H$2:$H$3000,"In planning",Permissions!$I$2:$I$3000,"Yes")</f>
        <v>0</v>
      </c>
      <c r="AA264" s="19" t="n">
        <f aca="false">IF(N264="",0,MAX(N264-X264,0))</f>
        <v>0</v>
      </c>
      <c r="AB264" s="20" t="n">
        <f aca="false">X264+AA264</f>
        <v>14</v>
      </c>
      <c r="AC264" s="19" t="n">
        <f aca="false">AB264-T264</f>
        <v>14</v>
      </c>
      <c r="AD264" s="21" t="n">
        <f aca="false">SUMIFS(Permissions!$T$2:$T$3000,Permissions!$B$2:$B$3000,$A264,Permissions!$I$2:$I$3000,"Yes")</f>
        <v>3.3</v>
      </c>
      <c r="AE264" s="21" t="n">
        <f aca="false">SUMIFS(Permissions!$U$2:$U$3000,Permissions!$B$2:$B$3000,$A264,Permissions!$I$2:$I$3000,"Yes")</f>
        <v>10.7</v>
      </c>
      <c r="AF264" s="21" t="n">
        <f aca="false">SUMIFS(Permissions!$V$2:$V$3000,Permissions!$B$2:$B$3000,$A264,Permissions!$I$2:$I$3000,"Yes")</f>
        <v>0</v>
      </c>
      <c r="AG264" s="21" t="n">
        <f aca="false">SUMIFS(Permissions!$W$2:$W$3000,Permissions!$B$2:$B$3000,$A264,Permissions!$I$2:$I$3000,"Yes")</f>
        <v>0</v>
      </c>
      <c r="AH264" s="21" t="n">
        <f aca="false">SUMIFS(Permissions!$X$2:$X$3000,Permissions!$B$2:$B$3000,$A264,Permissions!$I$2:$I$3000,"Yes")</f>
        <v>0</v>
      </c>
      <c r="AI264" s="21" t="n">
        <f aca="false">SUMIFS(Permissions!$Y$2:$Y$3000,Permissions!$B$2:$B$3000,$A264,Permissions!$I$2:$I$3000,"Yes")</f>
        <v>0</v>
      </c>
      <c r="AJ264" s="19" t="n">
        <f aca="false">COUNTIFS(Permissions!$B$2:$B$3000,$A264,Permissions!$I$2:$I$3000,"Yes")</f>
        <v>1</v>
      </c>
      <c r="AK264" s="22" t="str">
        <f aca="false">IF(AND(N264&lt;&gt;"",X264&gt;1.1*N264),"Consented above capacity",IF(AND(LEFT(B264,8)="Planning",AJ264=0),"Consent parcel with no permission",IF(COUNTIF($A$2:$A$3000,$A264)&gt;1,"Duplicate parcel_id","")))</f>
        <v/>
      </c>
    </row>
    <row r="265" customFormat="false" ht="15" hidden="false" customHeight="false" outlineLevel="0" collapsed="false">
      <c r="A265" s="18" t="s">
        <v>545</v>
      </c>
      <c r="B265" s="18" t="s">
        <v>12</v>
      </c>
      <c r="C265" s="18" t="s">
        <v>16</v>
      </c>
      <c r="D265" s="18"/>
      <c r="E265" s="18" t="s">
        <v>492</v>
      </c>
      <c r="F265" s="18" t="s">
        <v>493</v>
      </c>
      <c r="G265" s="18" t="s">
        <v>546</v>
      </c>
      <c r="H265" s="18"/>
      <c r="I265" s="18"/>
      <c r="J265" s="18"/>
      <c r="K265" s="18"/>
      <c r="L265" s="18" t="n">
        <v>0.095</v>
      </c>
      <c r="M265" s="18" t="n">
        <v>0.095</v>
      </c>
      <c r="N265" s="18"/>
      <c r="O265" s="18" t="s">
        <v>283</v>
      </c>
      <c r="P265" s="18"/>
      <c r="Q265" s="18"/>
      <c r="R265" s="18" t="s">
        <v>98</v>
      </c>
      <c r="S265" s="18"/>
      <c r="T265" s="19" t="n">
        <f aca="false">SUMIFS(Permissions!$F$2:$F$3000,Permissions!$B$2:$B$3000,$A265,Permissions!$H$2:$H$3000,"Complete",Permissions!$I$2:$I$3000,"Yes")</f>
        <v>5</v>
      </c>
      <c r="U265" s="19" t="n">
        <f aca="false">SUMIFS(Permissions!$F$2:$F$3000,Permissions!$B$2:$B$3000,$A265,Permissions!$H$2:$H$3000,"Under construction",Permissions!$I$2:$I$3000,"Yes")</f>
        <v>0</v>
      </c>
      <c r="V265" s="19" t="n">
        <f aca="false">SUMIFS(Permissions!$F$2:$F$3000,Permissions!$B$2:$B$3000,$A265,Permissions!$H$2:$H$3000,"Permitted – not started",Permissions!$I$2:$I$3000,"Yes")</f>
        <v>0</v>
      </c>
      <c r="W265" s="19" t="n">
        <f aca="false">SUMIFS(Permissions!$F$2:$F$3000,Permissions!$B$2:$B$3000,$A265,Permissions!$H$2:$H$3000,"Stalled",Permissions!$I$2:$I$3000,"Yes")</f>
        <v>0</v>
      </c>
      <c r="X265" s="19" t="n">
        <f aca="false">T265+U265+V265+W265</f>
        <v>5</v>
      </c>
      <c r="Y265" s="19" t="n">
        <f aca="false">SUMIFS(Permissions!$F$2:$F$3000,Permissions!$B$2:$B$3000,$A265,Permissions!$H$2:$H$3000,"Expired – not started",Permissions!$I$2:$I$3000,"Yes")</f>
        <v>0</v>
      </c>
      <c r="Z265" s="19" t="n">
        <f aca="false">SUMIFS(Permissions!$F$2:$F$3000,Permissions!$B$2:$B$3000,$A265,Permissions!$H$2:$H$3000,"In planning",Permissions!$I$2:$I$3000,"Yes")</f>
        <v>0</v>
      </c>
      <c r="AA265" s="19" t="n">
        <f aca="false">IF(N265="",0,MAX(N265-X265,0))</f>
        <v>0</v>
      </c>
      <c r="AB265" s="20" t="n">
        <f aca="false">X265+AA265</f>
        <v>5</v>
      </c>
      <c r="AC265" s="19" t="n">
        <f aca="false">AB265-T265</f>
        <v>0</v>
      </c>
      <c r="AD265" s="21" t="n">
        <f aca="false">SUMIFS(Permissions!$T$2:$T$3000,Permissions!$B$2:$B$3000,$A265,Permissions!$I$2:$I$3000,"Yes")</f>
        <v>0</v>
      </c>
      <c r="AE265" s="21" t="n">
        <f aca="false">SUMIFS(Permissions!$U$2:$U$3000,Permissions!$B$2:$B$3000,$A265,Permissions!$I$2:$I$3000,"Yes")</f>
        <v>0</v>
      </c>
      <c r="AF265" s="21" t="n">
        <f aca="false">SUMIFS(Permissions!$V$2:$V$3000,Permissions!$B$2:$B$3000,$A265,Permissions!$I$2:$I$3000,"Yes")</f>
        <v>0</v>
      </c>
      <c r="AG265" s="21" t="n">
        <f aca="false">SUMIFS(Permissions!$W$2:$W$3000,Permissions!$B$2:$B$3000,$A265,Permissions!$I$2:$I$3000,"Yes")</f>
        <v>0</v>
      </c>
      <c r="AH265" s="21" t="n">
        <f aca="false">SUMIFS(Permissions!$X$2:$X$3000,Permissions!$B$2:$B$3000,$A265,Permissions!$I$2:$I$3000,"Yes")</f>
        <v>0</v>
      </c>
      <c r="AI265" s="21" t="n">
        <f aca="false">SUMIFS(Permissions!$Y$2:$Y$3000,Permissions!$B$2:$B$3000,$A265,Permissions!$I$2:$I$3000,"Yes")</f>
        <v>0</v>
      </c>
      <c r="AJ265" s="19" t="n">
        <f aca="false">COUNTIFS(Permissions!$B$2:$B$3000,$A265,Permissions!$I$2:$I$3000,"Yes")</f>
        <v>1</v>
      </c>
      <c r="AK265" s="22" t="str">
        <f aca="false">IF(AND(N265&lt;&gt;"",X265&gt;1.1*N265),"Consented above capacity",IF(AND(LEFT(B265,8)="Planning",AJ265=0),"Consent parcel with no permission",IF(COUNTIF($A$2:$A$3000,$A265)&gt;1,"Duplicate parcel_id","")))</f>
        <v/>
      </c>
    </row>
    <row r="266" customFormat="false" ht="15" hidden="false" customHeight="false" outlineLevel="0" collapsed="false">
      <c r="A266" s="18" t="s">
        <v>547</v>
      </c>
      <c r="B266" s="18" t="s">
        <v>12</v>
      </c>
      <c r="C266" s="18" t="s">
        <v>16</v>
      </c>
      <c r="D266" s="18"/>
      <c r="E266" s="18" t="s">
        <v>492</v>
      </c>
      <c r="F266" s="18" t="s">
        <v>493</v>
      </c>
      <c r="G266" s="18" t="s">
        <v>548</v>
      </c>
      <c r="H266" s="18"/>
      <c r="I266" s="18"/>
      <c r="J266" s="18"/>
      <c r="K266" s="18"/>
      <c r="L266" s="18" t="n">
        <v>0.21</v>
      </c>
      <c r="M266" s="18" t="n">
        <v>0.21</v>
      </c>
      <c r="N266" s="18"/>
      <c r="O266" s="18" t="s">
        <v>283</v>
      </c>
      <c r="P266" s="18"/>
      <c r="Q266" s="18"/>
      <c r="R266" s="18" t="s">
        <v>98</v>
      </c>
      <c r="S266" s="18"/>
      <c r="T266" s="19" t="n">
        <f aca="false">SUMIFS(Permissions!$F$2:$F$3000,Permissions!$B$2:$B$3000,$A266,Permissions!$H$2:$H$3000,"Complete",Permissions!$I$2:$I$3000,"Yes")</f>
        <v>9</v>
      </c>
      <c r="U266" s="19" t="n">
        <f aca="false">SUMIFS(Permissions!$F$2:$F$3000,Permissions!$B$2:$B$3000,$A266,Permissions!$H$2:$H$3000,"Under construction",Permissions!$I$2:$I$3000,"Yes")</f>
        <v>0</v>
      </c>
      <c r="V266" s="19" t="n">
        <f aca="false">SUMIFS(Permissions!$F$2:$F$3000,Permissions!$B$2:$B$3000,$A266,Permissions!$H$2:$H$3000,"Permitted – not started",Permissions!$I$2:$I$3000,"Yes")</f>
        <v>0</v>
      </c>
      <c r="W266" s="19" t="n">
        <f aca="false">SUMIFS(Permissions!$F$2:$F$3000,Permissions!$B$2:$B$3000,$A266,Permissions!$H$2:$H$3000,"Stalled",Permissions!$I$2:$I$3000,"Yes")</f>
        <v>0</v>
      </c>
      <c r="X266" s="19" t="n">
        <f aca="false">T266+U266+V266+W266</f>
        <v>9</v>
      </c>
      <c r="Y266" s="19" t="n">
        <f aca="false">SUMIFS(Permissions!$F$2:$F$3000,Permissions!$B$2:$B$3000,$A266,Permissions!$H$2:$H$3000,"Expired – not started",Permissions!$I$2:$I$3000,"Yes")</f>
        <v>0</v>
      </c>
      <c r="Z266" s="19" t="n">
        <f aca="false">SUMIFS(Permissions!$F$2:$F$3000,Permissions!$B$2:$B$3000,$A266,Permissions!$H$2:$H$3000,"In planning",Permissions!$I$2:$I$3000,"Yes")</f>
        <v>0</v>
      </c>
      <c r="AA266" s="19" t="n">
        <f aca="false">IF(N266="",0,MAX(N266-X266,0))</f>
        <v>0</v>
      </c>
      <c r="AB266" s="20" t="n">
        <f aca="false">X266+AA266</f>
        <v>9</v>
      </c>
      <c r="AC266" s="19" t="n">
        <f aca="false">AB266-T266</f>
        <v>0</v>
      </c>
      <c r="AD266" s="21" t="n">
        <f aca="false">SUMIFS(Permissions!$T$2:$T$3000,Permissions!$B$2:$B$3000,$A266,Permissions!$I$2:$I$3000,"Yes")</f>
        <v>0</v>
      </c>
      <c r="AE266" s="21" t="n">
        <f aca="false">SUMIFS(Permissions!$U$2:$U$3000,Permissions!$B$2:$B$3000,$A266,Permissions!$I$2:$I$3000,"Yes")</f>
        <v>0</v>
      </c>
      <c r="AF266" s="21" t="n">
        <f aca="false">SUMIFS(Permissions!$V$2:$V$3000,Permissions!$B$2:$B$3000,$A266,Permissions!$I$2:$I$3000,"Yes")</f>
        <v>0</v>
      </c>
      <c r="AG266" s="21" t="n">
        <f aca="false">SUMIFS(Permissions!$W$2:$W$3000,Permissions!$B$2:$B$3000,$A266,Permissions!$I$2:$I$3000,"Yes")</f>
        <v>0</v>
      </c>
      <c r="AH266" s="21" t="n">
        <f aca="false">SUMIFS(Permissions!$X$2:$X$3000,Permissions!$B$2:$B$3000,$A266,Permissions!$I$2:$I$3000,"Yes")</f>
        <v>0</v>
      </c>
      <c r="AI266" s="21" t="n">
        <f aca="false">SUMIFS(Permissions!$Y$2:$Y$3000,Permissions!$B$2:$B$3000,$A266,Permissions!$I$2:$I$3000,"Yes")</f>
        <v>0</v>
      </c>
      <c r="AJ266" s="19" t="n">
        <f aca="false">COUNTIFS(Permissions!$B$2:$B$3000,$A266,Permissions!$I$2:$I$3000,"Yes")</f>
        <v>1</v>
      </c>
      <c r="AK266" s="22" t="str">
        <f aca="false">IF(AND(N266&lt;&gt;"",X266&gt;1.1*N266),"Consented above capacity",IF(AND(LEFT(B266,8)="Planning",AJ266=0),"Consent parcel with no permission",IF(COUNTIF($A$2:$A$3000,$A266)&gt;1,"Duplicate parcel_id","")))</f>
        <v/>
      </c>
    </row>
    <row r="267" customFormat="false" ht="15" hidden="false" customHeight="false" outlineLevel="0" collapsed="false">
      <c r="A267" s="18" t="s">
        <v>549</v>
      </c>
      <c r="B267" s="18" t="s">
        <v>12</v>
      </c>
      <c r="C267" s="18" t="s">
        <v>16</v>
      </c>
      <c r="D267" s="18"/>
      <c r="E267" s="18" t="s">
        <v>492</v>
      </c>
      <c r="F267" s="18" t="s">
        <v>502</v>
      </c>
      <c r="G267" s="18" t="s">
        <v>550</v>
      </c>
      <c r="H267" s="18"/>
      <c r="I267" s="18"/>
      <c r="J267" s="18"/>
      <c r="K267" s="18"/>
      <c r="L267" s="18" t="n">
        <v>2.797</v>
      </c>
      <c r="M267" s="18" t="n">
        <v>2.797</v>
      </c>
      <c r="N267" s="18"/>
      <c r="O267" s="18" t="s">
        <v>283</v>
      </c>
      <c r="P267" s="18"/>
      <c r="Q267" s="18"/>
      <c r="R267" s="18" t="s">
        <v>98</v>
      </c>
      <c r="S267" s="18"/>
      <c r="T267" s="19" t="n">
        <f aca="false">SUMIFS(Permissions!$F$2:$F$3000,Permissions!$B$2:$B$3000,$A267,Permissions!$H$2:$H$3000,"Complete",Permissions!$I$2:$I$3000,"Yes")</f>
        <v>0</v>
      </c>
      <c r="U267" s="19" t="n">
        <f aca="false">SUMIFS(Permissions!$F$2:$F$3000,Permissions!$B$2:$B$3000,$A267,Permissions!$H$2:$H$3000,"Under construction",Permissions!$I$2:$I$3000,"Yes")</f>
        <v>73</v>
      </c>
      <c r="V267" s="19" t="n">
        <f aca="false">SUMIFS(Permissions!$F$2:$F$3000,Permissions!$B$2:$B$3000,$A267,Permissions!$H$2:$H$3000,"Permitted – not started",Permissions!$I$2:$I$3000,"Yes")</f>
        <v>0</v>
      </c>
      <c r="W267" s="19" t="n">
        <f aca="false">SUMIFS(Permissions!$F$2:$F$3000,Permissions!$B$2:$B$3000,$A267,Permissions!$H$2:$H$3000,"Stalled",Permissions!$I$2:$I$3000,"Yes")</f>
        <v>0</v>
      </c>
      <c r="X267" s="19" t="n">
        <f aca="false">T267+U267+V267+W267</f>
        <v>73</v>
      </c>
      <c r="Y267" s="19" t="n">
        <f aca="false">SUMIFS(Permissions!$F$2:$F$3000,Permissions!$B$2:$B$3000,$A267,Permissions!$H$2:$H$3000,"Expired – not started",Permissions!$I$2:$I$3000,"Yes")</f>
        <v>0</v>
      </c>
      <c r="Z267" s="19" t="n">
        <f aca="false">SUMIFS(Permissions!$F$2:$F$3000,Permissions!$B$2:$B$3000,$A267,Permissions!$H$2:$H$3000,"In planning",Permissions!$I$2:$I$3000,"Yes")</f>
        <v>0</v>
      </c>
      <c r="AA267" s="19" t="n">
        <f aca="false">IF(N267="",0,MAX(N267-X267,0))</f>
        <v>0</v>
      </c>
      <c r="AB267" s="20" t="n">
        <f aca="false">X267+AA267</f>
        <v>73</v>
      </c>
      <c r="AC267" s="19" t="n">
        <f aca="false">AB267-T267</f>
        <v>73</v>
      </c>
      <c r="AD267" s="21" t="n">
        <f aca="false">SUMIFS(Permissions!$T$2:$T$3000,Permissions!$B$2:$B$3000,$A267,Permissions!$I$2:$I$3000,"Yes")</f>
        <v>17</v>
      </c>
      <c r="AE267" s="21" t="n">
        <f aca="false">SUMIFS(Permissions!$U$2:$U$3000,Permissions!$B$2:$B$3000,$A267,Permissions!$I$2:$I$3000,"Yes")</f>
        <v>56</v>
      </c>
      <c r="AF267" s="21" t="n">
        <f aca="false">SUMIFS(Permissions!$V$2:$V$3000,Permissions!$B$2:$B$3000,$A267,Permissions!$I$2:$I$3000,"Yes")</f>
        <v>0</v>
      </c>
      <c r="AG267" s="21" t="n">
        <f aca="false">SUMIFS(Permissions!$W$2:$W$3000,Permissions!$B$2:$B$3000,$A267,Permissions!$I$2:$I$3000,"Yes")</f>
        <v>0</v>
      </c>
      <c r="AH267" s="21" t="n">
        <f aca="false">SUMIFS(Permissions!$X$2:$X$3000,Permissions!$B$2:$B$3000,$A267,Permissions!$I$2:$I$3000,"Yes")</f>
        <v>0</v>
      </c>
      <c r="AI267" s="21" t="n">
        <f aca="false">SUMIFS(Permissions!$Y$2:$Y$3000,Permissions!$B$2:$B$3000,$A267,Permissions!$I$2:$I$3000,"Yes")</f>
        <v>0</v>
      </c>
      <c r="AJ267" s="19" t="n">
        <f aca="false">COUNTIFS(Permissions!$B$2:$B$3000,$A267,Permissions!$I$2:$I$3000,"Yes")</f>
        <v>2</v>
      </c>
      <c r="AK267" s="22" t="str">
        <f aca="false">IF(AND(N267&lt;&gt;"",X267&gt;1.1*N267),"Consented above capacity",IF(AND(LEFT(B267,8)="Planning",AJ267=0),"Consent parcel with no permission",IF(COUNTIF($A$2:$A$3000,$A267)&gt;1,"Duplicate parcel_id","")))</f>
        <v/>
      </c>
    </row>
    <row r="268" customFormat="false" ht="15" hidden="false" customHeight="false" outlineLevel="0" collapsed="false">
      <c r="A268" s="18" t="s">
        <v>551</v>
      </c>
      <c r="B268" s="18" t="s">
        <v>12</v>
      </c>
      <c r="C268" s="18" t="s">
        <v>16</v>
      </c>
      <c r="D268" s="18"/>
      <c r="E268" s="18" t="s">
        <v>492</v>
      </c>
      <c r="F268" s="18" t="s">
        <v>493</v>
      </c>
      <c r="G268" s="18" t="s">
        <v>552</v>
      </c>
      <c r="H268" s="18"/>
      <c r="I268" s="18"/>
      <c r="J268" s="18"/>
      <c r="K268" s="18"/>
      <c r="L268" s="18" t="n">
        <v>0.213</v>
      </c>
      <c r="M268" s="18" t="n">
        <v>0.213</v>
      </c>
      <c r="N268" s="18"/>
      <c r="O268" s="18" t="s">
        <v>283</v>
      </c>
      <c r="P268" s="18"/>
      <c r="Q268" s="18"/>
      <c r="R268" s="18" t="s">
        <v>98</v>
      </c>
      <c r="S268" s="18"/>
      <c r="T268" s="19" t="n">
        <f aca="false">SUMIFS(Permissions!$F$2:$F$3000,Permissions!$B$2:$B$3000,$A268,Permissions!$H$2:$H$3000,"Complete",Permissions!$I$2:$I$3000,"Yes")</f>
        <v>9</v>
      </c>
      <c r="U268" s="19" t="n">
        <f aca="false">SUMIFS(Permissions!$F$2:$F$3000,Permissions!$B$2:$B$3000,$A268,Permissions!$H$2:$H$3000,"Under construction",Permissions!$I$2:$I$3000,"Yes")</f>
        <v>0</v>
      </c>
      <c r="V268" s="19" t="n">
        <f aca="false">SUMIFS(Permissions!$F$2:$F$3000,Permissions!$B$2:$B$3000,$A268,Permissions!$H$2:$H$3000,"Permitted – not started",Permissions!$I$2:$I$3000,"Yes")</f>
        <v>0</v>
      </c>
      <c r="W268" s="19" t="n">
        <f aca="false">SUMIFS(Permissions!$F$2:$F$3000,Permissions!$B$2:$B$3000,$A268,Permissions!$H$2:$H$3000,"Stalled",Permissions!$I$2:$I$3000,"Yes")</f>
        <v>0</v>
      </c>
      <c r="X268" s="19" t="n">
        <f aca="false">T268+U268+V268+W268</f>
        <v>9</v>
      </c>
      <c r="Y268" s="19" t="n">
        <f aca="false">SUMIFS(Permissions!$F$2:$F$3000,Permissions!$B$2:$B$3000,$A268,Permissions!$H$2:$H$3000,"Expired – not started",Permissions!$I$2:$I$3000,"Yes")</f>
        <v>0</v>
      </c>
      <c r="Z268" s="19" t="n">
        <f aca="false">SUMIFS(Permissions!$F$2:$F$3000,Permissions!$B$2:$B$3000,$A268,Permissions!$H$2:$H$3000,"In planning",Permissions!$I$2:$I$3000,"Yes")</f>
        <v>0</v>
      </c>
      <c r="AA268" s="19" t="n">
        <f aca="false">IF(N268="",0,MAX(N268-X268,0))</f>
        <v>0</v>
      </c>
      <c r="AB268" s="20" t="n">
        <f aca="false">X268+AA268</f>
        <v>9</v>
      </c>
      <c r="AC268" s="19" t="n">
        <f aca="false">AB268-T268</f>
        <v>0</v>
      </c>
      <c r="AD268" s="21" t="n">
        <f aca="false">SUMIFS(Permissions!$T$2:$T$3000,Permissions!$B$2:$B$3000,$A268,Permissions!$I$2:$I$3000,"Yes")</f>
        <v>0</v>
      </c>
      <c r="AE268" s="21" t="n">
        <f aca="false">SUMIFS(Permissions!$U$2:$U$3000,Permissions!$B$2:$B$3000,$A268,Permissions!$I$2:$I$3000,"Yes")</f>
        <v>0</v>
      </c>
      <c r="AF268" s="21" t="n">
        <f aca="false">SUMIFS(Permissions!$V$2:$V$3000,Permissions!$B$2:$B$3000,$A268,Permissions!$I$2:$I$3000,"Yes")</f>
        <v>0</v>
      </c>
      <c r="AG268" s="21" t="n">
        <f aca="false">SUMIFS(Permissions!$W$2:$W$3000,Permissions!$B$2:$B$3000,$A268,Permissions!$I$2:$I$3000,"Yes")</f>
        <v>0</v>
      </c>
      <c r="AH268" s="21" t="n">
        <f aca="false">SUMIFS(Permissions!$X$2:$X$3000,Permissions!$B$2:$B$3000,$A268,Permissions!$I$2:$I$3000,"Yes")</f>
        <v>0</v>
      </c>
      <c r="AI268" s="21" t="n">
        <f aca="false">SUMIFS(Permissions!$Y$2:$Y$3000,Permissions!$B$2:$B$3000,$A268,Permissions!$I$2:$I$3000,"Yes")</f>
        <v>0</v>
      </c>
      <c r="AJ268" s="19" t="n">
        <f aca="false">COUNTIFS(Permissions!$B$2:$B$3000,$A268,Permissions!$I$2:$I$3000,"Yes")</f>
        <v>1</v>
      </c>
      <c r="AK268" s="22" t="str">
        <f aca="false">IF(AND(N268&lt;&gt;"",X268&gt;1.1*N268),"Consented above capacity",IF(AND(LEFT(B268,8)="Planning",AJ268=0),"Consent parcel with no permission",IF(COUNTIF($A$2:$A$3000,$A268)&gt;1,"Duplicate parcel_id","")))</f>
        <v/>
      </c>
    </row>
    <row r="269" customFormat="false" ht="15" hidden="false" customHeight="false" outlineLevel="0" collapsed="false">
      <c r="A269" s="18" t="s">
        <v>553</v>
      </c>
      <c r="B269" s="18" t="s">
        <v>12</v>
      </c>
      <c r="C269" s="18" t="s">
        <v>16</v>
      </c>
      <c r="D269" s="18"/>
      <c r="E269" s="18" t="s">
        <v>492</v>
      </c>
      <c r="F269" s="18" t="s">
        <v>502</v>
      </c>
      <c r="G269" s="18" t="s">
        <v>554</v>
      </c>
      <c r="H269" s="18"/>
      <c r="I269" s="18"/>
      <c r="J269" s="18"/>
      <c r="K269" s="18"/>
      <c r="L269" s="18" t="n">
        <v>2.789</v>
      </c>
      <c r="M269" s="18" t="n">
        <v>2.789</v>
      </c>
      <c r="N269" s="18"/>
      <c r="O269" s="18" t="s">
        <v>283</v>
      </c>
      <c r="P269" s="18"/>
      <c r="Q269" s="18"/>
      <c r="R269" s="18" t="s">
        <v>98</v>
      </c>
      <c r="S269" s="18"/>
      <c r="T269" s="19" t="n">
        <f aca="false">SUMIFS(Permissions!$F$2:$F$3000,Permissions!$B$2:$B$3000,$A269,Permissions!$H$2:$H$3000,"Complete",Permissions!$I$2:$I$3000,"Yes")</f>
        <v>0</v>
      </c>
      <c r="U269" s="19" t="n">
        <f aca="false">SUMIFS(Permissions!$F$2:$F$3000,Permissions!$B$2:$B$3000,$A269,Permissions!$H$2:$H$3000,"Under construction",Permissions!$I$2:$I$3000,"Yes")</f>
        <v>0</v>
      </c>
      <c r="V269" s="19" t="n">
        <f aca="false">SUMIFS(Permissions!$F$2:$F$3000,Permissions!$B$2:$B$3000,$A269,Permissions!$H$2:$H$3000,"Permitted – not started",Permissions!$I$2:$I$3000,"Yes")</f>
        <v>68</v>
      </c>
      <c r="W269" s="19" t="n">
        <f aca="false">SUMIFS(Permissions!$F$2:$F$3000,Permissions!$B$2:$B$3000,$A269,Permissions!$H$2:$H$3000,"Stalled",Permissions!$I$2:$I$3000,"Yes")</f>
        <v>0</v>
      </c>
      <c r="X269" s="19" t="n">
        <f aca="false">T269+U269+V269+W269</f>
        <v>68</v>
      </c>
      <c r="Y269" s="19" t="n">
        <f aca="false">SUMIFS(Permissions!$F$2:$F$3000,Permissions!$B$2:$B$3000,$A269,Permissions!$H$2:$H$3000,"Expired – not started",Permissions!$I$2:$I$3000,"Yes")</f>
        <v>0</v>
      </c>
      <c r="Z269" s="19" t="n">
        <f aca="false">SUMIFS(Permissions!$F$2:$F$3000,Permissions!$B$2:$B$3000,$A269,Permissions!$H$2:$H$3000,"In planning",Permissions!$I$2:$I$3000,"Yes")</f>
        <v>48</v>
      </c>
      <c r="AA269" s="19" t="n">
        <f aca="false">IF(N269="",0,MAX(N269-X269,0))</f>
        <v>0</v>
      </c>
      <c r="AB269" s="20" t="n">
        <f aca="false">X269+AA269</f>
        <v>68</v>
      </c>
      <c r="AC269" s="19" t="n">
        <f aca="false">AB269-T269</f>
        <v>68</v>
      </c>
      <c r="AD269" s="21" t="n">
        <f aca="false">SUMIFS(Permissions!$T$2:$T$3000,Permissions!$B$2:$B$3000,$A269,Permissions!$I$2:$I$3000,"Yes")</f>
        <v>0</v>
      </c>
      <c r="AE269" s="21" t="n">
        <f aca="false">SUMIFS(Permissions!$U$2:$U$3000,Permissions!$B$2:$B$3000,$A269,Permissions!$I$2:$I$3000,"Yes")</f>
        <v>0</v>
      </c>
      <c r="AF269" s="21" t="n">
        <f aca="false">SUMIFS(Permissions!$V$2:$V$3000,Permissions!$B$2:$B$3000,$A269,Permissions!$I$2:$I$3000,"Yes")</f>
        <v>53</v>
      </c>
      <c r="AG269" s="21" t="n">
        <f aca="false">SUMIFS(Permissions!$W$2:$W$3000,Permissions!$B$2:$B$3000,$A269,Permissions!$I$2:$I$3000,"Yes")</f>
        <v>15</v>
      </c>
      <c r="AH269" s="21" t="n">
        <f aca="false">SUMIFS(Permissions!$X$2:$X$3000,Permissions!$B$2:$B$3000,$A269,Permissions!$I$2:$I$3000,"Yes")</f>
        <v>0</v>
      </c>
      <c r="AI269" s="21" t="n">
        <f aca="false">SUMIFS(Permissions!$Y$2:$Y$3000,Permissions!$B$2:$B$3000,$A269,Permissions!$I$2:$I$3000,"Yes")</f>
        <v>0</v>
      </c>
      <c r="AJ269" s="19" t="n">
        <f aca="false">COUNTIFS(Permissions!$B$2:$B$3000,$A269,Permissions!$I$2:$I$3000,"Yes")</f>
        <v>2</v>
      </c>
      <c r="AK269" s="22" t="str">
        <f aca="false">IF(AND(N269&lt;&gt;"",X269&gt;1.1*N269),"Consented above capacity",IF(AND(LEFT(B269,8)="Planning",AJ269=0),"Consent parcel with no permission",IF(COUNTIF($A$2:$A$3000,$A269)&gt;1,"Duplicate parcel_id","")))</f>
        <v/>
      </c>
    </row>
    <row r="270" customFormat="false" ht="15" hidden="false" customHeight="false" outlineLevel="0" collapsed="false">
      <c r="A270" s="18" t="s">
        <v>555</v>
      </c>
      <c r="B270" s="18" t="s">
        <v>12</v>
      </c>
      <c r="C270" s="18" t="s">
        <v>16</v>
      </c>
      <c r="D270" s="18"/>
      <c r="E270" s="18" t="s">
        <v>492</v>
      </c>
      <c r="F270" s="18" t="s">
        <v>517</v>
      </c>
      <c r="G270" s="18" t="s">
        <v>556</v>
      </c>
      <c r="H270" s="18"/>
      <c r="I270" s="18"/>
      <c r="J270" s="18"/>
      <c r="K270" s="18"/>
      <c r="L270" s="18" t="n">
        <v>2.047</v>
      </c>
      <c r="M270" s="18" t="n">
        <v>2.047</v>
      </c>
      <c r="N270" s="18"/>
      <c r="O270" s="18" t="s">
        <v>283</v>
      </c>
      <c r="P270" s="18"/>
      <c r="Q270" s="18"/>
      <c r="R270" s="18" t="s">
        <v>98</v>
      </c>
      <c r="S270" s="18"/>
      <c r="T270" s="19" t="n">
        <f aca="false">SUMIFS(Permissions!$F$2:$F$3000,Permissions!$B$2:$B$3000,$A270,Permissions!$H$2:$H$3000,"Complete",Permissions!$I$2:$I$3000,"Yes")</f>
        <v>0</v>
      </c>
      <c r="U270" s="19" t="n">
        <f aca="false">SUMIFS(Permissions!$F$2:$F$3000,Permissions!$B$2:$B$3000,$A270,Permissions!$H$2:$H$3000,"Under construction",Permissions!$I$2:$I$3000,"Yes")</f>
        <v>0</v>
      </c>
      <c r="V270" s="19" t="n">
        <f aca="false">SUMIFS(Permissions!$F$2:$F$3000,Permissions!$B$2:$B$3000,$A270,Permissions!$H$2:$H$3000,"Permitted – not started",Permissions!$I$2:$I$3000,"Yes")</f>
        <v>51</v>
      </c>
      <c r="W270" s="19" t="n">
        <f aca="false">SUMIFS(Permissions!$F$2:$F$3000,Permissions!$B$2:$B$3000,$A270,Permissions!$H$2:$H$3000,"Stalled",Permissions!$I$2:$I$3000,"Yes")</f>
        <v>0</v>
      </c>
      <c r="X270" s="19" t="n">
        <f aca="false">T270+U270+V270+W270</f>
        <v>51</v>
      </c>
      <c r="Y270" s="19" t="n">
        <f aca="false">SUMIFS(Permissions!$F$2:$F$3000,Permissions!$B$2:$B$3000,$A270,Permissions!$H$2:$H$3000,"Expired – not started",Permissions!$I$2:$I$3000,"Yes")</f>
        <v>0</v>
      </c>
      <c r="Z270" s="19" t="n">
        <f aca="false">SUMIFS(Permissions!$F$2:$F$3000,Permissions!$B$2:$B$3000,$A270,Permissions!$H$2:$H$3000,"In planning",Permissions!$I$2:$I$3000,"Yes")</f>
        <v>0</v>
      </c>
      <c r="AA270" s="19" t="n">
        <f aca="false">IF(N270="",0,MAX(N270-X270,0))</f>
        <v>0</v>
      </c>
      <c r="AB270" s="20" t="n">
        <f aca="false">X270+AA270</f>
        <v>51</v>
      </c>
      <c r="AC270" s="19" t="n">
        <f aca="false">AB270-T270</f>
        <v>51</v>
      </c>
      <c r="AD270" s="21" t="n">
        <f aca="false">SUMIFS(Permissions!$T$2:$T$3000,Permissions!$B$2:$B$3000,$A270,Permissions!$I$2:$I$3000,"Yes")</f>
        <v>0</v>
      </c>
      <c r="AE270" s="21" t="n">
        <f aca="false">SUMIFS(Permissions!$U$2:$U$3000,Permissions!$B$2:$B$3000,$A270,Permissions!$I$2:$I$3000,"Yes")</f>
        <v>0</v>
      </c>
      <c r="AF270" s="21" t="n">
        <f aca="false">SUMIFS(Permissions!$V$2:$V$3000,Permissions!$B$2:$B$3000,$A270,Permissions!$I$2:$I$3000,"Yes")</f>
        <v>39.8</v>
      </c>
      <c r="AG270" s="21" t="n">
        <f aca="false">SUMIFS(Permissions!$W$2:$W$3000,Permissions!$B$2:$B$3000,$A270,Permissions!$I$2:$I$3000,"Yes")</f>
        <v>11.2</v>
      </c>
      <c r="AH270" s="21" t="n">
        <f aca="false">SUMIFS(Permissions!$X$2:$X$3000,Permissions!$B$2:$B$3000,$A270,Permissions!$I$2:$I$3000,"Yes")</f>
        <v>0</v>
      </c>
      <c r="AI270" s="21" t="n">
        <f aca="false">SUMIFS(Permissions!$Y$2:$Y$3000,Permissions!$B$2:$B$3000,$A270,Permissions!$I$2:$I$3000,"Yes")</f>
        <v>0</v>
      </c>
      <c r="AJ270" s="19" t="n">
        <f aca="false">COUNTIFS(Permissions!$B$2:$B$3000,$A270,Permissions!$I$2:$I$3000,"Yes")</f>
        <v>1</v>
      </c>
      <c r="AK270" s="22" t="str">
        <f aca="false">IF(AND(N270&lt;&gt;"",X270&gt;1.1*N270),"Consented above capacity",IF(AND(LEFT(B270,8)="Planning",AJ270=0),"Consent parcel with no permission",IF(COUNTIF($A$2:$A$3000,$A270)&gt;1,"Duplicate parcel_id","")))</f>
        <v/>
      </c>
    </row>
    <row r="271" customFormat="false" ht="15" hidden="false" customHeight="false" outlineLevel="0" collapsed="false">
      <c r="A271" s="18" t="s">
        <v>557</v>
      </c>
      <c r="B271" s="18" t="s">
        <v>12</v>
      </c>
      <c r="C271" s="18" t="s">
        <v>16</v>
      </c>
      <c r="D271" s="18"/>
      <c r="E271" s="18" t="s">
        <v>492</v>
      </c>
      <c r="F271" s="18" t="s">
        <v>502</v>
      </c>
      <c r="G271" s="18" t="s">
        <v>558</v>
      </c>
      <c r="H271" s="18"/>
      <c r="I271" s="18"/>
      <c r="J271" s="18"/>
      <c r="K271" s="18"/>
      <c r="L271" s="18" t="n">
        <v>0.581</v>
      </c>
      <c r="M271" s="18" t="n">
        <v>0.581</v>
      </c>
      <c r="N271" s="18"/>
      <c r="O271" s="18" t="s">
        <v>283</v>
      </c>
      <c r="P271" s="18"/>
      <c r="Q271" s="18"/>
      <c r="R271" s="18" t="s">
        <v>98</v>
      </c>
      <c r="S271" s="18"/>
      <c r="T271" s="19" t="n">
        <f aca="false">SUMIFS(Permissions!$F$2:$F$3000,Permissions!$B$2:$B$3000,$A271,Permissions!$H$2:$H$3000,"Complete",Permissions!$I$2:$I$3000,"Yes")</f>
        <v>0</v>
      </c>
      <c r="U271" s="19" t="n">
        <f aca="false">SUMIFS(Permissions!$F$2:$F$3000,Permissions!$B$2:$B$3000,$A271,Permissions!$H$2:$H$3000,"Under construction",Permissions!$I$2:$I$3000,"Yes")</f>
        <v>18</v>
      </c>
      <c r="V271" s="19" t="n">
        <f aca="false">SUMIFS(Permissions!$F$2:$F$3000,Permissions!$B$2:$B$3000,$A271,Permissions!$H$2:$H$3000,"Permitted – not started",Permissions!$I$2:$I$3000,"Yes")</f>
        <v>18</v>
      </c>
      <c r="W271" s="19" t="n">
        <f aca="false">SUMIFS(Permissions!$F$2:$F$3000,Permissions!$B$2:$B$3000,$A271,Permissions!$H$2:$H$3000,"Stalled",Permissions!$I$2:$I$3000,"Yes")</f>
        <v>0</v>
      </c>
      <c r="X271" s="19" t="n">
        <f aca="false">T271+U271+V271+W271</f>
        <v>36</v>
      </c>
      <c r="Y271" s="19" t="n">
        <f aca="false">SUMIFS(Permissions!$F$2:$F$3000,Permissions!$B$2:$B$3000,$A271,Permissions!$H$2:$H$3000,"Expired – not started",Permissions!$I$2:$I$3000,"Yes")</f>
        <v>0</v>
      </c>
      <c r="Z271" s="19" t="n">
        <f aca="false">SUMIFS(Permissions!$F$2:$F$3000,Permissions!$B$2:$B$3000,$A271,Permissions!$H$2:$H$3000,"In planning",Permissions!$I$2:$I$3000,"Yes")</f>
        <v>0</v>
      </c>
      <c r="AA271" s="19" t="n">
        <f aca="false">IF(N271="",0,MAX(N271-X271,0))</f>
        <v>0</v>
      </c>
      <c r="AB271" s="20" t="n">
        <f aca="false">X271+AA271</f>
        <v>36</v>
      </c>
      <c r="AC271" s="19" t="n">
        <f aca="false">AB271-T271</f>
        <v>36</v>
      </c>
      <c r="AD271" s="21" t="n">
        <f aca="false">SUMIFS(Permissions!$T$2:$T$3000,Permissions!$B$2:$B$3000,$A271,Permissions!$I$2:$I$3000,"Yes")</f>
        <v>4.2</v>
      </c>
      <c r="AE271" s="21" t="n">
        <f aca="false">SUMIFS(Permissions!$U$2:$U$3000,Permissions!$B$2:$B$3000,$A271,Permissions!$I$2:$I$3000,"Yes")</f>
        <v>13.8</v>
      </c>
      <c r="AF271" s="21" t="n">
        <f aca="false">SUMIFS(Permissions!$V$2:$V$3000,Permissions!$B$2:$B$3000,$A271,Permissions!$I$2:$I$3000,"Yes")</f>
        <v>7.5</v>
      </c>
      <c r="AG271" s="21" t="n">
        <f aca="false">SUMIFS(Permissions!$W$2:$W$3000,Permissions!$B$2:$B$3000,$A271,Permissions!$I$2:$I$3000,"Yes")</f>
        <v>10.5</v>
      </c>
      <c r="AH271" s="21" t="n">
        <f aca="false">SUMIFS(Permissions!$X$2:$X$3000,Permissions!$B$2:$B$3000,$A271,Permissions!$I$2:$I$3000,"Yes")</f>
        <v>0</v>
      </c>
      <c r="AI271" s="21" t="n">
        <f aca="false">SUMIFS(Permissions!$Y$2:$Y$3000,Permissions!$B$2:$B$3000,$A271,Permissions!$I$2:$I$3000,"Yes")</f>
        <v>0</v>
      </c>
      <c r="AJ271" s="19" t="n">
        <f aca="false">COUNTIFS(Permissions!$B$2:$B$3000,$A271,Permissions!$I$2:$I$3000,"Yes")</f>
        <v>2</v>
      </c>
      <c r="AK271" s="22" t="str">
        <f aca="false">IF(AND(N271&lt;&gt;"",X271&gt;1.1*N271),"Consented above capacity",IF(AND(LEFT(B271,8)="Planning",AJ271=0),"Consent parcel with no permission",IF(COUNTIF($A$2:$A$3000,$A271)&gt;1,"Duplicate parcel_id","")))</f>
        <v/>
      </c>
    </row>
    <row r="272" customFormat="false" ht="15" hidden="false" customHeight="false" outlineLevel="0" collapsed="false">
      <c r="A272" s="18" t="s">
        <v>559</v>
      </c>
      <c r="B272" s="18" t="s">
        <v>12</v>
      </c>
      <c r="C272" s="18" t="s">
        <v>16</v>
      </c>
      <c r="D272" s="18"/>
      <c r="E272" s="18" t="s">
        <v>492</v>
      </c>
      <c r="F272" s="18" t="s">
        <v>493</v>
      </c>
      <c r="G272" s="18" t="s">
        <v>560</v>
      </c>
      <c r="H272" s="18"/>
      <c r="I272" s="18"/>
      <c r="J272" s="18"/>
      <c r="K272" s="18"/>
      <c r="L272" s="18" t="n">
        <v>0.427</v>
      </c>
      <c r="M272" s="18" t="n">
        <v>0.427</v>
      </c>
      <c r="N272" s="18"/>
      <c r="O272" s="18" t="s">
        <v>283</v>
      </c>
      <c r="P272" s="18"/>
      <c r="Q272" s="18"/>
      <c r="R272" s="18" t="s">
        <v>98</v>
      </c>
      <c r="S272" s="18"/>
      <c r="T272" s="19" t="n">
        <f aca="false">SUMIFS(Permissions!$F$2:$F$3000,Permissions!$B$2:$B$3000,$A272,Permissions!$H$2:$H$3000,"Complete",Permissions!$I$2:$I$3000,"Yes")</f>
        <v>10</v>
      </c>
      <c r="U272" s="19" t="n">
        <f aca="false">SUMIFS(Permissions!$F$2:$F$3000,Permissions!$B$2:$B$3000,$A272,Permissions!$H$2:$H$3000,"Under construction",Permissions!$I$2:$I$3000,"Yes")</f>
        <v>0</v>
      </c>
      <c r="V272" s="19" t="n">
        <f aca="false">SUMIFS(Permissions!$F$2:$F$3000,Permissions!$B$2:$B$3000,$A272,Permissions!$H$2:$H$3000,"Permitted – not started",Permissions!$I$2:$I$3000,"Yes")</f>
        <v>0</v>
      </c>
      <c r="W272" s="19" t="n">
        <f aca="false">SUMIFS(Permissions!$F$2:$F$3000,Permissions!$B$2:$B$3000,$A272,Permissions!$H$2:$H$3000,"Stalled",Permissions!$I$2:$I$3000,"Yes")</f>
        <v>0</v>
      </c>
      <c r="X272" s="19" t="n">
        <f aca="false">T272+U272+V272+W272</f>
        <v>10</v>
      </c>
      <c r="Y272" s="19" t="n">
        <f aca="false">SUMIFS(Permissions!$F$2:$F$3000,Permissions!$B$2:$B$3000,$A272,Permissions!$H$2:$H$3000,"Expired – not started",Permissions!$I$2:$I$3000,"Yes")</f>
        <v>0</v>
      </c>
      <c r="Z272" s="19" t="n">
        <f aca="false">SUMIFS(Permissions!$F$2:$F$3000,Permissions!$B$2:$B$3000,$A272,Permissions!$H$2:$H$3000,"In planning",Permissions!$I$2:$I$3000,"Yes")</f>
        <v>0</v>
      </c>
      <c r="AA272" s="19" t="n">
        <f aca="false">IF(N272="",0,MAX(N272-X272,0))</f>
        <v>0</v>
      </c>
      <c r="AB272" s="20" t="n">
        <f aca="false">X272+AA272</f>
        <v>10</v>
      </c>
      <c r="AC272" s="19" t="n">
        <f aca="false">AB272-T272</f>
        <v>0</v>
      </c>
      <c r="AD272" s="21" t="n">
        <f aca="false">SUMIFS(Permissions!$T$2:$T$3000,Permissions!$B$2:$B$3000,$A272,Permissions!$I$2:$I$3000,"Yes")</f>
        <v>0</v>
      </c>
      <c r="AE272" s="21" t="n">
        <f aca="false">SUMIFS(Permissions!$U$2:$U$3000,Permissions!$B$2:$B$3000,$A272,Permissions!$I$2:$I$3000,"Yes")</f>
        <v>0</v>
      </c>
      <c r="AF272" s="21" t="n">
        <f aca="false">SUMIFS(Permissions!$V$2:$V$3000,Permissions!$B$2:$B$3000,$A272,Permissions!$I$2:$I$3000,"Yes")</f>
        <v>0</v>
      </c>
      <c r="AG272" s="21" t="n">
        <f aca="false">SUMIFS(Permissions!$W$2:$W$3000,Permissions!$B$2:$B$3000,$A272,Permissions!$I$2:$I$3000,"Yes")</f>
        <v>0</v>
      </c>
      <c r="AH272" s="21" t="n">
        <f aca="false">SUMIFS(Permissions!$X$2:$X$3000,Permissions!$B$2:$B$3000,$A272,Permissions!$I$2:$I$3000,"Yes")</f>
        <v>0</v>
      </c>
      <c r="AI272" s="21" t="n">
        <f aca="false">SUMIFS(Permissions!$Y$2:$Y$3000,Permissions!$B$2:$B$3000,$A272,Permissions!$I$2:$I$3000,"Yes")</f>
        <v>0</v>
      </c>
      <c r="AJ272" s="19" t="n">
        <f aca="false">COUNTIFS(Permissions!$B$2:$B$3000,$A272,Permissions!$I$2:$I$3000,"Yes")</f>
        <v>1</v>
      </c>
      <c r="AK272" s="22" t="str">
        <f aca="false">IF(AND(N272&lt;&gt;"",X272&gt;1.1*N272),"Consented above capacity",IF(AND(LEFT(B272,8)="Planning",AJ272=0),"Consent parcel with no permission",IF(COUNTIF($A$2:$A$3000,$A272)&gt;1,"Duplicate parcel_id","")))</f>
        <v/>
      </c>
    </row>
    <row r="273" customFormat="false" ht="15" hidden="false" customHeight="false" outlineLevel="0" collapsed="false">
      <c r="A273" s="18" t="s">
        <v>561</v>
      </c>
      <c r="B273" s="18" t="s">
        <v>12</v>
      </c>
      <c r="C273" s="18" t="s">
        <v>16</v>
      </c>
      <c r="D273" s="18"/>
      <c r="E273" s="18" t="s">
        <v>492</v>
      </c>
      <c r="F273" s="18" t="s">
        <v>89</v>
      </c>
      <c r="G273" s="18" t="s">
        <v>562</v>
      </c>
      <c r="H273" s="18"/>
      <c r="I273" s="18"/>
      <c r="J273" s="18"/>
      <c r="K273" s="18"/>
      <c r="L273" s="18" t="n">
        <v>0.474</v>
      </c>
      <c r="M273" s="18" t="n">
        <v>0.474</v>
      </c>
      <c r="N273" s="18"/>
      <c r="O273" s="18" t="s">
        <v>283</v>
      </c>
      <c r="P273" s="18"/>
      <c r="Q273" s="18"/>
      <c r="R273" s="18" t="s">
        <v>98</v>
      </c>
      <c r="S273" s="18"/>
      <c r="T273" s="19" t="n">
        <f aca="false">SUMIFS(Permissions!$F$2:$F$3000,Permissions!$B$2:$B$3000,$A273,Permissions!$H$2:$H$3000,"Complete",Permissions!$I$2:$I$3000,"Yes")</f>
        <v>9</v>
      </c>
      <c r="U273" s="19" t="n">
        <f aca="false">SUMIFS(Permissions!$F$2:$F$3000,Permissions!$B$2:$B$3000,$A273,Permissions!$H$2:$H$3000,"Under construction",Permissions!$I$2:$I$3000,"Yes")</f>
        <v>0</v>
      </c>
      <c r="V273" s="19" t="n">
        <f aca="false">SUMIFS(Permissions!$F$2:$F$3000,Permissions!$B$2:$B$3000,$A273,Permissions!$H$2:$H$3000,"Permitted – not started",Permissions!$I$2:$I$3000,"Yes")</f>
        <v>0</v>
      </c>
      <c r="W273" s="19" t="n">
        <f aca="false">SUMIFS(Permissions!$F$2:$F$3000,Permissions!$B$2:$B$3000,$A273,Permissions!$H$2:$H$3000,"Stalled",Permissions!$I$2:$I$3000,"Yes")</f>
        <v>0</v>
      </c>
      <c r="X273" s="19" t="n">
        <f aca="false">T273+U273+V273+W273</f>
        <v>9</v>
      </c>
      <c r="Y273" s="19" t="n">
        <f aca="false">SUMIFS(Permissions!$F$2:$F$3000,Permissions!$B$2:$B$3000,$A273,Permissions!$H$2:$H$3000,"Expired – not started",Permissions!$I$2:$I$3000,"Yes")</f>
        <v>0</v>
      </c>
      <c r="Z273" s="19" t="n">
        <f aca="false">SUMIFS(Permissions!$F$2:$F$3000,Permissions!$B$2:$B$3000,$A273,Permissions!$H$2:$H$3000,"In planning",Permissions!$I$2:$I$3000,"Yes")</f>
        <v>0</v>
      </c>
      <c r="AA273" s="19" t="n">
        <f aca="false">IF(N273="",0,MAX(N273-X273,0))</f>
        <v>0</v>
      </c>
      <c r="AB273" s="20" t="n">
        <f aca="false">X273+AA273</f>
        <v>9</v>
      </c>
      <c r="AC273" s="19" t="n">
        <f aca="false">AB273-T273</f>
        <v>0</v>
      </c>
      <c r="AD273" s="21" t="n">
        <f aca="false">SUMIFS(Permissions!$T$2:$T$3000,Permissions!$B$2:$B$3000,$A273,Permissions!$I$2:$I$3000,"Yes")</f>
        <v>0</v>
      </c>
      <c r="AE273" s="21" t="n">
        <f aca="false">SUMIFS(Permissions!$U$2:$U$3000,Permissions!$B$2:$B$3000,$A273,Permissions!$I$2:$I$3000,"Yes")</f>
        <v>0</v>
      </c>
      <c r="AF273" s="21" t="n">
        <f aca="false">SUMIFS(Permissions!$V$2:$V$3000,Permissions!$B$2:$B$3000,$A273,Permissions!$I$2:$I$3000,"Yes")</f>
        <v>0</v>
      </c>
      <c r="AG273" s="21" t="n">
        <f aca="false">SUMIFS(Permissions!$W$2:$W$3000,Permissions!$B$2:$B$3000,$A273,Permissions!$I$2:$I$3000,"Yes")</f>
        <v>0</v>
      </c>
      <c r="AH273" s="21" t="n">
        <f aca="false">SUMIFS(Permissions!$X$2:$X$3000,Permissions!$B$2:$B$3000,$A273,Permissions!$I$2:$I$3000,"Yes")</f>
        <v>0</v>
      </c>
      <c r="AI273" s="21" t="n">
        <f aca="false">SUMIFS(Permissions!$Y$2:$Y$3000,Permissions!$B$2:$B$3000,$A273,Permissions!$I$2:$I$3000,"Yes")</f>
        <v>0</v>
      </c>
      <c r="AJ273" s="19" t="n">
        <f aca="false">COUNTIFS(Permissions!$B$2:$B$3000,$A273,Permissions!$I$2:$I$3000,"Yes")</f>
        <v>1</v>
      </c>
      <c r="AK273" s="22" t="str">
        <f aca="false">IF(AND(N273&lt;&gt;"",X273&gt;1.1*N273),"Consented above capacity",IF(AND(LEFT(B273,8)="Planning",AJ273=0),"Consent parcel with no permission",IF(COUNTIF($A$2:$A$3000,$A273)&gt;1,"Duplicate parcel_id","")))</f>
        <v/>
      </c>
    </row>
    <row r="274" customFormat="false" ht="15" hidden="false" customHeight="false" outlineLevel="0" collapsed="false">
      <c r="A274" s="18" t="s">
        <v>563</v>
      </c>
      <c r="B274" s="18" t="s">
        <v>12</v>
      </c>
      <c r="C274" s="18" t="s">
        <v>16</v>
      </c>
      <c r="D274" s="18"/>
      <c r="E274" s="18" t="s">
        <v>492</v>
      </c>
      <c r="F274" s="18" t="s">
        <v>89</v>
      </c>
      <c r="G274" s="18" t="s">
        <v>564</v>
      </c>
      <c r="H274" s="18"/>
      <c r="I274" s="18"/>
      <c r="J274" s="18"/>
      <c r="K274" s="18"/>
      <c r="L274" s="18" t="n">
        <v>2.683</v>
      </c>
      <c r="M274" s="18" t="n">
        <v>2.683</v>
      </c>
      <c r="N274" s="18"/>
      <c r="O274" s="18" t="s">
        <v>283</v>
      </c>
      <c r="P274" s="18"/>
      <c r="Q274" s="18"/>
      <c r="R274" s="18" t="s">
        <v>98</v>
      </c>
      <c r="S274" s="18"/>
      <c r="T274" s="19" t="n">
        <f aca="false">SUMIFS(Permissions!$F$2:$F$3000,Permissions!$B$2:$B$3000,$A274,Permissions!$H$2:$H$3000,"Complete",Permissions!$I$2:$I$3000,"Yes")</f>
        <v>0</v>
      </c>
      <c r="U274" s="19" t="n">
        <f aca="false">SUMIFS(Permissions!$F$2:$F$3000,Permissions!$B$2:$B$3000,$A274,Permissions!$H$2:$H$3000,"Under construction",Permissions!$I$2:$I$3000,"Yes")</f>
        <v>52</v>
      </c>
      <c r="V274" s="19" t="n">
        <f aca="false">SUMIFS(Permissions!$F$2:$F$3000,Permissions!$B$2:$B$3000,$A274,Permissions!$H$2:$H$3000,"Permitted – not started",Permissions!$I$2:$I$3000,"Yes")</f>
        <v>0</v>
      </c>
      <c r="W274" s="19" t="n">
        <f aca="false">SUMIFS(Permissions!$F$2:$F$3000,Permissions!$B$2:$B$3000,$A274,Permissions!$H$2:$H$3000,"Stalled",Permissions!$I$2:$I$3000,"Yes")</f>
        <v>0</v>
      </c>
      <c r="X274" s="19" t="n">
        <f aca="false">T274+U274+V274+W274</f>
        <v>52</v>
      </c>
      <c r="Y274" s="19" t="n">
        <f aca="false">SUMIFS(Permissions!$F$2:$F$3000,Permissions!$B$2:$B$3000,$A274,Permissions!$H$2:$H$3000,"Expired – not started",Permissions!$I$2:$I$3000,"Yes")</f>
        <v>0</v>
      </c>
      <c r="Z274" s="19" t="n">
        <f aca="false">SUMIFS(Permissions!$F$2:$F$3000,Permissions!$B$2:$B$3000,$A274,Permissions!$H$2:$H$3000,"In planning",Permissions!$I$2:$I$3000,"Yes")</f>
        <v>0</v>
      </c>
      <c r="AA274" s="19" t="n">
        <f aca="false">IF(N274="",0,MAX(N274-X274,0))</f>
        <v>0</v>
      </c>
      <c r="AB274" s="20" t="n">
        <f aca="false">X274+AA274</f>
        <v>52</v>
      </c>
      <c r="AC274" s="19" t="n">
        <f aca="false">AB274-T274</f>
        <v>52</v>
      </c>
      <c r="AD274" s="21" t="n">
        <f aca="false">SUMIFS(Permissions!$T$2:$T$3000,Permissions!$B$2:$B$3000,$A274,Permissions!$I$2:$I$3000,"Yes")</f>
        <v>12.1</v>
      </c>
      <c r="AE274" s="21" t="n">
        <f aca="false">SUMIFS(Permissions!$U$2:$U$3000,Permissions!$B$2:$B$3000,$A274,Permissions!$I$2:$I$3000,"Yes")</f>
        <v>39.9</v>
      </c>
      <c r="AF274" s="21" t="n">
        <f aca="false">SUMIFS(Permissions!$V$2:$V$3000,Permissions!$B$2:$B$3000,$A274,Permissions!$I$2:$I$3000,"Yes")</f>
        <v>0</v>
      </c>
      <c r="AG274" s="21" t="n">
        <f aca="false">SUMIFS(Permissions!$W$2:$W$3000,Permissions!$B$2:$B$3000,$A274,Permissions!$I$2:$I$3000,"Yes")</f>
        <v>0</v>
      </c>
      <c r="AH274" s="21" t="n">
        <f aca="false">SUMIFS(Permissions!$X$2:$X$3000,Permissions!$B$2:$B$3000,$A274,Permissions!$I$2:$I$3000,"Yes")</f>
        <v>0</v>
      </c>
      <c r="AI274" s="21" t="n">
        <f aca="false">SUMIFS(Permissions!$Y$2:$Y$3000,Permissions!$B$2:$B$3000,$A274,Permissions!$I$2:$I$3000,"Yes")</f>
        <v>0</v>
      </c>
      <c r="AJ274" s="19" t="n">
        <f aca="false">COUNTIFS(Permissions!$B$2:$B$3000,$A274,Permissions!$I$2:$I$3000,"Yes")</f>
        <v>1</v>
      </c>
      <c r="AK274" s="22" t="str">
        <f aca="false">IF(AND(N274&lt;&gt;"",X274&gt;1.1*N274),"Consented above capacity",IF(AND(LEFT(B274,8)="Planning",AJ274=0),"Consent parcel with no permission",IF(COUNTIF($A$2:$A$3000,$A274)&gt;1,"Duplicate parcel_id","")))</f>
        <v/>
      </c>
    </row>
    <row r="275" customFormat="false" ht="15" hidden="false" customHeight="false" outlineLevel="0" collapsed="false">
      <c r="A275" s="18" t="s">
        <v>565</v>
      </c>
      <c r="B275" s="18" t="s">
        <v>12</v>
      </c>
      <c r="C275" s="18" t="s">
        <v>16</v>
      </c>
      <c r="D275" s="18"/>
      <c r="E275" s="18" t="s">
        <v>492</v>
      </c>
      <c r="F275" s="18" t="s">
        <v>493</v>
      </c>
      <c r="G275" s="18" t="s">
        <v>566</v>
      </c>
      <c r="H275" s="18"/>
      <c r="I275" s="18"/>
      <c r="J275" s="18"/>
      <c r="K275" s="18"/>
      <c r="L275" s="18" t="n">
        <v>0.883</v>
      </c>
      <c r="M275" s="18" t="n">
        <v>0.883</v>
      </c>
      <c r="N275" s="18"/>
      <c r="O275" s="18" t="s">
        <v>283</v>
      </c>
      <c r="P275" s="18"/>
      <c r="Q275" s="18"/>
      <c r="R275" s="18" t="s">
        <v>98</v>
      </c>
      <c r="S275" s="18"/>
      <c r="T275" s="19" t="n">
        <f aca="false">SUMIFS(Permissions!$F$2:$F$3000,Permissions!$B$2:$B$3000,$A275,Permissions!$H$2:$H$3000,"Complete",Permissions!$I$2:$I$3000,"Yes")</f>
        <v>17</v>
      </c>
      <c r="U275" s="19" t="n">
        <f aca="false">SUMIFS(Permissions!$F$2:$F$3000,Permissions!$B$2:$B$3000,$A275,Permissions!$H$2:$H$3000,"Under construction",Permissions!$I$2:$I$3000,"Yes")</f>
        <v>0</v>
      </c>
      <c r="V275" s="19" t="n">
        <f aca="false">SUMIFS(Permissions!$F$2:$F$3000,Permissions!$B$2:$B$3000,$A275,Permissions!$H$2:$H$3000,"Permitted – not started",Permissions!$I$2:$I$3000,"Yes")</f>
        <v>0</v>
      </c>
      <c r="W275" s="19" t="n">
        <f aca="false">SUMIFS(Permissions!$F$2:$F$3000,Permissions!$B$2:$B$3000,$A275,Permissions!$H$2:$H$3000,"Stalled",Permissions!$I$2:$I$3000,"Yes")</f>
        <v>0</v>
      </c>
      <c r="X275" s="19" t="n">
        <f aca="false">T275+U275+V275+W275</f>
        <v>17</v>
      </c>
      <c r="Y275" s="19" t="n">
        <f aca="false">SUMIFS(Permissions!$F$2:$F$3000,Permissions!$B$2:$B$3000,$A275,Permissions!$H$2:$H$3000,"Expired – not started",Permissions!$I$2:$I$3000,"Yes")</f>
        <v>0</v>
      </c>
      <c r="Z275" s="19" t="n">
        <f aca="false">SUMIFS(Permissions!$F$2:$F$3000,Permissions!$B$2:$B$3000,$A275,Permissions!$H$2:$H$3000,"In planning",Permissions!$I$2:$I$3000,"Yes")</f>
        <v>0</v>
      </c>
      <c r="AA275" s="19" t="n">
        <f aca="false">IF(N275="",0,MAX(N275-X275,0))</f>
        <v>0</v>
      </c>
      <c r="AB275" s="20" t="n">
        <f aca="false">X275+AA275</f>
        <v>17</v>
      </c>
      <c r="AC275" s="19" t="n">
        <f aca="false">AB275-T275</f>
        <v>0</v>
      </c>
      <c r="AD275" s="21" t="n">
        <f aca="false">SUMIFS(Permissions!$T$2:$T$3000,Permissions!$B$2:$B$3000,$A275,Permissions!$I$2:$I$3000,"Yes")</f>
        <v>0</v>
      </c>
      <c r="AE275" s="21" t="n">
        <f aca="false">SUMIFS(Permissions!$U$2:$U$3000,Permissions!$B$2:$B$3000,$A275,Permissions!$I$2:$I$3000,"Yes")</f>
        <v>0</v>
      </c>
      <c r="AF275" s="21" t="n">
        <f aca="false">SUMIFS(Permissions!$V$2:$V$3000,Permissions!$B$2:$B$3000,$A275,Permissions!$I$2:$I$3000,"Yes")</f>
        <v>0</v>
      </c>
      <c r="AG275" s="21" t="n">
        <f aca="false">SUMIFS(Permissions!$W$2:$W$3000,Permissions!$B$2:$B$3000,$A275,Permissions!$I$2:$I$3000,"Yes")</f>
        <v>0</v>
      </c>
      <c r="AH275" s="21" t="n">
        <f aca="false">SUMIFS(Permissions!$X$2:$X$3000,Permissions!$B$2:$B$3000,$A275,Permissions!$I$2:$I$3000,"Yes")</f>
        <v>0</v>
      </c>
      <c r="AI275" s="21" t="n">
        <f aca="false">SUMIFS(Permissions!$Y$2:$Y$3000,Permissions!$B$2:$B$3000,$A275,Permissions!$I$2:$I$3000,"Yes")</f>
        <v>0</v>
      </c>
      <c r="AJ275" s="19" t="n">
        <f aca="false">COUNTIFS(Permissions!$B$2:$B$3000,$A275,Permissions!$I$2:$I$3000,"Yes")</f>
        <v>1</v>
      </c>
      <c r="AK275" s="22" t="str">
        <f aca="false">IF(AND(N275&lt;&gt;"",X275&gt;1.1*N275),"Consented above capacity",IF(AND(LEFT(B275,8)="Planning",AJ275=0),"Consent parcel with no permission",IF(COUNTIF($A$2:$A$3000,$A275)&gt;1,"Duplicate parcel_id","")))</f>
        <v/>
      </c>
    </row>
    <row r="276" customFormat="false" ht="15" hidden="false" customHeight="false" outlineLevel="0" collapsed="false">
      <c r="A276" s="18" t="s">
        <v>567</v>
      </c>
      <c r="B276" s="18" t="s">
        <v>12</v>
      </c>
      <c r="C276" s="18" t="s">
        <v>16</v>
      </c>
      <c r="D276" s="18"/>
      <c r="E276" s="18" t="s">
        <v>492</v>
      </c>
      <c r="F276" s="18" t="s">
        <v>142</v>
      </c>
      <c r="G276" s="18" t="s">
        <v>568</v>
      </c>
      <c r="H276" s="18"/>
      <c r="I276" s="18"/>
      <c r="J276" s="18"/>
      <c r="K276" s="18"/>
      <c r="L276" s="18" t="n">
        <v>0.372</v>
      </c>
      <c r="M276" s="18" t="n">
        <v>0.372</v>
      </c>
      <c r="N276" s="18"/>
      <c r="O276" s="18" t="s">
        <v>283</v>
      </c>
      <c r="P276" s="18"/>
      <c r="Q276" s="18"/>
      <c r="R276" s="18" t="s">
        <v>98</v>
      </c>
      <c r="S276" s="18"/>
      <c r="T276" s="19" t="n">
        <f aca="false">SUMIFS(Permissions!$F$2:$F$3000,Permissions!$B$2:$B$3000,$A276,Permissions!$H$2:$H$3000,"Complete",Permissions!$I$2:$I$3000,"Yes")</f>
        <v>13</v>
      </c>
      <c r="U276" s="19" t="n">
        <f aca="false">SUMIFS(Permissions!$F$2:$F$3000,Permissions!$B$2:$B$3000,$A276,Permissions!$H$2:$H$3000,"Under construction",Permissions!$I$2:$I$3000,"Yes")</f>
        <v>0</v>
      </c>
      <c r="V276" s="19" t="n">
        <f aca="false">SUMIFS(Permissions!$F$2:$F$3000,Permissions!$B$2:$B$3000,$A276,Permissions!$H$2:$H$3000,"Permitted – not started",Permissions!$I$2:$I$3000,"Yes")</f>
        <v>0</v>
      </c>
      <c r="W276" s="19" t="n">
        <f aca="false">SUMIFS(Permissions!$F$2:$F$3000,Permissions!$B$2:$B$3000,$A276,Permissions!$H$2:$H$3000,"Stalled",Permissions!$I$2:$I$3000,"Yes")</f>
        <v>0</v>
      </c>
      <c r="X276" s="19" t="n">
        <f aca="false">T276+U276+V276+W276</f>
        <v>13</v>
      </c>
      <c r="Y276" s="19" t="n">
        <f aca="false">SUMIFS(Permissions!$F$2:$F$3000,Permissions!$B$2:$B$3000,$A276,Permissions!$H$2:$H$3000,"Expired – not started",Permissions!$I$2:$I$3000,"Yes")</f>
        <v>0</v>
      </c>
      <c r="Z276" s="19" t="n">
        <f aca="false">SUMIFS(Permissions!$F$2:$F$3000,Permissions!$B$2:$B$3000,$A276,Permissions!$H$2:$H$3000,"In planning",Permissions!$I$2:$I$3000,"Yes")</f>
        <v>0</v>
      </c>
      <c r="AA276" s="19" t="n">
        <f aca="false">IF(N276="",0,MAX(N276-X276,0))</f>
        <v>0</v>
      </c>
      <c r="AB276" s="20" t="n">
        <f aca="false">X276+AA276</f>
        <v>13</v>
      </c>
      <c r="AC276" s="19" t="n">
        <f aca="false">AB276-T276</f>
        <v>0</v>
      </c>
      <c r="AD276" s="21" t="n">
        <f aca="false">SUMIFS(Permissions!$T$2:$T$3000,Permissions!$B$2:$B$3000,$A276,Permissions!$I$2:$I$3000,"Yes")</f>
        <v>0</v>
      </c>
      <c r="AE276" s="21" t="n">
        <f aca="false">SUMIFS(Permissions!$U$2:$U$3000,Permissions!$B$2:$B$3000,$A276,Permissions!$I$2:$I$3000,"Yes")</f>
        <v>0</v>
      </c>
      <c r="AF276" s="21" t="n">
        <f aca="false">SUMIFS(Permissions!$V$2:$V$3000,Permissions!$B$2:$B$3000,$A276,Permissions!$I$2:$I$3000,"Yes")</f>
        <v>0</v>
      </c>
      <c r="AG276" s="21" t="n">
        <f aca="false">SUMIFS(Permissions!$W$2:$W$3000,Permissions!$B$2:$B$3000,$A276,Permissions!$I$2:$I$3000,"Yes")</f>
        <v>0</v>
      </c>
      <c r="AH276" s="21" t="n">
        <f aca="false">SUMIFS(Permissions!$X$2:$X$3000,Permissions!$B$2:$B$3000,$A276,Permissions!$I$2:$I$3000,"Yes")</f>
        <v>0</v>
      </c>
      <c r="AI276" s="21" t="n">
        <f aca="false">SUMIFS(Permissions!$Y$2:$Y$3000,Permissions!$B$2:$B$3000,$A276,Permissions!$I$2:$I$3000,"Yes")</f>
        <v>0</v>
      </c>
      <c r="AJ276" s="19" t="n">
        <f aca="false">COUNTIFS(Permissions!$B$2:$B$3000,$A276,Permissions!$I$2:$I$3000,"Yes")</f>
        <v>1</v>
      </c>
      <c r="AK276" s="22" t="str">
        <f aca="false">IF(AND(N276&lt;&gt;"",X276&gt;1.1*N276),"Consented above capacity",IF(AND(LEFT(B276,8)="Planning",AJ276=0),"Consent parcel with no permission",IF(COUNTIF($A$2:$A$3000,$A276)&gt;1,"Duplicate parcel_id","")))</f>
        <v/>
      </c>
    </row>
    <row r="277" customFormat="false" ht="15" hidden="false" customHeight="false" outlineLevel="0" collapsed="false">
      <c r="A277" s="18" t="s">
        <v>569</v>
      </c>
      <c r="B277" s="18" t="s">
        <v>12</v>
      </c>
      <c r="C277" s="18" t="s">
        <v>16</v>
      </c>
      <c r="D277" s="18"/>
      <c r="E277" s="18" t="s">
        <v>492</v>
      </c>
      <c r="F277" s="18" t="s">
        <v>517</v>
      </c>
      <c r="G277" s="18" t="s">
        <v>570</v>
      </c>
      <c r="H277" s="18"/>
      <c r="I277" s="18"/>
      <c r="J277" s="18"/>
      <c r="K277" s="18"/>
      <c r="L277" s="18" t="n">
        <v>1.663</v>
      </c>
      <c r="M277" s="18" t="n">
        <v>1.663</v>
      </c>
      <c r="N277" s="18"/>
      <c r="O277" s="18" t="s">
        <v>283</v>
      </c>
      <c r="P277" s="18"/>
      <c r="Q277" s="18"/>
      <c r="R277" s="18" t="s">
        <v>98</v>
      </c>
      <c r="S277" s="18"/>
      <c r="T277" s="19" t="n">
        <f aca="false">SUMIFS(Permissions!$F$2:$F$3000,Permissions!$B$2:$B$3000,$A277,Permissions!$H$2:$H$3000,"Complete",Permissions!$I$2:$I$3000,"Yes")</f>
        <v>0</v>
      </c>
      <c r="U277" s="19" t="n">
        <f aca="false">SUMIFS(Permissions!$F$2:$F$3000,Permissions!$B$2:$B$3000,$A277,Permissions!$H$2:$H$3000,"Under construction",Permissions!$I$2:$I$3000,"Yes")</f>
        <v>0</v>
      </c>
      <c r="V277" s="19" t="n">
        <f aca="false">SUMIFS(Permissions!$F$2:$F$3000,Permissions!$B$2:$B$3000,$A277,Permissions!$H$2:$H$3000,"Permitted – not started",Permissions!$I$2:$I$3000,"Yes")</f>
        <v>32</v>
      </c>
      <c r="W277" s="19" t="n">
        <f aca="false">SUMIFS(Permissions!$F$2:$F$3000,Permissions!$B$2:$B$3000,$A277,Permissions!$H$2:$H$3000,"Stalled",Permissions!$I$2:$I$3000,"Yes")</f>
        <v>0</v>
      </c>
      <c r="X277" s="19" t="n">
        <f aca="false">T277+U277+V277+W277</f>
        <v>32</v>
      </c>
      <c r="Y277" s="19" t="n">
        <f aca="false">SUMIFS(Permissions!$F$2:$F$3000,Permissions!$B$2:$B$3000,$A277,Permissions!$H$2:$H$3000,"Expired – not started",Permissions!$I$2:$I$3000,"Yes")</f>
        <v>0</v>
      </c>
      <c r="Z277" s="19" t="n">
        <f aca="false">SUMIFS(Permissions!$F$2:$F$3000,Permissions!$B$2:$B$3000,$A277,Permissions!$H$2:$H$3000,"In planning",Permissions!$I$2:$I$3000,"Yes")</f>
        <v>0</v>
      </c>
      <c r="AA277" s="19" t="n">
        <f aca="false">IF(N277="",0,MAX(N277-X277,0))</f>
        <v>0</v>
      </c>
      <c r="AB277" s="20" t="n">
        <f aca="false">X277+AA277</f>
        <v>32</v>
      </c>
      <c r="AC277" s="19" t="n">
        <f aca="false">AB277-T277</f>
        <v>32</v>
      </c>
      <c r="AD277" s="21" t="n">
        <f aca="false">SUMIFS(Permissions!$T$2:$T$3000,Permissions!$B$2:$B$3000,$A277,Permissions!$I$2:$I$3000,"Yes")</f>
        <v>0</v>
      </c>
      <c r="AE277" s="21" t="n">
        <f aca="false">SUMIFS(Permissions!$U$2:$U$3000,Permissions!$B$2:$B$3000,$A277,Permissions!$I$2:$I$3000,"Yes")</f>
        <v>0</v>
      </c>
      <c r="AF277" s="21" t="n">
        <f aca="false">SUMIFS(Permissions!$V$2:$V$3000,Permissions!$B$2:$B$3000,$A277,Permissions!$I$2:$I$3000,"Yes")</f>
        <v>23.6</v>
      </c>
      <c r="AG277" s="21" t="n">
        <f aca="false">SUMIFS(Permissions!$W$2:$W$3000,Permissions!$B$2:$B$3000,$A277,Permissions!$I$2:$I$3000,"Yes")</f>
        <v>8.4</v>
      </c>
      <c r="AH277" s="21" t="n">
        <f aca="false">SUMIFS(Permissions!$X$2:$X$3000,Permissions!$B$2:$B$3000,$A277,Permissions!$I$2:$I$3000,"Yes")</f>
        <v>0</v>
      </c>
      <c r="AI277" s="21" t="n">
        <f aca="false">SUMIFS(Permissions!$Y$2:$Y$3000,Permissions!$B$2:$B$3000,$A277,Permissions!$I$2:$I$3000,"Yes")</f>
        <v>0</v>
      </c>
      <c r="AJ277" s="19" t="n">
        <f aca="false">COUNTIFS(Permissions!$B$2:$B$3000,$A277,Permissions!$I$2:$I$3000,"Yes")</f>
        <v>1</v>
      </c>
      <c r="AK277" s="22" t="str">
        <f aca="false">IF(AND(N277&lt;&gt;"",X277&gt;1.1*N277),"Consented above capacity",IF(AND(LEFT(B277,8)="Planning",AJ277=0),"Consent parcel with no permission",IF(COUNTIF($A$2:$A$3000,$A277)&gt;1,"Duplicate parcel_id","")))</f>
        <v/>
      </c>
    </row>
    <row r="278" customFormat="false" ht="15" hidden="false" customHeight="false" outlineLevel="0" collapsed="false">
      <c r="A278" s="18" t="s">
        <v>571</v>
      </c>
      <c r="B278" s="18" t="s">
        <v>12</v>
      </c>
      <c r="C278" s="18" t="s">
        <v>16</v>
      </c>
      <c r="D278" s="18"/>
      <c r="E278" s="18" t="s">
        <v>492</v>
      </c>
      <c r="F278" s="18" t="s">
        <v>493</v>
      </c>
      <c r="G278" s="18" t="s">
        <v>572</v>
      </c>
      <c r="H278" s="18"/>
      <c r="I278" s="18"/>
      <c r="J278" s="18"/>
      <c r="K278" s="18"/>
      <c r="L278" s="18" t="n">
        <v>0.627</v>
      </c>
      <c r="M278" s="18" t="n">
        <v>0.627</v>
      </c>
      <c r="N278" s="18"/>
      <c r="O278" s="18" t="s">
        <v>283</v>
      </c>
      <c r="P278" s="18"/>
      <c r="Q278" s="18"/>
      <c r="R278" s="18" t="s">
        <v>98</v>
      </c>
      <c r="S278" s="18"/>
      <c r="T278" s="19" t="n">
        <f aca="false">SUMIFS(Permissions!$F$2:$F$3000,Permissions!$B$2:$B$3000,$A278,Permissions!$H$2:$H$3000,"Complete",Permissions!$I$2:$I$3000,"Yes")</f>
        <v>0</v>
      </c>
      <c r="U278" s="19" t="n">
        <f aca="false">SUMIFS(Permissions!$F$2:$F$3000,Permissions!$B$2:$B$3000,$A278,Permissions!$H$2:$H$3000,"Under construction",Permissions!$I$2:$I$3000,"Yes")</f>
        <v>9</v>
      </c>
      <c r="V278" s="19" t="n">
        <f aca="false">SUMIFS(Permissions!$F$2:$F$3000,Permissions!$B$2:$B$3000,$A278,Permissions!$H$2:$H$3000,"Permitted – not started",Permissions!$I$2:$I$3000,"Yes")</f>
        <v>0</v>
      </c>
      <c r="W278" s="19" t="n">
        <f aca="false">SUMIFS(Permissions!$F$2:$F$3000,Permissions!$B$2:$B$3000,$A278,Permissions!$H$2:$H$3000,"Stalled",Permissions!$I$2:$I$3000,"Yes")</f>
        <v>0</v>
      </c>
      <c r="X278" s="19" t="n">
        <f aca="false">T278+U278+V278+W278</f>
        <v>9</v>
      </c>
      <c r="Y278" s="19" t="n">
        <f aca="false">SUMIFS(Permissions!$F$2:$F$3000,Permissions!$B$2:$B$3000,$A278,Permissions!$H$2:$H$3000,"Expired – not started",Permissions!$I$2:$I$3000,"Yes")</f>
        <v>0</v>
      </c>
      <c r="Z278" s="19" t="n">
        <f aca="false">SUMIFS(Permissions!$F$2:$F$3000,Permissions!$B$2:$B$3000,$A278,Permissions!$H$2:$H$3000,"In planning",Permissions!$I$2:$I$3000,"Yes")</f>
        <v>0</v>
      </c>
      <c r="AA278" s="19" t="n">
        <f aca="false">IF(N278="",0,MAX(N278-X278,0))</f>
        <v>0</v>
      </c>
      <c r="AB278" s="20" t="n">
        <f aca="false">X278+AA278</f>
        <v>9</v>
      </c>
      <c r="AC278" s="19" t="n">
        <f aca="false">AB278-T278</f>
        <v>9</v>
      </c>
      <c r="AD278" s="21" t="n">
        <f aca="false">SUMIFS(Permissions!$T$2:$T$3000,Permissions!$B$2:$B$3000,$A278,Permissions!$I$2:$I$3000,"Yes")</f>
        <v>2.1</v>
      </c>
      <c r="AE278" s="21" t="n">
        <f aca="false">SUMIFS(Permissions!$U$2:$U$3000,Permissions!$B$2:$B$3000,$A278,Permissions!$I$2:$I$3000,"Yes")</f>
        <v>6.9</v>
      </c>
      <c r="AF278" s="21" t="n">
        <f aca="false">SUMIFS(Permissions!$V$2:$V$3000,Permissions!$B$2:$B$3000,$A278,Permissions!$I$2:$I$3000,"Yes")</f>
        <v>0</v>
      </c>
      <c r="AG278" s="21" t="n">
        <f aca="false">SUMIFS(Permissions!$W$2:$W$3000,Permissions!$B$2:$B$3000,$A278,Permissions!$I$2:$I$3000,"Yes")</f>
        <v>0</v>
      </c>
      <c r="AH278" s="21" t="n">
        <f aca="false">SUMIFS(Permissions!$X$2:$X$3000,Permissions!$B$2:$B$3000,$A278,Permissions!$I$2:$I$3000,"Yes")</f>
        <v>0</v>
      </c>
      <c r="AI278" s="21" t="n">
        <f aca="false">SUMIFS(Permissions!$Y$2:$Y$3000,Permissions!$B$2:$B$3000,$A278,Permissions!$I$2:$I$3000,"Yes")</f>
        <v>0</v>
      </c>
      <c r="AJ278" s="19" t="n">
        <f aca="false">COUNTIFS(Permissions!$B$2:$B$3000,$A278,Permissions!$I$2:$I$3000,"Yes")</f>
        <v>1</v>
      </c>
      <c r="AK278" s="22" t="str">
        <f aca="false">IF(AND(N278&lt;&gt;"",X278&gt;1.1*N278),"Consented above capacity",IF(AND(LEFT(B278,8)="Planning",AJ278=0),"Consent parcel with no permission",IF(COUNTIF($A$2:$A$3000,$A278)&gt;1,"Duplicate parcel_id","")))</f>
        <v/>
      </c>
    </row>
    <row r="279" customFormat="false" ht="15" hidden="false" customHeight="false" outlineLevel="0" collapsed="false">
      <c r="A279" s="18" t="s">
        <v>573</v>
      </c>
      <c r="B279" s="18" t="s">
        <v>12</v>
      </c>
      <c r="C279" s="18" t="s">
        <v>16</v>
      </c>
      <c r="D279" s="18"/>
      <c r="E279" s="18" t="s">
        <v>492</v>
      </c>
      <c r="F279" s="18" t="s">
        <v>502</v>
      </c>
      <c r="G279" s="18" t="s">
        <v>574</v>
      </c>
      <c r="H279" s="18"/>
      <c r="I279" s="18"/>
      <c r="J279" s="18"/>
      <c r="K279" s="18"/>
      <c r="L279" s="18" t="n">
        <v>0.49</v>
      </c>
      <c r="M279" s="18" t="n">
        <v>0.49</v>
      </c>
      <c r="N279" s="18"/>
      <c r="O279" s="18" t="s">
        <v>283</v>
      </c>
      <c r="P279" s="18"/>
      <c r="Q279" s="18"/>
      <c r="R279" s="18" t="s">
        <v>98</v>
      </c>
      <c r="S279" s="18"/>
      <c r="T279" s="19" t="n">
        <f aca="false">SUMIFS(Permissions!$F$2:$F$3000,Permissions!$B$2:$B$3000,$A279,Permissions!$H$2:$H$3000,"Complete",Permissions!$I$2:$I$3000,"Yes")</f>
        <v>0</v>
      </c>
      <c r="U279" s="19" t="n">
        <f aca="false">SUMIFS(Permissions!$F$2:$F$3000,Permissions!$B$2:$B$3000,$A279,Permissions!$H$2:$H$3000,"Under construction",Permissions!$I$2:$I$3000,"Yes")</f>
        <v>10</v>
      </c>
      <c r="V279" s="19" t="n">
        <f aca="false">SUMIFS(Permissions!$F$2:$F$3000,Permissions!$B$2:$B$3000,$A279,Permissions!$H$2:$H$3000,"Permitted – not started",Permissions!$I$2:$I$3000,"Yes")</f>
        <v>0</v>
      </c>
      <c r="W279" s="19" t="n">
        <f aca="false">SUMIFS(Permissions!$F$2:$F$3000,Permissions!$B$2:$B$3000,$A279,Permissions!$H$2:$H$3000,"Stalled",Permissions!$I$2:$I$3000,"Yes")</f>
        <v>0</v>
      </c>
      <c r="X279" s="19" t="n">
        <f aca="false">T279+U279+V279+W279</f>
        <v>10</v>
      </c>
      <c r="Y279" s="19" t="n">
        <f aca="false">SUMIFS(Permissions!$F$2:$F$3000,Permissions!$B$2:$B$3000,$A279,Permissions!$H$2:$H$3000,"Expired – not started",Permissions!$I$2:$I$3000,"Yes")</f>
        <v>0</v>
      </c>
      <c r="Z279" s="19" t="n">
        <f aca="false">SUMIFS(Permissions!$F$2:$F$3000,Permissions!$B$2:$B$3000,$A279,Permissions!$H$2:$H$3000,"In planning",Permissions!$I$2:$I$3000,"Yes")</f>
        <v>0</v>
      </c>
      <c r="AA279" s="19" t="n">
        <f aca="false">IF(N279="",0,MAX(N279-X279,0))</f>
        <v>0</v>
      </c>
      <c r="AB279" s="20" t="n">
        <f aca="false">X279+AA279</f>
        <v>10</v>
      </c>
      <c r="AC279" s="19" t="n">
        <f aca="false">AB279-T279</f>
        <v>10</v>
      </c>
      <c r="AD279" s="21" t="n">
        <f aca="false">SUMIFS(Permissions!$T$2:$T$3000,Permissions!$B$2:$B$3000,$A279,Permissions!$I$2:$I$3000,"Yes")</f>
        <v>2.3</v>
      </c>
      <c r="AE279" s="21" t="n">
        <f aca="false">SUMIFS(Permissions!$U$2:$U$3000,Permissions!$B$2:$B$3000,$A279,Permissions!$I$2:$I$3000,"Yes")</f>
        <v>7.7</v>
      </c>
      <c r="AF279" s="21" t="n">
        <f aca="false">SUMIFS(Permissions!$V$2:$V$3000,Permissions!$B$2:$B$3000,$A279,Permissions!$I$2:$I$3000,"Yes")</f>
        <v>0</v>
      </c>
      <c r="AG279" s="21" t="n">
        <f aca="false">SUMIFS(Permissions!$W$2:$W$3000,Permissions!$B$2:$B$3000,$A279,Permissions!$I$2:$I$3000,"Yes")</f>
        <v>0</v>
      </c>
      <c r="AH279" s="21" t="n">
        <f aca="false">SUMIFS(Permissions!$X$2:$X$3000,Permissions!$B$2:$B$3000,$A279,Permissions!$I$2:$I$3000,"Yes")</f>
        <v>0</v>
      </c>
      <c r="AI279" s="21" t="n">
        <f aca="false">SUMIFS(Permissions!$Y$2:$Y$3000,Permissions!$B$2:$B$3000,$A279,Permissions!$I$2:$I$3000,"Yes")</f>
        <v>0</v>
      </c>
      <c r="AJ279" s="19" t="n">
        <f aca="false">COUNTIFS(Permissions!$B$2:$B$3000,$A279,Permissions!$I$2:$I$3000,"Yes")</f>
        <v>1</v>
      </c>
      <c r="AK279" s="22" t="str">
        <f aca="false">IF(AND(N279&lt;&gt;"",X279&gt;1.1*N279),"Consented above capacity",IF(AND(LEFT(B279,8)="Planning",AJ279=0),"Consent parcel with no permission",IF(COUNTIF($A$2:$A$3000,$A279)&gt;1,"Duplicate parcel_id","")))</f>
        <v/>
      </c>
    </row>
    <row r="280" customFormat="false" ht="15" hidden="false" customHeight="false" outlineLevel="0" collapsed="false">
      <c r="A280" s="18" t="s">
        <v>575</v>
      </c>
      <c r="B280" s="18" t="s">
        <v>12</v>
      </c>
      <c r="C280" s="18" t="s">
        <v>16</v>
      </c>
      <c r="D280" s="18"/>
      <c r="E280" s="18" t="s">
        <v>492</v>
      </c>
      <c r="F280" s="18" t="s">
        <v>89</v>
      </c>
      <c r="G280" s="18" t="s">
        <v>576</v>
      </c>
      <c r="H280" s="18"/>
      <c r="I280" s="18"/>
      <c r="J280" s="18"/>
      <c r="K280" s="18"/>
      <c r="L280" s="18" t="n">
        <v>1.695</v>
      </c>
      <c r="M280" s="18" t="n">
        <v>1.695</v>
      </c>
      <c r="N280" s="18"/>
      <c r="O280" s="18" t="s">
        <v>283</v>
      </c>
      <c r="P280" s="18"/>
      <c r="Q280" s="18"/>
      <c r="R280" s="18" t="s">
        <v>98</v>
      </c>
      <c r="S280" s="18"/>
      <c r="T280" s="19" t="n">
        <f aca="false">SUMIFS(Permissions!$F$2:$F$3000,Permissions!$B$2:$B$3000,$A280,Permissions!$H$2:$H$3000,"Complete",Permissions!$I$2:$I$3000,"Yes")</f>
        <v>0</v>
      </c>
      <c r="U280" s="19" t="n">
        <f aca="false">SUMIFS(Permissions!$F$2:$F$3000,Permissions!$B$2:$B$3000,$A280,Permissions!$H$2:$H$3000,"Under construction",Permissions!$I$2:$I$3000,"Yes")</f>
        <v>48</v>
      </c>
      <c r="V280" s="19" t="n">
        <f aca="false">SUMIFS(Permissions!$F$2:$F$3000,Permissions!$B$2:$B$3000,$A280,Permissions!$H$2:$H$3000,"Permitted – not started",Permissions!$I$2:$I$3000,"Yes")</f>
        <v>0</v>
      </c>
      <c r="W280" s="19" t="n">
        <f aca="false">SUMIFS(Permissions!$F$2:$F$3000,Permissions!$B$2:$B$3000,$A280,Permissions!$H$2:$H$3000,"Stalled",Permissions!$I$2:$I$3000,"Yes")</f>
        <v>0</v>
      </c>
      <c r="X280" s="19" t="n">
        <f aca="false">T280+U280+V280+W280</f>
        <v>48</v>
      </c>
      <c r="Y280" s="19" t="n">
        <f aca="false">SUMIFS(Permissions!$F$2:$F$3000,Permissions!$B$2:$B$3000,$A280,Permissions!$H$2:$H$3000,"Expired – not started",Permissions!$I$2:$I$3000,"Yes")</f>
        <v>0</v>
      </c>
      <c r="Z280" s="19" t="n">
        <f aca="false">SUMIFS(Permissions!$F$2:$F$3000,Permissions!$B$2:$B$3000,$A280,Permissions!$H$2:$H$3000,"In planning",Permissions!$I$2:$I$3000,"Yes")</f>
        <v>0</v>
      </c>
      <c r="AA280" s="19" t="n">
        <f aca="false">IF(N280="",0,MAX(N280-X280,0))</f>
        <v>0</v>
      </c>
      <c r="AB280" s="20" t="n">
        <f aca="false">X280+AA280</f>
        <v>48</v>
      </c>
      <c r="AC280" s="19" t="n">
        <f aca="false">AB280-T280</f>
        <v>48</v>
      </c>
      <c r="AD280" s="21" t="n">
        <f aca="false">SUMIFS(Permissions!$T$2:$T$3000,Permissions!$B$2:$B$3000,$A280,Permissions!$I$2:$I$3000,"Yes")</f>
        <v>0</v>
      </c>
      <c r="AE280" s="21" t="n">
        <f aca="false">SUMIFS(Permissions!$U$2:$U$3000,Permissions!$B$2:$B$3000,$A280,Permissions!$I$2:$I$3000,"Yes")</f>
        <v>8.9</v>
      </c>
      <c r="AF280" s="21" t="n">
        <f aca="false">SUMIFS(Permissions!$V$2:$V$3000,Permissions!$B$2:$B$3000,$A280,Permissions!$I$2:$I$3000,"Yes")</f>
        <v>25.6</v>
      </c>
      <c r="AG280" s="21" t="n">
        <f aca="false">SUMIFS(Permissions!$W$2:$W$3000,Permissions!$B$2:$B$3000,$A280,Permissions!$I$2:$I$3000,"Yes")</f>
        <v>13.5</v>
      </c>
      <c r="AH280" s="21" t="n">
        <f aca="false">SUMIFS(Permissions!$X$2:$X$3000,Permissions!$B$2:$B$3000,$A280,Permissions!$I$2:$I$3000,"Yes")</f>
        <v>0</v>
      </c>
      <c r="AI280" s="21" t="n">
        <f aca="false">SUMIFS(Permissions!$Y$2:$Y$3000,Permissions!$B$2:$B$3000,$A280,Permissions!$I$2:$I$3000,"Yes")</f>
        <v>0</v>
      </c>
      <c r="AJ280" s="19" t="n">
        <f aca="false">COUNTIFS(Permissions!$B$2:$B$3000,$A280,Permissions!$I$2:$I$3000,"Yes")</f>
        <v>2</v>
      </c>
      <c r="AK280" s="22" t="str">
        <f aca="false">IF(AND(N280&lt;&gt;"",X280&gt;1.1*N280),"Consented above capacity",IF(AND(LEFT(B280,8)="Planning",AJ280=0),"Consent parcel with no permission",IF(COUNTIF($A$2:$A$3000,$A280)&gt;1,"Duplicate parcel_id","")))</f>
        <v/>
      </c>
    </row>
    <row r="281" customFormat="false" ht="15" hidden="false" customHeight="false" outlineLevel="0" collapsed="false">
      <c r="A281" s="18" t="s">
        <v>577</v>
      </c>
      <c r="B281" s="18" t="s">
        <v>12</v>
      </c>
      <c r="C281" s="18" t="s">
        <v>16</v>
      </c>
      <c r="D281" s="18"/>
      <c r="E281" s="18" t="s">
        <v>492</v>
      </c>
      <c r="F281" s="18" t="s">
        <v>502</v>
      </c>
      <c r="G281" s="18" t="s">
        <v>578</v>
      </c>
      <c r="H281" s="18"/>
      <c r="I281" s="18"/>
      <c r="J281" s="18"/>
      <c r="K281" s="18"/>
      <c r="L281" s="18" t="n">
        <v>1.19</v>
      </c>
      <c r="M281" s="18" t="n">
        <v>1.19</v>
      </c>
      <c r="N281" s="18"/>
      <c r="O281" s="18" t="s">
        <v>283</v>
      </c>
      <c r="P281" s="18"/>
      <c r="Q281" s="18"/>
      <c r="R281" s="18" t="s">
        <v>98</v>
      </c>
      <c r="S281" s="18"/>
      <c r="T281" s="19" t="n">
        <f aca="false">SUMIFS(Permissions!$F$2:$F$3000,Permissions!$B$2:$B$3000,$A281,Permissions!$H$2:$H$3000,"Complete",Permissions!$I$2:$I$3000,"Yes")</f>
        <v>0</v>
      </c>
      <c r="U281" s="19" t="n">
        <f aca="false">SUMIFS(Permissions!$F$2:$F$3000,Permissions!$B$2:$B$3000,$A281,Permissions!$H$2:$H$3000,"Under construction",Permissions!$I$2:$I$3000,"Yes")</f>
        <v>0</v>
      </c>
      <c r="V281" s="19" t="n">
        <f aca="false">SUMIFS(Permissions!$F$2:$F$3000,Permissions!$B$2:$B$3000,$A281,Permissions!$H$2:$H$3000,"Permitted – not started",Permissions!$I$2:$I$3000,"Yes")</f>
        <v>31</v>
      </c>
      <c r="W281" s="19" t="n">
        <f aca="false">SUMIFS(Permissions!$F$2:$F$3000,Permissions!$B$2:$B$3000,$A281,Permissions!$H$2:$H$3000,"Stalled",Permissions!$I$2:$I$3000,"Yes")</f>
        <v>0</v>
      </c>
      <c r="X281" s="19" t="n">
        <f aca="false">T281+U281+V281+W281</f>
        <v>31</v>
      </c>
      <c r="Y281" s="19" t="n">
        <f aca="false">SUMIFS(Permissions!$F$2:$F$3000,Permissions!$B$2:$B$3000,$A281,Permissions!$H$2:$H$3000,"Expired – not started",Permissions!$I$2:$I$3000,"Yes")</f>
        <v>0</v>
      </c>
      <c r="Z281" s="19" t="n">
        <f aca="false">SUMIFS(Permissions!$F$2:$F$3000,Permissions!$B$2:$B$3000,$A281,Permissions!$H$2:$H$3000,"In planning",Permissions!$I$2:$I$3000,"Yes")</f>
        <v>0</v>
      </c>
      <c r="AA281" s="19" t="n">
        <f aca="false">IF(N281="",0,MAX(N281-X281,0))</f>
        <v>0</v>
      </c>
      <c r="AB281" s="20" t="n">
        <f aca="false">X281+AA281</f>
        <v>31</v>
      </c>
      <c r="AC281" s="19" t="n">
        <f aca="false">AB281-T281</f>
        <v>31</v>
      </c>
      <c r="AD281" s="21" t="n">
        <f aca="false">SUMIFS(Permissions!$T$2:$T$3000,Permissions!$B$2:$B$3000,$A281,Permissions!$I$2:$I$3000,"Yes")</f>
        <v>0</v>
      </c>
      <c r="AE281" s="21" t="n">
        <f aca="false">SUMIFS(Permissions!$U$2:$U$3000,Permissions!$B$2:$B$3000,$A281,Permissions!$I$2:$I$3000,"Yes")</f>
        <v>0</v>
      </c>
      <c r="AF281" s="21" t="n">
        <f aca="false">SUMIFS(Permissions!$V$2:$V$3000,Permissions!$B$2:$B$3000,$A281,Permissions!$I$2:$I$3000,"Yes")</f>
        <v>23.6</v>
      </c>
      <c r="AG281" s="21" t="n">
        <f aca="false">SUMIFS(Permissions!$W$2:$W$3000,Permissions!$B$2:$B$3000,$A281,Permissions!$I$2:$I$3000,"Yes")</f>
        <v>7.4</v>
      </c>
      <c r="AH281" s="21" t="n">
        <f aca="false">SUMIFS(Permissions!$X$2:$X$3000,Permissions!$B$2:$B$3000,$A281,Permissions!$I$2:$I$3000,"Yes")</f>
        <v>0</v>
      </c>
      <c r="AI281" s="21" t="n">
        <f aca="false">SUMIFS(Permissions!$Y$2:$Y$3000,Permissions!$B$2:$B$3000,$A281,Permissions!$I$2:$I$3000,"Yes")</f>
        <v>0</v>
      </c>
      <c r="AJ281" s="19" t="n">
        <f aca="false">COUNTIFS(Permissions!$B$2:$B$3000,$A281,Permissions!$I$2:$I$3000,"Yes")</f>
        <v>1</v>
      </c>
      <c r="AK281" s="22" t="str">
        <f aca="false">IF(AND(N281&lt;&gt;"",X281&gt;1.1*N281),"Consented above capacity",IF(AND(LEFT(B281,8)="Planning",AJ281=0),"Consent parcel with no permission",IF(COUNTIF($A$2:$A$3000,$A281)&gt;1,"Duplicate parcel_id","")))</f>
        <v/>
      </c>
    </row>
    <row r="282" customFormat="false" ht="15" hidden="false" customHeight="false" outlineLevel="0" collapsed="false">
      <c r="A282" s="18" t="s">
        <v>579</v>
      </c>
      <c r="B282" s="18" t="s">
        <v>12</v>
      </c>
      <c r="C282" s="18" t="s">
        <v>16</v>
      </c>
      <c r="D282" s="18"/>
      <c r="E282" s="18" t="s">
        <v>492</v>
      </c>
      <c r="F282" s="18" t="s">
        <v>502</v>
      </c>
      <c r="G282" s="18" t="s">
        <v>580</v>
      </c>
      <c r="H282" s="18"/>
      <c r="I282" s="18"/>
      <c r="J282" s="18"/>
      <c r="K282" s="18"/>
      <c r="L282" s="18" t="n">
        <v>2.819</v>
      </c>
      <c r="M282" s="18" t="n">
        <v>2.819</v>
      </c>
      <c r="N282" s="18"/>
      <c r="O282" s="18" t="s">
        <v>283</v>
      </c>
      <c r="P282" s="18"/>
      <c r="Q282" s="18"/>
      <c r="R282" s="18" t="s">
        <v>98</v>
      </c>
      <c r="S282" s="18"/>
      <c r="T282" s="19" t="n">
        <f aca="false">SUMIFS(Permissions!$F$2:$F$3000,Permissions!$B$2:$B$3000,$A282,Permissions!$H$2:$H$3000,"Complete",Permissions!$I$2:$I$3000,"Yes")</f>
        <v>0</v>
      </c>
      <c r="U282" s="19" t="n">
        <f aca="false">SUMIFS(Permissions!$F$2:$F$3000,Permissions!$B$2:$B$3000,$A282,Permissions!$H$2:$H$3000,"Under construction",Permissions!$I$2:$I$3000,"Yes")</f>
        <v>93</v>
      </c>
      <c r="V282" s="19" t="n">
        <f aca="false">SUMIFS(Permissions!$F$2:$F$3000,Permissions!$B$2:$B$3000,$A282,Permissions!$H$2:$H$3000,"Permitted – not started",Permissions!$I$2:$I$3000,"Yes")</f>
        <v>0</v>
      </c>
      <c r="W282" s="19" t="n">
        <f aca="false">SUMIFS(Permissions!$F$2:$F$3000,Permissions!$B$2:$B$3000,$A282,Permissions!$H$2:$H$3000,"Stalled",Permissions!$I$2:$I$3000,"Yes")</f>
        <v>0</v>
      </c>
      <c r="X282" s="19" t="n">
        <f aca="false">T282+U282+V282+W282</f>
        <v>93</v>
      </c>
      <c r="Y282" s="19" t="n">
        <f aca="false">SUMIFS(Permissions!$F$2:$F$3000,Permissions!$B$2:$B$3000,$A282,Permissions!$H$2:$H$3000,"Expired – not started",Permissions!$I$2:$I$3000,"Yes")</f>
        <v>0</v>
      </c>
      <c r="Z282" s="19" t="n">
        <f aca="false">SUMIFS(Permissions!$F$2:$F$3000,Permissions!$B$2:$B$3000,$A282,Permissions!$H$2:$H$3000,"In planning",Permissions!$I$2:$I$3000,"Yes")</f>
        <v>0</v>
      </c>
      <c r="AA282" s="19" t="n">
        <f aca="false">IF(N282="",0,MAX(N282-X282,0))</f>
        <v>0</v>
      </c>
      <c r="AB282" s="20" t="n">
        <f aca="false">X282+AA282</f>
        <v>93</v>
      </c>
      <c r="AC282" s="19" t="n">
        <f aca="false">AB282-T282</f>
        <v>93</v>
      </c>
      <c r="AD282" s="21" t="n">
        <f aca="false">SUMIFS(Permissions!$T$2:$T$3000,Permissions!$B$2:$B$3000,$A282,Permissions!$I$2:$I$3000,"Yes")</f>
        <v>21.7</v>
      </c>
      <c r="AE282" s="21" t="n">
        <f aca="false">SUMIFS(Permissions!$U$2:$U$3000,Permissions!$B$2:$B$3000,$A282,Permissions!$I$2:$I$3000,"Yes")</f>
        <v>71.3</v>
      </c>
      <c r="AF282" s="21" t="n">
        <f aca="false">SUMIFS(Permissions!$V$2:$V$3000,Permissions!$B$2:$B$3000,$A282,Permissions!$I$2:$I$3000,"Yes")</f>
        <v>0</v>
      </c>
      <c r="AG282" s="21" t="n">
        <f aca="false">SUMIFS(Permissions!$W$2:$W$3000,Permissions!$B$2:$B$3000,$A282,Permissions!$I$2:$I$3000,"Yes")</f>
        <v>0</v>
      </c>
      <c r="AH282" s="21" t="n">
        <f aca="false">SUMIFS(Permissions!$X$2:$X$3000,Permissions!$B$2:$B$3000,$A282,Permissions!$I$2:$I$3000,"Yes")</f>
        <v>0</v>
      </c>
      <c r="AI282" s="21" t="n">
        <f aca="false">SUMIFS(Permissions!$Y$2:$Y$3000,Permissions!$B$2:$B$3000,$A282,Permissions!$I$2:$I$3000,"Yes")</f>
        <v>0</v>
      </c>
      <c r="AJ282" s="19" t="n">
        <f aca="false">COUNTIFS(Permissions!$B$2:$B$3000,$A282,Permissions!$I$2:$I$3000,"Yes")</f>
        <v>1</v>
      </c>
      <c r="AK282" s="22" t="str">
        <f aca="false">IF(AND(N282&lt;&gt;"",X282&gt;1.1*N282),"Consented above capacity",IF(AND(LEFT(B282,8)="Planning",AJ282=0),"Consent parcel with no permission",IF(COUNTIF($A$2:$A$3000,$A282)&gt;1,"Duplicate parcel_id","")))</f>
        <v/>
      </c>
    </row>
    <row r="283" customFormat="false" ht="15" hidden="false" customHeight="false" outlineLevel="0" collapsed="false">
      <c r="A283" s="18" t="s">
        <v>581</v>
      </c>
      <c r="B283" s="18" t="s">
        <v>12</v>
      </c>
      <c r="C283" s="18" t="s">
        <v>16</v>
      </c>
      <c r="D283" s="18"/>
      <c r="E283" s="18" t="s">
        <v>492</v>
      </c>
      <c r="F283" s="18" t="s">
        <v>517</v>
      </c>
      <c r="G283" s="18" t="s">
        <v>582</v>
      </c>
      <c r="H283" s="18"/>
      <c r="I283" s="18"/>
      <c r="J283" s="18"/>
      <c r="K283" s="18"/>
      <c r="L283" s="18" t="n">
        <v>5.006</v>
      </c>
      <c r="M283" s="18" t="n">
        <v>5.006</v>
      </c>
      <c r="N283" s="18"/>
      <c r="O283" s="18" t="s">
        <v>283</v>
      </c>
      <c r="P283" s="18"/>
      <c r="Q283" s="18"/>
      <c r="R283" s="18" t="s">
        <v>98</v>
      </c>
      <c r="S283" s="18"/>
      <c r="T283" s="19" t="n">
        <f aca="false">SUMIFS(Permissions!$F$2:$F$3000,Permissions!$B$2:$B$3000,$A283,Permissions!$H$2:$H$3000,"Complete",Permissions!$I$2:$I$3000,"Yes")</f>
        <v>0</v>
      </c>
      <c r="U283" s="19" t="n">
        <f aca="false">SUMIFS(Permissions!$F$2:$F$3000,Permissions!$B$2:$B$3000,$A283,Permissions!$H$2:$H$3000,"Under construction",Permissions!$I$2:$I$3000,"Yes")</f>
        <v>0</v>
      </c>
      <c r="V283" s="19" t="n">
        <f aca="false">SUMIFS(Permissions!$F$2:$F$3000,Permissions!$B$2:$B$3000,$A283,Permissions!$H$2:$H$3000,"Permitted – not started",Permissions!$I$2:$I$3000,"Yes")</f>
        <v>127</v>
      </c>
      <c r="W283" s="19" t="n">
        <f aca="false">SUMIFS(Permissions!$F$2:$F$3000,Permissions!$B$2:$B$3000,$A283,Permissions!$H$2:$H$3000,"Stalled",Permissions!$I$2:$I$3000,"Yes")</f>
        <v>0</v>
      </c>
      <c r="X283" s="19" t="n">
        <f aca="false">T283+U283+V283+W283</f>
        <v>127</v>
      </c>
      <c r="Y283" s="19" t="n">
        <f aca="false">SUMIFS(Permissions!$F$2:$F$3000,Permissions!$B$2:$B$3000,$A283,Permissions!$H$2:$H$3000,"Expired – not started",Permissions!$I$2:$I$3000,"Yes")</f>
        <v>0</v>
      </c>
      <c r="Z283" s="19" t="n">
        <f aca="false">SUMIFS(Permissions!$F$2:$F$3000,Permissions!$B$2:$B$3000,$A283,Permissions!$H$2:$H$3000,"In planning",Permissions!$I$2:$I$3000,"Yes")</f>
        <v>0</v>
      </c>
      <c r="AA283" s="19" t="n">
        <f aca="false">IF(N283="",0,MAX(N283-X283,0))</f>
        <v>0</v>
      </c>
      <c r="AB283" s="20" t="n">
        <f aca="false">X283+AA283</f>
        <v>127</v>
      </c>
      <c r="AC283" s="19" t="n">
        <f aca="false">AB283-T283</f>
        <v>127</v>
      </c>
      <c r="AD283" s="21" t="n">
        <f aca="false">SUMIFS(Permissions!$T$2:$T$3000,Permissions!$B$2:$B$3000,$A283,Permissions!$I$2:$I$3000,"Yes")</f>
        <v>0</v>
      </c>
      <c r="AE283" s="21" t="n">
        <f aca="false">SUMIFS(Permissions!$U$2:$U$3000,Permissions!$B$2:$B$3000,$A283,Permissions!$I$2:$I$3000,"Yes")</f>
        <v>0</v>
      </c>
      <c r="AF283" s="21" t="n">
        <f aca="false">SUMIFS(Permissions!$V$2:$V$3000,Permissions!$B$2:$B$3000,$A283,Permissions!$I$2:$I$3000,"Yes")</f>
        <v>46.4</v>
      </c>
      <c r="AG283" s="21" t="n">
        <f aca="false">SUMIFS(Permissions!$W$2:$W$3000,Permissions!$B$2:$B$3000,$A283,Permissions!$I$2:$I$3000,"Yes")</f>
        <v>58.6</v>
      </c>
      <c r="AH283" s="21" t="n">
        <f aca="false">SUMIFS(Permissions!$X$2:$X$3000,Permissions!$B$2:$B$3000,$A283,Permissions!$I$2:$I$3000,"Yes")</f>
        <v>22</v>
      </c>
      <c r="AI283" s="21" t="n">
        <f aca="false">SUMIFS(Permissions!$Y$2:$Y$3000,Permissions!$B$2:$B$3000,$A283,Permissions!$I$2:$I$3000,"Yes")</f>
        <v>0</v>
      </c>
      <c r="AJ283" s="19" t="n">
        <f aca="false">COUNTIFS(Permissions!$B$2:$B$3000,$A283,Permissions!$I$2:$I$3000,"Yes")</f>
        <v>2</v>
      </c>
      <c r="AK283" s="22" t="str">
        <f aca="false">IF(AND(N283&lt;&gt;"",X283&gt;1.1*N283),"Consented above capacity",IF(AND(LEFT(B283,8)="Planning",AJ283=0),"Consent parcel with no permission",IF(COUNTIF($A$2:$A$3000,$A283)&gt;1,"Duplicate parcel_id","")))</f>
        <v/>
      </c>
    </row>
    <row r="284" customFormat="false" ht="15" hidden="false" customHeight="false" outlineLevel="0" collapsed="false">
      <c r="A284" s="18" t="s">
        <v>583</v>
      </c>
      <c r="B284" s="18" t="s">
        <v>12</v>
      </c>
      <c r="C284" s="18" t="s">
        <v>16</v>
      </c>
      <c r="D284" s="18"/>
      <c r="E284" s="18" t="s">
        <v>492</v>
      </c>
      <c r="F284" s="18" t="s">
        <v>493</v>
      </c>
      <c r="G284" s="18" t="s">
        <v>584</v>
      </c>
      <c r="H284" s="18"/>
      <c r="I284" s="18"/>
      <c r="J284" s="18"/>
      <c r="K284" s="18"/>
      <c r="L284" s="18" t="n">
        <v>1.245</v>
      </c>
      <c r="M284" s="18" t="n">
        <v>1.245</v>
      </c>
      <c r="N284" s="18"/>
      <c r="O284" s="18" t="s">
        <v>283</v>
      </c>
      <c r="P284" s="18"/>
      <c r="Q284" s="18"/>
      <c r="R284" s="18" t="s">
        <v>98</v>
      </c>
      <c r="S284" s="18"/>
      <c r="T284" s="19" t="n">
        <f aca="false">SUMIFS(Permissions!$F$2:$F$3000,Permissions!$B$2:$B$3000,$A284,Permissions!$H$2:$H$3000,"Complete",Permissions!$I$2:$I$3000,"Yes")</f>
        <v>0</v>
      </c>
      <c r="U284" s="19" t="n">
        <f aca="false">SUMIFS(Permissions!$F$2:$F$3000,Permissions!$B$2:$B$3000,$A284,Permissions!$H$2:$H$3000,"Under construction",Permissions!$I$2:$I$3000,"Yes")</f>
        <v>28</v>
      </c>
      <c r="V284" s="19" t="n">
        <f aca="false">SUMIFS(Permissions!$F$2:$F$3000,Permissions!$B$2:$B$3000,$A284,Permissions!$H$2:$H$3000,"Permitted – not started",Permissions!$I$2:$I$3000,"Yes")</f>
        <v>0</v>
      </c>
      <c r="W284" s="19" t="n">
        <f aca="false">SUMIFS(Permissions!$F$2:$F$3000,Permissions!$B$2:$B$3000,$A284,Permissions!$H$2:$H$3000,"Stalled",Permissions!$I$2:$I$3000,"Yes")</f>
        <v>0</v>
      </c>
      <c r="X284" s="19" t="n">
        <f aca="false">T284+U284+V284+W284</f>
        <v>28</v>
      </c>
      <c r="Y284" s="19" t="n">
        <f aca="false">SUMIFS(Permissions!$F$2:$F$3000,Permissions!$B$2:$B$3000,$A284,Permissions!$H$2:$H$3000,"Expired – not started",Permissions!$I$2:$I$3000,"Yes")</f>
        <v>0</v>
      </c>
      <c r="Z284" s="19" t="n">
        <f aca="false">SUMIFS(Permissions!$F$2:$F$3000,Permissions!$B$2:$B$3000,$A284,Permissions!$H$2:$H$3000,"In planning",Permissions!$I$2:$I$3000,"Yes")</f>
        <v>0</v>
      </c>
      <c r="AA284" s="19" t="n">
        <f aca="false">IF(N284="",0,MAX(N284-X284,0))</f>
        <v>0</v>
      </c>
      <c r="AB284" s="20" t="n">
        <f aca="false">X284+AA284</f>
        <v>28</v>
      </c>
      <c r="AC284" s="19" t="n">
        <f aca="false">AB284-T284</f>
        <v>28</v>
      </c>
      <c r="AD284" s="21" t="n">
        <f aca="false">SUMIFS(Permissions!$T$2:$T$3000,Permissions!$B$2:$B$3000,$A284,Permissions!$I$2:$I$3000,"Yes")</f>
        <v>1.2</v>
      </c>
      <c r="AE284" s="21" t="n">
        <f aca="false">SUMIFS(Permissions!$U$2:$U$3000,Permissions!$B$2:$B$3000,$A284,Permissions!$I$2:$I$3000,"Yes")</f>
        <v>26.8</v>
      </c>
      <c r="AF284" s="21" t="n">
        <f aca="false">SUMIFS(Permissions!$V$2:$V$3000,Permissions!$B$2:$B$3000,$A284,Permissions!$I$2:$I$3000,"Yes")</f>
        <v>0</v>
      </c>
      <c r="AG284" s="21" t="n">
        <f aca="false">SUMIFS(Permissions!$W$2:$W$3000,Permissions!$B$2:$B$3000,$A284,Permissions!$I$2:$I$3000,"Yes")</f>
        <v>0</v>
      </c>
      <c r="AH284" s="21" t="n">
        <f aca="false">SUMIFS(Permissions!$X$2:$X$3000,Permissions!$B$2:$B$3000,$A284,Permissions!$I$2:$I$3000,"Yes")</f>
        <v>0</v>
      </c>
      <c r="AI284" s="21" t="n">
        <f aca="false">SUMIFS(Permissions!$Y$2:$Y$3000,Permissions!$B$2:$B$3000,$A284,Permissions!$I$2:$I$3000,"Yes")</f>
        <v>0</v>
      </c>
      <c r="AJ284" s="19" t="n">
        <f aca="false">COUNTIFS(Permissions!$B$2:$B$3000,$A284,Permissions!$I$2:$I$3000,"Yes")</f>
        <v>1</v>
      </c>
      <c r="AK284" s="22" t="str">
        <f aca="false">IF(AND(N284&lt;&gt;"",X284&gt;1.1*N284),"Consented above capacity",IF(AND(LEFT(B284,8)="Planning",AJ284=0),"Consent parcel with no permission",IF(COUNTIF($A$2:$A$3000,$A284)&gt;1,"Duplicate parcel_id","")))</f>
        <v/>
      </c>
    </row>
    <row r="285" customFormat="false" ht="15" hidden="false" customHeight="false" outlineLevel="0" collapsed="false">
      <c r="A285" s="18" t="s">
        <v>585</v>
      </c>
      <c r="B285" s="18" t="s">
        <v>12</v>
      </c>
      <c r="C285" s="18" t="s">
        <v>16</v>
      </c>
      <c r="D285" s="18"/>
      <c r="E285" s="18" t="s">
        <v>492</v>
      </c>
      <c r="F285" s="18" t="s">
        <v>493</v>
      </c>
      <c r="G285" s="18" t="s">
        <v>586</v>
      </c>
      <c r="H285" s="18"/>
      <c r="I285" s="18"/>
      <c r="J285" s="18"/>
      <c r="K285" s="18"/>
      <c r="L285" s="18" t="n">
        <v>1.012</v>
      </c>
      <c r="M285" s="18" t="n">
        <v>1.012</v>
      </c>
      <c r="N285" s="18"/>
      <c r="O285" s="18" t="s">
        <v>283</v>
      </c>
      <c r="P285" s="18"/>
      <c r="Q285" s="18"/>
      <c r="R285" s="18" t="s">
        <v>98</v>
      </c>
      <c r="S285" s="18"/>
      <c r="T285" s="19" t="n">
        <f aca="false">SUMIFS(Permissions!$F$2:$F$3000,Permissions!$B$2:$B$3000,$A285,Permissions!$H$2:$H$3000,"Complete",Permissions!$I$2:$I$3000,"Yes")</f>
        <v>0</v>
      </c>
      <c r="U285" s="19" t="n">
        <f aca="false">SUMIFS(Permissions!$F$2:$F$3000,Permissions!$B$2:$B$3000,$A285,Permissions!$H$2:$H$3000,"Under construction",Permissions!$I$2:$I$3000,"Yes")</f>
        <v>22</v>
      </c>
      <c r="V285" s="19" t="n">
        <f aca="false">SUMIFS(Permissions!$F$2:$F$3000,Permissions!$B$2:$B$3000,$A285,Permissions!$H$2:$H$3000,"Permitted – not started",Permissions!$I$2:$I$3000,"Yes")</f>
        <v>0</v>
      </c>
      <c r="W285" s="19" t="n">
        <f aca="false">SUMIFS(Permissions!$F$2:$F$3000,Permissions!$B$2:$B$3000,$A285,Permissions!$H$2:$H$3000,"Stalled",Permissions!$I$2:$I$3000,"Yes")</f>
        <v>0</v>
      </c>
      <c r="X285" s="19" t="n">
        <f aca="false">T285+U285+V285+W285</f>
        <v>22</v>
      </c>
      <c r="Y285" s="19" t="n">
        <f aca="false">SUMIFS(Permissions!$F$2:$F$3000,Permissions!$B$2:$B$3000,$A285,Permissions!$H$2:$H$3000,"Expired – not started",Permissions!$I$2:$I$3000,"Yes")</f>
        <v>0</v>
      </c>
      <c r="Z285" s="19" t="n">
        <f aca="false">SUMIFS(Permissions!$F$2:$F$3000,Permissions!$B$2:$B$3000,$A285,Permissions!$H$2:$H$3000,"In planning",Permissions!$I$2:$I$3000,"Yes")</f>
        <v>0</v>
      </c>
      <c r="AA285" s="19" t="n">
        <f aca="false">IF(N285="",0,MAX(N285-X285,0))</f>
        <v>0</v>
      </c>
      <c r="AB285" s="20" t="n">
        <f aca="false">X285+AA285</f>
        <v>22</v>
      </c>
      <c r="AC285" s="19" t="n">
        <f aca="false">AB285-T285</f>
        <v>22</v>
      </c>
      <c r="AD285" s="21" t="n">
        <f aca="false">SUMIFS(Permissions!$T$2:$T$3000,Permissions!$B$2:$B$3000,$A285,Permissions!$I$2:$I$3000,"Yes")</f>
        <v>3.1</v>
      </c>
      <c r="AE285" s="21" t="n">
        <f aca="false">SUMIFS(Permissions!$U$2:$U$3000,Permissions!$B$2:$B$3000,$A285,Permissions!$I$2:$I$3000,"Yes")</f>
        <v>13.5</v>
      </c>
      <c r="AF285" s="21" t="n">
        <f aca="false">SUMIFS(Permissions!$V$2:$V$3000,Permissions!$B$2:$B$3000,$A285,Permissions!$I$2:$I$3000,"Yes")</f>
        <v>5.4</v>
      </c>
      <c r="AG285" s="21" t="n">
        <f aca="false">SUMIFS(Permissions!$W$2:$W$3000,Permissions!$B$2:$B$3000,$A285,Permissions!$I$2:$I$3000,"Yes")</f>
        <v>0</v>
      </c>
      <c r="AH285" s="21" t="n">
        <f aca="false">SUMIFS(Permissions!$X$2:$X$3000,Permissions!$B$2:$B$3000,$A285,Permissions!$I$2:$I$3000,"Yes")</f>
        <v>0</v>
      </c>
      <c r="AI285" s="21" t="n">
        <f aca="false">SUMIFS(Permissions!$Y$2:$Y$3000,Permissions!$B$2:$B$3000,$A285,Permissions!$I$2:$I$3000,"Yes")</f>
        <v>0</v>
      </c>
      <c r="AJ285" s="19" t="n">
        <f aca="false">COUNTIFS(Permissions!$B$2:$B$3000,$A285,Permissions!$I$2:$I$3000,"Yes")</f>
        <v>1</v>
      </c>
      <c r="AK285" s="22" t="str">
        <f aca="false">IF(AND(N285&lt;&gt;"",X285&gt;1.1*N285),"Consented above capacity",IF(AND(LEFT(B285,8)="Planning",AJ285=0),"Consent parcel with no permission",IF(COUNTIF($A$2:$A$3000,$A285)&gt;1,"Duplicate parcel_id","")))</f>
        <v/>
      </c>
    </row>
    <row r="286" customFormat="false" ht="15" hidden="false" customHeight="false" outlineLevel="0" collapsed="false">
      <c r="A286" s="18" t="s">
        <v>587</v>
      </c>
      <c r="B286" s="18" t="s">
        <v>12</v>
      </c>
      <c r="C286" s="18" t="s">
        <v>16</v>
      </c>
      <c r="D286" s="18"/>
      <c r="E286" s="18" t="s">
        <v>492</v>
      </c>
      <c r="F286" s="18" t="s">
        <v>89</v>
      </c>
      <c r="G286" s="18" t="s">
        <v>588</v>
      </c>
      <c r="H286" s="18"/>
      <c r="I286" s="18"/>
      <c r="J286" s="18"/>
      <c r="K286" s="18"/>
      <c r="L286" s="18" t="n">
        <v>1.803</v>
      </c>
      <c r="M286" s="18" t="n">
        <v>1.803</v>
      </c>
      <c r="N286" s="18"/>
      <c r="O286" s="18" t="s">
        <v>283</v>
      </c>
      <c r="P286" s="18"/>
      <c r="Q286" s="18"/>
      <c r="R286" s="18" t="s">
        <v>98</v>
      </c>
      <c r="S286" s="18"/>
      <c r="T286" s="19" t="n">
        <f aca="false">SUMIFS(Permissions!$F$2:$F$3000,Permissions!$B$2:$B$3000,$A286,Permissions!$H$2:$H$3000,"Complete",Permissions!$I$2:$I$3000,"Yes")</f>
        <v>0</v>
      </c>
      <c r="U286" s="19" t="n">
        <f aca="false">SUMIFS(Permissions!$F$2:$F$3000,Permissions!$B$2:$B$3000,$A286,Permissions!$H$2:$H$3000,"Under construction",Permissions!$I$2:$I$3000,"Yes")</f>
        <v>0</v>
      </c>
      <c r="V286" s="19" t="n">
        <f aca="false">SUMIFS(Permissions!$F$2:$F$3000,Permissions!$B$2:$B$3000,$A286,Permissions!$H$2:$H$3000,"Permitted – not started",Permissions!$I$2:$I$3000,"Yes")</f>
        <v>41</v>
      </c>
      <c r="W286" s="19" t="n">
        <f aca="false">SUMIFS(Permissions!$F$2:$F$3000,Permissions!$B$2:$B$3000,$A286,Permissions!$H$2:$H$3000,"Stalled",Permissions!$I$2:$I$3000,"Yes")</f>
        <v>0</v>
      </c>
      <c r="X286" s="19" t="n">
        <f aca="false">T286+U286+V286+W286</f>
        <v>41</v>
      </c>
      <c r="Y286" s="19" t="n">
        <f aca="false">SUMIFS(Permissions!$F$2:$F$3000,Permissions!$B$2:$B$3000,$A286,Permissions!$H$2:$H$3000,"Expired – not started",Permissions!$I$2:$I$3000,"Yes")</f>
        <v>0</v>
      </c>
      <c r="Z286" s="19" t="n">
        <f aca="false">SUMIFS(Permissions!$F$2:$F$3000,Permissions!$B$2:$B$3000,$A286,Permissions!$H$2:$H$3000,"In planning",Permissions!$I$2:$I$3000,"Yes")</f>
        <v>0</v>
      </c>
      <c r="AA286" s="19" t="n">
        <f aca="false">IF(N286="",0,MAX(N286-X286,0))</f>
        <v>0</v>
      </c>
      <c r="AB286" s="20" t="n">
        <f aca="false">X286+AA286</f>
        <v>41</v>
      </c>
      <c r="AC286" s="19" t="n">
        <f aca="false">AB286-T286</f>
        <v>41</v>
      </c>
      <c r="AD286" s="21" t="n">
        <f aca="false">SUMIFS(Permissions!$T$2:$T$3000,Permissions!$B$2:$B$3000,$A286,Permissions!$I$2:$I$3000,"Yes")</f>
        <v>0</v>
      </c>
      <c r="AE286" s="21" t="n">
        <f aca="false">SUMIFS(Permissions!$U$2:$U$3000,Permissions!$B$2:$B$3000,$A286,Permissions!$I$2:$I$3000,"Yes")</f>
        <v>1.1</v>
      </c>
      <c r="AF286" s="21" t="n">
        <f aca="false">SUMIFS(Permissions!$V$2:$V$3000,Permissions!$B$2:$B$3000,$A286,Permissions!$I$2:$I$3000,"Yes")</f>
        <v>39.9</v>
      </c>
      <c r="AG286" s="21" t="n">
        <f aca="false">SUMIFS(Permissions!$W$2:$W$3000,Permissions!$B$2:$B$3000,$A286,Permissions!$I$2:$I$3000,"Yes")</f>
        <v>0</v>
      </c>
      <c r="AH286" s="21" t="n">
        <f aca="false">SUMIFS(Permissions!$X$2:$X$3000,Permissions!$B$2:$B$3000,$A286,Permissions!$I$2:$I$3000,"Yes")</f>
        <v>0</v>
      </c>
      <c r="AI286" s="21" t="n">
        <f aca="false">SUMIFS(Permissions!$Y$2:$Y$3000,Permissions!$B$2:$B$3000,$A286,Permissions!$I$2:$I$3000,"Yes")</f>
        <v>0</v>
      </c>
      <c r="AJ286" s="19" t="n">
        <f aca="false">COUNTIFS(Permissions!$B$2:$B$3000,$A286,Permissions!$I$2:$I$3000,"Yes")</f>
        <v>1</v>
      </c>
      <c r="AK286" s="22" t="str">
        <f aca="false">IF(AND(N286&lt;&gt;"",X286&gt;1.1*N286),"Consented above capacity",IF(AND(LEFT(B286,8)="Planning",AJ286=0),"Consent parcel with no permission",IF(COUNTIF($A$2:$A$3000,$A286)&gt;1,"Duplicate parcel_id","")))</f>
        <v/>
      </c>
    </row>
    <row r="287" customFormat="false" ht="15" hidden="false" customHeight="false" outlineLevel="0" collapsed="false">
      <c r="A287" s="18" t="s">
        <v>589</v>
      </c>
      <c r="B287" s="18" t="s">
        <v>12</v>
      </c>
      <c r="C287" s="18" t="s">
        <v>16</v>
      </c>
      <c r="D287" s="18"/>
      <c r="E287" s="18" t="s">
        <v>492</v>
      </c>
      <c r="F287" s="18" t="s">
        <v>517</v>
      </c>
      <c r="G287" s="18" t="s">
        <v>590</v>
      </c>
      <c r="H287" s="18"/>
      <c r="I287" s="18"/>
      <c r="J287" s="18"/>
      <c r="K287" s="18"/>
      <c r="L287" s="18" t="n">
        <v>1.497</v>
      </c>
      <c r="M287" s="18" t="n">
        <v>1.497</v>
      </c>
      <c r="N287" s="18"/>
      <c r="O287" s="18" t="s">
        <v>283</v>
      </c>
      <c r="P287" s="18"/>
      <c r="Q287" s="18"/>
      <c r="R287" s="18" t="s">
        <v>98</v>
      </c>
      <c r="S287" s="18"/>
      <c r="T287" s="19" t="n">
        <f aca="false">SUMIFS(Permissions!$F$2:$F$3000,Permissions!$B$2:$B$3000,$A287,Permissions!$H$2:$H$3000,"Complete",Permissions!$I$2:$I$3000,"Yes")</f>
        <v>0</v>
      </c>
      <c r="U287" s="19" t="n">
        <f aca="false">SUMIFS(Permissions!$F$2:$F$3000,Permissions!$B$2:$B$3000,$A287,Permissions!$H$2:$H$3000,"Under construction",Permissions!$I$2:$I$3000,"Yes")</f>
        <v>0</v>
      </c>
      <c r="V287" s="19" t="n">
        <f aca="false">SUMIFS(Permissions!$F$2:$F$3000,Permissions!$B$2:$B$3000,$A287,Permissions!$H$2:$H$3000,"Permitted – not started",Permissions!$I$2:$I$3000,"Yes")</f>
        <v>0</v>
      </c>
      <c r="W287" s="19" t="n">
        <f aca="false">SUMIFS(Permissions!$F$2:$F$3000,Permissions!$B$2:$B$3000,$A287,Permissions!$H$2:$H$3000,"Stalled",Permissions!$I$2:$I$3000,"Yes")</f>
        <v>0</v>
      </c>
      <c r="X287" s="19" t="n">
        <f aca="false">T287+U287+V287+W287</f>
        <v>0</v>
      </c>
      <c r="Y287" s="19" t="n">
        <f aca="false">SUMIFS(Permissions!$F$2:$F$3000,Permissions!$B$2:$B$3000,$A287,Permissions!$H$2:$H$3000,"Expired – not started",Permissions!$I$2:$I$3000,"Yes")</f>
        <v>3</v>
      </c>
      <c r="Z287" s="19" t="n">
        <f aca="false">SUMIFS(Permissions!$F$2:$F$3000,Permissions!$B$2:$B$3000,$A287,Permissions!$H$2:$H$3000,"In planning",Permissions!$I$2:$I$3000,"Yes")</f>
        <v>0</v>
      </c>
      <c r="AA287" s="19" t="n">
        <f aca="false">IF(N287="",0,MAX(N287-X287,0))</f>
        <v>0</v>
      </c>
      <c r="AB287" s="20" t="n">
        <f aca="false">X287+AA287</f>
        <v>0</v>
      </c>
      <c r="AC287" s="19" t="n">
        <f aca="false">AB287-T287</f>
        <v>0</v>
      </c>
      <c r="AD287" s="21" t="n">
        <f aca="false">SUMIFS(Permissions!$T$2:$T$3000,Permissions!$B$2:$B$3000,$A287,Permissions!$I$2:$I$3000,"Yes")</f>
        <v>0</v>
      </c>
      <c r="AE287" s="21" t="n">
        <f aca="false">SUMIFS(Permissions!$U$2:$U$3000,Permissions!$B$2:$B$3000,$A287,Permissions!$I$2:$I$3000,"Yes")</f>
        <v>0</v>
      </c>
      <c r="AF287" s="21" t="n">
        <f aca="false">SUMIFS(Permissions!$V$2:$V$3000,Permissions!$B$2:$B$3000,$A287,Permissions!$I$2:$I$3000,"Yes")</f>
        <v>0</v>
      </c>
      <c r="AG287" s="21" t="n">
        <f aca="false">SUMIFS(Permissions!$W$2:$W$3000,Permissions!$B$2:$B$3000,$A287,Permissions!$I$2:$I$3000,"Yes")</f>
        <v>0</v>
      </c>
      <c r="AH287" s="21" t="n">
        <f aca="false">SUMIFS(Permissions!$X$2:$X$3000,Permissions!$B$2:$B$3000,$A287,Permissions!$I$2:$I$3000,"Yes")</f>
        <v>0</v>
      </c>
      <c r="AI287" s="21" t="n">
        <f aca="false">SUMIFS(Permissions!$Y$2:$Y$3000,Permissions!$B$2:$B$3000,$A287,Permissions!$I$2:$I$3000,"Yes")</f>
        <v>0</v>
      </c>
      <c r="AJ287" s="19" t="n">
        <f aca="false">COUNTIFS(Permissions!$B$2:$B$3000,$A287,Permissions!$I$2:$I$3000,"Yes")</f>
        <v>1</v>
      </c>
      <c r="AK287" s="22" t="str">
        <f aca="false">IF(AND(N287&lt;&gt;"",X287&gt;1.1*N287),"Consented above capacity",IF(AND(LEFT(B287,8)="Planning",AJ287=0),"Consent parcel with no permission",IF(COUNTIF($A$2:$A$3000,$A287)&gt;1,"Duplicate parcel_id","")))</f>
        <v/>
      </c>
    </row>
    <row r="288" customFormat="false" ht="15" hidden="false" customHeight="false" outlineLevel="0" collapsed="false">
      <c r="A288" s="18" t="s">
        <v>591</v>
      </c>
      <c r="B288" s="18" t="s">
        <v>12</v>
      </c>
      <c r="C288" s="18" t="s">
        <v>16</v>
      </c>
      <c r="D288" s="18"/>
      <c r="E288" s="18" t="s">
        <v>492</v>
      </c>
      <c r="F288" s="18" t="s">
        <v>493</v>
      </c>
      <c r="G288" s="18" t="s">
        <v>592</v>
      </c>
      <c r="H288" s="18"/>
      <c r="I288" s="18"/>
      <c r="J288" s="18"/>
      <c r="K288" s="18"/>
      <c r="L288" s="18" t="n">
        <v>0.621</v>
      </c>
      <c r="M288" s="18" t="n">
        <v>0.621</v>
      </c>
      <c r="N288" s="18"/>
      <c r="O288" s="18" t="s">
        <v>283</v>
      </c>
      <c r="P288" s="18"/>
      <c r="Q288" s="18"/>
      <c r="R288" s="18" t="s">
        <v>98</v>
      </c>
      <c r="S288" s="18"/>
      <c r="T288" s="19" t="n">
        <f aca="false">SUMIFS(Permissions!$F$2:$F$3000,Permissions!$B$2:$B$3000,$A288,Permissions!$H$2:$H$3000,"Complete",Permissions!$I$2:$I$3000,"Yes")</f>
        <v>8</v>
      </c>
      <c r="U288" s="19" t="n">
        <f aca="false">SUMIFS(Permissions!$F$2:$F$3000,Permissions!$B$2:$B$3000,$A288,Permissions!$H$2:$H$3000,"Under construction",Permissions!$I$2:$I$3000,"Yes")</f>
        <v>0</v>
      </c>
      <c r="V288" s="19" t="n">
        <f aca="false">SUMIFS(Permissions!$F$2:$F$3000,Permissions!$B$2:$B$3000,$A288,Permissions!$H$2:$H$3000,"Permitted – not started",Permissions!$I$2:$I$3000,"Yes")</f>
        <v>0</v>
      </c>
      <c r="W288" s="19" t="n">
        <f aca="false">SUMIFS(Permissions!$F$2:$F$3000,Permissions!$B$2:$B$3000,$A288,Permissions!$H$2:$H$3000,"Stalled",Permissions!$I$2:$I$3000,"Yes")</f>
        <v>0</v>
      </c>
      <c r="X288" s="19" t="n">
        <f aca="false">T288+U288+V288+W288</f>
        <v>8</v>
      </c>
      <c r="Y288" s="19" t="n">
        <f aca="false">SUMIFS(Permissions!$F$2:$F$3000,Permissions!$B$2:$B$3000,$A288,Permissions!$H$2:$H$3000,"Expired – not started",Permissions!$I$2:$I$3000,"Yes")</f>
        <v>0</v>
      </c>
      <c r="Z288" s="19" t="n">
        <f aca="false">SUMIFS(Permissions!$F$2:$F$3000,Permissions!$B$2:$B$3000,$A288,Permissions!$H$2:$H$3000,"In planning",Permissions!$I$2:$I$3000,"Yes")</f>
        <v>0</v>
      </c>
      <c r="AA288" s="19" t="n">
        <f aca="false">IF(N288="",0,MAX(N288-X288,0))</f>
        <v>0</v>
      </c>
      <c r="AB288" s="20" t="n">
        <f aca="false">X288+AA288</f>
        <v>8</v>
      </c>
      <c r="AC288" s="19" t="n">
        <f aca="false">AB288-T288</f>
        <v>0</v>
      </c>
      <c r="AD288" s="21" t="n">
        <f aca="false">SUMIFS(Permissions!$T$2:$T$3000,Permissions!$B$2:$B$3000,$A288,Permissions!$I$2:$I$3000,"Yes")</f>
        <v>0</v>
      </c>
      <c r="AE288" s="21" t="n">
        <f aca="false">SUMIFS(Permissions!$U$2:$U$3000,Permissions!$B$2:$B$3000,$A288,Permissions!$I$2:$I$3000,"Yes")</f>
        <v>0</v>
      </c>
      <c r="AF288" s="21" t="n">
        <f aca="false">SUMIFS(Permissions!$V$2:$V$3000,Permissions!$B$2:$B$3000,$A288,Permissions!$I$2:$I$3000,"Yes")</f>
        <v>0</v>
      </c>
      <c r="AG288" s="21" t="n">
        <f aca="false">SUMIFS(Permissions!$W$2:$W$3000,Permissions!$B$2:$B$3000,$A288,Permissions!$I$2:$I$3000,"Yes")</f>
        <v>0</v>
      </c>
      <c r="AH288" s="21" t="n">
        <f aca="false">SUMIFS(Permissions!$X$2:$X$3000,Permissions!$B$2:$B$3000,$A288,Permissions!$I$2:$I$3000,"Yes")</f>
        <v>0</v>
      </c>
      <c r="AI288" s="21" t="n">
        <f aca="false">SUMIFS(Permissions!$Y$2:$Y$3000,Permissions!$B$2:$B$3000,$A288,Permissions!$I$2:$I$3000,"Yes")</f>
        <v>0</v>
      </c>
      <c r="AJ288" s="19" t="n">
        <f aca="false">COUNTIFS(Permissions!$B$2:$B$3000,$A288,Permissions!$I$2:$I$3000,"Yes")</f>
        <v>1</v>
      </c>
      <c r="AK288" s="22" t="str">
        <f aca="false">IF(AND(N288&lt;&gt;"",X288&gt;1.1*N288),"Consented above capacity",IF(AND(LEFT(B288,8)="Planning",AJ288=0),"Consent parcel with no permission",IF(COUNTIF($A$2:$A$3000,$A288)&gt;1,"Duplicate parcel_id","")))</f>
        <v/>
      </c>
    </row>
    <row r="289" customFormat="false" ht="15" hidden="false" customHeight="false" outlineLevel="0" collapsed="false">
      <c r="A289" s="18" t="s">
        <v>593</v>
      </c>
      <c r="B289" s="18" t="s">
        <v>12</v>
      </c>
      <c r="C289" s="18" t="s">
        <v>16</v>
      </c>
      <c r="D289" s="18"/>
      <c r="E289" s="18" t="s">
        <v>492</v>
      </c>
      <c r="F289" s="18" t="s">
        <v>142</v>
      </c>
      <c r="G289" s="18" t="s">
        <v>594</v>
      </c>
      <c r="H289" s="18"/>
      <c r="I289" s="18"/>
      <c r="J289" s="18"/>
      <c r="K289" s="18"/>
      <c r="L289" s="18" t="n">
        <v>0.463</v>
      </c>
      <c r="M289" s="18" t="n">
        <v>0.463</v>
      </c>
      <c r="N289" s="18"/>
      <c r="O289" s="18" t="s">
        <v>283</v>
      </c>
      <c r="P289" s="18"/>
      <c r="Q289" s="18"/>
      <c r="R289" s="18" t="s">
        <v>98</v>
      </c>
      <c r="S289" s="18"/>
      <c r="T289" s="19" t="n">
        <f aca="false">SUMIFS(Permissions!$F$2:$F$3000,Permissions!$B$2:$B$3000,$A289,Permissions!$H$2:$H$3000,"Complete",Permissions!$I$2:$I$3000,"Yes")</f>
        <v>0</v>
      </c>
      <c r="U289" s="19" t="n">
        <f aca="false">SUMIFS(Permissions!$F$2:$F$3000,Permissions!$B$2:$B$3000,$A289,Permissions!$H$2:$H$3000,"Under construction",Permissions!$I$2:$I$3000,"Yes")</f>
        <v>3</v>
      </c>
      <c r="V289" s="19" t="n">
        <f aca="false">SUMIFS(Permissions!$F$2:$F$3000,Permissions!$B$2:$B$3000,$A289,Permissions!$H$2:$H$3000,"Permitted – not started",Permissions!$I$2:$I$3000,"Yes")</f>
        <v>0</v>
      </c>
      <c r="W289" s="19" t="n">
        <f aca="false">SUMIFS(Permissions!$F$2:$F$3000,Permissions!$B$2:$B$3000,$A289,Permissions!$H$2:$H$3000,"Stalled",Permissions!$I$2:$I$3000,"Yes")</f>
        <v>0</v>
      </c>
      <c r="X289" s="19" t="n">
        <f aca="false">T289+U289+V289+W289</f>
        <v>3</v>
      </c>
      <c r="Y289" s="19" t="n">
        <f aca="false">SUMIFS(Permissions!$F$2:$F$3000,Permissions!$B$2:$B$3000,$A289,Permissions!$H$2:$H$3000,"Expired – not started",Permissions!$I$2:$I$3000,"Yes")</f>
        <v>0</v>
      </c>
      <c r="Z289" s="19" t="n">
        <f aca="false">SUMIFS(Permissions!$F$2:$F$3000,Permissions!$B$2:$B$3000,$A289,Permissions!$H$2:$H$3000,"In planning",Permissions!$I$2:$I$3000,"Yes")</f>
        <v>0</v>
      </c>
      <c r="AA289" s="19" t="n">
        <f aca="false">IF(N289="",0,MAX(N289-X289,0))</f>
        <v>0</v>
      </c>
      <c r="AB289" s="20" t="n">
        <f aca="false">X289+AA289</f>
        <v>3</v>
      </c>
      <c r="AC289" s="19" t="n">
        <f aca="false">AB289-T289</f>
        <v>3</v>
      </c>
      <c r="AD289" s="21" t="n">
        <f aca="false">SUMIFS(Permissions!$T$2:$T$3000,Permissions!$B$2:$B$3000,$A289,Permissions!$I$2:$I$3000,"Yes")</f>
        <v>0.7</v>
      </c>
      <c r="AE289" s="21" t="n">
        <f aca="false">SUMIFS(Permissions!$U$2:$U$3000,Permissions!$B$2:$B$3000,$A289,Permissions!$I$2:$I$3000,"Yes")</f>
        <v>2.3</v>
      </c>
      <c r="AF289" s="21" t="n">
        <f aca="false">SUMIFS(Permissions!$V$2:$V$3000,Permissions!$B$2:$B$3000,$A289,Permissions!$I$2:$I$3000,"Yes")</f>
        <v>0</v>
      </c>
      <c r="AG289" s="21" t="n">
        <f aca="false">SUMIFS(Permissions!$W$2:$W$3000,Permissions!$B$2:$B$3000,$A289,Permissions!$I$2:$I$3000,"Yes")</f>
        <v>0</v>
      </c>
      <c r="AH289" s="21" t="n">
        <f aca="false">SUMIFS(Permissions!$X$2:$X$3000,Permissions!$B$2:$B$3000,$A289,Permissions!$I$2:$I$3000,"Yes")</f>
        <v>0</v>
      </c>
      <c r="AI289" s="21" t="n">
        <f aca="false">SUMIFS(Permissions!$Y$2:$Y$3000,Permissions!$B$2:$B$3000,$A289,Permissions!$I$2:$I$3000,"Yes")</f>
        <v>0</v>
      </c>
      <c r="AJ289" s="19" t="n">
        <f aca="false">COUNTIFS(Permissions!$B$2:$B$3000,$A289,Permissions!$I$2:$I$3000,"Yes")</f>
        <v>1</v>
      </c>
      <c r="AK289" s="22" t="str">
        <f aca="false">IF(AND(N289&lt;&gt;"",X289&gt;1.1*N289),"Consented above capacity",IF(AND(LEFT(B289,8)="Planning",AJ289=0),"Consent parcel with no permission",IF(COUNTIF($A$2:$A$3000,$A289)&gt;1,"Duplicate parcel_id","")))</f>
        <v/>
      </c>
    </row>
    <row r="290" customFormat="false" ht="15" hidden="false" customHeight="false" outlineLevel="0" collapsed="false">
      <c r="A290" s="18" t="s">
        <v>595</v>
      </c>
      <c r="B290" s="18" t="s">
        <v>12</v>
      </c>
      <c r="C290" s="18" t="s">
        <v>16</v>
      </c>
      <c r="D290" s="18"/>
      <c r="E290" s="18" t="s">
        <v>492</v>
      </c>
      <c r="F290" s="18" t="s">
        <v>493</v>
      </c>
      <c r="G290" s="18" t="s">
        <v>596</v>
      </c>
      <c r="H290" s="18"/>
      <c r="I290" s="18"/>
      <c r="J290" s="18"/>
      <c r="K290" s="18"/>
      <c r="L290" s="18" t="n">
        <v>0.076</v>
      </c>
      <c r="M290" s="18" t="n">
        <v>0.076</v>
      </c>
      <c r="N290" s="18"/>
      <c r="O290" s="18" t="s">
        <v>283</v>
      </c>
      <c r="P290" s="18"/>
      <c r="Q290" s="18"/>
      <c r="R290" s="18" t="s">
        <v>98</v>
      </c>
      <c r="S290" s="18"/>
      <c r="T290" s="19" t="n">
        <f aca="false">SUMIFS(Permissions!$F$2:$F$3000,Permissions!$B$2:$B$3000,$A290,Permissions!$H$2:$H$3000,"Complete",Permissions!$I$2:$I$3000,"Yes")</f>
        <v>4</v>
      </c>
      <c r="U290" s="19" t="n">
        <f aca="false">SUMIFS(Permissions!$F$2:$F$3000,Permissions!$B$2:$B$3000,$A290,Permissions!$H$2:$H$3000,"Under construction",Permissions!$I$2:$I$3000,"Yes")</f>
        <v>0</v>
      </c>
      <c r="V290" s="19" t="n">
        <f aca="false">SUMIFS(Permissions!$F$2:$F$3000,Permissions!$B$2:$B$3000,$A290,Permissions!$H$2:$H$3000,"Permitted – not started",Permissions!$I$2:$I$3000,"Yes")</f>
        <v>0</v>
      </c>
      <c r="W290" s="19" t="n">
        <f aca="false">SUMIFS(Permissions!$F$2:$F$3000,Permissions!$B$2:$B$3000,$A290,Permissions!$H$2:$H$3000,"Stalled",Permissions!$I$2:$I$3000,"Yes")</f>
        <v>0</v>
      </c>
      <c r="X290" s="19" t="n">
        <f aca="false">T290+U290+V290+W290</f>
        <v>4</v>
      </c>
      <c r="Y290" s="19" t="n">
        <f aca="false">SUMIFS(Permissions!$F$2:$F$3000,Permissions!$B$2:$B$3000,$A290,Permissions!$H$2:$H$3000,"Expired – not started",Permissions!$I$2:$I$3000,"Yes")</f>
        <v>0</v>
      </c>
      <c r="Z290" s="19" t="n">
        <f aca="false">SUMIFS(Permissions!$F$2:$F$3000,Permissions!$B$2:$B$3000,$A290,Permissions!$H$2:$H$3000,"In planning",Permissions!$I$2:$I$3000,"Yes")</f>
        <v>0</v>
      </c>
      <c r="AA290" s="19" t="n">
        <f aca="false">IF(N290="",0,MAX(N290-X290,0))</f>
        <v>0</v>
      </c>
      <c r="AB290" s="20" t="n">
        <f aca="false">X290+AA290</f>
        <v>4</v>
      </c>
      <c r="AC290" s="19" t="n">
        <f aca="false">AB290-T290</f>
        <v>0</v>
      </c>
      <c r="AD290" s="21" t="n">
        <f aca="false">SUMIFS(Permissions!$T$2:$T$3000,Permissions!$B$2:$B$3000,$A290,Permissions!$I$2:$I$3000,"Yes")</f>
        <v>0</v>
      </c>
      <c r="AE290" s="21" t="n">
        <f aca="false">SUMIFS(Permissions!$U$2:$U$3000,Permissions!$B$2:$B$3000,$A290,Permissions!$I$2:$I$3000,"Yes")</f>
        <v>0</v>
      </c>
      <c r="AF290" s="21" t="n">
        <f aca="false">SUMIFS(Permissions!$V$2:$V$3000,Permissions!$B$2:$B$3000,$A290,Permissions!$I$2:$I$3000,"Yes")</f>
        <v>0</v>
      </c>
      <c r="AG290" s="21" t="n">
        <f aca="false">SUMIFS(Permissions!$W$2:$W$3000,Permissions!$B$2:$B$3000,$A290,Permissions!$I$2:$I$3000,"Yes")</f>
        <v>0</v>
      </c>
      <c r="AH290" s="21" t="n">
        <f aca="false">SUMIFS(Permissions!$X$2:$X$3000,Permissions!$B$2:$B$3000,$A290,Permissions!$I$2:$I$3000,"Yes")</f>
        <v>0</v>
      </c>
      <c r="AI290" s="21" t="n">
        <f aca="false">SUMIFS(Permissions!$Y$2:$Y$3000,Permissions!$B$2:$B$3000,$A290,Permissions!$I$2:$I$3000,"Yes")</f>
        <v>0</v>
      </c>
      <c r="AJ290" s="19" t="n">
        <f aca="false">COUNTIFS(Permissions!$B$2:$B$3000,$A290,Permissions!$I$2:$I$3000,"Yes")</f>
        <v>1</v>
      </c>
      <c r="AK290" s="22" t="str">
        <f aca="false">IF(AND(N290&lt;&gt;"",X290&gt;1.1*N290),"Consented above capacity",IF(AND(LEFT(B290,8)="Planning",AJ290=0),"Consent parcel with no permission",IF(COUNTIF($A$2:$A$3000,$A290)&gt;1,"Duplicate parcel_id","")))</f>
        <v/>
      </c>
    </row>
    <row r="291" customFormat="false" ht="15" hidden="false" customHeight="false" outlineLevel="0" collapsed="false">
      <c r="A291" s="18" t="s">
        <v>597</v>
      </c>
      <c r="B291" s="18" t="s">
        <v>12</v>
      </c>
      <c r="C291" s="18" t="s">
        <v>16</v>
      </c>
      <c r="D291" s="18"/>
      <c r="E291" s="18" t="s">
        <v>492</v>
      </c>
      <c r="F291" s="18" t="s">
        <v>502</v>
      </c>
      <c r="G291" s="18" t="s">
        <v>598</v>
      </c>
      <c r="H291" s="18"/>
      <c r="I291" s="18"/>
      <c r="J291" s="18"/>
      <c r="K291" s="18"/>
      <c r="L291" s="18" t="n">
        <v>1.973</v>
      </c>
      <c r="M291" s="18" t="n">
        <v>1.973</v>
      </c>
      <c r="N291" s="18"/>
      <c r="O291" s="18" t="s">
        <v>283</v>
      </c>
      <c r="P291" s="18"/>
      <c r="Q291" s="18"/>
      <c r="R291" s="18" t="s">
        <v>98</v>
      </c>
      <c r="S291" s="18"/>
      <c r="T291" s="19" t="n">
        <f aca="false">SUMIFS(Permissions!$F$2:$F$3000,Permissions!$B$2:$B$3000,$A291,Permissions!$H$2:$H$3000,"Complete",Permissions!$I$2:$I$3000,"Yes")</f>
        <v>0</v>
      </c>
      <c r="U291" s="19" t="n">
        <f aca="false">SUMIFS(Permissions!$F$2:$F$3000,Permissions!$B$2:$B$3000,$A291,Permissions!$H$2:$H$3000,"Under construction",Permissions!$I$2:$I$3000,"Yes")</f>
        <v>0</v>
      </c>
      <c r="V291" s="19" t="n">
        <f aca="false">SUMIFS(Permissions!$F$2:$F$3000,Permissions!$B$2:$B$3000,$A291,Permissions!$H$2:$H$3000,"Permitted – not started",Permissions!$I$2:$I$3000,"Yes")</f>
        <v>0</v>
      </c>
      <c r="W291" s="19" t="n">
        <f aca="false">SUMIFS(Permissions!$F$2:$F$3000,Permissions!$B$2:$B$3000,$A291,Permissions!$H$2:$H$3000,"Stalled",Permissions!$I$2:$I$3000,"Yes")</f>
        <v>53</v>
      </c>
      <c r="X291" s="19" t="n">
        <f aca="false">T291+U291+V291+W291</f>
        <v>53</v>
      </c>
      <c r="Y291" s="19" t="n">
        <f aca="false">SUMIFS(Permissions!$F$2:$F$3000,Permissions!$B$2:$B$3000,$A291,Permissions!$H$2:$H$3000,"Expired – not started",Permissions!$I$2:$I$3000,"Yes")</f>
        <v>0</v>
      </c>
      <c r="Z291" s="19" t="n">
        <f aca="false">SUMIFS(Permissions!$F$2:$F$3000,Permissions!$B$2:$B$3000,$A291,Permissions!$H$2:$H$3000,"In planning",Permissions!$I$2:$I$3000,"Yes")</f>
        <v>0</v>
      </c>
      <c r="AA291" s="19" t="n">
        <f aca="false">IF(N291="",0,MAX(N291-X291,0))</f>
        <v>0</v>
      </c>
      <c r="AB291" s="20" t="n">
        <f aca="false">X291+AA291</f>
        <v>53</v>
      </c>
      <c r="AC291" s="19" t="n">
        <f aca="false">AB291-T291</f>
        <v>53</v>
      </c>
      <c r="AD291" s="21" t="n">
        <f aca="false">SUMIFS(Permissions!$T$2:$T$3000,Permissions!$B$2:$B$3000,$A291,Permissions!$I$2:$I$3000,"Yes")</f>
        <v>0</v>
      </c>
      <c r="AE291" s="21" t="n">
        <f aca="false">SUMIFS(Permissions!$U$2:$U$3000,Permissions!$B$2:$B$3000,$A291,Permissions!$I$2:$I$3000,"Yes")</f>
        <v>0</v>
      </c>
      <c r="AF291" s="21" t="n">
        <f aca="false">SUMIFS(Permissions!$V$2:$V$3000,Permissions!$B$2:$B$3000,$A291,Permissions!$I$2:$I$3000,"Yes")</f>
        <v>0</v>
      </c>
      <c r="AG291" s="21" t="n">
        <f aca="false">SUMIFS(Permissions!$W$2:$W$3000,Permissions!$B$2:$B$3000,$A291,Permissions!$I$2:$I$3000,"Yes")</f>
        <v>0</v>
      </c>
      <c r="AH291" s="21" t="n">
        <f aca="false">SUMIFS(Permissions!$X$2:$X$3000,Permissions!$B$2:$B$3000,$A291,Permissions!$I$2:$I$3000,"Yes")</f>
        <v>0</v>
      </c>
      <c r="AI291" s="21" t="n">
        <f aca="false">SUMIFS(Permissions!$Y$2:$Y$3000,Permissions!$B$2:$B$3000,$A291,Permissions!$I$2:$I$3000,"Yes")</f>
        <v>0</v>
      </c>
      <c r="AJ291" s="19" t="n">
        <f aca="false">COUNTIFS(Permissions!$B$2:$B$3000,$A291,Permissions!$I$2:$I$3000,"Yes")</f>
        <v>1</v>
      </c>
      <c r="AK291" s="22" t="str">
        <f aca="false">IF(AND(N291&lt;&gt;"",X291&gt;1.1*N291),"Consented above capacity",IF(AND(LEFT(B291,8)="Planning",AJ291=0),"Consent parcel with no permission",IF(COUNTIF($A$2:$A$3000,$A291)&gt;1,"Duplicate parcel_id","")))</f>
        <v/>
      </c>
    </row>
    <row r="292" customFormat="false" ht="15" hidden="false" customHeight="false" outlineLevel="0" collapsed="false">
      <c r="A292" s="18" t="s">
        <v>599</v>
      </c>
      <c r="B292" s="18" t="s">
        <v>12</v>
      </c>
      <c r="C292" s="18" t="s">
        <v>16</v>
      </c>
      <c r="D292" s="18"/>
      <c r="E292" s="18" t="s">
        <v>492</v>
      </c>
      <c r="F292" s="18" t="s">
        <v>493</v>
      </c>
      <c r="G292" s="18" t="s">
        <v>600</v>
      </c>
      <c r="H292" s="18"/>
      <c r="I292" s="18"/>
      <c r="J292" s="18"/>
      <c r="K292" s="18"/>
      <c r="L292" s="18" t="n">
        <v>3.59</v>
      </c>
      <c r="M292" s="18" t="n">
        <v>3.59</v>
      </c>
      <c r="N292" s="18"/>
      <c r="O292" s="18" t="s">
        <v>283</v>
      </c>
      <c r="P292" s="18"/>
      <c r="Q292" s="18"/>
      <c r="R292" s="18" t="s">
        <v>98</v>
      </c>
      <c r="S292" s="18"/>
      <c r="T292" s="19" t="n">
        <f aca="false">SUMIFS(Permissions!$F$2:$F$3000,Permissions!$B$2:$B$3000,$A292,Permissions!$H$2:$H$3000,"Complete",Permissions!$I$2:$I$3000,"Yes")</f>
        <v>0</v>
      </c>
      <c r="U292" s="19" t="n">
        <f aca="false">SUMIFS(Permissions!$F$2:$F$3000,Permissions!$B$2:$B$3000,$A292,Permissions!$H$2:$H$3000,"Under construction",Permissions!$I$2:$I$3000,"Yes")</f>
        <v>0</v>
      </c>
      <c r="V292" s="19" t="n">
        <f aca="false">SUMIFS(Permissions!$F$2:$F$3000,Permissions!$B$2:$B$3000,$A292,Permissions!$H$2:$H$3000,"Permitted – not started",Permissions!$I$2:$I$3000,"Yes")</f>
        <v>74</v>
      </c>
      <c r="W292" s="19" t="n">
        <f aca="false">SUMIFS(Permissions!$F$2:$F$3000,Permissions!$B$2:$B$3000,$A292,Permissions!$H$2:$H$3000,"Stalled",Permissions!$I$2:$I$3000,"Yes")</f>
        <v>0</v>
      </c>
      <c r="X292" s="19" t="n">
        <f aca="false">T292+U292+V292+W292</f>
        <v>74</v>
      </c>
      <c r="Y292" s="19" t="n">
        <f aca="false">SUMIFS(Permissions!$F$2:$F$3000,Permissions!$B$2:$B$3000,$A292,Permissions!$H$2:$H$3000,"Expired – not started",Permissions!$I$2:$I$3000,"Yes")</f>
        <v>0</v>
      </c>
      <c r="Z292" s="19" t="n">
        <f aca="false">SUMIFS(Permissions!$F$2:$F$3000,Permissions!$B$2:$B$3000,$A292,Permissions!$H$2:$H$3000,"In planning",Permissions!$I$2:$I$3000,"Yes")</f>
        <v>0</v>
      </c>
      <c r="AA292" s="19" t="n">
        <f aca="false">IF(N292="",0,MAX(N292-X292,0))</f>
        <v>0</v>
      </c>
      <c r="AB292" s="20" t="n">
        <f aca="false">X292+AA292</f>
        <v>74</v>
      </c>
      <c r="AC292" s="19" t="n">
        <f aca="false">AB292-T292</f>
        <v>74</v>
      </c>
      <c r="AD292" s="21" t="n">
        <f aca="false">SUMIFS(Permissions!$T$2:$T$3000,Permissions!$B$2:$B$3000,$A292,Permissions!$I$2:$I$3000,"Yes")</f>
        <v>0</v>
      </c>
      <c r="AE292" s="21" t="n">
        <f aca="false">SUMIFS(Permissions!$U$2:$U$3000,Permissions!$B$2:$B$3000,$A292,Permissions!$I$2:$I$3000,"Yes")</f>
        <v>0</v>
      </c>
      <c r="AF292" s="21" t="n">
        <f aca="false">SUMIFS(Permissions!$V$2:$V$3000,Permissions!$B$2:$B$3000,$A292,Permissions!$I$2:$I$3000,"Yes")</f>
        <v>28.4</v>
      </c>
      <c r="AG292" s="21" t="n">
        <f aca="false">SUMIFS(Permissions!$W$2:$W$3000,Permissions!$B$2:$B$3000,$A292,Permissions!$I$2:$I$3000,"Yes")</f>
        <v>45.6</v>
      </c>
      <c r="AH292" s="21" t="n">
        <f aca="false">SUMIFS(Permissions!$X$2:$X$3000,Permissions!$B$2:$B$3000,$A292,Permissions!$I$2:$I$3000,"Yes")</f>
        <v>0</v>
      </c>
      <c r="AI292" s="21" t="n">
        <f aca="false">SUMIFS(Permissions!$Y$2:$Y$3000,Permissions!$B$2:$B$3000,$A292,Permissions!$I$2:$I$3000,"Yes")</f>
        <v>0</v>
      </c>
      <c r="AJ292" s="19" t="n">
        <f aca="false">COUNTIFS(Permissions!$B$2:$B$3000,$A292,Permissions!$I$2:$I$3000,"Yes")</f>
        <v>1</v>
      </c>
      <c r="AK292" s="22" t="str">
        <f aca="false">IF(AND(N292&lt;&gt;"",X292&gt;1.1*N292),"Consented above capacity",IF(AND(LEFT(B292,8)="Planning",AJ292=0),"Consent parcel with no permission",IF(COUNTIF($A$2:$A$3000,$A292)&gt;1,"Duplicate parcel_id","")))</f>
        <v/>
      </c>
    </row>
    <row r="293" customFormat="false" ht="15" hidden="false" customHeight="false" outlineLevel="0" collapsed="false">
      <c r="A293" s="18" t="s">
        <v>601</v>
      </c>
      <c r="B293" s="18" t="s">
        <v>12</v>
      </c>
      <c r="C293" s="18" t="s">
        <v>16</v>
      </c>
      <c r="D293" s="18"/>
      <c r="E293" s="18" t="s">
        <v>492</v>
      </c>
      <c r="F293" s="18" t="s">
        <v>493</v>
      </c>
      <c r="G293" s="18" t="s">
        <v>602</v>
      </c>
      <c r="H293" s="18"/>
      <c r="I293" s="18"/>
      <c r="J293" s="18"/>
      <c r="K293" s="18"/>
      <c r="L293" s="18" t="n">
        <v>0.229</v>
      </c>
      <c r="M293" s="18" t="n">
        <v>0.229</v>
      </c>
      <c r="N293" s="18"/>
      <c r="O293" s="18" t="s">
        <v>283</v>
      </c>
      <c r="P293" s="18"/>
      <c r="Q293" s="18"/>
      <c r="R293" s="18" t="s">
        <v>98</v>
      </c>
      <c r="S293" s="18"/>
      <c r="T293" s="19" t="n">
        <f aca="false">SUMIFS(Permissions!$F$2:$F$3000,Permissions!$B$2:$B$3000,$A293,Permissions!$H$2:$H$3000,"Complete",Permissions!$I$2:$I$3000,"Yes")</f>
        <v>0</v>
      </c>
      <c r="U293" s="19" t="n">
        <f aca="false">SUMIFS(Permissions!$F$2:$F$3000,Permissions!$B$2:$B$3000,$A293,Permissions!$H$2:$H$3000,"Under construction",Permissions!$I$2:$I$3000,"Yes")</f>
        <v>6</v>
      </c>
      <c r="V293" s="19" t="n">
        <f aca="false">SUMIFS(Permissions!$F$2:$F$3000,Permissions!$B$2:$B$3000,$A293,Permissions!$H$2:$H$3000,"Permitted – not started",Permissions!$I$2:$I$3000,"Yes")</f>
        <v>0</v>
      </c>
      <c r="W293" s="19" t="n">
        <f aca="false">SUMIFS(Permissions!$F$2:$F$3000,Permissions!$B$2:$B$3000,$A293,Permissions!$H$2:$H$3000,"Stalled",Permissions!$I$2:$I$3000,"Yes")</f>
        <v>0</v>
      </c>
      <c r="X293" s="19" t="n">
        <f aca="false">T293+U293+V293+W293</f>
        <v>6</v>
      </c>
      <c r="Y293" s="19" t="n">
        <f aca="false">SUMIFS(Permissions!$F$2:$F$3000,Permissions!$B$2:$B$3000,$A293,Permissions!$H$2:$H$3000,"Expired – not started",Permissions!$I$2:$I$3000,"Yes")</f>
        <v>0</v>
      </c>
      <c r="Z293" s="19" t="n">
        <f aca="false">SUMIFS(Permissions!$F$2:$F$3000,Permissions!$B$2:$B$3000,$A293,Permissions!$H$2:$H$3000,"In planning",Permissions!$I$2:$I$3000,"Yes")</f>
        <v>0</v>
      </c>
      <c r="AA293" s="19" t="n">
        <f aca="false">IF(N293="",0,MAX(N293-X293,0))</f>
        <v>0</v>
      </c>
      <c r="AB293" s="20" t="n">
        <f aca="false">X293+AA293</f>
        <v>6</v>
      </c>
      <c r="AC293" s="19" t="n">
        <f aca="false">AB293-T293</f>
        <v>6</v>
      </c>
      <c r="AD293" s="21" t="n">
        <f aca="false">SUMIFS(Permissions!$T$2:$T$3000,Permissions!$B$2:$B$3000,$A293,Permissions!$I$2:$I$3000,"Yes")</f>
        <v>1.4</v>
      </c>
      <c r="AE293" s="21" t="n">
        <f aca="false">SUMIFS(Permissions!$U$2:$U$3000,Permissions!$B$2:$B$3000,$A293,Permissions!$I$2:$I$3000,"Yes")</f>
        <v>4.6</v>
      </c>
      <c r="AF293" s="21" t="n">
        <f aca="false">SUMIFS(Permissions!$V$2:$V$3000,Permissions!$B$2:$B$3000,$A293,Permissions!$I$2:$I$3000,"Yes")</f>
        <v>0</v>
      </c>
      <c r="AG293" s="21" t="n">
        <f aca="false">SUMIFS(Permissions!$W$2:$W$3000,Permissions!$B$2:$B$3000,$A293,Permissions!$I$2:$I$3000,"Yes")</f>
        <v>0</v>
      </c>
      <c r="AH293" s="21" t="n">
        <f aca="false">SUMIFS(Permissions!$X$2:$X$3000,Permissions!$B$2:$B$3000,$A293,Permissions!$I$2:$I$3000,"Yes")</f>
        <v>0</v>
      </c>
      <c r="AI293" s="21" t="n">
        <f aca="false">SUMIFS(Permissions!$Y$2:$Y$3000,Permissions!$B$2:$B$3000,$A293,Permissions!$I$2:$I$3000,"Yes")</f>
        <v>0</v>
      </c>
      <c r="AJ293" s="19" t="n">
        <f aca="false">COUNTIFS(Permissions!$B$2:$B$3000,$A293,Permissions!$I$2:$I$3000,"Yes")</f>
        <v>1</v>
      </c>
      <c r="AK293" s="22" t="str">
        <f aca="false">IF(AND(N293&lt;&gt;"",X293&gt;1.1*N293),"Consented above capacity",IF(AND(LEFT(B293,8)="Planning",AJ293=0),"Consent parcel with no permission",IF(COUNTIF($A$2:$A$3000,$A293)&gt;1,"Duplicate parcel_id","")))</f>
        <v/>
      </c>
    </row>
    <row r="294" customFormat="false" ht="15" hidden="false" customHeight="false" outlineLevel="0" collapsed="false">
      <c r="A294" s="18" t="s">
        <v>603</v>
      </c>
      <c r="B294" s="18" t="s">
        <v>12</v>
      </c>
      <c r="C294" s="18" t="s">
        <v>16</v>
      </c>
      <c r="D294" s="18"/>
      <c r="E294" s="18" t="s">
        <v>492</v>
      </c>
      <c r="F294" s="18" t="s">
        <v>502</v>
      </c>
      <c r="G294" s="18" t="s">
        <v>604</v>
      </c>
      <c r="H294" s="18"/>
      <c r="I294" s="18"/>
      <c r="J294" s="18"/>
      <c r="K294" s="18"/>
      <c r="L294" s="18" t="n">
        <v>0.481</v>
      </c>
      <c r="M294" s="18" t="n">
        <v>0.481</v>
      </c>
      <c r="N294" s="18"/>
      <c r="O294" s="18" t="s">
        <v>283</v>
      </c>
      <c r="P294" s="18"/>
      <c r="Q294" s="18"/>
      <c r="R294" s="18" t="s">
        <v>98</v>
      </c>
      <c r="S294" s="18"/>
      <c r="T294" s="19" t="n">
        <f aca="false">SUMIFS(Permissions!$F$2:$F$3000,Permissions!$B$2:$B$3000,$A294,Permissions!$H$2:$H$3000,"Complete",Permissions!$I$2:$I$3000,"Yes")</f>
        <v>0</v>
      </c>
      <c r="U294" s="19" t="n">
        <f aca="false">SUMIFS(Permissions!$F$2:$F$3000,Permissions!$B$2:$B$3000,$A294,Permissions!$H$2:$H$3000,"Under construction",Permissions!$I$2:$I$3000,"Yes")</f>
        <v>0</v>
      </c>
      <c r="V294" s="19" t="n">
        <f aca="false">SUMIFS(Permissions!$F$2:$F$3000,Permissions!$B$2:$B$3000,$A294,Permissions!$H$2:$H$3000,"Permitted – not started",Permissions!$I$2:$I$3000,"Yes")</f>
        <v>14</v>
      </c>
      <c r="W294" s="19" t="n">
        <f aca="false">SUMIFS(Permissions!$F$2:$F$3000,Permissions!$B$2:$B$3000,$A294,Permissions!$H$2:$H$3000,"Stalled",Permissions!$I$2:$I$3000,"Yes")</f>
        <v>0</v>
      </c>
      <c r="X294" s="19" t="n">
        <f aca="false">T294+U294+V294+W294</f>
        <v>14</v>
      </c>
      <c r="Y294" s="19" t="n">
        <f aca="false">SUMIFS(Permissions!$F$2:$F$3000,Permissions!$B$2:$B$3000,$A294,Permissions!$H$2:$H$3000,"Expired – not started",Permissions!$I$2:$I$3000,"Yes")</f>
        <v>0</v>
      </c>
      <c r="Z294" s="19" t="n">
        <f aca="false">SUMIFS(Permissions!$F$2:$F$3000,Permissions!$B$2:$B$3000,$A294,Permissions!$H$2:$H$3000,"In planning",Permissions!$I$2:$I$3000,"Yes")</f>
        <v>0</v>
      </c>
      <c r="AA294" s="19" t="n">
        <f aca="false">IF(N294="",0,MAX(N294-X294,0))</f>
        <v>0</v>
      </c>
      <c r="AB294" s="20" t="n">
        <f aca="false">X294+AA294</f>
        <v>14</v>
      </c>
      <c r="AC294" s="19" t="n">
        <f aca="false">AB294-T294</f>
        <v>14</v>
      </c>
      <c r="AD294" s="21" t="n">
        <f aca="false">SUMIFS(Permissions!$T$2:$T$3000,Permissions!$B$2:$B$3000,$A294,Permissions!$I$2:$I$3000,"Yes")</f>
        <v>0</v>
      </c>
      <c r="AE294" s="21" t="n">
        <f aca="false">SUMIFS(Permissions!$U$2:$U$3000,Permissions!$B$2:$B$3000,$A294,Permissions!$I$2:$I$3000,"Yes")</f>
        <v>0</v>
      </c>
      <c r="AF294" s="21" t="n">
        <f aca="false">SUMIFS(Permissions!$V$2:$V$3000,Permissions!$B$2:$B$3000,$A294,Permissions!$I$2:$I$3000,"Yes")</f>
        <v>8.2</v>
      </c>
      <c r="AG294" s="21" t="n">
        <f aca="false">SUMIFS(Permissions!$W$2:$W$3000,Permissions!$B$2:$B$3000,$A294,Permissions!$I$2:$I$3000,"Yes")</f>
        <v>5.8</v>
      </c>
      <c r="AH294" s="21" t="n">
        <f aca="false">SUMIFS(Permissions!$X$2:$X$3000,Permissions!$B$2:$B$3000,$A294,Permissions!$I$2:$I$3000,"Yes")</f>
        <v>0</v>
      </c>
      <c r="AI294" s="21" t="n">
        <f aca="false">SUMIFS(Permissions!$Y$2:$Y$3000,Permissions!$B$2:$B$3000,$A294,Permissions!$I$2:$I$3000,"Yes")</f>
        <v>0</v>
      </c>
      <c r="AJ294" s="19" t="n">
        <f aca="false">COUNTIFS(Permissions!$B$2:$B$3000,$A294,Permissions!$I$2:$I$3000,"Yes")</f>
        <v>1</v>
      </c>
      <c r="AK294" s="22" t="str">
        <f aca="false">IF(AND(N294&lt;&gt;"",X294&gt;1.1*N294),"Consented above capacity",IF(AND(LEFT(B294,8)="Planning",AJ294=0),"Consent parcel with no permission",IF(COUNTIF($A$2:$A$3000,$A294)&gt;1,"Duplicate parcel_id","")))</f>
        <v/>
      </c>
    </row>
    <row r="295" customFormat="false" ht="15" hidden="false" customHeight="false" outlineLevel="0" collapsed="false">
      <c r="A295" s="18" t="s">
        <v>605</v>
      </c>
      <c r="B295" s="18" t="s">
        <v>12</v>
      </c>
      <c r="C295" s="18" t="s">
        <v>16</v>
      </c>
      <c r="D295" s="18"/>
      <c r="E295" s="18" t="s">
        <v>492</v>
      </c>
      <c r="F295" s="18" t="s">
        <v>142</v>
      </c>
      <c r="G295" s="18" t="s">
        <v>606</v>
      </c>
      <c r="H295" s="18"/>
      <c r="I295" s="18"/>
      <c r="J295" s="18"/>
      <c r="K295" s="18"/>
      <c r="L295" s="18" t="n">
        <v>5.284</v>
      </c>
      <c r="M295" s="18" t="n">
        <v>5.284</v>
      </c>
      <c r="N295" s="18"/>
      <c r="O295" s="18" t="s">
        <v>283</v>
      </c>
      <c r="P295" s="18"/>
      <c r="Q295" s="18"/>
      <c r="R295" s="18" t="s">
        <v>98</v>
      </c>
      <c r="S295" s="18"/>
      <c r="T295" s="19" t="n">
        <f aca="false">SUMIFS(Permissions!$F$2:$F$3000,Permissions!$B$2:$B$3000,$A295,Permissions!$H$2:$H$3000,"Complete",Permissions!$I$2:$I$3000,"Yes")</f>
        <v>0</v>
      </c>
      <c r="U295" s="19" t="n">
        <f aca="false">SUMIFS(Permissions!$F$2:$F$3000,Permissions!$B$2:$B$3000,$A295,Permissions!$H$2:$H$3000,"Under construction",Permissions!$I$2:$I$3000,"Yes")</f>
        <v>74</v>
      </c>
      <c r="V295" s="19" t="n">
        <f aca="false">SUMIFS(Permissions!$F$2:$F$3000,Permissions!$B$2:$B$3000,$A295,Permissions!$H$2:$H$3000,"Permitted – not started",Permissions!$I$2:$I$3000,"Yes")</f>
        <v>0</v>
      </c>
      <c r="W295" s="19" t="n">
        <f aca="false">SUMIFS(Permissions!$F$2:$F$3000,Permissions!$B$2:$B$3000,$A295,Permissions!$H$2:$H$3000,"Stalled",Permissions!$I$2:$I$3000,"Yes")</f>
        <v>0</v>
      </c>
      <c r="X295" s="19" t="n">
        <f aca="false">T295+U295+V295+W295</f>
        <v>74</v>
      </c>
      <c r="Y295" s="19" t="n">
        <f aca="false">SUMIFS(Permissions!$F$2:$F$3000,Permissions!$B$2:$B$3000,$A295,Permissions!$H$2:$H$3000,"Expired – not started",Permissions!$I$2:$I$3000,"Yes")</f>
        <v>0</v>
      </c>
      <c r="Z295" s="19" t="n">
        <f aca="false">SUMIFS(Permissions!$F$2:$F$3000,Permissions!$B$2:$B$3000,$A295,Permissions!$H$2:$H$3000,"In planning",Permissions!$I$2:$I$3000,"Yes")</f>
        <v>0</v>
      </c>
      <c r="AA295" s="19" t="n">
        <f aca="false">IF(N295="",0,MAX(N295-X295,0))</f>
        <v>0</v>
      </c>
      <c r="AB295" s="20" t="n">
        <f aca="false">X295+AA295</f>
        <v>74</v>
      </c>
      <c r="AC295" s="19" t="n">
        <f aca="false">AB295-T295</f>
        <v>74</v>
      </c>
      <c r="AD295" s="21" t="n">
        <f aca="false">SUMIFS(Permissions!$T$2:$T$3000,Permissions!$B$2:$B$3000,$A295,Permissions!$I$2:$I$3000,"Yes")</f>
        <v>17.2</v>
      </c>
      <c r="AE295" s="21" t="n">
        <f aca="false">SUMIFS(Permissions!$U$2:$U$3000,Permissions!$B$2:$B$3000,$A295,Permissions!$I$2:$I$3000,"Yes")</f>
        <v>56.8</v>
      </c>
      <c r="AF295" s="21" t="n">
        <f aca="false">SUMIFS(Permissions!$V$2:$V$3000,Permissions!$B$2:$B$3000,$A295,Permissions!$I$2:$I$3000,"Yes")</f>
        <v>0</v>
      </c>
      <c r="AG295" s="21" t="n">
        <f aca="false">SUMIFS(Permissions!$W$2:$W$3000,Permissions!$B$2:$B$3000,$A295,Permissions!$I$2:$I$3000,"Yes")</f>
        <v>0</v>
      </c>
      <c r="AH295" s="21" t="n">
        <f aca="false">SUMIFS(Permissions!$X$2:$X$3000,Permissions!$B$2:$B$3000,$A295,Permissions!$I$2:$I$3000,"Yes")</f>
        <v>0</v>
      </c>
      <c r="AI295" s="21" t="n">
        <f aca="false">SUMIFS(Permissions!$Y$2:$Y$3000,Permissions!$B$2:$B$3000,$A295,Permissions!$I$2:$I$3000,"Yes")</f>
        <v>0</v>
      </c>
      <c r="AJ295" s="19" t="n">
        <f aca="false">COUNTIFS(Permissions!$B$2:$B$3000,$A295,Permissions!$I$2:$I$3000,"Yes")</f>
        <v>1</v>
      </c>
      <c r="AK295" s="22" t="str">
        <f aca="false">IF(AND(N295&lt;&gt;"",X295&gt;1.1*N295),"Consented above capacity",IF(AND(LEFT(B295,8)="Planning",AJ295=0),"Consent parcel with no permission",IF(COUNTIF($A$2:$A$3000,$A295)&gt;1,"Duplicate parcel_id","")))</f>
        <v/>
      </c>
    </row>
    <row r="296" customFormat="false" ht="15" hidden="false" customHeight="false" outlineLevel="0" collapsed="false">
      <c r="A296" s="18" t="s">
        <v>607</v>
      </c>
      <c r="B296" s="18" t="s">
        <v>12</v>
      </c>
      <c r="C296" s="18" t="s">
        <v>16</v>
      </c>
      <c r="D296" s="18"/>
      <c r="E296" s="18" t="s">
        <v>492</v>
      </c>
      <c r="F296" s="18" t="s">
        <v>517</v>
      </c>
      <c r="G296" s="18" t="s">
        <v>608</v>
      </c>
      <c r="H296" s="18"/>
      <c r="I296" s="18"/>
      <c r="J296" s="18"/>
      <c r="K296" s="18"/>
      <c r="L296" s="18" t="n">
        <v>0.508</v>
      </c>
      <c r="M296" s="18" t="n">
        <v>0.508</v>
      </c>
      <c r="N296" s="18"/>
      <c r="O296" s="18" t="s">
        <v>283</v>
      </c>
      <c r="P296" s="18"/>
      <c r="Q296" s="18"/>
      <c r="R296" s="18" t="s">
        <v>98</v>
      </c>
      <c r="S296" s="18"/>
      <c r="T296" s="19" t="n">
        <f aca="false">SUMIFS(Permissions!$F$2:$F$3000,Permissions!$B$2:$B$3000,$A296,Permissions!$H$2:$H$3000,"Complete",Permissions!$I$2:$I$3000,"Yes")</f>
        <v>0</v>
      </c>
      <c r="U296" s="19" t="n">
        <f aca="false">SUMIFS(Permissions!$F$2:$F$3000,Permissions!$B$2:$B$3000,$A296,Permissions!$H$2:$H$3000,"Under construction",Permissions!$I$2:$I$3000,"Yes")</f>
        <v>0</v>
      </c>
      <c r="V296" s="19" t="n">
        <f aca="false">SUMIFS(Permissions!$F$2:$F$3000,Permissions!$B$2:$B$3000,$A296,Permissions!$H$2:$H$3000,"Permitted – not started",Permissions!$I$2:$I$3000,"Yes")</f>
        <v>10</v>
      </c>
      <c r="W296" s="19" t="n">
        <f aca="false">SUMIFS(Permissions!$F$2:$F$3000,Permissions!$B$2:$B$3000,$A296,Permissions!$H$2:$H$3000,"Stalled",Permissions!$I$2:$I$3000,"Yes")</f>
        <v>0</v>
      </c>
      <c r="X296" s="19" t="n">
        <f aca="false">T296+U296+V296+W296</f>
        <v>10</v>
      </c>
      <c r="Y296" s="19" t="n">
        <f aca="false">SUMIFS(Permissions!$F$2:$F$3000,Permissions!$B$2:$B$3000,$A296,Permissions!$H$2:$H$3000,"Expired – not started",Permissions!$I$2:$I$3000,"Yes")</f>
        <v>0</v>
      </c>
      <c r="Z296" s="19" t="n">
        <f aca="false">SUMIFS(Permissions!$F$2:$F$3000,Permissions!$B$2:$B$3000,$A296,Permissions!$H$2:$H$3000,"In planning",Permissions!$I$2:$I$3000,"Yes")</f>
        <v>0</v>
      </c>
      <c r="AA296" s="19" t="n">
        <f aca="false">IF(N296="",0,MAX(N296-X296,0))</f>
        <v>0</v>
      </c>
      <c r="AB296" s="20" t="n">
        <f aca="false">X296+AA296</f>
        <v>10</v>
      </c>
      <c r="AC296" s="19" t="n">
        <f aca="false">AB296-T296</f>
        <v>10</v>
      </c>
      <c r="AD296" s="21" t="n">
        <f aca="false">SUMIFS(Permissions!$T$2:$T$3000,Permissions!$B$2:$B$3000,$A296,Permissions!$I$2:$I$3000,"Yes")</f>
        <v>0</v>
      </c>
      <c r="AE296" s="21" t="n">
        <f aca="false">SUMIFS(Permissions!$U$2:$U$3000,Permissions!$B$2:$B$3000,$A296,Permissions!$I$2:$I$3000,"Yes")</f>
        <v>0</v>
      </c>
      <c r="AF296" s="21" t="n">
        <f aca="false">SUMIFS(Permissions!$V$2:$V$3000,Permissions!$B$2:$B$3000,$A296,Permissions!$I$2:$I$3000,"Yes")</f>
        <v>5.9</v>
      </c>
      <c r="AG296" s="21" t="n">
        <f aca="false">SUMIFS(Permissions!$W$2:$W$3000,Permissions!$B$2:$B$3000,$A296,Permissions!$I$2:$I$3000,"Yes")</f>
        <v>4.1</v>
      </c>
      <c r="AH296" s="21" t="n">
        <f aca="false">SUMIFS(Permissions!$X$2:$X$3000,Permissions!$B$2:$B$3000,$A296,Permissions!$I$2:$I$3000,"Yes")</f>
        <v>0</v>
      </c>
      <c r="AI296" s="21" t="n">
        <f aca="false">SUMIFS(Permissions!$Y$2:$Y$3000,Permissions!$B$2:$B$3000,$A296,Permissions!$I$2:$I$3000,"Yes")</f>
        <v>0</v>
      </c>
      <c r="AJ296" s="19" t="n">
        <f aca="false">COUNTIFS(Permissions!$B$2:$B$3000,$A296,Permissions!$I$2:$I$3000,"Yes")</f>
        <v>1</v>
      </c>
      <c r="AK296" s="22" t="str">
        <f aca="false">IF(AND(N296&lt;&gt;"",X296&gt;1.1*N296),"Consented above capacity",IF(AND(LEFT(B296,8)="Planning",AJ296=0),"Consent parcel with no permission",IF(COUNTIF($A$2:$A$3000,$A296)&gt;1,"Duplicate parcel_id","")))</f>
        <v/>
      </c>
    </row>
    <row r="297" customFormat="false" ht="15" hidden="false" customHeight="false" outlineLevel="0" collapsed="false">
      <c r="A297" s="18" t="s">
        <v>609</v>
      </c>
      <c r="B297" s="18" t="s">
        <v>12</v>
      </c>
      <c r="C297" s="18" t="s">
        <v>16</v>
      </c>
      <c r="D297" s="18"/>
      <c r="E297" s="18" t="s">
        <v>492</v>
      </c>
      <c r="F297" s="18" t="s">
        <v>517</v>
      </c>
      <c r="G297" s="18" t="s">
        <v>610</v>
      </c>
      <c r="H297" s="18"/>
      <c r="I297" s="18"/>
      <c r="J297" s="18"/>
      <c r="K297" s="18"/>
      <c r="L297" s="18" t="n">
        <v>3.075</v>
      </c>
      <c r="M297" s="18" t="n">
        <v>3.075</v>
      </c>
      <c r="N297" s="18"/>
      <c r="O297" s="18" t="s">
        <v>283</v>
      </c>
      <c r="P297" s="18"/>
      <c r="Q297" s="18"/>
      <c r="R297" s="18" t="s">
        <v>98</v>
      </c>
      <c r="S297" s="18"/>
      <c r="T297" s="19" t="n">
        <f aca="false">SUMIFS(Permissions!$F$2:$F$3000,Permissions!$B$2:$B$3000,$A297,Permissions!$H$2:$H$3000,"Complete",Permissions!$I$2:$I$3000,"Yes")</f>
        <v>0</v>
      </c>
      <c r="U297" s="19" t="n">
        <f aca="false">SUMIFS(Permissions!$F$2:$F$3000,Permissions!$B$2:$B$3000,$A297,Permissions!$H$2:$H$3000,"Under construction",Permissions!$I$2:$I$3000,"Yes")</f>
        <v>30</v>
      </c>
      <c r="V297" s="19" t="n">
        <f aca="false">SUMIFS(Permissions!$F$2:$F$3000,Permissions!$B$2:$B$3000,$A297,Permissions!$H$2:$H$3000,"Permitted – not started",Permissions!$I$2:$I$3000,"Yes")</f>
        <v>0</v>
      </c>
      <c r="W297" s="19" t="n">
        <f aca="false">SUMIFS(Permissions!$F$2:$F$3000,Permissions!$B$2:$B$3000,$A297,Permissions!$H$2:$H$3000,"Stalled",Permissions!$I$2:$I$3000,"Yes")</f>
        <v>0</v>
      </c>
      <c r="X297" s="19" t="n">
        <f aca="false">T297+U297+V297+W297</f>
        <v>30</v>
      </c>
      <c r="Y297" s="19" t="n">
        <f aca="false">SUMIFS(Permissions!$F$2:$F$3000,Permissions!$B$2:$B$3000,$A297,Permissions!$H$2:$H$3000,"Expired – not started",Permissions!$I$2:$I$3000,"Yes")</f>
        <v>0</v>
      </c>
      <c r="Z297" s="19" t="n">
        <f aca="false">SUMIFS(Permissions!$F$2:$F$3000,Permissions!$B$2:$B$3000,$A297,Permissions!$H$2:$H$3000,"In planning",Permissions!$I$2:$I$3000,"Yes")</f>
        <v>0</v>
      </c>
      <c r="AA297" s="19" t="n">
        <f aca="false">IF(N297="",0,MAX(N297-X297,0))</f>
        <v>0</v>
      </c>
      <c r="AB297" s="20" t="n">
        <f aca="false">X297+AA297</f>
        <v>30</v>
      </c>
      <c r="AC297" s="19" t="n">
        <f aca="false">AB297-T297</f>
        <v>30</v>
      </c>
      <c r="AD297" s="21" t="n">
        <f aca="false">SUMIFS(Permissions!$T$2:$T$3000,Permissions!$B$2:$B$3000,$A297,Permissions!$I$2:$I$3000,"Yes")</f>
        <v>7</v>
      </c>
      <c r="AE297" s="21" t="n">
        <f aca="false">SUMIFS(Permissions!$U$2:$U$3000,Permissions!$B$2:$B$3000,$A297,Permissions!$I$2:$I$3000,"Yes")</f>
        <v>23</v>
      </c>
      <c r="AF297" s="21" t="n">
        <f aca="false">SUMIFS(Permissions!$V$2:$V$3000,Permissions!$B$2:$B$3000,$A297,Permissions!$I$2:$I$3000,"Yes")</f>
        <v>0</v>
      </c>
      <c r="AG297" s="21" t="n">
        <f aca="false">SUMIFS(Permissions!$W$2:$W$3000,Permissions!$B$2:$B$3000,$A297,Permissions!$I$2:$I$3000,"Yes")</f>
        <v>0</v>
      </c>
      <c r="AH297" s="21" t="n">
        <f aca="false">SUMIFS(Permissions!$X$2:$X$3000,Permissions!$B$2:$B$3000,$A297,Permissions!$I$2:$I$3000,"Yes")</f>
        <v>0</v>
      </c>
      <c r="AI297" s="21" t="n">
        <f aca="false">SUMIFS(Permissions!$Y$2:$Y$3000,Permissions!$B$2:$B$3000,$A297,Permissions!$I$2:$I$3000,"Yes")</f>
        <v>0</v>
      </c>
      <c r="AJ297" s="19" t="n">
        <f aca="false">COUNTIFS(Permissions!$B$2:$B$3000,$A297,Permissions!$I$2:$I$3000,"Yes")</f>
        <v>1</v>
      </c>
      <c r="AK297" s="22" t="str">
        <f aca="false">IF(AND(N297&lt;&gt;"",X297&gt;1.1*N297),"Consented above capacity",IF(AND(LEFT(B297,8)="Planning",AJ297=0),"Consent parcel with no permission",IF(COUNTIF($A$2:$A$3000,$A297)&gt;1,"Duplicate parcel_id","")))</f>
        <v/>
      </c>
    </row>
    <row r="298" customFormat="false" ht="15" hidden="false" customHeight="false" outlineLevel="0" collapsed="false">
      <c r="A298" s="18" t="s">
        <v>611</v>
      </c>
      <c r="B298" s="18" t="s">
        <v>12</v>
      </c>
      <c r="C298" s="18" t="s">
        <v>16</v>
      </c>
      <c r="D298" s="18"/>
      <c r="E298" s="18" t="s">
        <v>492</v>
      </c>
      <c r="F298" s="18" t="s">
        <v>502</v>
      </c>
      <c r="G298" s="18" t="s">
        <v>612</v>
      </c>
      <c r="H298" s="18"/>
      <c r="I298" s="18"/>
      <c r="J298" s="18"/>
      <c r="K298" s="18"/>
      <c r="L298" s="18" t="n">
        <v>0.371</v>
      </c>
      <c r="M298" s="18" t="n">
        <v>0.371</v>
      </c>
      <c r="N298" s="18"/>
      <c r="O298" s="18" t="s">
        <v>283</v>
      </c>
      <c r="P298" s="18"/>
      <c r="Q298" s="18"/>
      <c r="R298" s="18" t="s">
        <v>98</v>
      </c>
      <c r="S298" s="18"/>
      <c r="T298" s="19" t="n">
        <f aca="false">SUMIFS(Permissions!$F$2:$F$3000,Permissions!$B$2:$B$3000,$A298,Permissions!$H$2:$H$3000,"Complete",Permissions!$I$2:$I$3000,"Yes")</f>
        <v>0</v>
      </c>
      <c r="U298" s="19" t="n">
        <f aca="false">SUMIFS(Permissions!$F$2:$F$3000,Permissions!$B$2:$B$3000,$A298,Permissions!$H$2:$H$3000,"Under construction",Permissions!$I$2:$I$3000,"Yes")</f>
        <v>0</v>
      </c>
      <c r="V298" s="19" t="n">
        <f aca="false">SUMIFS(Permissions!$F$2:$F$3000,Permissions!$B$2:$B$3000,$A298,Permissions!$H$2:$H$3000,"Permitted – not started",Permissions!$I$2:$I$3000,"Yes")</f>
        <v>10</v>
      </c>
      <c r="W298" s="19" t="n">
        <f aca="false">SUMIFS(Permissions!$F$2:$F$3000,Permissions!$B$2:$B$3000,$A298,Permissions!$H$2:$H$3000,"Stalled",Permissions!$I$2:$I$3000,"Yes")</f>
        <v>0</v>
      </c>
      <c r="X298" s="19" t="n">
        <f aca="false">T298+U298+V298+W298</f>
        <v>10</v>
      </c>
      <c r="Y298" s="19" t="n">
        <f aca="false">SUMIFS(Permissions!$F$2:$F$3000,Permissions!$B$2:$B$3000,$A298,Permissions!$H$2:$H$3000,"Expired – not started",Permissions!$I$2:$I$3000,"Yes")</f>
        <v>0</v>
      </c>
      <c r="Z298" s="19" t="n">
        <f aca="false">SUMIFS(Permissions!$F$2:$F$3000,Permissions!$B$2:$B$3000,$A298,Permissions!$H$2:$H$3000,"In planning",Permissions!$I$2:$I$3000,"Yes")</f>
        <v>0</v>
      </c>
      <c r="AA298" s="19" t="n">
        <f aca="false">IF(N298="",0,MAX(N298-X298,0))</f>
        <v>0</v>
      </c>
      <c r="AB298" s="20" t="n">
        <f aca="false">X298+AA298</f>
        <v>10</v>
      </c>
      <c r="AC298" s="19" t="n">
        <f aca="false">AB298-T298</f>
        <v>10</v>
      </c>
      <c r="AD298" s="21" t="n">
        <f aca="false">SUMIFS(Permissions!$T$2:$T$3000,Permissions!$B$2:$B$3000,$A298,Permissions!$I$2:$I$3000,"Yes")</f>
        <v>0</v>
      </c>
      <c r="AE298" s="21" t="n">
        <f aca="false">SUMIFS(Permissions!$U$2:$U$3000,Permissions!$B$2:$B$3000,$A298,Permissions!$I$2:$I$3000,"Yes")</f>
        <v>0</v>
      </c>
      <c r="AF298" s="21" t="n">
        <f aca="false">SUMIFS(Permissions!$V$2:$V$3000,Permissions!$B$2:$B$3000,$A298,Permissions!$I$2:$I$3000,"Yes")</f>
        <v>8.4</v>
      </c>
      <c r="AG298" s="21" t="n">
        <f aca="false">SUMIFS(Permissions!$W$2:$W$3000,Permissions!$B$2:$B$3000,$A298,Permissions!$I$2:$I$3000,"Yes")</f>
        <v>1.6</v>
      </c>
      <c r="AH298" s="21" t="n">
        <f aca="false">SUMIFS(Permissions!$X$2:$X$3000,Permissions!$B$2:$B$3000,$A298,Permissions!$I$2:$I$3000,"Yes")</f>
        <v>0</v>
      </c>
      <c r="AI298" s="21" t="n">
        <f aca="false">SUMIFS(Permissions!$Y$2:$Y$3000,Permissions!$B$2:$B$3000,$A298,Permissions!$I$2:$I$3000,"Yes")</f>
        <v>0</v>
      </c>
      <c r="AJ298" s="19" t="n">
        <f aca="false">COUNTIFS(Permissions!$B$2:$B$3000,$A298,Permissions!$I$2:$I$3000,"Yes")</f>
        <v>1</v>
      </c>
      <c r="AK298" s="22" t="str">
        <f aca="false">IF(AND(N298&lt;&gt;"",X298&gt;1.1*N298),"Consented above capacity",IF(AND(LEFT(B298,8)="Planning",AJ298=0),"Consent parcel with no permission",IF(COUNTIF($A$2:$A$3000,$A298)&gt;1,"Duplicate parcel_id","")))</f>
        <v/>
      </c>
    </row>
    <row r="299" customFormat="false" ht="15" hidden="false" customHeight="false" outlineLevel="0" collapsed="false">
      <c r="A299" s="18" t="s">
        <v>613</v>
      </c>
      <c r="B299" s="18" t="s">
        <v>12</v>
      </c>
      <c r="C299" s="18" t="s">
        <v>16</v>
      </c>
      <c r="D299" s="18"/>
      <c r="E299" s="18" t="s">
        <v>492</v>
      </c>
      <c r="F299" s="18" t="s">
        <v>502</v>
      </c>
      <c r="G299" s="18" t="s">
        <v>614</v>
      </c>
      <c r="H299" s="18"/>
      <c r="I299" s="18"/>
      <c r="J299" s="18"/>
      <c r="K299" s="18"/>
      <c r="L299" s="18" t="n">
        <v>0.123</v>
      </c>
      <c r="M299" s="18" t="n">
        <v>0.123</v>
      </c>
      <c r="N299" s="18"/>
      <c r="O299" s="18" t="s">
        <v>283</v>
      </c>
      <c r="P299" s="18"/>
      <c r="Q299" s="18"/>
      <c r="R299" s="18" t="s">
        <v>98</v>
      </c>
      <c r="S299" s="18"/>
      <c r="T299" s="19" t="n">
        <f aca="false">SUMIFS(Permissions!$F$2:$F$3000,Permissions!$B$2:$B$3000,$A299,Permissions!$H$2:$H$3000,"Complete",Permissions!$I$2:$I$3000,"Yes")</f>
        <v>0</v>
      </c>
      <c r="U299" s="19" t="n">
        <f aca="false">SUMIFS(Permissions!$F$2:$F$3000,Permissions!$B$2:$B$3000,$A299,Permissions!$H$2:$H$3000,"Under construction",Permissions!$I$2:$I$3000,"Yes")</f>
        <v>0</v>
      </c>
      <c r="V299" s="19" t="n">
        <f aca="false">SUMIFS(Permissions!$F$2:$F$3000,Permissions!$B$2:$B$3000,$A299,Permissions!$H$2:$H$3000,"Permitted – not started",Permissions!$I$2:$I$3000,"Yes")</f>
        <v>7</v>
      </c>
      <c r="W299" s="19" t="n">
        <f aca="false">SUMIFS(Permissions!$F$2:$F$3000,Permissions!$B$2:$B$3000,$A299,Permissions!$H$2:$H$3000,"Stalled",Permissions!$I$2:$I$3000,"Yes")</f>
        <v>0</v>
      </c>
      <c r="X299" s="19" t="n">
        <f aca="false">T299+U299+V299+W299</f>
        <v>7</v>
      </c>
      <c r="Y299" s="19" t="n">
        <f aca="false">SUMIFS(Permissions!$F$2:$F$3000,Permissions!$B$2:$B$3000,$A299,Permissions!$H$2:$H$3000,"Expired – not started",Permissions!$I$2:$I$3000,"Yes")</f>
        <v>0</v>
      </c>
      <c r="Z299" s="19" t="n">
        <f aca="false">SUMIFS(Permissions!$F$2:$F$3000,Permissions!$B$2:$B$3000,$A299,Permissions!$H$2:$H$3000,"In planning",Permissions!$I$2:$I$3000,"Yes")</f>
        <v>0</v>
      </c>
      <c r="AA299" s="19" t="n">
        <f aca="false">IF(N299="",0,MAX(N299-X299,0))</f>
        <v>0</v>
      </c>
      <c r="AB299" s="20" t="n">
        <f aca="false">X299+AA299</f>
        <v>7</v>
      </c>
      <c r="AC299" s="19" t="n">
        <f aca="false">AB299-T299</f>
        <v>7</v>
      </c>
      <c r="AD299" s="21" t="n">
        <f aca="false">SUMIFS(Permissions!$T$2:$T$3000,Permissions!$B$2:$B$3000,$A299,Permissions!$I$2:$I$3000,"Yes")</f>
        <v>0</v>
      </c>
      <c r="AE299" s="21" t="n">
        <f aca="false">SUMIFS(Permissions!$U$2:$U$3000,Permissions!$B$2:$B$3000,$A299,Permissions!$I$2:$I$3000,"Yes")</f>
        <v>0</v>
      </c>
      <c r="AF299" s="21" t="n">
        <f aca="false">SUMIFS(Permissions!$V$2:$V$3000,Permissions!$B$2:$B$3000,$A299,Permissions!$I$2:$I$3000,"Yes")</f>
        <v>6.1</v>
      </c>
      <c r="AG299" s="21" t="n">
        <f aca="false">SUMIFS(Permissions!$W$2:$W$3000,Permissions!$B$2:$B$3000,$A299,Permissions!$I$2:$I$3000,"Yes")</f>
        <v>0.9</v>
      </c>
      <c r="AH299" s="21" t="n">
        <f aca="false">SUMIFS(Permissions!$X$2:$X$3000,Permissions!$B$2:$B$3000,$A299,Permissions!$I$2:$I$3000,"Yes")</f>
        <v>0</v>
      </c>
      <c r="AI299" s="21" t="n">
        <f aca="false">SUMIFS(Permissions!$Y$2:$Y$3000,Permissions!$B$2:$B$3000,$A299,Permissions!$I$2:$I$3000,"Yes")</f>
        <v>0</v>
      </c>
      <c r="AJ299" s="19" t="n">
        <f aca="false">COUNTIFS(Permissions!$B$2:$B$3000,$A299,Permissions!$I$2:$I$3000,"Yes")</f>
        <v>1</v>
      </c>
      <c r="AK299" s="22" t="str">
        <f aca="false">IF(AND(N299&lt;&gt;"",X299&gt;1.1*N299),"Consented above capacity",IF(AND(LEFT(B299,8)="Planning",AJ299=0),"Consent parcel with no permission",IF(COUNTIF($A$2:$A$3000,$A299)&gt;1,"Duplicate parcel_id","")))</f>
        <v/>
      </c>
    </row>
    <row r="300" customFormat="false" ht="15" hidden="false" customHeight="false" outlineLevel="0" collapsed="false">
      <c r="A300" s="18" t="s">
        <v>615</v>
      </c>
      <c r="B300" s="18" t="s">
        <v>12</v>
      </c>
      <c r="C300" s="18" t="s">
        <v>16</v>
      </c>
      <c r="D300" s="18"/>
      <c r="E300" s="18" t="s">
        <v>492</v>
      </c>
      <c r="F300" s="18" t="s">
        <v>517</v>
      </c>
      <c r="G300" s="18" t="s">
        <v>616</v>
      </c>
      <c r="H300" s="18"/>
      <c r="I300" s="18"/>
      <c r="J300" s="18"/>
      <c r="K300" s="18"/>
      <c r="L300" s="18" t="n">
        <v>0.764</v>
      </c>
      <c r="M300" s="18" t="n">
        <v>0.764</v>
      </c>
      <c r="N300" s="18"/>
      <c r="O300" s="18" t="s">
        <v>283</v>
      </c>
      <c r="P300" s="18"/>
      <c r="Q300" s="18"/>
      <c r="R300" s="18" t="s">
        <v>98</v>
      </c>
      <c r="S300" s="18"/>
      <c r="T300" s="19" t="n">
        <f aca="false">SUMIFS(Permissions!$F$2:$F$3000,Permissions!$B$2:$B$3000,$A300,Permissions!$H$2:$H$3000,"Complete",Permissions!$I$2:$I$3000,"Yes")</f>
        <v>0</v>
      </c>
      <c r="U300" s="19" t="n">
        <f aca="false">SUMIFS(Permissions!$F$2:$F$3000,Permissions!$B$2:$B$3000,$A300,Permissions!$H$2:$H$3000,"Under construction",Permissions!$I$2:$I$3000,"Yes")</f>
        <v>0</v>
      </c>
      <c r="V300" s="19" t="n">
        <f aca="false">SUMIFS(Permissions!$F$2:$F$3000,Permissions!$B$2:$B$3000,$A300,Permissions!$H$2:$H$3000,"Permitted – not started",Permissions!$I$2:$I$3000,"Yes")</f>
        <v>3</v>
      </c>
      <c r="W300" s="19" t="n">
        <f aca="false">SUMIFS(Permissions!$F$2:$F$3000,Permissions!$B$2:$B$3000,$A300,Permissions!$H$2:$H$3000,"Stalled",Permissions!$I$2:$I$3000,"Yes")</f>
        <v>0</v>
      </c>
      <c r="X300" s="19" t="n">
        <f aca="false">T300+U300+V300+W300</f>
        <v>3</v>
      </c>
      <c r="Y300" s="19" t="n">
        <f aca="false">SUMIFS(Permissions!$F$2:$F$3000,Permissions!$B$2:$B$3000,$A300,Permissions!$H$2:$H$3000,"Expired – not started",Permissions!$I$2:$I$3000,"Yes")</f>
        <v>0</v>
      </c>
      <c r="Z300" s="19" t="n">
        <f aca="false">SUMIFS(Permissions!$F$2:$F$3000,Permissions!$B$2:$B$3000,$A300,Permissions!$H$2:$H$3000,"In planning",Permissions!$I$2:$I$3000,"Yes")</f>
        <v>0</v>
      </c>
      <c r="AA300" s="19" t="n">
        <f aca="false">IF(N300="",0,MAX(N300-X300,0))</f>
        <v>0</v>
      </c>
      <c r="AB300" s="20" t="n">
        <f aca="false">X300+AA300</f>
        <v>3</v>
      </c>
      <c r="AC300" s="19" t="n">
        <f aca="false">AB300-T300</f>
        <v>3</v>
      </c>
      <c r="AD300" s="21" t="n">
        <f aca="false">SUMIFS(Permissions!$T$2:$T$3000,Permissions!$B$2:$B$3000,$A300,Permissions!$I$2:$I$3000,"Yes")</f>
        <v>0</v>
      </c>
      <c r="AE300" s="21" t="n">
        <f aca="false">SUMIFS(Permissions!$U$2:$U$3000,Permissions!$B$2:$B$3000,$A300,Permissions!$I$2:$I$3000,"Yes")</f>
        <v>0</v>
      </c>
      <c r="AF300" s="21" t="n">
        <f aca="false">SUMIFS(Permissions!$V$2:$V$3000,Permissions!$B$2:$B$3000,$A300,Permissions!$I$2:$I$3000,"Yes")</f>
        <v>1.9</v>
      </c>
      <c r="AG300" s="21" t="n">
        <f aca="false">SUMIFS(Permissions!$W$2:$W$3000,Permissions!$B$2:$B$3000,$A300,Permissions!$I$2:$I$3000,"Yes")</f>
        <v>1.1</v>
      </c>
      <c r="AH300" s="21" t="n">
        <f aca="false">SUMIFS(Permissions!$X$2:$X$3000,Permissions!$B$2:$B$3000,$A300,Permissions!$I$2:$I$3000,"Yes")</f>
        <v>0</v>
      </c>
      <c r="AI300" s="21" t="n">
        <f aca="false">SUMIFS(Permissions!$Y$2:$Y$3000,Permissions!$B$2:$B$3000,$A300,Permissions!$I$2:$I$3000,"Yes")</f>
        <v>0</v>
      </c>
      <c r="AJ300" s="19" t="n">
        <f aca="false">COUNTIFS(Permissions!$B$2:$B$3000,$A300,Permissions!$I$2:$I$3000,"Yes")</f>
        <v>1</v>
      </c>
      <c r="AK300" s="22" t="str">
        <f aca="false">IF(AND(N300&lt;&gt;"",X300&gt;1.1*N300),"Consented above capacity",IF(AND(LEFT(B300,8)="Planning",AJ300=0),"Consent parcel with no permission",IF(COUNTIF($A$2:$A$3000,$A300)&gt;1,"Duplicate parcel_id","")))</f>
        <v/>
      </c>
    </row>
    <row r="301" customFormat="false" ht="15" hidden="false" customHeight="false" outlineLevel="0" collapsed="false">
      <c r="A301" s="18" t="s">
        <v>617</v>
      </c>
      <c r="B301" s="18" t="s">
        <v>12</v>
      </c>
      <c r="C301" s="18" t="s">
        <v>16</v>
      </c>
      <c r="D301" s="18"/>
      <c r="E301" s="18" t="s">
        <v>492</v>
      </c>
      <c r="F301" s="18" t="s">
        <v>517</v>
      </c>
      <c r="G301" s="18" t="s">
        <v>618</v>
      </c>
      <c r="H301" s="18"/>
      <c r="I301" s="18"/>
      <c r="J301" s="18"/>
      <c r="K301" s="18"/>
      <c r="L301" s="18" t="n">
        <v>1.491</v>
      </c>
      <c r="M301" s="18" t="n">
        <v>1.491</v>
      </c>
      <c r="N301" s="18"/>
      <c r="O301" s="18" t="s">
        <v>283</v>
      </c>
      <c r="P301" s="18"/>
      <c r="Q301" s="18"/>
      <c r="R301" s="18" t="s">
        <v>98</v>
      </c>
      <c r="S301" s="18"/>
      <c r="T301" s="19" t="n">
        <f aca="false">SUMIFS(Permissions!$F$2:$F$3000,Permissions!$B$2:$B$3000,$A301,Permissions!$H$2:$H$3000,"Complete",Permissions!$I$2:$I$3000,"Yes")</f>
        <v>0</v>
      </c>
      <c r="U301" s="19" t="n">
        <f aca="false">SUMIFS(Permissions!$F$2:$F$3000,Permissions!$B$2:$B$3000,$A301,Permissions!$H$2:$H$3000,"Under construction",Permissions!$I$2:$I$3000,"Yes")</f>
        <v>0</v>
      </c>
      <c r="V301" s="19" t="n">
        <f aca="false">SUMIFS(Permissions!$F$2:$F$3000,Permissions!$B$2:$B$3000,$A301,Permissions!$H$2:$H$3000,"Permitted – not started",Permissions!$I$2:$I$3000,"Yes")</f>
        <v>25</v>
      </c>
      <c r="W301" s="19" t="n">
        <f aca="false">SUMIFS(Permissions!$F$2:$F$3000,Permissions!$B$2:$B$3000,$A301,Permissions!$H$2:$H$3000,"Stalled",Permissions!$I$2:$I$3000,"Yes")</f>
        <v>0</v>
      </c>
      <c r="X301" s="19" t="n">
        <f aca="false">T301+U301+V301+W301</f>
        <v>25</v>
      </c>
      <c r="Y301" s="19" t="n">
        <f aca="false">SUMIFS(Permissions!$F$2:$F$3000,Permissions!$B$2:$B$3000,$A301,Permissions!$H$2:$H$3000,"Expired – not started",Permissions!$I$2:$I$3000,"Yes")</f>
        <v>0</v>
      </c>
      <c r="Z301" s="19" t="n">
        <f aca="false">SUMIFS(Permissions!$F$2:$F$3000,Permissions!$B$2:$B$3000,$A301,Permissions!$H$2:$H$3000,"In planning",Permissions!$I$2:$I$3000,"Yes")</f>
        <v>0</v>
      </c>
      <c r="AA301" s="19" t="n">
        <f aca="false">IF(N301="",0,MAX(N301-X301,0))</f>
        <v>0</v>
      </c>
      <c r="AB301" s="20" t="n">
        <f aca="false">X301+AA301</f>
        <v>25</v>
      </c>
      <c r="AC301" s="19" t="n">
        <f aca="false">AB301-T301</f>
        <v>25</v>
      </c>
      <c r="AD301" s="21" t="n">
        <f aca="false">SUMIFS(Permissions!$T$2:$T$3000,Permissions!$B$2:$B$3000,$A301,Permissions!$I$2:$I$3000,"Yes")</f>
        <v>0</v>
      </c>
      <c r="AE301" s="21" t="n">
        <f aca="false">SUMIFS(Permissions!$U$2:$U$3000,Permissions!$B$2:$B$3000,$A301,Permissions!$I$2:$I$3000,"Yes")</f>
        <v>0</v>
      </c>
      <c r="AF301" s="21" t="n">
        <f aca="false">SUMIFS(Permissions!$V$2:$V$3000,Permissions!$B$2:$B$3000,$A301,Permissions!$I$2:$I$3000,"Yes")</f>
        <v>19</v>
      </c>
      <c r="AG301" s="21" t="n">
        <f aca="false">SUMIFS(Permissions!$W$2:$W$3000,Permissions!$B$2:$B$3000,$A301,Permissions!$I$2:$I$3000,"Yes")</f>
        <v>6</v>
      </c>
      <c r="AH301" s="21" t="n">
        <f aca="false">SUMIFS(Permissions!$X$2:$X$3000,Permissions!$B$2:$B$3000,$A301,Permissions!$I$2:$I$3000,"Yes")</f>
        <v>0</v>
      </c>
      <c r="AI301" s="21" t="n">
        <f aca="false">SUMIFS(Permissions!$Y$2:$Y$3000,Permissions!$B$2:$B$3000,$A301,Permissions!$I$2:$I$3000,"Yes")</f>
        <v>0</v>
      </c>
      <c r="AJ301" s="19" t="n">
        <f aca="false">COUNTIFS(Permissions!$B$2:$B$3000,$A301,Permissions!$I$2:$I$3000,"Yes")</f>
        <v>1</v>
      </c>
      <c r="AK301" s="22" t="str">
        <f aca="false">IF(AND(N301&lt;&gt;"",X301&gt;1.1*N301),"Consented above capacity",IF(AND(LEFT(B301,8)="Planning",AJ301=0),"Consent parcel with no permission",IF(COUNTIF($A$2:$A$3000,$A301)&gt;1,"Duplicate parcel_id","")))</f>
        <v/>
      </c>
    </row>
    <row r="302" customFormat="false" ht="15" hidden="false" customHeight="false" outlineLevel="0" collapsed="false">
      <c r="A302" s="18" t="s">
        <v>619</v>
      </c>
      <c r="B302" s="18" t="s">
        <v>12</v>
      </c>
      <c r="C302" s="18" t="s">
        <v>16</v>
      </c>
      <c r="D302" s="18"/>
      <c r="E302" s="18" t="s">
        <v>492</v>
      </c>
      <c r="F302" s="18" t="s">
        <v>502</v>
      </c>
      <c r="G302" s="18" t="s">
        <v>620</v>
      </c>
      <c r="H302" s="18"/>
      <c r="I302" s="18"/>
      <c r="J302" s="18"/>
      <c r="K302" s="18"/>
      <c r="L302" s="18" t="n">
        <v>0.403</v>
      </c>
      <c r="M302" s="18" t="n">
        <v>0.403</v>
      </c>
      <c r="N302" s="18"/>
      <c r="O302" s="18" t="s">
        <v>283</v>
      </c>
      <c r="P302" s="18"/>
      <c r="Q302" s="18"/>
      <c r="R302" s="18" t="s">
        <v>98</v>
      </c>
      <c r="S302" s="18"/>
      <c r="T302" s="19" t="n">
        <f aca="false">SUMIFS(Permissions!$F$2:$F$3000,Permissions!$B$2:$B$3000,$A302,Permissions!$H$2:$H$3000,"Complete",Permissions!$I$2:$I$3000,"Yes")</f>
        <v>0</v>
      </c>
      <c r="U302" s="19" t="n">
        <f aca="false">SUMIFS(Permissions!$F$2:$F$3000,Permissions!$B$2:$B$3000,$A302,Permissions!$H$2:$H$3000,"Under construction",Permissions!$I$2:$I$3000,"Yes")</f>
        <v>18</v>
      </c>
      <c r="V302" s="19" t="n">
        <f aca="false">SUMIFS(Permissions!$F$2:$F$3000,Permissions!$B$2:$B$3000,$A302,Permissions!$H$2:$H$3000,"Permitted – not started",Permissions!$I$2:$I$3000,"Yes")</f>
        <v>0</v>
      </c>
      <c r="W302" s="19" t="n">
        <f aca="false">SUMIFS(Permissions!$F$2:$F$3000,Permissions!$B$2:$B$3000,$A302,Permissions!$H$2:$H$3000,"Stalled",Permissions!$I$2:$I$3000,"Yes")</f>
        <v>0</v>
      </c>
      <c r="X302" s="19" t="n">
        <f aca="false">T302+U302+V302+W302</f>
        <v>18</v>
      </c>
      <c r="Y302" s="19" t="n">
        <f aca="false">SUMIFS(Permissions!$F$2:$F$3000,Permissions!$B$2:$B$3000,$A302,Permissions!$H$2:$H$3000,"Expired – not started",Permissions!$I$2:$I$3000,"Yes")</f>
        <v>0</v>
      </c>
      <c r="Z302" s="19" t="n">
        <f aca="false">SUMIFS(Permissions!$F$2:$F$3000,Permissions!$B$2:$B$3000,$A302,Permissions!$H$2:$H$3000,"In planning",Permissions!$I$2:$I$3000,"Yes")</f>
        <v>0</v>
      </c>
      <c r="AA302" s="19" t="n">
        <f aca="false">IF(N302="",0,MAX(N302-X302,0))</f>
        <v>0</v>
      </c>
      <c r="AB302" s="20" t="n">
        <f aca="false">X302+AA302</f>
        <v>18</v>
      </c>
      <c r="AC302" s="19" t="n">
        <f aca="false">AB302-T302</f>
        <v>18</v>
      </c>
      <c r="AD302" s="21" t="n">
        <f aca="false">SUMIFS(Permissions!$T$2:$T$3000,Permissions!$B$2:$B$3000,$A302,Permissions!$I$2:$I$3000,"Yes")</f>
        <v>3.6</v>
      </c>
      <c r="AE302" s="21" t="n">
        <f aca="false">SUMIFS(Permissions!$U$2:$U$3000,Permissions!$B$2:$B$3000,$A302,Permissions!$I$2:$I$3000,"Yes")</f>
        <v>14.4</v>
      </c>
      <c r="AF302" s="21" t="n">
        <f aca="false">SUMIFS(Permissions!$V$2:$V$3000,Permissions!$B$2:$B$3000,$A302,Permissions!$I$2:$I$3000,"Yes")</f>
        <v>0</v>
      </c>
      <c r="AG302" s="21" t="n">
        <f aca="false">SUMIFS(Permissions!$W$2:$W$3000,Permissions!$B$2:$B$3000,$A302,Permissions!$I$2:$I$3000,"Yes")</f>
        <v>0</v>
      </c>
      <c r="AH302" s="21" t="n">
        <f aca="false">SUMIFS(Permissions!$X$2:$X$3000,Permissions!$B$2:$B$3000,$A302,Permissions!$I$2:$I$3000,"Yes")</f>
        <v>0</v>
      </c>
      <c r="AI302" s="21" t="n">
        <f aca="false">SUMIFS(Permissions!$Y$2:$Y$3000,Permissions!$B$2:$B$3000,$A302,Permissions!$I$2:$I$3000,"Yes")</f>
        <v>0</v>
      </c>
      <c r="AJ302" s="19" t="n">
        <f aca="false">COUNTIFS(Permissions!$B$2:$B$3000,$A302,Permissions!$I$2:$I$3000,"Yes")</f>
        <v>1</v>
      </c>
      <c r="AK302" s="22" t="str">
        <f aca="false">IF(AND(N302&lt;&gt;"",X302&gt;1.1*N302),"Consented above capacity",IF(AND(LEFT(B302,8)="Planning",AJ302=0),"Consent parcel with no permission",IF(COUNTIF($A$2:$A$3000,$A302)&gt;1,"Duplicate parcel_id","")))</f>
        <v/>
      </c>
    </row>
    <row r="303" customFormat="false" ht="15" hidden="false" customHeight="false" outlineLevel="0" collapsed="false">
      <c r="A303" s="18" t="s">
        <v>621</v>
      </c>
      <c r="B303" s="18" t="s">
        <v>12</v>
      </c>
      <c r="C303" s="18" t="s">
        <v>16</v>
      </c>
      <c r="D303" s="18"/>
      <c r="E303" s="18" t="s">
        <v>492</v>
      </c>
      <c r="F303" s="18" t="s">
        <v>493</v>
      </c>
      <c r="G303" s="18" t="s">
        <v>622</v>
      </c>
      <c r="H303" s="18"/>
      <c r="I303" s="18"/>
      <c r="J303" s="18"/>
      <c r="K303" s="18"/>
      <c r="L303" s="18" t="n">
        <v>1.7</v>
      </c>
      <c r="M303" s="18" t="n">
        <v>1.7</v>
      </c>
      <c r="N303" s="18"/>
      <c r="O303" s="18" t="s">
        <v>283</v>
      </c>
      <c r="P303" s="18"/>
      <c r="Q303" s="18"/>
      <c r="R303" s="18" t="s">
        <v>98</v>
      </c>
      <c r="S303" s="18"/>
      <c r="T303" s="19" t="n">
        <f aca="false">SUMIFS(Permissions!$F$2:$F$3000,Permissions!$B$2:$B$3000,$A303,Permissions!$H$2:$H$3000,"Complete",Permissions!$I$2:$I$3000,"Yes")</f>
        <v>0</v>
      </c>
      <c r="U303" s="19" t="n">
        <f aca="false">SUMIFS(Permissions!$F$2:$F$3000,Permissions!$B$2:$B$3000,$A303,Permissions!$H$2:$H$3000,"Under construction",Permissions!$I$2:$I$3000,"Yes")</f>
        <v>42</v>
      </c>
      <c r="V303" s="19" t="n">
        <f aca="false">SUMIFS(Permissions!$F$2:$F$3000,Permissions!$B$2:$B$3000,$A303,Permissions!$H$2:$H$3000,"Permitted – not started",Permissions!$I$2:$I$3000,"Yes")</f>
        <v>0</v>
      </c>
      <c r="W303" s="19" t="n">
        <f aca="false">SUMIFS(Permissions!$F$2:$F$3000,Permissions!$B$2:$B$3000,$A303,Permissions!$H$2:$H$3000,"Stalled",Permissions!$I$2:$I$3000,"Yes")</f>
        <v>0</v>
      </c>
      <c r="X303" s="19" t="n">
        <f aca="false">T303+U303+V303+W303</f>
        <v>42</v>
      </c>
      <c r="Y303" s="19" t="n">
        <f aca="false">SUMIFS(Permissions!$F$2:$F$3000,Permissions!$B$2:$B$3000,$A303,Permissions!$H$2:$H$3000,"Expired – not started",Permissions!$I$2:$I$3000,"Yes")</f>
        <v>0</v>
      </c>
      <c r="Z303" s="19" t="n">
        <f aca="false">SUMIFS(Permissions!$F$2:$F$3000,Permissions!$B$2:$B$3000,$A303,Permissions!$H$2:$H$3000,"In planning",Permissions!$I$2:$I$3000,"Yes")</f>
        <v>0</v>
      </c>
      <c r="AA303" s="19" t="n">
        <f aca="false">IF(N303="",0,MAX(N303-X303,0))</f>
        <v>0</v>
      </c>
      <c r="AB303" s="20" t="n">
        <f aca="false">X303+AA303</f>
        <v>42</v>
      </c>
      <c r="AC303" s="19" t="n">
        <f aca="false">AB303-T303</f>
        <v>42</v>
      </c>
      <c r="AD303" s="21" t="n">
        <f aca="false">SUMIFS(Permissions!$T$2:$T$3000,Permissions!$B$2:$B$3000,$A303,Permissions!$I$2:$I$3000,"Yes")</f>
        <v>0</v>
      </c>
      <c r="AE303" s="21" t="n">
        <f aca="false">SUMIFS(Permissions!$U$2:$U$3000,Permissions!$B$2:$B$3000,$A303,Permissions!$I$2:$I$3000,"Yes")</f>
        <v>32</v>
      </c>
      <c r="AF303" s="21" t="n">
        <f aca="false">SUMIFS(Permissions!$V$2:$V$3000,Permissions!$B$2:$B$3000,$A303,Permissions!$I$2:$I$3000,"Yes")</f>
        <v>10</v>
      </c>
      <c r="AG303" s="21" t="n">
        <f aca="false">SUMIFS(Permissions!$W$2:$W$3000,Permissions!$B$2:$B$3000,$A303,Permissions!$I$2:$I$3000,"Yes")</f>
        <v>0</v>
      </c>
      <c r="AH303" s="21" t="n">
        <f aca="false">SUMIFS(Permissions!$X$2:$X$3000,Permissions!$B$2:$B$3000,$A303,Permissions!$I$2:$I$3000,"Yes")</f>
        <v>0</v>
      </c>
      <c r="AI303" s="21" t="n">
        <f aca="false">SUMIFS(Permissions!$Y$2:$Y$3000,Permissions!$B$2:$B$3000,$A303,Permissions!$I$2:$I$3000,"Yes")</f>
        <v>0</v>
      </c>
      <c r="AJ303" s="19" t="n">
        <f aca="false">COUNTIFS(Permissions!$B$2:$B$3000,$A303,Permissions!$I$2:$I$3000,"Yes")</f>
        <v>1</v>
      </c>
      <c r="AK303" s="22" t="str">
        <f aca="false">IF(AND(N303&lt;&gt;"",X303&gt;1.1*N303),"Consented above capacity",IF(AND(LEFT(B303,8)="Planning",AJ303=0),"Consent parcel with no permission",IF(COUNTIF($A$2:$A$3000,$A303)&gt;1,"Duplicate parcel_id","")))</f>
        <v/>
      </c>
    </row>
    <row r="304" customFormat="false" ht="15" hidden="false" customHeight="false" outlineLevel="0" collapsed="false">
      <c r="A304" s="18" t="s">
        <v>623</v>
      </c>
      <c r="B304" s="18" t="s">
        <v>12</v>
      </c>
      <c r="C304" s="18" t="s">
        <v>16</v>
      </c>
      <c r="D304" s="18"/>
      <c r="E304" s="18" t="s">
        <v>492</v>
      </c>
      <c r="F304" s="18" t="s">
        <v>493</v>
      </c>
      <c r="G304" s="18" t="s">
        <v>624</v>
      </c>
      <c r="H304" s="18"/>
      <c r="I304" s="18"/>
      <c r="J304" s="18"/>
      <c r="K304" s="18"/>
      <c r="L304" s="18" t="n">
        <v>0.284</v>
      </c>
      <c r="M304" s="18" t="n">
        <v>0.284</v>
      </c>
      <c r="N304" s="18"/>
      <c r="O304" s="18" t="s">
        <v>283</v>
      </c>
      <c r="P304" s="18"/>
      <c r="Q304" s="18"/>
      <c r="R304" s="18" t="s">
        <v>98</v>
      </c>
      <c r="S304" s="18"/>
      <c r="T304" s="19" t="n">
        <f aca="false">SUMIFS(Permissions!$F$2:$F$3000,Permissions!$B$2:$B$3000,$A304,Permissions!$H$2:$H$3000,"Complete",Permissions!$I$2:$I$3000,"Yes")</f>
        <v>0</v>
      </c>
      <c r="U304" s="19" t="n">
        <f aca="false">SUMIFS(Permissions!$F$2:$F$3000,Permissions!$B$2:$B$3000,$A304,Permissions!$H$2:$H$3000,"Under construction",Permissions!$I$2:$I$3000,"Yes")</f>
        <v>0</v>
      </c>
      <c r="V304" s="19" t="n">
        <f aca="false">SUMIFS(Permissions!$F$2:$F$3000,Permissions!$B$2:$B$3000,$A304,Permissions!$H$2:$H$3000,"Permitted – not started",Permissions!$I$2:$I$3000,"Yes")</f>
        <v>7</v>
      </c>
      <c r="W304" s="19" t="n">
        <f aca="false">SUMIFS(Permissions!$F$2:$F$3000,Permissions!$B$2:$B$3000,$A304,Permissions!$H$2:$H$3000,"Stalled",Permissions!$I$2:$I$3000,"Yes")</f>
        <v>0</v>
      </c>
      <c r="X304" s="19" t="n">
        <f aca="false">T304+U304+V304+W304</f>
        <v>7</v>
      </c>
      <c r="Y304" s="19" t="n">
        <f aca="false">SUMIFS(Permissions!$F$2:$F$3000,Permissions!$B$2:$B$3000,$A304,Permissions!$H$2:$H$3000,"Expired – not started",Permissions!$I$2:$I$3000,"Yes")</f>
        <v>0</v>
      </c>
      <c r="Z304" s="19" t="n">
        <f aca="false">SUMIFS(Permissions!$F$2:$F$3000,Permissions!$B$2:$B$3000,$A304,Permissions!$H$2:$H$3000,"In planning",Permissions!$I$2:$I$3000,"Yes")</f>
        <v>0</v>
      </c>
      <c r="AA304" s="19" t="n">
        <f aca="false">IF(N304="",0,MAX(N304-X304,0))</f>
        <v>0</v>
      </c>
      <c r="AB304" s="20" t="n">
        <f aca="false">X304+AA304</f>
        <v>7</v>
      </c>
      <c r="AC304" s="19" t="n">
        <f aca="false">AB304-T304</f>
        <v>7</v>
      </c>
      <c r="AD304" s="21" t="n">
        <f aca="false">SUMIFS(Permissions!$T$2:$T$3000,Permissions!$B$2:$B$3000,$A304,Permissions!$I$2:$I$3000,"Yes")</f>
        <v>0</v>
      </c>
      <c r="AE304" s="21" t="n">
        <f aca="false">SUMIFS(Permissions!$U$2:$U$3000,Permissions!$B$2:$B$3000,$A304,Permissions!$I$2:$I$3000,"Yes")</f>
        <v>0</v>
      </c>
      <c r="AF304" s="21" t="n">
        <f aca="false">SUMIFS(Permissions!$V$2:$V$3000,Permissions!$B$2:$B$3000,$A304,Permissions!$I$2:$I$3000,"Yes")</f>
        <v>4.4</v>
      </c>
      <c r="AG304" s="21" t="n">
        <f aca="false">SUMIFS(Permissions!$W$2:$W$3000,Permissions!$B$2:$B$3000,$A304,Permissions!$I$2:$I$3000,"Yes")</f>
        <v>2.6</v>
      </c>
      <c r="AH304" s="21" t="n">
        <f aca="false">SUMIFS(Permissions!$X$2:$X$3000,Permissions!$B$2:$B$3000,$A304,Permissions!$I$2:$I$3000,"Yes")</f>
        <v>0</v>
      </c>
      <c r="AI304" s="21" t="n">
        <f aca="false">SUMIFS(Permissions!$Y$2:$Y$3000,Permissions!$B$2:$B$3000,$A304,Permissions!$I$2:$I$3000,"Yes")</f>
        <v>0</v>
      </c>
      <c r="AJ304" s="19" t="n">
        <f aca="false">COUNTIFS(Permissions!$B$2:$B$3000,$A304,Permissions!$I$2:$I$3000,"Yes")</f>
        <v>1</v>
      </c>
      <c r="AK304" s="22" t="str">
        <f aca="false">IF(AND(N304&lt;&gt;"",X304&gt;1.1*N304),"Consented above capacity",IF(AND(LEFT(B304,8)="Planning",AJ304=0),"Consent parcel with no permission",IF(COUNTIF($A$2:$A$3000,$A304)&gt;1,"Duplicate parcel_id","")))</f>
        <v/>
      </c>
    </row>
    <row r="305" customFormat="false" ht="15" hidden="false" customHeight="false" outlineLevel="0" collapsed="false">
      <c r="A305" s="18" t="s">
        <v>625</v>
      </c>
      <c r="B305" s="18" t="s">
        <v>12</v>
      </c>
      <c r="C305" s="18" t="s">
        <v>16</v>
      </c>
      <c r="D305" s="18"/>
      <c r="E305" s="18" t="s">
        <v>492</v>
      </c>
      <c r="F305" s="18" t="s">
        <v>493</v>
      </c>
      <c r="G305" s="18" t="s">
        <v>626</v>
      </c>
      <c r="H305" s="18"/>
      <c r="I305" s="18"/>
      <c r="J305" s="18"/>
      <c r="K305" s="18"/>
      <c r="L305" s="18" t="n">
        <v>2.666</v>
      </c>
      <c r="M305" s="18" t="n">
        <v>2.666</v>
      </c>
      <c r="N305" s="18"/>
      <c r="O305" s="18" t="s">
        <v>283</v>
      </c>
      <c r="P305" s="18"/>
      <c r="Q305" s="18"/>
      <c r="R305" s="18" t="s">
        <v>98</v>
      </c>
      <c r="S305" s="18"/>
      <c r="T305" s="19" t="n">
        <f aca="false">SUMIFS(Permissions!$F$2:$F$3000,Permissions!$B$2:$B$3000,$A305,Permissions!$H$2:$H$3000,"Complete",Permissions!$I$2:$I$3000,"Yes")</f>
        <v>0</v>
      </c>
      <c r="U305" s="19" t="n">
        <f aca="false">SUMIFS(Permissions!$F$2:$F$3000,Permissions!$B$2:$B$3000,$A305,Permissions!$H$2:$H$3000,"Under construction",Permissions!$I$2:$I$3000,"Yes")</f>
        <v>0</v>
      </c>
      <c r="V305" s="19" t="n">
        <f aca="false">SUMIFS(Permissions!$F$2:$F$3000,Permissions!$B$2:$B$3000,$A305,Permissions!$H$2:$H$3000,"Permitted – not started",Permissions!$I$2:$I$3000,"Yes")</f>
        <v>27</v>
      </c>
      <c r="W305" s="19" t="n">
        <f aca="false">SUMIFS(Permissions!$F$2:$F$3000,Permissions!$B$2:$B$3000,$A305,Permissions!$H$2:$H$3000,"Stalled",Permissions!$I$2:$I$3000,"Yes")</f>
        <v>0</v>
      </c>
      <c r="X305" s="19" t="n">
        <f aca="false">T305+U305+V305+W305</f>
        <v>27</v>
      </c>
      <c r="Y305" s="19" t="n">
        <f aca="false">SUMIFS(Permissions!$F$2:$F$3000,Permissions!$B$2:$B$3000,$A305,Permissions!$H$2:$H$3000,"Expired – not started",Permissions!$I$2:$I$3000,"Yes")</f>
        <v>0</v>
      </c>
      <c r="Z305" s="19" t="n">
        <f aca="false">SUMIFS(Permissions!$F$2:$F$3000,Permissions!$B$2:$B$3000,$A305,Permissions!$H$2:$H$3000,"In planning",Permissions!$I$2:$I$3000,"Yes")</f>
        <v>0</v>
      </c>
      <c r="AA305" s="19" t="n">
        <f aca="false">IF(N305="",0,MAX(N305-X305,0))</f>
        <v>0</v>
      </c>
      <c r="AB305" s="20" t="n">
        <f aca="false">X305+AA305</f>
        <v>27</v>
      </c>
      <c r="AC305" s="19" t="n">
        <f aca="false">AB305-T305</f>
        <v>27</v>
      </c>
      <c r="AD305" s="21" t="n">
        <f aca="false">SUMIFS(Permissions!$T$2:$T$3000,Permissions!$B$2:$B$3000,$A305,Permissions!$I$2:$I$3000,"Yes")</f>
        <v>0</v>
      </c>
      <c r="AE305" s="21" t="n">
        <f aca="false">SUMIFS(Permissions!$U$2:$U$3000,Permissions!$B$2:$B$3000,$A305,Permissions!$I$2:$I$3000,"Yes")</f>
        <v>0</v>
      </c>
      <c r="AF305" s="21" t="n">
        <f aca="false">SUMIFS(Permissions!$V$2:$V$3000,Permissions!$B$2:$B$3000,$A305,Permissions!$I$2:$I$3000,"Yes")</f>
        <v>11.4</v>
      </c>
      <c r="AG305" s="21" t="n">
        <f aca="false">SUMIFS(Permissions!$W$2:$W$3000,Permissions!$B$2:$B$3000,$A305,Permissions!$I$2:$I$3000,"Yes")</f>
        <v>15.6</v>
      </c>
      <c r="AH305" s="21" t="n">
        <f aca="false">SUMIFS(Permissions!$X$2:$X$3000,Permissions!$B$2:$B$3000,$A305,Permissions!$I$2:$I$3000,"Yes")</f>
        <v>0</v>
      </c>
      <c r="AI305" s="21" t="n">
        <f aca="false">SUMIFS(Permissions!$Y$2:$Y$3000,Permissions!$B$2:$B$3000,$A305,Permissions!$I$2:$I$3000,"Yes")</f>
        <v>0</v>
      </c>
      <c r="AJ305" s="19" t="n">
        <f aca="false">COUNTIFS(Permissions!$B$2:$B$3000,$A305,Permissions!$I$2:$I$3000,"Yes")</f>
        <v>1</v>
      </c>
      <c r="AK305" s="22" t="str">
        <f aca="false">IF(AND(N305&lt;&gt;"",X305&gt;1.1*N305),"Consented above capacity",IF(AND(LEFT(B305,8)="Planning",AJ305=0),"Consent parcel with no permission",IF(COUNTIF($A$2:$A$3000,$A305)&gt;1,"Duplicate parcel_id","")))</f>
        <v/>
      </c>
    </row>
    <row r="306" customFormat="false" ht="15" hidden="false" customHeight="false" outlineLevel="0" collapsed="false">
      <c r="A306" s="18" t="s">
        <v>627</v>
      </c>
      <c r="B306" s="18" t="s">
        <v>12</v>
      </c>
      <c r="C306" s="18" t="s">
        <v>16</v>
      </c>
      <c r="D306" s="18"/>
      <c r="E306" s="18" t="s">
        <v>492</v>
      </c>
      <c r="F306" s="18" t="s">
        <v>89</v>
      </c>
      <c r="G306" s="18" t="s">
        <v>628</v>
      </c>
      <c r="H306" s="18"/>
      <c r="I306" s="18"/>
      <c r="J306" s="18"/>
      <c r="K306" s="18"/>
      <c r="L306" s="18" t="n">
        <v>5.882</v>
      </c>
      <c r="M306" s="18" t="n">
        <v>5.882</v>
      </c>
      <c r="N306" s="18"/>
      <c r="O306" s="18" t="s">
        <v>283</v>
      </c>
      <c r="P306" s="18"/>
      <c r="Q306" s="18"/>
      <c r="R306" s="18" t="s">
        <v>98</v>
      </c>
      <c r="S306" s="18"/>
      <c r="T306" s="19" t="n">
        <f aca="false">SUMIFS(Permissions!$F$2:$F$3000,Permissions!$B$2:$B$3000,$A306,Permissions!$H$2:$H$3000,"Complete",Permissions!$I$2:$I$3000,"Yes")</f>
        <v>0</v>
      </c>
      <c r="U306" s="19" t="n">
        <f aca="false">SUMIFS(Permissions!$F$2:$F$3000,Permissions!$B$2:$B$3000,$A306,Permissions!$H$2:$H$3000,"Under construction",Permissions!$I$2:$I$3000,"Yes")</f>
        <v>0</v>
      </c>
      <c r="V306" s="19" t="n">
        <f aca="false">SUMIFS(Permissions!$F$2:$F$3000,Permissions!$B$2:$B$3000,$A306,Permissions!$H$2:$H$3000,"Permitted – not started",Permissions!$I$2:$I$3000,"Yes")</f>
        <v>63</v>
      </c>
      <c r="W306" s="19" t="n">
        <f aca="false">SUMIFS(Permissions!$F$2:$F$3000,Permissions!$B$2:$B$3000,$A306,Permissions!$H$2:$H$3000,"Stalled",Permissions!$I$2:$I$3000,"Yes")</f>
        <v>40</v>
      </c>
      <c r="X306" s="19" t="n">
        <f aca="false">T306+U306+V306+W306</f>
        <v>103</v>
      </c>
      <c r="Y306" s="19" t="n">
        <f aca="false">SUMIFS(Permissions!$F$2:$F$3000,Permissions!$B$2:$B$3000,$A306,Permissions!$H$2:$H$3000,"Expired – not started",Permissions!$I$2:$I$3000,"Yes")</f>
        <v>49</v>
      </c>
      <c r="Z306" s="19" t="n">
        <f aca="false">SUMIFS(Permissions!$F$2:$F$3000,Permissions!$B$2:$B$3000,$A306,Permissions!$H$2:$H$3000,"In planning",Permissions!$I$2:$I$3000,"Yes")</f>
        <v>0</v>
      </c>
      <c r="AA306" s="19" t="n">
        <f aca="false">IF(N306="",0,MAX(N306-X306,0))</f>
        <v>0</v>
      </c>
      <c r="AB306" s="20" t="n">
        <f aca="false">X306+AA306</f>
        <v>103</v>
      </c>
      <c r="AC306" s="19" t="n">
        <f aca="false">AB306-T306</f>
        <v>103</v>
      </c>
      <c r="AD306" s="21" t="n">
        <f aca="false">SUMIFS(Permissions!$T$2:$T$3000,Permissions!$B$2:$B$3000,$A306,Permissions!$I$2:$I$3000,"Yes")</f>
        <v>0</v>
      </c>
      <c r="AE306" s="21" t="n">
        <f aca="false">SUMIFS(Permissions!$U$2:$U$3000,Permissions!$B$2:$B$3000,$A306,Permissions!$I$2:$I$3000,"Yes")</f>
        <v>0</v>
      </c>
      <c r="AF306" s="21" t="n">
        <f aca="false">SUMIFS(Permissions!$V$2:$V$3000,Permissions!$B$2:$B$3000,$A306,Permissions!$I$2:$I$3000,"Yes")</f>
        <v>24.1</v>
      </c>
      <c r="AG306" s="21" t="n">
        <f aca="false">SUMIFS(Permissions!$W$2:$W$3000,Permissions!$B$2:$B$3000,$A306,Permissions!$I$2:$I$3000,"Yes")</f>
        <v>38.9</v>
      </c>
      <c r="AH306" s="21" t="n">
        <f aca="false">SUMIFS(Permissions!$X$2:$X$3000,Permissions!$B$2:$B$3000,$A306,Permissions!$I$2:$I$3000,"Yes")</f>
        <v>0</v>
      </c>
      <c r="AI306" s="21" t="n">
        <f aca="false">SUMIFS(Permissions!$Y$2:$Y$3000,Permissions!$B$2:$B$3000,$A306,Permissions!$I$2:$I$3000,"Yes")</f>
        <v>0</v>
      </c>
      <c r="AJ306" s="19" t="n">
        <f aca="false">COUNTIFS(Permissions!$B$2:$B$3000,$A306,Permissions!$I$2:$I$3000,"Yes")</f>
        <v>3</v>
      </c>
      <c r="AK306" s="22" t="str">
        <f aca="false">IF(AND(N306&lt;&gt;"",X306&gt;1.1*N306),"Consented above capacity",IF(AND(LEFT(B306,8)="Planning",AJ306=0),"Consent parcel with no permission",IF(COUNTIF($A$2:$A$3000,$A306)&gt;1,"Duplicate parcel_id","")))</f>
        <v/>
      </c>
    </row>
    <row r="307" customFormat="false" ht="15" hidden="false" customHeight="false" outlineLevel="0" collapsed="false">
      <c r="A307" s="18" t="s">
        <v>629</v>
      </c>
      <c r="B307" s="18" t="s">
        <v>12</v>
      </c>
      <c r="C307" s="18" t="s">
        <v>16</v>
      </c>
      <c r="D307" s="18"/>
      <c r="E307" s="18" t="s">
        <v>492</v>
      </c>
      <c r="F307" s="18" t="s">
        <v>493</v>
      </c>
      <c r="G307" s="18" t="s">
        <v>630</v>
      </c>
      <c r="H307" s="18"/>
      <c r="I307" s="18"/>
      <c r="J307" s="18"/>
      <c r="K307" s="18"/>
      <c r="L307" s="18" t="n">
        <v>0.25</v>
      </c>
      <c r="M307" s="18" t="n">
        <v>0.25</v>
      </c>
      <c r="N307" s="18"/>
      <c r="O307" s="18" t="s">
        <v>283</v>
      </c>
      <c r="P307" s="18"/>
      <c r="Q307" s="18"/>
      <c r="R307" s="18" t="s">
        <v>98</v>
      </c>
      <c r="S307" s="18"/>
      <c r="T307" s="19" t="n">
        <f aca="false">SUMIFS(Permissions!$F$2:$F$3000,Permissions!$B$2:$B$3000,$A307,Permissions!$H$2:$H$3000,"Complete",Permissions!$I$2:$I$3000,"Yes")</f>
        <v>0</v>
      </c>
      <c r="U307" s="19" t="n">
        <f aca="false">SUMIFS(Permissions!$F$2:$F$3000,Permissions!$B$2:$B$3000,$A307,Permissions!$H$2:$H$3000,"Under construction",Permissions!$I$2:$I$3000,"Yes")</f>
        <v>4</v>
      </c>
      <c r="V307" s="19" t="n">
        <f aca="false">SUMIFS(Permissions!$F$2:$F$3000,Permissions!$B$2:$B$3000,$A307,Permissions!$H$2:$H$3000,"Permitted – not started",Permissions!$I$2:$I$3000,"Yes")</f>
        <v>0</v>
      </c>
      <c r="W307" s="19" t="n">
        <f aca="false">SUMIFS(Permissions!$F$2:$F$3000,Permissions!$B$2:$B$3000,$A307,Permissions!$H$2:$H$3000,"Stalled",Permissions!$I$2:$I$3000,"Yes")</f>
        <v>0</v>
      </c>
      <c r="X307" s="19" t="n">
        <f aca="false">T307+U307+V307+W307</f>
        <v>4</v>
      </c>
      <c r="Y307" s="19" t="n">
        <f aca="false">SUMIFS(Permissions!$F$2:$F$3000,Permissions!$B$2:$B$3000,$A307,Permissions!$H$2:$H$3000,"Expired – not started",Permissions!$I$2:$I$3000,"Yes")</f>
        <v>0</v>
      </c>
      <c r="Z307" s="19" t="n">
        <f aca="false">SUMIFS(Permissions!$F$2:$F$3000,Permissions!$B$2:$B$3000,$A307,Permissions!$H$2:$H$3000,"In planning",Permissions!$I$2:$I$3000,"Yes")</f>
        <v>0</v>
      </c>
      <c r="AA307" s="19" t="n">
        <f aca="false">IF(N307="",0,MAX(N307-X307,0))</f>
        <v>0</v>
      </c>
      <c r="AB307" s="20" t="n">
        <f aca="false">X307+AA307</f>
        <v>4</v>
      </c>
      <c r="AC307" s="19" t="n">
        <f aca="false">AB307-T307</f>
        <v>4</v>
      </c>
      <c r="AD307" s="21" t="n">
        <f aca="false">SUMIFS(Permissions!$T$2:$T$3000,Permissions!$B$2:$B$3000,$A307,Permissions!$I$2:$I$3000,"Yes")</f>
        <v>0</v>
      </c>
      <c r="AE307" s="21" t="n">
        <f aca="false">SUMIFS(Permissions!$U$2:$U$3000,Permissions!$B$2:$B$3000,$A307,Permissions!$I$2:$I$3000,"Yes")</f>
        <v>3.7</v>
      </c>
      <c r="AF307" s="21" t="n">
        <f aca="false">SUMIFS(Permissions!$V$2:$V$3000,Permissions!$B$2:$B$3000,$A307,Permissions!$I$2:$I$3000,"Yes")</f>
        <v>0.3</v>
      </c>
      <c r="AG307" s="21" t="n">
        <f aca="false">SUMIFS(Permissions!$W$2:$W$3000,Permissions!$B$2:$B$3000,$A307,Permissions!$I$2:$I$3000,"Yes")</f>
        <v>0</v>
      </c>
      <c r="AH307" s="21" t="n">
        <f aca="false">SUMIFS(Permissions!$X$2:$X$3000,Permissions!$B$2:$B$3000,$A307,Permissions!$I$2:$I$3000,"Yes")</f>
        <v>0</v>
      </c>
      <c r="AI307" s="21" t="n">
        <f aca="false">SUMIFS(Permissions!$Y$2:$Y$3000,Permissions!$B$2:$B$3000,$A307,Permissions!$I$2:$I$3000,"Yes")</f>
        <v>0</v>
      </c>
      <c r="AJ307" s="19" t="n">
        <f aca="false">COUNTIFS(Permissions!$B$2:$B$3000,$A307,Permissions!$I$2:$I$3000,"Yes")</f>
        <v>1</v>
      </c>
      <c r="AK307" s="22" t="str">
        <f aca="false">IF(AND(N307&lt;&gt;"",X307&gt;1.1*N307),"Consented above capacity",IF(AND(LEFT(B307,8)="Planning",AJ307=0),"Consent parcel with no permission",IF(COUNTIF($A$2:$A$3000,$A307)&gt;1,"Duplicate parcel_id","")))</f>
        <v/>
      </c>
    </row>
    <row r="308" customFormat="false" ht="15" hidden="false" customHeight="false" outlineLevel="0" collapsed="false">
      <c r="A308" s="18" t="s">
        <v>631</v>
      </c>
      <c r="B308" s="18" t="s">
        <v>12</v>
      </c>
      <c r="C308" s="18" t="s">
        <v>16</v>
      </c>
      <c r="D308" s="18"/>
      <c r="E308" s="18" t="s">
        <v>492</v>
      </c>
      <c r="F308" s="18" t="s">
        <v>89</v>
      </c>
      <c r="G308" s="18" t="s">
        <v>632</v>
      </c>
      <c r="H308" s="18"/>
      <c r="I308" s="18"/>
      <c r="J308" s="18"/>
      <c r="K308" s="18"/>
      <c r="L308" s="18" t="n">
        <v>0.417</v>
      </c>
      <c r="M308" s="18" t="n">
        <v>0.417</v>
      </c>
      <c r="N308" s="18"/>
      <c r="O308" s="18" t="s">
        <v>283</v>
      </c>
      <c r="P308" s="18"/>
      <c r="Q308" s="18"/>
      <c r="R308" s="18" t="s">
        <v>98</v>
      </c>
      <c r="S308" s="18"/>
      <c r="T308" s="19" t="n">
        <f aca="false">SUMIFS(Permissions!$F$2:$F$3000,Permissions!$B$2:$B$3000,$A308,Permissions!$H$2:$H$3000,"Complete",Permissions!$I$2:$I$3000,"Yes")</f>
        <v>0</v>
      </c>
      <c r="U308" s="19" t="n">
        <f aca="false">SUMIFS(Permissions!$F$2:$F$3000,Permissions!$B$2:$B$3000,$A308,Permissions!$H$2:$H$3000,"Under construction",Permissions!$I$2:$I$3000,"Yes")</f>
        <v>0</v>
      </c>
      <c r="V308" s="19" t="n">
        <f aca="false">SUMIFS(Permissions!$F$2:$F$3000,Permissions!$B$2:$B$3000,$A308,Permissions!$H$2:$H$3000,"Permitted – not started",Permissions!$I$2:$I$3000,"Yes")</f>
        <v>6</v>
      </c>
      <c r="W308" s="19" t="n">
        <f aca="false">SUMIFS(Permissions!$F$2:$F$3000,Permissions!$B$2:$B$3000,$A308,Permissions!$H$2:$H$3000,"Stalled",Permissions!$I$2:$I$3000,"Yes")</f>
        <v>0</v>
      </c>
      <c r="X308" s="19" t="n">
        <f aca="false">T308+U308+V308+W308</f>
        <v>6</v>
      </c>
      <c r="Y308" s="19" t="n">
        <f aca="false">SUMIFS(Permissions!$F$2:$F$3000,Permissions!$B$2:$B$3000,$A308,Permissions!$H$2:$H$3000,"Expired – not started",Permissions!$I$2:$I$3000,"Yes")</f>
        <v>0</v>
      </c>
      <c r="Z308" s="19" t="n">
        <f aca="false">SUMIFS(Permissions!$F$2:$F$3000,Permissions!$B$2:$B$3000,$A308,Permissions!$H$2:$H$3000,"In planning",Permissions!$I$2:$I$3000,"Yes")</f>
        <v>0</v>
      </c>
      <c r="AA308" s="19" t="n">
        <f aca="false">IF(N308="",0,MAX(N308-X308,0))</f>
        <v>0</v>
      </c>
      <c r="AB308" s="20" t="n">
        <f aca="false">X308+AA308</f>
        <v>6</v>
      </c>
      <c r="AC308" s="19" t="n">
        <f aca="false">AB308-T308</f>
        <v>6</v>
      </c>
      <c r="AD308" s="21" t="n">
        <f aca="false">SUMIFS(Permissions!$T$2:$T$3000,Permissions!$B$2:$B$3000,$A308,Permissions!$I$2:$I$3000,"Yes")</f>
        <v>0</v>
      </c>
      <c r="AE308" s="21" t="n">
        <f aca="false">SUMIFS(Permissions!$U$2:$U$3000,Permissions!$B$2:$B$3000,$A308,Permissions!$I$2:$I$3000,"Yes")</f>
        <v>0</v>
      </c>
      <c r="AF308" s="21" t="n">
        <f aca="false">SUMIFS(Permissions!$V$2:$V$3000,Permissions!$B$2:$B$3000,$A308,Permissions!$I$2:$I$3000,"Yes")</f>
        <v>3.7</v>
      </c>
      <c r="AG308" s="21" t="n">
        <f aca="false">SUMIFS(Permissions!$W$2:$W$3000,Permissions!$B$2:$B$3000,$A308,Permissions!$I$2:$I$3000,"Yes")</f>
        <v>2.3</v>
      </c>
      <c r="AH308" s="21" t="n">
        <f aca="false">SUMIFS(Permissions!$X$2:$X$3000,Permissions!$B$2:$B$3000,$A308,Permissions!$I$2:$I$3000,"Yes")</f>
        <v>0</v>
      </c>
      <c r="AI308" s="21" t="n">
        <f aca="false">SUMIFS(Permissions!$Y$2:$Y$3000,Permissions!$B$2:$B$3000,$A308,Permissions!$I$2:$I$3000,"Yes")</f>
        <v>0</v>
      </c>
      <c r="AJ308" s="19" t="n">
        <f aca="false">COUNTIFS(Permissions!$B$2:$B$3000,$A308,Permissions!$I$2:$I$3000,"Yes")</f>
        <v>1</v>
      </c>
      <c r="AK308" s="22" t="str">
        <f aca="false">IF(AND(N308&lt;&gt;"",X308&gt;1.1*N308),"Consented above capacity",IF(AND(LEFT(B308,8)="Planning",AJ308=0),"Consent parcel with no permission",IF(COUNTIF($A$2:$A$3000,$A308)&gt;1,"Duplicate parcel_id","")))</f>
        <v/>
      </c>
    </row>
    <row r="309" customFormat="false" ht="15" hidden="false" customHeight="false" outlineLevel="0" collapsed="false">
      <c r="A309" s="18" t="s">
        <v>633</v>
      </c>
      <c r="B309" s="18" t="s">
        <v>12</v>
      </c>
      <c r="C309" s="18" t="s">
        <v>16</v>
      </c>
      <c r="D309" s="18"/>
      <c r="E309" s="18" t="s">
        <v>492</v>
      </c>
      <c r="F309" s="18" t="s">
        <v>493</v>
      </c>
      <c r="G309" s="18" t="s">
        <v>634</v>
      </c>
      <c r="H309" s="18"/>
      <c r="I309" s="18"/>
      <c r="J309" s="18"/>
      <c r="K309" s="18"/>
      <c r="L309" s="18" t="n">
        <v>0.353</v>
      </c>
      <c r="M309" s="18" t="n">
        <v>0.353</v>
      </c>
      <c r="N309" s="18"/>
      <c r="O309" s="18" t="s">
        <v>283</v>
      </c>
      <c r="P309" s="18"/>
      <c r="Q309" s="18"/>
      <c r="R309" s="18" t="s">
        <v>98</v>
      </c>
      <c r="S309" s="18"/>
      <c r="T309" s="19" t="n">
        <f aca="false">SUMIFS(Permissions!$F$2:$F$3000,Permissions!$B$2:$B$3000,$A309,Permissions!$H$2:$H$3000,"Complete",Permissions!$I$2:$I$3000,"Yes")</f>
        <v>0</v>
      </c>
      <c r="U309" s="19" t="n">
        <f aca="false">SUMIFS(Permissions!$F$2:$F$3000,Permissions!$B$2:$B$3000,$A309,Permissions!$H$2:$H$3000,"Under construction",Permissions!$I$2:$I$3000,"Yes")</f>
        <v>0</v>
      </c>
      <c r="V309" s="19" t="n">
        <f aca="false">SUMIFS(Permissions!$F$2:$F$3000,Permissions!$B$2:$B$3000,$A309,Permissions!$H$2:$H$3000,"Permitted – not started",Permissions!$I$2:$I$3000,"Yes")</f>
        <v>8</v>
      </c>
      <c r="W309" s="19" t="n">
        <f aca="false">SUMIFS(Permissions!$F$2:$F$3000,Permissions!$B$2:$B$3000,$A309,Permissions!$H$2:$H$3000,"Stalled",Permissions!$I$2:$I$3000,"Yes")</f>
        <v>0</v>
      </c>
      <c r="X309" s="19" t="n">
        <f aca="false">T309+U309+V309+W309</f>
        <v>8</v>
      </c>
      <c r="Y309" s="19" t="n">
        <f aca="false">SUMIFS(Permissions!$F$2:$F$3000,Permissions!$B$2:$B$3000,$A309,Permissions!$H$2:$H$3000,"Expired – not started",Permissions!$I$2:$I$3000,"Yes")</f>
        <v>0</v>
      </c>
      <c r="Z309" s="19" t="n">
        <f aca="false">SUMIFS(Permissions!$F$2:$F$3000,Permissions!$B$2:$B$3000,$A309,Permissions!$H$2:$H$3000,"In planning",Permissions!$I$2:$I$3000,"Yes")</f>
        <v>0</v>
      </c>
      <c r="AA309" s="19" t="n">
        <f aca="false">IF(N309="",0,MAX(N309-X309,0))</f>
        <v>0</v>
      </c>
      <c r="AB309" s="20" t="n">
        <f aca="false">X309+AA309</f>
        <v>8</v>
      </c>
      <c r="AC309" s="19" t="n">
        <f aca="false">AB309-T309</f>
        <v>8</v>
      </c>
      <c r="AD309" s="21" t="n">
        <f aca="false">SUMIFS(Permissions!$T$2:$T$3000,Permissions!$B$2:$B$3000,$A309,Permissions!$I$2:$I$3000,"Yes")</f>
        <v>0</v>
      </c>
      <c r="AE309" s="21" t="n">
        <f aca="false">SUMIFS(Permissions!$U$2:$U$3000,Permissions!$B$2:$B$3000,$A309,Permissions!$I$2:$I$3000,"Yes")</f>
        <v>0</v>
      </c>
      <c r="AF309" s="21" t="n">
        <f aca="false">SUMIFS(Permissions!$V$2:$V$3000,Permissions!$B$2:$B$3000,$A309,Permissions!$I$2:$I$3000,"Yes")</f>
        <v>0.5</v>
      </c>
      <c r="AG309" s="21" t="n">
        <f aca="false">SUMIFS(Permissions!$W$2:$W$3000,Permissions!$B$2:$B$3000,$A309,Permissions!$I$2:$I$3000,"Yes")</f>
        <v>7.5</v>
      </c>
      <c r="AH309" s="21" t="n">
        <f aca="false">SUMIFS(Permissions!$X$2:$X$3000,Permissions!$B$2:$B$3000,$A309,Permissions!$I$2:$I$3000,"Yes")</f>
        <v>0</v>
      </c>
      <c r="AI309" s="21" t="n">
        <f aca="false">SUMIFS(Permissions!$Y$2:$Y$3000,Permissions!$B$2:$B$3000,$A309,Permissions!$I$2:$I$3000,"Yes")</f>
        <v>0</v>
      </c>
      <c r="AJ309" s="19" t="n">
        <f aca="false">COUNTIFS(Permissions!$B$2:$B$3000,$A309,Permissions!$I$2:$I$3000,"Yes")</f>
        <v>1</v>
      </c>
      <c r="AK309" s="22" t="str">
        <f aca="false">IF(AND(N309&lt;&gt;"",X309&gt;1.1*N309),"Consented above capacity",IF(AND(LEFT(B309,8)="Planning",AJ309=0),"Consent parcel with no permission",IF(COUNTIF($A$2:$A$3000,$A309)&gt;1,"Duplicate parcel_id","")))</f>
        <v/>
      </c>
    </row>
    <row r="310" customFormat="false" ht="15" hidden="false" customHeight="false" outlineLevel="0" collapsed="false">
      <c r="A310" s="18" t="s">
        <v>635</v>
      </c>
      <c r="B310" s="18" t="s">
        <v>12</v>
      </c>
      <c r="C310" s="18" t="s">
        <v>16</v>
      </c>
      <c r="D310" s="18"/>
      <c r="E310" s="18" t="s">
        <v>492</v>
      </c>
      <c r="F310" s="18" t="s">
        <v>517</v>
      </c>
      <c r="G310" s="18" t="s">
        <v>636</v>
      </c>
      <c r="H310" s="18"/>
      <c r="I310" s="18"/>
      <c r="J310" s="18"/>
      <c r="K310" s="18"/>
      <c r="L310" s="18" t="n">
        <v>1.248</v>
      </c>
      <c r="M310" s="18" t="n">
        <v>1.248</v>
      </c>
      <c r="N310" s="18"/>
      <c r="O310" s="18" t="s">
        <v>283</v>
      </c>
      <c r="P310" s="18"/>
      <c r="Q310" s="18"/>
      <c r="R310" s="18" t="s">
        <v>98</v>
      </c>
      <c r="S310" s="18"/>
      <c r="T310" s="19" t="n">
        <f aca="false">SUMIFS(Permissions!$F$2:$F$3000,Permissions!$B$2:$B$3000,$A310,Permissions!$H$2:$H$3000,"Complete",Permissions!$I$2:$I$3000,"Yes")</f>
        <v>0</v>
      </c>
      <c r="U310" s="19" t="n">
        <f aca="false">SUMIFS(Permissions!$F$2:$F$3000,Permissions!$B$2:$B$3000,$A310,Permissions!$H$2:$H$3000,"Under construction",Permissions!$I$2:$I$3000,"Yes")</f>
        <v>10</v>
      </c>
      <c r="V310" s="19" t="n">
        <f aca="false">SUMIFS(Permissions!$F$2:$F$3000,Permissions!$B$2:$B$3000,$A310,Permissions!$H$2:$H$3000,"Permitted – not started",Permissions!$I$2:$I$3000,"Yes")</f>
        <v>0</v>
      </c>
      <c r="W310" s="19" t="n">
        <f aca="false">SUMIFS(Permissions!$F$2:$F$3000,Permissions!$B$2:$B$3000,$A310,Permissions!$H$2:$H$3000,"Stalled",Permissions!$I$2:$I$3000,"Yes")</f>
        <v>0</v>
      </c>
      <c r="X310" s="19" t="n">
        <f aca="false">T310+U310+V310+W310</f>
        <v>10</v>
      </c>
      <c r="Y310" s="19" t="n">
        <f aca="false">SUMIFS(Permissions!$F$2:$F$3000,Permissions!$B$2:$B$3000,$A310,Permissions!$H$2:$H$3000,"Expired – not started",Permissions!$I$2:$I$3000,"Yes")</f>
        <v>0</v>
      </c>
      <c r="Z310" s="19" t="n">
        <f aca="false">SUMIFS(Permissions!$F$2:$F$3000,Permissions!$B$2:$B$3000,$A310,Permissions!$H$2:$H$3000,"In planning",Permissions!$I$2:$I$3000,"Yes")</f>
        <v>0</v>
      </c>
      <c r="AA310" s="19" t="n">
        <f aca="false">IF(N310="",0,MAX(N310-X310,0))</f>
        <v>0</v>
      </c>
      <c r="AB310" s="20" t="n">
        <f aca="false">X310+AA310</f>
        <v>10</v>
      </c>
      <c r="AC310" s="19" t="n">
        <f aca="false">AB310-T310</f>
        <v>10</v>
      </c>
      <c r="AD310" s="21" t="n">
        <f aca="false">SUMIFS(Permissions!$T$2:$T$3000,Permissions!$B$2:$B$3000,$A310,Permissions!$I$2:$I$3000,"Yes")</f>
        <v>0</v>
      </c>
      <c r="AE310" s="21" t="n">
        <f aca="false">SUMIFS(Permissions!$U$2:$U$3000,Permissions!$B$2:$B$3000,$A310,Permissions!$I$2:$I$3000,"Yes")</f>
        <v>6.9</v>
      </c>
      <c r="AF310" s="21" t="n">
        <f aca="false">SUMIFS(Permissions!$V$2:$V$3000,Permissions!$B$2:$B$3000,$A310,Permissions!$I$2:$I$3000,"Yes")</f>
        <v>3.1</v>
      </c>
      <c r="AG310" s="21" t="n">
        <f aca="false">SUMIFS(Permissions!$W$2:$W$3000,Permissions!$B$2:$B$3000,$A310,Permissions!$I$2:$I$3000,"Yes")</f>
        <v>0</v>
      </c>
      <c r="AH310" s="21" t="n">
        <f aca="false">SUMIFS(Permissions!$X$2:$X$3000,Permissions!$B$2:$B$3000,$A310,Permissions!$I$2:$I$3000,"Yes")</f>
        <v>0</v>
      </c>
      <c r="AI310" s="21" t="n">
        <f aca="false">SUMIFS(Permissions!$Y$2:$Y$3000,Permissions!$B$2:$B$3000,$A310,Permissions!$I$2:$I$3000,"Yes")</f>
        <v>0</v>
      </c>
      <c r="AJ310" s="19" t="n">
        <f aca="false">COUNTIFS(Permissions!$B$2:$B$3000,$A310,Permissions!$I$2:$I$3000,"Yes")</f>
        <v>1</v>
      </c>
      <c r="AK310" s="22" t="str">
        <f aca="false">IF(AND(N310&lt;&gt;"",X310&gt;1.1*N310),"Consented above capacity",IF(AND(LEFT(B310,8)="Planning",AJ310=0),"Consent parcel with no permission",IF(COUNTIF($A$2:$A$3000,$A310)&gt;1,"Duplicate parcel_id","")))</f>
        <v/>
      </c>
    </row>
    <row r="311" customFormat="false" ht="15" hidden="false" customHeight="false" outlineLevel="0" collapsed="false">
      <c r="A311" s="18" t="s">
        <v>637</v>
      </c>
      <c r="B311" s="18" t="s">
        <v>12</v>
      </c>
      <c r="C311" s="18" t="s">
        <v>16</v>
      </c>
      <c r="D311" s="18"/>
      <c r="E311" s="18" t="s">
        <v>492</v>
      </c>
      <c r="F311" s="18" t="s">
        <v>502</v>
      </c>
      <c r="G311" s="18" t="s">
        <v>638</v>
      </c>
      <c r="H311" s="18"/>
      <c r="I311" s="18"/>
      <c r="J311" s="18"/>
      <c r="K311" s="18"/>
      <c r="L311" s="18" t="n">
        <v>0.081</v>
      </c>
      <c r="M311" s="18" t="n">
        <v>0.081</v>
      </c>
      <c r="N311" s="18"/>
      <c r="O311" s="18" t="s">
        <v>283</v>
      </c>
      <c r="P311" s="18"/>
      <c r="Q311" s="18"/>
      <c r="R311" s="18" t="s">
        <v>98</v>
      </c>
      <c r="S311" s="18"/>
      <c r="T311" s="19" t="n">
        <f aca="false">SUMIFS(Permissions!$F$2:$F$3000,Permissions!$B$2:$B$3000,$A311,Permissions!$H$2:$H$3000,"Complete",Permissions!$I$2:$I$3000,"Yes")</f>
        <v>0</v>
      </c>
      <c r="U311" s="19" t="n">
        <f aca="false">SUMIFS(Permissions!$F$2:$F$3000,Permissions!$B$2:$B$3000,$A311,Permissions!$H$2:$H$3000,"Under construction",Permissions!$I$2:$I$3000,"Yes")</f>
        <v>0</v>
      </c>
      <c r="V311" s="19" t="n">
        <f aca="false">SUMIFS(Permissions!$F$2:$F$3000,Permissions!$B$2:$B$3000,$A311,Permissions!$H$2:$H$3000,"Permitted – not started",Permissions!$I$2:$I$3000,"Yes")</f>
        <v>10</v>
      </c>
      <c r="W311" s="19" t="n">
        <f aca="false">SUMIFS(Permissions!$F$2:$F$3000,Permissions!$B$2:$B$3000,$A311,Permissions!$H$2:$H$3000,"Stalled",Permissions!$I$2:$I$3000,"Yes")</f>
        <v>0</v>
      </c>
      <c r="X311" s="19" t="n">
        <f aca="false">T311+U311+V311+W311</f>
        <v>10</v>
      </c>
      <c r="Y311" s="19" t="n">
        <f aca="false">SUMIFS(Permissions!$F$2:$F$3000,Permissions!$B$2:$B$3000,$A311,Permissions!$H$2:$H$3000,"Expired – not started",Permissions!$I$2:$I$3000,"Yes")</f>
        <v>0</v>
      </c>
      <c r="Z311" s="19" t="n">
        <f aca="false">SUMIFS(Permissions!$F$2:$F$3000,Permissions!$B$2:$B$3000,$A311,Permissions!$H$2:$H$3000,"In planning",Permissions!$I$2:$I$3000,"Yes")</f>
        <v>0</v>
      </c>
      <c r="AA311" s="19" t="n">
        <f aca="false">IF(N311="",0,MAX(N311-X311,0))</f>
        <v>0</v>
      </c>
      <c r="AB311" s="20" t="n">
        <f aca="false">X311+AA311</f>
        <v>10</v>
      </c>
      <c r="AC311" s="19" t="n">
        <f aca="false">AB311-T311</f>
        <v>10</v>
      </c>
      <c r="AD311" s="21" t="n">
        <f aca="false">SUMIFS(Permissions!$T$2:$T$3000,Permissions!$B$2:$B$3000,$A311,Permissions!$I$2:$I$3000,"Yes")</f>
        <v>0</v>
      </c>
      <c r="AE311" s="21" t="n">
        <f aca="false">SUMIFS(Permissions!$U$2:$U$3000,Permissions!$B$2:$B$3000,$A311,Permissions!$I$2:$I$3000,"Yes")</f>
        <v>0</v>
      </c>
      <c r="AF311" s="21" t="n">
        <f aca="false">SUMIFS(Permissions!$V$2:$V$3000,Permissions!$B$2:$B$3000,$A311,Permissions!$I$2:$I$3000,"Yes")</f>
        <v>8.4</v>
      </c>
      <c r="AG311" s="21" t="n">
        <f aca="false">SUMIFS(Permissions!$W$2:$W$3000,Permissions!$B$2:$B$3000,$A311,Permissions!$I$2:$I$3000,"Yes")</f>
        <v>1.6</v>
      </c>
      <c r="AH311" s="21" t="n">
        <f aca="false">SUMIFS(Permissions!$X$2:$X$3000,Permissions!$B$2:$B$3000,$A311,Permissions!$I$2:$I$3000,"Yes")</f>
        <v>0</v>
      </c>
      <c r="AI311" s="21" t="n">
        <f aca="false">SUMIFS(Permissions!$Y$2:$Y$3000,Permissions!$B$2:$B$3000,$A311,Permissions!$I$2:$I$3000,"Yes")</f>
        <v>0</v>
      </c>
      <c r="AJ311" s="19" t="n">
        <f aca="false">COUNTIFS(Permissions!$B$2:$B$3000,$A311,Permissions!$I$2:$I$3000,"Yes")</f>
        <v>1</v>
      </c>
      <c r="AK311" s="22" t="str">
        <f aca="false">IF(AND(N311&lt;&gt;"",X311&gt;1.1*N311),"Consented above capacity",IF(AND(LEFT(B311,8)="Planning",AJ311=0),"Consent parcel with no permission",IF(COUNTIF($A$2:$A$3000,$A311)&gt;1,"Duplicate parcel_id","")))</f>
        <v/>
      </c>
    </row>
    <row r="312" customFormat="false" ht="15" hidden="false" customHeight="false" outlineLevel="0" collapsed="false">
      <c r="A312" s="18" t="s">
        <v>639</v>
      </c>
      <c r="B312" s="18" t="s">
        <v>12</v>
      </c>
      <c r="C312" s="18" t="s">
        <v>16</v>
      </c>
      <c r="D312" s="18"/>
      <c r="E312" s="18" t="s">
        <v>492</v>
      </c>
      <c r="F312" s="18" t="s">
        <v>89</v>
      </c>
      <c r="G312" s="18" t="s">
        <v>640</v>
      </c>
      <c r="H312" s="18"/>
      <c r="I312" s="18"/>
      <c r="J312" s="18"/>
      <c r="K312" s="18"/>
      <c r="L312" s="18" t="n">
        <v>5.848</v>
      </c>
      <c r="M312" s="18" t="n">
        <v>5.848</v>
      </c>
      <c r="N312" s="18"/>
      <c r="O312" s="18" t="s">
        <v>283</v>
      </c>
      <c r="P312" s="18"/>
      <c r="Q312" s="18"/>
      <c r="R312" s="18" t="s">
        <v>98</v>
      </c>
      <c r="S312" s="18"/>
      <c r="T312" s="19" t="n">
        <f aca="false">SUMIFS(Permissions!$F$2:$F$3000,Permissions!$B$2:$B$3000,$A312,Permissions!$H$2:$H$3000,"Complete",Permissions!$I$2:$I$3000,"Yes")</f>
        <v>0</v>
      </c>
      <c r="U312" s="19" t="n">
        <f aca="false">SUMIFS(Permissions!$F$2:$F$3000,Permissions!$B$2:$B$3000,$A312,Permissions!$H$2:$H$3000,"Under construction",Permissions!$I$2:$I$3000,"Yes")</f>
        <v>90</v>
      </c>
      <c r="V312" s="19" t="n">
        <f aca="false">SUMIFS(Permissions!$F$2:$F$3000,Permissions!$B$2:$B$3000,$A312,Permissions!$H$2:$H$3000,"Permitted – not started",Permissions!$I$2:$I$3000,"Yes")</f>
        <v>0</v>
      </c>
      <c r="W312" s="19" t="n">
        <f aca="false">SUMIFS(Permissions!$F$2:$F$3000,Permissions!$B$2:$B$3000,$A312,Permissions!$H$2:$H$3000,"Stalled",Permissions!$I$2:$I$3000,"Yes")</f>
        <v>0</v>
      </c>
      <c r="X312" s="19" t="n">
        <f aca="false">T312+U312+V312+W312</f>
        <v>90</v>
      </c>
      <c r="Y312" s="19" t="n">
        <f aca="false">SUMIFS(Permissions!$F$2:$F$3000,Permissions!$B$2:$B$3000,$A312,Permissions!$H$2:$H$3000,"Expired – not started",Permissions!$I$2:$I$3000,"Yes")</f>
        <v>0</v>
      </c>
      <c r="Z312" s="19" t="n">
        <f aca="false">SUMIFS(Permissions!$F$2:$F$3000,Permissions!$B$2:$B$3000,$A312,Permissions!$H$2:$H$3000,"In planning",Permissions!$I$2:$I$3000,"Yes")</f>
        <v>0</v>
      </c>
      <c r="AA312" s="19" t="n">
        <f aca="false">IF(N312="",0,MAX(N312-X312,0))</f>
        <v>0</v>
      </c>
      <c r="AB312" s="20" t="n">
        <f aca="false">X312+AA312</f>
        <v>90</v>
      </c>
      <c r="AC312" s="19" t="n">
        <f aca="false">AB312-T312</f>
        <v>90</v>
      </c>
      <c r="AD312" s="21" t="n">
        <f aca="false">SUMIFS(Permissions!$T$2:$T$3000,Permissions!$B$2:$B$3000,$A312,Permissions!$I$2:$I$3000,"Yes")</f>
        <v>8.4</v>
      </c>
      <c r="AE312" s="21" t="n">
        <f aca="false">SUMIFS(Permissions!$U$2:$U$3000,Permissions!$B$2:$B$3000,$A312,Permissions!$I$2:$I$3000,"Yes")</f>
        <v>47.7</v>
      </c>
      <c r="AF312" s="21" t="n">
        <f aca="false">SUMIFS(Permissions!$V$2:$V$3000,Permissions!$B$2:$B$3000,$A312,Permissions!$I$2:$I$3000,"Yes")</f>
        <v>33.9</v>
      </c>
      <c r="AG312" s="21" t="n">
        <f aca="false">SUMIFS(Permissions!$W$2:$W$3000,Permissions!$B$2:$B$3000,$A312,Permissions!$I$2:$I$3000,"Yes")</f>
        <v>0</v>
      </c>
      <c r="AH312" s="21" t="n">
        <f aca="false">SUMIFS(Permissions!$X$2:$X$3000,Permissions!$B$2:$B$3000,$A312,Permissions!$I$2:$I$3000,"Yes")</f>
        <v>0</v>
      </c>
      <c r="AI312" s="21" t="n">
        <f aca="false">SUMIFS(Permissions!$Y$2:$Y$3000,Permissions!$B$2:$B$3000,$A312,Permissions!$I$2:$I$3000,"Yes")</f>
        <v>0</v>
      </c>
      <c r="AJ312" s="19" t="n">
        <f aca="false">COUNTIFS(Permissions!$B$2:$B$3000,$A312,Permissions!$I$2:$I$3000,"Yes")</f>
        <v>2</v>
      </c>
      <c r="AK312" s="22" t="str">
        <f aca="false">IF(AND(N312&lt;&gt;"",X312&gt;1.1*N312),"Consented above capacity",IF(AND(LEFT(B312,8)="Planning",AJ312=0),"Consent parcel with no permission",IF(COUNTIF($A$2:$A$3000,$A312)&gt;1,"Duplicate parcel_id","")))</f>
        <v/>
      </c>
    </row>
    <row r="313" customFormat="false" ht="15" hidden="false" customHeight="false" outlineLevel="0" collapsed="false">
      <c r="A313" s="18" t="s">
        <v>641</v>
      </c>
      <c r="B313" s="18" t="s">
        <v>12</v>
      </c>
      <c r="C313" s="18" t="s">
        <v>16</v>
      </c>
      <c r="D313" s="18"/>
      <c r="E313" s="18" t="s">
        <v>492</v>
      </c>
      <c r="F313" s="18" t="s">
        <v>502</v>
      </c>
      <c r="G313" s="18" t="s">
        <v>642</v>
      </c>
      <c r="H313" s="18"/>
      <c r="I313" s="18"/>
      <c r="J313" s="18"/>
      <c r="K313" s="18"/>
      <c r="L313" s="18" t="n">
        <v>0.56</v>
      </c>
      <c r="M313" s="18" t="n">
        <v>0.56</v>
      </c>
      <c r="N313" s="18"/>
      <c r="O313" s="18" t="s">
        <v>283</v>
      </c>
      <c r="P313" s="18"/>
      <c r="Q313" s="18"/>
      <c r="R313" s="18" t="s">
        <v>98</v>
      </c>
      <c r="S313" s="18"/>
      <c r="T313" s="19" t="n">
        <f aca="false">SUMIFS(Permissions!$F$2:$F$3000,Permissions!$B$2:$B$3000,$A313,Permissions!$H$2:$H$3000,"Complete",Permissions!$I$2:$I$3000,"Yes")</f>
        <v>0</v>
      </c>
      <c r="U313" s="19" t="n">
        <f aca="false">SUMIFS(Permissions!$F$2:$F$3000,Permissions!$B$2:$B$3000,$A313,Permissions!$H$2:$H$3000,"Under construction",Permissions!$I$2:$I$3000,"Yes")</f>
        <v>0</v>
      </c>
      <c r="V313" s="19" t="n">
        <f aca="false">SUMIFS(Permissions!$F$2:$F$3000,Permissions!$B$2:$B$3000,$A313,Permissions!$H$2:$H$3000,"Permitted – not started",Permissions!$I$2:$I$3000,"Yes")</f>
        <v>12</v>
      </c>
      <c r="W313" s="19" t="n">
        <f aca="false">SUMIFS(Permissions!$F$2:$F$3000,Permissions!$B$2:$B$3000,$A313,Permissions!$H$2:$H$3000,"Stalled",Permissions!$I$2:$I$3000,"Yes")</f>
        <v>0</v>
      </c>
      <c r="X313" s="19" t="n">
        <f aca="false">T313+U313+V313+W313</f>
        <v>12</v>
      </c>
      <c r="Y313" s="19" t="n">
        <f aca="false">SUMIFS(Permissions!$F$2:$F$3000,Permissions!$B$2:$B$3000,$A313,Permissions!$H$2:$H$3000,"Expired – not started",Permissions!$I$2:$I$3000,"Yes")</f>
        <v>0</v>
      </c>
      <c r="Z313" s="19" t="n">
        <f aca="false">SUMIFS(Permissions!$F$2:$F$3000,Permissions!$B$2:$B$3000,$A313,Permissions!$H$2:$H$3000,"In planning",Permissions!$I$2:$I$3000,"Yes")</f>
        <v>0</v>
      </c>
      <c r="AA313" s="19" t="n">
        <f aca="false">IF(N313="",0,MAX(N313-X313,0))</f>
        <v>0</v>
      </c>
      <c r="AB313" s="20" t="n">
        <f aca="false">X313+AA313</f>
        <v>12</v>
      </c>
      <c r="AC313" s="19" t="n">
        <f aca="false">AB313-T313</f>
        <v>12</v>
      </c>
      <c r="AD313" s="21" t="n">
        <f aca="false">SUMIFS(Permissions!$T$2:$T$3000,Permissions!$B$2:$B$3000,$A313,Permissions!$I$2:$I$3000,"Yes")</f>
        <v>0</v>
      </c>
      <c r="AE313" s="21" t="n">
        <f aca="false">SUMIFS(Permissions!$U$2:$U$3000,Permissions!$B$2:$B$3000,$A313,Permissions!$I$2:$I$3000,"Yes")</f>
        <v>0</v>
      </c>
      <c r="AF313" s="21" t="n">
        <f aca="false">SUMIFS(Permissions!$V$2:$V$3000,Permissions!$B$2:$B$3000,$A313,Permissions!$I$2:$I$3000,"Yes")</f>
        <v>0</v>
      </c>
      <c r="AG313" s="21" t="n">
        <f aca="false">SUMIFS(Permissions!$W$2:$W$3000,Permissions!$B$2:$B$3000,$A313,Permissions!$I$2:$I$3000,"Yes")</f>
        <v>11.3</v>
      </c>
      <c r="AH313" s="21" t="n">
        <f aca="false">SUMIFS(Permissions!$X$2:$X$3000,Permissions!$B$2:$B$3000,$A313,Permissions!$I$2:$I$3000,"Yes")</f>
        <v>0.7</v>
      </c>
      <c r="AI313" s="21" t="n">
        <f aca="false">SUMIFS(Permissions!$Y$2:$Y$3000,Permissions!$B$2:$B$3000,$A313,Permissions!$I$2:$I$3000,"Yes")</f>
        <v>0</v>
      </c>
      <c r="AJ313" s="19" t="n">
        <f aca="false">COUNTIFS(Permissions!$B$2:$B$3000,$A313,Permissions!$I$2:$I$3000,"Yes")</f>
        <v>1</v>
      </c>
      <c r="AK313" s="22" t="str">
        <f aca="false">IF(AND(N313&lt;&gt;"",X313&gt;1.1*N313),"Consented above capacity",IF(AND(LEFT(B313,8)="Planning",AJ313=0),"Consent parcel with no permission",IF(COUNTIF($A$2:$A$3000,$A313)&gt;1,"Duplicate parcel_id","")))</f>
        <v/>
      </c>
    </row>
    <row r="314" customFormat="false" ht="15" hidden="false" customHeight="false" outlineLevel="0" collapsed="false">
      <c r="A314" s="18" t="s">
        <v>643</v>
      </c>
      <c r="B314" s="18" t="s">
        <v>12</v>
      </c>
      <c r="C314" s="18" t="s">
        <v>16</v>
      </c>
      <c r="D314" s="18"/>
      <c r="E314" s="18" t="s">
        <v>492</v>
      </c>
      <c r="F314" s="18" t="s">
        <v>502</v>
      </c>
      <c r="G314" s="18" t="s">
        <v>644</v>
      </c>
      <c r="H314" s="18"/>
      <c r="I314" s="18"/>
      <c r="J314" s="18"/>
      <c r="K314" s="18"/>
      <c r="L314" s="18" t="n">
        <v>0.639</v>
      </c>
      <c r="M314" s="18" t="n">
        <v>0.639</v>
      </c>
      <c r="N314" s="18"/>
      <c r="O314" s="18" t="s">
        <v>283</v>
      </c>
      <c r="P314" s="18"/>
      <c r="Q314" s="18"/>
      <c r="R314" s="18" t="s">
        <v>98</v>
      </c>
      <c r="S314" s="18"/>
      <c r="T314" s="19" t="n">
        <f aca="false">SUMIFS(Permissions!$F$2:$F$3000,Permissions!$B$2:$B$3000,$A314,Permissions!$H$2:$H$3000,"Complete",Permissions!$I$2:$I$3000,"Yes")</f>
        <v>0</v>
      </c>
      <c r="U314" s="19" t="n">
        <f aca="false">SUMIFS(Permissions!$F$2:$F$3000,Permissions!$B$2:$B$3000,$A314,Permissions!$H$2:$H$3000,"Under construction",Permissions!$I$2:$I$3000,"Yes")</f>
        <v>0</v>
      </c>
      <c r="V314" s="19" t="n">
        <f aca="false">SUMIFS(Permissions!$F$2:$F$3000,Permissions!$B$2:$B$3000,$A314,Permissions!$H$2:$H$3000,"Permitted – not started",Permissions!$I$2:$I$3000,"Yes")</f>
        <v>0</v>
      </c>
      <c r="W314" s="19" t="n">
        <f aca="false">SUMIFS(Permissions!$F$2:$F$3000,Permissions!$B$2:$B$3000,$A314,Permissions!$H$2:$H$3000,"Stalled",Permissions!$I$2:$I$3000,"Yes")</f>
        <v>0</v>
      </c>
      <c r="X314" s="19" t="n">
        <f aca="false">T314+U314+V314+W314</f>
        <v>0</v>
      </c>
      <c r="Y314" s="19" t="n">
        <f aca="false">SUMIFS(Permissions!$F$2:$F$3000,Permissions!$B$2:$B$3000,$A314,Permissions!$H$2:$H$3000,"Expired – not started",Permissions!$I$2:$I$3000,"Yes")</f>
        <v>0</v>
      </c>
      <c r="Z314" s="19" t="n">
        <f aca="false">SUMIFS(Permissions!$F$2:$F$3000,Permissions!$B$2:$B$3000,$A314,Permissions!$H$2:$H$3000,"In planning",Permissions!$I$2:$I$3000,"Yes")</f>
        <v>8</v>
      </c>
      <c r="AA314" s="19" t="n">
        <f aca="false">IF(N314="",0,MAX(N314-X314,0))</f>
        <v>0</v>
      </c>
      <c r="AB314" s="20" t="n">
        <f aca="false">X314+AA314</f>
        <v>0</v>
      </c>
      <c r="AC314" s="19" t="n">
        <f aca="false">AB314-T314</f>
        <v>0</v>
      </c>
      <c r="AD314" s="21" t="n">
        <f aca="false">SUMIFS(Permissions!$T$2:$T$3000,Permissions!$B$2:$B$3000,$A314,Permissions!$I$2:$I$3000,"Yes")</f>
        <v>0</v>
      </c>
      <c r="AE314" s="21" t="n">
        <f aca="false">SUMIFS(Permissions!$U$2:$U$3000,Permissions!$B$2:$B$3000,$A314,Permissions!$I$2:$I$3000,"Yes")</f>
        <v>0</v>
      </c>
      <c r="AF314" s="21" t="n">
        <f aca="false">SUMIFS(Permissions!$V$2:$V$3000,Permissions!$B$2:$B$3000,$A314,Permissions!$I$2:$I$3000,"Yes")</f>
        <v>0</v>
      </c>
      <c r="AG314" s="21" t="n">
        <f aca="false">SUMIFS(Permissions!$W$2:$W$3000,Permissions!$B$2:$B$3000,$A314,Permissions!$I$2:$I$3000,"Yes")</f>
        <v>0</v>
      </c>
      <c r="AH314" s="21" t="n">
        <f aca="false">SUMIFS(Permissions!$X$2:$X$3000,Permissions!$B$2:$B$3000,$A314,Permissions!$I$2:$I$3000,"Yes")</f>
        <v>0</v>
      </c>
      <c r="AI314" s="21" t="n">
        <f aca="false">SUMIFS(Permissions!$Y$2:$Y$3000,Permissions!$B$2:$B$3000,$A314,Permissions!$I$2:$I$3000,"Yes")</f>
        <v>0</v>
      </c>
      <c r="AJ314" s="19" t="n">
        <f aca="false">COUNTIFS(Permissions!$B$2:$B$3000,$A314,Permissions!$I$2:$I$3000,"Yes")</f>
        <v>1</v>
      </c>
      <c r="AK314" s="22" t="str">
        <f aca="false">IF(AND(N314&lt;&gt;"",X314&gt;1.1*N314),"Consented above capacity",IF(AND(LEFT(B314,8)="Planning",AJ314=0),"Consent parcel with no permission",IF(COUNTIF($A$2:$A$3000,$A314)&gt;1,"Duplicate parcel_id","")))</f>
        <v/>
      </c>
    </row>
    <row r="315" customFormat="false" ht="15" hidden="false" customHeight="false" outlineLevel="0" collapsed="false">
      <c r="A315" s="18" t="s">
        <v>645</v>
      </c>
      <c r="B315" s="18" t="s">
        <v>12</v>
      </c>
      <c r="C315" s="18" t="s">
        <v>16</v>
      </c>
      <c r="D315" s="18"/>
      <c r="E315" s="18" t="s">
        <v>492</v>
      </c>
      <c r="F315" s="18" t="s">
        <v>502</v>
      </c>
      <c r="G315" s="18" t="s">
        <v>646</v>
      </c>
      <c r="H315" s="18"/>
      <c r="I315" s="18"/>
      <c r="J315" s="18"/>
      <c r="K315" s="18"/>
      <c r="L315" s="18" t="n">
        <v>0.485</v>
      </c>
      <c r="M315" s="18" t="n">
        <v>0.485</v>
      </c>
      <c r="N315" s="18"/>
      <c r="O315" s="18" t="s">
        <v>283</v>
      </c>
      <c r="P315" s="18"/>
      <c r="Q315" s="18"/>
      <c r="R315" s="18" t="s">
        <v>98</v>
      </c>
      <c r="S315" s="18"/>
      <c r="T315" s="19" t="n">
        <f aca="false">SUMIFS(Permissions!$F$2:$F$3000,Permissions!$B$2:$B$3000,$A315,Permissions!$H$2:$H$3000,"Complete",Permissions!$I$2:$I$3000,"Yes")</f>
        <v>0</v>
      </c>
      <c r="U315" s="19" t="n">
        <f aca="false">SUMIFS(Permissions!$F$2:$F$3000,Permissions!$B$2:$B$3000,$A315,Permissions!$H$2:$H$3000,"Under construction",Permissions!$I$2:$I$3000,"Yes")</f>
        <v>0</v>
      </c>
      <c r="V315" s="19" t="n">
        <f aca="false">SUMIFS(Permissions!$F$2:$F$3000,Permissions!$B$2:$B$3000,$A315,Permissions!$H$2:$H$3000,"Permitted – not started",Permissions!$I$2:$I$3000,"Yes")</f>
        <v>0</v>
      </c>
      <c r="W315" s="19" t="n">
        <f aca="false">SUMIFS(Permissions!$F$2:$F$3000,Permissions!$B$2:$B$3000,$A315,Permissions!$H$2:$H$3000,"Stalled",Permissions!$I$2:$I$3000,"Yes")</f>
        <v>0</v>
      </c>
      <c r="X315" s="19" t="n">
        <f aca="false">T315+U315+V315+W315</f>
        <v>0</v>
      </c>
      <c r="Y315" s="19" t="n">
        <f aca="false">SUMIFS(Permissions!$F$2:$F$3000,Permissions!$B$2:$B$3000,$A315,Permissions!$H$2:$H$3000,"Expired – not started",Permissions!$I$2:$I$3000,"Yes")</f>
        <v>0</v>
      </c>
      <c r="Z315" s="19" t="n">
        <f aca="false">SUMIFS(Permissions!$F$2:$F$3000,Permissions!$B$2:$B$3000,$A315,Permissions!$H$2:$H$3000,"In planning",Permissions!$I$2:$I$3000,"Yes")</f>
        <v>30</v>
      </c>
      <c r="AA315" s="19" t="n">
        <f aca="false">IF(N315="",0,MAX(N315-X315,0))</f>
        <v>0</v>
      </c>
      <c r="AB315" s="20" t="n">
        <f aca="false">X315+AA315</f>
        <v>0</v>
      </c>
      <c r="AC315" s="19" t="n">
        <f aca="false">AB315-T315</f>
        <v>0</v>
      </c>
      <c r="AD315" s="21" t="n">
        <f aca="false">SUMIFS(Permissions!$T$2:$T$3000,Permissions!$B$2:$B$3000,$A315,Permissions!$I$2:$I$3000,"Yes")</f>
        <v>0</v>
      </c>
      <c r="AE315" s="21" t="n">
        <f aca="false">SUMIFS(Permissions!$U$2:$U$3000,Permissions!$B$2:$B$3000,$A315,Permissions!$I$2:$I$3000,"Yes")</f>
        <v>0</v>
      </c>
      <c r="AF315" s="21" t="n">
        <f aca="false">SUMIFS(Permissions!$V$2:$V$3000,Permissions!$B$2:$B$3000,$A315,Permissions!$I$2:$I$3000,"Yes")</f>
        <v>0</v>
      </c>
      <c r="AG315" s="21" t="n">
        <f aca="false">SUMIFS(Permissions!$W$2:$W$3000,Permissions!$B$2:$B$3000,$A315,Permissions!$I$2:$I$3000,"Yes")</f>
        <v>0</v>
      </c>
      <c r="AH315" s="21" t="n">
        <f aca="false">SUMIFS(Permissions!$X$2:$X$3000,Permissions!$B$2:$B$3000,$A315,Permissions!$I$2:$I$3000,"Yes")</f>
        <v>0</v>
      </c>
      <c r="AI315" s="21" t="n">
        <f aca="false">SUMIFS(Permissions!$Y$2:$Y$3000,Permissions!$B$2:$B$3000,$A315,Permissions!$I$2:$I$3000,"Yes")</f>
        <v>0</v>
      </c>
      <c r="AJ315" s="19" t="n">
        <f aca="false">COUNTIFS(Permissions!$B$2:$B$3000,$A315,Permissions!$I$2:$I$3000,"Yes")</f>
        <v>1</v>
      </c>
      <c r="AK315" s="22" t="str">
        <f aca="false">IF(AND(N315&lt;&gt;"",X315&gt;1.1*N315),"Consented above capacity",IF(AND(LEFT(B315,8)="Planning",AJ315=0),"Consent parcel with no permission",IF(COUNTIF($A$2:$A$3000,$A315)&gt;1,"Duplicate parcel_id","")))</f>
        <v/>
      </c>
    </row>
    <row r="316" customFormat="false" ht="15" hidden="false" customHeight="false" outlineLevel="0" collapsed="false">
      <c r="A316" s="18" t="s">
        <v>647</v>
      </c>
      <c r="B316" s="18" t="s">
        <v>12</v>
      </c>
      <c r="C316" s="18" t="s">
        <v>16</v>
      </c>
      <c r="D316" s="18"/>
      <c r="E316" s="18" t="s">
        <v>492</v>
      </c>
      <c r="F316" s="18" t="s">
        <v>517</v>
      </c>
      <c r="G316" s="18" t="s">
        <v>648</v>
      </c>
      <c r="H316" s="18"/>
      <c r="I316" s="18"/>
      <c r="J316" s="18"/>
      <c r="K316" s="18"/>
      <c r="L316" s="18" t="n">
        <v>15.516</v>
      </c>
      <c r="M316" s="18" t="n">
        <v>15.516</v>
      </c>
      <c r="N316" s="18"/>
      <c r="O316" s="18" t="s">
        <v>283</v>
      </c>
      <c r="P316" s="18"/>
      <c r="Q316" s="18"/>
      <c r="R316" s="18" t="s">
        <v>98</v>
      </c>
      <c r="S316" s="18"/>
      <c r="T316" s="19" t="n">
        <f aca="false">SUMIFS(Permissions!$F$2:$F$3000,Permissions!$B$2:$B$3000,$A316,Permissions!$H$2:$H$3000,"Complete",Permissions!$I$2:$I$3000,"Yes")</f>
        <v>0</v>
      </c>
      <c r="U316" s="19" t="n">
        <f aca="false">SUMIFS(Permissions!$F$2:$F$3000,Permissions!$B$2:$B$3000,$A316,Permissions!$H$2:$H$3000,"Under construction",Permissions!$I$2:$I$3000,"Yes")</f>
        <v>0</v>
      </c>
      <c r="V316" s="19" t="n">
        <f aca="false">SUMIFS(Permissions!$F$2:$F$3000,Permissions!$B$2:$B$3000,$A316,Permissions!$H$2:$H$3000,"Permitted – not started",Permissions!$I$2:$I$3000,"Yes")</f>
        <v>28</v>
      </c>
      <c r="W316" s="19" t="n">
        <f aca="false">SUMIFS(Permissions!$F$2:$F$3000,Permissions!$B$2:$B$3000,$A316,Permissions!$H$2:$H$3000,"Stalled",Permissions!$I$2:$I$3000,"Yes")</f>
        <v>0</v>
      </c>
      <c r="X316" s="19" t="n">
        <f aca="false">T316+U316+V316+W316</f>
        <v>28</v>
      </c>
      <c r="Y316" s="19" t="n">
        <f aca="false">SUMIFS(Permissions!$F$2:$F$3000,Permissions!$B$2:$B$3000,$A316,Permissions!$H$2:$H$3000,"Expired – not started",Permissions!$I$2:$I$3000,"Yes")</f>
        <v>0</v>
      </c>
      <c r="Z316" s="19" t="n">
        <f aca="false">SUMIFS(Permissions!$F$2:$F$3000,Permissions!$B$2:$B$3000,$A316,Permissions!$H$2:$H$3000,"In planning",Permissions!$I$2:$I$3000,"Yes")</f>
        <v>0</v>
      </c>
      <c r="AA316" s="19" t="n">
        <f aca="false">IF(N316="",0,MAX(N316-X316,0))</f>
        <v>0</v>
      </c>
      <c r="AB316" s="20" t="n">
        <f aca="false">X316+AA316</f>
        <v>28</v>
      </c>
      <c r="AC316" s="19" t="n">
        <f aca="false">AB316-T316</f>
        <v>28</v>
      </c>
      <c r="AD316" s="21" t="n">
        <f aca="false">SUMIFS(Permissions!$T$2:$T$3000,Permissions!$B$2:$B$3000,$A316,Permissions!$I$2:$I$3000,"Yes")</f>
        <v>0</v>
      </c>
      <c r="AE316" s="21" t="n">
        <f aca="false">SUMIFS(Permissions!$U$2:$U$3000,Permissions!$B$2:$B$3000,$A316,Permissions!$I$2:$I$3000,"Yes")</f>
        <v>0</v>
      </c>
      <c r="AF316" s="21" t="n">
        <f aca="false">SUMIFS(Permissions!$V$2:$V$3000,Permissions!$B$2:$B$3000,$A316,Permissions!$I$2:$I$3000,"Yes")</f>
        <v>0</v>
      </c>
      <c r="AG316" s="21" t="n">
        <f aca="false">SUMIFS(Permissions!$W$2:$W$3000,Permissions!$B$2:$B$3000,$A316,Permissions!$I$2:$I$3000,"Yes")</f>
        <v>27.8</v>
      </c>
      <c r="AH316" s="21" t="n">
        <f aca="false">SUMIFS(Permissions!$X$2:$X$3000,Permissions!$B$2:$B$3000,$A316,Permissions!$I$2:$I$3000,"Yes")</f>
        <v>0.2</v>
      </c>
      <c r="AI316" s="21" t="n">
        <f aca="false">SUMIFS(Permissions!$Y$2:$Y$3000,Permissions!$B$2:$B$3000,$A316,Permissions!$I$2:$I$3000,"Yes")</f>
        <v>0</v>
      </c>
      <c r="AJ316" s="19" t="n">
        <f aca="false">COUNTIFS(Permissions!$B$2:$B$3000,$A316,Permissions!$I$2:$I$3000,"Yes")</f>
        <v>1</v>
      </c>
      <c r="AK316" s="22" t="str">
        <f aca="false">IF(AND(N316&lt;&gt;"",X316&gt;1.1*N316),"Consented above capacity",IF(AND(LEFT(B316,8)="Planning",AJ316=0),"Consent parcel with no permission",IF(COUNTIF($A$2:$A$3000,$A316)&gt;1,"Duplicate parcel_id","")))</f>
        <v/>
      </c>
    </row>
    <row r="317" customFormat="false" ht="15" hidden="false" customHeight="false" outlineLevel="0" collapsed="false">
      <c r="A317" s="18" t="s">
        <v>649</v>
      </c>
      <c r="B317" s="18" t="s">
        <v>12</v>
      </c>
      <c r="C317" s="18" t="s">
        <v>16</v>
      </c>
      <c r="D317" s="18"/>
      <c r="E317" s="18" t="s">
        <v>492</v>
      </c>
      <c r="F317" s="18" t="s">
        <v>89</v>
      </c>
      <c r="G317" s="18" t="s">
        <v>650</v>
      </c>
      <c r="H317" s="18"/>
      <c r="I317" s="18"/>
      <c r="J317" s="18"/>
      <c r="K317" s="18"/>
      <c r="L317" s="18" t="n">
        <v>0.196</v>
      </c>
      <c r="M317" s="18" t="n">
        <v>0.196</v>
      </c>
      <c r="N317" s="18"/>
      <c r="O317" s="18" t="s">
        <v>283</v>
      </c>
      <c r="P317" s="18"/>
      <c r="Q317" s="18" t="s">
        <v>308</v>
      </c>
      <c r="R317" s="18" t="s">
        <v>98</v>
      </c>
      <c r="S317" s="18"/>
      <c r="T317" s="19" t="n">
        <f aca="false">SUMIFS(Permissions!$F$2:$F$3000,Permissions!$B$2:$B$3000,$A317,Permissions!$H$2:$H$3000,"Complete",Permissions!$I$2:$I$3000,"Yes")</f>
        <v>0</v>
      </c>
      <c r="U317" s="19" t="n">
        <f aca="false">SUMIFS(Permissions!$F$2:$F$3000,Permissions!$B$2:$B$3000,$A317,Permissions!$H$2:$H$3000,"Under construction",Permissions!$I$2:$I$3000,"Yes")</f>
        <v>0</v>
      </c>
      <c r="V317" s="19" t="n">
        <f aca="false">SUMIFS(Permissions!$F$2:$F$3000,Permissions!$B$2:$B$3000,$A317,Permissions!$H$2:$H$3000,"Permitted – not started",Permissions!$I$2:$I$3000,"Yes")</f>
        <v>0</v>
      </c>
      <c r="W317" s="19" t="n">
        <f aca="false">SUMIFS(Permissions!$F$2:$F$3000,Permissions!$B$2:$B$3000,$A317,Permissions!$H$2:$H$3000,"Stalled",Permissions!$I$2:$I$3000,"Yes")</f>
        <v>0</v>
      </c>
      <c r="X317" s="19" t="n">
        <f aca="false">T317+U317+V317+W317</f>
        <v>0</v>
      </c>
      <c r="Y317" s="19" t="n">
        <f aca="false">SUMIFS(Permissions!$F$2:$F$3000,Permissions!$B$2:$B$3000,$A317,Permissions!$H$2:$H$3000,"Expired – not started",Permissions!$I$2:$I$3000,"Yes")</f>
        <v>17</v>
      </c>
      <c r="Z317" s="19" t="n">
        <f aca="false">SUMIFS(Permissions!$F$2:$F$3000,Permissions!$B$2:$B$3000,$A317,Permissions!$H$2:$H$3000,"In planning",Permissions!$I$2:$I$3000,"Yes")</f>
        <v>0</v>
      </c>
      <c r="AA317" s="19" t="n">
        <f aca="false">IF(N317="",0,MAX(N317-X317,0))</f>
        <v>0</v>
      </c>
      <c r="AB317" s="20" t="n">
        <f aca="false">X317+AA317</f>
        <v>0</v>
      </c>
      <c r="AC317" s="19" t="n">
        <f aca="false">AB317-T317</f>
        <v>0</v>
      </c>
      <c r="AD317" s="21" t="n">
        <f aca="false">SUMIFS(Permissions!$T$2:$T$3000,Permissions!$B$2:$B$3000,$A317,Permissions!$I$2:$I$3000,"Yes")</f>
        <v>0</v>
      </c>
      <c r="AE317" s="21" t="n">
        <f aca="false">SUMIFS(Permissions!$U$2:$U$3000,Permissions!$B$2:$B$3000,$A317,Permissions!$I$2:$I$3000,"Yes")</f>
        <v>0</v>
      </c>
      <c r="AF317" s="21" t="n">
        <f aca="false">SUMIFS(Permissions!$V$2:$V$3000,Permissions!$B$2:$B$3000,$A317,Permissions!$I$2:$I$3000,"Yes")</f>
        <v>0</v>
      </c>
      <c r="AG317" s="21" t="n">
        <f aca="false">SUMIFS(Permissions!$W$2:$W$3000,Permissions!$B$2:$B$3000,$A317,Permissions!$I$2:$I$3000,"Yes")</f>
        <v>0</v>
      </c>
      <c r="AH317" s="21" t="n">
        <f aca="false">SUMIFS(Permissions!$X$2:$X$3000,Permissions!$B$2:$B$3000,$A317,Permissions!$I$2:$I$3000,"Yes")</f>
        <v>0</v>
      </c>
      <c r="AI317" s="21" t="n">
        <f aca="false">SUMIFS(Permissions!$Y$2:$Y$3000,Permissions!$B$2:$B$3000,$A317,Permissions!$I$2:$I$3000,"Yes")</f>
        <v>0</v>
      </c>
      <c r="AJ317" s="19" t="n">
        <f aca="false">COUNTIFS(Permissions!$B$2:$B$3000,$A317,Permissions!$I$2:$I$3000,"Yes")</f>
        <v>1</v>
      </c>
      <c r="AK317" s="22" t="str">
        <f aca="false">IF(AND(N317&lt;&gt;"",X317&gt;1.1*N317),"Consented above capacity",IF(AND(LEFT(B317,8)="Planning",AJ317=0),"Consent parcel with no permission",IF(COUNTIF($A$2:$A$3000,$A317)&gt;1,"Duplicate parcel_id","")))</f>
        <v/>
      </c>
    </row>
    <row r="318" customFormat="false" ht="15" hidden="false" customHeight="false" outlineLevel="0" collapsed="false">
      <c r="A318" s="18" t="s">
        <v>651</v>
      </c>
      <c r="B318" s="18" t="s">
        <v>12</v>
      </c>
      <c r="C318" s="18" t="s">
        <v>16</v>
      </c>
      <c r="D318" s="18"/>
      <c r="E318" s="18" t="s">
        <v>492</v>
      </c>
      <c r="F318" s="18" t="s">
        <v>142</v>
      </c>
      <c r="G318" s="18" t="s">
        <v>652</v>
      </c>
      <c r="H318" s="18"/>
      <c r="I318" s="18"/>
      <c r="J318" s="18"/>
      <c r="K318" s="18"/>
      <c r="L318" s="18" t="n">
        <v>0.163</v>
      </c>
      <c r="M318" s="18" t="n">
        <v>0.163</v>
      </c>
      <c r="N318" s="18"/>
      <c r="O318" s="18" t="s">
        <v>283</v>
      </c>
      <c r="P318" s="18"/>
      <c r="Q318" s="18"/>
      <c r="R318" s="18" t="s">
        <v>98</v>
      </c>
      <c r="S318" s="18"/>
      <c r="T318" s="19" t="n">
        <f aca="false">SUMIFS(Permissions!$F$2:$F$3000,Permissions!$B$2:$B$3000,$A318,Permissions!$H$2:$H$3000,"Complete",Permissions!$I$2:$I$3000,"Yes")</f>
        <v>0</v>
      </c>
      <c r="U318" s="19" t="n">
        <f aca="false">SUMIFS(Permissions!$F$2:$F$3000,Permissions!$B$2:$B$3000,$A318,Permissions!$H$2:$H$3000,"Under construction",Permissions!$I$2:$I$3000,"Yes")</f>
        <v>4</v>
      </c>
      <c r="V318" s="19" t="n">
        <f aca="false">SUMIFS(Permissions!$F$2:$F$3000,Permissions!$B$2:$B$3000,$A318,Permissions!$H$2:$H$3000,"Permitted – not started",Permissions!$I$2:$I$3000,"Yes")</f>
        <v>0</v>
      </c>
      <c r="W318" s="19" t="n">
        <f aca="false">SUMIFS(Permissions!$F$2:$F$3000,Permissions!$B$2:$B$3000,$A318,Permissions!$H$2:$H$3000,"Stalled",Permissions!$I$2:$I$3000,"Yes")</f>
        <v>0</v>
      </c>
      <c r="X318" s="19" t="n">
        <f aca="false">T318+U318+V318+W318</f>
        <v>4</v>
      </c>
      <c r="Y318" s="19" t="n">
        <f aca="false">SUMIFS(Permissions!$F$2:$F$3000,Permissions!$B$2:$B$3000,$A318,Permissions!$H$2:$H$3000,"Expired – not started",Permissions!$I$2:$I$3000,"Yes")</f>
        <v>0</v>
      </c>
      <c r="Z318" s="19" t="n">
        <f aca="false">SUMIFS(Permissions!$F$2:$F$3000,Permissions!$B$2:$B$3000,$A318,Permissions!$H$2:$H$3000,"In planning",Permissions!$I$2:$I$3000,"Yes")</f>
        <v>0</v>
      </c>
      <c r="AA318" s="19" t="n">
        <f aca="false">IF(N318="",0,MAX(N318-X318,0))</f>
        <v>0</v>
      </c>
      <c r="AB318" s="20" t="n">
        <f aca="false">X318+AA318</f>
        <v>4</v>
      </c>
      <c r="AC318" s="19" t="n">
        <f aca="false">AB318-T318</f>
        <v>4</v>
      </c>
      <c r="AD318" s="21" t="n">
        <f aca="false">SUMIFS(Permissions!$T$2:$T$3000,Permissions!$B$2:$B$3000,$A318,Permissions!$I$2:$I$3000,"Yes")</f>
        <v>0.9</v>
      </c>
      <c r="AE318" s="21" t="n">
        <f aca="false">SUMIFS(Permissions!$U$2:$U$3000,Permissions!$B$2:$B$3000,$A318,Permissions!$I$2:$I$3000,"Yes")</f>
        <v>3.1</v>
      </c>
      <c r="AF318" s="21" t="n">
        <f aca="false">SUMIFS(Permissions!$V$2:$V$3000,Permissions!$B$2:$B$3000,$A318,Permissions!$I$2:$I$3000,"Yes")</f>
        <v>0</v>
      </c>
      <c r="AG318" s="21" t="n">
        <f aca="false">SUMIFS(Permissions!$W$2:$W$3000,Permissions!$B$2:$B$3000,$A318,Permissions!$I$2:$I$3000,"Yes")</f>
        <v>0</v>
      </c>
      <c r="AH318" s="21" t="n">
        <f aca="false">SUMIFS(Permissions!$X$2:$X$3000,Permissions!$B$2:$B$3000,$A318,Permissions!$I$2:$I$3000,"Yes")</f>
        <v>0</v>
      </c>
      <c r="AI318" s="21" t="n">
        <f aca="false">SUMIFS(Permissions!$Y$2:$Y$3000,Permissions!$B$2:$B$3000,$A318,Permissions!$I$2:$I$3000,"Yes")</f>
        <v>0</v>
      </c>
      <c r="AJ318" s="19" t="n">
        <f aca="false">COUNTIFS(Permissions!$B$2:$B$3000,$A318,Permissions!$I$2:$I$3000,"Yes")</f>
        <v>1</v>
      </c>
      <c r="AK318" s="22" t="str">
        <f aca="false">IF(AND(N318&lt;&gt;"",X318&gt;1.1*N318),"Consented above capacity",IF(AND(LEFT(B318,8)="Planning",AJ318=0),"Consent parcel with no permission",IF(COUNTIF($A$2:$A$3000,$A318)&gt;1,"Duplicate parcel_id","")))</f>
        <v/>
      </c>
    </row>
    <row r="319" customFormat="false" ht="15" hidden="false" customHeight="false" outlineLevel="0" collapsed="false">
      <c r="A319" s="18" t="s">
        <v>653</v>
      </c>
      <c r="B319" s="18" t="s">
        <v>12</v>
      </c>
      <c r="C319" s="18" t="s">
        <v>16</v>
      </c>
      <c r="D319" s="18"/>
      <c r="E319" s="18" t="s">
        <v>492</v>
      </c>
      <c r="F319" s="18" t="s">
        <v>89</v>
      </c>
      <c r="G319" s="18" t="s">
        <v>654</v>
      </c>
      <c r="H319" s="18"/>
      <c r="I319" s="18"/>
      <c r="J319" s="18"/>
      <c r="K319" s="18"/>
      <c r="L319" s="18" t="n">
        <v>0.196</v>
      </c>
      <c r="M319" s="18" t="n">
        <v>0.196</v>
      </c>
      <c r="N319" s="18"/>
      <c r="O319" s="18" t="s">
        <v>283</v>
      </c>
      <c r="P319" s="18"/>
      <c r="Q319" s="18" t="s">
        <v>308</v>
      </c>
      <c r="R319" s="18" t="s">
        <v>98</v>
      </c>
      <c r="S319" s="18"/>
      <c r="T319" s="19" t="n">
        <f aca="false">SUMIFS(Permissions!$F$2:$F$3000,Permissions!$B$2:$B$3000,$A319,Permissions!$H$2:$H$3000,"Complete",Permissions!$I$2:$I$3000,"Yes")</f>
        <v>0</v>
      </c>
      <c r="U319" s="19" t="n">
        <f aca="false">SUMIFS(Permissions!$F$2:$F$3000,Permissions!$B$2:$B$3000,$A319,Permissions!$H$2:$H$3000,"Under construction",Permissions!$I$2:$I$3000,"Yes")</f>
        <v>0</v>
      </c>
      <c r="V319" s="19" t="n">
        <f aca="false">SUMIFS(Permissions!$F$2:$F$3000,Permissions!$B$2:$B$3000,$A319,Permissions!$H$2:$H$3000,"Permitted – not started",Permissions!$I$2:$I$3000,"Yes")</f>
        <v>24</v>
      </c>
      <c r="W319" s="19" t="n">
        <f aca="false">SUMIFS(Permissions!$F$2:$F$3000,Permissions!$B$2:$B$3000,$A319,Permissions!$H$2:$H$3000,"Stalled",Permissions!$I$2:$I$3000,"Yes")</f>
        <v>0</v>
      </c>
      <c r="X319" s="19" t="n">
        <f aca="false">T319+U319+V319+W319</f>
        <v>24</v>
      </c>
      <c r="Y319" s="19" t="n">
        <f aca="false">SUMIFS(Permissions!$F$2:$F$3000,Permissions!$B$2:$B$3000,$A319,Permissions!$H$2:$H$3000,"Expired – not started",Permissions!$I$2:$I$3000,"Yes")</f>
        <v>0</v>
      </c>
      <c r="Z319" s="19" t="n">
        <f aca="false">SUMIFS(Permissions!$F$2:$F$3000,Permissions!$B$2:$B$3000,$A319,Permissions!$H$2:$H$3000,"In planning",Permissions!$I$2:$I$3000,"Yes")</f>
        <v>0</v>
      </c>
      <c r="AA319" s="19" t="n">
        <f aca="false">IF(N319="",0,MAX(N319-X319,0))</f>
        <v>0</v>
      </c>
      <c r="AB319" s="20" t="n">
        <f aca="false">X319+AA319</f>
        <v>24</v>
      </c>
      <c r="AC319" s="19" t="n">
        <f aca="false">AB319-T319</f>
        <v>24</v>
      </c>
      <c r="AD319" s="21" t="n">
        <f aca="false">SUMIFS(Permissions!$T$2:$T$3000,Permissions!$B$2:$B$3000,$A319,Permissions!$I$2:$I$3000,"Yes")</f>
        <v>0</v>
      </c>
      <c r="AE319" s="21" t="n">
        <f aca="false">SUMIFS(Permissions!$U$2:$U$3000,Permissions!$B$2:$B$3000,$A319,Permissions!$I$2:$I$3000,"Yes")</f>
        <v>0</v>
      </c>
      <c r="AF319" s="21" t="n">
        <f aca="false">SUMIFS(Permissions!$V$2:$V$3000,Permissions!$B$2:$B$3000,$A319,Permissions!$I$2:$I$3000,"Yes")</f>
        <v>6.2</v>
      </c>
      <c r="AG319" s="21" t="n">
        <f aca="false">SUMIFS(Permissions!$W$2:$W$3000,Permissions!$B$2:$B$3000,$A319,Permissions!$I$2:$I$3000,"Yes")</f>
        <v>12.8</v>
      </c>
      <c r="AH319" s="21" t="n">
        <f aca="false">SUMIFS(Permissions!$X$2:$X$3000,Permissions!$B$2:$B$3000,$A319,Permissions!$I$2:$I$3000,"Yes")</f>
        <v>5</v>
      </c>
      <c r="AI319" s="21" t="n">
        <f aca="false">SUMIFS(Permissions!$Y$2:$Y$3000,Permissions!$B$2:$B$3000,$A319,Permissions!$I$2:$I$3000,"Yes")</f>
        <v>0</v>
      </c>
      <c r="AJ319" s="19" t="n">
        <f aca="false">COUNTIFS(Permissions!$B$2:$B$3000,$A319,Permissions!$I$2:$I$3000,"Yes")</f>
        <v>1</v>
      </c>
      <c r="AK319" s="22" t="str">
        <f aca="false">IF(AND(N319&lt;&gt;"",X319&gt;1.1*N319),"Consented above capacity",IF(AND(LEFT(B319,8)="Planning",AJ319=0),"Consent parcel with no permission",IF(COUNTIF($A$2:$A$3000,$A319)&gt;1,"Duplicate parcel_id","")))</f>
        <v/>
      </c>
    </row>
    <row r="320" customFormat="false" ht="15" hidden="false" customHeight="false" outlineLevel="0" collapsed="false">
      <c r="A320" s="18" t="s">
        <v>655</v>
      </c>
      <c r="B320" s="18" t="s">
        <v>12</v>
      </c>
      <c r="C320" s="18" t="s">
        <v>16</v>
      </c>
      <c r="D320" s="18"/>
      <c r="E320" s="18" t="s">
        <v>492</v>
      </c>
      <c r="F320" s="18" t="s">
        <v>502</v>
      </c>
      <c r="G320" s="18" t="s">
        <v>656</v>
      </c>
      <c r="H320" s="18"/>
      <c r="I320" s="18"/>
      <c r="J320" s="18"/>
      <c r="K320" s="18"/>
      <c r="L320" s="18" t="n">
        <v>0.196</v>
      </c>
      <c r="M320" s="18" t="n">
        <v>0.196</v>
      </c>
      <c r="N320" s="18"/>
      <c r="O320" s="18" t="s">
        <v>283</v>
      </c>
      <c r="P320" s="18"/>
      <c r="Q320" s="18" t="s">
        <v>308</v>
      </c>
      <c r="R320" s="18" t="s">
        <v>98</v>
      </c>
      <c r="S320" s="18"/>
      <c r="T320" s="19" t="n">
        <f aca="false">SUMIFS(Permissions!$F$2:$F$3000,Permissions!$B$2:$B$3000,$A320,Permissions!$H$2:$H$3000,"Complete",Permissions!$I$2:$I$3000,"Yes")</f>
        <v>0</v>
      </c>
      <c r="U320" s="19" t="n">
        <f aca="false">SUMIFS(Permissions!$F$2:$F$3000,Permissions!$B$2:$B$3000,$A320,Permissions!$H$2:$H$3000,"Under construction",Permissions!$I$2:$I$3000,"Yes")</f>
        <v>0</v>
      </c>
      <c r="V320" s="19" t="n">
        <f aca="false">SUMIFS(Permissions!$F$2:$F$3000,Permissions!$B$2:$B$3000,$A320,Permissions!$H$2:$H$3000,"Permitted – not started",Permissions!$I$2:$I$3000,"Yes")</f>
        <v>4</v>
      </c>
      <c r="W320" s="19" t="n">
        <f aca="false">SUMIFS(Permissions!$F$2:$F$3000,Permissions!$B$2:$B$3000,$A320,Permissions!$H$2:$H$3000,"Stalled",Permissions!$I$2:$I$3000,"Yes")</f>
        <v>0</v>
      </c>
      <c r="X320" s="19" t="n">
        <f aca="false">T320+U320+V320+W320</f>
        <v>4</v>
      </c>
      <c r="Y320" s="19" t="n">
        <f aca="false">SUMIFS(Permissions!$F$2:$F$3000,Permissions!$B$2:$B$3000,$A320,Permissions!$H$2:$H$3000,"Expired – not started",Permissions!$I$2:$I$3000,"Yes")</f>
        <v>0</v>
      </c>
      <c r="Z320" s="19" t="n">
        <f aca="false">SUMIFS(Permissions!$F$2:$F$3000,Permissions!$B$2:$B$3000,$A320,Permissions!$H$2:$H$3000,"In planning",Permissions!$I$2:$I$3000,"Yes")</f>
        <v>0</v>
      </c>
      <c r="AA320" s="19" t="n">
        <f aca="false">IF(N320="",0,MAX(N320-X320,0))</f>
        <v>0</v>
      </c>
      <c r="AB320" s="20" t="n">
        <f aca="false">X320+AA320</f>
        <v>4</v>
      </c>
      <c r="AC320" s="19" t="n">
        <f aca="false">AB320-T320</f>
        <v>4</v>
      </c>
      <c r="AD320" s="21" t="n">
        <f aca="false">SUMIFS(Permissions!$T$2:$T$3000,Permissions!$B$2:$B$3000,$A320,Permissions!$I$2:$I$3000,"Yes")</f>
        <v>0</v>
      </c>
      <c r="AE320" s="21" t="n">
        <f aca="false">SUMIFS(Permissions!$U$2:$U$3000,Permissions!$B$2:$B$3000,$A320,Permissions!$I$2:$I$3000,"Yes")</f>
        <v>0</v>
      </c>
      <c r="AF320" s="21" t="n">
        <f aca="false">SUMIFS(Permissions!$V$2:$V$3000,Permissions!$B$2:$B$3000,$A320,Permissions!$I$2:$I$3000,"Yes")</f>
        <v>3.5</v>
      </c>
      <c r="AG320" s="21" t="n">
        <f aca="false">SUMIFS(Permissions!$W$2:$W$3000,Permissions!$B$2:$B$3000,$A320,Permissions!$I$2:$I$3000,"Yes")</f>
        <v>0.5</v>
      </c>
      <c r="AH320" s="21" t="n">
        <f aca="false">SUMIFS(Permissions!$X$2:$X$3000,Permissions!$B$2:$B$3000,$A320,Permissions!$I$2:$I$3000,"Yes")</f>
        <v>0</v>
      </c>
      <c r="AI320" s="21" t="n">
        <f aca="false">SUMIFS(Permissions!$Y$2:$Y$3000,Permissions!$B$2:$B$3000,$A320,Permissions!$I$2:$I$3000,"Yes")</f>
        <v>0</v>
      </c>
      <c r="AJ320" s="19" t="n">
        <f aca="false">COUNTIFS(Permissions!$B$2:$B$3000,$A320,Permissions!$I$2:$I$3000,"Yes")</f>
        <v>1</v>
      </c>
      <c r="AK320" s="22" t="str">
        <f aca="false">IF(AND(N320&lt;&gt;"",X320&gt;1.1*N320),"Consented above capacity",IF(AND(LEFT(B320,8)="Planning",AJ320=0),"Consent parcel with no permission",IF(COUNTIF($A$2:$A$3000,$A320)&gt;1,"Duplicate parcel_id","")))</f>
        <v/>
      </c>
    </row>
    <row r="321" customFormat="false" ht="15" hidden="false" customHeight="false" outlineLevel="0" collapsed="false">
      <c r="A321" s="18" t="s">
        <v>657</v>
      </c>
      <c r="B321" s="18" t="s">
        <v>12</v>
      </c>
      <c r="C321" s="18" t="s">
        <v>16</v>
      </c>
      <c r="D321" s="18"/>
      <c r="E321" s="18" t="s">
        <v>492</v>
      </c>
      <c r="F321" s="18" t="s">
        <v>517</v>
      </c>
      <c r="G321" s="18" t="s">
        <v>658</v>
      </c>
      <c r="H321" s="18"/>
      <c r="I321" s="18"/>
      <c r="J321" s="18"/>
      <c r="K321" s="18"/>
      <c r="L321" s="18" t="n">
        <v>0.196</v>
      </c>
      <c r="M321" s="18" t="n">
        <v>0.196</v>
      </c>
      <c r="N321" s="18"/>
      <c r="O321" s="18" t="s">
        <v>283</v>
      </c>
      <c r="P321" s="18"/>
      <c r="Q321" s="18" t="s">
        <v>308</v>
      </c>
      <c r="R321" s="18" t="s">
        <v>98</v>
      </c>
      <c r="S321" s="18"/>
      <c r="T321" s="19" t="n">
        <f aca="false">SUMIFS(Permissions!$F$2:$F$3000,Permissions!$B$2:$B$3000,$A321,Permissions!$H$2:$H$3000,"Complete",Permissions!$I$2:$I$3000,"Yes")</f>
        <v>0</v>
      </c>
      <c r="U321" s="19" t="n">
        <f aca="false">SUMIFS(Permissions!$F$2:$F$3000,Permissions!$B$2:$B$3000,$A321,Permissions!$H$2:$H$3000,"Under construction",Permissions!$I$2:$I$3000,"Yes")</f>
        <v>11</v>
      </c>
      <c r="V321" s="19" t="n">
        <f aca="false">SUMIFS(Permissions!$F$2:$F$3000,Permissions!$B$2:$B$3000,$A321,Permissions!$H$2:$H$3000,"Permitted – not started",Permissions!$I$2:$I$3000,"Yes")</f>
        <v>0</v>
      </c>
      <c r="W321" s="19" t="n">
        <f aca="false">SUMIFS(Permissions!$F$2:$F$3000,Permissions!$B$2:$B$3000,$A321,Permissions!$H$2:$H$3000,"Stalled",Permissions!$I$2:$I$3000,"Yes")</f>
        <v>0</v>
      </c>
      <c r="X321" s="19" t="n">
        <f aca="false">T321+U321+V321+W321</f>
        <v>11</v>
      </c>
      <c r="Y321" s="19" t="n">
        <f aca="false">SUMIFS(Permissions!$F$2:$F$3000,Permissions!$B$2:$B$3000,$A321,Permissions!$H$2:$H$3000,"Expired – not started",Permissions!$I$2:$I$3000,"Yes")</f>
        <v>0</v>
      </c>
      <c r="Z321" s="19" t="n">
        <f aca="false">SUMIFS(Permissions!$F$2:$F$3000,Permissions!$B$2:$B$3000,$A321,Permissions!$H$2:$H$3000,"In planning",Permissions!$I$2:$I$3000,"Yes")</f>
        <v>0</v>
      </c>
      <c r="AA321" s="19" t="n">
        <f aca="false">IF(N321="",0,MAX(N321-X321,0))</f>
        <v>0</v>
      </c>
      <c r="AB321" s="20" t="n">
        <f aca="false">X321+AA321</f>
        <v>11</v>
      </c>
      <c r="AC321" s="19" t="n">
        <f aca="false">AB321-T321</f>
        <v>11</v>
      </c>
      <c r="AD321" s="21" t="n">
        <f aca="false">SUMIFS(Permissions!$T$2:$T$3000,Permissions!$B$2:$B$3000,$A321,Permissions!$I$2:$I$3000,"Yes")</f>
        <v>2.6</v>
      </c>
      <c r="AE321" s="21" t="n">
        <f aca="false">SUMIFS(Permissions!$U$2:$U$3000,Permissions!$B$2:$B$3000,$A321,Permissions!$I$2:$I$3000,"Yes")</f>
        <v>8.4</v>
      </c>
      <c r="AF321" s="21" t="n">
        <f aca="false">SUMIFS(Permissions!$V$2:$V$3000,Permissions!$B$2:$B$3000,$A321,Permissions!$I$2:$I$3000,"Yes")</f>
        <v>0</v>
      </c>
      <c r="AG321" s="21" t="n">
        <f aca="false">SUMIFS(Permissions!$W$2:$W$3000,Permissions!$B$2:$B$3000,$A321,Permissions!$I$2:$I$3000,"Yes")</f>
        <v>0</v>
      </c>
      <c r="AH321" s="21" t="n">
        <f aca="false">SUMIFS(Permissions!$X$2:$X$3000,Permissions!$B$2:$B$3000,$A321,Permissions!$I$2:$I$3000,"Yes")</f>
        <v>0</v>
      </c>
      <c r="AI321" s="21" t="n">
        <f aca="false">SUMIFS(Permissions!$Y$2:$Y$3000,Permissions!$B$2:$B$3000,$A321,Permissions!$I$2:$I$3000,"Yes")</f>
        <v>0</v>
      </c>
      <c r="AJ321" s="19" t="n">
        <f aca="false">COUNTIFS(Permissions!$B$2:$B$3000,$A321,Permissions!$I$2:$I$3000,"Yes")</f>
        <v>1</v>
      </c>
      <c r="AK321" s="22" t="str">
        <f aca="false">IF(AND(N321&lt;&gt;"",X321&gt;1.1*N321),"Consented above capacity",IF(AND(LEFT(B321,8)="Planning",AJ321=0),"Consent parcel with no permission",IF(COUNTIF($A$2:$A$3000,$A321)&gt;1,"Duplicate parcel_id","")))</f>
        <v/>
      </c>
    </row>
    <row r="322" customFormat="false" ht="15" hidden="false" customHeight="false" outlineLevel="0" collapsed="false">
      <c r="A322" s="18" t="s">
        <v>659</v>
      </c>
      <c r="B322" s="18" t="s">
        <v>12</v>
      </c>
      <c r="C322" s="18" t="s">
        <v>16</v>
      </c>
      <c r="D322" s="18"/>
      <c r="E322" s="18" t="s">
        <v>492</v>
      </c>
      <c r="F322" s="18" t="s">
        <v>493</v>
      </c>
      <c r="G322" s="18" t="s">
        <v>660</v>
      </c>
      <c r="H322" s="18"/>
      <c r="I322" s="18"/>
      <c r="J322" s="18"/>
      <c r="K322" s="18"/>
      <c r="L322" s="18" t="n">
        <v>0.196</v>
      </c>
      <c r="M322" s="18" t="n">
        <v>0.196</v>
      </c>
      <c r="N322" s="18"/>
      <c r="O322" s="18" t="s">
        <v>283</v>
      </c>
      <c r="P322" s="18"/>
      <c r="Q322" s="18" t="s">
        <v>308</v>
      </c>
      <c r="R322" s="18" t="s">
        <v>98</v>
      </c>
      <c r="S322" s="18"/>
      <c r="T322" s="19" t="n">
        <f aca="false">SUMIFS(Permissions!$F$2:$F$3000,Permissions!$B$2:$B$3000,$A322,Permissions!$H$2:$H$3000,"Complete",Permissions!$I$2:$I$3000,"Yes")</f>
        <v>0</v>
      </c>
      <c r="U322" s="19" t="n">
        <f aca="false">SUMIFS(Permissions!$F$2:$F$3000,Permissions!$B$2:$B$3000,$A322,Permissions!$H$2:$H$3000,"Under construction",Permissions!$I$2:$I$3000,"Yes")</f>
        <v>0</v>
      </c>
      <c r="V322" s="19" t="n">
        <f aca="false">SUMIFS(Permissions!$F$2:$F$3000,Permissions!$B$2:$B$3000,$A322,Permissions!$H$2:$H$3000,"Permitted – not started",Permissions!$I$2:$I$3000,"Yes")</f>
        <v>0</v>
      </c>
      <c r="W322" s="19" t="n">
        <f aca="false">SUMIFS(Permissions!$F$2:$F$3000,Permissions!$B$2:$B$3000,$A322,Permissions!$H$2:$H$3000,"Stalled",Permissions!$I$2:$I$3000,"Yes")</f>
        <v>0</v>
      </c>
      <c r="X322" s="19" t="n">
        <f aca="false">T322+U322+V322+W322</f>
        <v>0</v>
      </c>
      <c r="Y322" s="19" t="n">
        <f aca="false">SUMIFS(Permissions!$F$2:$F$3000,Permissions!$B$2:$B$3000,$A322,Permissions!$H$2:$H$3000,"Expired – not started",Permissions!$I$2:$I$3000,"Yes")</f>
        <v>0</v>
      </c>
      <c r="Z322" s="19" t="n">
        <f aca="false">SUMIFS(Permissions!$F$2:$F$3000,Permissions!$B$2:$B$3000,$A322,Permissions!$H$2:$H$3000,"In planning",Permissions!$I$2:$I$3000,"Yes")</f>
        <v>4</v>
      </c>
      <c r="AA322" s="19" t="n">
        <f aca="false">IF(N322="",0,MAX(N322-X322,0))</f>
        <v>0</v>
      </c>
      <c r="AB322" s="20" t="n">
        <f aca="false">X322+AA322</f>
        <v>0</v>
      </c>
      <c r="AC322" s="19" t="n">
        <f aca="false">AB322-T322</f>
        <v>0</v>
      </c>
      <c r="AD322" s="21" t="n">
        <f aca="false">SUMIFS(Permissions!$T$2:$T$3000,Permissions!$B$2:$B$3000,$A322,Permissions!$I$2:$I$3000,"Yes")</f>
        <v>0</v>
      </c>
      <c r="AE322" s="21" t="n">
        <f aca="false">SUMIFS(Permissions!$U$2:$U$3000,Permissions!$B$2:$B$3000,$A322,Permissions!$I$2:$I$3000,"Yes")</f>
        <v>0</v>
      </c>
      <c r="AF322" s="21" t="n">
        <f aca="false">SUMIFS(Permissions!$V$2:$V$3000,Permissions!$B$2:$B$3000,$A322,Permissions!$I$2:$I$3000,"Yes")</f>
        <v>0</v>
      </c>
      <c r="AG322" s="21" t="n">
        <f aca="false">SUMIFS(Permissions!$W$2:$W$3000,Permissions!$B$2:$B$3000,$A322,Permissions!$I$2:$I$3000,"Yes")</f>
        <v>0</v>
      </c>
      <c r="AH322" s="21" t="n">
        <f aca="false">SUMIFS(Permissions!$X$2:$X$3000,Permissions!$B$2:$B$3000,$A322,Permissions!$I$2:$I$3000,"Yes")</f>
        <v>0</v>
      </c>
      <c r="AI322" s="21" t="n">
        <f aca="false">SUMIFS(Permissions!$Y$2:$Y$3000,Permissions!$B$2:$B$3000,$A322,Permissions!$I$2:$I$3000,"Yes")</f>
        <v>0</v>
      </c>
      <c r="AJ322" s="19" t="n">
        <f aca="false">COUNTIFS(Permissions!$B$2:$B$3000,$A322,Permissions!$I$2:$I$3000,"Yes")</f>
        <v>1</v>
      </c>
      <c r="AK322" s="22" t="str">
        <f aca="false">IF(AND(N322&lt;&gt;"",X322&gt;1.1*N322),"Consented above capacity",IF(AND(LEFT(B322,8)="Planning",AJ322=0),"Consent parcel with no permission",IF(COUNTIF($A$2:$A$3000,$A322)&gt;1,"Duplicate parcel_id","")))</f>
        <v/>
      </c>
    </row>
    <row r="323" customFormat="false" ht="15" hidden="false" customHeight="false" outlineLevel="0" collapsed="false">
      <c r="A323" s="18" t="s">
        <v>661</v>
      </c>
      <c r="B323" s="18" t="s">
        <v>12</v>
      </c>
      <c r="C323" s="18" t="s">
        <v>16</v>
      </c>
      <c r="D323" s="18"/>
      <c r="E323" s="18" t="s">
        <v>492</v>
      </c>
      <c r="F323" s="18" t="s">
        <v>493</v>
      </c>
      <c r="G323" s="18" t="s">
        <v>662</v>
      </c>
      <c r="H323" s="18"/>
      <c r="I323" s="18"/>
      <c r="J323" s="18"/>
      <c r="K323" s="18"/>
      <c r="L323" s="18" t="n">
        <v>0.196</v>
      </c>
      <c r="M323" s="18" t="n">
        <v>0.196</v>
      </c>
      <c r="N323" s="18"/>
      <c r="O323" s="18" t="s">
        <v>283</v>
      </c>
      <c r="P323" s="18"/>
      <c r="Q323" s="18" t="s">
        <v>308</v>
      </c>
      <c r="R323" s="18" t="s">
        <v>98</v>
      </c>
      <c r="S323" s="18"/>
      <c r="T323" s="19" t="n">
        <f aca="false">SUMIFS(Permissions!$F$2:$F$3000,Permissions!$B$2:$B$3000,$A323,Permissions!$H$2:$H$3000,"Complete",Permissions!$I$2:$I$3000,"Yes")</f>
        <v>0</v>
      </c>
      <c r="U323" s="19" t="n">
        <f aca="false">SUMIFS(Permissions!$F$2:$F$3000,Permissions!$B$2:$B$3000,$A323,Permissions!$H$2:$H$3000,"Under construction",Permissions!$I$2:$I$3000,"Yes")</f>
        <v>18</v>
      </c>
      <c r="V323" s="19" t="n">
        <f aca="false">SUMIFS(Permissions!$F$2:$F$3000,Permissions!$B$2:$B$3000,$A323,Permissions!$H$2:$H$3000,"Permitted – not started",Permissions!$I$2:$I$3000,"Yes")</f>
        <v>0</v>
      </c>
      <c r="W323" s="19" t="n">
        <f aca="false">SUMIFS(Permissions!$F$2:$F$3000,Permissions!$B$2:$B$3000,$A323,Permissions!$H$2:$H$3000,"Stalled",Permissions!$I$2:$I$3000,"Yes")</f>
        <v>0</v>
      </c>
      <c r="X323" s="19" t="n">
        <f aca="false">T323+U323+V323+W323</f>
        <v>18</v>
      </c>
      <c r="Y323" s="19" t="n">
        <f aca="false">SUMIFS(Permissions!$F$2:$F$3000,Permissions!$B$2:$B$3000,$A323,Permissions!$H$2:$H$3000,"Expired – not started",Permissions!$I$2:$I$3000,"Yes")</f>
        <v>0</v>
      </c>
      <c r="Z323" s="19" t="n">
        <f aca="false">SUMIFS(Permissions!$F$2:$F$3000,Permissions!$B$2:$B$3000,$A323,Permissions!$H$2:$H$3000,"In planning",Permissions!$I$2:$I$3000,"Yes")</f>
        <v>0</v>
      </c>
      <c r="AA323" s="19" t="n">
        <f aca="false">IF(N323="",0,MAX(N323-X323,0))</f>
        <v>0</v>
      </c>
      <c r="AB323" s="20" t="n">
        <f aca="false">X323+AA323</f>
        <v>18</v>
      </c>
      <c r="AC323" s="19" t="n">
        <f aca="false">AB323-T323</f>
        <v>18</v>
      </c>
      <c r="AD323" s="21" t="n">
        <f aca="false">SUMIFS(Permissions!$T$2:$T$3000,Permissions!$B$2:$B$3000,$A323,Permissions!$I$2:$I$3000,"Yes")</f>
        <v>0</v>
      </c>
      <c r="AE323" s="21" t="n">
        <f aca="false">SUMIFS(Permissions!$U$2:$U$3000,Permissions!$B$2:$B$3000,$A323,Permissions!$I$2:$I$3000,"Yes")</f>
        <v>10.2</v>
      </c>
      <c r="AF323" s="21" t="n">
        <f aca="false">SUMIFS(Permissions!$V$2:$V$3000,Permissions!$B$2:$B$3000,$A323,Permissions!$I$2:$I$3000,"Yes")</f>
        <v>7.8</v>
      </c>
      <c r="AG323" s="21" t="n">
        <f aca="false">SUMIFS(Permissions!$W$2:$W$3000,Permissions!$B$2:$B$3000,$A323,Permissions!$I$2:$I$3000,"Yes")</f>
        <v>0</v>
      </c>
      <c r="AH323" s="21" t="n">
        <f aca="false">SUMIFS(Permissions!$X$2:$X$3000,Permissions!$B$2:$B$3000,$A323,Permissions!$I$2:$I$3000,"Yes")</f>
        <v>0</v>
      </c>
      <c r="AI323" s="21" t="n">
        <f aca="false">SUMIFS(Permissions!$Y$2:$Y$3000,Permissions!$B$2:$B$3000,$A323,Permissions!$I$2:$I$3000,"Yes")</f>
        <v>0</v>
      </c>
      <c r="AJ323" s="19" t="n">
        <f aca="false">COUNTIFS(Permissions!$B$2:$B$3000,$A323,Permissions!$I$2:$I$3000,"Yes")</f>
        <v>1</v>
      </c>
      <c r="AK323" s="22" t="str">
        <f aca="false">IF(AND(N323&lt;&gt;"",X323&gt;1.1*N323),"Consented above capacity",IF(AND(LEFT(B323,8)="Planning",AJ323=0),"Consent parcel with no permission",IF(COUNTIF($A$2:$A$3000,$A323)&gt;1,"Duplicate parcel_id","")))</f>
        <v/>
      </c>
    </row>
  </sheetData>
  <autoFilter ref="A1:AK323"/>
  <conditionalFormatting sqref="AK2:AK3000">
    <cfRule type="expression" priority="2" aboveAverage="0" equalAverage="0" bottom="0" percent="0" rank="0" text="" dxfId="0">
      <formula>LEN(AK2)&gt;0</formula>
    </cfRule>
  </conditionalFormatting>
  <dataValidations count="2">
    <dataValidation allowBlank="true" error="Pick a value from the list." errorStyle="stop" errorTitle="Not in list" operator="between" showDropDown="false" showErrorMessage="true" showInputMessage="false" sqref="B2:B1323" type="list">
      <formula1>Lists!$C$2:$C$5</formula1>
      <formula2>0</formula2>
    </dataValidation>
    <dataValidation allowBlank="true" error="Pick a value from the list." errorStyle="stop" errorTitle="Not in list" operator="between" showDropDown="false" showErrorMessage="true" showInputMessage="false" sqref="C2:C1323" type="list">
      <formula1>Lists!$D$2:$D$3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36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22"/>
    <col collapsed="false" customWidth="true" hidden="false" outlineLevel="0" max="12" min="11" style="0" width="18"/>
    <col collapsed="false" customWidth="true" hidden="false" outlineLevel="0" max="13" min="13" style="0" width="20"/>
    <col collapsed="false" customWidth="true" hidden="false" outlineLevel="0" max="26" min="14" style="0" width="11"/>
    <col collapsed="false" customWidth="true" hidden="false" outlineLevel="0" max="27" min="27" style="0" width="18"/>
    <col collapsed="false" customWidth="true" hidden="false" outlineLevel="0" max="28" min="28" style="0" width="11"/>
    <col collapsed="false" customWidth="true" hidden="false" outlineLevel="0" max="29" min="29" style="0" width="30"/>
    <col collapsed="false" customWidth="true" hidden="false" outlineLevel="0" max="30" min="30" style="0" width="22"/>
  </cols>
  <sheetData>
    <row r="1" customFormat="false" ht="42" hidden="false" customHeight="true" outlineLevel="0" collapsed="false">
      <c r="A1" s="16" t="s">
        <v>663</v>
      </c>
      <c r="B1" s="16" t="s">
        <v>50</v>
      </c>
      <c r="C1" s="16" t="s">
        <v>664</v>
      </c>
      <c r="D1" s="16" t="s">
        <v>665</v>
      </c>
      <c r="E1" s="16" t="s">
        <v>666</v>
      </c>
      <c r="F1" s="16" t="s">
        <v>667</v>
      </c>
      <c r="G1" s="16" t="s">
        <v>668</v>
      </c>
      <c r="H1" s="16" t="s">
        <v>669</v>
      </c>
      <c r="I1" s="16" t="s">
        <v>670</v>
      </c>
      <c r="J1" s="16" t="s">
        <v>671</v>
      </c>
      <c r="K1" s="16" t="s">
        <v>672</v>
      </c>
      <c r="L1" s="16" t="s">
        <v>673</v>
      </c>
      <c r="M1" s="16" t="s">
        <v>674</v>
      </c>
      <c r="N1" s="16" t="s">
        <v>675</v>
      </c>
      <c r="O1" s="16" t="s">
        <v>676</v>
      </c>
      <c r="P1" s="16" t="s">
        <v>677</v>
      </c>
      <c r="Q1" s="16" t="s">
        <v>678</v>
      </c>
      <c r="R1" s="16" t="s">
        <v>679</v>
      </c>
      <c r="S1" s="16" t="s">
        <v>680</v>
      </c>
      <c r="T1" s="16" t="s">
        <v>79</v>
      </c>
      <c r="U1" s="16" t="s">
        <v>80</v>
      </c>
      <c r="V1" s="16" t="s">
        <v>81</v>
      </c>
      <c r="W1" s="16" t="s">
        <v>82</v>
      </c>
      <c r="X1" s="16" t="s">
        <v>83</v>
      </c>
      <c r="Y1" s="16" t="s">
        <v>84</v>
      </c>
      <c r="Z1" s="16" t="s">
        <v>681</v>
      </c>
      <c r="AA1" s="16" t="s">
        <v>682</v>
      </c>
      <c r="AB1" s="16" t="s">
        <v>683</v>
      </c>
      <c r="AC1" s="16" t="s">
        <v>66</v>
      </c>
      <c r="AD1" s="17" t="s">
        <v>684</v>
      </c>
    </row>
    <row r="2" customFormat="false" ht="15" hidden="false" customHeight="false" outlineLevel="0" collapsed="false">
      <c r="A2" s="18" t="s">
        <v>685</v>
      </c>
      <c r="B2" s="18" t="s">
        <v>110</v>
      </c>
      <c r="C2" s="18" t="s">
        <v>686</v>
      </c>
      <c r="D2" s="18" t="s">
        <v>686</v>
      </c>
      <c r="E2" s="18" t="s">
        <v>687</v>
      </c>
      <c r="F2" s="18" t="n">
        <v>165</v>
      </c>
      <c r="G2" s="18"/>
      <c r="H2" s="18" t="s">
        <v>688</v>
      </c>
      <c r="I2" s="18" t="s">
        <v>689</v>
      </c>
      <c r="J2" s="18" t="s">
        <v>690</v>
      </c>
      <c r="K2" s="18" t="s">
        <v>691</v>
      </c>
      <c r="L2" s="18" t="s">
        <v>105</v>
      </c>
      <c r="M2" s="18" t="s">
        <v>692</v>
      </c>
      <c r="N2" s="18" t="s">
        <v>693</v>
      </c>
      <c r="O2" s="18" t="s">
        <v>694</v>
      </c>
      <c r="P2" s="18"/>
      <c r="Q2" s="18" t="s">
        <v>695</v>
      </c>
      <c r="R2" s="18" t="s">
        <v>696</v>
      </c>
      <c r="S2" s="18" t="s">
        <v>697</v>
      </c>
      <c r="T2" s="18" t="n">
        <v>0</v>
      </c>
      <c r="U2" s="18" t="n">
        <v>0</v>
      </c>
      <c r="V2" s="18" t="n">
        <v>34.9</v>
      </c>
      <c r="W2" s="18" t="n">
        <v>72.3</v>
      </c>
      <c r="X2" s="18" t="n">
        <v>57.8</v>
      </c>
      <c r="Y2" s="18" t="n">
        <v>0</v>
      </c>
      <c r="Z2" s="18" t="s">
        <v>698</v>
      </c>
      <c r="AA2" s="18" t="s">
        <v>699</v>
      </c>
      <c r="AB2" s="18" t="s">
        <v>98</v>
      </c>
      <c r="AC2" s="18"/>
      <c r="AD2" s="23" t="str">
        <f aca="false">IF(A2="","",IF(COUNTIF(Parcels!$A$2:$A$3000,B2)=0,"Parcel not found",IF(COUNTIF($A$2:$A$3000,A2)&gt;1,"Duplicate perm_id",IF(AND(I2="Yes",C2&lt;&gt;"",COUNTIFS($C$2:$C$3000,C2,$I$2:$I$3000,"Yes")&gt;1),"Reference counted twice",IF(COUNTIF(Lists!$A$2:$A$7,H2)=0,"Unknown status","")))))</f>
        <v/>
      </c>
    </row>
    <row r="3" customFormat="false" ht="15" hidden="false" customHeight="false" outlineLevel="0" collapsed="false">
      <c r="A3" s="18" t="s">
        <v>700</v>
      </c>
      <c r="B3" s="18" t="s">
        <v>164</v>
      </c>
      <c r="C3" s="18" t="s">
        <v>701</v>
      </c>
      <c r="D3" s="18" t="s">
        <v>701</v>
      </c>
      <c r="E3" s="18" t="s">
        <v>702</v>
      </c>
      <c r="F3" s="18" t="n">
        <v>8</v>
      </c>
      <c r="G3" s="18"/>
      <c r="H3" s="18" t="s">
        <v>703</v>
      </c>
      <c r="I3" s="18" t="s">
        <v>689</v>
      </c>
      <c r="J3" s="18" t="s">
        <v>690</v>
      </c>
      <c r="K3" s="18" t="s">
        <v>691</v>
      </c>
      <c r="L3" s="18" t="s">
        <v>105</v>
      </c>
      <c r="M3" s="18" t="s">
        <v>704</v>
      </c>
      <c r="N3" s="18" t="s">
        <v>705</v>
      </c>
      <c r="O3" s="18" t="s">
        <v>706</v>
      </c>
      <c r="P3" s="18"/>
      <c r="Q3" s="18"/>
      <c r="R3" s="18"/>
      <c r="S3" s="18" t="s">
        <v>707</v>
      </c>
      <c r="T3" s="18" t="n">
        <v>0</v>
      </c>
      <c r="U3" s="18" t="n">
        <v>0</v>
      </c>
      <c r="V3" s="18" t="n">
        <v>0</v>
      </c>
      <c r="W3" s="18" t="n">
        <v>0</v>
      </c>
      <c r="X3" s="18" t="n">
        <v>0</v>
      </c>
      <c r="Y3" s="18" t="n">
        <v>0</v>
      </c>
      <c r="Z3" s="18" t="s">
        <v>698</v>
      </c>
      <c r="AA3" s="18" t="s">
        <v>699</v>
      </c>
      <c r="AB3" s="18" t="s">
        <v>98</v>
      </c>
      <c r="AC3" s="18"/>
      <c r="AD3" s="23" t="str">
        <f aca="false">IF(A3="","",IF(COUNTIF(Parcels!$A$2:$A$3000,B3)=0,"Parcel not found",IF(COUNTIF($A$2:$A$3000,A3)&gt;1,"Duplicate perm_id",IF(AND(I3="Yes",C3&lt;&gt;"",COUNTIFS($C$2:$C$3000,C3,$I$2:$I$3000,"Yes")&gt;1),"Reference counted twice",IF(COUNTIF(Lists!$A$2:$A$7,H3)=0,"Unknown status","")))))</f>
        <v/>
      </c>
    </row>
    <row r="4" customFormat="false" ht="15" hidden="false" customHeight="false" outlineLevel="0" collapsed="false">
      <c r="A4" s="18" t="s">
        <v>708</v>
      </c>
      <c r="B4" s="18" t="s">
        <v>170</v>
      </c>
      <c r="C4" s="18" t="s">
        <v>709</v>
      </c>
      <c r="D4" s="18" t="s">
        <v>709</v>
      </c>
      <c r="E4" s="18" t="s">
        <v>710</v>
      </c>
      <c r="F4" s="18" t="n">
        <v>36</v>
      </c>
      <c r="G4" s="18"/>
      <c r="H4" s="18" t="s">
        <v>711</v>
      </c>
      <c r="I4" s="18" t="s">
        <v>689</v>
      </c>
      <c r="J4" s="18" t="s">
        <v>712</v>
      </c>
      <c r="K4" s="18" t="s">
        <v>713</v>
      </c>
      <c r="L4" s="18" t="s">
        <v>714</v>
      </c>
      <c r="M4" s="18" t="s">
        <v>715</v>
      </c>
      <c r="N4" s="18" t="s">
        <v>716</v>
      </c>
      <c r="O4" s="18"/>
      <c r="P4" s="18" t="s">
        <v>717</v>
      </c>
      <c r="Q4" s="18" t="s">
        <v>718</v>
      </c>
      <c r="R4" s="18" t="s">
        <v>719</v>
      </c>
      <c r="S4" s="18" t="s">
        <v>720</v>
      </c>
      <c r="T4" s="18" t="n">
        <v>8.4</v>
      </c>
      <c r="U4" s="18" t="n">
        <v>27.6</v>
      </c>
      <c r="V4" s="18" t="n">
        <v>0</v>
      </c>
      <c r="W4" s="18" t="n">
        <v>0</v>
      </c>
      <c r="X4" s="18" t="n">
        <v>0</v>
      </c>
      <c r="Y4" s="18" t="n">
        <v>0</v>
      </c>
      <c r="Z4" s="18" t="s">
        <v>698</v>
      </c>
      <c r="AA4" s="18" t="s">
        <v>699</v>
      </c>
      <c r="AB4" s="18" t="s">
        <v>98</v>
      </c>
      <c r="AC4" s="18"/>
      <c r="AD4" s="23" t="str">
        <f aca="false">IF(A4="","",IF(COUNTIF(Parcels!$A$2:$A$3000,B4)=0,"Parcel not found",IF(COUNTIF($A$2:$A$3000,A4)&gt;1,"Duplicate perm_id",IF(AND(I4="Yes",C4&lt;&gt;"",COUNTIFS($C$2:$C$3000,C4,$I$2:$I$3000,"Yes")&gt;1),"Reference counted twice",IF(COUNTIF(Lists!$A$2:$A$7,H4)=0,"Unknown status","")))))</f>
        <v/>
      </c>
    </row>
    <row r="5" customFormat="false" ht="15" hidden="false" customHeight="false" outlineLevel="0" collapsed="false">
      <c r="A5" s="18" t="s">
        <v>721</v>
      </c>
      <c r="B5" s="18" t="s">
        <v>171</v>
      </c>
      <c r="C5" s="18" t="s">
        <v>722</v>
      </c>
      <c r="D5" s="18" t="s">
        <v>722</v>
      </c>
      <c r="E5" s="18" t="s">
        <v>723</v>
      </c>
      <c r="F5" s="18" t="n">
        <v>4</v>
      </c>
      <c r="G5" s="18"/>
      <c r="H5" s="18" t="s">
        <v>724</v>
      </c>
      <c r="I5" s="18" t="s">
        <v>689</v>
      </c>
      <c r="J5" s="18" t="s">
        <v>690</v>
      </c>
      <c r="K5" s="18" t="s">
        <v>691</v>
      </c>
      <c r="L5" s="18" t="s">
        <v>105</v>
      </c>
      <c r="M5" s="18" t="s">
        <v>704</v>
      </c>
      <c r="N5" s="18"/>
      <c r="O5" s="18"/>
      <c r="P5" s="18"/>
      <c r="Q5" s="18"/>
      <c r="R5" s="18"/>
      <c r="S5" s="18" t="s">
        <v>707</v>
      </c>
      <c r="T5" s="18" t="n">
        <v>0</v>
      </c>
      <c r="U5" s="18" t="n">
        <v>0</v>
      </c>
      <c r="V5" s="18" t="n">
        <v>0</v>
      </c>
      <c r="W5" s="18" t="n">
        <v>0</v>
      </c>
      <c r="X5" s="18" t="n">
        <v>0</v>
      </c>
      <c r="Y5" s="18" t="n">
        <v>0</v>
      </c>
      <c r="Z5" s="18" t="s">
        <v>698</v>
      </c>
      <c r="AA5" s="18" t="s">
        <v>699</v>
      </c>
      <c r="AB5" s="18" t="s">
        <v>98</v>
      </c>
      <c r="AC5" s="18"/>
      <c r="AD5" s="23" t="str">
        <f aca="false">IF(A5="","",IF(COUNTIF(Parcels!$A$2:$A$3000,B5)=0,"Parcel not found",IF(COUNTIF($A$2:$A$3000,A5)&gt;1,"Duplicate perm_id",IF(AND(I5="Yes",C5&lt;&gt;"",COUNTIFS($C$2:$C$3000,C5,$I$2:$I$3000,"Yes")&gt;1),"Reference counted twice",IF(COUNTIF(Lists!$A$2:$A$7,H5)=0,"Unknown status","")))))</f>
        <v/>
      </c>
    </row>
    <row r="6" customFormat="false" ht="15" hidden="false" customHeight="false" outlineLevel="0" collapsed="false">
      <c r="A6" s="18" t="s">
        <v>725</v>
      </c>
      <c r="B6" s="18" t="s">
        <v>171</v>
      </c>
      <c r="C6" s="18" t="s">
        <v>726</v>
      </c>
      <c r="D6" s="18" t="s">
        <v>726</v>
      </c>
      <c r="E6" s="18" t="s">
        <v>727</v>
      </c>
      <c r="F6" s="18" t="n">
        <v>11</v>
      </c>
      <c r="G6" s="18"/>
      <c r="H6" s="18" t="s">
        <v>728</v>
      </c>
      <c r="I6" s="18" t="s">
        <v>689</v>
      </c>
      <c r="J6" s="18" t="s">
        <v>690</v>
      </c>
      <c r="K6" s="18" t="s">
        <v>713</v>
      </c>
      <c r="L6" s="18" t="s">
        <v>714</v>
      </c>
      <c r="M6" s="18" t="s">
        <v>715</v>
      </c>
      <c r="N6" s="18" t="s">
        <v>729</v>
      </c>
      <c r="O6" s="18"/>
      <c r="P6" s="18" t="s">
        <v>730</v>
      </c>
      <c r="Q6" s="18"/>
      <c r="R6" s="18"/>
      <c r="S6" s="18" t="s">
        <v>731</v>
      </c>
      <c r="T6" s="18" t="n">
        <v>0</v>
      </c>
      <c r="U6" s="18" t="n">
        <v>0</v>
      </c>
      <c r="V6" s="18" t="n">
        <v>0</v>
      </c>
      <c r="W6" s="18" t="n">
        <v>0</v>
      </c>
      <c r="X6" s="18" t="n">
        <v>0</v>
      </c>
      <c r="Y6" s="18" t="n">
        <v>0</v>
      </c>
      <c r="Z6" s="18" t="s">
        <v>698</v>
      </c>
      <c r="AA6" s="18" t="s">
        <v>699</v>
      </c>
      <c r="AB6" s="18" t="s">
        <v>98</v>
      </c>
      <c r="AC6" s="18"/>
      <c r="AD6" s="23" t="str">
        <f aca="false">IF(A6="","",IF(COUNTIF(Parcels!$A$2:$A$3000,B6)=0,"Parcel not found",IF(COUNTIF($A$2:$A$3000,A6)&gt;1,"Duplicate perm_id",IF(AND(I6="Yes",C6&lt;&gt;"",COUNTIFS($C$2:$C$3000,C6,$I$2:$I$3000,"Yes")&gt;1),"Reference counted twice",IF(COUNTIF(Lists!$A$2:$A$7,H6)=0,"Unknown status","")))))</f>
        <v/>
      </c>
    </row>
    <row r="7" customFormat="false" ht="15" hidden="false" customHeight="false" outlineLevel="0" collapsed="false">
      <c r="A7" s="18" t="s">
        <v>732</v>
      </c>
      <c r="B7" s="18" t="s">
        <v>256</v>
      </c>
      <c r="C7" s="18" t="s">
        <v>733</v>
      </c>
      <c r="D7" s="18" t="s">
        <v>733</v>
      </c>
      <c r="E7" s="18" t="s">
        <v>734</v>
      </c>
      <c r="F7" s="18" t="n">
        <v>10</v>
      </c>
      <c r="G7" s="18"/>
      <c r="H7" s="18" t="s">
        <v>688</v>
      </c>
      <c r="I7" s="18" t="s">
        <v>689</v>
      </c>
      <c r="J7" s="18" t="s">
        <v>690</v>
      </c>
      <c r="K7" s="18" t="s">
        <v>691</v>
      </c>
      <c r="L7" s="18" t="s">
        <v>105</v>
      </c>
      <c r="M7" s="18" t="s">
        <v>704</v>
      </c>
      <c r="N7" s="18" t="s">
        <v>735</v>
      </c>
      <c r="O7" s="18" t="s">
        <v>736</v>
      </c>
      <c r="P7" s="18"/>
      <c r="Q7" s="18" t="s">
        <v>737</v>
      </c>
      <c r="R7" s="18" t="s">
        <v>738</v>
      </c>
      <c r="S7" s="18" t="s">
        <v>739</v>
      </c>
      <c r="T7" s="18" t="n">
        <v>0</v>
      </c>
      <c r="U7" s="18" t="n">
        <v>0</v>
      </c>
      <c r="V7" s="18" t="n">
        <v>8.4</v>
      </c>
      <c r="W7" s="18" t="n">
        <v>1.6</v>
      </c>
      <c r="X7" s="18" t="n">
        <v>0</v>
      </c>
      <c r="Y7" s="18" t="n">
        <v>0</v>
      </c>
      <c r="Z7" s="18" t="s">
        <v>698</v>
      </c>
      <c r="AA7" s="18" t="s">
        <v>699</v>
      </c>
      <c r="AB7" s="18" t="s">
        <v>98</v>
      </c>
      <c r="AC7" s="18"/>
      <c r="AD7" s="23" t="str">
        <f aca="false">IF(A7="","",IF(COUNTIF(Parcels!$A$2:$A$3000,B7)=0,"Parcel not found",IF(COUNTIF($A$2:$A$3000,A7)&gt;1,"Duplicate perm_id",IF(AND(I7="Yes",C7&lt;&gt;"",COUNTIFS($C$2:$C$3000,C7,$I$2:$I$3000,"Yes")&gt;1),"Reference counted twice",IF(COUNTIF(Lists!$A$2:$A$7,H7)=0,"Unknown status","")))))</f>
        <v/>
      </c>
    </row>
    <row r="8" customFormat="false" ht="15" hidden="false" customHeight="false" outlineLevel="0" collapsed="false">
      <c r="A8" s="18" t="s">
        <v>740</v>
      </c>
      <c r="B8" s="18" t="s">
        <v>118</v>
      </c>
      <c r="C8" s="18" t="s">
        <v>741</v>
      </c>
      <c r="D8" s="18" t="s">
        <v>741</v>
      </c>
      <c r="E8" s="18" t="s">
        <v>742</v>
      </c>
      <c r="F8" s="18" t="n">
        <v>115</v>
      </c>
      <c r="G8" s="18"/>
      <c r="H8" s="18" t="s">
        <v>711</v>
      </c>
      <c r="I8" s="18" t="s">
        <v>689</v>
      </c>
      <c r="J8" s="18" t="s">
        <v>690</v>
      </c>
      <c r="K8" s="18" t="s">
        <v>713</v>
      </c>
      <c r="L8" s="18" t="s">
        <v>743</v>
      </c>
      <c r="M8" s="18" t="s">
        <v>704</v>
      </c>
      <c r="N8" s="18" t="s">
        <v>744</v>
      </c>
      <c r="O8" s="18" t="s">
        <v>745</v>
      </c>
      <c r="P8" s="18" t="s">
        <v>746</v>
      </c>
      <c r="Q8" s="18" t="s">
        <v>747</v>
      </c>
      <c r="R8" s="18" t="s">
        <v>748</v>
      </c>
      <c r="S8" s="18" t="s">
        <v>720</v>
      </c>
      <c r="T8" s="18" t="n">
        <v>0</v>
      </c>
      <c r="U8" s="18" t="n">
        <v>51.6</v>
      </c>
      <c r="V8" s="18" t="n">
        <v>63.4</v>
      </c>
      <c r="W8" s="18" t="n">
        <v>0</v>
      </c>
      <c r="X8" s="18" t="n">
        <v>0</v>
      </c>
      <c r="Y8" s="18" t="n">
        <v>0</v>
      </c>
      <c r="Z8" s="18" t="s">
        <v>698</v>
      </c>
      <c r="AA8" s="18" t="s">
        <v>699</v>
      </c>
      <c r="AB8" s="18" t="s">
        <v>98</v>
      </c>
      <c r="AC8" s="18"/>
      <c r="AD8" s="23" t="str">
        <f aca="false">IF(A8="","",IF(COUNTIF(Parcels!$A$2:$A$3000,B8)=0,"Parcel not found",IF(COUNTIF($A$2:$A$3000,A8)&gt;1,"Duplicate perm_id",IF(AND(I8="Yes",C8&lt;&gt;"",COUNTIFS($C$2:$C$3000,C8,$I$2:$I$3000,"Yes")&gt;1),"Reference counted twice",IF(COUNTIF(Lists!$A$2:$A$7,H8)=0,"Unknown status","")))))</f>
        <v/>
      </c>
    </row>
    <row r="9" customFormat="false" ht="15" hidden="false" customHeight="false" outlineLevel="0" collapsed="false">
      <c r="A9" s="18" t="s">
        <v>749</v>
      </c>
      <c r="B9" s="18" t="s">
        <v>271</v>
      </c>
      <c r="C9" s="18" t="s">
        <v>750</v>
      </c>
      <c r="D9" s="18" t="s">
        <v>750</v>
      </c>
      <c r="E9" s="18" t="s">
        <v>751</v>
      </c>
      <c r="F9" s="18" t="n">
        <v>57</v>
      </c>
      <c r="G9" s="18"/>
      <c r="H9" s="18" t="s">
        <v>724</v>
      </c>
      <c r="I9" s="18" t="s">
        <v>689</v>
      </c>
      <c r="J9" s="18" t="s">
        <v>690</v>
      </c>
      <c r="K9" s="18" t="s">
        <v>713</v>
      </c>
      <c r="L9" s="18" t="s">
        <v>714</v>
      </c>
      <c r="M9" s="18" t="s">
        <v>715</v>
      </c>
      <c r="N9" s="18"/>
      <c r="O9" s="18"/>
      <c r="P9" s="18"/>
      <c r="Q9" s="18"/>
      <c r="R9" s="18"/>
      <c r="S9" s="18" t="s">
        <v>707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s">
        <v>698</v>
      </c>
      <c r="AA9" s="18" t="s">
        <v>699</v>
      </c>
      <c r="AB9" s="18" t="s">
        <v>98</v>
      </c>
      <c r="AC9" s="18"/>
      <c r="AD9" s="23" t="str">
        <f aca="false">IF(A9="","",IF(COUNTIF(Parcels!$A$2:$A$3000,B9)=0,"Parcel not found",IF(COUNTIF($A$2:$A$3000,A9)&gt;1,"Duplicate perm_id",IF(AND(I9="Yes",C9&lt;&gt;"",COUNTIFS($C$2:$C$3000,C9,$I$2:$I$3000,"Yes")&gt;1),"Reference counted twice",IF(COUNTIF(Lists!$A$2:$A$7,H9)=0,"Unknown status","")))))</f>
        <v/>
      </c>
    </row>
    <row r="10" customFormat="false" ht="15" hidden="false" customHeight="false" outlineLevel="0" collapsed="false">
      <c r="A10" s="18" t="s">
        <v>752</v>
      </c>
      <c r="B10" s="18" t="s">
        <v>106</v>
      </c>
      <c r="C10" s="18" t="s">
        <v>753</v>
      </c>
      <c r="D10" s="18" t="s">
        <v>753</v>
      </c>
      <c r="E10" s="18" t="s">
        <v>754</v>
      </c>
      <c r="F10" s="18" t="n">
        <v>371</v>
      </c>
      <c r="G10" s="18"/>
      <c r="H10" s="18" t="s">
        <v>711</v>
      </c>
      <c r="I10" s="18" t="s">
        <v>689</v>
      </c>
      <c r="J10" s="18" t="s">
        <v>690</v>
      </c>
      <c r="K10" s="18" t="s">
        <v>691</v>
      </c>
      <c r="L10" s="18" t="s">
        <v>105</v>
      </c>
      <c r="M10" s="18" t="s">
        <v>692</v>
      </c>
      <c r="N10" s="18" t="s">
        <v>755</v>
      </c>
      <c r="O10" s="18" t="s">
        <v>756</v>
      </c>
      <c r="P10" s="18" t="s">
        <v>757</v>
      </c>
      <c r="Q10" s="18" t="s">
        <v>758</v>
      </c>
      <c r="R10" s="18" t="s">
        <v>696</v>
      </c>
      <c r="S10" s="18" t="s">
        <v>720</v>
      </c>
      <c r="T10" s="18" t="n">
        <v>20.6</v>
      </c>
      <c r="U10" s="18" t="n">
        <v>88.5</v>
      </c>
      <c r="V10" s="18" t="n">
        <v>88.5</v>
      </c>
      <c r="W10" s="18" t="n">
        <v>88.5</v>
      </c>
      <c r="X10" s="18" t="n">
        <v>84.9</v>
      </c>
      <c r="Y10" s="18" t="n">
        <v>0</v>
      </c>
      <c r="Z10" s="18" t="s">
        <v>698</v>
      </c>
      <c r="AA10" s="18" t="s">
        <v>699</v>
      </c>
      <c r="AB10" s="18" t="s">
        <v>98</v>
      </c>
      <c r="AC10" s="18"/>
      <c r="AD10" s="23" t="str">
        <f aca="false">IF(A10="","",IF(COUNTIF(Parcels!$A$2:$A$3000,B10)=0,"Parcel not found",IF(COUNTIF($A$2:$A$3000,A10)&gt;1,"Duplicate perm_id",IF(AND(I10="Yes",C10&lt;&gt;"",COUNTIFS($C$2:$C$3000,C10,$I$2:$I$3000,"Yes")&gt;1),"Reference counted twice",IF(COUNTIF(Lists!$A$2:$A$7,H10)=0,"Unknown status","")))))</f>
        <v/>
      </c>
    </row>
    <row r="11" customFormat="false" ht="15" hidden="false" customHeight="false" outlineLevel="0" collapsed="false">
      <c r="A11" s="18" t="s">
        <v>759</v>
      </c>
      <c r="B11" s="18" t="s">
        <v>206</v>
      </c>
      <c r="C11" s="18" t="s">
        <v>760</v>
      </c>
      <c r="D11" s="18" t="s">
        <v>760</v>
      </c>
      <c r="E11" s="18" t="s">
        <v>761</v>
      </c>
      <c r="F11" s="18" t="n">
        <v>384</v>
      </c>
      <c r="G11" s="18"/>
      <c r="H11" s="18" t="s">
        <v>711</v>
      </c>
      <c r="I11" s="18" t="s">
        <v>689</v>
      </c>
      <c r="J11" s="18" t="s">
        <v>690</v>
      </c>
      <c r="K11" s="18" t="s">
        <v>691</v>
      </c>
      <c r="L11" s="18" t="s">
        <v>105</v>
      </c>
      <c r="M11" s="18" t="s">
        <v>692</v>
      </c>
      <c r="N11" s="18" t="s">
        <v>762</v>
      </c>
      <c r="O11" s="18" t="s">
        <v>763</v>
      </c>
      <c r="P11" s="18" t="s">
        <v>764</v>
      </c>
      <c r="Q11" s="18" t="s">
        <v>765</v>
      </c>
      <c r="R11" s="18" t="s">
        <v>766</v>
      </c>
      <c r="S11" s="18" t="s">
        <v>720</v>
      </c>
      <c r="T11" s="18" t="n">
        <v>17.2</v>
      </c>
      <c r="U11" s="18" t="n">
        <v>74.1</v>
      </c>
      <c r="V11" s="18" t="n">
        <v>74.1</v>
      </c>
      <c r="W11" s="18" t="n">
        <v>74.1</v>
      </c>
      <c r="X11" s="18" t="n">
        <v>74.1</v>
      </c>
      <c r="Y11" s="18" t="n">
        <v>70.4</v>
      </c>
      <c r="Z11" s="18" t="s">
        <v>698</v>
      </c>
      <c r="AA11" s="18" t="s">
        <v>699</v>
      </c>
      <c r="AB11" s="18" t="s">
        <v>98</v>
      </c>
      <c r="AC11" s="18"/>
      <c r="AD11" s="23" t="str">
        <f aca="false">IF(A11="","",IF(COUNTIF(Parcels!$A$2:$A$3000,B11)=0,"Parcel not found",IF(COUNTIF($A$2:$A$3000,A11)&gt;1,"Duplicate perm_id",IF(AND(I11="Yes",C11&lt;&gt;"",COUNTIFS($C$2:$C$3000,C11,$I$2:$I$3000,"Yes")&gt;1),"Reference counted twice",IF(COUNTIF(Lists!$A$2:$A$7,H11)=0,"Unknown status","")))))</f>
        <v/>
      </c>
    </row>
    <row r="12" customFormat="false" ht="15" hidden="false" customHeight="false" outlineLevel="0" collapsed="false">
      <c r="A12" s="18" t="s">
        <v>767</v>
      </c>
      <c r="B12" s="18" t="s">
        <v>211</v>
      </c>
      <c r="C12" s="18" t="s">
        <v>768</v>
      </c>
      <c r="D12" s="18" t="s">
        <v>768</v>
      </c>
      <c r="E12" s="18" t="s">
        <v>769</v>
      </c>
      <c r="F12" s="18" t="n">
        <v>139</v>
      </c>
      <c r="G12" s="18"/>
      <c r="H12" s="18" t="s">
        <v>688</v>
      </c>
      <c r="I12" s="18" t="s">
        <v>689</v>
      </c>
      <c r="J12" s="18" t="s">
        <v>690</v>
      </c>
      <c r="K12" s="18" t="s">
        <v>691</v>
      </c>
      <c r="L12" s="18" t="s">
        <v>105</v>
      </c>
      <c r="M12" s="18" t="s">
        <v>770</v>
      </c>
      <c r="N12" s="18" t="s">
        <v>771</v>
      </c>
      <c r="O12" s="18" t="s">
        <v>772</v>
      </c>
      <c r="P12" s="18"/>
      <c r="Q12" s="18" t="s">
        <v>737</v>
      </c>
      <c r="R12" s="18" t="s">
        <v>773</v>
      </c>
      <c r="S12" s="18" t="s">
        <v>739</v>
      </c>
      <c r="T12" s="18" t="n">
        <v>0</v>
      </c>
      <c r="U12" s="18" t="n">
        <v>0</v>
      </c>
      <c r="V12" s="18" t="n">
        <v>43.2</v>
      </c>
      <c r="W12" s="18" t="n">
        <v>78.7</v>
      </c>
      <c r="X12" s="18" t="n">
        <v>17</v>
      </c>
      <c r="Y12" s="18" t="n">
        <v>0.1</v>
      </c>
      <c r="Z12" s="18" t="s">
        <v>698</v>
      </c>
      <c r="AA12" s="18" t="s">
        <v>699</v>
      </c>
      <c r="AB12" s="18" t="s">
        <v>98</v>
      </c>
      <c r="AC12" s="18"/>
      <c r="AD12" s="23" t="str">
        <f aca="false">IF(A12="","",IF(COUNTIF(Parcels!$A$2:$A$3000,B12)=0,"Parcel not found",IF(COUNTIF($A$2:$A$3000,A12)&gt;1,"Duplicate perm_id",IF(AND(I12="Yes",C12&lt;&gt;"",COUNTIFS($C$2:$C$3000,C12,$I$2:$I$3000,"Yes")&gt;1),"Reference counted twice",IF(COUNTIF(Lists!$A$2:$A$7,H12)=0,"Unknown status","")))))</f>
        <v/>
      </c>
    </row>
    <row r="13" customFormat="false" ht="15" hidden="false" customHeight="false" outlineLevel="0" collapsed="false">
      <c r="A13" s="18" t="s">
        <v>774</v>
      </c>
      <c r="B13" s="18" t="s">
        <v>212</v>
      </c>
      <c r="C13" s="18" t="s">
        <v>775</v>
      </c>
      <c r="D13" s="18" t="s">
        <v>775</v>
      </c>
      <c r="E13" s="18" t="s">
        <v>776</v>
      </c>
      <c r="F13" s="18" t="n">
        <v>169</v>
      </c>
      <c r="G13" s="18"/>
      <c r="H13" s="18" t="s">
        <v>688</v>
      </c>
      <c r="I13" s="18" t="s">
        <v>689</v>
      </c>
      <c r="J13" s="18" t="s">
        <v>712</v>
      </c>
      <c r="K13" s="18" t="s">
        <v>691</v>
      </c>
      <c r="L13" s="18" t="s">
        <v>105</v>
      </c>
      <c r="M13" s="18" t="s">
        <v>770</v>
      </c>
      <c r="N13" s="18" t="s">
        <v>777</v>
      </c>
      <c r="O13" s="18" t="s">
        <v>778</v>
      </c>
      <c r="P13" s="18"/>
      <c r="Q13" s="18" t="s">
        <v>779</v>
      </c>
      <c r="R13" s="18" t="s">
        <v>780</v>
      </c>
      <c r="S13" s="18" t="s">
        <v>739</v>
      </c>
      <c r="T13" s="18" t="n">
        <v>0</v>
      </c>
      <c r="U13" s="18" t="n">
        <v>0</v>
      </c>
      <c r="V13" s="18" t="n">
        <v>0</v>
      </c>
      <c r="W13" s="18" t="n">
        <v>50.3</v>
      </c>
      <c r="X13" s="18" t="n">
        <v>71.5</v>
      </c>
      <c r="Y13" s="18" t="n">
        <v>47.2</v>
      </c>
      <c r="Z13" s="18" t="s">
        <v>698</v>
      </c>
      <c r="AA13" s="18" t="s">
        <v>699</v>
      </c>
      <c r="AB13" s="18" t="s">
        <v>98</v>
      </c>
      <c r="AC13" s="18"/>
      <c r="AD13" s="23" t="str">
        <f aca="false">IF(A13="","",IF(COUNTIF(Parcels!$A$2:$A$3000,B13)=0,"Parcel not found",IF(COUNTIF($A$2:$A$3000,A13)&gt;1,"Duplicate perm_id",IF(AND(I13="Yes",C13&lt;&gt;"",COUNTIFS($C$2:$C$3000,C13,$I$2:$I$3000,"Yes")&gt;1),"Reference counted twice",IF(COUNTIF(Lists!$A$2:$A$7,H13)=0,"Unknown status","")))))</f>
        <v/>
      </c>
    </row>
    <row r="14" customFormat="false" ht="15" hidden="false" customHeight="false" outlineLevel="0" collapsed="false">
      <c r="A14" s="18" t="s">
        <v>781</v>
      </c>
      <c r="B14" s="18" t="s">
        <v>212</v>
      </c>
      <c r="C14" s="18" t="s">
        <v>782</v>
      </c>
      <c r="D14" s="18" t="s">
        <v>782</v>
      </c>
      <c r="E14" s="18" t="s">
        <v>783</v>
      </c>
      <c r="F14" s="18" t="n">
        <v>182</v>
      </c>
      <c r="G14" s="18"/>
      <c r="H14" s="18" t="s">
        <v>688</v>
      </c>
      <c r="I14" s="18" t="s">
        <v>689</v>
      </c>
      <c r="J14" s="18" t="s">
        <v>690</v>
      </c>
      <c r="K14" s="18" t="s">
        <v>691</v>
      </c>
      <c r="L14" s="18" t="s">
        <v>105</v>
      </c>
      <c r="M14" s="18" t="s">
        <v>770</v>
      </c>
      <c r="N14" s="18" t="s">
        <v>784</v>
      </c>
      <c r="O14" s="18" t="s">
        <v>785</v>
      </c>
      <c r="P14" s="18"/>
      <c r="Q14" s="18" t="s">
        <v>779</v>
      </c>
      <c r="R14" s="18" t="s">
        <v>786</v>
      </c>
      <c r="S14" s="18" t="s">
        <v>739</v>
      </c>
      <c r="T14" s="18" t="n">
        <v>0</v>
      </c>
      <c r="U14" s="18" t="n">
        <v>0</v>
      </c>
      <c r="V14" s="18" t="n">
        <v>0</v>
      </c>
      <c r="W14" s="18" t="n">
        <v>39.8</v>
      </c>
      <c r="X14" s="18" t="n">
        <v>69.4</v>
      </c>
      <c r="Y14" s="18" t="n">
        <v>72.8</v>
      </c>
      <c r="Z14" s="18" t="s">
        <v>698</v>
      </c>
      <c r="AA14" s="18" t="s">
        <v>699</v>
      </c>
      <c r="AB14" s="18" t="s">
        <v>98</v>
      </c>
      <c r="AC14" s="18"/>
      <c r="AD14" s="23" t="str">
        <f aca="false">IF(A14="","",IF(COUNTIF(Parcels!$A$2:$A$3000,B14)=0,"Parcel not found",IF(COUNTIF($A$2:$A$3000,A14)&gt;1,"Duplicate perm_id",IF(AND(I14="Yes",C14&lt;&gt;"",COUNTIFS($C$2:$C$3000,C14,$I$2:$I$3000,"Yes")&gt;1),"Reference counted twice",IF(COUNTIF(Lists!$A$2:$A$7,H14)=0,"Unknown status","")))))</f>
        <v/>
      </c>
    </row>
    <row r="15" customFormat="false" ht="15" hidden="false" customHeight="false" outlineLevel="0" collapsed="false">
      <c r="A15" s="18" t="s">
        <v>787</v>
      </c>
      <c r="B15" s="18" t="s">
        <v>217</v>
      </c>
      <c r="C15" s="18" t="s">
        <v>788</v>
      </c>
      <c r="D15" s="18" t="s">
        <v>788</v>
      </c>
      <c r="E15" s="18" t="s">
        <v>789</v>
      </c>
      <c r="F15" s="18" t="n">
        <v>250</v>
      </c>
      <c r="G15" s="18"/>
      <c r="H15" s="18" t="s">
        <v>711</v>
      </c>
      <c r="I15" s="18" t="s">
        <v>689</v>
      </c>
      <c r="J15" s="18" t="s">
        <v>690</v>
      </c>
      <c r="K15" s="18" t="s">
        <v>713</v>
      </c>
      <c r="L15" s="18" t="s">
        <v>714</v>
      </c>
      <c r="M15" s="18" t="s">
        <v>715</v>
      </c>
      <c r="N15" s="18" t="s">
        <v>790</v>
      </c>
      <c r="O15" s="18"/>
      <c r="P15" s="18" t="s">
        <v>791</v>
      </c>
      <c r="Q15" s="18" t="s">
        <v>792</v>
      </c>
      <c r="R15" s="18" t="s">
        <v>780</v>
      </c>
      <c r="S15" s="18" t="s">
        <v>720</v>
      </c>
      <c r="T15" s="18" t="n">
        <v>0</v>
      </c>
      <c r="U15" s="18" t="n">
        <v>26.9</v>
      </c>
      <c r="V15" s="18" t="n">
        <v>62.9</v>
      </c>
      <c r="W15" s="18" t="n">
        <v>62.9</v>
      </c>
      <c r="X15" s="18" t="n">
        <v>62.9</v>
      </c>
      <c r="Y15" s="18" t="n">
        <v>34.4</v>
      </c>
      <c r="Z15" s="18" t="s">
        <v>698</v>
      </c>
      <c r="AA15" s="18" t="s">
        <v>699</v>
      </c>
      <c r="AB15" s="18" t="s">
        <v>98</v>
      </c>
      <c r="AC15" s="18"/>
      <c r="AD15" s="23" t="str">
        <f aca="false">IF(A15="","",IF(COUNTIF(Parcels!$A$2:$A$3000,B15)=0,"Parcel not found",IF(COUNTIF($A$2:$A$3000,A15)&gt;1,"Duplicate perm_id",IF(AND(I15="Yes",C15&lt;&gt;"",COUNTIFS($C$2:$C$3000,C15,$I$2:$I$3000,"Yes")&gt;1),"Reference counted twice",IF(COUNTIF(Lists!$A$2:$A$7,H15)=0,"Unknown status","")))))</f>
        <v/>
      </c>
    </row>
    <row r="16" customFormat="false" ht="15" hidden="false" customHeight="false" outlineLevel="0" collapsed="false">
      <c r="A16" s="18" t="s">
        <v>793</v>
      </c>
      <c r="B16" s="18" t="s">
        <v>130</v>
      </c>
      <c r="C16" s="18" t="s">
        <v>794</v>
      </c>
      <c r="D16" s="18" t="s">
        <v>794</v>
      </c>
      <c r="E16" s="18" t="s">
        <v>795</v>
      </c>
      <c r="F16" s="18" t="n">
        <v>31</v>
      </c>
      <c r="G16" s="18"/>
      <c r="H16" s="18" t="s">
        <v>796</v>
      </c>
      <c r="I16" s="18" t="s">
        <v>689</v>
      </c>
      <c r="J16" s="18" t="s">
        <v>690</v>
      </c>
      <c r="K16" s="18" t="s">
        <v>797</v>
      </c>
      <c r="L16" s="18" t="s">
        <v>105</v>
      </c>
      <c r="M16" s="18" t="s">
        <v>704</v>
      </c>
      <c r="N16" s="18" t="s">
        <v>798</v>
      </c>
      <c r="O16" s="18" t="s">
        <v>799</v>
      </c>
      <c r="P16" s="18"/>
      <c r="Q16" s="18"/>
      <c r="R16" s="18"/>
      <c r="S16" s="18" t="s">
        <v>707</v>
      </c>
      <c r="T16" s="18" t="n">
        <v>0</v>
      </c>
      <c r="U16" s="18" t="n">
        <v>0</v>
      </c>
      <c r="V16" s="18" t="n">
        <v>0</v>
      </c>
      <c r="W16" s="18" t="n">
        <v>0</v>
      </c>
      <c r="X16" s="18" t="n">
        <v>0</v>
      </c>
      <c r="Y16" s="18" t="n">
        <v>0</v>
      </c>
      <c r="Z16" s="18" t="s">
        <v>698</v>
      </c>
      <c r="AA16" s="18" t="s">
        <v>699</v>
      </c>
      <c r="AB16" s="18" t="s">
        <v>98</v>
      </c>
      <c r="AC16" s="18"/>
      <c r="AD16" s="23" t="str">
        <f aca="false">IF(A16="","",IF(COUNTIF(Parcels!$A$2:$A$3000,B16)=0,"Parcel not found",IF(COUNTIF($A$2:$A$3000,A16)&gt;1,"Duplicate perm_id",IF(AND(I16="Yes",C16&lt;&gt;"",COUNTIFS($C$2:$C$3000,C16,$I$2:$I$3000,"Yes")&gt;1),"Reference counted twice",IF(COUNTIF(Lists!$A$2:$A$7,H16)=0,"Unknown status","")))))</f>
        <v/>
      </c>
    </row>
    <row r="17" customFormat="false" ht="15" hidden="false" customHeight="false" outlineLevel="0" collapsed="false">
      <c r="A17" s="18" t="s">
        <v>800</v>
      </c>
      <c r="B17" s="18" t="s">
        <v>131</v>
      </c>
      <c r="C17" s="18" t="s">
        <v>801</v>
      </c>
      <c r="D17" s="18" t="s">
        <v>801</v>
      </c>
      <c r="E17" s="18" t="s">
        <v>802</v>
      </c>
      <c r="F17" s="18" t="n">
        <v>46</v>
      </c>
      <c r="G17" s="18"/>
      <c r="H17" s="18" t="s">
        <v>688</v>
      </c>
      <c r="I17" s="18" t="s">
        <v>689</v>
      </c>
      <c r="J17" s="18" t="s">
        <v>690</v>
      </c>
      <c r="K17" s="18" t="s">
        <v>691</v>
      </c>
      <c r="L17" s="18" t="s">
        <v>105</v>
      </c>
      <c r="M17" s="18" t="s">
        <v>704</v>
      </c>
      <c r="N17" s="18" t="s">
        <v>803</v>
      </c>
      <c r="O17" s="18" t="s">
        <v>804</v>
      </c>
      <c r="P17" s="18"/>
      <c r="Q17" s="18" t="s">
        <v>695</v>
      </c>
      <c r="R17" s="18" t="s">
        <v>805</v>
      </c>
      <c r="S17" s="18" t="s">
        <v>697</v>
      </c>
      <c r="T17" s="18" t="n">
        <v>0</v>
      </c>
      <c r="U17" s="18" t="n">
        <v>0</v>
      </c>
      <c r="V17" s="18" t="n">
        <v>19.4</v>
      </c>
      <c r="W17" s="18" t="n">
        <v>26.6</v>
      </c>
      <c r="X17" s="18" t="n">
        <v>0</v>
      </c>
      <c r="Y17" s="18" t="n">
        <v>0</v>
      </c>
      <c r="Z17" s="18" t="s">
        <v>698</v>
      </c>
      <c r="AA17" s="18" t="s">
        <v>699</v>
      </c>
      <c r="AB17" s="18" t="s">
        <v>98</v>
      </c>
      <c r="AC17" s="18"/>
      <c r="AD17" s="23" t="str">
        <f aca="false">IF(A17="","",IF(COUNTIF(Parcels!$A$2:$A$3000,B17)=0,"Parcel not found",IF(COUNTIF($A$2:$A$3000,A17)&gt;1,"Duplicate perm_id",IF(AND(I17="Yes",C17&lt;&gt;"",COUNTIFS($C$2:$C$3000,C17,$I$2:$I$3000,"Yes")&gt;1),"Reference counted twice",IF(COUNTIF(Lists!$A$2:$A$7,H17)=0,"Unknown status","")))))</f>
        <v/>
      </c>
    </row>
    <row r="18" customFormat="false" ht="15" hidden="false" customHeight="false" outlineLevel="0" collapsed="false">
      <c r="A18" s="18" t="s">
        <v>806</v>
      </c>
      <c r="B18" s="18" t="s">
        <v>132</v>
      </c>
      <c r="C18" s="18" t="s">
        <v>807</v>
      </c>
      <c r="D18" s="18" t="s">
        <v>807</v>
      </c>
      <c r="E18" s="18" t="s">
        <v>808</v>
      </c>
      <c r="F18" s="18" t="n">
        <v>6</v>
      </c>
      <c r="G18" s="18"/>
      <c r="H18" s="18" t="s">
        <v>724</v>
      </c>
      <c r="I18" s="18" t="s">
        <v>689</v>
      </c>
      <c r="J18" s="18" t="s">
        <v>712</v>
      </c>
      <c r="K18" s="18" t="s">
        <v>713</v>
      </c>
      <c r="L18" s="18" t="s">
        <v>714</v>
      </c>
      <c r="M18" s="18" t="s">
        <v>715</v>
      </c>
      <c r="N18" s="18"/>
      <c r="O18" s="18"/>
      <c r="P18" s="18"/>
      <c r="Q18" s="18"/>
      <c r="R18" s="18"/>
      <c r="S18" s="18" t="s">
        <v>707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s">
        <v>698</v>
      </c>
      <c r="AA18" s="18" t="s">
        <v>699</v>
      </c>
      <c r="AB18" s="18" t="s">
        <v>98</v>
      </c>
      <c r="AC18" s="18"/>
      <c r="AD18" s="23" t="str">
        <f aca="false">IF(A18="","",IF(COUNTIF(Parcels!$A$2:$A$3000,B18)=0,"Parcel not found",IF(COUNTIF($A$2:$A$3000,A18)&gt;1,"Duplicate perm_id",IF(AND(I18="Yes",C18&lt;&gt;"",COUNTIFS($C$2:$C$3000,C18,$I$2:$I$3000,"Yes")&gt;1),"Reference counted twice",IF(COUNTIF(Lists!$A$2:$A$7,H18)=0,"Unknown status","")))))</f>
        <v/>
      </c>
    </row>
    <row r="19" customFormat="false" ht="15" hidden="false" customHeight="false" outlineLevel="0" collapsed="false">
      <c r="A19" s="18" t="s">
        <v>809</v>
      </c>
      <c r="B19" s="18" t="s">
        <v>133</v>
      </c>
      <c r="C19" s="18" t="s">
        <v>810</v>
      </c>
      <c r="D19" s="18" t="s">
        <v>810</v>
      </c>
      <c r="E19" s="18" t="s">
        <v>811</v>
      </c>
      <c r="F19" s="18" t="n">
        <v>65</v>
      </c>
      <c r="G19" s="18"/>
      <c r="H19" s="18" t="s">
        <v>728</v>
      </c>
      <c r="I19" s="18" t="s">
        <v>689</v>
      </c>
      <c r="J19" s="18" t="s">
        <v>812</v>
      </c>
      <c r="K19" s="18" t="s">
        <v>691</v>
      </c>
      <c r="L19" s="18" t="s">
        <v>105</v>
      </c>
      <c r="M19" s="18" t="s">
        <v>704</v>
      </c>
      <c r="N19" s="18" t="s">
        <v>813</v>
      </c>
      <c r="O19" s="18" t="s">
        <v>814</v>
      </c>
      <c r="P19" s="18" t="s">
        <v>815</v>
      </c>
      <c r="Q19" s="18"/>
      <c r="R19" s="18"/>
      <c r="S19" s="18" t="s">
        <v>731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s">
        <v>698</v>
      </c>
      <c r="AA19" s="18" t="s">
        <v>699</v>
      </c>
      <c r="AB19" s="18" t="s">
        <v>98</v>
      </c>
      <c r="AC19" s="18"/>
      <c r="AD19" s="23" t="str">
        <f aca="false">IF(A19="","",IF(COUNTIF(Parcels!$A$2:$A$3000,B19)=0,"Parcel not found",IF(COUNTIF($A$2:$A$3000,A19)&gt;1,"Duplicate perm_id",IF(AND(I19="Yes",C19&lt;&gt;"",COUNTIFS($C$2:$C$3000,C19,$I$2:$I$3000,"Yes")&gt;1),"Reference counted twice",IF(COUNTIF(Lists!$A$2:$A$7,H19)=0,"Unknown status","")))))</f>
        <v/>
      </c>
    </row>
    <row r="20" customFormat="false" ht="15" hidden="false" customHeight="false" outlineLevel="0" collapsed="false">
      <c r="A20" s="18" t="s">
        <v>816</v>
      </c>
      <c r="B20" s="18" t="s">
        <v>133</v>
      </c>
      <c r="C20" s="18" t="s">
        <v>817</v>
      </c>
      <c r="D20" s="18" t="s">
        <v>817</v>
      </c>
      <c r="E20" s="18" t="s">
        <v>818</v>
      </c>
      <c r="F20" s="18" t="n">
        <v>167</v>
      </c>
      <c r="G20" s="18"/>
      <c r="H20" s="18" t="s">
        <v>711</v>
      </c>
      <c r="I20" s="18" t="s">
        <v>689</v>
      </c>
      <c r="J20" s="18" t="s">
        <v>819</v>
      </c>
      <c r="K20" s="18" t="s">
        <v>691</v>
      </c>
      <c r="L20" s="18" t="s">
        <v>105</v>
      </c>
      <c r="M20" s="18" t="s">
        <v>770</v>
      </c>
      <c r="N20" s="18" t="s">
        <v>820</v>
      </c>
      <c r="O20" s="18" t="s">
        <v>821</v>
      </c>
      <c r="P20" s="18" t="s">
        <v>822</v>
      </c>
      <c r="Q20" s="18" t="s">
        <v>823</v>
      </c>
      <c r="R20" s="18" t="s">
        <v>738</v>
      </c>
      <c r="S20" s="18" t="s">
        <v>720</v>
      </c>
      <c r="T20" s="18" t="n">
        <v>17.4</v>
      </c>
      <c r="U20" s="18" t="n">
        <v>74.9</v>
      </c>
      <c r="V20" s="18" t="n">
        <v>74.6</v>
      </c>
      <c r="W20" s="18" t="n">
        <v>0</v>
      </c>
      <c r="X20" s="18" t="n">
        <v>0</v>
      </c>
      <c r="Y20" s="18" t="n">
        <v>0.1</v>
      </c>
      <c r="Z20" s="18" t="s">
        <v>698</v>
      </c>
      <c r="AA20" s="18" t="s">
        <v>699</v>
      </c>
      <c r="AB20" s="18" t="s">
        <v>98</v>
      </c>
      <c r="AC20" s="18"/>
      <c r="AD20" s="23" t="str">
        <f aca="false">IF(A20="","",IF(COUNTIF(Parcels!$A$2:$A$3000,B20)=0,"Parcel not found",IF(COUNTIF($A$2:$A$3000,A20)&gt;1,"Duplicate perm_id",IF(AND(I20="Yes",C20&lt;&gt;"",COUNTIFS($C$2:$C$3000,C20,$I$2:$I$3000,"Yes")&gt;1),"Reference counted twice",IF(COUNTIF(Lists!$A$2:$A$7,H20)=0,"Unknown status","")))))</f>
        <v/>
      </c>
    </row>
    <row r="21" customFormat="false" ht="15" hidden="false" customHeight="false" outlineLevel="0" collapsed="false">
      <c r="A21" s="18" t="s">
        <v>824</v>
      </c>
      <c r="B21" s="18" t="s">
        <v>195</v>
      </c>
      <c r="C21" s="18" t="s">
        <v>825</v>
      </c>
      <c r="D21" s="18" t="s">
        <v>825</v>
      </c>
      <c r="E21" s="18" t="s">
        <v>826</v>
      </c>
      <c r="F21" s="18" t="n">
        <v>25</v>
      </c>
      <c r="G21" s="18"/>
      <c r="H21" s="18" t="s">
        <v>688</v>
      </c>
      <c r="I21" s="18" t="s">
        <v>689</v>
      </c>
      <c r="J21" s="18" t="s">
        <v>690</v>
      </c>
      <c r="K21" s="18" t="s">
        <v>691</v>
      </c>
      <c r="L21" s="18" t="s">
        <v>105</v>
      </c>
      <c r="M21" s="18" t="s">
        <v>704</v>
      </c>
      <c r="N21" s="18" t="s">
        <v>827</v>
      </c>
      <c r="O21" s="18" t="s">
        <v>828</v>
      </c>
      <c r="P21" s="18"/>
      <c r="Q21" s="18" t="s">
        <v>719</v>
      </c>
      <c r="R21" s="18" t="s">
        <v>805</v>
      </c>
      <c r="S21" s="18" t="s">
        <v>739</v>
      </c>
      <c r="T21" s="18" t="n">
        <v>0</v>
      </c>
      <c r="U21" s="18" t="n">
        <v>0</v>
      </c>
      <c r="V21" s="18" t="n">
        <v>8.5</v>
      </c>
      <c r="W21" s="18" t="n">
        <v>16.5</v>
      </c>
      <c r="X21" s="18" t="n">
        <v>0</v>
      </c>
      <c r="Y21" s="18" t="n">
        <v>0</v>
      </c>
      <c r="Z21" s="18" t="s">
        <v>698</v>
      </c>
      <c r="AA21" s="18" t="s">
        <v>699</v>
      </c>
      <c r="AB21" s="18" t="s">
        <v>98</v>
      </c>
      <c r="AC21" s="18"/>
      <c r="AD21" s="23" t="str">
        <f aca="false">IF(A21="","",IF(COUNTIF(Parcels!$A$2:$A$3000,B21)=0,"Parcel not found",IF(COUNTIF($A$2:$A$3000,A21)&gt;1,"Duplicate perm_id",IF(AND(I21="Yes",C21&lt;&gt;"",COUNTIFS($C$2:$C$3000,C21,$I$2:$I$3000,"Yes")&gt;1),"Reference counted twice",IF(COUNTIF(Lists!$A$2:$A$7,H21)=0,"Unknown status","")))))</f>
        <v/>
      </c>
    </row>
    <row r="22" customFormat="false" ht="15" hidden="false" customHeight="false" outlineLevel="0" collapsed="false">
      <c r="A22" s="18" t="s">
        <v>829</v>
      </c>
      <c r="B22" s="18" t="s">
        <v>196</v>
      </c>
      <c r="C22" s="18" t="s">
        <v>830</v>
      </c>
      <c r="D22" s="18" t="s">
        <v>830</v>
      </c>
      <c r="E22" s="18" t="s">
        <v>831</v>
      </c>
      <c r="F22" s="18" t="n">
        <v>26</v>
      </c>
      <c r="G22" s="18"/>
      <c r="H22" s="18" t="s">
        <v>711</v>
      </c>
      <c r="I22" s="18" t="s">
        <v>689</v>
      </c>
      <c r="J22" s="18" t="s">
        <v>690</v>
      </c>
      <c r="K22" s="18" t="s">
        <v>691</v>
      </c>
      <c r="L22" s="18" t="s">
        <v>105</v>
      </c>
      <c r="M22" s="18" t="s">
        <v>704</v>
      </c>
      <c r="N22" s="18" t="s">
        <v>832</v>
      </c>
      <c r="O22" s="18" t="s">
        <v>833</v>
      </c>
      <c r="P22" s="18" t="s">
        <v>834</v>
      </c>
      <c r="Q22" s="18" t="s">
        <v>718</v>
      </c>
      <c r="R22" s="18" t="s">
        <v>719</v>
      </c>
      <c r="S22" s="18" t="s">
        <v>720</v>
      </c>
      <c r="T22" s="18" t="n">
        <v>6.1</v>
      </c>
      <c r="U22" s="18" t="n">
        <v>19.9</v>
      </c>
      <c r="V22" s="18" t="n">
        <v>0</v>
      </c>
      <c r="W22" s="18" t="n">
        <v>0</v>
      </c>
      <c r="X22" s="18" t="n">
        <v>0</v>
      </c>
      <c r="Y22" s="18" t="n">
        <v>0</v>
      </c>
      <c r="Z22" s="18" t="s">
        <v>698</v>
      </c>
      <c r="AA22" s="18" t="s">
        <v>699</v>
      </c>
      <c r="AB22" s="18" t="s">
        <v>98</v>
      </c>
      <c r="AC22" s="18"/>
      <c r="AD22" s="23" t="str">
        <f aca="false">IF(A22="","",IF(COUNTIF(Parcels!$A$2:$A$3000,B22)=0,"Parcel not found",IF(COUNTIF($A$2:$A$3000,A22)&gt;1,"Duplicate perm_id",IF(AND(I22="Yes",C22&lt;&gt;"",COUNTIFS($C$2:$C$3000,C22,$I$2:$I$3000,"Yes")&gt;1),"Reference counted twice",IF(COUNTIF(Lists!$A$2:$A$7,H22)=0,"Unknown status","")))))</f>
        <v/>
      </c>
    </row>
    <row r="23" customFormat="false" ht="15" hidden="false" customHeight="false" outlineLevel="0" collapsed="false">
      <c r="A23" s="18" t="s">
        <v>835</v>
      </c>
      <c r="B23" s="18" t="s">
        <v>277</v>
      </c>
      <c r="C23" s="18" t="s">
        <v>836</v>
      </c>
      <c r="D23" s="18" t="s">
        <v>836</v>
      </c>
      <c r="E23" s="18" t="s">
        <v>837</v>
      </c>
      <c r="F23" s="18" t="n">
        <v>27</v>
      </c>
      <c r="G23" s="18"/>
      <c r="H23" s="18" t="s">
        <v>688</v>
      </c>
      <c r="I23" s="18" t="s">
        <v>689</v>
      </c>
      <c r="J23" s="18" t="s">
        <v>712</v>
      </c>
      <c r="K23" s="18" t="s">
        <v>713</v>
      </c>
      <c r="L23" s="18" t="s">
        <v>714</v>
      </c>
      <c r="M23" s="18" t="s">
        <v>715</v>
      </c>
      <c r="N23" s="18" t="s">
        <v>838</v>
      </c>
      <c r="O23" s="18"/>
      <c r="P23" s="18"/>
      <c r="Q23" s="18" t="s">
        <v>695</v>
      </c>
      <c r="R23" s="18" t="s">
        <v>738</v>
      </c>
      <c r="S23" s="18" t="s">
        <v>697</v>
      </c>
      <c r="T23" s="18" t="n">
        <v>0</v>
      </c>
      <c r="U23" s="18" t="n">
        <v>0</v>
      </c>
      <c r="V23" s="18" t="n">
        <v>20.5</v>
      </c>
      <c r="W23" s="18" t="n">
        <v>6.5</v>
      </c>
      <c r="X23" s="18" t="n">
        <v>0</v>
      </c>
      <c r="Y23" s="18" t="n">
        <v>0</v>
      </c>
      <c r="Z23" s="18" t="s">
        <v>698</v>
      </c>
      <c r="AA23" s="18" t="s">
        <v>699</v>
      </c>
      <c r="AB23" s="18" t="s">
        <v>98</v>
      </c>
      <c r="AC23" s="18"/>
      <c r="AD23" s="23" t="str">
        <f aca="false">IF(A23="","",IF(COUNTIF(Parcels!$A$2:$A$3000,B23)=0,"Parcel not found",IF(COUNTIF($A$2:$A$3000,A23)&gt;1,"Duplicate perm_id",IF(AND(I23="Yes",C23&lt;&gt;"",COUNTIFS($C$2:$C$3000,C23,$I$2:$I$3000,"Yes")&gt;1),"Reference counted twice",IF(COUNTIF(Lists!$A$2:$A$7,H23)=0,"Unknown status","")))))</f>
        <v/>
      </c>
    </row>
    <row r="24" customFormat="false" ht="15" hidden="false" customHeight="false" outlineLevel="0" collapsed="false">
      <c r="A24" s="18" t="s">
        <v>839</v>
      </c>
      <c r="B24" s="18" t="s">
        <v>230</v>
      </c>
      <c r="C24" s="18" t="s">
        <v>840</v>
      </c>
      <c r="D24" s="18" t="s">
        <v>840</v>
      </c>
      <c r="E24" s="18" t="s">
        <v>841</v>
      </c>
      <c r="F24" s="18" t="n">
        <v>30</v>
      </c>
      <c r="G24" s="18"/>
      <c r="H24" s="18" t="s">
        <v>724</v>
      </c>
      <c r="I24" s="18" t="s">
        <v>689</v>
      </c>
      <c r="J24" s="18" t="s">
        <v>712</v>
      </c>
      <c r="K24" s="18" t="s">
        <v>713</v>
      </c>
      <c r="L24" s="18" t="s">
        <v>714</v>
      </c>
      <c r="M24" s="18" t="s">
        <v>715</v>
      </c>
      <c r="N24" s="18"/>
      <c r="O24" s="18"/>
      <c r="P24" s="18"/>
      <c r="Q24" s="18"/>
      <c r="R24" s="18"/>
      <c r="S24" s="18" t="s">
        <v>707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s">
        <v>698</v>
      </c>
      <c r="AA24" s="18" t="s">
        <v>699</v>
      </c>
      <c r="AB24" s="18" t="s">
        <v>98</v>
      </c>
      <c r="AC24" s="18"/>
      <c r="AD24" s="23" t="str">
        <f aca="false">IF(A24="","",IF(COUNTIF(Parcels!$A$2:$A$3000,B24)=0,"Parcel not found",IF(COUNTIF($A$2:$A$3000,A24)&gt;1,"Duplicate perm_id",IF(AND(I24="Yes",C24&lt;&gt;"",COUNTIFS($C$2:$C$3000,C24,$I$2:$I$3000,"Yes")&gt;1),"Reference counted twice",IF(COUNTIF(Lists!$A$2:$A$7,H24)=0,"Unknown status","")))))</f>
        <v/>
      </c>
    </row>
    <row r="25" customFormat="false" ht="15" hidden="false" customHeight="false" outlineLevel="0" collapsed="false">
      <c r="A25" s="18" t="s">
        <v>842</v>
      </c>
      <c r="B25" s="18" t="s">
        <v>239</v>
      </c>
      <c r="C25" s="18" t="s">
        <v>843</v>
      </c>
      <c r="D25" s="18" t="s">
        <v>843</v>
      </c>
      <c r="E25" s="18" t="s">
        <v>844</v>
      </c>
      <c r="F25" s="18" t="n">
        <v>25</v>
      </c>
      <c r="G25" s="18"/>
      <c r="H25" s="18" t="s">
        <v>688</v>
      </c>
      <c r="I25" s="18" t="s">
        <v>689</v>
      </c>
      <c r="J25" s="18" t="s">
        <v>690</v>
      </c>
      <c r="K25" s="18" t="s">
        <v>691</v>
      </c>
      <c r="L25" s="18" t="s">
        <v>105</v>
      </c>
      <c r="M25" s="18" t="s">
        <v>704</v>
      </c>
      <c r="N25" s="18" t="s">
        <v>845</v>
      </c>
      <c r="O25" s="18" t="s">
        <v>846</v>
      </c>
      <c r="P25" s="18"/>
      <c r="Q25" s="18" t="s">
        <v>737</v>
      </c>
      <c r="R25" s="18" t="s">
        <v>738</v>
      </c>
      <c r="S25" s="18" t="s">
        <v>739</v>
      </c>
      <c r="T25" s="18" t="n">
        <v>0</v>
      </c>
      <c r="U25" s="18" t="n">
        <v>0</v>
      </c>
      <c r="V25" s="18" t="n">
        <v>20.8</v>
      </c>
      <c r="W25" s="18" t="n">
        <v>4.2</v>
      </c>
      <c r="X25" s="18" t="n">
        <v>0</v>
      </c>
      <c r="Y25" s="18" t="n">
        <v>0</v>
      </c>
      <c r="Z25" s="18" t="s">
        <v>698</v>
      </c>
      <c r="AA25" s="18" t="s">
        <v>699</v>
      </c>
      <c r="AB25" s="18" t="s">
        <v>98</v>
      </c>
      <c r="AC25" s="18"/>
      <c r="AD25" s="23" t="str">
        <f aca="false">IF(A25="","",IF(COUNTIF(Parcels!$A$2:$A$3000,B25)=0,"Parcel not found",IF(COUNTIF($A$2:$A$3000,A25)&gt;1,"Duplicate perm_id",IF(AND(I25="Yes",C25&lt;&gt;"",COUNTIFS($C$2:$C$3000,C25,$I$2:$I$3000,"Yes")&gt;1),"Reference counted twice",IF(COUNTIF(Lists!$A$2:$A$7,H25)=0,"Unknown status","")))))</f>
        <v/>
      </c>
    </row>
    <row r="26" customFormat="false" ht="15" hidden="false" customHeight="false" outlineLevel="0" collapsed="false">
      <c r="A26" s="18" t="s">
        <v>847</v>
      </c>
      <c r="B26" s="18" t="s">
        <v>134</v>
      </c>
      <c r="C26" s="18" t="s">
        <v>848</v>
      </c>
      <c r="D26" s="18" t="s">
        <v>848</v>
      </c>
      <c r="E26" s="18" t="s">
        <v>849</v>
      </c>
      <c r="F26" s="18" t="n">
        <v>99</v>
      </c>
      <c r="G26" s="18"/>
      <c r="H26" s="18" t="s">
        <v>711</v>
      </c>
      <c r="I26" s="18" t="s">
        <v>689</v>
      </c>
      <c r="J26" s="18" t="s">
        <v>712</v>
      </c>
      <c r="K26" s="18" t="s">
        <v>691</v>
      </c>
      <c r="L26" s="18" t="s">
        <v>105</v>
      </c>
      <c r="M26" s="18" t="s">
        <v>704</v>
      </c>
      <c r="N26" s="18" t="s">
        <v>850</v>
      </c>
      <c r="O26" s="18" t="s">
        <v>851</v>
      </c>
      <c r="P26" s="18" t="s">
        <v>852</v>
      </c>
      <c r="Q26" s="18" t="s">
        <v>823</v>
      </c>
      <c r="R26" s="18" t="s">
        <v>748</v>
      </c>
      <c r="S26" s="18" t="s">
        <v>720</v>
      </c>
      <c r="T26" s="18" t="n">
        <v>13</v>
      </c>
      <c r="U26" s="18" t="n">
        <v>55.8</v>
      </c>
      <c r="V26" s="18" t="n">
        <v>30.2</v>
      </c>
      <c r="W26" s="18" t="n">
        <v>0</v>
      </c>
      <c r="X26" s="18" t="n">
        <v>0</v>
      </c>
      <c r="Y26" s="18" t="n">
        <v>0</v>
      </c>
      <c r="Z26" s="18" t="s">
        <v>698</v>
      </c>
      <c r="AA26" s="18" t="s">
        <v>699</v>
      </c>
      <c r="AB26" s="18" t="s">
        <v>98</v>
      </c>
      <c r="AC26" s="18"/>
      <c r="AD26" s="23" t="str">
        <f aca="false">IF(A26="","",IF(COUNTIF(Parcels!$A$2:$A$3000,B26)=0,"Parcel not found",IF(COUNTIF($A$2:$A$3000,A26)&gt;1,"Duplicate perm_id",IF(AND(I26="Yes",C26&lt;&gt;"",COUNTIFS($C$2:$C$3000,C26,$I$2:$I$3000,"Yes")&gt;1),"Reference counted twice",IF(COUNTIF(Lists!$A$2:$A$7,H26)=0,"Unknown status","")))))</f>
        <v/>
      </c>
    </row>
    <row r="27" customFormat="false" ht="15" hidden="false" customHeight="false" outlineLevel="0" collapsed="false">
      <c r="A27" s="18" t="s">
        <v>853</v>
      </c>
      <c r="B27" s="18" t="s">
        <v>240</v>
      </c>
      <c r="C27" s="18" t="s">
        <v>854</v>
      </c>
      <c r="D27" s="18" t="s">
        <v>854</v>
      </c>
      <c r="E27" s="18" t="s">
        <v>855</v>
      </c>
      <c r="F27" s="18" t="n">
        <v>4</v>
      </c>
      <c r="G27" s="18"/>
      <c r="H27" s="18" t="s">
        <v>703</v>
      </c>
      <c r="I27" s="18" t="s">
        <v>689</v>
      </c>
      <c r="J27" s="18" t="s">
        <v>690</v>
      </c>
      <c r="K27" s="18" t="s">
        <v>691</v>
      </c>
      <c r="L27" s="18" t="s">
        <v>105</v>
      </c>
      <c r="M27" s="18" t="s">
        <v>704</v>
      </c>
      <c r="N27" s="18" t="s">
        <v>856</v>
      </c>
      <c r="O27" s="18" t="s">
        <v>857</v>
      </c>
      <c r="P27" s="18"/>
      <c r="Q27" s="18"/>
      <c r="R27" s="18"/>
      <c r="S27" s="18" t="s">
        <v>707</v>
      </c>
      <c r="T27" s="18" t="n">
        <v>0</v>
      </c>
      <c r="U27" s="18" t="n">
        <v>0</v>
      </c>
      <c r="V27" s="18" t="n">
        <v>0</v>
      </c>
      <c r="W27" s="18" t="n">
        <v>0</v>
      </c>
      <c r="X27" s="18" t="n">
        <v>0</v>
      </c>
      <c r="Y27" s="18" t="n">
        <v>0</v>
      </c>
      <c r="Z27" s="18" t="s">
        <v>698</v>
      </c>
      <c r="AA27" s="18" t="s">
        <v>699</v>
      </c>
      <c r="AB27" s="18" t="s">
        <v>98</v>
      </c>
      <c r="AC27" s="18"/>
      <c r="AD27" s="23" t="str">
        <f aca="false">IF(A27="","",IF(COUNTIF(Parcels!$A$2:$A$3000,B27)=0,"Parcel not found",IF(COUNTIF($A$2:$A$3000,A27)&gt;1,"Duplicate perm_id",IF(AND(I27="Yes",C27&lt;&gt;"",COUNTIFS($C$2:$C$3000,C27,$I$2:$I$3000,"Yes")&gt;1),"Reference counted twice",IF(COUNTIF(Lists!$A$2:$A$7,H27)=0,"Unknown status","")))))</f>
        <v/>
      </c>
    </row>
    <row r="28" customFormat="false" ht="15" hidden="false" customHeight="false" outlineLevel="0" collapsed="false">
      <c r="A28" s="18" t="s">
        <v>858</v>
      </c>
      <c r="B28" s="18" t="s">
        <v>242</v>
      </c>
      <c r="C28" s="18" t="s">
        <v>859</v>
      </c>
      <c r="D28" s="18" t="s">
        <v>859</v>
      </c>
      <c r="E28" s="18" t="s">
        <v>860</v>
      </c>
      <c r="F28" s="18" t="n">
        <v>26</v>
      </c>
      <c r="G28" s="18" t="n">
        <v>202</v>
      </c>
      <c r="H28" s="18" t="s">
        <v>711</v>
      </c>
      <c r="I28" s="18" t="s">
        <v>689</v>
      </c>
      <c r="J28" s="18" t="s">
        <v>690</v>
      </c>
      <c r="K28" s="18" t="s">
        <v>797</v>
      </c>
      <c r="L28" s="18" t="s">
        <v>105</v>
      </c>
      <c r="M28" s="18" t="s">
        <v>770</v>
      </c>
      <c r="N28" s="18" t="s">
        <v>861</v>
      </c>
      <c r="O28" s="18" t="s">
        <v>862</v>
      </c>
      <c r="P28" s="18" t="s">
        <v>863</v>
      </c>
      <c r="Q28" s="18" t="s">
        <v>864</v>
      </c>
      <c r="R28" s="18" t="s">
        <v>737</v>
      </c>
      <c r="S28" s="18" t="s">
        <v>720</v>
      </c>
      <c r="T28" s="18" t="n">
        <v>0</v>
      </c>
      <c r="U28" s="18" t="n">
        <v>26</v>
      </c>
      <c r="V28" s="18" t="n">
        <v>0</v>
      </c>
      <c r="W28" s="18" t="n">
        <v>0</v>
      </c>
      <c r="X28" s="18" t="n">
        <v>0</v>
      </c>
      <c r="Y28" s="18" t="n">
        <v>0</v>
      </c>
      <c r="Z28" s="18" t="s">
        <v>698</v>
      </c>
      <c r="AA28" s="18" t="s">
        <v>699</v>
      </c>
      <c r="AB28" s="18" t="s">
        <v>98</v>
      </c>
      <c r="AC28" s="18"/>
      <c r="AD28" s="23" t="str">
        <f aca="false">IF(A28="","",IF(COUNTIF(Parcels!$A$2:$A$3000,B28)=0,"Parcel not found",IF(COUNTIF($A$2:$A$3000,A28)&gt;1,"Duplicate perm_id",IF(AND(I28="Yes",C28&lt;&gt;"",COUNTIFS($C$2:$C$3000,C28,$I$2:$I$3000,"Yes")&gt;1),"Reference counted twice",IF(COUNTIF(Lists!$A$2:$A$7,H28)=0,"Unknown status","")))))</f>
        <v/>
      </c>
    </row>
    <row r="29" customFormat="false" ht="15" hidden="false" customHeight="false" outlineLevel="0" collapsed="false">
      <c r="A29" s="18" t="s">
        <v>865</v>
      </c>
      <c r="B29" s="18" t="s">
        <v>145</v>
      </c>
      <c r="C29" s="18" t="s">
        <v>866</v>
      </c>
      <c r="D29" s="18" t="s">
        <v>866</v>
      </c>
      <c r="E29" s="18" t="s">
        <v>867</v>
      </c>
      <c r="F29" s="18" t="n">
        <v>196</v>
      </c>
      <c r="G29" s="18" t="n">
        <v>1400</v>
      </c>
      <c r="H29" s="18" t="s">
        <v>688</v>
      </c>
      <c r="I29" s="18" t="s">
        <v>689</v>
      </c>
      <c r="J29" s="18" t="s">
        <v>690</v>
      </c>
      <c r="K29" s="18" t="s">
        <v>797</v>
      </c>
      <c r="L29" s="18" t="s">
        <v>105</v>
      </c>
      <c r="M29" s="18" t="s">
        <v>770</v>
      </c>
      <c r="N29" s="18" t="s">
        <v>868</v>
      </c>
      <c r="O29" s="18" t="s">
        <v>869</v>
      </c>
      <c r="P29" s="18"/>
      <c r="Q29" s="18" t="s">
        <v>737</v>
      </c>
      <c r="R29" s="18" t="s">
        <v>870</v>
      </c>
      <c r="S29" s="18" t="s">
        <v>739</v>
      </c>
      <c r="T29" s="18" t="n">
        <v>0</v>
      </c>
      <c r="U29" s="18" t="n">
        <v>0</v>
      </c>
      <c r="V29" s="18" t="n">
        <v>0</v>
      </c>
      <c r="W29" s="18" t="n">
        <v>196</v>
      </c>
      <c r="X29" s="18" t="n">
        <v>0</v>
      </c>
      <c r="Y29" s="18" t="n">
        <v>0</v>
      </c>
      <c r="Z29" s="18" t="s">
        <v>698</v>
      </c>
      <c r="AA29" s="18" t="s">
        <v>699</v>
      </c>
      <c r="AB29" s="18" t="s">
        <v>98</v>
      </c>
      <c r="AC29" s="18"/>
      <c r="AD29" s="23" t="str">
        <f aca="false">IF(A29="","",IF(COUNTIF(Parcels!$A$2:$A$3000,B29)=0,"Parcel not found",IF(COUNTIF($A$2:$A$3000,A29)&gt;1,"Duplicate perm_id",IF(AND(I29="Yes",C29&lt;&gt;"",COUNTIFS($C$2:$C$3000,C29,$I$2:$I$3000,"Yes")&gt;1),"Reference counted twice",IF(COUNTIF(Lists!$A$2:$A$7,H29)=0,"Unknown status","")))))</f>
        <v/>
      </c>
    </row>
    <row r="30" customFormat="false" ht="15" hidden="false" customHeight="false" outlineLevel="0" collapsed="false">
      <c r="A30" s="18" t="s">
        <v>871</v>
      </c>
      <c r="B30" s="18" t="s">
        <v>147</v>
      </c>
      <c r="C30" s="18" t="s">
        <v>872</v>
      </c>
      <c r="D30" s="18" t="s">
        <v>872</v>
      </c>
      <c r="E30" s="18" t="s">
        <v>873</v>
      </c>
      <c r="F30" s="18" t="n">
        <v>114</v>
      </c>
      <c r="G30" s="18"/>
      <c r="H30" s="18" t="s">
        <v>688</v>
      </c>
      <c r="I30" s="18" t="s">
        <v>689</v>
      </c>
      <c r="J30" s="18" t="s">
        <v>712</v>
      </c>
      <c r="K30" s="18" t="s">
        <v>691</v>
      </c>
      <c r="L30" s="18" t="s">
        <v>105</v>
      </c>
      <c r="M30" s="18" t="s">
        <v>770</v>
      </c>
      <c r="N30" s="18" t="s">
        <v>874</v>
      </c>
      <c r="O30" s="18" t="s">
        <v>875</v>
      </c>
      <c r="P30" s="18"/>
      <c r="Q30" s="18" t="s">
        <v>876</v>
      </c>
      <c r="R30" s="18" t="s">
        <v>877</v>
      </c>
      <c r="S30" s="18" t="s">
        <v>739</v>
      </c>
      <c r="T30" s="18" t="n">
        <v>0</v>
      </c>
      <c r="U30" s="18" t="n">
        <v>0</v>
      </c>
      <c r="V30" s="18" t="n">
        <v>0</v>
      </c>
      <c r="W30" s="18" t="n">
        <v>89.3</v>
      </c>
      <c r="X30" s="18" t="n">
        <v>24.7</v>
      </c>
      <c r="Y30" s="18" t="n">
        <v>0</v>
      </c>
      <c r="Z30" s="18" t="s">
        <v>698</v>
      </c>
      <c r="AA30" s="18" t="s">
        <v>699</v>
      </c>
      <c r="AB30" s="18" t="s">
        <v>98</v>
      </c>
      <c r="AC30" s="18"/>
      <c r="AD30" s="23" t="str">
        <f aca="false">IF(A30="","",IF(COUNTIF(Parcels!$A$2:$A$3000,B30)=0,"Parcel not found",IF(COUNTIF($A$2:$A$3000,A30)&gt;1,"Duplicate perm_id",IF(AND(I30="Yes",C30&lt;&gt;"",COUNTIFS($C$2:$C$3000,C30,$I$2:$I$3000,"Yes")&gt;1),"Reference counted twice",IF(COUNTIF(Lists!$A$2:$A$7,H30)=0,"Unknown status","")))))</f>
        <v/>
      </c>
    </row>
    <row r="31" customFormat="false" ht="15" hidden="false" customHeight="false" outlineLevel="0" collapsed="false">
      <c r="A31" s="18" t="s">
        <v>878</v>
      </c>
      <c r="B31" s="18" t="s">
        <v>147</v>
      </c>
      <c r="C31" s="18" t="s">
        <v>879</v>
      </c>
      <c r="D31" s="18" t="s">
        <v>879</v>
      </c>
      <c r="E31" s="18" t="s">
        <v>880</v>
      </c>
      <c r="F31" s="18" t="n">
        <v>32</v>
      </c>
      <c r="G31" s="18"/>
      <c r="H31" s="18" t="s">
        <v>711</v>
      </c>
      <c r="I31" s="18" t="s">
        <v>689</v>
      </c>
      <c r="J31" s="18" t="s">
        <v>690</v>
      </c>
      <c r="K31" s="18" t="s">
        <v>691</v>
      </c>
      <c r="L31" s="18" t="s">
        <v>105</v>
      </c>
      <c r="M31" s="18" t="s">
        <v>704</v>
      </c>
      <c r="N31" s="18" t="s">
        <v>881</v>
      </c>
      <c r="O31" s="18" t="s">
        <v>882</v>
      </c>
      <c r="P31" s="18" t="s">
        <v>883</v>
      </c>
      <c r="Q31" s="18" t="s">
        <v>884</v>
      </c>
      <c r="R31" s="18" t="s">
        <v>719</v>
      </c>
      <c r="S31" s="18" t="s">
        <v>720</v>
      </c>
      <c r="T31" s="18" t="n">
        <v>7.5</v>
      </c>
      <c r="U31" s="18" t="n">
        <v>24.5</v>
      </c>
      <c r="V31" s="18" t="n">
        <v>0</v>
      </c>
      <c r="W31" s="18" t="n">
        <v>0</v>
      </c>
      <c r="X31" s="18" t="n">
        <v>0</v>
      </c>
      <c r="Y31" s="18" t="n">
        <v>0</v>
      </c>
      <c r="Z31" s="18" t="s">
        <v>698</v>
      </c>
      <c r="AA31" s="18" t="s">
        <v>699</v>
      </c>
      <c r="AB31" s="18" t="s">
        <v>98</v>
      </c>
      <c r="AC31" s="18"/>
      <c r="AD31" s="23" t="str">
        <f aca="false">IF(A31="","",IF(COUNTIF(Parcels!$A$2:$A$3000,B31)=0,"Parcel not found",IF(COUNTIF($A$2:$A$3000,A31)&gt;1,"Duplicate perm_id",IF(AND(I31="Yes",C31&lt;&gt;"",COUNTIFS($C$2:$C$3000,C31,$I$2:$I$3000,"Yes")&gt;1),"Reference counted twice",IF(COUNTIF(Lists!$A$2:$A$7,H31)=0,"Unknown status","")))))</f>
        <v/>
      </c>
    </row>
    <row r="32" customFormat="false" ht="15" hidden="false" customHeight="false" outlineLevel="0" collapsed="false">
      <c r="A32" s="18" t="s">
        <v>885</v>
      </c>
      <c r="B32" s="18" t="s">
        <v>148</v>
      </c>
      <c r="C32" s="18" t="s">
        <v>886</v>
      </c>
      <c r="D32" s="18" t="s">
        <v>886</v>
      </c>
      <c r="E32" s="18" t="s">
        <v>887</v>
      </c>
      <c r="F32" s="18" t="n">
        <v>523</v>
      </c>
      <c r="G32" s="18"/>
      <c r="H32" s="18" t="s">
        <v>688</v>
      </c>
      <c r="I32" s="18" t="s">
        <v>689</v>
      </c>
      <c r="J32" s="18" t="s">
        <v>690</v>
      </c>
      <c r="K32" s="18" t="s">
        <v>691</v>
      </c>
      <c r="L32" s="18" t="s">
        <v>105</v>
      </c>
      <c r="M32" s="18" t="s">
        <v>770</v>
      </c>
      <c r="N32" s="18" t="s">
        <v>888</v>
      </c>
      <c r="O32" s="18" t="s">
        <v>889</v>
      </c>
      <c r="P32" s="18"/>
      <c r="Q32" s="18" t="s">
        <v>876</v>
      </c>
      <c r="R32" s="18" t="s">
        <v>890</v>
      </c>
      <c r="S32" s="18" t="s">
        <v>739</v>
      </c>
      <c r="T32" s="18" t="n">
        <v>0</v>
      </c>
      <c r="U32" s="18" t="n">
        <v>0</v>
      </c>
      <c r="V32" s="18" t="n">
        <v>0</v>
      </c>
      <c r="W32" s="18" t="n">
        <v>53.2</v>
      </c>
      <c r="X32" s="18" t="n">
        <v>55.6</v>
      </c>
      <c r="Y32" s="18" t="n">
        <v>414.2</v>
      </c>
      <c r="Z32" s="18" t="s">
        <v>698</v>
      </c>
      <c r="AA32" s="18" t="s">
        <v>699</v>
      </c>
      <c r="AB32" s="18" t="s">
        <v>98</v>
      </c>
      <c r="AC32" s="18"/>
      <c r="AD32" s="23" t="str">
        <f aca="false">IF(A32="","",IF(COUNTIF(Parcels!$A$2:$A$3000,B32)=0,"Parcel not found",IF(COUNTIF($A$2:$A$3000,A32)&gt;1,"Duplicate perm_id",IF(AND(I32="Yes",C32&lt;&gt;"",COUNTIFS($C$2:$C$3000,C32,$I$2:$I$3000,"Yes")&gt;1),"Reference counted twice",IF(COUNTIF(Lists!$A$2:$A$7,H32)=0,"Unknown status","")))))</f>
        <v/>
      </c>
    </row>
    <row r="33" customFormat="false" ht="15" hidden="false" customHeight="false" outlineLevel="0" collapsed="false">
      <c r="A33" s="18" t="s">
        <v>891</v>
      </c>
      <c r="B33" s="18" t="s">
        <v>135</v>
      </c>
      <c r="C33" s="18" t="s">
        <v>892</v>
      </c>
      <c r="D33" s="18" t="s">
        <v>892</v>
      </c>
      <c r="E33" s="18" t="s">
        <v>893</v>
      </c>
      <c r="F33" s="18" t="n">
        <v>12</v>
      </c>
      <c r="G33" s="18"/>
      <c r="H33" s="18" t="s">
        <v>688</v>
      </c>
      <c r="I33" s="18" t="s">
        <v>689</v>
      </c>
      <c r="J33" s="18" t="s">
        <v>712</v>
      </c>
      <c r="K33" s="18" t="s">
        <v>691</v>
      </c>
      <c r="L33" s="18" t="s">
        <v>105</v>
      </c>
      <c r="M33" s="18" t="s">
        <v>704</v>
      </c>
      <c r="N33" s="18" t="s">
        <v>894</v>
      </c>
      <c r="O33" s="18" t="s">
        <v>895</v>
      </c>
      <c r="P33" s="18"/>
      <c r="Q33" s="18" t="s">
        <v>695</v>
      </c>
      <c r="R33" s="18" t="s">
        <v>870</v>
      </c>
      <c r="S33" s="18" t="s">
        <v>697</v>
      </c>
      <c r="T33" s="18" t="n">
        <v>0</v>
      </c>
      <c r="U33" s="18" t="n">
        <v>0</v>
      </c>
      <c r="V33" s="18" t="n">
        <v>7</v>
      </c>
      <c r="W33" s="18" t="n">
        <v>5</v>
      </c>
      <c r="X33" s="18" t="n">
        <v>0</v>
      </c>
      <c r="Y33" s="18" t="n">
        <v>0</v>
      </c>
      <c r="Z33" s="18" t="s">
        <v>698</v>
      </c>
      <c r="AA33" s="18" t="s">
        <v>699</v>
      </c>
      <c r="AB33" s="18" t="s">
        <v>98</v>
      </c>
      <c r="AC33" s="18"/>
      <c r="AD33" s="23" t="str">
        <f aca="false">IF(A33="","",IF(COUNTIF(Parcels!$A$2:$A$3000,B33)=0,"Parcel not found",IF(COUNTIF($A$2:$A$3000,A33)&gt;1,"Duplicate perm_id",IF(AND(I33="Yes",C33&lt;&gt;"",COUNTIFS($C$2:$C$3000,C33,$I$2:$I$3000,"Yes")&gt;1),"Reference counted twice",IF(COUNTIF(Lists!$A$2:$A$7,H33)=0,"Unknown status","")))))</f>
        <v/>
      </c>
    </row>
    <row r="34" customFormat="false" ht="15" hidden="false" customHeight="false" outlineLevel="0" collapsed="false">
      <c r="A34" s="18" t="s">
        <v>896</v>
      </c>
      <c r="B34" s="18" t="s">
        <v>151</v>
      </c>
      <c r="C34" s="18" t="s">
        <v>897</v>
      </c>
      <c r="D34" s="18" t="s">
        <v>897</v>
      </c>
      <c r="E34" s="18" t="s">
        <v>898</v>
      </c>
      <c r="F34" s="18" t="n">
        <v>137</v>
      </c>
      <c r="G34" s="18"/>
      <c r="H34" s="18" t="s">
        <v>703</v>
      </c>
      <c r="I34" s="18" t="s">
        <v>689</v>
      </c>
      <c r="J34" s="18" t="s">
        <v>690</v>
      </c>
      <c r="K34" s="18" t="s">
        <v>691</v>
      </c>
      <c r="L34" s="18" t="s">
        <v>105</v>
      </c>
      <c r="M34" s="18" t="s">
        <v>692</v>
      </c>
      <c r="N34" s="18" t="s">
        <v>899</v>
      </c>
      <c r="O34" s="18" t="s">
        <v>900</v>
      </c>
      <c r="P34" s="18"/>
      <c r="Q34" s="18"/>
      <c r="R34" s="18"/>
      <c r="S34" s="18" t="s">
        <v>707</v>
      </c>
      <c r="T34" s="18" t="n">
        <v>0</v>
      </c>
      <c r="U34" s="18" t="n">
        <v>0</v>
      </c>
      <c r="V34" s="18" t="n">
        <v>0</v>
      </c>
      <c r="W34" s="18" t="n">
        <v>0</v>
      </c>
      <c r="X34" s="18" t="n">
        <v>0</v>
      </c>
      <c r="Y34" s="18" t="n">
        <v>0</v>
      </c>
      <c r="Z34" s="18" t="s">
        <v>698</v>
      </c>
      <c r="AA34" s="18" t="s">
        <v>699</v>
      </c>
      <c r="AB34" s="18" t="s">
        <v>98</v>
      </c>
      <c r="AC34" s="18"/>
      <c r="AD34" s="23" t="str">
        <f aca="false">IF(A34="","",IF(COUNTIF(Parcels!$A$2:$A$3000,B34)=0,"Parcel not found",IF(COUNTIF($A$2:$A$3000,A34)&gt;1,"Duplicate perm_id",IF(AND(I34="Yes",C34&lt;&gt;"",COUNTIFS($C$2:$C$3000,C34,$I$2:$I$3000,"Yes")&gt;1),"Reference counted twice",IF(COUNTIF(Lists!$A$2:$A$7,H34)=0,"Unknown status","")))))</f>
        <v/>
      </c>
    </row>
    <row r="35" customFormat="false" ht="15" hidden="false" customHeight="false" outlineLevel="0" collapsed="false">
      <c r="A35" s="18" t="s">
        <v>901</v>
      </c>
      <c r="B35" s="18" t="s">
        <v>152</v>
      </c>
      <c r="C35" s="18" t="s">
        <v>902</v>
      </c>
      <c r="D35" s="18" t="s">
        <v>902</v>
      </c>
      <c r="E35" s="18" t="s">
        <v>903</v>
      </c>
      <c r="F35" s="18" t="n">
        <v>76</v>
      </c>
      <c r="G35" s="18"/>
      <c r="H35" s="18" t="s">
        <v>688</v>
      </c>
      <c r="I35" s="18" t="s">
        <v>689</v>
      </c>
      <c r="J35" s="18" t="s">
        <v>690</v>
      </c>
      <c r="K35" s="18" t="s">
        <v>691</v>
      </c>
      <c r="L35" s="18" t="s">
        <v>105</v>
      </c>
      <c r="M35" s="18" t="s">
        <v>704</v>
      </c>
      <c r="N35" s="18" t="s">
        <v>904</v>
      </c>
      <c r="O35" s="18" t="s">
        <v>905</v>
      </c>
      <c r="P35" s="18"/>
      <c r="Q35" s="18" t="s">
        <v>695</v>
      </c>
      <c r="R35" s="18" t="s">
        <v>906</v>
      </c>
      <c r="S35" s="18" t="s">
        <v>739</v>
      </c>
      <c r="T35" s="18" t="n">
        <v>0</v>
      </c>
      <c r="U35" s="18" t="n">
        <v>0</v>
      </c>
      <c r="V35" s="18" t="n">
        <v>20.9</v>
      </c>
      <c r="W35" s="18" t="n">
        <v>55.1</v>
      </c>
      <c r="X35" s="18" t="n">
        <v>0</v>
      </c>
      <c r="Y35" s="18" t="n">
        <v>0</v>
      </c>
      <c r="Z35" s="18" t="s">
        <v>698</v>
      </c>
      <c r="AA35" s="18" t="s">
        <v>699</v>
      </c>
      <c r="AB35" s="18" t="s">
        <v>98</v>
      </c>
      <c r="AC35" s="18"/>
      <c r="AD35" s="23" t="str">
        <f aca="false">IF(A35="","",IF(COUNTIF(Parcels!$A$2:$A$3000,B35)=0,"Parcel not found",IF(COUNTIF($A$2:$A$3000,A35)&gt;1,"Duplicate perm_id",IF(AND(I35="Yes",C35&lt;&gt;"",COUNTIFS($C$2:$C$3000,C35,$I$2:$I$3000,"Yes")&gt;1),"Reference counted twice",IF(COUNTIF(Lists!$A$2:$A$7,H35)=0,"Unknown status","")))))</f>
        <v/>
      </c>
    </row>
    <row r="36" customFormat="false" ht="15" hidden="false" customHeight="false" outlineLevel="0" collapsed="false">
      <c r="A36" s="18" t="s">
        <v>907</v>
      </c>
      <c r="B36" s="18" t="s">
        <v>137</v>
      </c>
      <c r="C36" s="18" t="s">
        <v>908</v>
      </c>
      <c r="D36" s="18" t="s">
        <v>908</v>
      </c>
      <c r="E36" s="18" t="s">
        <v>909</v>
      </c>
      <c r="F36" s="18" t="n">
        <v>99</v>
      </c>
      <c r="G36" s="18"/>
      <c r="H36" s="18" t="s">
        <v>688</v>
      </c>
      <c r="I36" s="18" t="s">
        <v>689</v>
      </c>
      <c r="J36" s="18" t="s">
        <v>690</v>
      </c>
      <c r="K36" s="18" t="s">
        <v>691</v>
      </c>
      <c r="L36" s="18" t="s">
        <v>105</v>
      </c>
      <c r="M36" s="18" t="s">
        <v>704</v>
      </c>
      <c r="N36" s="18" t="s">
        <v>910</v>
      </c>
      <c r="O36" s="18" t="s">
        <v>911</v>
      </c>
      <c r="P36" s="18"/>
      <c r="Q36" s="18" t="s">
        <v>695</v>
      </c>
      <c r="R36" s="18" t="s">
        <v>877</v>
      </c>
      <c r="S36" s="18" t="s">
        <v>697</v>
      </c>
      <c r="T36" s="18" t="n">
        <v>0</v>
      </c>
      <c r="U36" s="18" t="n">
        <v>0</v>
      </c>
      <c r="V36" s="18" t="n">
        <v>25.1</v>
      </c>
      <c r="W36" s="18" t="n">
        <v>51.9</v>
      </c>
      <c r="X36" s="18" t="n">
        <v>22</v>
      </c>
      <c r="Y36" s="18" t="n">
        <v>0</v>
      </c>
      <c r="Z36" s="18" t="s">
        <v>698</v>
      </c>
      <c r="AA36" s="18" t="s">
        <v>699</v>
      </c>
      <c r="AB36" s="18" t="s">
        <v>98</v>
      </c>
      <c r="AC36" s="18"/>
      <c r="AD36" s="23" t="str">
        <f aca="false">IF(A36="","",IF(COUNTIF(Parcels!$A$2:$A$3000,B36)=0,"Parcel not found",IF(COUNTIF($A$2:$A$3000,A36)&gt;1,"Duplicate perm_id",IF(AND(I36="Yes",C36&lt;&gt;"",COUNTIFS($C$2:$C$3000,C36,$I$2:$I$3000,"Yes")&gt;1),"Reference counted twice",IF(COUNTIF(Lists!$A$2:$A$7,H36)=0,"Unknown status","")))))</f>
        <v/>
      </c>
    </row>
    <row r="37" customFormat="false" ht="15" hidden="false" customHeight="false" outlineLevel="0" collapsed="false">
      <c r="A37" s="18" t="s">
        <v>912</v>
      </c>
      <c r="B37" s="18" t="s">
        <v>137</v>
      </c>
      <c r="C37" s="18" t="s">
        <v>913</v>
      </c>
      <c r="D37" s="18" t="s">
        <v>913</v>
      </c>
      <c r="E37" s="18" t="s">
        <v>914</v>
      </c>
      <c r="F37" s="18" t="n">
        <v>98</v>
      </c>
      <c r="G37" s="18"/>
      <c r="H37" s="18" t="s">
        <v>688</v>
      </c>
      <c r="I37" s="18" t="s">
        <v>689</v>
      </c>
      <c r="J37" s="18" t="s">
        <v>712</v>
      </c>
      <c r="K37" s="18" t="s">
        <v>691</v>
      </c>
      <c r="L37" s="18" t="s">
        <v>105</v>
      </c>
      <c r="M37" s="18" t="s">
        <v>704</v>
      </c>
      <c r="N37" s="18" t="s">
        <v>915</v>
      </c>
      <c r="O37" s="18" t="s">
        <v>916</v>
      </c>
      <c r="P37" s="18"/>
      <c r="Q37" s="18" t="s">
        <v>695</v>
      </c>
      <c r="R37" s="18" t="s">
        <v>877</v>
      </c>
      <c r="S37" s="18" t="s">
        <v>697</v>
      </c>
      <c r="T37" s="18" t="n">
        <v>0</v>
      </c>
      <c r="U37" s="18" t="n">
        <v>0</v>
      </c>
      <c r="V37" s="18" t="n">
        <v>25.2</v>
      </c>
      <c r="W37" s="18" t="n">
        <v>52.2</v>
      </c>
      <c r="X37" s="18" t="n">
        <v>20.6</v>
      </c>
      <c r="Y37" s="18" t="n">
        <v>0</v>
      </c>
      <c r="Z37" s="18" t="s">
        <v>698</v>
      </c>
      <c r="AA37" s="18" t="s">
        <v>699</v>
      </c>
      <c r="AB37" s="18" t="s">
        <v>98</v>
      </c>
      <c r="AC37" s="18"/>
      <c r="AD37" s="23" t="str">
        <f aca="false">IF(A37="","",IF(COUNTIF(Parcels!$A$2:$A$3000,B37)=0,"Parcel not found",IF(COUNTIF($A$2:$A$3000,A37)&gt;1,"Duplicate perm_id",IF(AND(I37="Yes",C37&lt;&gt;"",COUNTIFS($C$2:$C$3000,C37,$I$2:$I$3000,"Yes")&gt;1),"Reference counted twice",IF(COUNTIF(Lists!$A$2:$A$7,H37)=0,"Unknown status","")))))</f>
        <v/>
      </c>
    </row>
    <row r="38" customFormat="false" ht="15" hidden="false" customHeight="false" outlineLevel="0" collapsed="false">
      <c r="A38" s="18" t="s">
        <v>917</v>
      </c>
      <c r="B38" s="18" t="s">
        <v>137</v>
      </c>
      <c r="C38" s="18" t="s">
        <v>918</v>
      </c>
      <c r="D38" s="18" t="s">
        <v>918</v>
      </c>
      <c r="E38" s="18" t="s">
        <v>919</v>
      </c>
      <c r="F38" s="18" t="n">
        <v>54</v>
      </c>
      <c r="G38" s="18"/>
      <c r="H38" s="18" t="s">
        <v>688</v>
      </c>
      <c r="I38" s="18" t="s">
        <v>689</v>
      </c>
      <c r="J38" s="18" t="s">
        <v>712</v>
      </c>
      <c r="K38" s="18" t="s">
        <v>691</v>
      </c>
      <c r="L38" s="18" t="s">
        <v>105</v>
      </c>
      <c r="M38" s="18" t="s">
        <v>704</v>
      </c>
      <c r="N38" s="18" t="s">
        <v>920</v>
      </c>
      <c r="O38" s="18" t="s">
        <v>921</v>
      </c>
      <c r="P38" s="18"/>
      <c r="Q38" s="18" t="s">
        <v>695</v>
      </c>
      <c r="R38" s="18" t="s">
        <v>906</v>
      </c>
      <c r="S38" s="18" t="s">
        <v>697</v>
      </c>
      <c r="T38" s="18" t="n">
        <v>0</v>
      </c>
      <c r="U38" s="18" t="n">
        <v>0</v>
      </c>
      <c r="V38" s="18" t="n">
        <v>20.7</v>
      </c>
      <c r="W38" s="18" t="n">
        <v>33.3</v>
      </c>
      <c r="X38" s="18" t="n">
        <v>0</v>
      </c>
      <c r="Y38" s="18" t="n">
        <v>0</v>
      </c>
      <c r="Z38" s="18" t="s">
        <v>698</v>
      </c>
      <c r="AA38" s="18" t="s">
        <v>699</v>
      </c>
      <c r="AB38" s="18" t="s">
        <v>98</v>
      </c>
      <c r="AC38" s="18"/>
      <c r="AD38" s="23" t="str">
        <f aca="false">IF(A38="","",IF(COUNTIF(Parcels!$A$2:$A$3000,B38)=0,"Parcel not found",IF(COUNTIF($A$2:$A$3000,A38)&gt;1,"Duplicate perm_id",IF(AND(I38="Yes",C38&lt;&gt;"",COUNTIFS($C$2:$C$3000,C38,$I$2:$I$3000,"Yes")&gt;1),"Reference counted twice",IF(COUNTIF(Lists!$A$2:$A$7,H38)=0,"Unknown status","")))))</f>
        <v/>
      </c>
    </row>
    <row r="39" customFormat="false" ht="15" hidden="false" customHeight="false" outlineLevel="0" collapsed="false">
      <c r="A39" s="18" t="s">
        <v>922</v>
      </c>
      <c r="B39" s="18" t="s">
        <v>161</v>
      </c>
      <c r="C39" s="18" t="s">
        <v>923</v>
      </c>
      <c r="D39" s="18" t="s">
        <v>923</v>
      </c>
      <c r="E39" s="18" t="s">
        <v>924</v>
      </c>
      <c r="F39" s="18" t="n">
        <v>465</v>
      </c>
      <c r="G39" s="18" t="n">
        <v>309</v>
      </c>
      <c r="H39" s="18" t="s">
        <v>688</v>
      </c>
      <c r="I39" s="18" t="s">
        <v>689</v>
      </c>
      <c r="J39" s="18" t="s">
        <v>690</v>
      </c>
      <c r="K39" s="18" t="s">
        <v>797</v>
      </c>
      <c r="L39" s="18" t="s">
        <v>105</v>
      </c>
      <c r="M39" s="18" t="s">
        <v>770</v>
      </c>
      <c r="N39" s="18" t="s">
        <v>925</v>
      </c>
      <c r="O39" s="18" t="s">
        <v>926</v>
      </c>
      <c r="P39" s="18"/>
      <c r="Q39" s="18" t="s">
        <v>779</v>
      </c>
      <c r="R39" s="18" t="s">
        <v>927</v>
      </c>
      <c r="S39" s="18" t="s">
        <v>739</v>
      </c>
      <c r="T39" s="18" t="n">
        <v>0</v>
      </c>
      <c r="U39" s="18" t="n">
        <v>0</v>
      </c>
      <c r="V39" s="18" t="n">
        <v>0</v>
      </c>
      <c r="W39" s="18" t="n">
        <v>40.8</v>
      </c>
      <c r="X39" s="18" t="n">
        <v>56.4</v>
      </c>
      <c r="Y39" s="18" t="n">
        <v>367.8</v>
      </c>
      <c r="Z39" s="18" t="s">
        <v>698</v>
      </c>
      <c r="AA39" s="18" t="s">
        <v>699</v>
      </c>
      <c r="AB39" s="18" t="s">
        <v>98</v>
      </c>
      <c r="AC39" s="18"/>
      <c r="AD39" s="23" t="str">
        <f aca="false">IF(A39="","",IF(COUNTIF(Parcels!$A$2:$A$3000,B39)=0,"Parcel not found",IF(COUNTIF($A$2:$A$3000,A39)&gt;1,"Duplicate perm_id",IF(AND(I39="Yes",C39&lt;&gt;"",COUNTIFS($C$2:$C$3000,C39,$I$2:$I$3000,"Yes")&gt;1),"Reference counted twice",IF(COUNTIF(Lists!$A$2:$A$7,H39)=0,"Unknown status","")))))</f>
        <v/>
      </c>
    </row>
    <row r="40" customFormat="false" ht="15" hidden="false" customHeight="false" outlineLevel="0" collapsed="false">
      <c r="A40" s="18" t="s">
        <v>928</v>
      </c>
      <c r="B40" s="18" t="s">
        <v>163</v>
      </c>
      <c r="C40" s="18" t="s">
        <v>929</v>
      </c>
      <c r="D40" s="18" t="s">
        <v>929</v>
      </c>
      <c r="E40" s="18" t="s">
        <v>930</v>
      </c>
      <c r="F40" s="18" t="n">
        <v>48</v>
      </c>
      <c r="G40" s="18"/>
      <c r="H40" s="18" t="s">
        <v>711</v>
      </c>
      <c r="I40" s="18" t="s">
        <v>689</v>
      </c>
      <c r="J40" s="18" t="s">
        <v>690</v>
      </c>
      <c r="K40" s="18" t="s">
        <v>691</v>
      </c>
      <c r="L40" s="18" t="s">
        <v>105</v>
      </c>
      <c r="M40" s="18" t="s">
        <v>704</v>
      </c>
      <c r="N40" s="18" t="s">
        <v>931</v>
      </c>
      <c r="O40" s="18" t="s">
        <v>932</v>
      </c>
      <c r="P40" s="18" t="s">
        <v>933</v>
      </c>
      <c r="Q40" s="18" t="s">
        <v>718</v>
      </c>
      <c r="R40" s="18" t="s">
        <v>719</v>
      </c>
      <c r="S40" s="18" t="s">
        <v>720</v>
      </c>
      <c r="T40" s="18" t="n">
        <v>11.2</v>
      </c>
      <c r="U40" s="18" t="n">
        <v>36.8</v>
      </c>
      <c r="V40" s="18" t="n">
        <v>0</v>
      </c>
      <c r="W40" s="18" t="n">
        <v>0</v>
      </c>
      <c r="X40" s="18" t="n">
        <v>0</v>
      </c>
      <c r="Y40" s="18" t="n">
        <v>0</v>
      </c>
      <c r="Z40" s="18" t="s">
        <v>698</v>
      </c>
      <c r="AA40" s="18" t="s">
        <v>699</v>
      </c>
      <c r="AB40" s="18" t="s">
        <v>98</v>
      </c>
      <c r="AC40" s="18"/>
      <c r="AD40" s="23" t="str">
        <f aca="false">IF(A40="","",IF(COUNTIF(Parcels!$A$2:$A$3000,B40)=0,"Parcel not found",IF(COUNTIF($A$2:$A$3000,A40)&gt;1,"Duplicate perm_id",IF(AND(I40="Yes",C40&lt;&gt;"",COUNTIFS($C$2:$C$3000,C40,$I$2:$I$3000,"Yes")&gt;1),"Reference counted twice",IF(COUNTIF(Lists!$A$2:$A$7,H40)=0,"Unknown status","")))))</f>
        <v/>
      </c>
    </row>
    <row r="41" customFormat="false" ht="15" hidden="false" customHeight="false" outlineLevel="0" collapsed="false">
      <c r="A41" s="18" t="s">
        <v>934</v>
      </c>
      <c r="B41" s="18" t="s">
        <v>163</v>
      </c>
      <c r="C41" s="18" t="s">
        <v>935</v>
      </c>
      <c r="D41" s="18" t="s">
        <v>935</v>
      </c>
      <c r="E41" s="18" t="s">
        <v>936</v>
      </c>
      <c r="F41" s="18" t="n">
        <v>212</v>
      </c>
      <c r="G41" s="18"/>
      <c r="H41" s="18" t="s">
        <v>688</v>
      </c>
      <c r="I41" s="18" t="s">
        <v>689</v>
      </c>
      <c r="J41" s="18" t="s">
        <v>690</v>
      </c>
      <c r="K41" s="18" t="s">
        <v>691</v>
      </c>
      <c r="L41" s="18" t="s">
        <v>105</v>
      </c>
      <c r="M41" s="18" t="s">
        <v>770</v>
      </c>
      <c r="N41" s="18" t="s">
        <v>937</v>
      </c>
      <c r="O41" s="18" t="s">
        <v>938</v>
      </c>
      <c r="P41" s="18"/>
      <c r="Q41" s="18" t="s">
        <v>779</v>
      </c>
      <c r="R41" s="18" t="s">
        <v>939</v>
      </c>
      <c r="S41" s="18" t="s">
        <v>739</v>
      </c>
      <c r="T41" s="18" t="n">
        <v>0</v>
      </c>
      <c r="U41" s="18" t="n">
        <v>0</v>
      </c>
      <c r="V41" s="18" t="n">
        <v>0</v>
      </c>
      <c r="W41" s="18" t="n">
        <v>36.4</v>
      </c>
      <c r="X41" s="18" t="n">
        <v>65.9</v>
      </c>
      <c r="Y41" s="18" t="n">
        <v>109.7</v>
      </c>
      <c r="Z41" s="18" t="s">
        <v>698</v>
      </c>
      <c r="AA41" s="18" t="s">
        <v>699</v>
      </c>
      <c r="AB41" s="18" t="s">
        <v>98</v>
      </c>
      <c r="AC41" s="18"/>
      <c r="AD41" s="23" t="str">
        <f aca="false">IF(A41="","",IF(COUNTIF(Parcels!$A$2:$A$3000,B41)=0,"Parcel not found",IF(COUNTIF($A$2:$A$3000,A41)&gt;1,"Duplicate perm_id",IF(AND(I41="Yes",C41&lt;&gt;"",COUNTIFS($C$2:$C$3000,C41,$I$2:$I$3000,"Yes")&gt;1),"Reference counted twice",IF(COUNTIF(Lists!$A$2:$A$7,H41)=0,"Unknown status","")))))</f>
        <v/>
      </c>
    </row>
    <row r="42" customFormat="false" ht="15" hidden="false" customHeight="false" outlineLevel="0" collapsed="false">
      <c r="A42" s="18" t="s">
        <v>940</v>
      </c>
      <c r="B42" s="18" t="s">
        <v>273</v>
      </c>
      <c r="C42" s="18" t="s">
        <v>941</v>
      </c>
      <c r="D42" s="18" t="s">
        <v>941</v>
      </c>
      <c r="E42" s="18" t="s">
        <v>942</v>
      </c>
      <c r="F42" s="18" t="n">
        <v>31</v>
      </c>
      <c r="G42" s="18"/>
      <c r="H42" s="18" t="s">
        <v>711</v>
      </c>
      <c r="I42" s="18" t="s">
        <v>689</v>
      </c>
      <c r="J42" s="18" t="s">
        <v>690</v>
      </c>
      <c r="K42" s="18" t="s">
        <v>691</v>
      </c>
      <c r="L42" s="18" t="s">
        <v>105</v>
      </c>
      <c r="M42" s="18" t="s">
        <v>704</v>
      </c>
      <c r="N42" s="18" t="s">
        <v>943</v>
      </c>
      <c r="O42" s="18" t="s">
        <v>944</v>
      </c>
      <c r="P42" s="18" t="s">
        <v>945</v>
      </c>
      <c r="Q42" s="18" t="s">
        <v>747</v>
      </c>
      <c r="R42" s="18" t="s">
        <v>876</v>
      </c>
      <c r="S42" s="18" t="s">
        <v>720</v>
      </c>
      <c r="T42" s="18" t="n">
        <v>0</v>
      </c>
      <c r="U42" s="18" t="n">
        <v>28.5</v>
      </c>
      <c r="V42" s="18" t="n">
        <v>2.5</v>
      </c>
      <c r="W42" s="18" t="n">
        <v>0</v>
      </c>
      <c r="X42" s="18" t="n">
        <v>0</v>
      </c>
      <c r="Y42" s="18" t="n">
        <v>0</v>
      </c>
      <c r="Z42" s="18" t="s">
        <v>698</v>
      </c>
      <c r="AA42" s="18" t="s">
        <v>699</v>
      </c>
      <c r="AB42" s="18" t="s">
        <v>98</v>
      </c>
      <c r="AC42" s="18"/>
      <c r="AD42" s="23" t="str">
        <f aca="false">IF(A42="","",IF(COUNTIF(Parcels!$A$2:$A$3000,B42)=0,"Parcel not found",IF(COUNTIF($A$2:$A$3000,A42)&gt;1,"Duplicate perm_id",IF(AND(I42="Yes",C42&lt;&gt;"",COUNTIFS($C$2:$C$3000,C42,$I$2:$I$3000,"Yes")&gt;1),"Reference counted twice",IF(COUNTIF(Lists!$A$2:$A$7,H42)=0,"Unknown status","")))))</f>
        <v/>
      </c>
    </row>
    <row r="43" customFormat="false" ht="15" hidden="false" customHeight="false" outlineLevel="0" collapsed="false">
      <c r="A43" s="18" t="s">
        <v>946</v>
      </c>
      <c r="B43" s="18" t="s">
        <v>274</v>
      </c>
      <c r="C43" s="18" t="s">
        <v>947</v>
      </c>
      <c r="D43" s="18" t="s">
        <v>947</v>
      </c>
      <c r="E43" s="18" t="s">
        <v>948</v>
      </c>
      <c r="F43" s="18" t="n">
        <v>403</v>
      </c>
      <c r="G43" s="18"/>
      <c r="H43" s="18" t="s">
        <v>688</v>
      </c>
      <c r="I43" s="18" t="s">
        <v>689</v>
      </c>
      <c r="J43" s="18" t="s">
        <v>690</v>
      </c>
      <c r="K43" s="18" t="s">
        <v>691</v>
      </c>
      <c r="L43" s="18" t="s">
        <v>105</v>
      </c>
      <c r="M43" s="18" t="s">
        <v>770</v>
      </c>
      <c r="N43" s="18" t="s">
        <v>925</v>
      </c>
      <c r="O43" s="18" t="s">
        <v>949</v>
      </c>
      <c r="P43" s="18"/>
      <c r="Q43" s="18" t="s">
        <v>779</v>
      </c>
      <c r="R43" s="18" t="s">
        <v>950</v>
      </c>
      <c r="S43" s="18" t="s">
        <v>739</v>
      </c>
      <c r="T43" s="18" t="n">
        <v>0</v>
      </c>
      <c r="U43" s="18" t="n">
        <v>0</v>
      </c>
      <c r="V43" s="18" t="n">
        <v>0</v>
      </c>
      <c r="W43" s="18" t="n">
        <v>41.6</v>
      </c>
      <c r="X43" s="18" t="n">
        <v>57.4</v>
      </c>
      <c r="Y43" s="18" t="n">
        <v>304</v>
      </c>
      <c r="Z43" s="18" t="s">
        <v>698</v>
      </c>
      <c r="AA43" s="18" t="s">
        <v>699</v>
      </c>
      <c r="AB43" s="18" t="s">
        <v>98</v>
      </c>
      <c r="AC43" s="18"/>
      <c r="AD43" s="23" t="str">
        <f aca="false">IF(A43="","",IF(COUNTIF(Parcels!$A$2:$A$3000,B43)=0,"Parcel not found",IF(COUNTIF($A$2:$A$3000,A43)&gt;1,"Duplicate perm_id",IF(AND(I43="Yes",C43&lt;&gt;"",COUNTIFS($C$2:$C$3000,C43,$I$2:$I$3000,"Yes")&gt;1),"Reference counted twice",IF(COUNTIF(Lists!$A$2:$A$7,H43)=0,"Unknown status","")))))</f>
        <v/>
      </c>
    </row>
    <row r="44" customFormat="false" ht="15" hidden="false" customHeight="false" outlineLevel="0" collapsed="false">
      <c r="A44" s="18" t="s">
        <v>951</v>
      </c>
      <c r="B44" s="18" t="s">
        <v>247</v>
      </c>
      <c r="C44" s="18" t="s">
        <v>952</v>
      </c>
      <c r="D44" s="18" t="s">
        <v>952</v>
      </c>
      <c r="E44" s="18" t="s">
        <v>953</v>
      </c>
      <c r="F44" s="18" t="n">
        <v>55</v>
      </c>
      <c r="G44" s="18"/>
      <c r="H44" s="18" t="s">
        <v>688</v>
      </c>
      <c r="I44" s="18" t="s">
        <v>689</v>
      </c>
      <c r="J44" s="18" t="s">
        <v>690</v>
      </c>
      <c r="K44" s="18" t="s">
        <v>691</v>
      </c>
      <c r="L44" s="18" t="s">
        <v>105</v>
      </c>
      <c r="M44" s="18" t="s">
        <v>704</v>
      </c>
      <c r="N44" s="18" t="s">
        <v>954</v>
      </c>
      <c r="O44" s="18" t="s">
        <v>955</v>
      </c>
      <c r="P44" s="18"/>
      <c r="Q44" s="18" t="s">
        <v>956</v>
      </c>
      <c r="R44" s="18" t="s">
        <v>870</v>
      </c>
      <c r="S44" s="18" t="s">
        <v>739</v>
      </c>
      <c r="T44" s="18" t="n">
        <v>0</v>
      </c>
      <c r="U44" s="18" t="n">
        <v>0</v>
      </c>
      <c r="V44" s="18" t="n">
        <v>42.9</v>
      </c>
      <c r="W44" s="18" t="n">
        <v>12.1</v>
      </c>
      <c r="X44" s="18" t="n">
        <v>0</v>
      </c>
      <c r="Y44" s="18" t="n">
        <v>0</v>
      </c>
      <c r="Z44" s="18" t="s">
        <v>698</v>
      </c>
      <c r="AA44" s="18" t="s">
        <v>699</v>
      </c>
      <c r="AB44" s="18" t="s">
        <v>98</v>
      </c>
      <c r="AC44" s="18"/>
      <c r="AD44" s="23" t="str">
        <f aca="false">IF(A44="","",IF(COUNTIF(Parcels!$A$2:$A$3000,B44)=0,"Parcel not found",IF(COUNTIF($A$2:$A$3000,A44)&gt;1,"Duplicate perm_id",IF(AND(I44="Yes",C44&lt;&gt;"",COUNTIFS($C$2:$C$3000,C44,$I$2:$I$3000,"Yes")&gt;1),"Reference counted twice",IF(COUNTIF(Lists!$A$2:$A$7,H44)=0,"Unknown status","")))))</f>
        <v/>
      </c>
    </row>
    <row r="45" customFormat="false" ht="15" hidden="false" customHeight="false" outlineLevel="0" collapsed="false">
      <c r="A45" s="18" t="s">
        <v>957</v>
      </c>
      <c r="B45" s="18" t="s">
        <v>138</v>
      </c>
      <c r="C45" s="18" t="s">
        <v>958</v>
      </c>
      <c r="D45" s="18" t="s">
        <v>958</v>
      </c>
      <c r="E45" s="18" t="s">
        <v>959</v>
      </c>
      <c r="F45" s="18" t="n">
        <v>86</v>
      </c>
      <c r="G45" s="18"/>
      <c r="H45" s="18" t="s">
        <v>688</v>
      </c>
      <c r="I45" s="18" t="s">
        <v>689</v>
      </c>
      <c r="J45" s="18" t="s">
        <v>690</v>
      </c>
      <c r="K45" s="18" t="s">
        <v>691</v>
      </c>
      <c r="L45" s="18" t="s">
        <v>105</v>
      </c>
      <c r="M45" s="18" t="s">
        <v>704</v>
      </c>
      <c r="N45" s="18" t="s">
        <v>960</v>
      </c>
      <c r="O45" s="18" t="s">
        <v>961</v>
      </c>
      <c r="P45" s="18"/>
      <c r="Q45" s="18" t="s">
        <v>695</v>
      </c>
      <c r="R45" s="18" t="s">
        <v>773</v>
      </c>
      <c r="S45" s="18" t="s">
        <v>697</v>
      </c>
      <c r="T45" s="18" t="n">
        <v>0</v>
      </c>
      <c r="U45" s="18" t="n">
        <v>0</v>
      </c>
      <c r="V45" s="18" t="n">
        <v>27.2</v>
      </c>
      <c r="W45" s="18" t="n">
        <v>56.4</v>
      </c>
      <c r="X45" s="18" t="n">
        <v>2.4</v>
      </c>
      <c r="Y45" s="18" t="n">
        <v>0</v>
      </c>
      <c r="Z45" s="18" t="s">
        <v>698</v>
      </c>
      <c r="AA45" s="18" t="s">
        <v>699</v>
      </c>
      <c r="AB45" s="18" t="s">
        <v>98</v>
      </c>
      <c r="AC45" s="18"/>
      <c r="AD45" s="23" t="str">
        <f aca="false">IF(A45="","",IF(COUNTIF(Parcels!$A$2:$A$3000,B45)=0,"Parcel not found",IF(COUNTIF($A$2:$A$3000,A45)&gt;1,"Duplicate perm_id",IF(AND(I45="Yes",C45&lt;&gt;"",COUNTIFS($C$2:$C$3000,C45,$I$2:$I$3000,"Yes")&gt;1),"Reference counted twice",IF(COUNTIF(Lists!$A$2:$A$7,H45)=0,"Unknown status","")))))</f>
        <v/>
      </c>
    </row>
    <row r="46" customFormat="false" ht="15" hidden="false" customHeight="false" outlineLevel="0" collapsed="false">
      <c r="A46" s="18" t="s">
        <v>962</v>
      </c>
      <c r="B46" s="18" t="s">
        <v>249</v>
      </c>
      <c r="C46" s="18" t="s">
        <v>963</v>
      </c>
      <c r="D46" s="18" t="s">
        <v>963</v>
      </c>
      <c r="E46" s="18" t="s">
        <v>964</v>
      </c>
      <c r="F46" s="18" t="n">
        <v>20</v>
      </c>
      <c r="G46" s="18"/>
      <c r="H46" s="18" t="s">
        <v>711</v>
      </c>
      <c r="I46" s="18" t="s">
        <v>689</v>
      </c>
      <c r="J46" s="18" t="s">
        <v>690</v>
      </c>
      <c r="K46" s="18" t="s">
        <v>691</v>
      </c>
      <c r="L46" s="18" t="s">
        <v>105</v>
      </c>
      <c r="M46" s="18" t="s">
        <v>704</v>
      </c>
      <c r="N46" s="18" t="s">
        <v>965</v>
      </c>
      <c r="O46" s="18" t="s">
        <v>966</v>
      </c>
      <c r="P46" s="18" t="s">
        <v>967</v>
      </c>
      <c r="Q46" s="18" t="s">
        <v>968</v>
      </c>
      <c r="R46" s="18" t="s">
        <v>719</v>
      </c>
      <c r="S46" s="18" t="s">
        <v>720</v>
      </c>
      <c r="T46" s="18" t="n">
        <v>4.7</v>
      </c>
      <c r="U46" s="18" t="n">
        <v>15.3</v>
      </c>
      <c r="V46" s="18" t="n">
        <v>0</v>
      </c>
      <c r="W46" s="18" t="n">
        <v>0</v>
      </c>
      <c r="X46" s="18" t="n">
        <v>0</v>
      </c>
      <c r="Y46" s="18" t="n">
        <v>0</v>
      </c>
      <c r="Z46" s="18" t="s">
        <v>698</v>
      </c>
      <c r="AA46" s="18" t="s">
        <v>699</v>
      </c>
      <c r="AB46" s="18" t="s">
        <v>98</v>
      </c>
      <c r="AC46" s="18"/>
      <c r="AD46" s="23" t="str">
        <f aca="false">IF(A46="","",IF(COUNTIF(Parcels!$A$2:$A$3000,B46)=0,"Parcel not found",IF(COUNTIF($A$2:$A$3000,A46)&gt;1,"Duplicate perm_id",IF(AND(I46="Yes",C46&lt;&gt;"",COUNTIFS($C$2:$C$3000,C46,$I$2:$I$3000,"Yes")&gt;1),"Reference counted twice",IF(COUNTIF(Lists!$A$2:$A$7,H46)=0,"Unknown status","")))))</f>
        <v/>
      </c>
    </row>
    <row r="47" customFormat="false" ht="15" hidden="false" customHeight="false" outlineLevel="0" collapsed="false">
      <c r="A47" s="18" t="s">
        <v>969</v>
      </c>
      <c r="B47" s="18" t="s">
        <v>251</v>
      </c>
      <c r="C47" s="18" t="s">
        <v>970</v>
      </c>
      <c r="D47" s="18" t="s">
        <v>970</v>
      </c>
      <c r="E47" s="18" t="s">
        <v>971</v>
      </c>
      <c r="F47" s="18" t="n">
        <v>14</v>
      </c>
      <c r="G47" s="18"/>
      <c r="H47" s="18" t="s">
        <v>688</v>
      </c>
      <c r="I47" s="18" t="s">
        <v>689</v>
      </c>
      <c r="J47" s="18" t="s">
        <v>690</v>
      </c>
      <c r="K47" s="18" t="s">
        <v>691</v>
      </c>
      <c r="L47" s="18" t="s">
        <v>105</v>
      </c>
      <c r="M47" s="18" t="s">
        <v>704</v>
      </c>
      <c r="N47" s="18" t="s">
        <v>972</v>
      </c>
      <c r="O47" s="18" t="s">
        <v>973</v>
      </c>
      <c r="P47" s="18"/>
      <c r="Q47" s="18" t="s">
        <v>695</v>
      </c>
      <c r="R47" s="18" t="s">
        <v>870</v>
      </c>
      <c r="S47" s="18" t="s">
        <v>697</v>
      </c>
      <c r="T47" s="18" t="n">
        <v>0</v>
      </c>
      <c r="U47" s="18" t="n">
        <v>0</v>
      </c>
      <c r="V47" s="18" t="n">
        <v>8.2</v>
      </c>
      <c r="W47" s="18" t="n">
        <v>5.8</v>
      </c>
      <c r="X47" s="18" t="n">
        <v>0</v>
      </c>
      <c r="Y47" s="18" t="n">
        <v>0</v>
      </c>
      <c r="Z47" s="18" t="s">
        <v>698</v>
      </c>
      <c r="AA47" s="18" t="s">
        <v>699</v>
      </c>
      <c r="AB47" s="18" t="s">
        <v>98</v>
      </c>
      <c r="AC47" s="18"/>
      <c r="AD47" s="23" t="str">
        <f aca="false">IF(A47="","",IF(COUNTIF(Parcels!$A$2:$A$3000,B47)=0,"Parcel not found",IF(COUNTIF($A$2:$A$3000,A47)&gt;1,"Duplicate perm_id",IF(AND(I47="Yes",C47&lt;&gt;"",COUNTIFS($C$2:$C$3000,C47,$I$2:$I$3000,"Yes")&gt;1),"Reference counted twice",IF(COUNTIF(Lists!$A$2:$A$7,H47)=0,"Unknown status","")))))</f>
        <v/>
      </c>
    </row>
    <row r="48" customFormat="false" ht="15" hidden="false" customHeight="false" outlineLevel="0" collapsed="false">
      <c r="A48" s="18" t="s">
        <v>974</v>
      </c>
      <c r="B48" s="18" t="s">
        <v>251</v>
      </c>
      <c r="C48" s="18" t="s">
        <v>975</v>
      </c>
      <c r="D48" s="18" t="s">
        <v>975</v>
      </c>
      <c r="E48" s="18" t="s">
        <v>976</v>
      </c>
      <c r="F48" s="18" t="n">
        <v>30</v>
      </c>
      <c r="G48" s="18"/>
      <c r="H48" s="18" t="s">
        <v>688</v>
      </c>
      <c r="I48" s="18" t="s">
        <v>689</v>
      </c>
      <c r="J48" s="18" t="s">
        <v>712</v>
      </c>
      <c r="K48" s="18" t="s">
        <v>691</v>
      </c>
      <c r="L48" s="18" t="s">
        <v>105</v>
      </c>
      <c r="M48" s="18" t="s">
        <v>704</v>
      </c>
      <c r="N48" s="18" t="s">
        <v>977</v>
      </c>
      <c r="O48" s="18" t="s">
        <v>978</v>
      </c>
      <c r="P48" s="18"/>
      <c r="Q48" s="18" t="s">
        <v>956</v>
      </c>
      <c r="R48" s="18" t="s">
        <v>979</v>
      </c>
      <c r="S48" s="18" t="s">
        <v>739</v>
      </c>
      <c r="T48" s="18" t="n">
        <v>0</v>
      </c>
      <c r="U48" s="18" t="n">
        <v>1.4</v>
      </c>
      <c r="V48" s="18" t="n">
        <v>28.6</v>
      </c>
      <c r="W48" s="18" t="n">
        <v>0</v>
      </c>
      <c r="X48" s="18" t="n">
        <v>0</v>
      </c>
      <c r="Y48" s="18" t="n">
        <v>0</v>
      </c>
      <c r="Z48" s="18" t="s">
        <v>698</v>
      </c>
      <c r="AA48" s="18" t="s">
        <v>699</v>
      </c>
      <c r="AB48" s="18" t="s">
        <v>98</v>
      </c>
      <c r="AC48" s="18"/>
      <c r="AD48" s="23" t="str">
        <f aca="false">IF(A48="","",IF(COUNTIF(Parcels!$A$2:$A$3000,B48)=0,"Parcel not found",IF(COUNTIF($A$2:$A$3000,A48)&gt;1,"Duplicate perm_id",IF(AND(I48="Yes",C48&lt;&gt;"",COUNTIFS($C$2:$C$3000,C48,$I$2:$I$3000,"Yes")&gt;1),"Reference counted twice",IF(COUNTIF(Lists!$A$2:$A$7,H48)=0,"Unknown status","")))))</f>
        <v/>
      </c>
    </row>
    <row r="49" customFormat="false" ht="15" hidden="false" customHeight="false" outlineLevel="0" collapsed="false">
      <c r="A49" s="18" t="s">
        <v>980</v>
      </c>
      <c r="B49" s="18" t="s">
        <v>252</v>
      </c>
      <c r="C49" s="18" t="s">
        <v>981</v>
      </c>
      <c r="D49" s="18" t="s">
        <v>981</v>
      </c>
      <c r="E49" s="18" t="s">
        <v>982</v>
      </c>
      <c r="F49" s="18" t="n">
        <v>30</v>
      </c>
      <c r="G49" s="18"/>
      <c r="H49" s="18" t="s">
        <v>711</v>
      </c>
      <c r="I49" s="18" t="s">
        <v>689</v>
      </c>
      <c r="J49" s="18" t="s">
        <v>690</v>
      </c>
      <c r="K49" s="18" t="s">
        <v>713</v>
      </c>
      <c r="L49" s="18" t="s">
        <v>743</v>
      </c>
      <c r="M49" s="18" t="s">
        <v>704</v>
      </c>
      <c r="N49" s="18" t="s">
        <v>983</v>
      </c>
      <c r="O49" s="18" t="s">
        <v>984</v>
      </c>
      <c r="P49" s="18" t="s">
        <v>985</v>
      </c>
      <c r="Q49" s="18" t="s">
        <v>718</v>
      </c>
      <c r="R49" s="18" t="s">
        <v>719</v>
      </c>
      <c r="S49" s="18" t="s">
        <v>720</v>
      </c>
      <c r="T49" s="18" t="n">
        <v>7</v>
      </c>
      <c r="U49" s="18" t="n">
        <v>23</v>
      </c>
      <c r="V49" s="18" t="n">
        <v>0</v>
      </c>
      <c r="W49" s="18" t="n">
        <v>0</v>
      </c>
      <c r="X49" s="18" t="n">
        <v>0</v>
      </c>
      <c r="Y49" s="18" t="n">
        <v>0</v>
      </c>
      <c r="Z49" s="18" t="s">
        <v>698</v>
      </c>
      <c r="AA49" s="18" t="s">
        <v>699</v>
      </c>
      <c r="AB49" s="18" t="s">
        <v>98</v>
      </c>
      <c r="AC49" s="18"/>
      <c r="AD49" s="23" t="str">
        <f aca="false">IF(A49="","",IF(COUNTIF(Parcels!$A$2:$A$3000,B49)=0,"Parcel not found",IF(COUNTIF($A$2:$A$3000,A49)&gt;1,"Duplicate perm_id",IF(AND(I49="Yes",C49&lt;&gt;"",COUNTIFS($C$2:$C$3000,C49,$I$2:$I$3000,"Yes")&gt;1),"Reference counted twice",IF(COUNTIF(Lists!$A$2:$A$7,H49)=0,"Unknown status","")))))</f>
        <v/>
      </c>
    </row>
    <row r="50" customFormat="false" ht="15" hidden="false" customHeight="false" outlineLevel="0" collapsed="false">
      <c r="A50" s="18" t="s">
        <v>986</v>
      </c>
      <c r="B50" s="18" t="s">
        <v>181</v>
      </c>
      <c r="C50" s="18" t="s">
        <v>987</v>
      </c>
      <c r="D50" s="18" t="s">
        <v>987</v>
      </c>
      <c r="E50" s="18" t="s">
        <v>988</v>
      </c>
      <c r="F50" s="18" t="n">
        <v>285</v>
      </c>
      <c r="G50" s="18"/>
      <c r="H50" s="18" t="s">
        <v>688</v>
      </c>
      <c r="I50" s="18" t="s">
        <v>689</v>
      </c>
      <c r="J50" s="18" t="s">
        <v>690</v>
      </c>
      <c r="K50" s="18" t="s">
        <v>989</v>
      </c>
      <c r="L50" s="18" t="s">
        <v>990</v>
      </c>
      <c r="M50" s="18" t="s">
        <v>770</v>
      </c>
      <c r="N50" s="18" t="s">
        <v>991</v>
      </c>
      <c r="O50" s="18" t="s">
        <v>992</v>
      </c>
      <c r="P50" s="18"/>
      <c r="Q50" s="18" t="s">
        <v>719</v>
      </c>
      <c r="R50" s="18" t="s">
        <v>993</v>
      </c>
      <c r="S50" s="18" t="s">
        <v>739</v>
      </c>
      <c r="T50" s="18" t="n">
        <v>0</v>
      </c>
      <c r="U50" s="18" t="n">
        <v>0</v>
      </c>
      <c r="V50" s="18" t="n">
        <v>10.1</v>
      </c>
      <c r="W50" s="18" t="n">
        <v>61</v>
      </c>
      <c r="X50" s="18" t="n">
        <v>61</v>
      </c>
      <c r="Y50" s="18" t="n">
        <v>152.9</v>
      </c>
      <c r="Z50" s="18" t="s">
        <v>698</v>
      </c>
      <c r="AA50" s="18" t="s">
        <v>699</v>
      </c>
      <c r="AB50" s="18" t="s">
        <v>98</v>
      </c>
      <c r="AC50" s="18"/>
      <c r="AD50" s="23" t="str">
        <f aca="false">IF(A50="","",IF(COUNTIF(Parcels!$A$2:$A$3000,B50)=0,"Parcel not found",IF(COUNTIF($A$2:$A$3000,A50)&gt;1,"Duplicate perm_id",IF(AND(I50="Yes",C50&lt;&gt;"",COUNTIFS($C$2:$C$3000,C50,$I$2:$I$3000,"Yes")&gt;1),"Reference counted twice",IF(COUNTIF(Lists!$A$2:$A$7,H50)=0,"Unknown status","")))))</f>
        <v/>
      </c>
    </row>
    <row r="51" customFormat="false" ht="15" hidden="false" customHeight="false" outlineLevel="0" collapsed="false">
      <c r="A51" s="18" t="s">
        <v>994</v>
      </c>
      <c r="B51" s="18" t="s">
        <v>491</v>
      </c>
      <c r="C51" s="18" t="s">
        <v>995</v>
      </c>
      <c r="D51" s="18" t="s">
        <v>995</v>
      </c>
      <c r="E51" s="18" t="s">
        <v>996</v>
      </c>
      <c r="F51" s="18" t="n">
        <v>3</v>
      </c>
      <c r="G51" s="18"/>
      <c r="H51" s="18" t="s">
        <v>728</v>
      </c>
      <c r="I51" s="18" t="s">
        <v>689</v>
      </c>
      <c r="J51" s="18" t="s">
        <v>712</v>
      </c>
      <c r="K51" s="18" t="s">
        <v>691</v>
      </c>
      <c r="L51" s="18" t="s">
        <v>105</v>
      </c>
      <c r="M51" s="18" t="s">
        <v>704</v>
      </c>
      <c r="N51" s="18" t="s">
        <v>997</v>
      </c>
      <c r="O51" s="18" t="s">
        <v>998</v>
      </c>
      <c r="P51" s="18" t="s">
        <v>999</v>
      </c>
      <c r="Q51" s="18"/>
      <c r="R51" s="18"/>
      <c r="S51" s="18" t="s">
        <v>731</v>
      </c>
      <c r="T51" s="18" t="n">
        <v>0</v>
      </c>
      <c r="U51" s="18" t="n">
        <v>0</v>
      </c>
      <c r="V51" s="18" t="n">
        <v>0</v>
      </c>
      <c r="W51" s="18" t="n">
        <v>0</v>
      </c>
      <c r="X51" s="18" t="n">
        <v>0</v>
      </c>
      <c r="Y51" s="18" t="n">
        <v>0</v>
      </c>
      <c r="Z51" s="18" t="s">
        <v>1000</v>
      </c>
      <c r="AA51" s="18" t="s">
        <v>699</v>
      </c>
      <c r="AB51" s="18" t="s">
        <v>98</v>
      </c>
      <c r="AC51" s="18"/>
      <c r="AD51" s="23" t="str">
        <f aca="false">IF(A51="","",IF(COUNTIF(Parcels!$A$2:$A$3000,B51)=0,"Parcel not found",IF(COUNTIF($A$2:$A$3000,A51)&gt;1,"Duplicate perm_id",IF(AND(I51="Yes",C51&lt;&gt;"",COUNTIFS($C$2:$C$3000,C51,$I$2:$I$3000,"Yes")&gt;1),"Reference counted twice",IF(COUNTIF(Lists!$A$2:$A$7,H51)=0,"Unknown status","")))))</f>
        <v/>
      </c>
    </row>
    <row r="52" customFormat="false" ht="15" hidden="false" customHeight="false" outlineLevel="0" collapsed="false">
      <c r="A52" s="18" t="s">
        <v>1001</v>
      </c>
      <c r="B52" s="18" t="s">
        <v>491</v>
      </c>
      <c r="C52" s="18" t="s">
        <v>1002</v>
      </c>
      <c r="D52" s="18" t="s">
        <v>1002</v>
      </c>
      <c r="E52" s="18" t="s">
        <v>494</v>
      </c>
      <c r="F52" s="18" t="n">
        <v>3</v>
      </c>
      <c r="G52" s="18"/>
      <c r="H52" s="18" t="s">
        <v>688</v>
      </c>
      <c r="I52" s="18" t="s">
        <v>689</v>
      </c>
      <c r="J52" s="18" t="s">
        <v>690</v>
      </c>
      <c r="K52" s="18" t="s">
        <v>713</v>
      </c>
      <c r="L52" s="18" t="s">
        <v>714</v>
      </c>
      <c r="M52" s="18" t="s">
        <v>715</v>
      </c>
      <c r="N52" s="18" t="s">
        <v>1003</v>
      </c>
      <c r="O52" s="18"/>
      <c r="P52" s="18"/>
      <c r="Q52" s="18" t="s">
        <v>737</v>
      </c>
      <c r="R52" s="18" t="s">
        <v>738</v>
      </c>
      <c r="S52" s="18" t="s">
        <v>739</v>
      </c>
      <c r="T52" s="18" t="n">
        <v>0</v>
      </c>
      <c r="U52" s="18" t="n">
        <v>0</v>
      </c>
      <c r="V52" s="18" t="n">
        <v>2.6</v>
      </c>
      <c r="W52" s="18" t="n">
        <v>0.4</v>
      </c>
      <c r="X52" s="18" t="n">
        <v>0</v>
      </c>
      <c r="Y52" s="18" t="n">
        <v>0</v>
      </c>
      <c r="Z52" s="18" t="s">
        <v>1000</v>
      </c>
      <c r="AA52" s="18" t="s">
        <v>699</v>
      </c>
      <c r="AB52" s="18" t="s">
        <v>98</v>
      </c>
      <c r="AC52" s="18"/>
      <c r="AD52" s="23" t="str">
        <f aca="false">IF(A52="","",IF(COUNTIF(Parcels!$A$2:$A$3000,B52)=0,"Parcel not found",IF(COUNTIF($A$2:$A$3000,A52)&gt;1,"Duplicate perm_id",IF(AND(I52="Yes",C52&lt;&gt;"",COUNTIFS($C$2:$C$3000,C52,$I$2:$I$3000,"Yes")&gt;1),"Reference counted twice",IF(COUNTIF(Lists!$A$2:$A$7,H52)=0,"Unknown status","")))))</f>
        <v/>
      </c>
    </row>
    <row r="53" customFormat="false" ht="15" hidden="false" customHeight="false" outlineLevel="0" collapsed="false">
      <c r="A53" s="18" t="s">
        <v>1004</v>
      </c>
      <c r="B53" s="18" t="s">
        <v>455</v>
      </c>
      <c r="C53" s="18" t="s">
        <v>1005</v>
      </c>
      <c r="D53" s="18" t="s">
        <v>1005</v>
      </c>
      <c r="E53" s="18" t="s">
        <v>456</v>
      </c>
      <c r="F53" s="18" t="n">
        <v>7</v>
      </c>
      <c r="G53" s="18"/>
      <c r="H53" s="18" t="s">
        <v>711</v>
      </c>
      <c r="I53" s="18" t="s">
        <v>689</v>
      </c>
      <c r="J53" s="18" t="s">
        <v>690</v>
      </c>
      <c r="K53" s="18" t="s">
        <v>713</v>
      </c>
      <c r="L53" s="18" t="s">
        <v>714</v>
      </c>
      <c r="M53" s="18" t="s">
        <v>715</v>
      </c>
      <c r="N53" s="18"/>
      <c r="O53" s="18"/>
      <c r="P53" s="18" t="s">
        <v>1006</v>
      </c>
      <c r="Q53" s="18" t="s">
        <v>884</v>
      </c>
      <c r="R53" s="18" t="s">
        <v>719</v>
      </c>
      <c r="S53" s="18" t="s">
        <v>720</v>
      </c>
      <c r="T53" s="18" t="n">
        <v>1.6</v>
      </c>
      <c r="U53" s="18" t="n">
        <v>5.4</v>
      </c>
      <c r="V53" s="18" t="n">
        <v>0</v>
      </c>
      <c r="W53" s="18" t="n">
        <v>0</v>
      </c>
      <c r="X53" s="18" t="n">
        <v>0</v>
      </c>
      <c r="Y53" s="18" t="n">
        <v>0</v>
      </c>
      <c r="Z53" s="18" t="s">
        <v>1000</v>
      </c>
      <c r="AA53" s="18" t="s">
        <v>1007</v>
      </c>
      <c r="AB53" s="18" t="s">
        <v>98</v>
      </c>
      <c r="AC53" s="18"/>
      <c r="AD53" s="23" t="str">
        <f aca="false">IF(A53="","",IF(COUNTIF(Parcels!$A$2:$A$3000,B53)=0,"Parcel not found",IF(COUNTIF($A$2:$A$3000,A53)&gt;1,"Duplicate perm_id",IF(AND(I53="Yes",C53&lt;&gt;"",COUNTIFS($C$2:$C$3000,C53,$I$2:$I$3000,"Yes")&gt;1),"Reference counted twice",IF(COUNTIF(Lists!$A$2:$A$7,H53)=0,"Unknown status","")))))</f>
        <v/>
      </c>
    </row>
    <row r="54" customFormat="false" ht="15" hidden="false" customHeight="false" outlineLevel="0" collapsed="false">
      <c r="A54" s="18" t="s">
        <v>1008</v>
      </c>
      <c r="B54" s="18" t="s">
        <v>457</v>
      </c>
      <c r="C54" s="18" t="s">
        <v>1009</v>
      </c>
      <c r="D54" s="18" t="s">
        <v>1009</v>
      </c>
      <c r="E54" s="18" t="s">
        <v>458</v>
      </c>
      <c r="F54" s="18" t="n">
        <v>7</v>
      </c>
      <c r="G54" s="18"/>
      <c r="H54" s="18" t="s">
        <v>728</v>
      </c>
      <c r="I54" s="18" t="s">
        <v>689</v>
      </c>
      <c r="J54" s="18" t="s">
        <v>690</v>
      </c>
      <c r="K54" s="18" t="s">
        <v>713</v>
      </c>
      <c r="L54" s="18" t="s">
        <v>714</v>
      </c>
      <c r="M54" s="18" t="s">
        <v>715</v>
      </c>
      <c r="N54" s="18"/>
      <c r="O54" s="18"/>
      <c r="P54" s="18" t="s">
        <v>967</v>
      </c>
      <c r="Q54" s="18"/>
      <c r="R54" s="18"/>
      <c r="S54" s="18" t="s">
        <v>731</v>
      </c>
      <c r="T54" s="18" t="n">
        <v>0</v>
      </c>
      <c r="U54" s="18" t="n">
        <v>0</v>
      </c>
      <c r="V54" s="18" t="n">
        <v>0</v>
      </c>
      <c r="W54" s="18" t="n">
        <v>0</v>
      </c>
      <c r="X54" s="18" t="n">
        <v>0</v>
      </c>
      <c r="Y54" s="18" t="n">
        <v>0</v>
      </c>
      <c r="Z54" s="18" t="s">
        <v>1000</v>
      </c>
      <c r="AA54" s="18" t="s">
        <v>1007</v>
      </c>
      <c r="AB54" s="18" t="s">
        <v>98</v>
      </c>
      <c r="AC54" s="18"/>
      <c r="AD54" s="23" t="str">
        <f aca="false">IF(A54="","",IF(COUNTIF(Parcels!$A$2:$A$3000,B54)=0,"Parcel not found",IF(COUNTIF($A$2:$A$3000,A54)&gt;1,"Duplicate perm_id",IF(AND(I54="Yes",C54&lt;&gt;"",COUNTIFS($C$2:$C$3000,C54,$I$2:$I$3000,"Yes")&gt;1),"Reference counted twice",IF(COUNTIF(Lists!$A$2:$A$7,H54)=0,"Unknown status","")))))</f>
        <v/>
      </c>
    </row>
    <row r="55" customFormat="false" ht="15" hidden="false" customHeight="false" outlineLevel="0" collapsed="false">
      <c r="A55" s="18" t="s">
        <v>1010</v>
      </c>
      <c r="B55" s="18" t="s">
        <v>495</v>
      </c>
      <c r="C55" s="18" t="s">
        <v>1011</v>
      </c>
      <c r="D55" s="18" t="s">
        <v>1011</v>
      </c>
      <c r="E55" s="18" t="s">
        <v>496</v>
      </c>
      <c r="F55" s="18" t="n">
        <v>16</v>
      </c>
      <c r="G55" s="18"/>
      <c r="H55" s="18" t="s">
        <v>711</v>
      </c>
      <c r="I55" s="18" t="s">
        <v>689</v>
      </c>
      <c r="J55" s="18" t="s">
        <v>690</v>
      </c>
      <c r="K55" s="18" t="s">
        <v>713</v>
      </c>
      <c r="L55" s="18" t="s">
        <v>714</v>
      </c>
      <c r="M55" s="18" t="s">
        <v>715</v>
      </c>
      <c r="N55" s="18" t="s">
        <v>1012</v>
      </c>
      <c r="O55" s="18"/>
      <c r="P55" s="18" t="s">
        <v>1013</v>
      </c>
      <c r="Q55" s="18" t="s">
        <v>1014</v>
      </c>
      <c r="R55" s="18" t="s">
        <v>719</v>
      </c>
      <c r="S55" s="18" t="s">
        <v>720</v>
      </c>
      <c r="T55" s="18" t="n">
        <v>3.7</v>
      </c>
      <c r="U55" s="18" t="n">
        <v>12.3</v>
      </c>
      <c r="V55" s="18" t="n">
        <v>0</v>
      </c>
      <c r="W55" s="18" t="n">
        <v>0</v>
      </c>
      <c r="X55" s="18" t="n">
        <v>0</v>
      </c>
      <c r="Y55" s="18" t="n">
        <v>0</v>
      </c>
      <c r="Z55" s="18" t="s">
        <v>1000</v>
      </c>
      <c r="AA55" s="18" t="s">
        <v>1007</v>
      </c>
      <c r="AB55" s="18" t="s">
        <v>98</v>
      </c>
      <c r="AC55" s="18"/>
      <c r="AD55" s="23" t="str">
        <f aca="false">IF(A55="","",IF(COUNTIF(Parcels!$A$2:$A$3000,B55)=0,"Parcel not found",IF(COUNTIF($A$2:$A$3000,A55)&gt;1,"Duplicate perm_id",IF(AND(I55="Yes",C55&lt;&gt;"",COUNTIFS($C$2:$C$3000,C55,$I$2:$I$3000,"Yes")&gt;1),"Reference counted twice",IF(COUNTIF(Lists!$A$2:$A$7,H55)=0,"Unknown status","")))))</f>
        <v/>
      </c>
    </row>
    <row r="56" customFormat="false" ht="15" hidden="false" customHeight="false" outlineLevel="0" collapsed="false">
      <c r="A56" s="18" t="s">
        <v>1015</v>
      </c>
      <c r="B56" s="18" t="s">
        <v>469</v>
      </c>
      <c r="C56" s="18" t="s">
        <v>1016</v>
      </c>
      <c r="D56" s="18" t="s">
        <v>1016</v>
      </c>
      <c r="E56" s="18" t="s">
        <v>470</v>
      </c>
      <c r="F56" s="18" t="n">
        <v>5</v>
      </c>
      <c r="G56" s="18"/>
      <c r="H56" s="18" t="s">
        <v>711</v>
      </c>
      <c r="I56" s="18" t="s">
        <v>689</v>
      </c>
      <c r="J56" s="18" t="s">
        <v>690</v>
      </c>
      <c r="K56" s="18" t="s">
        <v>713</v>
      </c>
      <c r="L56" s="18" t="s">
        <v>714</v>
      </c>
      <c r="M56" s="18" t="s">
        <v>715</v>
      </c>
      <c r="N56" s="18"/>
      <c r="O56" s="18"/>
      <c r="P56" s="18" t="s">
        <v>1017</v>
      </c>
      <c r="Q56" s="18" t="s">
        <v>1018</v>
      </c>
      <c r="R56" s="18" t="s">
        <v>719</v>
      </c>
      <c r="S56" s="18" t="s">
        <v>720</v>
      </c>
      <c r="T56" s="18" t="n">
        <v>1.2</v>
      </c>
      <c r="U56" s="18" t="n">
        <v>3.8</v>
      </c>
      <c r="V56" s="18" t="n">
        <v>0</v>
      </c>
      <c r="W56" s="18" t="n">
        <v>0</v>
      </c>
      <c r="X56" s="18" t="n">
        <v>0</v>
      </c>
      <c r="Y56" s="18" t="n">
        <v>0</v>
      </c>
      <c r="Z56" s="18" t="s">
        <v>1000</v>
      </c>
      <c r="AA56" s="18" t="s">
        <v>1007</v>
      </c>
      <c r="AB56" s="18" t="s">
        <v>98</v>
      </c>
      <c r="AC56" s="18"/>
      <c r="AD56" s="23" t="str">
        <f aca="false">IF(A56="","",IF(COUNTIF(Parcels!$A$2:$A$3000,B56)=0,"Parcel not found",IF(COUNTIF($A$2:$A$3000,A56)&gt;1,"Duplicate perm_id",IF(AND(I56="Yes",C56&lt;&gt;"",COUNTIFS($C$2:$C$3000,C56,$I$2:$I$3000,"Yes")&gt;1),"Reference counted twice",IF(COUNTIF(Lists!$A$2:$A$7,H56)=0,"Unknown status","")))))</f>
        <v/>
      </c>
    </row>
    <row r="57" customFormat="false" ht="15" hidden="false" customHeight="false" outlineLevel="0" collapsed="false">
      <c r="A57" s="18" t="s">
        <v>1019</v>
      </c>
      <c r="B57" s="18" t="s">
        <v>348</v>
      </c>
      <c r="C57" s="18" t="s">
        <v>1020</v>
      </c>
      <c r="D57" s="18" t="s">
        <v>1020</v>
      </c>
      <c r="E57" s="18" t="s">
        <v>349</v>
      </c>
      <c r="F57" s="18" t="n">
        <v>13</v>
      </c>
      <c r="G57" s="18"/>
      <c r="H57" s="18" t="s">
        <v>711</v>
      </c>
      <c r="I57" s="18" t="s">
        <v>689</v>
      </c>
      <c r="J57" s="18" t="s">
        <v>690</v>
      </c>
      <c r="K57" s="18" t="s">
        <v>713</v>
      </c>
      <c r="L57" s="18" t="s">
        <v>714</v>
      </c>
      <c r="M57" s="18" t="s">
        <v>715</v>
      </c>
      <c r="N57" s="18"/>
      <c r="O57" s="18"/>
      <c r="P57" s="18" t="s">
        <v>1021</v>
      </c>
      <c r="Q57" s="18" t="s">
        <v>1014</v>
      </c>
      <c r="R57" s="18" t="s">
        <v>719</v>
      </c>
      <c r="S57" s="18" t="s">
        <v>720</v>
      </c>
      <c r="T57" s="18" t="n">
        <v>3</v>
      </c>
      <c r="U57" s="18" t="n">
        <v>10</v>
      </c>
      <c r="V57" s="18" t="n">
        <v>0</v>
      </c>
      <c r="W57" s="18" t="n">
        <v>0</v>
      </c>
      <c r="X57" s="18" t="n">
        <v>0</v>
      </c>
      <c r="Y57" s="18" t="n">
        <v>0</v>
      </c>
      <c r="Z57" s="18" t="s">
        <v>1000</v>
      </c>
      <c r="AA57" s="18" t="s">
        <v>1007</v>
      </c>
      <c r="AB57" s="18" t="s">
        <v>98</v>
      </c>
      <c r="AC57" s="18"/>
      <c r="AD57" s="23" t="str">
        <f aca="false">IF(A57="","",IF(COUNTIF(Parcels!$A$2:$A$3000,B57)=0,"Parcel not found",IF(COUNTIF($A$2:$A$3000,A57)&gt;1,"Duplicate perm_id",IF(AND(I57="Yes",C57&lt;&gt;"",COUNTIFS($C$2:$C$3000,C57,$I$2:$I$3000,"Yes")&gt;1),"Reference counted twice",IF(COUNTIF(Lists!$A$2:$A$7,H57)=0,"Unknown status","")))))</f>
        <v/>
      </c>
    </row>
    <row r="58" customFormat="false" ht="15" hidden="false" customHeight="false" outlineLevel="0" collapsed="false">
      <c r="A58" s="18" t="s">
        <v>1022</v>
      </c>
      <c r="B58" s="18" t="s">
        <v>318</v>
      </c>
      <c r="C58" s="18" t="s">
        <v>1023</v>
      </c>
      <c r="D58" s="18" t="s">
        <v>1023</v>
      </c>
      <c r="E58" s="18" t="s">
        <v>319</v>
      </c>
      <c r="F58" s="18" t="n">
        <v>99</v>
      </c>
      <c r="G58" s="18"/>
      <c r="H58" s="18" t="s">
        <v>711</v>
      </c>
      <c r="I58" s="18" t="s">
        <v>689</v>
      </c>
      <c r="J58" s="18" t="s">
        <v>712</v>
      </c>
      <c r="K58" s="18" t="s">
        <v>691</v>
      </c>
      <c r="L58" s="18" t="s">
        <v>105</v>
      </c>
      <c r="M58" s="18" t="s">
        <v>704</v>
      </c>
      <c r="N58" s="18" t="s">
        <v>1024</v>
      </c>
      <c r="O58" s="18" t="s">
        <v>1025</v>
      </c>
      <c r="P58" s="18" t="s">
        <v>1026</v>
      </c>
      <c r="Q58" s="18" t="s">
        <v>758</v>
      </c>
      <c r="R58" s="18" t="s">
        <v>719</v>
      </c>
      <c r="S58" s="18" t="s">
        <v>720</v>
      </c>
      <c r="T58" s="18" t="n">
        <v>23.1</v>
      </c>
      <c r="U58" s="18" t="n">
        <v>75.9</v>
      </c>
      <c r="V58" s="18" t="n">
        <v>0</v>
      </c>
      <c r="W58" s="18" t="n">
        <v>0</v>
      </c>
      <c r="X58" s="18" t="n">
        <v>0</v>
      </c>
      <c r="Y58" s="18" t="n">
        <v>0</v>
      </c>
      <c r="Z58" s="18" t="s">
        <v>1000</v>
      </c>
      <c r="AA58" s="18" t="s">
        <v>699</v>
      </c>
      <c r="AB58" s="18" t="s">
        <v>98</v>
      </c>
      <c r="AC58" s="18"/>
      <c r="AD58" s="23" t="str">
        <f aca="false">IF(A58="","",IF(COUNTIF(Parcels!$A$2:$A$3000,B58)=0,"Parcel not found",IF(COUNTIF($A$2:$A$3000,A58)&gt;1,"Duplicate perm_id",IF(AND(I58="Yes",C58&lt;&gt;"",COUNTIFS($C$2:$C$3000,C58,$I$2:$I$3000,"Yes")&gt;1),"Reference counted twice",IF(COUNTIF(Lists!$A$2:$A$7,H58)=0,"Unknown status","")))))</f>
        <v/>
      </c>
    </row>
    <row r="59" customFormat="false" ht="15" hidden="false" customHeight="false" outlineLevel="0" collapsed="false">
      <c r="A59" s="18" t="s">
        <v>1027</v>
      </c>
      <c r="B59" s="18" t="s">
        <v>318</v>
      </c>
      <c r="C59" s="18" t="s">
        <v>1028</v>
      </c>
      <c r="D59" s="18" t="s">
        <v>1028</v>
      </c>
      <c r="E59" s="18" t="s">
        <v>1029</v>
      </c>
      <c r="F59" s="18" t="n">
        <v>23</v>
      </c>
      <c r="G59" s="18"/>
      <c r="H59" s="18" t="s">
        <v>711</v>
      </c>
      <c r="I59" s="18" t="s">
        <v>689</v>
      </c>
      <c r="J59" s="18" t="s">
        <v>712</v>
      </c>
      <c r="K59" s="18" t="s">
        <v>691</v>
      </c>
      <c r="L59" s="18" t="s">
        <v>105</v>
      </c>
      <c r="M59" s="18" t="s">
        <v>704</v>
      </c>
      <c r="N59" s="18" t="s">
        <v>1030</v>
      </c>
      <c r="O59" s="18" t="s">
        <v>1031</v>
      </c>
      <c r="P59" s="18" t="s">
        <v>1032</v>
      </c>
      <c r="Q59" s="18" t="s">
        <v>758</v>
      </c>
      <c r="R59" s="18" t="s">
        <v>719</v>
      </c>
      <c r="S59" s="18" t="s">
        <v>720</v>
      </c>
      <c r="T59" s="18" t="n">
        <v>5.4</v>
      </c>
      <c r="U59" s="18" t="n">
        <v>17.6</v>
      </c>
      <c r="V59" s="18" t="n">
        <v>0</v>
      </c>
      <c r="W59" s="18" t="n">
        <v>0</v>
      </c>
      <c r="X59" s="18" t="n">
        <v>0</v>
      </c>
      <c r="Y59" s="18" t="n">
        <v>0</v>
      </c>
      <c r="Z59" s="18" t="s">
        <v>1000</v>
      </c>
      <c r="AA59" s="18" t="s">
        <v>699</v>
      </c>
      <c r="AB59" s="18" t="s">
        <v>98</v>
      </c>
      <c r="AC59" s="18"/>
      <c r="AD59" s="23" t="str">
        <f aca="false">IF(A59="","",IF(COUNTIF(Parcels!$A$2:$A$3000,B59)=0,"Parcel not found",IF(COUNTIF($A$2:$A$3000,A59)&gt;1,"Duplicate perm_id",IF(AND(I59="Yes",C59&lt;&gt;"",COUNTIFS($C$2:$C$3000,C59,$I$2:$I$3000,"Yes")&gt;1),"Reference counted twice",IF(COUNTIF(Lists!$A$2:$A$7,H59)=0,"Unknown status","")))))</f>
        <v/>
      </c>
    </row>
    <row r="60" customFormat="false" ht="15" hidden="false" customHeight="false" outlineLevel="0" collapsed="false">
      <c r="A60" s="18" t="s">
        <v>1033</v>
      </c>
      <c r="B60" s="18" t="s">
        <v>497</v>
      </c>
      <c r="C60" s="18" t="s">
        <v>1034</v>
      </c>
      <c r="D60" s="18" t="s">
        <v>1034</v>
      </c>
      <c r="E60" s="18" t="s">
        <v>498</v>
      </c>
      <c r="F60" s="18" t="n">
        <v>58</v>
      </c>
      <c r="G60" s="18"/>
      <c r="H60" s="18" t="s">
        <v>711</v>
      </c>
      <c r="I60" s="18" t="s">
        <v>689</v>
      </c>
      <c r="J60" s="18" t="s">
        <v>712</v>
      </c>
      <c r="K60" s="18" t="s">
        <v>691</v>
      </c>
      <c r="L60" s="18" t="s">
        <v>105</v>
      </c>
      <c r="M60" s="18" t="s">
        <v>704</v>
      </c>
      <c r="N60" s="18" t="s">
        <v>1035</v>
      </c>
      <c r="O60" s="18" t="s">
        <v>1036</v>
      </c>
      <c r="P60" s="18" t="s">
        <v>764</v>
      </c>
      <c r="Q60" s="18" t="s">
        <v>765</v>
      </c>
      <c r="R60" s="18" t="s">
        <v>719</v>
      </c>
      <c r="S60" s="18" t="s">
        <v>720</v>
      </c>
      <c r="T60" s="18" t="n">
        <v>13.5</v>
      </c>
      <c r="U60" s="18" t="n">
        <v>44.5</v>
      </c>
      <c r="V60" s="18" t="n">
        <v>0</v>
      </c>
      <c r="W60" s="18" t="n">
        <v>0</v>
      </c>
      <c r="X60" s="18" t="n">
        <v>0</v>
      </c>
      <c r="Y60" s="18" t="n">
        <v>0</v>
      </c>
      <c r="Z60" s="18" t="s">
        <v>1000</v>
      </c>
      <c r="AA60" s="18" t="s">
        <v>699</v>
      </c>
      <c r="AB60" s="18" t="s">
        <v>98</v>
      </c>
      <c r="AC60" s="18"/>
      <c r="AD60" s="23" t="str">
        <f aca="false">IF(A60="","",IF(COUNTIF(Parcels!$A$2:$A$3000,B60)=0,"Parcel not found",IF(COUNTIF($A$2:$A$3000,A60)&gt;1,"Duplicate perm_id",IF(AND(I60="Yes",C60&lt;&gt;"",COUNTIFS($C$2:$C$3000,C60,$I$2:$I$3000,"Yes")&gt;1),"Reference counted twice",IF(COUNTIF(Lists!$A$2:$A$7,H60)=0,"Unknown status","")))))</f>
        <v/>
      </c>
    </row>
    <row r="61" customFormat="false" ht="15" hidden="false" customHeight="false" outlineLevel="0" collapsed="false">
      <c r="A61" s="18" t="s">
        <v>1037</v>
      </c>
      <c r="B61" s="18" t="s">
        <v>497</v>
      </c>
      <c r="C61" s="18" t="s">
        <v>1038</v>
      </c>
      <c r="D61" s="18" t="s">
        <v>1038</v>
      </c>
      <c r="E61" s="18" t="s">
        <v>1039</v>
      </c>
      <c r="F61" s="18" t="n">
        <v>5</v>
      </c>
      <c r="G61" s="18"/>
      <c r="H61" s="18" t="s">
        <v>711</v>
      </c>
      <c r="I61" s="18" t="s">
        <v>689</v>
      </c>
      <c r="J61" s="18" t="s">
        <v>712</v>
      </c>
      <c r="K61" s="18" t="s">
        <v>691</v>
      </c>
      <c r="L61" s="18" t="s">
        <v>105</v>
      </c>
      <c r="M61" s="18" t="s">
        <v>704</v>
      </c>
      <c r="N61" s="18" t="s">
        <v>1040</v>
      </c>
      <c r="O61" s="18" t="s">
        <v>1041</v>
      </c>
      <c r="P61" s="18" t="s">
        <v>764</v>
      </c>
      <c r="Q61" s="18" t="s">
        <v>765</v>
      </c>
      <c r="R61" s="18" t="s">
        <v>719</v>
      </c>
      <c r="S61" s="18" t="s">
        <v>720</v>
      </c>
      <c r="T61" s="18" t="n">
        <v>1.2</v>
      </c>
      <c r="U61" s="18" t="n">
        <v>3.8</v>
      </c>
      <c r="V61" s="18" t="n">
        <v>0</v>
      </c>
      <c r="W61" s="18" t="n">
        <v>0</v>
      </c>
      <c r="X61" s="18" t="n">
        <v>0</v>
      </c>
      <c r="Y61" s="18" t="n">
        <v>0</v>
      </c>
      <c r="Z61" s="18" t="s">
        <v>1000</v>
      </c>
      <c r="AA61" s="18" t="s">
        <v>699</v>
      </c>
      <c r="AB61" s="18" t="s">
        <v>98</v>
      </c>
      <c r="AC61" s="18"/>
      <c r="AD61" s="23" t="str">
        <f aca="false">IF(A61="","",IF(COUNTIF(Parcels!$A$2:$A$3000,B61)=0,"Parcel not found",IF(COUNTIF($A$2:$A$3000,A61)&gt;1,"Duplicate perm_id",IF(AND(I61="Yes",C61&lt;&gt;"",COUNTIFS($C$2:$C$3000,C61,$I$2:$I$3000,"Yes")&gt;1),"Reference counted twice",IF(COUNTIF(Lists!$A$2:$A$7,H61)=0,"Unknown status","")))))</f>
        <v/>
      </c>
    </row>
    <row r="62" customFormat="false" ht="15" hidden="false" customHeight="false" outlineLevel="0" collapsed="false">
      <c r="A62" s="18" t="s">
        <v>1042</v>
      </c>
      <c r="B62" s="18" t="s">
        <v>497</v>
      </c>
      <c r="C62" s="18" t="s">
        <v>1043</v>
      </c>
      <c r="D62" s="18" t="s">
        <v>1043</v>
      </c>
      <c r="E62" s="18" t="s">
        <v>1044</v>
      </c>
      <c r="F62" s="18" t="n">
        <v>49</v>
      </c>
      <c r="G62" s="18"/>
      <c r="H62" s="18" t="s">
        <v>711</v>
      </c>
      <c r="I62" s="18" t="s">
        <v>689</v>
      </c>
      <c r="J62" s="18" t="s">
        <v>690</v>
      </c>
      <c r="K62" s="18" t="s">
        <v>691</v>
      </c>
      <c r="L62" s="18" t="s">
        <v>105</v>
      </c>
      <c r="M62" s="18" t="s">
        <v>704</v>
      </c>
      <c r="N62" s="18" t="s">
        <v>1045</v>
      </c>
      <c r="O62" s="18" t="s">
        <v>1046</v>
      </c>
      <c r="P62" s="18" t="s">
        <v>1047</v>
      </c>
      <c r="Q62" s="18" t="s">
        <v>1048</v>
      </c>
      <c r="R62" s="18" t="s">
        <v>719</v>
      </c>
      <c r="S62" s="18" t="s">
        <v>720</v>
      </c>
      <c r="T62" s="18" t="n">
        <v>11.4</v>
      </c>
      <c r="U62" s="18" t="n">
        <v>37.6</v>
      </c>
      <c r="V62" s="18" t="n">
        <v>0</v>
      </c>
      <c r="W62" s="18" t="n">
        <v>0</v>
      </c>
      <c r="X62" s="18" t="n">
        <v>0</v>
      </c>
      <c r="Y62" s="18" t="n">
        <v>0</v>
      </c>
      <c r="Z62" s="18" t="s">
        <v>1000</v>
      </c>
      <c r="AA62" s="18" t="s">
        <v>699</v>
      </c>
      <c r="AB62" s="18" t="s">
        <v>98</v>
      </c>
      <c r="AC62" s="18"/>
      <c r="AD62" s="23" t="str">
        <f aca="false">IF(A62="","",IF(COUNTIF(Parcels!$A$2:$A$3000,B62)=0,"Parcel not found",IF(COUNTIF($A$2:$A$3000,A62)&gt;1,"Duplicate perm_id",IF(AND(I62="Yes",C62&lt;&gt;"",COUNTIFS($C$2:$C$3000,C62,$I$2:$I$3000,"Yes")&gt;1),"Reference counted twice",IF(COUNTIF(Lists!$A$2:$A$7,H62)=0,"Unknown status","")))))</f>
        <v/>
      </c>
    </row>
    <row r="63" customFormat="false" ht="15" hidden="false" customHeight="false" outlineLevel="0" collapsed="false">
      <c r="A63" s="18" t="s">
        <v>1049</v>
      </c>
      <c r="B63" s="18" t="s">
        <v>471</v>
      </c>
      <c r="C63" s="18" t="s">
        <v>1050</v>
      </c>
      <c r="D63" s="18" t="s">
        <v>1050</v>
      </c>
      <c r="E63" s="18" t="s">
        <v>472</v>
      </c>
      <c r="F63" s="18" t="n">
        <v>53</v>
      </c>
      <c r="G63" s="18"/>
      <c r="H63" s="18" t="s">
        <v>728</v>
      </c>
      <c r="I63" s="18" t="s">
        <v>689</v>
      </c>
      <c r="J63" s="18" t="s">
        <v>712</v>
      </c>
      <c r="K63" s="18" t="s">
        <v>691</v>
      </c>
      <c r="L63" s="18" t="s">
        <v>105</v>
      </c>
      <c r="M63" s="18" t="s">
        <v>704</v>
      </c>
      <c r="N63" s="18" t="s">
        <v>1051</v>
      </c>
      <c r="O63" s="18" t="s">
        <v>1052</v>
      </c>
      <c r="P63" s="18" t="s">
        <v>1053</v>
      </c>
      <c r="Q63" s="18"/>
      <c r="R63" s="18"/>
      <c r="S63" s="18" t="s">
        <v>731</v>
      </c>
      <c r="T63" s="18" t="n">
        <v>0</v>
      </c>
      <c r="U63" s="18" t="n">
        <v>0</v>
      </c>
      <c r="V63" s="18" t="n">
        <v>0</v>
      </c>
      <c r="W63" s="18" t="n">
        <v>0</v>
      </c>
      <c r="X63" s="18" t="n">
        <v>0</v>
      </c>
      <c r="Y63" s="18" t="n">
        <v>0</v>
      </c>
      <c r="Z63" s="18" t="s">
        <v>1000</v>
      </c>
      <c r="AA63" s="18" t="s">
        <v>699</v>
      </c>
      <c r="AB63" s="18" t="s">
        <v>98</v>
      </c>
      <c r="AC63" s="18"/>
      <c r="AD63" s="23" t="str">
        <f aca="false">IF(A63="","",IF(COUNTIF(Parcels!$A$2:$A$3000,B63)=0,"Parcel not found",IF(COUNTIF($A$2:$A$3000,A63)&gt;1,"Duplicate perm_id",IF(AND(I63="Yes",C63&lt;&gt;"",COUNTIFS($C$2:$C$3000,C63,$I$2:$I$3000,"Yes")&gt;1),"Reference counted twice",IF(COUNTIF(Lists!$A$2:$A$7,H63)=0,"Unknown status","")))))</f>
        <v/>
      </c>
    </row>
    <row r="64" customFormat="false" ht="15" hidden="false" customHeight="false" outlineLevel="0" collapsed="false">
      <c r="A64" s="18" t="s">
        <v>1054</v>
      </c>
      <c r="B64" s="18" t="s">
        <v>350</v>
      </c>
      <c r="C64" s="18" t="s">
        <v>1055</v>
      </c>
      <c r="D64" s="18" t="s">
        <v>1055</v>
      </c>
      <c r="E64" s="18" t="s">
        <v>351</v>
      </c>
      <c r="F64" s="18" t="n">
        <v>14</v>
      </c>
      <c r="G64" s="18"/>
      <c r="H64" s="18" t="s">
        <v>728</v>
      </c>
      <c r="I64" s="18" t="s">
        <v>689</v>
      </c>
      <c r="J64" s="18" t="s">
        <v>690</v>
      </c>
      <c r="K64" s="18" t="s">
        <v>691</v>
      </c>
      <c r="L64" s="18" t="s">
        <v>105</v>
      </c>
      <c r="M64" s="18" t="s">
        <v>704</v>
      </c>
      <c r="N64" s="18" t="s">
        <v>1056</v>
      </c>
      <c r="O64" s="18" t="s">
        <v>1057</v>
      </c>
      <c r="P64" s="18" t="s">
        <v>1035</v>
      </c>
      <c r="Q64" s="18"/>
      <c r="R64" s="18"/>
      <c r="S64" s="18" t="s">
        <v>731</v>
      </c>
      <c r="T64" s="18" t="n">
        <v>0</v>
      </c>
      <c r="U64" s="18" t="n">
        <v>0</v>
      </c>
      <c r="V64" s="18" t="n">
        <v>0</v>
      </c>
      <c r="W64" s="18" t="n">
        <v>0</v>
      </c>
      <c r="X64" s="18" t="n">
        <v>0</v>
      </c>
      <c r="Y64" s="18" t="n">
        <v>0</v>
      </c>
      <c r="Z64" s="18" t="s">
        <v>1000</v>
      </c>
      <c r="AA64" s="18" t="s">
        <v>699</v>
      </c>
      <c r="AB64" s="18" t="s">
        <v>98</v>
      </c>
      <c r="AC64" s="18"/>
      <c r="AD64" s="23" t="str">
        <f aca="false">IF(A64="","",IF(COUNTIF(Parcels!$A$2:$A$3000,B64)=0,"Parcel not found",IF(COUNTIF($A$2:$A$3000,A64)&gt;1,"Duplicate perm_id",IF(AND(I64="Yes",C64&lt;&gt;"",COUNTIFS($C$2:$C$3000,C64,$I$2:$I$3000,"Yes")&gt;1),"Reference counted twice",IF(COUNTIF(Lists!$A$2:$A$7,H64)=0,"Unknown status","")))))</f>
        <v/>
      </c>
    </row>
    <row r="65" customFormat="false" ht="15" hidden="false" customHeight="false" outlineLevel="0" collapsed="false">
      <c r="A65" s="18" t="s">
        <v>1058</v>
      </c>
      <c r="B65" s="18" t="s">
        <v>473</v>
      </c>
      <c r="C65" s="18" t="s">
        <v>1059</v>
      </c>
      <c r="D65" s="18" t="s">
        <v>1059</v>
      </c>
      <c r="E65" s="18" t="s">
        <v>1060</v>
      </c>
      <c r="F65" s="18" t="n">
        <v>37</v>
      </c>
      <c r="G65" s="18"/>
      <c r="H65" s="18" t="s">
        <v>728</v>
      </c>
      <c r="I65" s="18" t="s">
        <v>689</v>
      </c>
      <c r="J65" s="18" t="s">
        <v>712</v>
      </c>
      <c r="K65" s="18" t="s">
        <v>713</v>
      </c>
      <c r="L65" s="18" t="s">
        <v>743</v>
      </c>
      <c r="M65" s="18" t="s">
        <v>704</v>
      </c>
      <c r="N65" s="18" t="s">
        <v>1061</v>
      </c>
      <c r="O65" s="18" t="s">
        <v>1062</v>
      </c>
      <c r="P65" s="18" t="s">
        <v>1063</v>
      </c>
      <c r="Q65" s="18"/>
      <c r="R65" s="18"/>
      <c r="S65" s="18" t="s">
        <v>731</v>
      </c>
      <c r="T65" s="18" t="n">
        <v>0</v>
      </c>
      <c r="U65" s="18" t="n">
        <v>0</v>
      </c>
      <c r="V65" s="18" t="n">
        <v>0</v>
      </c>
      <c r="W65" s="18" t="n">
        <v>0</v>
      </c>
      <c r="X65" s="18" t="n">
        <v>0</v>
      </c>
      <c r="Y65" s="18" t="n">
        <v>0</v>
      </c>
      <c r="Z65" s="18" t="s">
        <v>1000</v>
      </c>
      <c r="AA65" s="18" t="s">
        <v>699</v>
      </c>
      <c r="AB65" s="18" t="s">
        <v>98</v>
      </c>
      <c r="AC65" s="18"/>
      <c r="AD65" s="23" t="str">
        <f aca="false">IF(A65="","",IF(COUNTIF(Parcels!$A$2:$A$3000,B65)=0,"Parcel not found",IF(COUNTIF($A$2:$A$3000,A65)&gt;1,"Duplicate perm_id",IF(AND(I65="Yes",C65&lt;&gt;"",COUNTIFS($C$2:$C$3000,C65,$I$2:$I$3000,"Yes")&gt;1),"Reference counted twice",IF(COUNTIF(Lists!$A$2:$A$7,H65)=0,"Unknown status","")))))</f>
        <v/>
      </c>
    </row>
    <row r="66" customFormat="false" ht="15" hidden="false" customHeight="false" outlineLevel="0" collapsed="false">
      <c r="A66" s="18" t="s">
        <v>1064</v>
      </c>
      <c r="B66" s="18" t="s">
        <v>473</v>
      </c>
      <c r="C66" s="18" t="s">
        <v>1065</v>
      </c>
      <c r="D66" s="18" t="s">
        <v>1065</v>
      </c>
      <c r="E66" s="18" t="s">
        <v>474</v>
      </c>
      <c r="F66" s="18" t="n">
        <v>133</v>
      </c>
      <c r="G66" s="18"/>
      <c r="H66" s="18" t="s">
        <v>728</v>
      </c>
      <c r="I66" s="18" t="s">
        <v>689</v>
      </c>
      <c r="J66" s="18" t="s">
        <v>690</v>
      </c>
      <c r="K66" s="18" t="s">
        <v>691</v>
      </c>
      <c r="L66" s="18" t="s">
        <v>105</v>
      </c>
      <c r="M66" s="18" t="s">
        <v>704</v>
      </c>
      <c r="N66" s="18" t="s">
        <v>1066</v>
      </c>
      <c r="O66" s="18" t="s">
        <v>1067</v>
      </c>
      <c r="P66" s="18" t="s">
        <v>1068</v>
      </c>
      <c r="Q66" s="18"/>
      <c r="R66" s="18"/>
      <c r="S66" s="18" t="s">
        <v>731</v>
      </c>
      <c r="T66" s="18" t="n">
        <v>0</v>
      </c>
      <c r="U66" s="18" t="n">
        <v>0</v>
      </c>
      <c r="V66" s="18" t="n">
        <v>0</v>
      </c>
      <c r="W66" s="18" t="n">
        <v>0</v>
      </c>
      <c r="X66" s="18" t="n">
        <v>0</v>
      </c>
      <c r="Y66" s="18" t="n">
        <v>0</v>
      </c>
      <c r="Z66" s="18" t="s">
        <v>1000</v>
      </c>
      <c r="AA66" s="18" t="s">
        <v>699</v>
      </c>
      <c r="AB66" s="18" t="s">
        <v>98</v>
      </c>
      <c r="AC66" s="18"/>
      <c r="AD66" s="23" t="str">
        <f aca="false">IF(A66="","",IF(COUNTIF(Parcels!$A$2:$A$3000,B66)=0,"Parcel not found",IF(COUNTIF($A$2:$A$3000,A66)&gt;1,"Duplicate perm_id",IF(AND(I66="Yes",C66&lt;&gt;"",COUNTIFS($C$2:$C$3000,C66,$I$2:$I$3000,"Yes")&gt;1),"Reference counted twice",IF(COUNTIF(Lists!$A$2:$A$7,H66)=0,"Unknown status","")))))</f>
        <v/>
      </c>
    </row>
    <row r="67" customFormat="false" ht="15" hidden="false" customHeight="false" outlineLevel="0" collapsed="false">
      <c r="A67" s="18" t="s">
        <v>1069</v>
      </c>
      <c r="B67" s="18" t="s">
        <v>320</v>
      </c>
      <c r="C67" s="18" t="s">
        <v>1070</v>
      </c>
      <c r="D67" s="18" t="s">
        <v>1070</v>
      </c>
      <c r="E67" s="18" t="s">
        <v>321</v>
      </c>
      <c r="F67" s="18" t="n">
        <v>12</v>
      </c>
      <c r="G67" s="18"/>
      <c r="H67" s="18" t="s">
        <v>728</v>
      </c>
      <c r="I67" s="18" t="s">
        <v>689</v>
      </c>
      <c r="J67" s="18" t="s">
        <v>690</v>
      </c>
      <c r="K67" s="18" t="s">
        <v>691</v>
      </c>
      <c r="L67" s="18" t="s">
        <v>105</v>
      </c>
      <c r="M67" s="18" t="s">
        <v>704</v>
      </c>
      <c r="N67" s="18" t="s">
        <v>1071</v>
      </c>
      <c r="O67" s="18" t="s">
        <v>1072</v>
      </c>
      <c r="P67" s="18" t="s">
        <v>1073</v>
      </c>
      <c r="Q67" s="18"/>
      <c r="R67" s="18"/>
      <c r="S67" s="18" t="s">
        <v>731</v>
      </c>
      <c r="T67" s="18" t="n">
        <v>0</v>
      </c>
      <c r="U67" s="18" t="n">
        <v>0</v>
      </c>
      <c r="V67" s="18" t="n">
        <v>0</v>
      </c>
      <c r="W67" s="18" t="n">
        <v>0</v>
      </c>
      <c r="X67" s="18" t="n">
        <v>0</v>
      </c>
      <c r="Y67" s="18" t="n">
        <v>0</v>
      </c>
      <c r="Z67" s="18" t="s">
        <v>1000</v>
      </c>
      <c r="AA67" s="18" t="s">
        <v>699</v>
      </c>
      <c r="AB67" s="18" t="s">
        <v>98</v>
      </c>
      <c r="AC67" s="18"/>
      <c r="AD67" s="23" t="str">
        <f aca="false">IF(A67="","",IF(COUNTIF(Parcels!$A$2:$A$3000,B67)=0,"Parcel not found",IF(COUNTIF($A$2:$A$3000,A67)&gt;1,"Duplicate perm_id",IF(AND(I67="Yes",C67&lt;&gt;"",COUNTIFS($C$2:$C$3000,C67,$I$2:$I$3000,"Yes")&gt;1),"Reference counted twice",IF(COUNTIF(Lists!$A$2:$A$7,H67)=0,"Unknown status","")))))</f>
        <v/>
      </c>
    </row>
    <row r="68" customFormat="false" ht="15" hidden="false" customHeight="false" outlineLevel="0" collapsed="false">
      <c r="A68" s="18" t="s">
        <v>1074</v>
      </c>
      <c r="B68" s="18" t="s">
        <v>475</v>
      </c>
      <c r="C68" s="18" t="s">
        <v>1075</v>
      </c>
      <c r="D68" s="18" t="s">
        <v>1075</v>
      </c>
      <c r="E68" s="18" t="s">
        <v>476</v>
      </c>
      <c r="F68" s="18" t="n">
        <v>4</v>
      </c>
      <c r="G68" s="18"/>
      <c r="H68" s="18" t="s">
        <v>711</v>
      </c>
      <c r="I68" s="18" t="s">
        <v>689</v>
      </c>
      <c r="J68" s="18" t="s">
        <v>690</v>
      </c>
      <c r="K68" s="18" t="s">
        <v>691</v>
      </c>
      <c r="L68" s="18" t="s">
        <v>105</v>
      </c>
      <c r="M68" s="18" t="s">
        <v>704</v>
      </c>
      <c r="N68" s="18" t="s">
        <v>1076</v>
      </c>
      <c r="O68" s="18" t="s">
        <v>1077</v>
      </c>
      <c r="P68" s="18" t="s">
        <v>1078</v>
      </c>
      <c r="Q68" s="18" t="s">
        <v>1079</v>
      </c>
      <c r="R68" s="18" t="s">
        <v>719</v>
      </c>
      <c r="S68" s="18" t="s">
        <v>720</v>
      </c>
      <c r="T68" s="18" t="n">
        <v>0.9</v>
      </c>
      <c r="U68" s="18" t="n">
        <v>3.1</v>
      </c>
      <c r="V68" s="18" t="n">
        <v>0</v>
      </c>
      <c r="W68" s="18" t="n">
        <v>0</v>
      </c>
      <c r="X68" s="18" t="n">
        <v>0</v>
      </c>
      <c r="Y68" s="18" t="n">
        <v>0</v>
      </c>
      <c r="Z68" s="18" t="s">
        <v>1000</v>
      </c>
      <c r="AA68" s="18" t="s">
        <v>699</v>
      </c>
      <c r="AB68" s="18" t="s">
        <v>98</v>
      </c>
      <c r="AC68" s="18"/>
      <c r="AD68" s="23" t="str">
        <f aca="false">IF(A68="","",IF(COUNTIF(Parcels!$A$2:$A$3000,B68)=0,"Parcel not found",IF(COUNTIF($A$2:$A$3000,A68)&gt;1,"Duplicate perm_id",IF(AND(I68="Yes",C68&lt;&gt;"",COUNTIFS($C$2:$C$3000,C68,$I$2:$I$3000,"Yes")&gt;1),"Reference counted twice",IF(COUNTIF(Lists!$A$2:$A$7,H68)=0,"Unknown status","")))))</f>
        <v/>
      </c>
    </row>
    <row r="69" customFormat="false" ht="15" hidden="false" customHeight="false" outlineLevel="0" collapsed="false">
      <c r="A69" s="18" t="s">
        <v>1080</v>
      </c>
      <c r="B69" s="18" t="s">
        <v>322</v>
      </c>
      <c r="C69" s="18" t="s">
        <v>1081</v>
      </c>
      <c r="D69" s="18" t="s">
        <v>1081</v>
      </c>
      <c r="E69" s="18" t="s">
        <v>323</v>
      </c>
      <c r="F69" s="18" t="n">
        <v>6</v>
      </c>
      <c r="G69" s="18"/>
      <c r="H69" s="18" t="s">
        <v>728</v>
      </c>
      <c r="I69" s="18" t="s">
        <v>689</v>
      </c>
      <c r="J69" s="18" t="s">
        <v>812</v>
      </c>
      <c r="K69" s="18" t="s">
        <v>691</v>
      </c>
      <c r="L69" s="18" t="s">
        <v>105</v>
      </c>
      <c r="M69" s="18" t="s">
        <v>704</v>
      </c>
      <c r="N69" s="18" t="s">
        <v>883</v>
      </c>
      <c r="O69" s="18" t="s">
        <v>1082</v>
      </c>
      <c r="P69" s="18" t="s">
        <v>1083</v>
      </c>
      <c r="Q69" s="18"/>
      <c r="R69" s="18"/>
      <c r="S69" s="18" t="s">
        <v>731</v>
      </c>
      <c r="T69" s="18" t="n">
        <v>0</v>
      </c>
      <c r="U69" s="18" t="n">
        <v>0</v>
      </c>
      <c r="V69" s="18" t="n">
        <v>0</v>
      </c>
      <c r="W69" s="18" t="n">
        <v>0</v>
      </c>
      <c r="X69" s="18" t="n">
        <v>0</v>
      </c>
      <c r="Y69" s="18" t="n">
        <v>0</v>
      </c>
      <c r="Z69" s="18" t="s">
        <v>1000</v>
      </c>
      <c r="AA69" s="18" t="s">
        <v>699</v>
      </c>
      <c r="AB69" s="18" t="s">
        <v>98</v>
      </c>
      <c r="AC69" s="18"/>
      <c r="AD69" s="23" t="str">
        <f aca="false">IF(A69="","",IF(COUNTIF(Parcels!$A$2:$A$3000,B69)=0,"Parcel not found",IF(COUNTIF($A$2:$A$3000,A69)&gt;1,"Duplicate perm_id",IF(AND(I69="Yes",C69&lt;&gt;"",COUNTIFS($C$2:$C$3000,C69,$I$2:$I$3000,"Yes")&gt;1),"Reference counted twice",IF(COUNTIF(Lists!$A$2:$A$7,H69)=0,"Unknown status","")))))</f>
        <v/>
      </c>
    </row>
    <row r="70" customFormat="false" ht="15" hidden="false" customHeight="false" outlineLevel="0" collapsed="false">
      <c r="A70" s="18" t="s">
        <v>1084</v>
      </c>
      <c r="B70" s="18" t="s">
        <v>418</v>
      </c>
      <c r="C70" s="18" t="s">
        <v>1085</v>
      </c>
      <c r="D70" s="18" t="s">
        <v>1085</v>
      </c>
      <c r="E70" s="18" t="s">
        <v>419</v>
      </c>
      <c r="F70" s="18" t="n">
        <v>24</v>
      </c>
      <c r="G70" s="18"/>
      <c r="H70" s="18" t="s">
        <v>728</v>
      </c>
      <c r="I70" s="18" t="s">
        <v>689</v>
      </c>
      <c r="J70" s="18" t="s">
        <v>812</v>
      </c>
      <c r="K70" s="18" t="s">
        <v>691</v>
      </c>
      <c r="L70" s="18" t="s">
        <v>105</v>
      </c>
      <c r="M70" s="18" t="s">
        <v>704</v>
      </c>
      <c r="N70" s="18" t="s">
        <v>1086</v>
      </c>
      <c r="O70" s="18" t="s">
        <v>1087</v>
      </c>
      <c r="P70" s="18" t="s">
        <v>1088</v>
      </c>
      <c r="Q70" s="18"/>
      <c r="R70" s="18"/>
      <c r="S70" s="18" t="s">
        <v>731</v>
      </c>
      <c r="T70" s="18" t="n">
        <v>0</v>
      </c>
      <c r="U70" s="18" t="n">
        <v>0</v>
      </c>
      <c r="V70" s="18" t="n">
        <v>0</v>
      </c>
      <c r="W70" s="18" t="n">
        <v>0</v>
      </c>
      <c r="X70" s="18" t="n">
        <v>0</v>
      </c>
      <c r="Y70" s="18" t="n">
        <v>0</v>
      </c>
      <c r="Z70" s="18" t="s">
        <v>1000</v>
      </c>
      <c r="AA70" s="18" t="s">
        <v>699</v>
      </c>
      <c r="AB70" s="18" t="s">
        <v>98</v>
      </c>
      <c r="AC70" s="18"/>
      <c r="AD70" s="23" t="str">
        <f aca="false">IF(A70="","",IF(COUNTIF(Parcels!$A$2:$A$3000,B70)=0,"Parcel not found",IF(COUNTIF($A$2:$A$3000,A70)&gt;1,"Duplicate perm_id",IF(AND(I70="Yes",C70&lt;&gt;"",COUNTIFS($C$2:$C$3000,C70,$I$2:$I$3000,"Yes")&gt;1),"Reference counted twice",IF(COUNTIF(Lists!$A$2:$A$7,H70)=0,"Unknown status","")))))</f>
        <v/>
      </c>
    </row>
    <row r="71" customFormat="false" ht="15" hidden="false" customHeight="false" outlineLevel="0" collapsed="false">
      <c r="A71" s="18" t="s">
        <v>1089</v>
      </c>
      <c r="B71" s="18" t="s">
        <v>459</v>
      </c>
      <c r="C71" s="18" t="s">
        <v>1090</v>
      </c>
      <c r="D71" s="18" t="s">
        <v>1090</v>
      </c>
      <c r="E71" s="18" t="s">
        <v>460</v>
      </c>
      <c r="F71" s="18" t="n">
        <v>26</v>
      </c>
      <c r="G71" s="18"/>
      <c r="H71" s="18" t="s">
        <v>711</v>
      </c>
      <c r="I71" s="18" t="s">
        <v>689</v>
      </c>
      <c r="J71" s="18" t="s">
        <v>812</v>
      </c>
      <c r="K71" s="18" t="s">
        <v>691</v>
      </c>
      <c r="L71" s="18" t="s">
        <v>105</v>
      </c>
      <c r="M71" s="18" t="s">
        <v>704</v>
      </c>
      <c r="N71" s="18" t="s">
        <v>1091</v>
      </c>
      <c r="O71" s="18" t="s">
        <v>1092</v>
      </c>
      <c r="P71" s="18" t="s">
        <v>1093</v>
      </c>
      <c r="Q71" s="18" t="s">
        <v>1094</v>
      </c>
      <c r="R71" s="18" t="s">
        <v>719</v>
      </c>
      <c r="S71" s="18" t="s">
        <v>720</v>
      </c>
      <c r="T71" s="18" t="n">
        <v>6.1</v>
      </c>
      <c r="U71" s="18" t="n">
        <v>19.9</v>
      </c>
      <c r="V71" s="18" t="n">
        <v>0</v>
      </c>
      <c r="W71" s="18" t="n">
        <v>0</v>
      </c>
      <c r="X71" s="18" t="n">
        <v>0</v>
      </c>
      <c r="Y71" s="18" t="n">
        <v>0</v>
      </c>
      <c r="Z71" s="18" t="s">
        <v>1000</v>
      </c>
      <c r="AA71" s="18" t="s">
        <v>699</v>
      </c>
      <c r="AB71" s="18" t="s">
        <v>98</v>
      </c>
      <c r="AC71" s="18"/>
      <c r="AD71" s="23" t="str">
        <f aca="false">IF(A71="","",IF(COUNTIF(Parcels!$A$2:$A$3000,B71)=0,"Parcel not found",IF(COUNTIF($A$2:$A$3000,A71)&gt;1,"Duplicate perm_id",IF(AND(I71="Yes",C71&lt;&gt;"",COUNTIFS($C$2:$C$3000,C71,$I$2:$I$3000,"Yes")&gt;1),"Reference counted twice",IF(COUNTIF(Lists!$A$2:$A$7,H71)=0,"Unknown status","")))))</f>
        <v/>
      </c>
    </row>
    <row r="72" customFormat="false" ht="15" hidden="false" customHeight="false" outlineLevel="0" collapsed="false">
      <c r="A72" s="18" t="s">
        <v>1095</v>
      </c>
      <c r="B72" s="18" t="s">
        <v>477</v>
      </c>
      <c r="C72" s="18" t="s">
        <v>1096</v>
      </c>
      <c r="D72" s="18" t="s">
        <v>1096</v>
      </c>
      <c r="E72" s="18" t="s">
        <v>478</v>
      </c>
      <c r="F72" s="18" t="n">
        <v>4</v>
      </c>
      <c r="G72" s="18"/>
      <c r="H72" s="18" t="s">
        <v>728</v>
      </c>
      <c r="I72" s="18" t="s">
        <v>689</v>
      </c>
      <c r="J72" s="18" t="s">
        <v>690</v>
      </c>
      <c r="K72" s="18" t="s">
        <v>691</v>
      </c>
      <c r="L72" s="18" t="s">
        <v>105</v>
      </c>
      <c r="M72" s="18" t="s">
        <v>704</v>
      </c>
      <c r="N72" s="18" t="s">
        <v>1097</v>
      </c>
      <c r="O72" s="18" t="s">
        <v>1098</v>
      </c>
      <c r="P72" s="18" t="s">
        <v>1099</v>
      </c>
      <c r="Q72" s="18"/>
      <c r="R72" s="18"/>
      <c r="S72" s="18" t="s">
        <v>731</v>
      </c>
      <c r="T72" s="18" t="n">
        <v>0</v>
      </c>
      <c r="U72" s="18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18" t="s">
        <v>1000</v>
      </c>
      <c r="AA72" s="18" t="s">
        <v>699</v>
      </c>
      <c r="AB72" s="18" t="s">
        <v>98</v>
      </c>
      <c r="AC72" s="18"/>
      <c r="AD72" s="23" t="str">
        <f aca="false">IF(A72="","",IF(COUNTIF(Parcels!$A$2:$A$3000,B72)=0,"Parcel not found",IF(COUNTIF($A$2:$A$3000,A72)&gt;1,"Duplicate perm_id",IF(AND(I72="Yes",C72&lt;&gt;"",COUNTIFS($C$2:$C$3000,C72,$I$2:$I$3000,"Yes")&gt;1),"Reference counted twice",IF(COUNTIF(Lists!$A$2:$A$7,H72)=0,"Unknown status","")))))</f>
        <v/>
      </c>
    </row>
    <row r="73" customFormat="false" ht="15" hidden="false" customHeight="false" outlineLevel="0" collapsed="false">
      <c r="A73" s="18" t="s">
        <v>1100</v>
      </c>
      <c r="B73" s="18" t="s">
        <v>352</v>
      </c>
      <c r="C73" s="18" t="s">
        <v>1101</v>
      </c>
      <c r="D73" s="18" t="s">
        <v>1101</v>
      </c>
      <c r="E73" s="18" t="s">
        <v>353</v>
      </c>
      <c r="F73" s="18" t="n">
        <v>14</v>
      </c>
      <c r="G73" s="18"/>
      <c r="H73" s="18" t="s">
        <v>728</v>
      </c>
      <c r="I73" s="18" t="s">
        <v>689</v>
      </c>
      <c r="J73" s="18" t="s">
        <v>690</v>
      </c>
      <c r="K73" s="18" t="s">
        <v>713</v>
      </c>
      <c r="L73" s="18" t="s">
        <v>714</v>
      </c>
      <c r="M73" s="18" t="s">
        <v>715</v>
      </c>
      <c r="N73" s="18" t="s">
        <v>1102</v>
      </c>
      <c r="O73" s="18"/>
      <c r="P73" s="18" t="s">
        <v>1103</v>
      </c>
      <c r="Q73" s="18"/>
      <c r="R73" s="18"/>
      <c r="S73" s="18" t="s">
        <v>731</v>
      </c>
      <c r="T73" s="18" t="n">
        <v>0</v>
      </c>
      <c r="U73" s="18" t="n">
        <v>0</v>
      </c>
      <c r="V73" s="18" t="n">
        <v>0</v>
      </c>
      <c r="W73" s="18" t="n">
        <v>0</v>
      </c>
      <c r="X73" s="18" t="n">
        <v>0</v>
      </c>
      <c r="Y73" s="18" t="n">
        <v>0</v>
      </c>
      <c r="Z73" s="18" t="s">
        <v>1000</v>
      </c>
      <c r="AA73" s="18" t="s">
        <v>699</v>
      </c>
      <c r="AB73" s="18" t="s">
        <v>98</v>
      </c>
      <c r="AC73" s="18"/>
      <c r="AD73" s="23" t="str">
        <f aca="false">IF(A73="","",IF(COUNTIF(Parcels!$A$2:$A$3000,B73)=0,"Parcel not found",IF(COUNTIF($A$2:$A$3000,A73)&gt;1,"Duplicate perm_id",IF(AND(I73="Yes",C73&lt;&gt;"",COUNTIFS($C$2:$C$3000,C73,$I$2:$I$3000,"Yes")&gt;1),"Reference counted twice",IF(COUNTIF(Lists!$A$2:$A$7,H73)=0,"Unknown status","")))))</f>
        <v/>
      </c>
    </row>
    <row r="74" customFormat="false" ht="15" hidden="false" customHeight="false" outlineLevel="0" collapsed="false">
      <c r="A74" s="18" t="s">
        <v>1104</v>
      </c>
      <c r="B74" s="18" t="s">
        <v>499</v>
      </c>
      <c r="C74" s="18" t="s">
        <v>1105</v>
      </c>
      <c r="D74" s="18" t="s">
        <v>1105</v>
      </c>
      <c r="E74" s="18" t="s">
        <v>500</v>
      </c>
      <c r="F74" s="18" t="n">
        <v>20</v>
      </c>
      <c r="G74" s="18"/>
      <c r="H74" s="18" t="s">
        <v>728</v>
      </c>
      <c r="I74" s="18" t="s">
        <v>689</v>
      </c>
      <c r="J74" s="18" t="s">
        <v>690</v>
      </c>
      <c r="K74" s="18" t="s">
        <v>713</v>
      </c>
      <c r="L74" s="18" t="s">
        <v>714</v>
      </c>
      <c r="M74" s="18" t="s">
        <v>715</v>
      </c>
      <c r="N74" s="18" t="s">
        <v>1106</v>
      </c>
      <c r="O74" s="18"/>
      <c r="P74" s="18" t="s">
        <v>1107</v>
      </c>
      <c r="Q74" s="18"/>
      <c r="R74" s="18"/>
      <c r="S74" s="18" t="s">
        <v>731</v>
      </c>
      <c r="T74" s="18" t="n">
        <v>0</v>
      </c>
      <c r="U74" s="18" t="n">
        <v>0</v>
      </c>
      <c r="V74" s="18" t="n">
        <v>0</v>
      </c>
      <c r="W74" s="18" t="n">
        <v>0</v>
      </c>
      <c r="X74" s="18" t="n">
        <v>0</v>
      </c>
      <c r="Y74" s="18" t="n">
        <v>0</v>
      </c>
      <c r="Z74" s="18" t="s">
        <v>1000</v>
      </c>
      <c r="AA74" s="18" t="s">
        <v>699</v>
      </c>
      <c r="AB74" s="18" t="s">
        <v>98</v>
      </c>
      <c r="AC74" s="18"/>
      <c r="AD74" s="23" t="str">
        <f aca="false">IF(A74="","",IF(COUNTIF(Parcels!$A$2:$A$3000,B74)=0,"Parcel not found",IF(COUNTIF($A$2:$A$3000,A74)&gt;1,"Duplicate perm_id",IF(AND(I74="Yes",C74&lt;&gt;"",COUNTIFS($C$2:$C$3000,C74,$I$2:$I$3000,"Yes")&gt;1),"Reference counted twice",IF(COUNTIF(Lists!$A$2:$A$7,H74)=0,"Unknown status","")))))</f>
        <v/>
      </c>
    </row>
    <row r="75" customFormat="false" ht="15" hidden="false" customHeight="false" outlineLevel="0" collapsed="false">
      <c r="A75" s="18" t="s">
        <v>1108</v>
      </c>
      <c r="B75" s="18" t="s">
        <v>288</v>
      </c>
      <c r="C75" s="18" t="s">
        <v>1109</v>
      </c>
      <c r="D75" s="18" t="s">
        <v>1109</v>
      </c>
      <c r="E75" s="18" t="s">
        <v>289</v>
      </c>
      <c r="F75" s="18" t="n">
        <v>5</v>
      </c>
      <c r="G75" s="18"/>
      <c r="H75" s="18" t="s">
        <v>688</v>
      </c>
      <c r="I75" s="18" t="s">
        <v>689</v>
      </c>
      <c r="J75" s="18" t="s">
        <v>690</v>
      </c>
      <c r="K75" s="18" t="s">
        <v>713</v>
      </c>
      <c r="L75" s="18" t="s">
        <v>714</v>
      </c>
      <c r="M75" s="18" t="s">
        <v>715</v>
      </c>
      <c r="N75" s="18" t="s">
        <v>1110</v>
      </c>
      <c r="O75" s="18"/>
      <c r="P75" s="18"/>
      <c r="Q75" s="18" t="s">
        <v>695</v>
      </c>
      <c r="R75" s="18" t="s">
        <v>870</v>
      </c>
      <c r="S75" s="18" t="s">
        <v>697</v>
      </c>
      <c r="T75" s="18" t="n">
        <v>0</v>
      </c>
      <c r="U75" s="18" t="n">
        <v>0</v>
      </c>
      <c r="V75" s="18" t="n">
        <v>3.2</v>
      </c>
      <c r="W75" s="18" t="n">
        <v>1.8</v>
      </c>
      <c r="X75" s="18" t="n">
        <v>0</v>
      </c>
      <c r="Y75" s="18" t="n">
        <v>0</v>
      </c>
      <c r="Z75" s="18" t="s">
        <v>1000</v>
      </c>
      <c r="AA75" s="18" t="s">
        <v>1007</v>
      </c>
      <c r="AB75" s="18" t="s">
        <v>98</v>
      </c>
      <c r="AC75" s="18"/>
      <c r="AD75" s="23" t="str">
        <f aca="false">IF(A75="","",IF(COUNTIF(Parcels!$A$2:$A$3000,B75)=0,"Parcel not found",IF(COUNTIF($A$2:$A$3000,A75)&gt;1,"Duplicate perm_id",IF(AND(I75="Yes",C75&lt;&gt;"",COUNTIFS($C$2:$C$3000,C75,$I$2:$I$3000,"Yes")&gt;1),"Reference counted twice",IF(COUNTIF(Lists!$A$2:$A$7,H75)=0,"Unknown status","")))))</f>
        <v/>
      </c>
    </row>
    <row r="76" customFormat="false" ht="15" hidden="false" customHeight="false" outlineLevel="0" collapsed="false">
      <c r="A76" s="18" t="s">
        <v>1111</v>
      </c>
      <c r="B76" s="18" t="s">
        <v>479</v>
      </c>
      <c r="C76" s="18" t="s">
        <v>1112</v>
      </c>
      <c r="D76" s="18" t="s">
        <v>1112</v>
      </c>
      <c r="E76" s="18" t="s">
        <v>480</v>
      </c>
      <c r="F76" s="18" t="n">
        <v>43</v>
      </c>
      <c r="G76" s="18"/>
      <c r="H76" s="18" t="s">
        <v>728</v>
      </c>
      <c r="I76" s="18" t="s">
        <v>689</v>
      </c>
      <c r="J76" s="18" t="s">
        <v>690</v>
      </c>
      <c r="K76" s="18" t="s">
        <v>713</v>
      </c>
      <c r="L76" s="18" t="s">
        <v>714</v>
      </c>
      <c r="M76" s="18" t="s">
        <v>715</v>
      </c>
      <c r="N76" s="18" t="s">
        <v>1113</v>
      </c>
      <c r="O76" s="18"/>
      <c r="P76" s="18" t="s">
        <v>1114</v>
      </c>
      <c r="Q76" s="18"/>
      <c r="R76" s="18"/>
      <c r="S76" s="18" t="s">
        <v>731</v>
      </c>
      <c r="T76" s="18" t="n">
        <v>0</v>
      </c>
      <c r="U76" s="18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18" t="s">
        <v>1000</v>
      </c>
      <c r="AA76" s="18" t="s">
        <v>699</v>
      </c>
      <c r="AB76" s="18" t="s">
        <v>98</v>
      </c>
      <c r="AC76" s="18"/>
      <c r="AD76" s="23" t="str">
        <f aca="false">IF(A76="","",IF(COUNTIF(Parcels!$A$2:$A$3000,B76)=0,"Parcel not found",IF(COUNTIF($A$2:$A$3000,A76)&gt;1,"Duplicate perm_id",IF(AND(I76="Yes",C76&lt;&gt;"",COUNTIFS($C$2:$C$3000,C76,$I$2:$I$3000,"Yes")&gt;1),"Reference counted twice",IF(COUNTIF(Lists!$A$2:$A$7,H76)=0,"Unknown status","")))))</f>
        <v/>
      </c>
    </row>
    <row r="77" customFormat="false" ht="15" hidden="false" customHeight="false" outlineLevel="0" collapsed="false">
      <c r="A77" s="18" t="s">
        <v>1115</v>
      </c>
      <c r="B77" s="18" t="s">
        <v>290</v>
      </c>
      <c r="C77" s="18" t="s">
        <v>1116</v>
      </c>
      <c r="D77" s="18" t="s">
        <v>1116</v>
      </c>
      <c r="E77" s="18" t="s">
        <v>291</v>
      </c>
      <c r="F77" s="18" t="n">
        <v>43</v>
      </c>
      <c r="G77" s="18"/>
      <c r="H77" s="18" t="s">
        <v>728</v>
      </c>
      <c r="I77" s="18" t="s">
        <v>689</v>
      </c>
      <c r="J77" s="18" t="s">
        <v>690</v>
      </c>
      <c r="K77" s="18" t="s">
        <v>713</v>
      </c>
      <c r="L77" s="18" t="s">
        <v>714</v>
      </c>
      <c r="M77" s="18" t="s">
        <v>715</v>
      </c>
      <c r="N77" s="18" t="s">
        <v>1113</v>
      </c>
      <c r="O77" s="18"/>
      <c r="P77" s="18" t="s">
        <v>1117</v>
      </c>
      <c r="Q77" s="18"/>
      <c r="R77" s="18"/>
      <c r="S77" s="18" t="s">
        <v>731</v>
      </c>
      <c r="T77" s="18" t="n">
        <v>0</v>
      </c>
      <c r="U77" s="18" t="n">
        <v>0</v>
      </c>
      <c r="V77" s="18" t="n">
        <v>0</v>
      </c>
      <c r="W77" s="18" t="n">
        <v>0</v>
      </c>
      <c r="X77" s="18" t="n">
        <v>0</v>
      </c>
      <c r="Y77" s="18" t="n">
        <v>0</v>
      </c>
      <c r="Z77" s="18" t="s">
        <v>1000</v>
      </c>
      <c r="AA77" s="18" t="s">
        <v>699</v>
      </c>
      <c r="AB77" s="18" t="s">
        <v>98</v>
      </c>
      <c r="AC77" s="18"/>
      <c r="AD77" s="23" t="str">
        <f aca="false">IF(A77="","",IF(COUNTIF(Parcels!$A$2:$A$3000,B77)=0,"Parcel not found",IF(COUNTIF($A$2:$A$3000,A77)&gt;1,"Duplicate perm_id",IF(AND(I77="Yes",C77&lt;&gt;"",COUNTIFS($C$2:$C$3000,C77,$I$2:$I$3000,"Yes")&gt;1),"Reference counted twice",IF(COUNTIF(Lists!$A$2:$A$7,H77)=0,"Unknown status","")))))</f>
        <v/>
      </c>
    </row>
    <row r="78" customFormat="false" ht="15" hidden="false" customHeight="false" outlineLevel="0" collapsed="false">
      <c r="A78" s="18" t="s">
        <v>1118</v>
      </c>
      <c r="B78" s="18" t="s">
        <v>292</v>
      </c>
      <c r="C78" s="18" t="s">
        <v>1119</v>
      </c>
      <c r="D78" s="18" t="s">
        <v>1119</v>
      </c>
      <c r="E78" s="18" t="s">
        <v>293</v>
      </c>
      <c r="F78" s="18" t="n">
        <v>5</v>
      </c>
      <c r="G78" s="18"/>
      <c r="H78" s="18" t="s">
        <v>728</v>
      </c>
      <c r="I78" s="18" t="s">
        <v>689</v>
      </c>
      <c r="J78" s="18" t="s">
        <v>690</v>
      </c>
      <c r="K78" s="18" t="s">
        <v>713</v>
      </c>
      <c r="L78" s="18" t="s">
        <v>714</v>
      </c>
      <c r="M78" s="18" t="s">
        <v>715</v>
      </c>
      <c r="N78" s="18" t="s">
        <v>729</v>
      </c>
      <c r="O78" s="18"/>
      <c r="P78" s="18" t="s">
        <v>1120</v>
      </c>
      <c r="Q78" s="18"/>
      <c r="R78" s="18"/>
      <c r="S78" s="18" t="s">
        <v>731</v>
      </c>
      <c r="T78" s="18" t="n">
        <v>0</v>
      </c>
      <c r="U78" s="18" t="n">
        <v>0</v>
      </c>
      <c r="V78" s="18" t="n">
        <v>0</v>
      </c>
      <c r="W78" s="18" t="n">
        <v>0</v>
      </c>
      <c r="X78" s="18" t="n">
        <v>0</v>
      </c>
      <c r="Y78" s="18" t="n">
        <v>0</v>
      </c>
      <c r="Z78" s="18" t="s">
        <v>1000</v>
      </c>
      <c r="AA78" s="18" t="s">
        <v>699</v>
      </c>
      <c r="AB78" s="18" t="s">
        <v>98</v>
      </c>
      <c r="AC78" s="18"/>
      <c r="AD78" s="23" t="str">
        <f aca="false">IF(A78="","",IF(COUNTIF(Parcels!$A$2:$A$3000,B78)=0,"Parcel not found",IF(COUNTIF($A$2:$A$3000,A78)&gt;1,"Duplicate perm_id",IF(AND(I78="Yes",C78&lt;&gt;"",COUNTIFS($C$2:$C$3000,C78,$I$2:$I$3000,"Yes")&gt;1),"Reference counted twice",IF(COUNTIF(Lists!$A$2:$A$7,H78)=0,"Unknown status","")))))</f>
        <v/>
      </c>
    </row>
    <row r="79" customFormat="false" ht="15" hidden="false" customHeight="false" outlineLevel="0" collapsed="false">
      <c r="A79" s="18" t="s">
        <v>1121</v>
      </c>
      <c r="B79" s="18" t="s">
        <v>501</v>
      </c>
      <c r="C79" s="18" t="s">
        <v>1122</v>
      </c>
      <c r="D79" s="18" t="s">
        <v>1122</v>
      </c>
      <c r="E79" s="18" t="s">
        <v>503</v>
      </c>
      <c r="F79" s="18" t="n">
        <v>7</v>
      </c>
      <c r="G79" s="18"/>
      <c r="H79" s="18" t="s">
        <v>688</v>
      </c>
      <c r="I79" s="18" t="s">
        <v>689</v>
      </c>
      <c r="J79" s="18" t="s">
        <v>690</v>
      </c>
      <c r="K79" s="18" t="s">
        <v>713</v>
      </c>
      <c r="L79" s="18" t="s">
        <v>714</v>
      </c>
      <c r="M79" s="18" t="s">
        <v>715</v>
      </c>
      <c r="N79" s="18" t="s">
        <v>1123</v>
      </c>
      <c r="O79" s="18"/>
      <c r="P79" s="18"/>
      <c r="Q79" s="18" t="s">
        <v>695</v>
      </c>
      <c r="R79" s="18" t="s">
        <v>870</v>
      </c>
      <c r="S79" s="18" t="s">
        <v>697</v>
      </c>
      <c r="T79" s="18" t="n">
        <v>0</v>
      </c>
      <c r="U79" s="18" t="n">
        <v>0</v>
      </c>
      <c r="V79" s="18" t="n">
        <v>4.4</v>
      </c>
      <c r="W79" s="18" t="n">
        <v>2.6</v>
      </c>
      <c r="X79" s="18" t="n">
        <v>0</v>
      </c>
      <c r="Y79" s="18" t="n">
        <v>0</v>
      </c>
      <c r="Z79" s="18" t="s">
        <v>1000</v>
      </c>
      <c r="AA79" s="18" t="s">
        <v>699</v>
      </c>
      <c r="AB79" s="18" t="s">
        <v>98</v>
      </c>
      <c r="AC79" s="18"/>
      <c r="AD79" s="23" t="str">
        <f aca="false">IF(A79="","",IF(COUNTIF(Parcels!$A$2:$A$3000,B79)=0,"Parcel not found",IF(COUNTIF($A$2:$A$3000,A79)&gt;1,"Duplicate perm_id",IF(AND(I79="Yes",C79&lt;&gt;"",COUNTIFS($C$2:$C$3000,C79,$I$2:$I$3000,"Yes")&gt;1),"Reference counted twice",IF(COUNTIF(Lists!$A$2:$A$7,H79)=0,"Unknown status","")))))</f>
        <v/>
      </c>
    </row>
    <row r="80" customFormat="false" ht="15" hidden="false" customHeight="false" outlineLevel="0" collapsed="false">
      <c r="A80" s="18" t="s">
        <v>1124</v>
      </c>
      <c r="B80" s="18" t="s">
        <v>281</v>
      </c>
      <c r="C80" s="18" t="s">
        <v>1125</v>
      </c>
      <c r="D80" s="18" t="s">
        <v>1125</v>
      </c>
      <c r="E80" s="18" t="s">
        <v>282</v>
      </c>
      <c r="F80" s="18" t="n">
        <v>17</v>
      </c>
      <c r="G80" s="18"/>
      <c r="H80" s="18" t="s">
        <v>728</v>
      </c>
      <c r="I80" s="18" t="s">
        <v>689</v>
      </c>
      <c r="J80" s="18" t="s">
        <v>690</v>
      </c>
      <c r="K80" s="18" t="s">
        <v>713</v>
      </c>
      <c r="L80" s="18" t="s">
        <v>714</v>
      </c>
      <c r="M80" s="18" t="s">
        <v>715</v>
      </c>
      <c r="N80" s="18" t="s">
        <v>1045</v>
      </c>
      <c r="O80" s="18"/>
      <c r="P80" s="18" t="s">
        <v>1126</v>
      </c>
      <c r="Q80" s="18"/>
      <c r="R80" s="18"/>
      <c r="S80" s="18" t="s">
        <v>731</v>
      </c>
      <c r="T80" s="18" t="n">
        <v>0</v>
      </c>
      <c r="U80" s="18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18" t="s">
        <v>1000</v>
      </c>
      <c r="AA80" s="18" t="s">
        <v>699</v>
      </c>
      <c r="AB80" s="18" t="s">
        <v>98</v>
      </c>
      <c r="AC80" s="18"/>
      <c r="AD80" s="23" t="str">
        <f aca="false">IF(A80="","",IF(COUNTIF(Parcels!$A$2:$A$3000,B80)=0,"Parcel not found",IF(COUNTIF($A$2:$A$3000,A80)&gt;1,"Duplicate perm_id",IF(AND(I80="Yes",C80&lt;&gt;"",COUNTIFS($C$2:$C$3000,C80,$I$2:$I$3000,"Yes")&gt;1),"Reference counted twice",IF(COUNTIF(Lists!$A$2:$A$7,H80)=0,"Unknown status","")))))</f>
        <v/>
      </c>
    </row>
    <row r="81" customFormat="false" ht="15" hidden="false" customHeight="false" outlineLevel="0" collapsed="false">
      <c r="A81" s="18" t="s">
        <v>1127</v>
      </c>
      <c r="B81" s="18" t="s">
        <v>284</v>
      </c>
      <c r="C81" s="18" t="s">
        <v>1128</v>
      </c>
      <c r="D81" s="18" t="s">
        <v>1128</v>
      </c>
      <c r="E81" s="18" t="s">
        <v>285</v>
      </c>
      <c r="F81" s="18" t="n">
        <v>6</v>
      </c>
      <c r="G81" s="18"/>
      <c r="H81" s="18" t="s">
        <v>711</v>
      </c>
      <c r="I81" s="18" t="s">
        <v>689</v>
      </c>
      <c r="J81" s="18" t="s">
        <v>690</v>
      </c>
      <c r="K81" s="18" t="s">
        <v>691</v>
      </c>
      <c r="L81" s="18" t="s">
        <v>105</v>
      </c>
      <c r="M81" s="18" t="s">
        <v>704</v>
      </c>
      <c r="N81" s="18" t="s">
        <v>1129</v>
      </c>
      <c r="O81" s="18" t="s">
        <v>1130</v>
      </c>
      <c r="P81" s="18" t="s">
        <v>1131</v>
      </c>
      <c r="Q81" s="18" t="s">
        <v>1079</v>
      </c>
      <c r="R81" s="18" t="s">
        <v>719</v>
      </c>
      <c r="S81" s="18" t="s">
        <v>720</v>
      </c>
      <c r="T81" s="18" t="n">
        <v>1.4</v>
      </c>
      <c r="U81" s="18" t="n">
        <v>4.6</v>
      </c>
      <c r="V81" s="18" t="n">
        <v>0</v>
      </c>
      <c r="W81" s="18" t="n">
        <v>0</v>
      </c>
      <c r="X81" s="18" t="n">
        <v>0</v>
      </c>
      <c r="Y81" s="18" t="n">
        <v>0</v>
      </c>
      <c r="Z81" s="18" t="s">
        <v>1000</v>
      </c>
      <c r="AA81" s="18" t="s">
        <v>699</v>
      </c>
      <c r="AB81" s="18" t="s">
        <v>98</v>
      </c>
      <c r="AC81" s="18"/>
      <c r="AD81" s="23" t="str">
        <f aca="false">IF(A81="","",IF(COUNTIF(Parcels!$A$2:$A$3000,B81)=0,"Parcel not found",IF(COUNTIF($A$2:$A$3000,A81)&gt;1,"Duplicate perm_id",IF(AND(I81="Yes",C81&lt;&gt;"",COUNTIFS($C$2:$C$3000,C81,$I$2:$I$3000,"Yes")&gt;1),"Reference counted twice",IF(COUNTIF(Lists!$A$2:$A$7,H81)=0,"Unknown status","")))))</f>
        <v/>
      </c>
    </row>
    <row r="82" customFormat="false" ht="15" hidden="false" customHeight="false" outlineLevel="0" collapsed="false">
      <c r="A82" s="18" t="s">
        <v>1132</v>
      </c>
      <c r="B82" s="18" t="s">
        <v>504</v>
      </c>
      <c r="C82" s="18" t="s">
        <v>1133</v>
      </c>
      <c r="D82" s="18" t="s">
        <v>1133</v>
      </c>
      <c r="E82" s="18" t="s">
        <v>505</v>
      </c>
      <c r="F82" s="18" t="n">
        <v>6</v>
      </c>
      <c r="G82" s="18"/>
      <c r="H82" s="18" t="s">
        <v>728</v>
      </c>
      <c r="I82" s="18" t="s">
        <v>689</v>
      </c>
      <c r="J82" s="18" t="s">
        <v>690</v>
      </c>
      <c r="K82" s="18" t="s">
        <v>691</v>
      </c>
      <c r="L82" s="18" t="s">
        <v>105</v>
      </c>
      <c r="M82" s="18" t="s">
        <v>704</v>
      </c>
      <c r="N82" s="18" t="s">
        <v>1134</v>
      </c>
      <c r="O82" s="18" t="s">
        <v>1135</v>
      </c>
      <c r="P82" s="18" t="s">
        <v>1136</v>
      </c>
      <c r="Q82" s="18"/>
      <c r="R82" s="18"/>
      <c r="S82" s="18" t="s">
        <v>731</v>
      </c>
      <c r="T82" s="18" t="n">
        <v>0</v>
      </c>
      <c r="U82" s="18" t="n">
        <v>0</v>
      </c>
      <c r="V82" s="18" t="n">
        <v>0</v>
      </c>
      <c r="W82" s="18" t="n">
        <v>0</v>
      </c>
      <c r="X82" s="18" t="n">
        <v>0</v>
      </c>
      <c r="Y82" s="18" t="n">
        <v>0</v>
      </c>
      <c r="Z82" s="18" t="s">
        <v>1000</v>
      </c>
      <c r="AA82" s="18" t="s">
        <v>699</v>
      </c>
      <c r="AB82" s="18" t="s">
        <v>98</v>
      </c>
      <c r="AC82" s="18"/>
      <c r="AD82" s="23" t="str">
        <f aca="false">IF(A82="","",IF(COUNTIF(Parcels!$A$2:$A$3000,B82)=0,"Parcel not found",IF(COUNTIF($A$2:$A$3000,A82)&gt;1,"Duplicate perm_id",IF(AND(I82="Yes",C82&lt;&gt;"",COUNTIFS($C$2:$C$3000,C82,$I$2:$I$3000,"Yes")&gt;1),"Reference counted twice",IF(COUNTIF(Lists!$A$2:$A$7,H82)=0,"Unknown status","")))))</f>
        <v/>
      </c>
    </row>
    <row r="83" customFormat="false" ht="15" hidden="false" customHeight="false" outlineLevel="0" collapsed="false">
      <c r="A83" s="18" t="s">
        <v>1137</v>
      </c>
      <c r="B83" s="18" t="s">
        <v>324</v>
      </c>
      <c r="C83" s="18" t="s">
        <v>1138</v>
      </c>
      <c r="D83" s="18" t="s">
        <v>1138</v>
      </c>
      <c r="E83" s="18" t="s">
        <v>325</v>
      </c>
      <c r="F83" s="18" t="n">
        <v>8</v>
      </c>
      <c r="G83" s="18"/>
      <c r="H83" s="18" t="s">
        <v>711</v>
      </c>
      <c r="I83" s="18" t="s">
        <v>689</v>
      </c>
      <c r="J83" s="18" t="s">
        <v>690</v>
      </c>
      <c r="K83" s="18" t="s">
        <v>691</v>
      </c>
      <c r="L83" s="18" t="s">
        <v>105</v>
      </c>
      <c r="M83" s="18" t="s">
        <v>704</v>
      </c>
      <c r="N83" s="18" t="s">
        <v>1139</v>
      </c>
      <c r="O83" s="18" t="s">
        <v>1140</v>
      </c>
      <c r="P83" s="18" t="s">
        <v>1141</v>
      </c>
      <c r="Q83" s="18" t="s">
        <v>765</v>
      </c>
      <c r="R83" s="18" t="s">
        <v>719</v>
      </c>
      <c r="S83" s="18" t="s">
        <v>720</v>
      </c>
      <c r="T83" s="18" t="n">
        <v>1.9</v>
      </c>
      <c r="U83" s="18" t="n">
        <v>6.1</v>
      </c>
      <c r="V83" s="18" t="n">
        <v>0</v>
      </c>
      <c r="W83" s="18" t="n">
        <v>0</v>
      </c>
      <c r="X83" s="18" t="n">
        <v>0</v>
      </c>
      <c r="Y83" s="18" t="n">
        <v>0</v>
      </c>
      <c r="Z83" s="18" t="s">
        <v>1000</v>
      </c>
      <c r="AA83" s="18" t="s">
        <v>699</v>
      </c>
      <c r="AB83" s="18" t="s">
        <v>98</v>
      </c>
      <c r="AC83" s="18"/>
      <c r="AD83" s="23" t="str">
        <f aca="false">IF(A83="","",IF(COUNTIF(Parcels!$A$2:$A$3000,B83)=0,"Parcel not found",IF(COUNTIF($A$2:$A$3000,A83)&gt;1,"Duplicate perm_id",IF(AND(I83="Yes",C83&lt;&gt;"",COUNTIFS($C$2:$C$3000,C83,$I$2:$I$3000,"Yes")&gt;1),"Reference counted twice",IF(COUNTIF(Lists!$A$2:$A$7,H83)=0,"Unknown status","")))))</f>
        <v/>
      </c>
    </row>
    <row r="84" customFormat="false" ht="15" hidden="false" customHeight="false" outlineLevel="0" collapsed="false">
      <c r="A84" s="18" t="s">
        <v>1142</v>
      </c>
      <c r="B84" s="18" t="s">
        <v>354</v>
      </c>
      <c r="C84" s="18" t="s">
        <v>1143</v>
      </c>
      <c r="D84" s="18" t="s">
        <v>1143</v>
      </c>
      <c r="E84" s="18" t="s">
        <v>355</v>
      </c>
      <c r="F84" s="18" t="n">
        <v>35</v>
      </c>
      <c r="G84" s="18"/>
      <c r="H84" s="18" t="s">
        <v>728</v>
      </c>
      <c r="I84" s="18" t="s">
        <v>689</v>
      </c>
      <c r="J84" s="18" t="s">
        <v>690</v>
      </c>
      <c r="K84" s="18" t="s">
        <v>691</v>
      </c>
      <c r="L84" s="18" t="s">
        <v>105</v>
      </c>
      <c r="M84" s="18" t="s">
        <v>704</v>
      </c>
      <c r="N84" s="18" t="s">
        <v>1144</v>
      </c>
      <c r="O84" s="18" t="s">
        <v>1145</v>
      </c>
      <c r="P84" s="18" t="s">
        <v>1146</v>
      </c>
      <c r="Q84" s="18"/>
      <c r="R84" s="18"/>
      <c r="S84" s="18" t="s">
        <v>731</v>
      </c>
      <c r="T84" s="18" t="n">
        <v>0</v>
      </c>
      <c r="U84" s="18" t="n">
        <v>0</v>
      </c>
      <c r="V84" s="18" t="n">
        <v>0</v>
      </c>
      <c r="W84" s="18" t="n">
        <v>0</v>
      </c>
      <c r="X84" s="18" t="n">
        <v>0</v>
      </c>
      <c r="Y84" s="18" t="n">
        <v>0</v>
      </c>
      <c r="Z84" s="18" t="s">
        <v>1000</v>
      </c>
      <c r="AA84" s="18" t="s">
        <v>699</v>
      </c>
      <c r="AB84" s="18" t="s">
        <v>98</v>
      </c>
      <c r="AC84" s="18"/>
      <c r="AD84" s="23" t="str">
        <f aca="false">IF(A84="","",IF(COUNTIF(Parcels!$A$2:$A$3000,B84)=0,"Parcel not found",IF(COUNTIF($A$2:$A$3000,A84)&gt;1,"Duplicate perm_id",IF(AND(I84="Yes",C84&lt;&gt;"",COUNTIFS($C$2:$C$3000,C84,$I$2:$I$3000,"Yes")&gt;1),"Reference counted twice",IF(COUNTIF(Lists!$A$2:$A$7,H84)=0,"Unknown status","")))))</f>
        <v/>
      </c>
    </row>
    <row r="85" customFormat="false" ht="15" hidden="false" customHeight="false" outlineLevel="0" collapsed="false">
      <c r="A85" s="18" t="s">
        <v>1147</v>
      </c>
      <c r="B85" s="18" t="s">
        <v>506</v>
      </c>
      <c r="C85" s="18" t="s">
        <v>1148</v>
      </c>
      <c r="D85" s="18" t="s">
        <v>1148</v>
      </c>
      <c r="E85" s="18" t="s">
        <v>507</v>
      </c>
      <c r="F85" s="18" t="n">
        <v>2</v>
      </c>
      <c r="G85" s="18"/>
      <c r="H85" s="18" t="s">
        <v>728</v>
      </c>
      <c r="I85" s="18" t="s">
        <v>689</v>
      </c>
      <c r="J85" s="18" t="s">
        <v>690</v>
      </c>
      <c r="K85" s="18" t="s">
        <v>691</v>
      </c>
      <c r="L85" s="18" t="s">
        <v>105</v>
      </c>
      <c r="M85" s="18" t="s">
        <v>704</v>
      </c>
      <c r="N85" s="18" t="s">
        <v>1107</v>
      </c>
      <c r="O85" s="18" t="s">
        <v>1149</v>
      </c>
      <c r="P85" s="18" t="s">
        <v>1150</v>
      </c>
      <c r="Q85" s="18"/>
      <c r="R85" s="18"/>
      <c r="S85" s="18" t="s">
        <v>731</v>
      </c>
      <c r="T85" s="18" t="n">
        <v>0</v>
      </c>
      <c r="U85" s="18" t="n">
        <v>0</v>
      </c>
      <c r="V85" s="18" t="n">
        <v>0</v>
      </c>
      <c r="W85" s="18" t="n">
        <v>0</v>
      </c>
      <c r="X85" s="18" t="n">
        <v>0</v>
      </c>
      <c r="Y85" s="18" t="n">
        <v>0</v>
      </c>
      <c r="Z85" s="18" t="s">
        <v>1000</v>
      </c>
      <c r="AA85" s="18" t="s">
        <v>699</v>
      </c>
      <c r="AB85" s="18" t="s">
        <v>98</v>
      </c>
      <c r="AC85" s="18"/>
      <c r="AD85" s="23" t="str">
        <f aca="false">IF(A85="","",IF(COUNTIF(Parcels!$A$2:$A$3000,B85)=0,"Parcel not found",IF(COUNTIF($A$2:$A$3000,A85)&gt;1,"Duplicate perm_id",IF(AND(I85="Yes",C85&lt;&gt;"",COUNTIFS($C$2:$C$3000,C85,$I$2:$I$3000,"Yes")&gt;1),"Reference counted twice",IF(COUNTIF(Lists!$A$2:$A$7,H85)=0,"Unknown status","")))))</f>
        <v/>
      </c>
    </row>
    <row r="86" customFormat="false" ht="15" hidden="false" customHeight="false" outlineLevel="0" collapsed="false">
      <c r="A86" s="18" t="s">
        <v>1151</v>
      </c>
      <c r="B86" s="18" t="s">
        <v>508</v>
      </c>
      <c r="C86" s="18" t="s">
        <v>1152</v>
      </c>
      <c r="D86" s="18" t="s">
        <v>1152</v>
      </c>
      <c r="E86" s="18" t="s">
        <v>509</v>
      </c>
      <c r="F86" s="18" t="n">
        <v>32</v>
      </c>
      <c r="G86" s="18"/>
      <c r="H86" s="18" t="s">
        <v>796</v>
      </c>
      <c r="I86" s="18" t="s">
        <v>689</v>
      </c>
      <c r="J86" s="18" t="s">
        <v>690</v>
      </c>
      <c r="K86" s="18" t="s">
        <v>691</v>
      </c>
      <c r="L86" s="18" t="s">
        <v>105</v>
      </c>
      <c r="M86" s="18" t="s">
        <v>704</v>
      </c>
      <c r="N86" s="18" t="s">
        <v>1153</v>
      </c>
      <c r="O86" s="18" t="s">
        <v>1154</v>
      </c>
      <c r="P86" s="18"/>
      <c r="Q86" s="18"/>
      <c r="R86" s="18"/>
      <c r="S86" s="18" t="s">
        <v>707</v>
      </c>
      <c r="T86" s="18" t="n">
        <v>0</v>
      </c>
      <c r="U86" s="18" t="n">
        <v>0</v>
      </c>
      <c r="V86" s="18" t="n">
        <v>0</v>
      </c>
      <c r="W86" s="18" t="n">
        <v>0</v>
      </c>
      <c r="X86" s="18" t="n">
        <v>0</v>
      </c>
      <c r="Y86" s="18" t="n">
        <v>0</v>
      </c>
      <c r="Z86" s="18" t="s">
        <v>1000</v>
      </c>
      <c r="AA86" s="18" t="s">
        <v>699</v>
      </c>
      <c r="AB86" s="18" t="s">
        <v>98</v>
      </c>
      <c r="AC86" s="18"/>
      <c r="AD86" s="23" t="str">
        <f aca="false">IF(A86="","",IF(COUNTIF(Parcels!$A$2:$A$3000,B86)=0,"Parcel not found",IF(COUNTIF($A$2:$A$3000,A86)&gt;1,"Duplicate perm_id",IF(AND(I86="Yes",C86&lt;&gt;"",COUNTIFS($C$2:$C$3000,C86,$I$2:$I$3000,"Yes")&gt;1),"Reference counted twice",IF(COUNTIF(Lists!$A$2:$A$7,H86)=0,"Unknown status","")))))</f>
        <v/>
      </c>
    </row>
    <row r="87" customFormat="false" ht="15" hidden="false" customHeight="false" outlineLevel="0" collapsed="false">
      <c r="A87" s="18" t="s">
        <v>1155</v>
      </c>
      <c r="B87" s="18" t="s">
        <v>510</v>
      </c>
      <c r="C87" s="18" t="s">
        <v>1156</v>
      </c>
      <c r="D87" s="18" t="s">
        <v>1156</v>
      </c>
      <c r="E87" s="18" t="s">
        <v>511</v>
      </c>
      <c r="F87" s="18" t="n">
        <v>21</v>
      </c>
      <c r="G87" s="18"/>
      <c r="H87" s="18" t="s">
        <v>703</v>
      </c>
      <c r="I87" s="18" t="s">
        <v>689</v>
      </c>
      <c r="J87" s="18" t="s">
        <v>690</v>
      </c>
      <c r="K87" s="18" t="s">
        <v>713</v>
      </c>
      <c r="L87" s="18" t="s">
        <v>743</v>
      </c>
      <c r="M87" s="18" t="s">
        <v>704</v>
      </c>
      <c r="N87" s="18" t="s">
        <v>1157</v>
      </c>
      <c r="O87" s="18" t="s">
        <v>1158</v>
      </c>
      <c r="P87" s="18"/>
      <c r="Q87" s="18"/>
      <c r="R87" s="18"/>
      <c r="S87" s="18" t="s">
        <v>707</v>
      </c>
      <c r="T87" s="18" t="n">
        <v>0</v>
      </c>
      <c r="U87" s="18" t="n">
        <v>0</v>
      </c>
      <c r="V87" s="18" t="n">
        <v>0</v>
      </c>
      <c r="W87" s="18" t="n">
        <v>0</v>
      </c>
      <c r="X87" s="18" t="n">
        <v>0</v>
      </c>
      <c r="Y87" s="18" t="n">
        <v>0</v>
      </c>
      <c r="Z87" s="18" t="s">
        <v>1000</v>
      </c>
      <c r="AA87" s="18" t="s">
        <v>699</v>
      </c>
      <c r="AB87" s="18" t="s">
        <v>98</v>
      </c>
      <c r="AC87" s="18"/>
      <c r="AD87" s="23" t="str">
        <f aca="false">IF(A87="","",IF(COUNTIF(Parcels!$A$2:$A$3000,B87)=0,"Parcel not found",IF(COUNTIF($A$2:$A$3000,A87)&gt;1,"Duplicate perm_id",IF(AND(I87="Yes",C87&lt;&gt;"",COUNTIFS($C$2:$C$3000,C87,$I$2:$I$3000,"Yes")&gt;1),"Reference counted twice",IF(COUNTIF(Lists!$A$2:$A$7,H87)=0,"Unknown status","")))))</f>
        <v/>
      </c>
    </row>
    <row r="88" customFormat="false" ht="15" hidden="false" customHeight="false" outlineLevel="0" collapsed="false">
      <c r="A88" s="18" t="s">
        <v>1159</v>
      </c>
      <c r="B88" s="18" t="s">
        <v>512</v>
      </c>
      <c r="C88" s="18" t="s">
        <v>1160</v>
      </c>
      <c r="D88" s="18" t="s">
        <v>1160</v>
      </c>
      <c r="E88" s="18" t="s">
        <v>513</v>
      </c>
      <c r="F88" s="18" t="n">
        <v>5</v>
      </c>
      <c r="G88" s="18"/>
      <c r="H88" s="18" t="s">
        <v>728</v>
      </c>
      <c r="I88" s="18" t="s">
        <v>689</v>
      </c>
      <c r="J88" s="18" t="s">
        <v>690</v>
      </c>
      <c r="K88" s="18" t="s">
        <v>691</v>
      </c>
      <c r="L88" s="18" t="s">
        <v>105</v>
      </c>
      <c r="M88" s="18" t="s">
        <v>704</v>
      </c>
      <c r="N88" s="18" t="s">
        <v>1161</v>
      </c>
      <c r="O88" s="18" t="s">
        <v>1162</v>
      </c>
      <c r="P88" s="18" t="s">
        <v>1163</v>
      </c>
      <c r="Q88" s="18"/>
      <c r="R88" s="18"/>
      <c r="S88" s="18" t="s">
        <v>731</v>
      </c>
      <c r="T88" s="18" t="n">
        <v>0</v>
      </c>
      <c r="U88" s="18" t="n">
        <v>0</v>
      </c>
      <c r="V88" s="18" t="n">
        <v>0</v>
      </c>
      <c r="W88" s="18" t="n">
        <v>0</v>
      </c>
      <c r="X88" s="18" t="n">
        <v>0</v>
      </c>
      <c r="Y88" s="18" t="n">
        <v>0</v>
      </c>
      <c r="Z88" s="18" t="s">
        <v>1000</v>
      </c>
      <c r="AA88" s="18" t="s">
        <v>699</v>
      </c>
      <c r="AB88" s="18" t="s">
        <v>98</v>
      </c>
      <c r="AC88" s="18"/>
      <c r="AD88" s="23" t="str">
        <f aca="false">IF(A88="","",IF(COUNTIF(Parcels!$A$2:$A$3000,B88)=0,"Parcel not found",IF(COUNTIF($A$2:$A$3000,A88)&gt;1,"Duplicate perm_id",IF(AND(I88="Yes",C88&lt;&gt;"",COUNTIFS($C$2:$C$3000,C88,$I$2:$I$3000,"Yes")&gt;1),"Reference counted twice",IF(COUNTIF(Lists!$A$2:$A$7,H88)=0,"Unknown status","")))))</f>
        <v/>
      </c>
    </row>
    <row r="89" customFormat="false" ht="15" hidden="false" customHeight="false" outlineLevel="0" collapsed="false">
      <c r="A89" s="18" t="s">
        <v>1164</v>
      </c>
      <c r="B89" s="18" t="s">
        <v>294</v>
      </c>
      <c r="C89" s="18" t="s">
        <v>1165</v>
      </c>
      <c r="D89" s="18" t="s">
        <v>1165</v>
      </c>
      <c r="E89" s="18" t="s">
        <v>295</v>
      </c>
      <c r="F89" s="18" t="n">
        <v>12</v>
      </c>
      <c r="G89" s="18"/>
      <c r="H89" s="18" t="s">
        <v>703</v>
      </c>
      <c r="I89" s="18" t="s">
        <v>689</v>
      </c>
      <c r="J89" s="18" t="s">
        <v>690</v>
      </c>
      <c r="K89" s="18" t="s">
        <v>713</v>
      </c>
      <c r="L89" s="18" t="s">
        <v>743</v>
      </c>
      <c r="M89" s="18" t="s">
        <v>704</v>
      </c>
      <c r="N89" s="18" t="s">
        <v>1166</v>
      </c>
      <c r="O89" s="18" t="s">
        <v>1167</v>
      </c>
      <c r="P89" s="18"/>
      <c r="Q89" s="18"/>
      <c r="R89" s="18"/>
      <c r="S89" s="18" t="s">
        <v>707</v>
      </c>
      <c r="T89" s="18" t="n">
        <v>0</v>
      </c>
      <c r="U89" s="18" t="n">
        <v>0</v>
      </c>
      <c r="V89" s="18" t="n">
        <v>0</v>
      </c>
      <c r="W89" s="18" t="n">
        <v>0</v>
      </c>
      <c r="X89" s="18" t="n">
        <v>0</v>
      </c>
      <c r="Y89" s="18" t="n">
        <v>0</v>
      </c>
      <c r="Z89" s="18" t="s">
        <v>1000</v>
      </c>
      <c r="AA89" s="18" t="s">
        <v>699</v>
      </c>
      <c r="AB89" s="18" t="s">
        <v>98</v>
      </c>
      <c r="AC89" s="18"/>
      <c r="AD89" s="23" t="str">
        <f aca="false">IF(A89="","",IF(COUNTIF(Parcels!$A$2:$A$3000,B89)=0,"Parcel not found",IF(COUNTIF($A$2:$A$3000,A89)&gt;1,"Duplicate perm_id",IF(AND(I89="Yes",C89&lt;&gt;"",COUNTIFS($C$2:$C$3000,C89,$I$2:$I$3000,"Yes")&gt;1),"Reference counted twice",IF(COUNTIF(Lists!$A$2:$A$7,H89)=0,"Unknown status","")))))</f>
        <v/>
      </c>
    </row>
    <row r="90" customFormat="false" ht="15" hidden="false" customHeight="false" outlineLevel="0" collapsed="false">
      <c r="A90" s="18" t="s">
        <v>1168</v>
      </c>
      <c r="B90" s="18" t="s">
        <v>514</v>
      </c>
      <c r="C90" s="18" t="s">
        <v>1169</v>
      </c>
      <c r="D90" s="18" t="s">
        <v>1169</v>
      </c>
      <c r="E90" s="18" t="s">
        <v>515</v>
      </c>
      <c r="F90" s="18" t="n">
        <v>51</v>
      </c>
      <c r="G90" s="18"/>
      <c r="H90" s="18" t="s">
        <v>711</v>
      </c>
      <c r="I90" s="18" t="s">
        <v>689</v>
      </c>
      <c r="J90" s="18" t="s">
        <v>690</v>
      </c>
      <c r="K90" s="18" t="s">
        <v>691</v>
      </c>
      <c r="L90" s="18" t="s">
        <v>105</v>
      </c>
      <c r="M90" s="18" t="s">
        <v>704</v>
      </c>
      <c r="N90" s="18" t="s">
        <v>1170</v>
      </c>
      <c r="O90" s="18" t="s">
        <v>1171</v>
      </c>
      <c r="P90" s="18" t="s">
        <v>1172</v>
      </c>
      <c r="Q90" s="18" t="s">
        <v>1173</v>
      </c>
      <c r="R90" s="18" t="s">
        <v>719</v>
      </c>
      <c r="S90" s="18" t="s">
        <v>720</v>
      </c>
      <c r="T90" s="18" t="n">
        <v>11.9</v>
      </c>
      <c r="U90" s="18" t="n">
        <v>39.1</v>
      </c>
      <c r="V90" s="18" t="n">
        <v>0</v>
      </c>
      <c r="W90" s="18" t="n">
        <v>0</v>
      </c>
      <c r="X90" s="18" t="n">
        <v>0</v>
      </c>
      <c r="Y90" s="18" t="n">
        <v>0</v>
      </c>
      <c r="Z90" s="18" t="s">
        <v>1000</v>
      </c>
      <c r="AA90" s="18" t="s">
        <v>699</v>
      </c>
      <c r="AB90" s="18" t="s">
        <v>98</v>
      </c>
      <c r="AC90" s="18"/>
      <c r="AD90" s="23" t="str">
        <f aca="false">IF(A90="","",IF(COUNTIF(Parcels!$A$2:$A$3000,B90)=0,"Parcel not found",IF(COUNTIF($A$2:$A$3000,A90)&gt;1,"Duplicate perm_id",IF(AND(I90="Yes",C90&lt;&gt;"",COUNTIFS($C$2:$C$3000,C90,$I$2:$I$3000,"Yes")&gt;1),"Reference counted twice",IF(COUNTIF(Lists!$A$2:$A$7,H90)=0,"Unknown status","")))))</f>
        <v/>
      </c>
    </row>
    <row r="91" customFormat="false" ht="15" hidden="false" customHeight="false" outlineLevel="0" collapsed="false">
      <c r="A91" s="18" t="s">
        <v>1174</v>
      </c>
      <c r="B91" s="18" t="s">
        <v>514</v>
      </c>
      <c r="C91" s="18" t="s">
        <v>1175</v>
      </c>
      <c r="D91" s="18" t="s">
        <v>1175</v>
      </c>
      <c r="E91" s="18" t="s">
        <v>1176</v>
      </c>
      <c r="F91" s="18" t="n">
        <v>14</v>
      </c>
      <c r="G91" s="18"/>
      <c r="H91" s="18" t="s">
        <v>688</v>
      </c>
      <c r="I91" s="18" t="s">
        <v>689</v>
      </c>
      <c r="J91" s="18" t="s">
        <v>712</v>
      </c>
      <c r="K91" s="18" t="s">
        <v>691</v>
      </c>
      <c r="L91" s="18" t="s">
        <v>105</v>
      </c>
      <c r="M91" s="18" t="s">
        <v>704</v>
      </c>
      <c r="N91" s="18" t="s">
        <v>1177</v>
      </c>
      <c r="O91" s="18" t="s">
        <v>1178</v>
      </c>
      <c r="P91" s="18"/>
      <c r="Q91" s="18" t="s">
        <v>695</v>
      </c>
      <c r="R91" s="18" t="s">
        <v>870</v>
      </c>
      <c r="S91" s="18" t="s">
        <v>697</v>
      </c>
      <c r="T91" s="18" t="n">
        <v>0</v>
      </c>
      <c r="U91" s="18" t="n">
        <v>0</v>
      </c>
      <c r="V91" s="18" t="n">
        <v>8.2</v>
      </c>
      <c r="W91" s="18" t="n">
        <v>5.8</v>
      </c>
      <c r="X91" s="18" t="n">
        <v>0</v>
      </c>
      <c r="Y91" s="18" t="n">
        <v>0</v>
      </c>
      <c r="Z91" s="18" t="s">
        <v>1000</v>
      </c>
      <c r="AA91" s="18" t="s">
        <v>699</v>
      </c>
      <c r="AB91" s="18" t="s">
        <v>98</v>
      </c>
      <c r="AC91" s="18"/>
      <c r="AD91" s="23" t="str">
        <f aca="false">IF(A91="","",IF(COUNTIF(Parcels!$A$2:$A$3000,B91)=0,"Parcel not found",IF(COUNTIF($A$2:$A$3000,A91)&gt;1,"Duplicate perm_id",IF(AND(I91="Yes",C91&lt;&gt;"",COUNTIFS($C$2:$C$3000,C91,$I$2:$I$3000,"Yes")&gt;1),"Reference counted twice",IF(COUNTIF(Lists!$A$2:$A$7,H91)=0,"Unknown status","")))))</f>
        <v/>
      </c>
    </row>
    <row r="92" customFormat="false" ht="15" hidden="false" customHeight="false" outlineLevel="0" collapsed="false">
      <c r="A92" s="18" t="s">
        <v>1179</v>
      </c>
      <c r="B92" s="18" t="s">
        <v>516</v>
      </c>
      <c r="C92" s="18" t="s">
        <v>1180</v>
      </c>
      <c r="D92" s="18" t="s">
        <v>1180</v>
      </c>
      <c r="E92" s="18" t="s">
        <v>351</v>
      </c>
      <c r="F92" s="18" t="n">
        <v>14</v>
      </c>
      <c r="G92" s="18"/>
      <c r="H92" s="18" t="s">
        <v>688</v>
      </c>
      <c r="I92" s="18" t="s">
        <v>689</v>
      </c>
      <c r="J92" s="18" t="s">
        <v>690</v>
      </c>
      <c r="K92" s="18" t="s">
        <v>691</v>
      </c>
      <c r="L92" s="18" t="s">
        <v>105</v>
      </c>
      <c r="M92" s="18" t="s">
        <v>704</v>
      </c>
      <c r="N92" s="18" t="s">
        <v>1181</v>
      </c>
      <c r="O92" s="18" t="s">
        <v>1182</v>
      </c>
      <c r="P92" s="18"/>
      <c r="Q92" s="18" t="s">
        <v>695</v>
      </c>
      <c r="R92" s="18" t="s">
        <v>870</v>
      </c>
      <c r="S92" s="18" t="s">
        <v>697</v>
      </c>
      <c r="T92" s="18" t="n">
        <v>0</v>
      </c>
      <c r="U92" s="18" t="n">
        <v>0</v>
      </c>
      <c r="V92" s="18" t="n">
        <v>8.2</v>
      </c>
      <c r="W92" s="18" t="n">
        <v>5.8</v>
      </c>
      <c r="X92" s="18" t="n">
        <v>0</v>
      </c>
      <c r="Y92" s="18" t="n">
        <v>0</v>
      </c>
      <c r="Z92" s="18" t="s">
        <v>1000</v>
      </c>
      <c r="AA92" s="18" t="s">
        <v>699</v>
      </c>
      <c r="AB92" s="18" t="s">
        <v>98</v>
      </c>
      <c r="AC92" s="18"/>
      <c r="AD92" s="23" t="str">
        <f aca="false">IF(A92="","",IF(COUNTIF(Parcels!$A$2:$A$3000,B92)=0,"Parcel not found",IF(COUNTIF($A$2:$A$3000,A92)&gt;1,"Duplicate perm_id",IF(AND(I92="Yes",C92&lt;&gt;"",COUNTIFS($C$2:$C$3000,C92,$I$2:$I$3000,"Yes")&gt;1),"Reference counted twice",IF(COUNTIF(Lists!$A$2:$A$7,H92)=0,"Unknown status","")))))</f>
        <v/>
      </c>
    </row>
    <row r="93" customFormat="false" ht="15" hidden="false" customHeight="false" outlineLevel="0" collapsed="false">
      <c r="A93" s="18" t="s">
        <v>1183</v>
      </c>
      <c r="B93" s="18" t="s">
        <v>518</v>
      </c>
      <c r="C93" s="18" t="s">
        <v>1184</v>
      </c>
      <c r="D93" s="18" t="s">
        <v>1184</v>
      </c>
      <c r="E93" s="18" t="s">
        <v>519</v>
      </c>
      <c r="F93" s="18" t="n">
        <v>9</v>
      </c>
      <c r="G93" s="18"/>
      <c r="H93" s="18" t="s">
        <v>711</v>
      </c>
      <c r="I93" s="18" t="s">
        <v>689</v>
      </c>
      <c r="J93" s="18" t="s">
        <v>712</v>
      </c>
      <c r="K93" s="18" t="s">
        <v>691</v>
      </c>
      <c r="L93" s="18" t="s">
        <v>105</v>
      </c>
      <c r="M93" s="18" t="s">
        <v>704</v>
      </c>
      <c r="N93" s="18" t="s">
        <v>1185</v>
      </c>
      <c r="O93" s="18" t="s">
        <v>1186</v>
      </c>
      <c r="P93" s="18" t="s">
        <v>1187</v>
      </c>
      <c r="Q93" s="18" t="s">
        <v>1188</v>
      </c>
      <c r="R93" s="18" t="s">
        <v>719</v>
      </c>
      <c r="S93" s="18" t="s">
        <v>720</v>
      </c>
      <c r="T93" s="18" t="n">
        <v>2.1</v>
      </c>
      <c r="U93" s="18" t="n">
        <v>6.9</v>
      </c>
      <c r="V93" s="18" t="n">
        <v>0</v>
      </c>
      <c r="W93" s="18" t="n">
        <v>0</v>
      </c>
      <c r="X93" s="18" t="n">
        <v>0</v>
      </c>
      <c r="Y93" s="18" t="n">
        <v>0</v>
      </c>
      <c r="Z93" s="18" t="s">
        <v>1000</v>
      </c>
      <c r="AA93" s="18" t="s">
        <v>699</v>
      </c>
      <c r="AB93" s="18" t="s">
        <v>98</v>
      </c>
      <c r="AC93" s="18"/>
      <c r="AD93" s="23" t="str">
        <f aca="false">IF(A93="","",IF(COUNTIF(Parcels!$A$2:$A$3000,B93)=0,"Parcel not found",IF(COUNTIF($A$2:$A$3000,A93)&gt;1,"Duplicate perm_id",IF(AND(I93="Yes",C93&lt;&gt;"",COUNTIFS($C$2:$C$3000,C93,$I$2:$I$3000,"Yes")&gt;1),"Reference counted twice",IF(COUNTIF(Lists!$A$2:$A$7,H93)=0,"Unknown status","")))))</f>
        <v/>
      </c>
    </row>
    <row r="94" customFormat="false" ht="15" hidden="false" customHeight="false" outlineLevel="0" collapsed="false">
      <c r="A94" s="18" t="s">
        <v>1189</v>
      </c>
      <c r="B94" s="18" t="s">
        <v>520</v>
      </c>
      <c r="C94" s="18" t="s">
        <v>1190</v>
      </c>
      <c r="D94" s="18" t="s">
        <v>1190</v>
      </c>
      <c r="E94" s="18" t="s">
        <v>521</v>
      </c>
      <c r="F94" s="18" t="n">
        <v>4</v>
      </c>
      <c r="G94" s="18"/>
      <c r="H94" s="18" t="s">
        <v>711</v>
      </c>
      <c r="I94" s="18" t="s">
        <v>689</v>
      </c>
      <c r="J94" s="18" t="s">
        <v>812</v>
      </c>
      <c r="K94" s="18" t="s">
        <v>691</v>
      </c>
      <c r="L94" s="18" t="s">
        <v>105</v>
      </c>
      <c r="M94" s="18" t="s">
        <v>704</v>
      </c>
      <c r="N94" s="18" t="s">
        <v>1191</v>
      </c>
      <c r="O94" s="18" t="s">
        <v>1192</v>
      </c>
      <c r="P94" s="18" t="s">
        <v>1193</v>
      </c>
      <c r="Q94" s="18" t="s">
        <v>1194</v>
      </c>
      <c r="R94" s="18" t="s">
        <v>719</v>
      </c>
      <c r="S94" s="18" t="s">
        <v>720</v>
      </c>
      <c r="T94" s="18" t="n">
        <v>0.9</v>
      </c>
      <c r="U94" s="18" t="n">
        <v>3.1</v>
      </c>
      <c r="V94" s="18" t="n">
        <v>0</v>
      </c>
      <c r="W94" s="18" t="n">
        <v>0</v>
      </c>
      <c r="X94" s="18" t="n">
        <v>0</v>
      </c>
      <c r="Y94" s="18" t="n">
        <v>0</v>
      </c>
      <c r="Z94" s="18" t="s">
        <v>1000</v>
      </c>
      <c r="AA94" s="18" t="s">
        <v>699</v>
      </c>
      <c r="AB94" s="18" t="s">
        <v>98</v>
      </c>
      <c r="AC94" s="18"/>
      <c r="AD94" s="23" t="str">
        <f aca="false">IF(A94="","",IF(COUNTIF(Parcels!$A$2:$A$3000,B94)=0,"Parcel not found",IF(COUNTIF($A$2:$A$3000,A94)&gt;1,"Duplicate perm_id",IF(AND(I94="Yes",C94&lt;&gt;"",COUNTIFS($C$2:$C$3000,C94,$I$2:$I$3000,"Yes")&gt;1),"Reference counted twice",IF(COUNTIF(Lists!$A$2:$A$7,H94)=0,"Unknown status","")))))</f>
        <v/>
      </c>
    </row>
    <row r="95" customFormat="false" ht="15" hidden="false" customHeight="false" outlineLevel="0" collapsed="false">
      <c r="A95" s="18" t="s">
        <v>1195</v>
      </c>
      <c r="B95" s="18" t="s">
        <v>326</v>
      </c>
      <c r="C95" s="18" t="s">
        <v>1196</v>
      </c>
      <c r="D95" s="18" t="s">
        <v>1196</v>
      </c>
      <c r="E95" s="18" t="s">
        <v>327</v>
      </c>
      <c r="F95" s="18" t="n">
        <v>12</v>
      </c>
      <c r="G95" s="18"/>
      <c r="H95" s="18" t="s">
        <v>703</v>
      </c>
      <c r="I95" s="18" t="s">
        <v>689</v>
      </c>
      <c r="J95" s="18" t="s">
        <v>812</v>
      </c>
      <c r="K95" s="18" t="s">
        <v>691</v>
      </c>
      <c r="L95" s="18" t="s">
        <v>105</v>
      </c>
      <c r="M95" s="18" t="s">
        <v>704</v>
      </c>
      <c r="N95" s="18" t="s">
        <v>1197</v>
      </c>
      <c r="O95" s="18" t="s">
        <v>1198</v>
      </c>
      <c r="P95" s="18"/>
      <c r="Q95" s="18"/>
      <c r="R95" s="18"/>
      <c r="S95" s="18" t="s">
        <v>707</v>
      </c>
      <c r="T95" s="18" t="n">
        <v>0</v>
      </c>
      <c r="U95" s="18" t="n">
        <v>0</v>
      </c>
      <c r="V95" s="18" t="n">
        <v>0</v>
      </c>
      <c r="W95" s="18" t="n">
        <v>0</v>
      </c>
      <c r="X95" s="18" t="n">
        <v>0</v>
      </c>
      <c r="Y95" s="18" t="n">
        <v>0</v>
      </c>
      <c r="Z95" s="18" t="s">
        <v>1000</v>
      </c>
      <c r="AA95" s="18" t="s">
        <v>699</v>
      </c>
      <c r="AB95" s="18" t="s">
        <v>98</v>
      </c>
      <c r="AC95" s="18"/>
      <c r="AD95" s="23" t="str">
        <f aca="false">IF(A95="","",IF(COUNTIF(Parcels!$A$2:$A$3000,B95)=0,"Parcel not found",IF(COUNTIF($A$2:$A$3000,A95)&gt;1,"Duplicate perm_id",IF(AND(I95="Yes",C95&lt;&gt;"",COUNTIFS($C$2:$C$3000,C95,$I$2:$I$3000,"Yes")&gt;1),"Reference counted twice",IF(COUNTIF(Lists!$A$2:$A$7,H95)=0,"Unknown status","")))))</f>
        <v/>
      </c>
    </row>
    <row r="96" customFormat="false" ht="15" hidden="false" customHeight="false" outlineLevel="0" collapsed="false">
      <c r="A96" s="18" t="s">
        <v>1199</v>
      </c>
      <c r="B96" s="18" t="s">
        <v>356</v>
      </c>
      <c r="C96" s="18" t="s">
        <v>1200</v>
      </c>
      <c r="D96" s="18" t="s">
        <v>1200</v>
      </c>
      <c r="E96" s="18" t="s">
        <v>357</v>
      </c>
      <c r="F96" s="18" t="n">
        <v>5</v>
      </c>
      <c r="G96" s="18"/>
      <c r="H96" s="18" t="s">
        <v>711</v>
      </c>
      <c r="I96" s="18" t="s">
        <v>689</v>
      </c>
      <c r="J96" s="18" t="s">
        <v>690</v>
      </c>
      <c r="K96" s="18" t="s">
        <v>713</v>
      </c>
      <c r="L96" s="18" t="s">
        <v>743</v>
      </c>
      <c r="M96" s="18" t="s">
        <v>704</v>
      </c>
      <c r="N96" s="18" t="s">
        <v>1201</v>
      </c>
      <c r="O96" s="18" t="s">
        <v>1202</v>
      </c>
      <c r="P96" s="18" t="s">
        <v>1203</v>
      </c>
      <c r="Q96" s="18" t="s">
        <v>1204</v>
      </c>
      <c r="R96" s="18" t="s">
        <v>719</v>
      </c>
      <c r="S96" s="18" t="s">
        <v>720</v>
      </c>
      <c r="T96" s="18" t="n">
        <v>1.2</v>
      </c>
      <c r="U96" s="18" t="n">
        <v>3.8</v>
      </c>
      <c r="V96" s="18" t="n">
        <v>0</v>
      </c>
      <c r="W96" s="18" t="n">
        <v>0</v>
      </c>
      <c r="X96" s="18" t="n">
        <v>0</v>
      </c>
      <c r="Y96" s="18" t="n">
        <v>0</v>
      </c>
      <c r="Z96" s="18" t="s">
        <v>1000</v>
      </c>
      <c r="AA96" s="18" t="s">
        <v>699</v>
      </c>
      <c r="AB96" s="18" t="s">
        <v>98</v>
      </c>
      <c r="AC96" s="18"/>
      <c r="AD96" s="23" t="str">
        <f aca="false">IF(A96="","",IF(COUNTIF(Parcels!$A$2:$A$3000,B96)=0,"Parcel not found",IF(COUNTIF($A$2:$A$3000,A96)&gt;1,"Duplicate perm_id",IF(AND(I96="Yes",C96&lt;&gt;"",COUNTIFS($C$2:$C$3000,C96,$I$2:$I$3000,"Yes")&gt;1),"Reference counted twice",IF(COUNTIF(Lists!$A$2:$A$7,H96)=0,"Unknown status","")))))</f>
        <v/>
      </c>
    </row>
    <row r="97" customFormat="false" ht="15" hidden="false" customHeight="false" outlineLevel="0" collapsed="false">
      <c r="A97" s="18" t="s">
        <v>1205</v>
      </c>
      <c r="B97" s="18" t="s">
        <v>296</v>
      </c>
      <c r="C97" s="18" t="s">
        <v>1206</v>
      </c>
      <c r="D97" s="18" t="s">
        <v>1206</v>
      </c>
      <c r="E97" s="18" t="s">
        <v>297</v>
      </c>
      <c r="F97" s="18" t="n">
        <v>27</v>
      </c>
      <c r="G97" s="18"/>
      <c r="H97" s="18" t="s">
        <v>711</v>
      </c>
      <c r="I97" s="18" t="s">
        <v>689</v>
      </c>
      <c r="J97" s="18" t="s">
        <v>690</v>
      </c>
      <c r="K97" s="18" t="s">
        <v>713</v>
      </c>
      <c r="L97" s="18" t="s">
        <v>714</v>
      </c>
      <c r="M97" s="18" t="s">
        <v>715</v>
      </c>
      <c r="N97" s="18" t="s">
        <v>1207</v>
      </c>
      <c r="O97" s="18"/>
      <c r="P97" s="18" t="s">
        <v>1208</v>
      </c>
      <c r="Q97" s="18" t="s">
        <v>1209</v>
      </c>
      <c r="R97" s="18" t="s">
        <v>719</v>
      </c>
      <c r="S97" s="18" t="s">
        <v>720</v>
      </c>
      <c r="T97" s="18" t="n">
        <v>6.3</v>
      </c>
      <c r="U97" s="18" t="n">
        <v>20.7</v>
      </c>
      <c r="V97" s="18" t="n">
        <v>0</v>
      </c>
      <c r="W97" s="18" t="n">
        <v>0</v>
      </c>
      <c r="X97" s="18" t="n">
        <v>0</v>
      </c>
      <c r="Y97" s="18" t="n">
        <v>0</v>
      </c>
      <c r="Z97" s="18" t="s">
        <v>1000</v>
      </c>
      <c r="AA97" s="18" t="s">
        <v>699</v>
      </c>
      <c r="AB97" s="18" t="s">
        <v>98</v>
      </c>
      <c r="AC97" s="18"/>
      <c r="AD97" s="23" t="str">
        <f aca="false">IF(A97="","",IF(COUNTIF(Parcels!$A$2:$A$3000,B97)=0,"Parcel not found",IF(COUNTIF($A$2:$A$3000,A97)&gt;1,"Duplicate perm_id",IF(AND(I97="Yes",C97&lt;&gt;"",COUNTIFS($C$2:$C$3000,C97,$I$2:$I$3000,"Yes")&gt;1),"Reference counted twice",IF(COUNTIF(Lists!$A$2:$A$7,H97)=0,"Unknown status","")))))</f>
        <v/>
      </c>
    </row>
    <row r="98" customFormat="false" ht="15" hidden="false" customHeight="false" outlineLevel="0" collapsed="false">
      <c r="A98" s="18" t="s">
        <v>1210</v>
      </c>
      <c r="B98" s="18" t="s">
        <v>522</v>
      </c>
      <c r="C98" s="18" t="s">
        <v>1211</v>
      </c>
      <c r="D98" s="18" t="s">
        <v>1211</v>
      </c>
      <c r="E98" s="18" t="s">
        <v>523</v>
      </c>
      <c r="F98" s="18" t="n">
        <v>16</v>
      </c>
      <c r="G98" s="18"/>
      <c r="H98" s="18" t="s">
        <v>728</v>
      </c>
      <c r="I98" s="18" t="s">
        <v>689</v>
      </c>
      <c r="J98" s="18" t="s">
        <v>690</v>
      </c>
      <c r="K98" s="18" t="s">
        <v>713</v>
      </c>
      <c r="L98" s="18" t="s">
        <v>743</v>
      </c>
      <c r="M98" s="18" t="s">
        <v>715</v>
      </c>
      <c r="N98" s="18" t="s">
        <v>1212</v>
      </c>
      <c r="O98" s="18"/>
      <c r="P98" s="18" t="s">
        <v>1213</v>
      </c>
      <c r="Q98" s="18"/>
      <c r="R98" s="18"/>
      <c r="S98" s="18" t="s">
        <v>731</v>
      </c>
      <c r="T98" s="18" t="n">
        <v>0</v>
      </c>
      <c r="U98" s="18" t="n">
        <v>0</v>
      </c>
      <c r="V98" s="18" t="n">
        <v>0</v>
      </c>
      <c r="W98" s="18" t="n">
        <v>0</v>
      </c>
      <c r="X98" s="18" t="n">
        <v>0</v>
      </c>
      <c r="Y98" s="18" t="n">
        <v>0</v>
      </c>
      <c r="Z98" s="18" t="s">
        <v>1000</v>
      </c>
      <c r="AA98" s="18" t="s">
        <v>699</v>
      </c>
      <c r="AB98" s="18" t="s">
        <v>98</v>
      </c>
      <c r="AC98" s="18"/>
      <c r="AD98" s="23" t="str">
        <f aca="false">IF(A98="","",IF(COUNTIF(Parcels!$A$2:$A$3000,B98)=0,"Parcel not found",IF(COUNTIF($A$2:$A$3000,A98)&gt;1,"Duplicate perm_id",IF(AND(I98="Yes",C98&lt;&gt;"",COUNTIFS($C$2:$C$3000,C98,$I$2:$I$3000,"Yes")&gt;1),"Reference counted twice",IF(COUNTIF(Lists!$A$2:$A$7,H98)=0,"Unknown status","")))))</f>
        <v/>
      </c>
    </row>
    <row r="99" customFormat="false" ht="15" hidden="false" customHeight="false" outlineLevel="0" collapsed="false">
      <c r="A99" s="18" t="s">
        <v>1214</v>
      </c>
      <c r="B99" s="18" t="s">
        <v>524</v>
      </c>
      <c r="C99" s="18" t="s">
        <v>1215</v>
      </c>
      <c r="D99" s="18" t="s">
        <v>1215</v>
      </c>
      <c r="E99" s="18" t="s">
        <v>301</v>
      </c>
      <c r="F99" s="18" t="n">
        <v>12</v>
      </c>
      <c r="G99" s="18"/>
      <c r="H99" s="18" t="s">
        <v>728</v>
      </c>
      <c r="I99" s="18" t="s">
        <v>689</v>
      </c>
      <c r="J99" s="18" t="s">
        <v>690</v>
      </c>
      <c r="K99" s="18" t="s">
        <v>713</v>
      </c>
      <c r="L99" s="18" t="s">
        <v>714</v>
      </c>
      <c r="M99" s="18" t="s">
        <v>715</v>
      </c>
      <c r="N99" s="18" t="s">
        <v>1216</v>
      </c>
      <c r="O99" s="18"/>
      <c r="P99" s="18" t="s">
        <v>1217</v>
      </c>
      <c r="Q99" s="18"/>
      <c r="R99" s="18"/>
      <c r="S99" s="18" t="s">
        <v>731</v>
      </c>
      <c r="T99" s="18" t="n">
        <v>0</v>
      </c>
      <c r="U99" s="18" t="n">
        <v>0</v>
      </c>
      <c r="V99" s="18" t="n">
        <v>0</v>
      </c>
      <c r="W99" s="18" t="n">
        <v>0</v>
      </c>
      <c r="X99" s="18" t="n">
        <v>0</v>
      </c>
      <c r="Y99" s="18" t="n">
        <v>0</v>
      </c>
      <c r="Z99" s="18" t="s">
        <v>1000</v>
      </c>
      <c r="AA99" s="18" t="s">
        <v>699</v>
      </c>
      <c r="AB99" s="18" t="s">
        <v>98</v>
      </c>
      <c r="AC99" s="18"/>
      <c r="AD99" s="23" t="str">
        <f aca="false">IF(A99="","",IF(COUNTIF(Parcels!$A$2:$A$3000,B99)=0,"Parcel not found",IF(COUNTIF($A$2:$A$3000,A99)&gt;1,"Duplicate perm_id",IF(AND(I99="Yes",C99&lt;&gt;"",COUNTIFS($C$2:$C$3000,C99,$I$2:$I$3000,"Yes")&gt;1),"Reference counted twice",IF(COUNTIF(Lists!$A$2:$A$7,H99)=0,"Unknown status","")))))</f>
        <v/>
      </c>
    </row>
    <row r="100" customFormat="false" ht="15" hidden="false" customHeight="false" outlineLevel="0" collapsed="false">
      <c r="A100" s="18" t="s">
        <v>1218</v>
      </c>
      <c r="B100" s="18" t="s">
        <v>524</v>
      </c>
      <c r="C100" s="18" t="s">
        <v>1219</v>
      </c>
      <c r="D100" s="18" t="s">
        <v>1219</v>
      </c>
      <c r="E100" s="18" t="s">
        <v>1220</v>
      </c>
      <c r="F100" s="18" t="n">
        <v>5</v>
      </c>
      <c r="G100" s="18"/>
      <c r="H100" s="18" t="s">
        <v>711</v>
      </c>
      <c r="I100" s="18" t="s">
        <v>689</v>
      </c>
      <c r="J100" s="18" t="s">
        <v>712</v>
      </c>
      <c r="K100" s="18" t="s">
        <v>691</v>
      </c>
      <c r="L100" s="18" t="s">
        <v>105</v>
      </c>
      <c r="M100" s="18" t="s">
        <v>704</v>
      </c>
      <c r="N100" s="18" t="s">
        <v>1221</v>
      </c>
      <c r="O100" s="18" t="s">
        <v>1222</v>
      </c>
      <c r="P100" s="18" t="s">
        <v>1223</v>
      </c>
      <c r="Q100" s="18" t="s">
        <v>1224</v>
      </c>
      <c r="R100" s="18" t="s">
        <v>719</v>
      </c>
      <c r="S100" s="18" t="s">
        <v>720</v>
      </c>
      <c r="T100" s="18" t="n">
        <v>1.2</v>
      </c>
      <c r="U100" s="18" t="n">
        <v>3.8</v>
      </c>
      <c r="V100" s="18" t="n">
        <v>0</v>
      </c>
      <c r="W100" s="18" t="n">
        <v>0</v>
      </c>
      <c r="X100" s="18" t="n">
        <v>0</v>
      </c>
      <c r="Y100" s="18" t="n">
        <v>0</v>
      </c>
      <c r="Z100" s="18" t="s">
        <v>1000</v>
      </c>
      <c r="AA100" s="18" t="s">
        <v>699</v>
      </c>
      <c r="AB100" s="18" t="s">
        <v>98</v>
      </c>
      <c r="AC100" s="18"/>
      <c r="AD100" s="23" t="str">
        <f aca="false">IF(A100="","",IF(COUNTIF(Parcels!$A$2:$A$3000,B100)=0,"Parcel not found",IF(COUNTIF($A$2:$A$3000,A100)&gt;1,"Duplicate perm_id",IF(AND(I100="Yes",C100&lt;&gt;"",COUNTIFS($C$2:$C$3000,C100,$I$2:$I$3000,"Yes")&gt;1),"Reference counted twice",IF(COUNTIF(Lists!$A$2:$A$7,H100)=0,"Unknown status","")))))</f>
        <v/>
      </c>
    </row>
    <row r="101" customFormat="false" ht="15" hidden="false" customHeight="false" outlineLevel="0" collapsed="false">
      <c r="A101" s="18" t="s">
        <v>1225</v>
      </c>
      <c r="B101" s="18" t="s">
        <v>358</v>
      </c>
      <c r="C101" s="18" t="s">
        <v>1226</v>
      </c>
      <c r="D101" s="18" t="s">
        <v>1226</v>
      </c>
      <c r="E101" s="18" t="s">
        <v>359</v>
      </c>
      <c r="F101" s="18" t="n">
        <v>3</v>
      </c>
      <c r="G101" s="18"/>
      <c r="H101" s="18" t="s">
        <v>711</v>
      </c>
      <c r="I101" s="18" t="s">
        <v>689</v>
      </c>
      <c r="J101" s="18" t="s">
        <v>690</v>
      </c>
      <c r="K101" s="18" t="s">
        <v>713</v>
      </c>
      <c r="L101" s="18" t="s">
        <v>714</v>
      </c>
      <c r="M101" s="18" t="s">
        <v>715</v>
      </c>
      <c r="N101" s="18" t="s">
        <v>1227</v>
      </c>
      <c r="O101" s="18"/>
      <c r="P101" s="18" t="s">
        <v>1228</v>
      </c>
      <c r="Q101" s="18" t="s">
        <v>1229</v>
      </c>
      <c r="R101" s="18" t="s">
        <v>719</v>
      </c>
      <c r="S101" s="18" t="s">
        <v>720</v>
      </c>
      <c r="T101" s="18" t="n">
        <v>0.7</v>
      </c>
      <c r="U101" s="18" t="n">
        <v>2.3</v>
      </c>
      <c r="V101" s="18" t="n">
        <v>0</v>
      </c>
      <c r="W101" s="18" t="n">
        <v>0</v>
      </c>
      <c r="X101" s="18" t="n">
        <v>0</v>
      </c>
      <c r="Y101" s="18" t="n">
        <v>0</v>
      </c>
      <c r="Z101" s="18" t="s">
        <v>1000</v>
      </c>
      <c r="AA101" s="18" t="s">
        <v>1007</v>
      </c>
      <c r="AB101" s="18" t="s">
        <v>98</v>
      </c>
      <c r="AC101" s="18"/>
      <c r="AD101" s="23" t="str">
        <f aca="false">IF(A101="","",IF(COUNTIF(Parcels!$A$2:$A$3000,B101)=0,"Parcel not found",IF(COUNTIF($A$2:$A$3000,A101)&gt;1,"Duplicate perm_id",IF(AND(I101="Yes",C101&lt;&gt;"",COUNTIFS($C$2:$C$3000,C101,$I$2:$I$3000,"Yes")&gt;1),"Reference counted twice",IF(COUNTIF(Lists!$A$2:$A$7,H101)=0,"Unknown status","")))))</f>
        <v/>
      </c>
    </row>
    <row r="102" customFormat="false" ht="15" hidden="false" customHeight="false" outlineLevel="0" collapsed="false">
      <c r="A102" s="18" t="s">
        <v>1230</v>
      </c>
      <c r="B102" s="18" t="s">
        <v>525</v>
      </c>
      <c r="C102" s="18" t="s">
        <v>1231</v>
      </c>
      <c r="D102" s="18" t="s">
        <v>1231</v>
      </c>
      <c r="E102" s="18" t="s">
        <v>526</v>
      </c>
      <c r="F102" s="18" t="n">
        <v>12</v>
      </c>
      <c r="G102" s="18"/>
      <c r="H102" s="18" t="s">
        <v>688</v>
      </c>
      <c r="I102" s="18" t="s">
        <v>689</v>
      </c>
      <c r="J102" s="18" t="s">
        <v>690</v>
      </c>
      <c r="K102" s="18" t="s">
        <v>713</v>
      </c>
      <c r="L102" s="18" t="s">
        <v>714</v>
      </c>
      <c r="M102" s="18" t="s">
        <v>715</v>
      </c>
      <c r="N102" s="18" t="s">
        <v>1227</v>
      </c>
      <c r="O102" s="18"/>
      <c r="P102" s="18"/>
      <c r="Q102" s="18" t="s">
        <v>695</v>
      </c>
      <c r="R102" s="18" t="s">
        <v>870</v>
      </c>
      <c r="S102" s="18" t="s">
        <v>697</v>
      </c>
      <c r="T102" s="18" t="n">
        <v>0</v>
      </c>
      <c r="U102" s="18" t="n">
        <v>0</v>
      </c>
      <c r="V102" s="18" t="n">
        <v>7</v>
      </c>
      <c r="W102" s="18" t="n">
        <v>5</v>
      </c>
      <c r="X102" s="18" t="n">
        <v>0</v>
      </c>
      <c r="Y102" s="18" t="n">
        <v>0</v>
      </c>
      <c r="Z102" s="18" t="s">
        <v>1000</v>
      </c>
      <c r="AA102" s="18" t="s">
        <v>699</v>
      </c>
      <c r="AB102" s="18" t="s">
        <v>98</v>
      </c>
      <c r="AC102" s="18"/>
      <c r="AD102" s="23" t="str">
        <f aca="false">IF(A102="","",IF(COUNTIF(Parcels!$A$2:$A$3000,B102)=0,"Parcel not found",IF(COUNTIF($A$2:$A$3000,A102)&gt;1,"Duplicate perm_id",IF(AND(I102="Yes",C102&lt;&gt;"",COUNTIFS($C$2:$C$3000,C102,$I$2:$I$3000,"Yes")&gt;1),"Reference counted twice",IF(COUNTIF(Lists!$A$2:$A$7,H102)=0,"Unknown status","")))))</f>
        <v/>
      </c>
    </row>
    <row r="103" customFormat="false" ht="15" hidden="false" customHeight="false" outlineLevel="0" collapsed="false">
      <c r="A103" s="18" t="s">
        <v>1232</v>
      </c>
      <c r="B103" s="18" t="s">
        <v>527</v>
      </c>
      <c r="C103" s="18" t="s">
        <v>1233</v>
      </c>
      <c r="D103" s="18" t="s">
        <v>1233</v>
      </c>
      <c r="E103" s="18" t="s">
        <v>528</v>
      </c>
      <c r="F103" s="18" t="n">
        <v>31</v>
      </c>
      <c r="G103" s="18"/>
      <c r="H103" s="18" t="s">
        <v>688</v>
      </c>
      <c r="I103" s="18" t="s">
        <v>689</v>
      </c>
      <c r="J103" s="18" t="s">
        <v>690</v>
      </c>
      <c r="K103" s="18" t="s">
        <v>989</v>
      </c>
      <c r="L103" s="18" t="s">
        <v>714</v>
      </c>
      <c r="M103" s="18" t="s">
        <v>715</v>
      </c>
      <c r="N103" s="18" t="s">
        <v>1234</v>
      </c>
      <c r="O103" s="18"/>
      <c r="P103" s="18"/>
      <c r="Q103" s="18" t="s">
        <v>695</v>
      </c>
      <c r="R103" s="18" t="s">
        <v>738</v>
      </c>
      <c r="S103" s="18" t="s">
        <v>697</v>
      </c>
      <c r="T103" s="18" t="n">
        <v>0</v>
      </c>
      <c r="U103" s="18" t="n">
        <v>0</v>
      </c>
      <c r="V103" s="18" t="n">
        <v>23.6</v>
      </c>
      <c r="W103" s="18" t="n">
        <v>7.4</v>
      </c>
      <c r="X103" s="18" t="n">
        <v>0</v>
      </c>
      <c r="Y103" s="18" t="n">
        <v>0</v>
      </c>
      <c r="Z103" s="18" t="s">
        <v>1000</v>
      </c>
      <c r="AA103" s="18" t="s">
        <v>699</v>
      </c>
      <c r="AB103" s="18" t="s">
        <v>98</v>
      </c>
      <c r="AC103" s="18"/>
      <c r="AD103" s="23" t="str">
        <f aca="false">IF(A103="","",IF(COUNTIF(Parcels!$A$2:$A$3000,B103)=0,"Parcel not found",IF(COUNTIF($A$2:$A$3000,A103)&gt;1,"Duplicate perm_id",IF(AND(I103="Yes",C103&lt;&gt;"",COUNTIFS($C$2:$C$3000,C103,$I$2:$I$3000,"Yes")&gt;1),"Reference counted twice",IF(COUNTIF(Lists!$A$2:$A$7,H103)=0,"Unknown status","")))))</f>
        <v/>
      </c>
    </row>
    <row r="104" customFormat="false" ht="15" hidden="false" customHeight="false" outlineLevel="0" collapsed="false">
      <c r="A104" s="18" t="s">
        <v>1235</v>
      </c>
      <c r="B104" s="18" t="s">
        <v>360</v>
      </c>
      <c r="C104" s="18" t="s">
        <v>1236</v>
      </c>
      <c r="D104" s="18" t="s">
        <v>1236</v>
      </c>
      <c r="E104" s="18" t="s">
        <v>361</v>
      </c>
      <c r="F104" s="18" t="n">
        <v>2</v>
      </c>
      <c r="G104" s="18"/>
      <c r="H104" s="18" t="s">
        <v>711</v>
      </c>
      <c r="I104" s="18" t="s">
        <v>689</v>
      </c>
      <c r="J104" s="18" t="s">
        <v>690</v>
      </c>
      <c r="K104" s="18" t="s">
        <v>691</v>
      </c>
      <c r="L104" s="18" t="s">
        <v>105</v>
      </c>
      <c r="M104" s="18" t="s">
        <v>704</v>
      </c>
      <c r="N104" s="18" t="s">
        <v>1237</v>
      </c>
      <c r="O104" s="18" t="s">
        <v>1238</v>
      </c>
      <c r="P104" s="18" t="s">
        <v>931</v>
      </c>
      <c r="Q104" s="18" t="s">
        <v>758</v>
      </c>
      <c r="R104" s="18" t="s">
        <v>719</v>
      </c>
      <c r="S104" s="18" t="s">
        <v>720</v>
      </c>
      <c r="T104" s="18" t="n">
        <v>0.5</v>
      </c>
      <c r="U104" s="18" t="n">
        <v>1.5</v>
      </c>
      <c r="V104" s="18" t="n">
        <v>0</v>
      </c>
      <c r="W104" s="18" t="n">
        <v>0</v>
      </c>
      <c r="X104" s="18" t="n">
        <v>0</v>
      </c>
      <c r="Y104" s="18" t="n">
        <v>0</v>
      </c>
      <c r="Z104" s="18" t="s">
        <v>1000</v>
      </c>
      <c r="AA104" s="18" t="s">
        <v>699</v>
      </c>
      <c r="AB104" s="18" t="s">
        <v>98</v>
      </c>
      <c r="AC104" s="18"/>
      <c r="AD104" s="23" t="str">
        <f aca="false">IF(A104="","",IF(COUNTIF(Parcels!$A$2:$A$3000,B104)=0,"Parcel not found",IF(COUNTIF($A$2:$A$3000,A104)&gt;1,"Duplicate perm_id",IF(AND(I104="Yes",C104&lt;&gt;"",COUNTIFS($C$2:$C$3000,C104,$I$2:$I$3000,"Yes")&gt;1),"Reference counted twice",IF(COUNTIF(Lists!$A$2:$A$7,H104)=0,"Unknown status","")))))</f>
        <v/>
      </c>
    </row>
    <row r="105" customFormat="false" ht="15" hidden="false" customHeight="false" outlineLevel="0" collapsed="false">
      <c r="A105" s="18" t="s">
        <v>1239</v>
      </c>
      <c r="B105" s="18" t="s">
        <v>529</v>
      </c>
      <c r="C105" s="18" t="s">
        <v>1240</v>
      </c>
      <c r="D105" s="18" t="s">
        <v>1240</v>
      </c>
      <c r="E105" s="18" t="s">
        <v>530</v>
      </c>
      <c r="F105" s="18" t="n">
        <v>10</v>
      </c>
      <c r="G105" s="18"/>
      <c r="H105" s="18" t="s">
        <v>711</v>
      </c>
      <c r="I105" s="18" t="s">
        <v>689</v>
      </c>
      <c r="J105" s="18" t="s">
        <v>690</v>
      </c>
      <c r="K105" s="18" t="s">
        <v>691</v>
      </c>
      <c r="L105" s="18" t="s">
        <v>105</v>
      </c>
      <c r="M105" s="18" t="s">
        <v>704</v>
      </c>
      <c r="N105" s="18" t="s">
        <v>1241</v>
      </c>
      <c r="O105" s="18" t="s">
        <v>1242</v>
      </c>
      <c r="P105" s="18" t="s">
        <v>1243</v>
      </c>
      <c r="Q105" s="18" t="s">
        <v>765</v>
      </c>
      <c r="R105" s="18" t="s">
        <v>719</v>
      </c>
      <c r="S105" s="18" t="s">
        <v>720</v>
      </c>
      <c r="T105" s="18" t="n">
        <v>2.3</v>
      </c>
      <c r="U105" s="18" t="n">
        <v>7.7</v>
      </c>
      <c r="V105" s="18" t="n">
        <v>0</v>
      </c>
      <c r="W105" s="18" t="n">
        <v>0</v>
      </c>
      <c r="X105" s="18" t="n">
        <v>0</v>
      </c>
      <c r="Y105" s="18" t="n">
        <v>0</v>
      </c>
      <c r="Z105" s="18" t="s">
        <v>1000</v>
      </c>
      <c r="AA105" s="18" t="s">
        <v>699</v>
      </c>
      <c r="AB105" s="18" t="s">
        <v>98</v>
      </c>
      <c r="AC105" s="18"/>
      <c r="AD105" s="23" t="str">
        <f aca="false">IF(A105="","",IF(COUNTIF(Parcels!$A$2:$A$3000,B105)=0,"Parcel not found",IF(COUNTIF($A$2:$A$3000,A105)&gt;1,"Duplicate perm_id",IF(AND(I105="Yes",C105&lt;&gt;"",COUNTIFS($C$2:$C$3000,C105,$I$2:$I$3000,"Yes")&gt;1),"Reference counted twice",IF(COUNTIF(Lists!$A$2:$A$7,H105)=0,"Unknown status","")))))</f>
        <v/>
      </c>
    </row>
    <row r="106" customFormat="false" ht="15" hidden="false" customHeight="false" outlineLevel="0" collapsed="false">
      <c r="A106" s="18" t="s">
        <v>1244</v>
      </c>
      <c r="B106" s="18" t="s">
        <v>298</v>
      </c>
      <c r="C106" s="18" t="s">
        <v>1245</v>
      </c>
      <c r="D106" s="18" t="s">
        <v>1245</v>
      </c>
      <c r="E106" s="18" t="s">
        <v>299</v>
      </c>
      <c r="F106" s="18" t="n">
        <v>92</v>
      </c>
      <c r="G106" s="18"/>
      <c r="H106" s="18" t="s">
        <v>711</v>
      </c>
      <c r="I106" s="18" t="s">
        <v>689</v>
      </c>
      <c r="J106" s="18" t="s">
        <v>690</v>
      </c>
      <c r="K106" s="18" t="s">
        <v>691</v>
      </c>
      <c r="L106" s="18" t="s">
        <v>105</v>
      </c>
      <c r="M106" s="18" t="s">
        <v>704</v>
      </c>
      <c r="N106" s="18" t="s">
        <v>1246</v>
      </c>
      <c r="O106" s="18" t="s">
        <v>1247</v>
      </c>
      <c r="P106" s="18" t="s">
        <v>1248</v>
      </c>
      <c r="Q106" s="18" t="s">
        <v>1249</v>
      </c>
      <c r="R106" s="18" t="s">
        <v>719</v>
      </c>
      <c r="S106" s="18" t="s">
        <v>720</v>
      </c>
      <c r="T106" s="18" t="n">
        <v>21.4</v>
      </c>
      <c r="U106" s="18" t="n">
        <v>70.6</v>
      </c>
      <c r="V106" s="18" t="n">
        <v>0</v>
      </c>
      <c r="W106" s="18" t="n">
        <v>0</v>
      </c>
      <c r="X106" s="18" t="n">
        <v>0</v>
      </c>
      <c r="Y106" s="18" t="n">
        <v>0</v>
      </c>
      <c r="Z106" s="18" t="s">
        <v>1000</v>
      </c>
      <c r="AA106" s="18" t="s">
        <v>699</v>
      </c>
      <c r="AB106" s="18" t="s">
        <v>98</v>
      </c>
      <c r="AC106" s="18"/>
      <c r="AD106" s="23" t="str">
        <f aca="false">IF(A106="","",IF(COUNTIF(Parcels!$A$2:$A$3000,B106)=0,"Parcel not found",IF(COUNTIF($A$2:$A$3000,A106)&gt;1,"Duplicate perm_id",IF(AND(I106="Yes",C106&lt;&gt;"",COUNTIFS($C$2:$C$3000,C106,$I$2:$I$3000,"Yes")&gt;1),"Reference counted twice",IF(COUNTIF(Lists!$A$2:$A$7,H106)=0,"Unknown status","")))))</f>
        <v/>
      </c>
    </row>
    <row r="107" customFormat="false" ht="15" hidden="false" customHeight="false" outlineLevel="0" collapsed="false">
      <c r="A107" s="18" t="s">
        <v>1250</v>
      </c>
      <c r="B107" s="18" t="s">
        <v>425</v>
      </c>
      <c r="C107" s="18" t="s">
        <v>1251</v>
      </c>
      <c r="D107" s="18" t="s">
        <v>1251</v>
      </c>
      <c r="E107" s="18" t="s">
        <v>426</v>
      </c>
      <c r="F107" s="18" t="n">
        <v>0</v>
      </c>
      <c r="G107" s="18"/>
      <c r="H107" s="18" t="s">
        <v>728</v>
      </c>
      <c r="I107" s="18" t="s">
        <v>689</v>
      </c>
      <c r="J107" s="18" t="s">
        <v>690</v>
      </c>
      <c r="K107" s="18" t="s">
        <v>691</v>
      </c>
      <c r="L107" s="18" t="s">
        <v>105</v>
      </c>
      <c r="M107" s="18" t="s">
        <v>704</v>
      </c>
      <c r="N107" s="18" t="s">
        <v>1252</v>
      </c>
      <c r="O107" s="18" t="s">
        <v>1253</v>
      </c>
      <c r="P107" s="18" t="s">
        <v>1254</v>
      </c>
      <c r="Q107" s="18"/>
      <c r="R107" s="18"/>
      <c r="S107" s="18" t="s">
        <v>731</v>
      </c>
      <c r="T107" s="18" t="n">
        <v>0</v>
      </c>
      <c r="U107" s="18" t="n">
        <v>0</v>
      </c>
      <c r="V107" s="18" t="n">
        <v>0</v>
      </c>
      <c r="W107" s="18" t="n">
        <v>0</v>
      </c>
      <c r="X107" s="18" t="n">
        <v>0</v>
      </c>
      <c r="Y107" s="18" t="n">
        <v>0</v>
      </c>
      <c r="Z107" s="18" t="s">
        <v>1000</v>
      </c>
      <c r="AA107" s="18" t="s">
        <v>699</v>
      </c>
      <c r="AB107" s="18" t="s">
        <v>98</v>
      </c>
      <c r="AC107" s="18"/>
      <c r="AD107" s="23" t="str">
        <f aca="false">IF(A107="","",IF(COUNTIF(Parcels!$A$2:$A$3000,B107)=0,"Parcel not found",IF(COUNTIF($A$2:$A$3000,A107)&gt;1,"Duplicate perm_id",IF(AND(I107="Yes",C107&lt;&gt;"",COUNTIFS($C$2:$C$3000,C107,$I$2:$I$3000,"Yes")&gt;1),"Reference counted twice",IF(COUNTIF(Lists!$A$2:$A$7,H107)=0,"Unknown status","")))))</f>
        <v/>
      </c>
    </row>
    <row r="108" customFormat="false" ht="15" hidden="false" customHeight="false" outlineLevel="0" collapsed="false">
      <c r="A108" s="18" t="s">
        <v>1255</v>
      </c>
      <c r="B108" s="18" t="s">
        <v>328</v>
      </c>
      <c r="C108" s="18" t="s">
        <v>1256</v>
      </c>
      <c r="D108" s="18" t="s">
        <v>1256</v>
      </c>
      <c r="E108" s="18" t="s">
        <v>329</v>
      </c>
      <c r="F108" s="18" t="n">
        <v>62</v>
      </c>
      <c r="G108" s="18"/>
      <c r="H108" s="18" t="s">
        <v>711</v>
      </c>
      <c r="I108" s="18" t="s">
        <v>689</v>
      </c>
      <c r="J108" s="18" t="s">
        <v>690</v>
      </c>
      <c r="K108" s="18" t="s">
        <v>691</v>
      </c>
      <c r="L108" s="18" t="s">
        <v>105</v>
      </c>
      <c r="M108" s="18" t="s">
        <v>704</v>
      </c>
      <c r="N108" s="18" t="s">
        <v>1257</v>
      </c>
      <c r="O108" s="18" t="s">
        <v>1258</v>
      </c>
      <c r="P108" s="18" t="s">
        <v>1259</v>
      </c>
      <c r="Q108" s="18" t="s">
        <v>1249</v>
      </c>
      <c r="R108" s="18" t="s">
        <v>719</v>
      </c>
      <c r="S108" s="18" t="s">
        <v>720</v>
      </c>
      <c r="T108" s="18" t="n">
        <v>14.4</v>
      </c>
      <c r="U108" s="18" t="n">
        <v>47.6</v>
      </c>
      <c r="V108" s="18" t="n">
        <v>0</v>
      </c>
      <c r="W108" s="18" t="n">
        <v>0</v>
      </c>
      <c r="X108" s="18" t="n">
        <v>0</v>
      </c>
      <c r="Y108" s="18" t="n">
        <v>0</v>
      </c>
      <c r="Z108" s="18" t="s">
        <v>1000</v>
      </c>
      <c r="AA108" s="18" t="s">
        <v>699</v>
      </c>
      <c r="AB108" s="18" t="s">
        <v>98</v>
      </c>
      <c r="AC108" s="18"/>
      <c r="AD108" s="23" t="str">
        <f aca="false">IF(A108="","",IF(COUNTIF(Parcels!$A$2:$A$3000,B108)=0,"Parcel not found",IF(COUNTIF($A$2:$A$3000,A108)&gt;1,"Duplicate perm_id",IF(AND(I108="Yes",C108&lt;&gt;"",COUNTIFS($C$2:$C$3000,C108,$I$2:$I$3000,"Yes")&gt;1),"Reference counted twice",IF(COUNTIF(Lists!$A$2:$A$7,H108)=0,"Unknown status","")))))</f>
        <v/>
      </c>
    </row>
    <row r="109" customFormat="false" ht="15" hidden="false" customHeight="false" outlineLevel="0" collapsed="false">
      <c r="A109" s="18" t="s">
        <v>1260</v>
      </c>
      <c r="B109" s="18" t="s">
        <v>531</v>
      </c>
      <c r="C109" s="18" t="s">
        <v>1261</v>
      </c>
      <c r="D109" s="18" t="s">
        <v>1261</v>
      </c>
      <c r="E109" s="18" t="s">
        <v>532</v>
      </c>
      <c r="F109" s="18" t="n">
        <v>5</v>
      </c>
      <c r="G109" s="18"/>
      <c r="H109" s="18" t="s">
        <v>711</v>
      </c>
      <c r="I109" s="18" t="s">
        <v>689</v>
      </c>
      <c r="J109" s="18" t="s">
        <v>690</v>
      </c>
      <c r="K109" s="18" t="s">
        <v>691</v>
      </c>
      <c r="L109" s="18" t="s">
        <v>105</v>
      </c>
      <c r="M109" s="18" t="s">
        <v>704</v>
      </c>
      <c r="N109" s="18" t="s">
        <v>1262</v>
      </c>
      <c r="O109" s="18" t="s">
        <v>1263</v>
      </c>
      <c r="P109" s="18" t="s">
        <v>1264</v>
      </c>
      <c r="Q109" s="18" t="s">
        <v>718</v>
      </c>
      <c r="R109" s="18" t="s">
        <v>719</v>
      </c>
      <c r="S109" s="18" t="s">
        <v>720</v>
      </c>
      <c r="T109" s="18" t="n">
        <v>1.2</v>
      </c>
      <c r="U109" s="18" t="n">
        <v>3.8</v>
      </c>
      <c r="V109" s="18" t="n">
        <v>0</v>
      </c>
      <c r="W109" s="18" t="n">
        <v>0</v>
      </c>
      <c r="X109" s="18" t="n">
        <v>0</v>
      </c>
      <c r="Y109" s="18" t="n">
        <v>0</v>
      </c>
      <c r="Z109" s="18" t="s">
        <v>1000</v>
      </c>
      <c r="AA109" s="18" t="s">
        <v>699</v>
      </c>
      <c r="AB109" s="18" t="s">
        <v>98</v>
      </c>
      <c r="AC109" s="18"/>
      <c r="AD109" s="23" t="str">
        <f aca="false">IF(A109="","",IF(COUNTIF(Parcels!$A$2:$A$3000,B109)=0,"Parcel not found",IF(COUNTIF($A$2:$A$3000,A109)&gt;1,"Duplicate perm_id",IF(AND(I109="Yes",C109&lt;&gt;"",COUNTIFS($C$2:$C$3000,C109,$I$2:$I$3000,"Yes")&gt;1),"Reference counted twice",IF(COUNTIF(Lists!$A$2:$A$7,H109)=0,"Unknown status","")))))</f>
        <v/>
      </c>
    </row>
    <row r="110" customFormat="false" ht="15" hidden="false" customHeight="false" outlineLevel="0" collapsed="false">
      <c r="A110" s="18" t="s">
        <v>1265</v>
      </c>
      <c r="B110" s="18" t="s">
        <v>427</v>
      </c>
      <c r="C110" s="18" t="s">
        <v>1266</v>
      </c>
      <c r="D110" s="18" t="s">
        <v>1266</v>
      </c>
      <c r="E110" s="18" t="s">
        <v>428</v>
      </c>
      <c r="F110" s="18" t="n">
        <v>96</v>
      </c>
      <c r="G110" s="18"/>
      <c r="H110" s="18" t="s">
        <v>711</v>
      </c>
      <c r="I110" s="18" t="s">
        <v>689</v>
      </c>
      <c r="J110" s="18" t="s">
        <v>712</v>
      </c>
      <c r="K110" s="18" t="s">
        <v>691</v>
      </c>
      <c r="L110" s="18" t="s">
        <v>105</v>
      </c>
      <c r="M110" s="18" t="s">
        <v>704</v>
      </c>
      <c r="N110" s="18" t="s">
        <v>1267</v>
      </c>
      <c r="O110" s="18" t="s">
        <v>1268</v>
      </c>
      <c r="P110" s="18" t="s">
        <v>1269</v>
      </c>
      <c r="Q110" s="18" t="s">
        <v>747</v>
      </c>
      <c r="R110" s="18" t="s">
        <v>738</v>
      </c>
      <c r="S110" s="18" t="s">
        <v>720</v>
      </c>
      <c r="T110" s="18" t="n">
        <v>0</v>
      </c>
      <c r="U110" s="18" t="n">
        <v>38.9</v>
      </c>
      <c r="V110" s="18" t="n">
        <v>52.8</v>
      </c>
      <c r="W110" s="18" t="n">
        <v>4.3</v>
      </c>
      <c r="X110" s="18" t="n">
        <v>0</v>
      </c>
      <c r="Y110" s="18" t="n">
        <v>0</v>
      </c>
      <c r="Z110" s="18" t="s">
        <v>1000</v>
      </c>
      <c r="AA110" s="18" t="s">
        <v>699</v>
      </c>
      <c r="AB110" s="18" t="s">
        <v>98</v>
      </c>
      <c r="AC110" s="18"/>
      <c r="AD110" s="23" t="str">
        <f aca="false">IF(A110="","",IF(COUNTIF(Parcels!$A$2:$A$3000,B110)=0,"Parcel not found",IF(COUNTIF($A$2:$A$3000,A110)&gt;1,"Duplicate perm_id",IF(AND(I110="Yes",C110&lt;&gt;"",COUNTIFS($C$2:$C$3000,C110,$I$2:$I$3000,"Yes")&gt;1),"Reference counted twice",IF(COUNTIF(Lists!$A$2:$A$7,H110)=0,"Unknown status","")))))</f>
        <v/>
      </c>
    </row>
    <row r="111" customFormat="false" ht="15" hidden="false" customHeight="false" outlineLevel="0" collapsed="false">
      <c r="A111" s="18" t="s">
        <v>1270</v>
      </c>
      <c r="B111" s="18" t="s">
        <v>427</v>
      </c>
      <c r="C111" s="18" t="s">
        <v>1271</v>
      </c>
      <c r="D111" s="18" t="s">
        <v>1271</v>
      </c>
      <c r="E111" s="18" t="s">
        <v>1272</v>
      </c>
      <c r="F111" s="18" t="n">
        <v>96</v>
      </c>
      <c r="G111" s="18"/>
      <c r="H111" s="18" t="s">
        <v>711</v>
      </c>
      <c r="I111" s="18" t="s">
        <v>689</v>
      </c>
      <c r="J111" s="18" t="s">
        <v>712</v>
      </c>
      <c r="K111" s="18" t="s">
        <v>691</v>
      </c>
      <c r="L111" s="18" t="s">
        <v>105</v>
      </c>
      <c r="M111" s="18" t="s">
        <v>704</v>
      </c>
      <c r="N111" s="18" t="s">
        <v>1267</v>
      </c>
      <c r="O111" s="18" t="s">
        <v>1273</v>
      </c>
      <c r="P111" s="18" t="s">
        <v>1274</v>
      </c>
      <c r="Q111" s="18" t="s">
        <v>1173</v>
      </c>
      <c r="R111" s="18" t="s">
        <v>719</v>
      </c>
      <c r="S111" s="18" t="s">
        <v>720</v>
      </c>
      <c r="T111" s="18" t="n">
        <v>22.4</v>
      </c>
      <c r="U111" s="18" t="n">
        <v>73.6</v>
      </c>
      <c r="V111" s="18" t="n">
        <v>0</v>
      </c>
      <c r="W111" s="18" t="n">
        <v>0</v>
      </c>
      <c r="X111" s="18" t="n">
        <v>0</v>
      </c>
      <c r="Y111" s="18" t="n">
        <v>0</v>
      </c>
      <c r="Z111" s="18" t="s">
        <v>1000</v>
      </c>
      <c r="AA111" s="18" t="s">
        <v>699</v>
      </c>
      <c r="AB111" s="18" t="s">
        <v>98</v>
      </c>
      <c r="AC111" s="18"/>
      <c r="AD111" s="23" t="str">
        <f aca="false">IF(A111="","",IF(COUNTIF(Parcels!$A$2:$A$3000,B111)=0,"Parcel not found",IF(COUNTIF($A$2:$A$3000,A111)&gt;1,"Duplicate perm_id",IF(AND(I111="Yes",C111&lt;&gt;"",COUNTIFS($C$2:$C$3000,C111,$I$2:$I$3000,"Yes")&gt;1),"Reference counted twice",IF(COUNTIF(Lists!$A$2:$A$7,H111)=0,"Unknown status","")))))</f>
        <v/>
      </c>
    </row>
    <row r="112" customFormat="false" ht="15" hidden="false" customHeight="false" outlineLevel="0" collapsed="false">
      <c r="A112" s="18" t="s">
        <v>1275</v>
      </c>
      <c r="B112" s="18" t="s">
        <v>362</v>
      </c>
      <c r="C112" s="18" t="s">
        <v>1276</v>
      </c>
      <c r="D112" s="18" t="s">
        <v>1276</v>
      </c>
      <c r="E112" s="18" t="s">
        <v>363</v>
      </c>
      <c r="F112" s="18" t="n">
        <v>0</v>
      </c>
      <c r="G112" s="18"/>
      <c r="H112" s="18" t="s">
        <v>703</v>
      </c>
      <c r="I112" s="18" t="s">
        <v>689</v>
      </c>
      <c r="J112" s="18" t="s">
        <v>690</v>
      </c>
      <c r="K112" s="18" t="s">
        <v>797</v>
      </c>
      <c r="L112" s="18" t="s">
        <v>105</v>
      </c>
      <c r="M112" s="18" t="s">
        <v>704</v>
      </c>
      <c r="N112" s="18" t="s">
        <v>1277</v>
      </c>
      <c r="O112" s="18" t="s">
        <v>1278</v>
      </c>
      <c r="P112" s="18"/>
      <c r="Q112" s="18"/>
      <c r="R112" s="18"/>
      <c r="S112" s="18" t="s">
        <v>707</v>
      </c>
      <c r="T112" s="18" t="n">
        <v>0</v>
      </c>
      <c r="U112" s="18" t="n">
        <v>0</v>
      </c>
      <c r="V112" s="18" t="n">
        <v>0</v>
      </c>
      <c r="W112" s="18" t="n">
        <v>0</v>
      </c>
      <c r="X112" s="18" t="n">
        <v>0</v>
      </c>
      <c r="Y112" s="18" t="n">
        <v>0</v>
      </c>
      <c r="Z112" s="18" t="s">
        <v>1000</v>
      </c>
      <c r="AA112" s="18" t="s">
        <v>699</v>
      </c>
      <c r="AB112" s="18" t="s">
        <v>98</v>
      </c>
      <c r="AC112" s="18"/>
      <c r="AD112" s="23" t="str">
        <f aca="false">IF(A112="","",IF(COUNTIF(Parcels!$A$2:$A$3000,B112)=0,"Parcel not found",IF(COUNTIF($A$2:$A$3000,A112)&gt;1,"Duplicate perm_id",IF(AND(I112="Yes",C112&lt;&gt;"",COUNTIFS($C$2:$C$3000,C112,$I$2:$I$3000,"Yes")&gt;1),"Reference counted twice",IF(COUNTIF(Lists!$A$2:$A$7,H112)=0,"Unknown status","")))))</f>
        <v/>
      </c>
    </row>
    <row r="113" customFormat="false" ht="15" hidden="false" customHeight="false" outlineLevel="0" collapsed="false">
      <c r="A113" s="18" t="s">
        <v>1279</v>
      </c>
      <c r="B113" s="18" t="s">
        <v>429</v>
      </c>
      <c r="C113" s="18" t="s">
        <v>1280</v>
      </c>
      <c r="D113" s="18" t="s">
        <v>1280</v>
      </c>
      <c r="E113" s="18" t="s">
        <v>430</v>
      </c>
      <c r="F113" s="18" t="n">
        <v>66</v>
      </c>
      <c r="G113" s="18"/>
      <c r="H113" s="18" t="s">
        <v>728</v>
      </c>
      <c r="I113" s="18" t="s">
        <v>689</v>
      </c>
      <c r="J113" s="18" t="s">
        <v>712</v>
      </c>
      <c r="K113" s="18" t="s">
        <v>691</v>
      </c>
      <c r="L113" s="18" t="s">
        <v>105</v>
      </c>
      <c r="M113" s="18" t="s">
        <v>704</v>
      </c>
      <c r="N113" s="18" t="s">
        <v>1281</v>
      </c>
      <c r="O113" s="18" t="s">
        <v>1282</v>
      </c>
      <c r="P113" s="18" t="s">
        <v>1283</v>
      </c>
      <c r="Q113" s="18"/>
      <c r="R113" s="18"/>
      <c r="S113" s="18" t="s">
        <v>731</v>
      </c>
      <c r="T113" s="18" t="n">
        <v>0</v>
      </c>
      <c r="U113" s="18" t="n">
        <v>0</v>
      </c>
      <c r="V113" s="18" t="n">
        <v>0</v>
      </c>
      <c r="W113" s="18" t="n">
        <v>0</v>
      </c>
      <c r="X113" s="18" t="n">
        <v>0</v>
      </c>
      <c r="Y113" s="18" t="n">
        <v>0</v>
      </c>
      <c r="Z113" s="18" t="s">
        <v>1000</v>
      </c>
      <c r="AA113" s="18" t="s">
        <v>699</v>
      </c>
      <c r="AB113" s="18" t="s">
        <v>98</v>
      </c>
      <c r="AC113" s="18"/>
      <c r="AD113" s="23" t="str">
        <f aca="false">IF(A113="","",IF(COUNTIF(Parcels!$A$2:$A$3000,B113)=0,"Parcel not found",IF(COUNTIF($A$2:$A$3000,A113)&gt;1,"Duplicate perm_id",IF(AND(I113="Yes",C113&lt;&gt;"",COUNTIFS($C$2:$C$3000,C113,$I$2:$I$3000,"Yes")&gt;1),"Reference counted twice",IF(COUNTIF(Lists!$A$2:$A$7,H113)=0,"Unknown status","")))))</f>
        <v/>
      </c>
    </row>
    <row r="114" customFormat="false" ht="15" hidden="false" customHeight="false" outlineLevel="0" collapsed="false">
      <c r="A114" s="18" t="s">
        <v>1284</v>
      </c>
      <c r="B114" s="18" t="s">
        <v>533</v>
      </c>
      <c r="C114" s="18" t="s">
        <v>1285</v>
      </c>
      <c r="D114" s="18" t="s">
        <v>1285</v>
      </c>
      <c r="E114" s="18" t="s">
        <v>534</v>
      </c>
      <c r="F114" s="18" t="n">
        <v>6</v>
      </c>
      <c r="G114" s="18"/>
      <c r="H114" s="18" t="s">
        <v>711</v>
      </c>
      <c r="I114" s="18" t="s">
        <v>689</v>
      </c>
      <c r="J114" s="18" t="s">
        <v>690</v>
      </c>
      <c r="K114" s="18" t="s">
        <v>691</v>
      </c>
      <c r="L114" s="18" t="s">
        <v>105</v>
      </c>
      <c r="M114" s="18" t="s">
        <v>704</v>
      </c>
      <c r="N114" s="18" t="s">
        <v>1286</v>
      </c>
      <c r="O114" s="18" t="s">
        <v>1287</v>
      </c>
      <c r="P114" s="18" t="s">
        <v>1288</v>
      </c>
      <c r="Q114" s="18" t="s">
        <v>1289</v>
      </c>
      <c r="R114" s="18" t="s">
        <v>719</v>
      </c>
      <c r="S114" s="18" t="s">
        <v>720</v>
      </c>
      <c r="T114" s="18" t="n">
        <v>1.4</v>
      </c>
      <c r="U114" s="18" t="n">
        <v>4.6</v>
      </c>
      <c r="V114" s="18" t="n">
        <v>0</v>
      </c>
      <c r="W114" s="18" t="n">
        <v>0</v>
      </c>
      <c r="X114" s="18" t="n">
        <v>0</v>
      </c>
      <c r="Y114" s="18" t="n">
        <v>0</v>
      </c>
      <c r="Z114" s="18" t="s">
        <v>1000</v>
      </c>
      <c r="AA114" s="18" t="s">
        <v>699</v>
      </c>
      <c r="AB114" s="18" t="s">
        <v>98</v>
      </c>
      <c r="AC114" s="18"/>
      <c r="AD114" s="23" t="str">
        <f aca="false">IF(A114="","",IF(COUNTIF(Parcels!$A$2:$A$3000,B114)=0,"Parcel not found",IF(COUNTIF($A$2:$A$3000,A114)&gt;1,"Duplicate perm_id",IF(AND(I114="Yes",C114&lt;&gt;"",COUNTIFS($C$2:$C$3000,C114,$I$2:$I$3000,"Yes")&gt;1),"Reference counted twice",IF(COUNTIF(Lists!$A$2:$A$7,H114)=0,"Unknown status","")))))</f>
        <v/>
      </c>
    </row>
    <row r="115" customFormat="false" ht="15" hidden="false" customHeight="false" outlineLevel="0" collapsed="false">
      <c r="A115" s="18" t="s">
        <v>1290</v>
      </c>
      <c r="B115" s="18" t="s">
        <v>535</v>
      </c>
      <c r="C115" s="18" t="s">
        <v>1291</v>
      </c>
      <c r="D115" s="18" t="s">
        <v>1291</v>
      </c>
      <c r="E115" s="18" t="s">
        <v>536</v>
      </c>
      <c r="F115" s="18" t="n">
        <v>1</v>
      </c>
      <c r="G115" s="18"/>
      <c r="H115" s="18" t="s">
        <v>703</v>
      </c>
      <c r="I115" s="18" t="s">
        <v>689</v>
      </c>
      <c r="J115" s="18" t="s">
        <v>690</v>
      </c>
      <c r="K115" s="18" t="s">
        <v>691</v>
      </c>
      <c r="L115" s="18" t="s">
        <v>105</v>
      </c>
      <c r="M115" s="18" t="s">
        <v>704</v>
      </c>
      <c r="N115" s="18" t="s">
        <v>1292</v>
      </c>
      <c r="O115" s="18" t="s">
        <v>1293</v>
      </c>
      <c r="P115" s="18"/>
      <c r="Q115" s="18"/>
      <c r="R115" s="18"/>
      <c r="S115" s="18" t="s">
        <v>707</v>
      </c>
      <c r="T115" s="18" t="n">
        <v>0</v>
      </c>
      <c r="U115" s="18" t="n">
        <v>0</v>
      </c>
      <c r="V115" s="18" t="n">
        <v>0</v>
      </c>
      <c r="W115" s="18" t="n">
        <v>0</v>
      </c>
      <c r="X115" s="18" t="n">
        <v>0</v>
      </c>
      <c r="Y115" s="18" t="n">
        <v>0</v>
      </c>
      <c r="Z115" s="18" t="s">
        <v>1000</v>
      </c>
      <c r="AA115" s="18" t="s">
        <v>699</v>
      </c>
      <c r="AB115" s="18" t="s">
        <v>98</v>
      </c>
      <c r="AC115" s="18"/>
      <c r="AD115" s="23" t="str">
        <f aca="false">IF(A115="","",IF(COUNTIF(Parcels!$A$2:$A$3000,B115)=0,"Parcel not found",IF(COUNTIF($A$2:$A$3000,A115)&gt;1,"Duplicate perm_id",IF(AND(I115="Yes",C115&lt;&gt;"",COUNTIFS($C$2:$C$3000,C115,$I$2:$I$3000,"Yes")&gt;1),"Reference counted twice",IF(COUNTIF(Lists!$A$2:$A$7,H115)=0,"Unknown status","")))))</f>
        <v/>
      </c>
    </row>
    <row r="116" customFormat="false" ht="15" hidden="false" customHeight="false" outlineLevel="0" collapsed="false">
      <c r="A116" s="18" t="s">
        <v>1294</v>
      </c>
      <c r="B116" s="18" t="s">
        <v>330</v>
      </c>
      <c r="C116" s="18" t="s">
        <v>1295</v>
      </c>
      <c r="D116" s="18" t="s">
        <v>1295</v>
      </c>
      <c r="E116" s="18" t="s">
        <v>331</v>
      </c>
      <c r="F116" s="18" t="n">
        <v>3</v>
      </c>
      <c r="G116" s="18"/>
      <c r="H116" s="18" t="s">
        <v>711</v>
      </c>
      <c r="I116" s="18" t="s">
        <v>689</v>
      </c>
      <c r="J116" s="18" t="s">
        <v>712</v>
      </c>
      <c r="K116" s="18" t="s">
        <v>691</v>
      </c>
      <c r="L116" s="18" t="s">
        <v>105</v>
      </c>
      <c r="M116" s="18" t="s">
        <v>704</v>
      </c>
      <c r="N116" s="18" t="s">
        <v>1296</v>
      </c>
      <c r="O116" s="18" t="s">
        <v>1297</v>
      </c>
      <c r="P116" s="18" t="s">
        <v>1298</v>
      </c>
      <c r="Q116" s="18" t="s">
        <v>1209</v>
      </c>
      <c r="R116" s="18" t="s">
        <v>719</v>
      </c>
      <c r="S116" s="18" t="s">
        <v>720</v>
      </c>
      <c r="T116" s="18" t="n">
        <v>0.7</v>
      </c>
      <c r="U116" s="18" t="n">
        <v>2.3</v>
      </c>
      <c r="V116" s="18" t="n">
        <v>0</v>
      </c>
      <c r="W116" s="18" t="n">
        <v>0</v>
      </c>
      <c r="X116" s="18" t="n">
        <v>0</v>
      </c>
      <c r="Y116" s="18" t="n">
        <v>0</v>
      </c>
      <c r="Z116" s="18" t="s">
        <v>1000</v>
      </c>
      <c r="AA116" s="18" t="s">
        <v>699</v>
      </c>
      <c r="AB116" s="18" t="s">
        <v>98</v>
      </c>
      <c r="AC116" s="18"/>
      <c r="AD116" s="23" t="str">
        <f aca="false">IF(A116="","",IF(COUNTIF(Parcels!$A$2:$A$3000,B116)=0,"Parcel not found",IF(COUNTIF($A$2:$A$3000,A116)&gt;1,"Duplicate perm_id",IF(AND(I116="Yes",C116&lt;&gt;"",COUNTIFS($C$2:$C$3000,C116,$I$2:$I$3000,"Yes")&gt;1),"Reference counted twice",IF(COUNTIF(Lists!$A$2:$A$7,H116)=0,"Unknown status","")))))</f>
        <v/>
      </c>
    </row>
    <row r="117" customFormat="false" ht="15" hidden="false" customHeight="false" outlineLevel="0" collapsed="false">
      <c r="A117" s="18" t="s">
        <v>1299</v>
      </c>
      <c r="B117" s="18" t="s">
        <v>431</v>
      </c>
      <c r="C117" s="18" t="s">
        <v>1300</v>
      </c>
      <c r="D117" s="18" t="s">
        <v>1300</v>
      </c>
      <c r="E117" s="18" t="s">
        <v>432</v>
      </c>
      <c r="F117" s="18" t="n">
        <v>29</v>
      </c>
      <c r="G117" s="18"/>
      <c r="H117" s="18" t="s">
        <v>711</v>
      </c>
      <c r="I117" s="18" t="s">
        <v>689</v>
      </c>
      <c r="J117" s="18" t="s">
        <v>819</v>
      </c>
      <c r="K117" s="18" t="s">
        <v>691</v>
      </c>
      <c r="L117" s="18" t="s">
        <v>105</v>
      </c>
      <c r="M117" s="18" t="s">
        <v>704</v>
      </c>
      <c r="N117" s="18" t="s">
        <v>1301</v>
      </c>
      <c r="O117" s="18" t="s">
        <v>1302</v>
      </c>
      <c r="P117" s="18" t="s">
        <v>1303</v>
      </c>
      <c r="Q117" s="18" t="s">
        <v>1289</v>
      </c>
      <c r="R117" s="18" t="s">
        <v>719</v>
      </c>
      <c r="S117" s="18" t="s">
        <v>720</v>
      </c>
      <c r="T117" s="18" t="n">
        <v>6.8</v>
      </c>
      <c r="U117" s="18" t="n">
        <v>22.2</v>
      </c>
      <c r="V117" s="18" t="n">
        <v>0</v>
      </c>
      <c r="W117" s="18" t="n">
        <v>0</v>
      </c>
      <c r="X117" s="18" t="n">
        <v>0</v>
      </c>
      <c r="Y117" s="18" t="n">
        <v>0</v>
      </c>
      <c r="Z117" s="18" t="s">
        <v>1000</v>
      </c>
      <c r="AA117" s="18" t="s">
        <v>699</v>
      </c>
      <c r="AB117" s="18" t="s">
        <v>98</v>
      </c>
      <c r="AC117" s="18"/>
      <c r="AD117" s="23" t="str">
        <f aca="false">IF(A117="","",IF(COUNTIF(Parcels!$A$2:$A$3000,B117)=0,"Parcel not found",IF(COUNTIF($A$2:$A$3000,A117)&gt;1,"Duplicate perm_id",IF(AND(I117="Yes",C117&lt;&gt;"",COUNTIFS($C$2:$C$3000,C117,$I$2:$I$3000,"Yes")&gt;1),"Reference counted twice",IF(COUNTIF(Lists!$A$2:$A$7,H117)=0,"Unknown status","")))))</f>
        <v/>
      </c>
    </row>
    <row r="118" customFormat="false" ht="15" hidden="false" customHeight="false" outlineLevel="0" collapsed="false">
      <c r="A118" s="18" t="s">
        <v>1304</v>
      </c>
      <c r="B118" s="18" t="s">
        <v>431</v>
      </c>
      <c r="C118" s="18" t="s">
        <v>1305</v>
      </c>
      <c r="D118" s="18" t="s">
        <v>1305</v>
      </c>
      <c r="E118" s="18" t="s">
        <v>1306</v>
      </c>
      <c r="F118" s="18" t="n">
        <v>0</v>
      </c>
      <c r="G118" s="18"/>
      <c r="H118" s="18" t="s">
        <v>688</v>
      </c>
      <c r="I118" s="18" t="s">
        <v>689</v>
      </c>
      <c r="J118" s="18" t="s">
        <v>812</v>
      </c>
      <c r="K118" s="18" t="s">
        <v>691</v>
      </c>
      <c r="L118" s="18" t="s">
        <v>105</v>
      </c>
      <c r="M118" s="18" t="s">
        <v>704</v>
      </c>
      <c r="N118" s="18" t="s">
        <v>1307</v>
      </c>
      <c r="O118" s="18" t="s">
        <v>1302</v>
      </c>
      <c r="P118" s="18"/>
      <c r="Q118" s="18"/>
      <c r="R118" s="18"/>
      <c r="S118" s="18" t="s">
        <v>707</v>
      </c>
      <c r="T118" s="18" t="n">
        <v>0</v>
      </c>
      <c r="U118" s="18" t="n">
        <v>0</v>
      </c>
      <c r="V118" s="18" t="n">
        <v>0</v>
      </c>
      <c r="W118" s="18" t="n">
        <v>0</v>
      </c>
      <c r="X118" s="18" t="n">
        <v>0</v>
      </c>
      <c r="Y118" s="18" t="n">
        <v>0</v>
      </c>
      <c r="Z118" s="18" t="s">
        <v>1000</v>
      </c>
      <c r="AA118" s="18" t="s">
        <v>699</v>
      </c>
      <c r="AB118" s="18" t="s">
        <v>98</v>
      </c>
      <c r="AC118" s="18"/>
      <c r="AD118" s="23" t="str">
        <f aca="false">IF(A118="","",IF(COUNTIF(Parcels!$A$2:$A$3000,B118)=0,"Parcel not found",IF(COUNTIF($A$2:$A$3000,A118)&gt;1,"Duplicate perm_id",IF(AND(I118="Yes",C118&lt;&gt;"",COUNTIFS($C$2:$C$3000,C118,$I$2:$I$3000,"Yes")&gt;1),"Reference counted twice",IF(COUNTIF(Lists!$A$2:$A$7,H118)=0,"Unknown status","")))))</f>
        <v/>
      </c>
    </row>
    <row r="119" customFormat="false" ht="15" hidden="false" customHeight="false" outlineLevel="0" collapsed="false">
      <c r="A119" s="18" t="s">
        <v>1308</v>
      </c>
      <c r="B119" s="18" t="s">
        <v>431</v>
      </c>
      <c r="C119" s="18" t="s">
        <v>1309</v>
      </c>
      <c r="D119" s="18" t="s">
        <v>1309</v>
      </c>
      <c r="E119" s="18" t="s">
        <v>1310</v>
      </c>
      <c r="F119" s="18" t="n">
        <v>25</v>
      </c>
      <c r="G119" s="18"/>
      <c r="H119" s="18" t="s">
        <v>728</v>
      </c>
      <c r="I119" s="18" t="s">
        <v>689</v>
      </c>
      <c r="J119" s="18" t="s">
        <v>819</v>
      </c>
      <c r="K119" s="18" t="s">
        <v>691</v>
      </c>
      <c r="L119" s="18" t="s">
        <v>105</v>
      </c>
      <c r="M119" s="18" t="s">
        <v>704</v>
      </c>
      <c r="N119" s="18" t="s">
        <v>1311</v>
      </c>
      <c r="O119" s="18" t="s">
        <v>1312</v>
      </c>
      <c r="P119" s="18" t="s">
        <v>1313</v>
      </c>
      <c r="Q119" s="18"/>
      <c r="R119" s="18"/>
      <c r="S119" s="18" t="s">
        <v>731</v>
      </c>
      <c r="T119" s="18" t="n">
        <v>0</v>
      </c>
      <c r="U119" s="18" t="n">
        <v>0</v>
      </c>
      <c r="V119" s="18" t="n">
        <v>0</v>
      </c>
      <c r="W119" s="18" t="n">
        <v>0</v>
      </c>
      <c r="X119" s="18" t="n">
        <v>0</v>
      </c>
      <c r="Y119" s="18" t="n">
        <v>0</v>
      </c>
      <c r="Z119" s="18" t="s">
        <v>1000</v>
      </c>
      <c r="AA119" s="18" t="s">
        <v>699</v>
      </c>
      <c r="AB119" s="18" t="s">
        <v>98</v>
      </c>
      <c r="AC119" s="18"/>
      <c r="AD119" s="23" t="str">
        <f aca="false">IF(A119="","",IF(COUNTIF(Parcels!$A$2:$A$3000,B119)=0,"Parcel not found",IF(COUNTIF($A$2:$A$3000,A119)&gt;1,"Duplicate perm_id",IF(AND(I119="Yes",C119&lt;&gt;"",COUNTIFS($C$2:$C$3000,C119,$I$2:$I$3000,"Yes")&gt;1),"Reference counted twice",IF(COUNTIF(Lists!$A$2:$A$7,H119)=0,"Unknown status","")))))</f>
        <v/>
      </c>
    </row>
    <row r="120" customFormat="false" ht="15" hidden="false" customHeight="false" outlineLevel="0" collapsed="false">
      <c r="A120" s="18" t="s">
        <v>1314</v>
      </c>
      <c r="B120" s="18" t="s">
        <v>537</v>
      </c>
      <c r="C120" s="18" t="s">
        <v>1315</v>
      </c>
      <c r="D120" s="18" t="s">
        <v>1315</v>
      </c>
      <c r="E120" s="18" t="s">
        <v>538</v>
      </c>
      <c r="F120" s="18" t="n">
        <v>14</v>
      </c>
      <c r="G120" s="18"/>
      <c r="H120" s="18" t="s">
        <v>688</v>
      </c>
      <c r="I120" s="18" t="s">
        <v>689</v>
      </c>
      <c r="J120" s="18" t="s">
        <v>690</v>
      </c>
      <c r="K120" s="18" t="s">
        <v>691</v>
      </c>
      <c r="L120" s="18" t="s">
        <v>105</v>
      </c>
      <c r="M120" s="18" t="s">
        <v>704</v>
      </c>
      <c r="N120" s="18" t="s">
        <v>1316</v>
      </c>
      <c r="O120" s="18" t="s">
        <v>1317</v>
      </c>
      <c r="P120" s="18"/>
      <c r="Q120" s="18" t="s">
        <v>695</v>
      </c>
      <c r="R120" s="18" t="s">
        <v>870</v>
      </c>
      <c r="S120" s="18" t="s">
        <v>697</v>
      </c>
      <c r="T120" s="18" t="n">
        <v>0</v>
      </c>
      <c r="U120" s="18" t="n">
        <v>0</v>
      </c>
      <c r="V120" s="18" t="n">
        <v>8.2</v>
      </c>
      <c r="W120" s="18" t="n">
        <v>5.8</v>
      </c>
      <c r="X120" s="18" t="n">
        <v>0</v>
      </c>
      <c r="Y120" s="18" t="n">
        <v>0</v>
      </c>
      <c r="Z120" s="18" t="s">
        <v>1000</v>
      </c>
      <c r="AA120" s="18" t="s">
        <v>1318</v>
      </c>
      <c r="AB120" s="18" t="s">
        <v>98</v>
      </c>
      <c r="AC120" s="18"/>
      <c r="AD120" s="23" t="str">
        <f aca="false">IF(A120="","",IF(COUNTIF(Parcels!$A$2:$A$3000,B120)=0,"Parcel not found",IF(COUNTIF($A$2:$A$3000,A120)&gt;1,"Duplicate perm_id",IF(AND(I120="Yes",C120&lt;&gt;"",COUNTIFS($C$2:$C$3000,C120,$I$2:$I$3000,"Yes")&gt;1),"Reference counted twice",IF(COUNTIF(Lists!$A$2:$A$7,H120)=0,"Unknown status","")))))</f>
        <v/>
      </c>
    </row>
    <row r="121" customFormat="false" ht="15" hidden="false" customHeight="false" outlineLevel="0" collapsed="false">
      <c r="A121" s="18" t="s">
        <v>1319</v>
      </c>
      <c r="B121" s="18" t="s">
        <v>364</v>
      </c>
      <c r="C121" s="18" t="s">
        <v>1320</v>
      </c>
      <c r="D121" s="18" t="s">
        <v>1320</v>
      </c>
      <c r="E121" s="18" t="s">
        <v>365</v>
      </c>
      <c r="F121" s="18" t="n">
        <v>15</v>
      </c>
      <c r="G121" s="18"/>
      <c r="H121" s="18" t="s">
        <v>703</v>
      </c>
      <c r="I121" s="18" t="s">
        <v>689</v>
      </c>
      <c r="J121" s="18" t="s">
        <v>690</v>
      </c>
      <c r="K121" s="18" t="s">
        <v>691</v>
      </c>
      <c r="L121" s="18" t="s">
        <v>105</v>
      </c>
      <c r="M121" s="18" t="s">
        <v>704</v>
      </c>
      <c r="N121" s="18" t="s">
        <v>1321</v>
      </c>
      <c r="O121" s="18" t="s">
        <v>1322</v>
      </c>
      <c r="P121" s="18"/>
      <c r="Q121" s="18"/>
      <c r="R121" s="18"/>
      <c r="S121" s="18" t="s">
        <v>707</v>
      </c>
      <c r="T121" s="18" t="n">
        <v>0</v>
      </c>
      <c r="U121" s="18" t="n">
        <v>0</v>
      </c>
      <c r="V121" s="18" t="n">
        <v>0</v>
      </c>
      <c r="W121" s="18" t="n">
        <v>0</v>
      </c>
      <c r="X121" s="18" t="n">
        <v>0</v>
      </c>
      <c r="Y121" s="18" t="n">
        <v>0</v>
      </c>
      <c r="Z121" s="18" t="s">
        <v>1000</v>
      </c>
      <c r="AA121" s="18" t="s">
        <v>699</v>
      </c>
      <c r="AB121" s="18" t="s">
        <v>98</v>
      </c>
      <c r="AC121" s="18"/>
      <c r="AD121" s="23" t="str">
        <f aca="false">IF(A121="","",IF(COUNTIF(Parcels!$A$2:$A$3000,B121)=0,"Parcel not found",IF(COUNTIF($A$2:$A$3000,A121)&gt;1,"Duplicate perm_id",IF(AND(I121="Yes",C121&lt;&gt;"",COUNTIFS($C$2:$C$3000,C121,$I$2:$I$3000,"Yes")&gt;1),"Reference counted twice",IF(COUNTIF(Lists!$A$2:$A$7,H121)=0,"Unknown status","")))))</f>
        <v/>
      </c>
    </row>
    <row r="122" customFormat="false" ht="15" hidden="false" customHeight="false" outlineLevel="0" collapsed="false">
      <c r="A122" s="18" t="s">
        <v>1323</v>
      </c>
      <c r="B122" s="18" t="s">
        <v>539</v>
      </c>
      <c r="C122" s="18" t="s">
        <v>1324</v>
      </c>
      <c r="D122" s="18" t="s">
        <v>1324</v>
      </c>
      <c r="E122" s="18" t="s">
        <v>540</v>
      </c>
      <c r="F122" s="18" t="n">
        <v>4</v>
      </c>
      <c r="G122" s="18"/>
      <c r="H122" s="18" t="s">
        <v>711</v>
      </c>
      <c r="I122" s="18" t="s">
        <v>689</v>
      </c>
      <c r="J122" s="18" t="s">
        <v>690</v>
      </c>
      <c r="K122" s="18" t="s">
        <v>691</v>
      </c>
      <c r="L122" s="18" t="s">
        <v>105</v>
      </c>
      <c r="M122" s="18" t="s">
        <v>704</v>
      </c>
      <c r="N122" s="18" t="s">
        <v>1325</v>
      </c>
      <c r="O122" s="18" t="s">
        <v>1326</v>
      </c>
      <c r="P122" s="18" t="s">
        <v>1327</v>
      </c>
      <c r="Q122" s="18" t="s">
        <v>1289</v>
      </c>
      <c r="R122" s="18" t="s">
        <v>719</v>
      </c>
      <c r="S122" s="18" t="s">
        <v>720</v>
      </c>
      <c r="T122" s="18" t="n">
        <v>0.9</v>
      </c>
      <c r="U122" s="18" t="n">
        <v>3.1</v>
      </c>
      <c r="V122" s="18" t="n">
        <v>0</v>
      </c>
      <c r="W122" s="18" t="n">
        <v>0</v>
      </c>
      <c r="X122" s="18" t="n">
        <v>0</v>
      </c>
      <c r="Y122" s="18" t="n">
        <v>0</v>
      </c>
      <c r="Z122" s="18" t="s">
        <v>1000</v>
      </c>
      <c r="AA122" s="18" t="s">
        <v>699</v>
      </c>
      <c r="AB122" s="18" t="s">
        <v>98</v>
      </c>
      <c r="AC122" s="18"/>
      <c r="AD122" s="23" t="str">
        <f aca="false">IF(A122="","",IF(COUNTIF(Parcels!$A$2:$A$3000,B122)=0,"Parcel not found",IF(COUNTIF($A$2:$A$3000,A122)&gt;1,"Duplicate perm_id",IF(AND(I122="Yes",C122&lt;&gt;"",COUNTIFS($C$2:$C$3000,C122,$I$2:$I$3000,"Yes")&gt;1),"Reference counted twice",IF(COUNTIF(Lists!$A$2:$A$7,H122)=0,"Unknown status","")))))</f>
        <v/>
      </c>
    </row>
    <row r="123" customFormat="false" ht="15" hidden="false" customHeight="false" outlineLevel="0" collapsed="false">
      <c r="A123" s="18" t="s">
        <v>1328</v>
      </c>
      <c r="B123" s="18" t="s">
        <v>541</v>
      </c>
      <c r="C123" s="18" t="s">
        <v>1329</v>
      </c>
      <c r="D123" s="18" t="s">
        <v>1329</v>
      </c>
      <c r="E123" s="18" t="s">
        <v>542</v>
      </c>
      <c r="F123" s="18" t="n">
        <v>2</v>
      </c>
      <c r="G123" s="18"/>
      <c r="H123" s="18" t="s">
        <v>711</v>
      </c>
      <c r="I123" s="18" t="s">
        <v>689</v>
      </c>
      <c r="J123" s="18" t="s">
        <v>690</v>
      </c>
      <c r="K123" s="18" t="s">
        <v>691</v>
      </c>
      <c r="L123" s="18" t="s">
        <v>105</v>
      </c>
      <c r="M123" s="18" t="s">
        <v>704</v>
      </c>
      <c r="N123" s="18" t="s">
        <v>1330</v>
      </c>
      <c r="O123" s="18" t="s">
        <v>1331</v>
      </c>
      <c r="P123" s="18" t="s">
        <v>1332</v>
      </c>
      <c r="Q123" s="18" t="s">
        <v>1048</v>
      </c>
      <c r="R123" s="18" t="s">
        <v>719</v>
      </c>
      <c r="S123" s="18" t="s">
        <v>720</v>
      </c>
      <c r="T123" s="18" t="n">
        <v>0.5</v>
      </c>
      <c r="U123" s="18" t="n">
        <v>1.5</v>
      </c>
      <c r="V123" s="18" t="n">
        <v>0</v>
      </c>
      <c r="W123" s="18" t="n">
        <v>0</v>
      </c>
      <c r="X123" s="18" t="n">
        <v>0</v>
      </c>
      <c r="Y123" s="18" t="n">
        <v>0</v>
      </c>
      <c r="Z123" s="18" t="s">
        <v>1000</v>
      </c>
      <c r="AA123" s="18" t="s">
        <v>699</v>
      </c>
      <c r="AB123" s="18" t="s">
        <v>98</v>
      </c>
      <c r="AC123" s="18"/>
      <c r="AD123" s="23" t="str">
        <f aca="false">IF(A123="","",IF(COUNTIF(Parcels!$A$2:$A$3000,B123)=0,"Parcel not found",IF(COUNTIF($A$2:$A$3000,A123)&gt;1,"Duplicate perm_id",IF(AND(I123="Yes",C123&lt;&gt;"",COUNTIFS($C$2:$C$3000,C123,$I$2:$I$3000,"Yes")&gt;1),"Reference counted twice",IF(COUNTIF(Lists!$A$2:$A$7,H123)=0,"Unknown status","")))))</f>
        <v/>
      </c>
    </row>
    <row r="124" customFormat="false" ht="15" hidden="false" customHeight="false" outlineLevel="0" collapsed="false">
      <c r="A124" s="18" t="s">
        <v>1333</v>
      </c>
      <c r="B124" s="18" t="s">
        <v>332</v>
      </c>
      <c r="C124" s="18" t="s">
        <v>1334</v>
      </c>
      <c r="D124" s="18" t="s">
        <v>1334</v>
      </c>
      <c r="E124" s="18" t="s">
        <v>1335</v>
      </c>
      <c r="F124" s="18" t="n">
        <v>90</v>
      </c>
      <c r="G124" s="18"/>
      <c r="H124" s="18" t="s">
        <v>711</v>
      </c>
      <c r="I124" s="18" t="s">
        <v>689</v>
      </c>
      <c r="J124" s="18" t="s">
        <v>712</v>
      </c>
      <c r="K124" s="18" t="s">
        <v>691</v>
      </c>
      <c r="L124" s="18" t="s">
        <v>105</v>
      </c>
      <c r="M124" s="18" t="s">
        <v>704</v>
      </c>
      <c r="N124" s="18" t="s">
        <v>1336</v>
      </c>
      <c r="O124" s="18" t="s">
        <v>1337</v>
      </c>
      <c r="P124" s="18" t="s">
        <v>693</v>
      </c>
      <c r="Q124" s="18" t="s">
        <v>1338</v>
      </c>
      <c r="R124" s="18" t="s">
        <v>719</v>
      </c>
      <c r="S124" s="18" t="s">
        <v>720</v>
      </c>
      <c r="T124" s="18" t="n">
        <v>21</v>
      </c>
      <c r="U124" s="18" t="n">
        <v>69</v>
      </c>
      <c r="V124" s="18" t="n">
        <v>0</v>
      </c>
      <c r="W124" s="18" t="n">
        <v>0</v>
      </c>
      <c r="X124" s="18" t="n">
        <v>0</v>
      </c>
      <c r="Y124" s="18" t="n">
        <v>0</v>
      </c>
      <c r="Z124" s="18" t="s">
        <v>1000</v>
      </c>
      <c r="AA124" s="18" t="s">
        <v>699</v>
      </c>
      <c r="AB124" s="18" t="s">
        <v>98</v>
      </c>
      <c r="AC124" s="18"/>
      <c r="AD124" s="23" t="str">
        <f aca="false">IF(A124="","",IF(COUNTIF(Parcels!$A$2:$A$3000,B124)=0,"Parcel not found",IF(COUNTIF($A$2:$A$3000,A124)&gt;1,"Duplicate perm_id",IF(AND(I124="Yes",C124&lt;&gt;"",COUNTIFS($C$2:$C$3000,C124,$I$2:$I$3000,"Yes")&gt;1),"Reference counted twice",IF(COUNTIF(Lists!$A$2:$A$7,H124)=0,"Unknown status","")))))</f>
        <v/>
      </c>
    </row>
    <row r="125" customFormat="false" ht="15" hidden="false" customHeight="false" outlineLevel="0" collapsed="false">
      <c r="A125" s="18" t="s">
        <v>1339</v>
      </c>
      <c r="B125" s="18" t="s">
        <v>332</v>
      </c>
      <c r="C125" s="18" t="s">
        <v>1340</v>
      </c>
      <c r="D125" s="18" t="s">
        <v>1340</v>
      </c>
      <c r="E125" s="18" t="s">
        <v>1341</v>
      </c>
      <c r="F125" s="18" t="n">
        <v>92</v>
      </c>
      <c r="G125" s="18"/>
      <c r="H125" s="18" t="s">
        <v>728</v>
      </c>
      <c r="I125" s="18" t="s">
        <v>689</v>
      </c>
      <c r="J125" s="18" t="s">
        <v>712</v>
      </c>
      <c r="K125" s="18" t="s">
        <v>691</v>
      </c>
      <c r="L125" s="18" t="s">
        <v>105</v>
      </c>
      <c r="M125" s="18" t="s">
        <v>704</v>
      </c>
      <c r="N125" s="18" t="s">
        <v>1342</v>
      </c>
      <c r="O125" s="18" t="s">
        <v>1343</v>
      </c>
      <c r="P125" s="18" t="s">
        <v>1344</v>
      </c>
      <c r="Q125" s="18"/>
      <c r="R125" s="18"/>
      <c r="S125" s="18" t="s">
        <v>731</v>
      </c>
      <c r="T125" s="18" t="n">
        <v>0</v>
      </c>
      <c r="U125" s="18" t="n">
        <v>0</v>
      </c>
      <c r="V125" s="18" t="n">
        <v>0</v>
      </c>
      <c r="W125" s="18" t="n">
        <v>0</v>
      </c>
      <c r="X125" s="18" t="n">
        <v>0</v>
      </c>
      <c r="Y125" s="18" t="n">
        <v>0</v>
      </c>
      <c r="Z125" s="18" t="s">
        <v>1000</v>
      </c>
      <c r="AA125" s="18" t="s">
        <v>699</v>
      </c>
      <c r="AB125" s="18" t="s">
        <v>98</v>
      </c>
      <c r="AC125" s="18"/>
      <c r="AD125" s="23" t="str">
        <f aca="false">IF(A125="","",IF(COUNTIF(Parcels!$A$2:$A$3000,B125)=0,"Parcel not found",IF(COUNTIF($A$2:$A$3000,A125)&gt;1,"Duplicate perm_id",IF(AND(I125="Yes",C125&lt;&gt;"",COUNTIFS($C$2:$C$3000,C125,$I$2:$I$3000,"Yes")&gt;1),"Reference counted twice",IF(COUNTIF(Lists!$A$2:$A$7,H125)=0,"Unknown status","")))))</f>
        <v/>
      </c>
    </row>
    <row r="126" customFormat="false" ht="15" hidden="false" customHeight="false" outlineLevel="0" collapsed="false">
      <c r="A126" s="18" t="s">
        <v>1345</v>
      </c>
      <c r="B126" s="18" t="s">
        <v>332</v>
      </c>
      <c r="C126" s="18" t="s">
        <v>1346</v>
      </c>
      <c r="D126" s="18" t="s">
        <v>1346</v>
      </c>
      <c r="E126" s="18" t="s">
        <v>333</v>
      </c>
      <c r="F126" s="18" t="n">
        <v>105</v>
      </c>
      <c r="G126" s="18"/>
      <c r="H126" s="18" t="s">
        <v>728</v>
      </c>
      <c r="I126" s="18" t="s">
        <v>689</v>
      </c>
      <c r="J126" s="18" t="s">
        <v>712</v>
      </c>
      <c r="K126" s="18" t="s">
        <v>691</v>
      </c>
      <c r="L126" s="18" t="s">
        <v>105</v>
      </c>
      <c r="M126" s="18" t="s">
        <v>704</v>
      </c>
      <c r="N126" s="18" t="s">
        <v>1347</v>
      </c>
      <c r="O126" s="18" t="s">
        <v>1348</v>
      </c>
      <c r="P126" s="18" t="s">
        <v>1349</v>
      </c>
      <c r="Q126" s="18"/>
      <c r="R126" s="18"/>
      <c r="S126" s="18" t="s">
        <v>731</v>
      </c>
      <c r="T126" s="18" t="n">
        <v>0</v>
      </c>
      <c r="U126" s="18" t="n">
        <v>0</v>
      </c>
      <c r="V126" s="18" t="n">
        <v>0</v>
      </c>
      <c r="W126" s="18" t="n">
        <v>0</v>
      </c>
      <c r="X126" s="18" t="n">
        <v>0</v>
      </c>
      <c r="Y126" s="18" t="n">
        <v>0</v>
      </c>
      <c r="Z126" s="18" t="s">
        <v>1000</v>
      </c>
      <c r="AA126" s="18" t="s">
        <v>699</v>
      </c>
      <c r="AB126" s="18" t="s">
        <v>98</v>
      </c>
      <c r="AC126" s="18"/>
      <c r="AD126" s="23" t="str">
        <f aca="false">IF(A126="","",IF(COUNTIF(Parcels!$A$2:$A$3000,B126)=0,"Parcel not found",IF(COUNTIF($A$2:$A$3000,A126)&gt;1,"Duplicate perm_id",IF(AND(I126="Yes",C126&lt;&gt;"",COUNTIFS($C$2:$C$3000,C126,$I$2:$I$3000,"Yes")&gt;1),"Reference counted twice",IF(COUNTIF(Lists!$A$2:$A$7,H126)=0,"Unknown status","")))))</f>
        <v/>
      </c>
    </row>
    <row r="127" customFormat="false" ht="15" hidden="false" customHeight="false" outlineLevel="0" collapsed="false">
      <c r="A127" s="18" t="s">
        <v>1350</v>
      </c>
      <c r="B127" s="18" t="s">
        <v>332</v>
      </c>
      <c r="C127" s="18" t="s">
        <v>1351</v>
      </c>
      <c r="D127" s="18" t="s">
        <v>1351</v>
      </c>
      <c r="E127" s="18" t="s">
        <v>1352</v>
      </c>
      <c r="F127" s="18" t="n">
        <v>98</v>
      </c>
      <c r="G127" s="18"/>
      <c r="H127" s="18" t="s">
        <v>711</v>
      </c>
      <c r="I127" s="18" t="s">
        <v>689</v>
      </c>
      <c r="J127" s="18" t="s">
        <v>712</v>
      </c>
      <c r="K127" s="18" t="s">
        <v>691</v>
      </c>
      <c r="L127" s="18" t="s">
        <v>105</v>
      </c>
      <c r="M127" s="18" t="s">
        <v>704</v>
      </c>
      <c r="N127" s="18" t="s">
        <v>1353</v>
      </c>
      <c r="O127" s="18" t="s">
        <v>1354</v>
      </c>
      <c r="P127" s="18" t="s">
        <v>1355</v>
      </c>
      <c r="Q127" s="18" t="s">
        <v>718</v>
      </c>
      <c r="R127" s="18" t="s">
        <v>719</v>
      </c>
      <c r="S127" s="18" t="s">
        <v>720</v>
      </c>
      <c r="T127" s="18" t="n">
        <v>22.8</v>
      </c>
      <c r="U127" s="18" t="n">
        <v>75.2</v>
      </c>
      <c r="V127" s="18" t="n">
        <v>0</v>
      </c>
      <c r="W127" s="18" t="n">
        <v>0</v>
      </c>
      <c r="X127" s="18" t="n">
        <v>0</v>
      </c>
      <c r="Y127" s="18" t="n">
        <v>0</v>
      </c>
      <c r="Z127" s="18" t="s">
        <v>1000</v>
      </c>
      <c r="AA127" s="18" t="s">
        <v>699</v>
      </c>
      <c r="AB127" s="18" t="s">
        <v>98</v>
      </c>
      <c r="AC127" s="18"/>
      <c r="AD127" s="23" t="str">
        <f aca="false">IF(A127="","",IF(COUNTIF(Parcels!$A$2:$A$3000,B127)=0,"Parcel not found",IF(COUNTIF($A$2:$A$3000,A127)&gt;1,"Duplicate perm_id",IF(AND(I127="Yes",C127&lt;&gt;"",COUNTIFS($C$2:$C$3000,C127,$I$2:$I$3000,"Yes")&gt;1),"Reference counted twice",IF(COUNTIF(Lists!$A$2:$A$7,H127)=0,"Unknown status","")))))</f>
        <v/>
      </c>
    </row>
    <row r="128" customFormat="false" ht="15" hidden="false" customHeight="false" outlineLevel="0" collapsed="false">
      <c r="A128" s="18" t="s">
        <v>1356</v>
      </c>
      <c r="B128" s="18" t="s">
        <v>543</v>
      </c>
      <c r="C128" s="18" t="s">
        <v>1357</v>
      </c>
      <c r="D128" s="18" t="s">
        <v>1357</v>
      </c>
      <c r="E128" s="18" t="s">
        <v>544</v>
      </c>
      <c r="F128" s="18" t="n">
        <v>14</v>
      </c>
      <c r="G128" s="18"/>
      <c r="H128" s="18" t="s">
        <v>711</v>
      </c>
      <c r="I128" s="18" t="s">
        <v>689</v>
      </c>
      <c r="J128" s="18" t="s">
        <v>690</v>
      </c>
      <c r="K128" s="18" t="s">
        <v>713</v>
      </c>
      <c r="L128" s="18" t="s">
        <v>714</v>
      </c>
      <c r="M128" s="18" t="s">
        <v>704</v>
      </c>
      <c r="N128" s="18" t="s">
        <v>1358</v>
      </c>
      <c r="O128" s="18" t="s">
        <v>1359</v>
      </c>
      <c r="P128" s="18" t="s">
        <v>1360</v>
      </c>
      <c r="Q128" s="18" t="s">
        <v>765</v>
      </c>
      <c r="R128" s="18" t="s">
        <v>719</v>
      </c>
      <c r="S128" s="18" t="s">
        <v>720</v>
      </c>
      <c r="T128" s="18" t="n">
        <v>3.3</v>
      </c>
      <c r="U128" s="18" t="n">
        <v>10.7</v>
      </c>
      <c r="V128" s="18" t="n">
        <v>0</v>
      </c>
      <c r="W128" s="18" t="n">
        <v>0</v>
      </c>
      <c r="X128" s="18" t="n">
        <v>0</v>
      </c>
      <c r="Y128" s="18" t="n">
        <v>0</v>
      </c>
      <c r="Z128" s="18" t="s">
        <v>1000</v>
      </c>
      <c r="AA128" s="18" t="s">
        <v>699</v>
      </c>
      <c r="AB128" s="18" t="s">
        <v>98</v>
      </c>
      <c r="AC128" s="18"/>
      <c r="AD128" s="23" t="str">
        <f aca="false">IF(A128="","",IF(COUNTIF(Parcels!$A$2:$A$3000,B128)=0,"Parcel not found",IF(COUNTIF($A$2:$A$3000,A128)&gt;1,"Duplicate perm_id",IF(AND(I128="Yes",C128&lt;&gt;"",COUNTIFS($C$2:$C$3000,C128,$I$2:$I$3000,"Yes")&gt;1),"Reference counted twice",IF(COUNTIF(Lists!$A$2:$A$7,H128)=0,"Unknown status","")))))</f>
        <v/>
      </c>
    </row>
    <row r="129" customFormat="false" ht="15" hidden="false" customHeight="false" outlineLevel="0" collapsed="false">
      <c r="A129" s="18" t="s">
        <v>1361</v>
      </c>
      <c r="B129" s="18" t="s">
        <v>433</v>
      </c>
      <c r="C129" s="18" t="s">
        <v>1362</v>
      </c>
      <c r="D129" s="18" t="s">
        <v>1362</v>
      </c>
      <c r="E129" s="18" t="s">
        <v>434</v>
      </c>
      <c r="F129" s="18" t="n">
        <v>99</v>
      </c>
      <c r="G129" s="18"/>
      <c r="H129" s="18" t="s">
        <v>711</v>
      </c>
      <c r="I129" s="18" t="s">
        <v>689</v>
      </c>
      <c r="J129" s="18" t="s">
        <v>712</v>
      </c>
      <c r="K129" s="18" t="s">
        <v>691</v>
      </c>
      <c r="L129" s="18" t="s">
        <v>105</v>
      </c>
      <c r="M129" s="18" t="s">
        <v>704</v>
      </c>
      <c r="N129" s="18" t="s">
        <v>1363</v>
      </c>
      <c r="O129" s="18" t="s">
        <v>1364</v>
      </c>
      <c r="P129" s="18" t="s">
        <v>1365</v>
      </c>
      <c r="Q129" s="18" t="s">
        <v>765</v>
      </c>
      <c r="R129" s="18" t="s">
        <v>719</v>
      </c>
      <c r="S129" s="18" t="s">
        <v>720</v>
      </c>
      <c r="T129" s="18" t="n">
        <v>23.1</v>
      </c>
      <c r="U129" s="18" t="n">
        <v>75.9</v>
      </c>
      <c r="V129" s="18" t="n">
        <v>0</v>
      </c>
      <c r="W129" s="18" t="n">
        <v>0</v>
      </c>
      <c r="X129" s="18" t="n">
        <v>0</v>
      </c>
      <c r="Y129" s="18" t="n">
        <v>0</v>
      </c>
      <c r="Z129" s="18" t="s">
        <v>1000</v>
      </c>
      <c r="AA129" s="18" t="s">
        <v>699</v>
      </c>
      <c r="AB129" s="18" t="s">
        <v>98</v>
      </c>
      <c r="AC129" s="18"/>
      <c r="AD129" s="23" t="str">
        <f aca="false">IF(A129="","",IF(COUNTIF(Parcels!$A$2:$A$3000,B129)=0,"Parcel not found",IF(COUNTIF($A$2:$A$3000,A129)&gt;1,"Duplicate perm_id",IF(AND(I129="Yes",C129&lt;&gt;"",COUNTIFS($C$2:$C$3000,C129,$I$2:$I$3000,"Yes")&gt;1),"Reference counted twice",IF(COUNTIF(Lists!$A$2:$A$7,H129)=0,"Unknown status","")))))</f>
        <v/>
      </c>
    </row>
    <row r="130" customFormat="false" ht="15" hidden="false" customHeight="false" outlineLevel="0" collapsed="false">
      <c r="A130" s="18" t="s">
        <v>1366</v>
      </c>
      <c r="B130" s="18" t="s">
        <v>435</v>
      </c>
      <c r="C130" s="18" t="s">
        <v>1367</v>
      </c>
      <c r="D130" s="18" t="s">
        <v>1367</v>
      </c>
      <c r="E130" s="18" t="s">
        <v>436</v>
      </c>
      <c r="F130" s="18" t="n">
        <v>101</v>
      </c>
      <c r="G130" s="18"/>
      <c r="H130" s="18" t="s">
        <v>711</v>
      </c>
      <c r="I130" s="18" t="s">
        <v>689</v>
      </c>
      <c r="J130" s="18" t="s">
        <v>712</v>
      </c>
      <c r="K130" s="18" t="s">
        <v>691</v>
      </c>
      <c r="L130" s="18" t="s">
        <v>105</v>
      </c>
      <c r="M130" s="18" t="s">
        <v>704</v>
      </c>
      <c r="N130" s="18" t="s">
        <v>1363</v>
      </c>
      <c r="O130" s="18" t="s">
        <v>1364</v>
      </c>
      <c r="P130" s="18" t="s">
        <v>1368</v>
      </c>
      <c r="Q130" s="18" t="s">
        <v>1188</v>
      </c>
      <c r="R130" s="18" t="s">
        <v>719</v>
      </c>
      <c r="S130" s="18" t="s">
        <v>720</v>
      </c>
      <c r="T130" s="18" t="n">
        <v>23.5</v>
      </c>
      <c r="U130" s="18" t="n">
        <v>77.5</v>
      </c>
      <c r="V130" s="18" t="n">
        <v>0</v>
      </c>
      <c r="W130" s="18" t="n">
        <v>0</v>
      </c>
      <c r="X130" s="18" t="n">
        <v>0</v>
      </c>
      <c r="Y130" s="18" t="n">
        <v>0</v>
      </c>
      <c r="Z130" s="18" t="s">
        <v>1000</v>
      </c>
      <c r="AA130" s="18" t="s">
        <v>699</v>
      </c>
      <c r="AB130" s="18" t="s">
        <v>98</v>
      </c>
      <c r="AC130" s="18"/>
      <c r="AD130" s="23" t="str">
        <f aca="false">IF(A130="","",IF(COUNTIF(Parcels!$A$2:$A$3000,B130)=0,"Parcel not found",IF(COUNTIF($A$2:$A$3000,A130)&gt;1,"Duplicate perm_id",IF(AND(I130="Yes",C130&lt;&gt;"",COUNTIFS($C$2:$C$3000,C130,$I$2:$I$3000,"Yes")&gt;1),"Reference counted twice",IF(COUNTIF(Lists!$A$2:$A$7,H130)=0,"Unknown status","")))))</f>
        <v/>
      </c>
    </row>
    <row r="131" customFormat="false" ht="15" hidden="false" customHeight="false" outlineLevel="0" collapsed="false">
      <c r="A131" s="18" t="s">
        <v>1369</v>
      </c>
      <c r="B131" s="18" t="s">
        <v>461</v>
      </c>
      <c r="C131" s="18" t="s">
        <v>1370</v>
      </c>
      <c r="D131" s="18" t="s">
        <v>1370</v>
      </c>
      <c r="E131" s="18" t="s">
        <v>462</v>
      </c>
      <c r="F131" s="18" t="n">
        <v>15</v>
      </c>
      <c r="G131" s="18"/>
      <c r="H131" s="18" t="s">
        <v>728</v>
      </c>
      <c r="I131" s="18" t="s">
        <v>689</v>
      </c>
      <c r="J131" s="18" t="s">
        <v>690</v>
      </c>
      <c r="K131" s="18" t="s">
        <v>713</v>
      </c>
      <c r="L131" s="18" t="s">
        <v>743</v>
      </c>
      <c r="M131" s="18" t="s">
        <v>704</v>
      </c>
      <c r="N131" s="18" t="s">
        <v>1371</v>
      </c>
      <c r="O131" s="18" t="s">
        <v>1372</v>
      </c>
      <c r="P131" s="18" t="s">
        <v>1373</v>
      </c>
      <c r="Q131" s="18"/>
      <c r="R131" s="18"/>
      <c r="S131" s="18" t="s">
        <v>731</v>
      </c>
      <c r="T131" s="18" t="n">
        <v>0</v>
      </c>
      <c r="U131" s="18" t="n">
        <v>0</v>
      </c>
      <c r="V131" s="18" t="n">
        <v>0</v>
      </c>
      <c r="W131" s="18" t="n">
        <v>0</v>
      </c>
      <c r="X131" s="18" t="n">
        <v>0</v>
      </c>
      <c r="Y131" s="18" t="n">
        <v>0</v>
      </c>
      <c r="Z131" s="18" t="s">
        <v>1000</v>
      </c>
      <c r="AA131" s="18" t="s">
        <v>699</v>
      </c>
      <c r="AB131" s="18" t="s">
        <v>98</v>
      </c>
      <c r="AC131" s="18"/>
      <c r="AD131" s="23" t="str">
        <f aca="false">IF(A131="","",IF(COUNTIF(Parcels!$A$2:$A$3000,B131)=0,"Parcel not found",IF(COUNTIF($A$2:$A$3000,A131)&gt;1,"Duplicate perm_id",IF(AND(I131="Yes",C131&lt;&gt;"",COUNTIFS($C$2:$C$3000,C131,$I$2:$I$3000,"Yes")&gt;1),"Reference counted twice",IF(COUNTIF(Lists!$A$2:$A$7,H131)=0,"Unknown status","")))))</f>
        <v/>
      </c>
    </row>
    <row r="132" customFormat="false" ht="15" hidden="false" customHeight="false" outlineLevel="0" collapsed="false">
      <c r="A132" s="18" t="s">
        <v>1374</v>
      </c>
      <c r="B132" s="18" t="s">
        <v>463</v>
      </c>
      <c r="C132" s="18" t="s">
        <v>1375</v>
      </c>
      <c r="D132" s="18" t="s">
        <v>1375</v>
      </c>
      <c r="E132" s="18" t="s">
        <v>464</v>
      </c>
      <c r="F132" s="18" t="n">
        <v>6</v>
      </c>
      <c r="G132" s="18"/>
      <c r="H132" s="18" t="s">
        <v>711</v>
      </c>
      <c r="I132" s="18" t="s">
        <v>689</v>
      </c>
      <c r="J132" s="18" t="s">
        <v>690</v>
      </c>
      <c r="K132" s="18" t="s">
        <v>691</v>
      </c>
      <c r="L132" s="18" t="s">
        <v>105</v>
      </c>
      <c r="M132" s="18" t="s">
        <v>704</v>
      </c>
      <c r="N132" s="18" t="s">
        <v>1376</v>
      </c>
      <c r="O132" s="18" t="s">
        <v>1377</v>
      </c>
      <c r="P132" s="18" t="s">
        <v>1378</v>
      </c>
      <c r="Q132" s="18" t="s">
        <v>1379</v>
      </c>
      <c r="R132" s="18" t="s">
        <v>719</v>
      </c>
      <c r="S132" s="18" t="s">
        <v>720</v>
      </c>
      <c r="T132" s="18" t="n">
        <v>0.2</v>
      </c>
      <c r="U132" s="18" t="n">
        <v>5.8</v>
      </c>
      <c r="V132" s="18" t="n">
        <v>0</v>
      </c>
      <c r="W132" s="18" t="n">
        <v>0</v>
      </c>
      <c r="X132" s="18" t="n">
        <v>0</v>
      </c>
      <c r="Y132" s="18" t="n">
        <v>0</v>
      </c>
      <c r="Z132" s="18" t="s">
        <v>1000</v>
      </c>
      <c r="AA132" s="18" t="s">
        <v>699</v>
      </c>
      <c r="AB132" s="18" t="s">
        <v>98</v>
      </c>
      <c r="AC132" s="18"/>
      <c r="AD132" s="23" t="str">
        <f aca="false">IF(A132="","",IF(COUNTIF(Parcels!$A$2:$A$3000,B132)=0,"Parcel not found",IF(COUNTIF($A$2:$A$3000,A132)&gt;1,"Duplicate perm_id",IF(AND(I132="Yes",C132&lt;&gt;"",COUNTIFS($C$2:$C$3000,C132,$I$2:$I$3000,"Yes")&gt;1),"Reference counted twice",IF(COUNTIF(Lists!$A$2:$A$7,H132)=0,"Unknown status","")))))</f>
        <v/>
      </c>
    </row>
    <row r="133" customFormat="false" ht="15" hidden="false" customHeight="false" outlineLevel="0" collapsed="false">
      <c r="A133" s="18" t="s">
        <v>1380</v>
      </c>
      <c r="B133" s="18" t="s">
        <v>366</v>
      </c>
      <c r="C133" s="18" t="s">
        <v>1381</v>
      </c>
      <c r="D133" s="18" t="s">
        <v>1381</v>
      </c>
      <c r="E133" s="18" t="s">
        <v>367</v>
      </c>
      <c r="F133" s="18" t="n">
        <v>14</v>
      </c>
      <c r="G133" s="18"/>
      <c r="H133" s="18" t="s">
        <v>688</v>
      </c>
      <c r="I133" s="18" t="s">
        <v>689</v>
      </c>
      <c r="J133" s="18" t="s">
        <v>690</v>
      </c>
      <c r="K133" s="18" t="s">
        <v>691</v>
      </c>
      <c r="L133" s="18" t="s">
        <v>105</v>
      </c>
      <c r="M133" s="18" t="s">
        <v>704</v>
      </c>
      <c r="N133" s="18" t="s">
        <v>1382</v>
      </c>
      <c r="O133" s="18" t="s">
        <v>1383</v>
      </c>
      <c r="P133" s="18"/>
      <c r="Q133" s="18" t="s">
        <v>695</v>
      </c>
      <c r="R133" s="18" t="s">
        <v>870</v>
      </c>
      <c r="S133" s="18" t="s">
        <v>697</v>
      </c>
      <c r="T133" s="18" t="n">
        <v>0</v>
      </c>
      <c r="U133" s="18" t="n">
        <v>0</v>
      </c>
      <c r="V133" s="18" t="n">
        <v>8.2</v>
      </c>
      <c r="W133" s="18" t="n">
        <v>5.8</v>
      </c>
      <c r="X133" s="18" t="n">
        <v>0</v>
      </c>
      <c r="Y133" s="18" t="n">
        <v>0</v>
      </c>
      <c r="Z133" s="18" t="s">
        <v>1000</v>
      </c>
      <c r="AA133" s="18" t="s">
        <v>699</v>
      </c>
      <c r="AB133" s="18" t="s">
        <v>98</v>
      </c>
      <c r="AC133" s="18"/>
      <c r="AD133" s="23" t="str">
        <f aca="false">IF(A133="","",IF(COUNTIF(Parcels!$A$2:$A$3000,B133)=0,"Parcel not found",IF(COUNTIF($A$2:$A$3000,A133)&gt;1,"Duplicate perm_id",IF(AND(I133="Yes",C133&lt;&gt;"",COUNTIFS($C$2:$C$3000,C133,$I$2:$I$3000,"Yes")&gt;1),"Reference counted twice",IF(COUNTIF(Lists!$A$2:$A$7,H133)=0,"Unknown status","")))))</f>
        <v/>
      </c>
    </row>
    <row r="134" customFormat="false" ht="15" hidden="false" customHeight="false" outlineLevel="0" collapsed="false">
      <c r="A134" s="18" t="s">
        <v>1384</v>
      </c>
      <c r="B134" s="18" t="s">
        <v>300</v>
      </c>
      <c r="C134" s="18" t="s">
        <v>1385</v>
      </c>
      <c r="D134" s="18" t="s">
        <v>1385</v>
      </c>
      <c r="E134" s="18" t="s">
        <v>301</v>
      </c>
      <c r="F134" s="18" t="n">
        <v>11</v>
      </c>
      <c r="G134" s="18"/>
      <c r="H134" s="18" t="s">
        <v>688</v>
      </c>
      <c r="I134" s="18" t="s">
        <v>689</v>
      </c>
      <c r="J134" s="18" t="s">
        <v>690</v>
      </c>
      <c r="K134" s="18" t="s">
        <v>691</v>
      </c>
      <c r="L134" s="18" t="s">
        <v>105</v>
      </c>
      <c r="M134" s="18" t="s">
        <v>704</v>
      </c>
      <c r="N134" s="18" t="s">
        <v>1386</v>
      </c>
      <c r="O134" s="18" t="s">
        <v>1387</v>
      </c>
      <c r="P134" s="18"/>
      <c r="Q134" s="18" t="s">
        <v>695</v>
      </c>
      <c r="R134" s="18" t="s">
        <v>870</v>
      </c>
      <c r="S134" s="18" t="s">
        <v>697</v>
      </c>
      <c r="T134" s="18" t="n">
        <v>0</v>
      </c>
      <c r="U134" s="18" t="n">
        <v>0</v>
      </c>
      <c r="V134" s="18" t="n">
        <v>6.4</v>
      </c>
      <c r="W134" s="18" t="n">
        <v>4.6</v>
      </c>
      <c r="X134" s="18" t="n">
        <v>0</v>
      </c>
      <c r="Y134" s="18" t="n">
        <v>0</v>
      </c>
      <c r="Z134" s="18" t="s">
        <v>1000</v>
      </c>
      <c r="AA134" s="18" t="s">
        <v>699</v>
      </c>
      <c r="AB134" s="18" t="s">
        <v>98</v>
      </c>
      <c r="AC134" s="18"/>
      <c r="AD134" s="23" t="str">
        <f aca="false">IF(A134="","",IF(COUNTIF(Parcels!$A$2:$A$3000,B134)=0,"Parcel not found",IF(COUNTIF($A$2:$A$3000,A134)&gt;1,"Duplicate perm_id",IF(AND(I134="Yes",C134&lt;&gt;"",COUNTIFS($C$2:$C$3000,C134,$I$2:$I$3000,"Yes")&gt;1),"Reference counted twice",IF(COUNTIF(Lists!$A$2:$A$7,H134)=0,"Unknown status","")))))</f>
        <v/>
      </c>
    </row>
    <row r="135" customFormat="false" ht="15" hidden="false" customHeight="false" outlineLevel="0" collapsed="false">
      <c r="A135" s="18" t="s">
        <v>1388</v>
      </c>
      <c r="B135" s="18" t="s">
        <v>545</v>
      </c>
      <c r="C135" s="18" t="s">
        <v>1389</v>
      </c>
      <c r="D135" s="18" t="s">
        <v>1389</v>
      </c>
      <c r="E135" s="18" t="s">
        <v>546</v>
      </c>
      <c r="F135" s="18" t="n">
        <v>5</v>
      </c>
      <c r="G135" s="18"/>
      <c r="H135" s="18" t="s">
        <v>728</v>
      </c>
      <c r="I135" s="18" t="s">
        <v>689</v>
      </c>
      <c r="J135" s="18" t="s">
        <v>690</v>
      </c>
      <c r="K135" s="18" t="s">
        <v>713</v>
      </c>
      <c r="L135" s="18" t="s">
        <v>714</v>
      </c>
      <c r="M135" s="18" t="s">
        <v>704</v>
      </c>
      <c r="N135" s="18" t="s">
        <v>1390</v>
      </c>
      <c r="O135" s="18" t="s">
        <v>1391</v>
      </c>
      <c r="P135" s="18" t="s">
        <v>1392</v>
      </c>
      <c r="Q135" s="18"/>
      <c r="R135" s="18"/>
      <c r="S135" s="18" t="s">
        <v>731</v>
      </c>
      <c r="T135" s="18" t="n">
        <v>0</v>
      </c>
      <c r="U135" s="18" t="n">
        <v>0</v>
      </c>
      <c r="V135" s="18" t="n">
        <v>0</v>
      </c>
      <c r="W135" s="18" t="n">
        <v>0</v>
      </c>
      <c r="X135" s="18" t="n">
        <v>0</v>
      </c>
      <c r="Y135" s="18" t="n">
        <v>0</v>
      </c>
      <c r="Z135" s="18" t="s">
        <v>1000</v>
      </c>
      <c r="AA135" s="18" t="s">
        <v>699</v>
      </c>
      <c r="AB135" s="18" t="s">
        <v>98</v>
      </c>
      <c r="AC135" s="18"/>
      <c r="AD135" s="23" t="str">
        <f aca="false">IF(A135="","",IF(COUNTIF(Parcels!$A$2:$A$3000,B135)=0,"Parcel not found",IF(COUNTIF($A$2:$A$3000,A135)&gt;1,"Duplicate perm_id",IF(AND(I135="Yes",C135&lt;&gt;"",COUNTIFS($C$2:$C$3000,C135,$I$2:$I$3000,"Yes")&gt;1),"Reference counted twice",IF(COUNTIF(Lists!$A$2:$A$7,H135)=0,"Unknown status","")))))</f>
        <v/>
      </c>
    </row>
    <row r="136" customFormat="false" ht="15" hidden="false" customHeight="false" outlineLevel="0" collapsed="false">
      <c r="A136" s="18" t="s">
        <v>1393</v>
      </c>
      <c r="B136" s="18" t="s">
        <v>302</v>
      </c>
      <c r="C136" s="18" t="s">
        <v>1394</v>
      </c>
      <c r="D136" s="18" t="s">
        <v>1394</v>
      </c>
      <c r="E136" s="18" t="s">
        <v>303</v>
      </c>
      <c r="F136" s="18" t="n">
        <v>6</v>
      </c>
      <c r="G136" s="18"/>
      <c r="H136" s="18" t="s">
        <v>728</v>
      </c>
      <c r="I136" s="18" t="s">
        <v>689</v>
      </c>
      <c r="J136" s="18" t="s">
        <v>690</v>
      </c>
      <c r="K136" s="18" t="s">
        <v>691</v>
      </c>
      <c r="L136" s="18" t="s">
        <v>105</v>
      </c>
      <c r="M136" s="18" t="s">
        <v>704</v>
      </c>
      <c r="N136" s="18" t="s">
        <v>1395</v>
      </c>
      <c r="O136" s="18" t="s">
        <v>1396</v>
      </c>
      <c r="P136" s="18" t="s">
        <v>1397</v>
      </c>
      <c r="Q136" s="18"/>
      <c r="R136" s="18"/>
      <c r="S136" s="18" t="s">
        <v>731</v>
      </c>
      <c r="T136" s="18" t="n">
        <v>0</v>
      </c>
      <c r="U136" s="18" t="n">
        <v>0</v>
      </c>
      <c r="V136" s="18" t="n">
        <v>0</v>
      </c>
      <c r="W136" s="18" t="n">
        <v>0</v>
      </c>
      <c r="X136" s="18" t="n">
        <v>0</v>
      </c>
      <c r="Y136" s="18" t="n">
        <v>0</v>
      </c>
      <c r="Z136" s="18" t="s">
        <v>1000</v>
      </c>
      <c r="AA136" s="18" t="s">
        <v>699</v>
      </c>
      <c r="AB136" s="18" t="s">
        <v>98</v>
      </c>
      <c r="AC136" s="18"/>
      <c r="AD136" s="23" t="str">
        <f aca="false">IF(A136="","",IF(COUNTIF(Parcels!$A$2:$A$3000,B136)=0,"Parcel not found",IF(COUNTIF($A$2:$A$3000,A136)&gt;1,"Duplicate perm_id",IF(AND(I136="Yes",C136&lt;&gt;"",COUNTIFS($C$2:$C$3000,C136,$I$2:$I$3000,"Yes")&gt;1),"Reference counted twice",IF(COUNTIF(Lists!$A$2:$A$7,H136)=0,"Unknown status","")))))</f>
        <v/>
      </c>
    </row>
    <row r="137" customFormat="false" ht="15" hidden="false" customHeight="false" outlineLevel="0" collapsed="false">
      <c r="A137" s="18" t="s">
        <v>1398</v>
      </c>
      <c r="B137" s="18" t="s">
        <v>334</v>
      </c>
      <c r="C137" s="18" t="s">
        <v>1399</v>
      </c>
      <c r="D137" s="18" t="s">
        <v>1399</v>
      </c>
      <c r="E137" s="18" t="s">
        <v>335</v>
      </c>
      <c r="F137" s="18" t="n">
        <v>62</v>
      </c>
      <c r="G137" s="18"/>
      <c r="H137" s="18" t="s">
        <v>711</v>
      </c>
      <c r="I137" s="18" t="s">
        <v>689</v>
      </c>
      <c r="J137" s="18" t="s">
        <v>1400</v>
      </c>
      <c r="K137" s="18" t="s">
        <v>691</v>
      </c>
      <c r="L137" s="18" t="s">
        <v>105</v>
      </c>
      <c r="M137" s="18" t="s">
        <v>704</v>
      </c>
      <c r="N137" s="18" t="s">
        <v>1401</v>
      </c>
      <c r="O137" s="18" t="s">
        <v>1402</v>
      </c>
      <c r="P137" s="18" t="s">
        <v>1403</v>
      </c>
      <c r="Q137" s="18" t="s">
        <v>1173</v>
      </c>
      <c r="R137" s="18" t="s">
        <v>719</v>
      </c>
      <c r="S137" s="18" t="s">
        <v>720</v>
      </c>
      <c r="T137" s="18" t="n">
        <v>14.4</v>
      </c>
      <c r="U137" s="18" t="n">
        <v>47.6</v>
      </c>
      <c r="V137" s="18" t="n">
        <v>0</v>
      </c>
      <c r="W137" s="18" t="n">
        <v>0</v>
      </c>
      <c r="X137" s="18" t="n">
        <v>0</v>
      </c>
      <c r="Y137" s="18" t="n">
        <v>0</v>
      </c>
      <c r="Z137" s="18" t="s">
        <v>1000</v>
      </c>
      <c r="AA137" s="18" t="s">
        <v>699</v>
      </c>
      <c r="AB137" s="18" t="s">
        <v>98</v>
      </c>
      <c r="AC137" s="18"/>
      <c r="AD137" s="23" t="str">
        <f aca="false">IF(A137="","",IF(COUNTIF(Parcels!$A$2:$A$3000,B137)=0,"Parcel not found",IF(COUNTIF($A$2:$A$3000,A137)&gt;1,"Duplicate perm_id",IF(AND(I137="Yes",C137&lt;&gt;"",COUNTIFS($C$2:$C$3000,C137,$I$2:$I$3000,"Yes")&gt;1),"Reference counted twice",IF(COUNTIF(Lists!$A$2:$A$7,H137)=0,"Unknown status","")))))</f>
        <v/>
      </c>
    </row>
    <row r="138" customFormat="false" ht="15" hidden="false" customHeight="false" outlineLevel="0" collapsed="false">
      <c r="A138" s="18" t="s">
        <v>1404</v>
      </c>
      <c r="B138" s="18" t="s">
        <v>334</v>
      </c>
      <c r="C138" s="18" t="s">
        <v>1405</v>
      </c>
      <c r="D138" s="18" t="s">
        <v>1405</v>
      </c>
      <c r="E138" s="18" t="s">
        <v>1406</v>
      </c>
      <c r="F138" s="18" t="n">
        <v>38</v>
      </c>
      <c r="G138" s="18"/>
      <c r="H138" s="18" t="s">
        <v>728</v>
      </c>
      <c r="I138" s="18" t="s">
        <v>689</v>
      </c>
      <c r="J138" s="18" t="s">
        <v>690</v>
      </c>
      <c r="K138" s="18" t="s">
        <v>691</v>
      </c>
      <c r="L138" s="18" t="s">
        <v>105</v>
      </c>
      <c r="M138" s="18" t="s">
        <v>704</v>
      </c>
      <c r="N138" s="18" t="s">
        <v>1407</v>
      </c>
      <c r="O138" s="18" t="s">
        <v>1408</v>
      </c>
      <c r="P138" s="18" t="s">
        <v>1409</v>
      </c>
      <c r="Q138" s="18"/>
      <c r="R138" s="18"/>
      <c r="S138" s="18" t="s">
        <v>731</v>
      </c>
      <c r="T138" s="18" t="n">
        <v>0</v>
      </c>
      <c r="U138" s="18" t="n">
        <v>0</v>
      </c>
      <c r="V138" s="18" t="n">
        <v>0</v>
      </c>
      <c r="W138" s="18" t="n">
        <v>0</v>
      </c>
      <c r="X138" s="18" t="n">
        <v>0</v>
      </c>
      <c r="Y138" s="18" t="n">
        <v>0</v>
      </c>
      <c r="Z138" s="18" t="s">
        <v>1000</v>
      </c>
      <c r="AA138" s="18" t="s">
        <v>699</v>
      </c>
      <c r="AB138" s="18" t="s">
        <v>98</v>
      </c>
      <c r="AC138" s="18"/>
      <c r="AD138" s="23" t="str">
        <f aca="false">IF(A138="","",IF(COUNTIF(Parcels!$A$2:$A$3000,B138)=0,"Parcel not found",IF(COUNTIF($A$2:$A$3000,A138)&gt;1,"Duplicate perm_id",IF(AND(I138="Yes",C138&lt;&gt;"",COUNTIFS($C$2:$C$3000,C138,$I$2:$I$3000,"Yes")&gt;1),"Reference counted twice",IF(COUNTIF(Lists!$A$2:$A$7,H138)=0,"Unknown status","")))))</f>
        <v/>
      </c>
    </row>
    <row r="139" customFormat="false" ht="15" hidden="false" customHeight="false" outlineLevel="0" collapsed="false">
      <c r="A139" s="18" t="s">
        <v>1410</v>
      </c>
      <c r="B139" s="18" t="s">
        <v>437</v>
      </c>
      <c r="C139" s="18" t="s">
        <v>1411</v>
      </c>
      <c r="D139" s="18" t="s">
        <v>1411</v>
      </c>
      <c r="E139" s="18" t="s">
        <v>438</v>
      </c>
      <c r="F139" s="18" t="n">
        <v>12</v>
      </c>
      <c r="G139" s="18"/>
      <c r="H139" s="18" t="s">
        <v>711</v>
      </c>
      <c r="I139" s="18" t="s">
        <v>689</v>
      </c>
      <c r="J139" s="18" t="s">
        <v>690</v>
      </c>
      <c r="K139" s="18" t="s">
        <v>691</v>
      </c>
      <c r="L139" s="18" t="s">
        <v>105</v>
      </c>
      <c r="M139" s="18" t="s">
        <v>704</v>
      </c>
      <c r="N139" s="18" t="s">
        <v>1412</v>
      </c>
      <c r="O139" s="18" t="s">
        <v>1413</v>
      </c>
      <c r="P139" s="18" t="s">
        <v>764</v>
      </c>
      <c r="Q139" s="18" t="s">
        <v>765</v>
      </c>
      <c r="R139" s="18" t="s">
        <v>719</v>
      </c>
      <c r="S139" s="18" t="s">
        <v>720</v>
      </c>
      <c r="T139" s="18" t="n">
        <v>2.8</v>
      </c>
      <c r="U139" s="18" t="n">
        <v>9.2</v>
      </c>
      <c r="V139" s="18" t="n">
        <v>0</v>
      </c>
      <c r="W139" s="18" t="n">
        <v>0</v>
      </c>
      <c r="X139" s="18" t="n">
        <v>0</v>
      </c>
      <c r="Y139" s="18" t="n">
        <v>0</v>
      </c>
      <c r="Z139" s="18" t="s">
        <v>1000</v>
      </c>
      <c r="AA139" s="18" t="s">
        <v>699</v>
      </c>
      <c r="AB139" s="18" t="s">
        <v>98</v>
      </c>
      <c r="AC139" s="18"/>
      <c r="AD139" s="23" t="str">
        <f aca="false">IF(A139="","",IF(COUNTIF(Parcels!$A$2:$A$3000,B139)=0,"Parcel not found",IF(COUNTIF($A$2:$A$3000,A139)&gt;1,"Duplicate perm_id",IF(AND(I139="Yes",C139&lt;&gt;"",COUNTIFS($C$2:$C$3000,C139,$I$2:$I$3000,"Yes")&gt;1),"Reference counted twice",IF(COUNTIF(Lists!$A$2:$A$7,H139)=0,"Unknown status","")))))</f>
        <v/>
      </c>
    </row>
    <row r="140" customFormat="false" ht="15" hidden="false" customHeight="false" outlineLevel="0" collapsed="false">
      <c r="A140" s="18" t="s">
        <v>1414</v>
      </c>
      <c r="B140" s="18" t="s">
        <v>547</v>
      </c>
      <c r="C140" s="18" t="s">
        <v>1415</v>
      </c>
      <c r="D140" s="18" t="s">
        <v>1415</v>
      </c>
      <c r="E140" s="18" t="s">
        <v>548</v>
      </c>
      <c r="F140" s="18" t="n">
        <v>9</v>
      </c>
      <c r="G140" s="18"/>
      <c r="H140" s="18" t="s">
        <v>728</v>
      </c>
      <c r="I140" s="18" t="s">
        <v>689</v>
      </c>
      <c r="J140" s="18" t="s">
        <v>690</v>
      </c>
      <c r="K140" s="18" t="s">
        <v>713</v>
      </c>
      <c r="L140" s="18" t="s">
        <v>743</v>
      </c>
      <c r="M140" s="18" t="s">
        <v>704</v>
      </c>
      <c r="N140" s="18" t="s">
        <v>1416</v>
      </c>
      <c r="O140" s="18" t="s">
        <v>1417</v>
      </c>
      <c r="P140" s="18" t="s">
        <v>1418</v>
      </c>
      <c r="Q140" s="18"/>
      <c r="R140" s="18"/>
      <c r="S140" s="18" t="s">
        <v>731</v>
      </c>
      <c r="T140" s="18" t="n">
        <v>0</v>
      </c>
      <c r="U140" s="18" t="n">
        <v>0</v>
      </c>
      <c r="V140" s="18" t="n">
        <v>0</v>
      </c>
      <c r="W140" s="18" t="n">
        <v>0</v>
      </c>
      <c r="X140" s="18" t="n">
        <v>0</v>
      </c>
      <c r="Y140" s="18" t="n">
        <v>0</v>
      </c>
      <c r="Z140" s="18" t="s">
        <v>1000</v>
      </c>
      <c r="AA140" s="18" t="s">
        <v>699</v>
      </c>
      <c r="AB140" s="18" t="s">
        <v>98</v>
      </c>
      <c r="AC140" s="18"/>
      <c r="AD140" s="23" t="str">
        <f aca="false">IF(A140="","",IF(COUNTIF(Parcels!$A$2:$A$3000,B140)=0,"Parcel not found",IF(COUNTIF($A$2:$A$3000,A140)&gt;1,"Duplicate perm_id",IF(AND(I140="Yes",C140&lt;&gt;"",COUNTIFS($C$2:$C$3000,C140,$I$2:$I$3000,"Yes")&gt;1),"Reference counted twice",IF(COUNTIF(Lists!$A$2:$A$7,H140)=0,"Unknown status","")))))</f>
        <v/>
      </c>
    </row>
    <row r="141" customFormat="false" ht="15" hidden="false" customHeight="false" outlineLevel="0" collapsed="false">
      <c r="A141" s="18" t="s">
        <v>1419</v>
      </c>
      <c r="B141" s="18" t="s">
        <v>549</v>
      </c>
      <c r="C141" s="18" t="s">
        <v>1420</v>
      </c>
      <c r="D141" s="18" t="s">
        <v>1420</v>
      </c>
      <c r="E141" s="18" t="s">
        <v>550</v>
      </c>
      <c r="F141" s="18" t="n">
        <v>61</v>
      </c>
      <c r="G141" s="18"/>
      <c r="H141" s="18" t="s">
        <v>711</v>
      </c>
      <c r="I141" s="18" t="s">
        <v>689</v>
      </c>
      <c r="J141" s="18" t="s">
        <v>690</v>
      </c>
      <c r="K141" s="18" t="s">
        <v>691</v>
      </c>
      <c r="L141" s="18" t="s">
        <v>105</v>
      </c>
      <c r="M141" s="18" t="s">
        <v>704</v>
      </c>
      <c r="N141" s="18" t="s">
        <v>1421</v>
      </c>
      <c r="O141" s="18" t="s">
        <v>1422</v>
      </c>
      <c r="P141" s="18" t="s">
        <v>1358</v>
      </c>
      <c r="Q141" s="18" t="s">
        <v>1209</v>
      </c>
      <c r="R141" s="18" t="s">
        <v>719</v>
      </c>
      <c r="S141" s="18" t="s">
        <v>720</v>
      </c>
      <c r="T141" s="18" t="n">
        <v>14.2</v>
      </c>
      <c r="U141" s="18" t="n">
        <v>46.8</v>
      </c>
      <c r="V141" s="18" t="n">
        <v>0</v>
      </c>
      <c r="W141" s="18" t="n">
        <v>0</v>
      </c>
      <c r="X141" s="18" t="n">
        <v>0</v>
      </c>
      <c r="Y141" s="18" t="n">
        <v>0</v>
      </c>
      <c r="Z141" s="18" t="s">
        <v>1000</v>
      </c>
      <c r="AA141" s="18" t="s">
        <v>699</v>
      </c>
      <c r="AB141" s="18" t="s">
        <v>98</v>
      </c>
      <c r="AC141" s="18"/>
      <c r="AD141" s="23" t="str">
        <f aca="false">IF(A141="","",IF(COUNTIF(Parcels!$A$2:$A$3000,B141)=0,"Parcel not found",IF(COUNTIF($A$2:$A$3000,A141)&gt;1,"Duplicate perm_id",IF(AND(I141="Yes",C141&lt;&gt;"",COUNTIFS($C$2:$C$3000,C141,$I$2:$I$3000,"Yes")&gt;1),"Reference counted twice",IF(COUNTIF(Lists!$A$2:$A$7,H141)=0,"Unknown status","")))))</f>
        <v/>
      </c>
    </row>
    <row r="142" customFormat="false" ht="15" hidden="false" customHeight="false" outlineLevel="0" collapsed="false">
      <c r="A142" s="18" t="s">
        <v>1423</v>
      </c>
      <c r="B142" s="18" t="s">
        <v>549</v>
      </c>
      <c r="C142" s="18" t="s">
        <v>1424</v>
      </c>
      <c r="D142" s="18" t="s">
        <v>1424</v>
      </c>
      <c r="E142" s="18" t="s">
        <v>1425</v>
      </c>
      <c r="F142" s="18" t="n">
        <v>12</v>
      </c>
      <c r="G142" s="18"/>
      <c r="H142" s="18" t="s">
        <v>711</v>
      </c>
      <c r="I142" s="18" t="s">
        <v>689</v>
      </c>
      <c r="J142" s="18" t="s">
        <v>712</v>
      </c>
      <c r="K142" s="18" t="s">
        <v>691</v>
      </c>
      <c r="L142" s="18" t="s">
        <v>105</v>
      </c>
      <c r="M142" s="18" t="s">
        <v>704</v>
      </c>
      <c r="N142" s="18" t="s">
        <v>1426</v>
      </c>
      <c r="O142" s="18" t="s">
        <v>1422</v>
      </c>
      <c r="P142" s="18" t="s">
        <v>1427</v>
      </c>
      <c r="Q142" s="18" t="s">
        <v>864</v>
      </c>
      <c r="R142" s="18" t="s">
        <v>719</v>
      </c>
      <c r="S142" s="18" t="s">
        <v>720</v>
      </c>
      <c r="T142" s="18" t="n">
        <v>2.8</v>
      </c>
      <c r="U142" s="18" t="n">
        <v>9.2</v>
      </c>
      <c r="V142" s="18" t="n">
        <v>0</v>
      </c>
      <c r="W142" s="18" t="n">
        <v>0</v>
      </c>
      <c r="X142" s="18" t="n">
        <v>0</v>
      </c>
      <c r="Y142" s="18" t="n">
        <v>0</v>
      </c>
      <c r="Z142" s="18" t="s">
        <v>1000</v>
      </c>
      <c r="AA142" s="18" t="s">
        <v>699</v>
      </c>
      <c r="AB142" s="18" t="s">
        <v>98</v>
      </c>
      <c r="AC142" s="18"/>
      <c r="AD142" s="23" t="str">
        <f aca="false">IF(A142="","",IF(COUNTIF(Parcels!$A$2:$A$3000,B142)=0,"Parcel not found",IF(COUNTIF($A$2:$A$3000,A142)&gt;1,"Duplicate perm_id",IF(AND(I142="Yes",C142&lt;&gt;"",COUNTIFS($C$2:$C$3000,C142,$I$2:$I$3000,"Yes")&gt;1),"Reference counted twice",IF(COUNTIF(Lists!$A$2:$A$7,H142)=0,"Unknown status","")))))</f>
        <v/>
      </c>
    </row>
    <row r="143" customFormat="false" ht="15" hidden="false" customHeight="false" outlineLevel="0" collapsed="false">
      <c r="A143" s="18" t="s">
        <v>1428</v>
      </c>
      <c r="B143" s="18" t="s">
        <v>439</v>
      </c>
      <c r="C143" s="18" t="s">
        <v>1429</v>
      </c>
      <c r="D143" s="18" t="s">
        <v>1429</v>
      </c>
      <c r="E143" s="18" t="s">
        <v>440</v>
      </c>
      <c r="F143" s="18" t="n">
        <v>7</v>
      </c>
      <c r="G143" s="18"/>
      <c r="H143" s="18" t="s">
        <v>728</v>
      </c>
      <c r="I143" s="18" t="s">
        <v>689</v>
      </c>
      <c r="J143" s="18" t="s">
        <v>712</v>
      </c>
      <c r="K143" s="18" t="s">
        <v>691</v>
      </c>
      <c r="L143" s="18" t="s">
        <v>105</v>
      </c>
      <c r="M143" s="18" t="s">
        <v>704</v>
      </c>
      <c r="N143" s="18" t="s">
        <v>1430</v>
      </c>
      <c r="O143" s="18" t="s">
        <v>1431</v>
      </c>
      <c r="P143" s="18" t="s">
        <v>755</v>
      </c>
      <c r="Q143" s="18"/>
      <c r="R143" s="18"/>
      <c r="S143" s="18" t="s">
        <v>731</v>
      </c>
      <c r="T143" s="18" t="n">
        <v>0</v>
      </c>
      <c r="U143" s="18" t="n">
        <v>0</v>
      </c>
      <c r="V143" s="18" t="n">
        <v>0</v>
      </c>
      <c r="W143" s="18" t="n">
        <v>0</v>
      </c>
      <c r="X143" s="18" t="n">
        <v>0</v>
      </c>
      <c r="Y143" s="18" t="n">
        <v>0</v>
      </c>
      <c r="Z143" s="18" t="s">
        <v>1000</v>
      </c>
      <c r="AA143" s="18" t="s">
        <v>699</v>
      </c>
      <c r="AB143" s="18" t="s">
        <v>98</v>
      </c>
      <c r="AC143" s="18"/>
      <c r="AD143" s="23" t="str">
        <f aca="false">IF(A143="","",IF(COUNTIF(Parcels!$A$2:$A$3000,B143)=0,"Parcel not found",IF(COUNTIF($A$2:$A$3000,A143)&gt;1,"Duplicate perm_id",IF(AND(I143="Yes",C143&lt;&gt;"",COUNTIFS($C$2:$C$3000,C143,$I$2:$I$3000,"Yes")&gt;1),"Reference counted twice",IF(COUNTIF(Lists!$A$2:$A$7,H143)=0,"Unknown status","")))))</f>
        <v/>
      </c>
    </row>
    <row r="144" customFormat="false" ht="15" hidden="false" customHeight="false" outlineLevel="0" collapsed="false">
      <c r="A144" s="18" t="s">
        <v>1432</v>
      </c>
      <c r="B144" s="18" t="s">
        <v>551</v>
      </c>
      <c r="C144" s="18" t="s">
        <v>1433</v>
      </c>
      <c r="D144" s="18" t="s">
        <v>1433</v>
      </c>
      <c r="E144" s="18" t="s">
        <v>552</v>
      </c>
      <c r="F144" s="18" t="n">
        <v>9</v>
      </c>
      <c r="G144" s="18"/>
      <c r="H144" s="18" t="s">
        <v>728</v>
      </c>
      <c r="I144" s="18" t="s">
        <v>689</v>
      </c>
      <c r="J144" s="18" t="s">
        <v>690</v>
      </c>
      <c r="K144" s="18" t="s">
        <v>691</v>
      </c>
      <c r="L144" s="18" t="s">
        <v>105</v>
      </c>
      <c r="M144" s="18" t="s">
        <v>704</v>
      </c>
      <c r="N144" s="18" t="s">
        <v>1434</v>
      </c>
      <c r="O144" s="18" t="s">
        <v>1435</v>
      </c>
      <c r="P144" s="18" t="s">
        <v>1349</v>
      </c>
      <c r="Q144" s="18"/>
      <c r="R144" s="18"/>
      <c r="S144" s="18" t="s">
        <v>731</v>
      </c>
      <c r="T144" s="18" t="n">
        <v>0</v>
      </c>
      <c r="U144" s="18" t="n">
        <v>0</v>
      </c>
      <c r="V144" s="18" t="n">
        <v>0</v>
      </c>
      <c r="W144" s="18" t="n">
        <v>0</v>
      </c>
      <c r="X144" s="18" t="n">
        <v>0</v>
      </c>
      <c r="Y144" s="18" t="n">
        <v>0</v>
      </c>
      <c r="Z144" s="18" t="s">
        <v>1000</v>
      </c>
      <c r="AA144" s="18" t="s">
        <v>699</v>
      </c>
      <c r="AB144" s="18" t="s">
        <v>98</v>
      </c>
      <c r="AC144" s="18"/>
      <c r="AD144" s="23" t="str">
        <f aca="false">IF(A144="","",IF(COUNTIF(Parcels!$A$2:$A$3000,B144)=0,"Parcel not found",IF(COUNTIF($A$2:$A$3000,A144)&gt;1,"Duplicate perm_id",IF(AND(I144="Yes",C144&lt;&gt;"",COUNTIFS($C$2:$C$3000,C144,$I$2:$I$3000,"Yes")&gt;1),"Reference counted twice",IF(COUNTIF(Lists!$A$2:$A$7,H144)=0,"Unknown status","")))))</f>
        <v/>
      </c>
    </row>
    <row r="145" customFormat="false" ht="15" hidden="false" customHeight="false" outlineLevel="0" collapsed="false">
      <c r="A145" s="18" t="s">
        <v>1436</v>
      </c>
      <c r="B145" s="18" t="s">
        <v>553</v>
      </c>
      <c r="C145" s="18" t="s">
        <v>1437</v>
      </c>
      <c r="D145" s="18" t="s">
        <v>1437</v>
      </c>
      <c r="E145" s="18" t="s">
        <v>554</v>
      </c>
      <c r="F145" s="18" t="n">
        <v>68</v>
      </c>
      <c r="G145" s="18"/>
      <c r="H145" s="18" t="s">
        <v>688</v>
      </c>
      <c r="I145" s="18" t="s">
        <v>689</v>
      </c>
      <c r="J145" s="18" t="s">
        <v>690</v>
      </c>
      <c r="K145" s="18" t="s">
        <v>691</v>
      </c>
      <c r="L145" s="18" t="s">
        <v>105</v>
      </c>
      <c r="M145" s="18" t="s">
        <v>704</v>
      </c>
      <c r="N145" s="18" t="s">
        <v>1438</v>
      </c>
      <c r="O145" s="18" t="s">
        <v>1439</v>
      </c>
      <c r="P145" s="18"/>
      <c r="Q145" s="18" t="s">
        <v>956</v>
      </c>
      <c r="R145" s="18" t="s">
        <v>870</v>
      </c>
      <c r="S145" s="18" t="s">
        <v>739</v>
      </c>
      <c r="T145" s="18" t="n">
        <v>0</v>
      </c>
      <c r="U145" s="18" t="n">
        <v>0</v>
      </c>
      <c r="V145" s="18" t="n">
        <v>53</v>
      </c>
      <c r="W145" s="18" t="n">
        <v>15</v>
      </c>
      <c r="X145" s="18" t="n">
        <v>0</v>
      </c>
      <c r="Y145" s="18" t="n">
        <v>0</v>
      </c>
      <c r="Z145" s="18" t="s">
        <v>1000</v>
      </c>
      <c r="AA145" s="18" t="s">
        <v>699</v>
      </c>
      <c r="AB145" s="18" t="s">
        <v>98</v>
      </c>
      <c r="AC145" s="18"/>
      <c r="AD145" s="23" t="str">
        <f aca="false">IF(A145="","",IF(COUNTIF(Parcels!$A$2:$A$3000,B145)=0,"Parcel not found",IF(COUNTIF($A$2:$A$3000,A145)&gt;1,"Duplicate perm_id",IF(AND(I145="Yes",C145&lt;&gt;"",COUNTIFS($C$2:$C$3000,C145,$I$2:$I$3000,"Yes")&gt;1),"Reference counted twice",IF(COUNTIF(Lists!$A$2:$A$7,H145)=0,"Unknown status","")))))</f>
        <v/>
      </c>
    </row>
    <row r="146" customFormat="false" ht="15" hidden="false" customHeight="false" outlineLevel="0" collapsed="false">
      <c r="A146" s="18" t="s">
        <v>1440</v>
      </c>
      <c r="B146" s="18" t="s">
        <v>553</v>
      </c>
      <c r="C146" s="18" t="s">
        <v>1441</v>
      </c>
      <c r="D146" s="18" t="s">
        <v>1441</v>
      </c>
      <c r="E146" s="18" t="s">
        <v>1442</v>
      </c>
      <c r="F146" s="18" t="n">
        <v>48</v>
      </c>
      <c r="G146" s="18"/>
      <c r="H146" s="18" t="s">
        <v>724</v>
      </c>
      <c r="I146" s="18" t="s">
        <v>689</v>
      </c>
      <c r="J146" s="18" t="s">
        <v>712</v>
      </c>
      <c r="K146" s="18" t="s">
        <v>691</v>
      </c>
      <c r="L146" s="18" t="s">
        <v>105</v>
      </c>
      <c r="M146" s="18" t="s">
        <v>704</v>
      </c>
      <c r="N146" s="18"/>
      <c r="O146" s="18"/>
      <c r="P146" s="18"/>
      <c r="Q146" s="18"/>
      <c r="R146" s="18"/>
      <c r="S146" s="18" t="s">
        <v>707</v>
      </c>
      <c r="T146" s="18" t="n">
        <v>0</v>
      </c>
      <c r="U146" s="18" t="n">
        <v>0</v>
      </c>
      <c r="V146" s="18" t="n">
        <v>0</v>
      </c>
      <c r="W146" s="18" t="n">
        <v>0</v>
      </c>
      <c r="X146" s="18" t="n">
        <v>0</v>
      </c>
      <c r="Y146" s="18" t="n">
        <v>0</v>
      </c>
      <c r="Z146" s="18" t="s">
        <v>1000</v>
      </c>
      <c r="AA146" s="18" t="s">
        <v>699</v>
      </c>
      <c r="AB146" s="18" t="s">
        <v>98</v>
      </c>
      <c r="AC146" s="18"/>
      <c r="AD146" s="23" t="str">
        <f aca="false">IF(A146="","",IF(COUNTIF(Parcels!$A$2:$A$3000,B146)=0,"Parcel not found",IF(COUNTIF($A$2:$A$3000,A146)&gt;1,"Duplicate perm_id",IF(AND(I146="Yes",C146&lt;&gt;"",COUNTIFS($C$2:$C$3000,C146,$I$2:$I$3000,"Yes")&gt;1),"Reference counted twice",IF(COUNTIF(Lists!$A$2:$A$7,H146)=0,"Unknown status","")))))</f>
        <v/>
      </c>
    </row>
    <row r="147" customFormat="false" ht="15" hidden="false" customHeight="false" outlineLevel="0" collapsed="false">
      <c r="A147" s="18" t="s">
        <v>1443</v>
      </c>
      <c r="B147" s="18" t="s">
        <v>555</v>
      </c>
      <c r="C147" s="18" t="s">
        <v>1444</v>
      </c>
      <c r="D147" s="18" t="s">
        <v>1444</v>
      </c>
      <c r="E147" s="18" t="s">
        <v>556</v>
      </c>
      <c r="F147" s="18" t="n">
        <v>51</v>
      </c>
      <c r="G147" s="18"/>
      <c r="H147" s="18" t="s">
        <v>688</v>
      </c>
      <c r="I147" s="18" t="s">
        <v>689</v>
      </c>
      <c r="J147" s="18" t="s">
        <v>690</v>
      </c>
      <c r="K147" s="18" t="s">
        <v>691</v>
      </c>
      <c r="L147" s="18" t="s">
        <v>105</v>
      </c>
      <c r="M147" s="18" t="s">
        <v>704</v>
      </c>
      <c r="N147" s="18" t="s">
        <v>1445</v>
      </c>
      <c r="O147" s="18" t="s">
        <v>1446</v>
      </c>
      <c r="P147" s="18"/>
      <c r="Q147" s="18" t="s">
        <v>956</v>
      </c>
      <c r="R147" s="18" t="s">
        <v>870</v>
      </c>
      <c r="S147" s="18" t="s">
        <v>739</v>
      </c>
      <c r="T147" s="18" t="n">
        <v>0</v>
      </c>
      <c r="U147" s="18" t="n">
        <v>0</v>
      </c>
      <c r="V147" s="18" t="n">
        <v>39.8</v>
      </c>
      <c r="W147" s="18" t="n">
        <v>11.2</v>
      </c>
      <c r="X147" s="18" t="n">
        <v>0</v>
      </c>
      <c r="Y147" s="18" t="n">
        <v>0</v>
      </c>
      <c r="Z147" s="18" t="s">
        <v>1000</v>
      </c>
      <c r="AA147" s="18" t="s">
        <v>699</v>
      </c>
      <c r="AB147" s="18" t="s">
        <v>98</v>
      </c>
      <c r="AC147" s="18"/>
      <c r="AD147" s="23" t="str">
        <f aca="false">IF(A147="","",IF(COUNTIF(Parcels!$A$2:$A$3000,B147)=0,"Parcel not found",IF(COUNTIF($A$2:$A$3000,A147)&gt;1,"Duplicate perm_id",IF(AND(I147="Yes",C147&lt;&gt;"",COUNTIFS($C$2:$C$3000,C147,$I$2:$I$3000,"Yes")&gt;1),"Reference counted twice",IF(COUNTIF(Lists!$A$2:$A$7,H147)=0,"Unknown status","")))))</f>
        <v/>
      </c>
    </row>
    <row r="148" customFormat="false" ht="15" hidden="false" customHeight="false" outlineLevel="0" collapsed="false">
      <c r="A148" s="18" t="s">
        <v>1447</v>
      </c>
      <c r="B148" s="18" t="s">
        <v>557</v>
      </c>
      <c r="C148" s="18" t="s">
        <v>1448</v>
      </c>
      <c r="D148" s="18" t="s">
        <v>1449</v>
      </c>
      <c r="E148" s="18" t="s">
        <v>1450</v>
      </c>
      <c r="F148" s="18" t="n">
        <v>18</v>
      </c>
      <c r="G148" s="18"/>
      <c r="H148" s="18" t="s">
        <v>688</v>
      </c>
      <c r="I148" s="18" t="s">
        <v>689</v>
      </c>
      <c r="J148" s="18" t="s">
        <v>690</v>
      </c>
      <c r="K148" s="18" t="s">
        <v>713</v>
      </c>
      <c r="L148" s="18" t="s">
        <v>714</v>
      </c>
      <c r="M148" s="18" t="s">
        <v>715</v>
      </c>
      <c r="N148" s="18" t="s">
        <v>1451</v>
      </c>
      <c r="O148" s="18"/>
      <c r="P148" s="18"/>
      <c r="Q148" s="18" t="s">
        <v>695</v>
      </c>
      <c r="R148" s="18" t="s">
        <v>805</v>
      </c>
      <c r="S148" s="18" t="s">
        <v>697</v>
      </c>
      <c r="T148" s="18" t="n">
        <v>0</v>
      </c>
      <c r="U148" s="18" t="n">
        <v>0</v>
      </c>
      <c r="V148" s="18" t="n">
        <v>7.5</v>
      </c>
      <c r="W148" s="18" t="n">
        <v>10.5</v>
      </c>
      <c r="X148" s="18" t="n">
        <v>0</v>
      </c>
      <c r="Y148" s="18" t="n">
        <v>0</v>
      </c>
      <c r="Z148" s="18" t="s">
        <v>1000</v>
      </c>
      <c r="AA148" s="18" t="s">
        <v>699</v>
      </c>
      <c r="AB148" s="18" t="s">
        <v>98</v>
      </c>
      <c r="AC148" s="18"/>
      <c r="AD148" s="23" t="str">
        <f aca="false">IF(A148="","",IF(COUNTIF(Parcels!$A$2:$A$3000,B148)=0,"Parcel not found",IF(COUNTIF($A$2:$A$3000,A148)&gt;1,"Duplicate perm_id",IF(AND(I148="Yes",C148&lt;&gt;"",COUNTIFS($C$2:$C$3000,C148,$I$2:$I$3000,"Yes")&gt;1),"Reference counted twice",IF(COUNTIF(Lists!$A$2:$A$7,H148)=0,"Unknown status","")))))</f>
        <v/>
      </c>
    </row>
    <row r="149" customFormat="false" ht="15" hidden="false" customHeight="false" outlineLevel="0" collapsed="false">
      <c r="A149" s="18" t="s">
        <v>1452</v>
      </c>
      <c r="B149" s="18" t="s">
        <v>557</v>
      </c>
      <c r="C149" s="18" t="s">
        <v>1453</v>
      </c>
      <c r="D149" s="18" t="s">
        <v>1453</v>
      </c>
      <c r="E149" s="18" t="s">
        <v>558</v>
      </c>
      <c r="F149" s="18" t="n">
        <v>18</v>
      </c>
      <c r="G149" s="18"/>
      <c r="H149" s="18" t="s">
        <v>711</v>
      </c>
      <c r="I149" s="18" t="s">
        <v>689</v>
      </c>
      <c r="J149" s="18" t="s">
        <v>712</v>
      </c>
      <c r="K149" s="18" t="s">
        <v>713</v>
      </c>
      <c r="L149" s="18" t="s">
        <v>714</v>
      </c>
      <c r="M149" s="18" t="s">
        <v>715</v>
      </c>
      <c r="N149" s="18" t="s">
        <v>1454</v>
      </c>
      <c r="O149" s="18"/>
      <c r="P149" s="18" t="s">
        <v>1455</v>
      </c>
      <c r="Q149" s="18" t="s">
        <v>1456</v>
      </c>
      <c r="R149" s="18" t="s">
        <v>719</v>
      </c>
      <c r="S149" s="18" t="s">
        <v>720</v>
      </c>
      <c r="T149" s="18" t="n">
        <v>4.2</v>
      </c>
      <c r="U149" s="18" t="n">
        <v>13.8</v>
      </c>
      <c r="V149" s="18" t="n">
        <v>0</v>
      </c>
      <c r="W149" s="18" t="n">
        <v>0</v>
      </c>
      <c r="X149" s="18" t="n">
        <v>0</v>
      </c>
      <c r="Y149" s="18" t="n">
        <v>0</v>
      </c>
      <c r="Z149" s="18" t="s">
        <v>1000</v>
      </c>
      <c r="AA149" s="18" t="s">
        <v>699</v>
      </c>
      <c r="AB149" s="18" t="s">
        <v>98</v>
      </c>
      <c r="AC149" s="18"/>
      <c r="AD149" s="23" t="str">
        <f aca="false">IF(A149="","",IF(COUNTIF(Parcels!$A$2:$A$3000,B149)=0,"Parcel not found",IF(COUNTIF($A$2:$A$3000,A149)&gt;1,"Duplicate perm_id",IF(AND(I149="Yes",C149&lt;&gt;"",COUNTIFS($C$2:$C$3000,C149,$I$2:$I$3000,"Yes")&gt;1),"Reference counted twice",IF(COUNTIF(Lists!$A$2:$A$7,H149)=0,"Unknown status","")))))</f>
        <v/>
      </c>
    </row>
    <row r="150" customFormat="false" ht="15" hidden="false" customHeight="false" outlineLevel="0" collapsed="false">
      <c r="A150" s="18" t="s">
        <v>1457</v>
      </c>
      <c r="B150" s="18" t="s">
        <v>559</v>
      </c>
      <c r="C150" s="18" t="s">
        <v>1458</v>
      </c>
      <c r="D150" s="18" t="s">
        <v>1458</v>
      </c>
      <c r="E150" s="18" t="s">
        <v>560</v>
      </c>
      <c r="F150" s="18" t="n">
        <v>10</v>
      </c>
      <c r="G150" s="18"/>
      <c r="H150" s="18" t="s">
        <v>728</v>
      </c>
      <c r="I150" s="18" t="s">
        <v>689</v>
      </c>
      <c r="J150" s="18" t="s">
        <v>690</v>
      </c>
      <c r="K150" s="18" t="s">
        <v>713</v>
      </c>
      <c r="L150" s="18" t="s">
        <v>714</v>
      </c>
      <c r="M150" s="18" t="s">
        <v>715</v>
      </c>
      <c r="N150" s="18" t="s">
        <v>1459</v>
      </c>
      <c r="O150" s="18"/>
      <c r="P150" s="18" t="s">
        <v>1460</v>
      </c>
      <c r="Q150" s="18"/>
      <c r="R150" s="18"/>
      <c r="S150" s="18" t="s">
        <v>731</v>
      </c>
      <c r="T150" s="18" t="n">
        <v>0</v>
      </c>
      <c r="U150" s="18" t="n">
        <v>0</v>
      </c>
      <c r="V150" s="18" t="n">
        <v>0</v>
      </c>
      <c r="W150" s="18" t="n">
        <v>0</v>
      </c>
      <c r="X150" s="18" t="n">
        <v>0</v>
      </c>
      <c r="Y150" s="18" t="n">
        <v>0</v>
      </c>
      <c r="Z150" s="18" t="s">
        <v>1000</v>
      </c>
      <c r="AA150" s="18" t="s">
        <v>699</v>
      </c>
      <c r="AB150" s="18" t="s">
        <v>98</v>
      </c>
      <c r="AC150" s="18"/>
      <c r="AD150" s="23" t="str">
        <f aca="false">IF(A150="","",IF(COUNTIF(Parcels!$A$2:$A$3000,B150)=0,"Parcel not found",IF(COUNTIF($A$2:$A$3000,A150)&gt;1,"Duplicate perm_id",IF(AND(I150="Yes",C150&lt;&gt;"",COUNTIFS($C$2:$C$3000,C150,$I$2:$I$3000,"Yes")&gt;1),"Reference counted twice",IF(COUNTIF(Lists!$A$2:$A$7,H150)=0,"Unknown status","")))))</f>
        <v/>
      </c>
    </row>
    <row r="151" customFormat="false" ht="15" hidden="false" customHeight="false" outlineLevel="0" collapsed="false">
      <c r="A151" s="18" t="s">
        <v>1461</v>
      </c>
      <c r="B151" s="18" t="s">
        <v>336</v>
      </c>
      <c r="C151" s="18" t="s">
        <v>1462</v>
      </c>
      <c r="D151" s="18" t="s">
        <v>1462</v>
      </c>
      <c r="E151" s="18" t="s">
        <v>337</v>
      </c>
      <c r="F151" s="18" t="n">
        <v>2</v>
      </c>
      <c r="G151" s="18"/>
      <c r="H151" s="18" t="s">
        <v>711</v>
      </c>
      <c r="I151" s="18" t="s">
        <v>689</v>
      </c>
      <c r="J151" s="18" t="s">
        <v>712</v>
      </c>
      <c r="K151" s="18" t="s">
        <v>691</v>
      </c>
      <c r="L151" s="18" t="s">
        <v>105</v>
      </c>
      <c r="M151" s="18" t="s">
        <v>704</v>
      </c>
      <c r="N151" s="18" t="s">
        <v>1463</v>
      </c>
      <c r="O151" s="18" t="s">
        <v>1464</v>
      </c>
      <c r="P151" s="18" t="s">
        <v>1371</v>
      </c>
      <c r="Q151" s="18" t="s">
        <v>758</v>
      </c>
      <c r="R151" s="18" t="s">
        <v>719</v>
      </c>
      <c r="S151" s="18" t="s">
        <v>720</v>
      </c>
      <c r="T151" s="18" t="n">
        <v>0.5</v>
      </c>
      <c r="U151" s="18" t="n">
        <v>1.5</v>
      </c>
      <c r="V151" s="18" t="n">
        <v>0</v>
      </c>
      <c r="W151" s="18" t="n">
        <v>0</v>
      </c>
      <c r="X151" s="18" t="n">
        <v>0</v>
      </c>
      <c r="Y151" s="18" t="n">
        <v>0</v>
      </c>
      <c r="Z151" s="18" t="s">
        <v>1000</v>
      </c>
      <c r="AA151" s="18" t="s">
        <v>699</v>
      </c>
      <c r="AB151" s="18" t="s">
        <v>98</v>
      </c>
      <c r="AC151" s="18"/>
      <c r="AD151" s="23" t="str">
        <f aca="false">IF(A151="","",IF(COUNTIF(Parcels!$A$2:$A$3000,B151)=0,"Parcel not found",IF(COUNTIF($A$2:$A$3000,A151)&gt;1,"Duplicate perm_id",IF(AND(I151="Yes",C151&lt;&gt;"",COUNTIFS($C$2:$C$3000,C151,$I$2:$I$3000,"Yes")&gt;1),"Reference counted twice",IF(COUNTIF(Lists!$A$2:$A$7,H151)=0,"Unknown status","")))))</f>
        <v/>
      </c>
    </row>
    <row r="152" customFormat="false" ht="15" hidden="false" customHeight="false" outlineLevel="0" collapsed="false">
      <c r="A152" s="18" t="s">
        <v>1465</v>
      </c>
      <c r="B152" s="18" t="s">
        <v>561</v>
      </c>
      <c r="C152" s="18" t="s">
        <v>1466</v>
      </c>
      <c r="D152" s="18" t="s">
        <v>1466</v>
      </c>
      <c r="E152" s="18" t="s">
        <v>562</v>
      </c>
      <c r="F152" s="18" t="n">
        <v>9</v>
      </c>
      <c r="G152" s="18"/>
      <c r="H152" s="18" t="s">
        <v>728</v>
      </c>
      <c r="I152" s="18" t="s">
        <v>689</v>
      </c>
      <c r="J152" s="18" t="s">
        <v>712</v>
      </c>
      <c r="K152" s="18" t="s">
        <v>691</v>
      </c>
      <c r="L152" s="18" t="s">
        <v>105</v>
      </c>
      <c r="M152" s="18" t="s">
        <v>704</v>
      </c>
      <c r="N152" s="18" t="s">
        <v>1467</v>
      </c>
      <c r="O152" s="18" t="s">
        <v>1468</v>
      </c>
      <c r="P152" s="18" t="s">
        <v>1469</v>
      </c>
      <c r="Q152" s="18"/>
      <c r="R152" s="18"/>
      <c r="S152" s="18" t="s">
        <v>731</v>
      </c>
      <c r="T152" s="18" t="n">
        <v>0</v>
      </c>
      <c r="U152" s="18" t="n">
        <v>0</v>
      </c>
      <c r="V152" s="18" t="n">
        <v>0</v>
      </c>
      <c r="W152" s="18" t="n">
        <v>0</v>
      </c>
      <c r="X152" s="18" t="n">
        <v>0</v>
      </c>
      <c r="Y152" s="18" t="n">
        <v>0</v>
      </c>
      <c r="Z152" s="18" t="s">
        <v>1000</v>
      </c>
      <c r="AA152" s="18" t="s">
        <v>699</v>
      </c>
      <c r="AB152" s="18" t="s">
        <v>98</v>
      </c>
      <c r="AC152" s="18"/>
      <c r="AD152" s="23" t="str">
        <f aca="false">IF(A152="","",IF(COUNTIF(Parcels!$A$2:$A$3000,B152)=0,"Parcel not found",IF(COUNTIF($A$2:$A$3000,A152)&gt;1,"Duplicate perm_id",IF(AND(I152="Yes",C152&lt;&gt;"",COUNTIFS($C$2:$C$3000,C152,$I$2:$I$3000,"Yes")&gt;1),"Reference counted twice",IF(COUNTIF(Lists!$A$2:$A$7,H152)=0,"Unknown status","")))))</f>
        <v/>
      </c>
    </row>
    <row r="153" customFormat="false" ht="15" hidden="false" customHeight="false" outlineLevel="0" collapsed="false">
      <c r="A153" s="18" t="s">
        <v>1470</v>
      </c>
      <c r="B153" s="18" t="s">
        <v>368</v>
      </c>
      <c r="C153" s="18" t="s">
        <v>1471</v>
      </c>
      <c r="D153" s="18" t="s">
        <v>1471</v>
      </c>
      <c r="E153" s="18" t="s">
        <v>369</v>
      </c>
      <c r="F153" s="18" t="n">
        <v>29</v>
      </c>
      <c r="G153" s="18"/>
      <c r="H153" s="18" t="s">
        <v>688</v>
      </c>
      <c r="I153" s="18" t="s">
        <v>689</v>
      </c>
      <c r="J153" s="18" t="s">
        <v>712</v>
      </c>
      <c r="K153" s="18" t="s">
        <v>691</v>
      </c>
      <c r="L153" s="18" t="s">
        <v>105</v>
      </c>
      <c r="M153" s="18" t="s">
        <v>704</v>
      </c>
      <c r="N153" s="18" t="s">
        <v>1136</v>
      </c>
      <c r="O153" s="18" t="s">
        <v>1472</v>
      </c>
      <c r="P153" s="18"/>
      <c r="Q153" s="18" t="s">
        <v>695</v>
      </c>
      <c r="R153" s="18" t="s">
        <v>738</v>
      </c>
      <c r="S153" s="18" t="s">
        <v>697</v>
      </c>
      <c r="T153" s="18" t="n">
        <v>0</v>
      </c>
      <c r="U153" s="18" t="n">
        <v>0</v>
      </c>
      <c r="V153" s="18" t="n">
        <v>22</v>
      </c>
      <c r="W153" s="18" t="n">
        <v>7</v>
      </c>
      <c r="X153" s="18" t="n">
        <v>0</v>
      </c>
      <c r="Y153" s="18" t="n">
        <v>0</v>
      </c>
      <c r="Z153" s="18" t="s">
        <v>1000</v>
      </c>
      <c r="AA153" s="18" t="s">
        <v>699</v>
      </c>
      <c r="AB153" s="18" t="s">
        <v>98</v>
      </c>
      <c r="AC153" s="18"/>
      <c r="AD153" s="23" t="str">
        <f aca="false">IF(A153="","",IF(COUNTIF(Parcels!$A$2:$A$3000,B153)=0,"Parcel not found",IF(COUNTIF($A$2:$A$3000,A153)&gt;1,"Duplicate perm_id",IF(AND(I153="Yes",C153&lt;&gt;"",COUNTIFS($C$2:$C$3000,C153,$I$2:$I$3000,"Yes")&gt;1),"Reference counted twice",IF(COUNTIF(Lists!$A$2:$A$7,H153)=0,"Unknown status","")))))</f>
        <v/>
      </c>
    </row>
    <row r="154" customFormat="false" ht="15" hidden="false" customHeight="false" outlineLevel="0" collapsed="false">
      <c r="A154" s="18" t="s">
        <v>1473</v>
      </c>
      <c r="B154" s="18" t="s">
        <v>441</v>
      </c>
      <c r="C154" s="18" t="s">
        <v>1474</v>
      </c>
      <c r="D154" s="18" t="s">
        <v>1474</v>
      </c>
      <c r="E154" s="18" t="s">
        <v>442</v>
      </c>
      <c r="F154" s="18" t="n">
        <v>30</v>
      </c>
      <c r="G154" s="18"/>
      <c r="H154" s="18" t="s">
        <v>688</v>
      </c>
      <c r="I154" s="18" t="s">
        <v>689</v>
      </c>
      <c r="J154" s="18" t="s">
        <v>690</v>
      </c>
      <c r="K154" s="18" t="s">
        <v>691</v>
      </c>
      <c r="L154" s="18" t="s">
        <v>105</v>
      </c>
      <c r="M154" s="18" t="s">
        <v>704</v>
      </c>
      <c r="N154" s="18" t="s">
        <v>1475</v>
      </c>
      <c r="O154" s="18" t="s">
        <v>1476</v>
      </c>
      <c r="P154" s="18"/>
      <c r="Q154" s="18" t="s">
        <v>695</v>
      </c>
      <c r="R154" s="18" t="s">
        <v>738</v>
      </c>
      <c r="S154" s="18" t="s">
        <v>697</v>
      </c>
      <c r="T154" s="18" t="n">
        <v>0</v>
      </c>
      <c r="U154" s="18" t="n">
        <v>0</v>
      </c>
      <c r="V154" s="18" t="n">
        <v>22.8</v>
      </c>
      <c r="W154" s="18" t="n">
        <v>7.2</v>
      </c>
      <c r="X154" s="18" t="n">
        <v>0</v>
      </c>
      <c r="Y154" s="18" t="n">
        <v>0</v>
      </c>
      <c r="Z154" s="18" t="s">
        <v>1000</v>
      </c>
      <c r="AA154" s="18" t="s">
        <v>699</v>
      </c>
      <c r="AB154" s="18" t="s">
        <v>98</v>
      </c>
      <c r="AC154" s="18"/>
      <c r="AD154" s="23" t="str">
        <f aca="false">IF(A154="","",IF(COUNTIF(Parcels!$A$2:$A$3000,B154)=0,"Parcel not found",IF(COUNTIF($A$2:$A$3000,A154)&gt;1,"Duplicate perm_id",IF(AND(I154="Yes",C154&lt;&gt;"",COUNTIFS($C$2:$C$3000,C154,$I$2:$I$3000,"Yes")&gt;1),"Reference counted twice",IF(COUNTIF(Lists!$A$2:$A$7,H154)=0,"Unknown status","")))))</f>
        <v/>
      </c>
    </row>
    <row r="155" customFormat="false" ht="15" hidden="false" customHeight="false" outlineLevel="0" collapsed="false">
      <c r="A155" s="18" t="s">
        <v>1477</v>
      </c>
      <c r="B155" s="18" t="s">
        <v>370</v>
      </c>
      <c r="C155" s="18" t="s">
        <v>1478</v>
      </c>
      <c r="D155" s="18" t="s">
        <v>1478</v>
      </c>
      <c r="E155" s="18" t="s">
        <v>371</v>
      </c>
      <c r="F155" s="18" t="n">
        <v>25</v>
      </c>
      <c r="G155" s="18" t="n">
        <v>116</v>
      </c>
      <c r="H155" s="18" t="s">
        <v>688</v>
      </c>
      <c r="I155" s="18" t="s">
        <v>689</v>
      </c>
      <c r="J155" s="18" t="s">
        <v>712</v>
      </c>
      <c r="K155" s="18" t="s">
        <v>797</v>
      </c>
      <c r="L155" s="18" t="s">
        <v>105</v>
      </c>
      <c r="M155" s="18" t="s">
        <v>704</v>
      </c>
      <c r="N155" s="18" t="s">
        <v>1479</v>
      </c>
      <c r="O155" s="18" t="s">
        <v>1480</v>
      </c>
      <c r="P155" s="18"/>
      <c r="Q155" s="18" t="s">
        <v>695</v>
      </c>
      <c r="R155" s="18" t="s">
        <v>979</v>
      </c>
      <c r="S155" s="18" t="s">
        <v>697</v>
      </c>
      <c r="T155" s="18" t="n">
        <v>0</v>
      </c>
      <c r="U155" s="18" t="n">
        <v>0</v>
      </c>
      <c r="V155" s="18" t="n">
        <v>25</v>
      </c>
      <c r="W155" s="18" t="n">
        <v>0</v>
      </c>
      <c r="X155" s="18" t="n">
        <v>0</v>
      </c>
      <c r="Y155" s="18" t="n">
        <v>0</v>
      </c>
      <c r="Z155" s="18" t="s">
        <v>1000</v>
      </c>
      <c r="AA155" s="18" t="s">
        <v>699</v>
      </c>
      <c r="AB155" s="18" t="s">
        <v>98</v>
      </c>
      <c r="AC155" s="18"/>
      <c r="AD155" s="23" t="str">
        <f aca="false">IF(A155="","",IF(COUNTIF(Parcels!$A$2:$A$3000,B155)=0,"Parcel not found",IF(COUNTIF($A$2:$A$3000,A155)&gt;1,"Duplicate perm_id",IF(AND(I155="Yes",C155&lt;&gt;"",COUNTIFS($C$2:$C$3000,C155,$I$2:$I$3000,"Yes")&gt;1),"Reference counted twice",IF(COUNTIF(Lists!$A$2:$A$7,H155)=0,"Unknown status","")))))</f>
        <v/>
      </c>
    </row>
    <row r="156" customFormat="false" ht="15" hidden="false" customHeight="false" outlineLevel="0" collapsed="false">
      <c r="A156" s="18" t="s">
        <v>1481</v>
      </c>
      <c r="B156" s="18" t="s">
        <v>304</v>
      </c>
      <c r="C156" s="18" t="s">
        <v>1482</v>
      </c>
      <c r="D156" s="18" t="s">
        <v>1482</v>
      </c>
      <c r="E156" s="18" t="s">
        <v>305</v>
      </c>
      <c r="F156" s="18" t="n">
        <v>28</v>
      </c>
      <c r="G156" s="18"/>
      <c r="H156" s="18" t="s">
        <v>711</v>
      </c>
      <c r="I156" s="18" t="s">
        <v>689</v>
      </c>
      <c r="J156" s="18" t="s">
        <v>690</v>
      </c>
      <c r="K156" s="18" t="s">
        <v>691</v>
      </c>
      <c r="L156" s="18" t="s">
        <v>105</v>
      </c>
      <c r="M156" s="18" t="s">
        <v>704</v>
      </c>
      <c r="N156" s="18" t="s">
        <v>1483</v>
      </c>
      <c r="O156" s="18" t="s">
        <v>1484</v>
      </c>
      <c r="P156" s="18" t="s">
        <v>1485</v>
      </c>
      <c r="Q156" s="18" t="s">
        <v>1379</v>
      </c>
      <c r="R156" s="18" t="s">
        <v>719</v>
      </c>
      <c r="S156" s="18" t="s">
        <v>720</v>
      </c>
      <c r="T156" s="18" t="n">
        <v>3.9</v>
      </c>
      <c r="U156" s="18" t="n">
        <v>24.1</v>
      </c>
      <c r="V156" s="18" t="n">
        <v>0</v>
      </c>
      <c r="W156" s="18" t="n">
        <v>0</v>
      </c>
      <c r="X156" s="18" t="n">
        <v>0</v>
      </c>
      <c r="Y156" s="18" t="n">
        <v>0</v>
      </c>
      <c r="Z156" s="18" t="s">
        <v>1000</v>
      </c>
      <c r="AA156" s="18" t="s">
        <v>699</v>
      </c>
      <c r="AB156" s="18" t="s">
        <v>98</v>
      </c>
      <c r="AC156" s="18"/>
      <c r="AD156" s="23" t="str">
        <f aca="false">IF(A156="","",IF(COUNTIF(Parcels!$A$2:$A$3000,B156)=0,"Parcel not found",IF(COUNTIF($A$2:$A$3000,A156)&gt;1,"Duplicate perm_id",IF(AND(I156="Yes",C156&lt;&gt;"",COUNTIFS($C$2:$C$3000,C156,$I$2:$I$3000,"Yes")&gt;1),"Reference counted twice",IF(COUNTIF(Lists!$A$2:$A$7,H156)=0,"Unknown status","")))))</f>
        <v/>
      </c>
    </row>
    <row r="157" customFormat="false" ht="15" hidden="false" customHeight="false" outlineLevel="0" collapsed="false">
      <c r="A157" s="18" t="s">
        <v>1486</v>
      </c>
      <c r="B157" s="18" t="s">
        <v>563</v>
      </c>
      <c r="C157" s="18" t="s">
        <v>1487</v>
      </c>
      <c r="D157" s="18" t="s">
        <v>1487</v>
      </c>
      <c r="E157" s="18" t="s">
        <v>564</v>
      </c>
      <c r="F157" s="18" t="n">
        <v>52</v>
      </c>
      <c r="G157" s="18"/>
      <c r="H157" s="18" t="s">
        <v>711</v>
      </c>
      <c r="I157" s="18" t="s">
        <v>689</v>
      </c>
      <c r="J157" s="18" t="s">
        <v>690</v>
      </c>
      <c r="K157" s="18" t="s">
        <v>691</v>
      </c>
      <c r="L157" s="18" t="s">
        <v>105</v>
      </c>
      <c r="M157" s="18" t="s">
        <v>704</v>
      </c>
      <c r="N157" s="18" t="s">
        <v>1488</v>
      </c>
      <c r="O157" s="18" t="s">
        <v>1489</v>
      </c>
      <c r="P157" s="18" t="s">
        <v>1490</v>
      </c>
      <c r="Q157" s="18" t="s">
        <v>968</v>
      </c>
      <c r="R157" s="18" t="s">
        <v>719</v>
      </c>
      <c r="S157" s="18" t="s">
        <v>720</v>
      </c>
      <c r="T157" s="18" t="n">
        <v>12.1</v>
      </c>
      <c r="U157" s="18" t="n">
        <v>39.9</v>
      </c>
      <c r="V157" s="18" t="n">
        <v>0</v>
      </c>
      <c r="W157" s="18" t="n">
        <v>0</v>
      </c>
      <c r="X157" s="18" t="n">
        <v>0</v>
      </c>
      <c r="Y157" s="18" t="n">
        <v>0</v>
      </c>
      <c r="Z157" s="18" t="s">
        <v>1000</v>
      </c>
      <c r="AA157" s="18" t="s">
        <v>699</v>
      </c>
      <c r="AB157" s="18" t="s">
        <v>98</v>
      </c>
      <c r="AC157" s="18"/>
      <c r="AD157" s="23" t="str">
        <f aca="false">IF(A157="","",IF(COUNTIF(Parcels!$A$2:$A$3000,B157)=0,"Parcel not found",IF(COUNTIF($A$2:$A$3000,A157)&gt;1,"Duplicate perm_id",IF(AND(I157="Yes",C157&lt;&gt;"",COUNTIFS($C$2:$C$3000,C157,$I$2:$I$3000,"Yes")&gt;1),"Reference counted twice",IF(COUNTIF(Lists!$A$2:$A$7,H157)=0,"Unknown status","")))))</f>
        <v/>
      </c>
    </row>
    <row r="158" customFormat="false" ht="15" hidden="false" customHeight="false" outlineLevel="0" collapsed="false">
      <c r="A158" s="18" t="s">
        <v>1491</v>
      </c>
      <c r="B158" s="18" t="s">
        <v>565</v>
      </c>
      <c r="C158" s="18" t="s">
        <v>1492</v>
      </c>
      <c r="D158" s="18" t="s">
        <v>1492</v>
      </c>
      <c r="E158" s="18" t="s">
        <v>566</v>
      </c>
      <c r="F158" s="18" t="n">
        <v>17</v>
      </c>
      <c r="G158" s="18"/>
      <c r="H158" s="18" t="s">
        <v>728</v>
      </c>
      <c r="I158" s="18" t="s">
        <v>689</v>
      </c>
      <c r="J158" s="18" t="s">
        <v>690</v>
      </c>
      <c r="K158" s="18" t="s">
        <v>713</v>
      </c>
      <c r="L158" s="18" t="s">
        <v>743</v>
      </c>
      <c r="M158" s="18" t="s">
        <v>704</v>
      </c>
      <c r="N158" s="18" t="s">
        <v>1493</v>
      </c>
      <c r="O158" s="18" t="s">
        <v>1494</v>
      </c>
      <c r="P158" s="18" t="s">
        <v>1495</v>
      </c>
      <c r="Q158" s="18"/>
      <c r="R158" s="18"/>
      <c r="S158" s="18" t="s">
        <v>731</v>
      </c>
      <c r="T158" s="18" t="n">
        <v>0</v>
      </c>
      <c r="U158" s="18" t="n">
        <v>0</v>
      </c>
      <c r="V158" s="18" t="n">
        <v>0</v>
      </c>
      <c r="W158" s="18" t="n">
        <v>0</v>
      </c>
      <c r="X158" s="18" t="n">
        <v>0</v>
      </c>
      <c r="Y158" s="18" t="n">
        <v>0</v>
      </c>
      <c r="Z158" s="18" t="s">
        <v>1000</v>
      </c>
      <c r="AA158" s="18" t="s">
        <v>699</v>
      </c>
      <c r="AB158" s="18" t="s">
        <v>98</v>
      </c>
      <c r="AC158" s="18"/>
      <c r="AD158" s="23" t="str">
        <f aca="false">IF(A158="","",IF(COUNTIF(Parcels!$A$2:$A$3000,B158)=0,"Parcel not found",IF(COUNTIF($A$2:$A$3000,A158)&gt;1,"Duplicate perm_id",IF(AND(I158="Yes",C158&lt;&gt;"",COUNTIFS($C$2:$C$3000,C158,$I$2:$I$3000,"Yes")&gt;1),"Reference counted twice",IF(COUNTIF(Lists!$A$2:$A$7,H158)=0,"Unknown status","")))))</f>
        <v/>
      </c>
    </row>
    <row r="159" customFormat="false" ht="15" hidden="false" customHeight="false" outlineLevel="0" collapsed="false">
      <c r="A159" s="18" t="s">
        <v>1496</v>
      </c>
      <c r="B159" s="18" t="s">
        <v>372</v>
      </c>
      <c r="C159" s="18" t="s">
        <v>1497</v>
      </c>
      <c r="D159" s="18" t="s">
        <v>1497</v>
      </c>
      <c r="E159" s="18" t="s">
        <v>373</v>
      </c>
      <c r="F159" s="18" t="n">
        <v>24</v>
      </c>
      <c r="G159" s="18"/>
      <c r="H159" s="18" t="s">
        <v>688</v>
      </c>
      <c r="I159" s="18" t="s">
        <v>689</v>
      </c>
      <c r="J159" s="18" t="s">
        <v>690</v>
      </c>
      <c r="K159" s="18" t="s">
        <v>691</v>
      </c>
      <c r="L159" s="18" t="s">
        <v>105</v>
      </c>
      <c r="M159" s="18" t="s">
        <v>704</v>
      </c>
      <c r="N159" s="18" t="s">
        <v>1498</v>
      </c>
      <c r="O159" s="18" t="s">
        <v>1499</v>
      </c>
      <c r="P159" s="18"/>
      <c r="Q159" s="18" t="s">
        <v>695</v>
      </c>
      <c r="R159" s="18" t="s">
        <v>877</v>
      </c>
      <c r="S159" s="18" t="s">
        <v>697</v>
      </c>
      <c r="T159" s="18" t="n">
        <v>0</v>
      </c>
      <c r="U159" s="18" t="n">
        <v>0</v>
      </c>
      <c r="V159" s="18" t="n">
        <v>6.2</v>
      </c>
      <c r="W159" s="18" t="n">
        <v>12.8</v>
      </c>
      <c r="X159" s="18" t="n">
        <v>5</v>
      </c>
      <c r="Y159" s="18" t="n">
        <v>0</v>
      </c>
      <c r="Z159" s="18" t="s">
        <v>1000</v>
      </c>
      <c r="AA159" s="18" t="s">
        <v>699</v>
      </c>
      <c r="AB159" s="18" t="s">
        <v>98</v>
      </c>
      <c r="AC159" s="18"/>
      <c r="AD159" s="23" t="str">
        <f aca="false">IF(A159="","",IF(COUNTIF(Parcels!$A$2:$A$3000,B159)=0,"Parcel not found",IF(COUNTIF($A$2:$A$3000,A159)&gt;1,"Duplicate perm_id",IF(AND(I159="Yes",C159&lt;&gt;"",COUNTIFS($C$2:$C$3000,C159,$I$2:$I$3000,"Yes")&gt;1),"Reference counted twice",IF(COUNTIF(Lists!$A$2:$A$7,H159)=0,"Unknown status","")))))</f>
        <v/>
      </c>
    </row>
    <row r="160" customFormat="false" ht="15" hidden="false" customHeight="false" outlineLevel="0" collapsed="false">
      <c r="A160" s="18" t="s">
        <v>1500</v>
      </c>
      <c r="B160" s="18" t="s">
        <v>374</v>
      </c>
      <c r="C160" s="18" t="s">
        <v>1501</v>
      </c>
      <c r="D160" s="18" t="s">
        <v>1501</v>
      </c>
      <c r="E160" s="18" t="s">
        <v>1502</v>
      </c>
      <c r="F160" s="18" t="n">
        <v>8</v>
      </c>
      <c r="G160" s="18"/>
      <c r="H160" s="18" t="s">
        <v>703</v>
      </c>
      <c r="I160" s="18" t="s">
        <v>689</v>
      </c>
      <c r="J160" s="18" t="s">
        <v>690</v>
      </c>
      <c r="K160" s="18" t="s">
        <v>691</v>
      </c>
      <c r="L160" s="18" t="s">
        <v>105</v>
      </c>
      <c r="M160" s="18" t="s">
        <v>704</v>
      </c>
      <c r="N160" s="18" t="s">
        <v>1503</v>
      </c>
      <c r="O160" s="18" t="s">
        <v>1504</v>
      </c>
      <c r="P160" s="18"/>
      <c r="Q160" s="18"/>
      <c r="R160" s="18"/>
      <c r="S160" s="18" t="s">
        <v>707</v>
      </c>
      <c r="T160" s="18" t="n">
        <v>0</v>
      </c>
      <c r="U160" s="18" t="n">
        <v>0</v>
      </c>
      <c r="V160" s="18" t="n">
        <v>0</v>
      </c>
      <c r="W160" s="18" t="n">
        <v>0</v>
      </c>
      <c r="X160" s="18" t="n">
        <v>0</v>
      </c>
      <c r="Y160" s="18" t="n">
        <v>0</v>
      </c>
      <c r="Z160" s="18" t="s">
        <v>1000</v>
      </c>
      <c r="AA160" s="18" t="s">
        <v>699</v>
      </c>
      <c r="AB160" s="18" t="s">
        <v>98</v>
      </c>
      <c r="AC160" s="18"/>
      <c r="AD160" s="23" t="str">
        <f aca="false">IF(A160="","",IF(COUNTIF(Parcels!$A$2:$A$3000,B160)=0,"Parcel not found",IF(COUNTIF($A$2:$A$3000,A160)&gt;1,"Duplicate perm_id",IF(AND(I160="Yes",C160&lt;&gt;"",COUNTIFS($C$2:$C$3000,C160,$I$2:$I$3000,"Yes")&gt;1),"Reference counted twice",IF(COUNTIF(Lists!$A$2:$A$7,H160)=0,"Unknown status","")))))</f>
        <v/>
      </c>
    </row>
    <row r="161" customFormat="false" ht="15" hidden="false" customHeight="false" outlineLevel="0" collapsed="false">
      <c r="A161" s="18" t="s">
        <v>1505</v>
      </c>
      <c r="B161" s="18" t="s">
        <v>374</v>
      </c>
      <c r="C161" s="18" t="s">
        <v>1506</v>
      </c>
      <c r="D161" s="18" t="s">
        <v>1506</v>
      </c>
      <c r="E161" s="18" t="s">
        <v>375</v>
      </c>
      <c r="F161" s="18" t="n">
        <v>9</v>
      </c>
      <c r="G161" s="18"/>
      <c r="H161" s="18" t="s">
        <v>728</v>
      </c>
      <c r="I161" s="18" t="s">
        <v>689</v>
      </c>
      <c r="J161" s="18" t="s">
        <v>712</v>
      </c>
      <c r="K161" s="18" t="s">
        <v>691</v>
      </c>
      <c r="L161" s="18" t="s">
        <v>105</v>
      </c>
      <c r="M161" s="18" t="s">
        <v>704</v>
      </c>
      <c r="N161" s="18" t="s">
        <v>1507</v>
      </c>
      <c r="O161" s="18" t="s">
        <v>1508</v>
      </c>
      <c r="P161" s="18" t="s">
        <v>1509</v>
      </c>
      <c r="Q161" s="18"/>
      <c r="R161" s="18"/>
      <c r="S161" s="18" t="s">
        <v>731</v>
      </c>
      <c r="T161" s="18" t="n">
        <v>0</v>
      </c>
      <c r="U161" s="18" t="n">
        <v>0</v>
      </c>
      <c r="V161" s="18" t="n">
        <v>0</v>
      </c>
      <c r="W161" s="18" t="n">
        <v>0</v>
      </c>
      <c r="X161" s="18" t="n">
        <v>0</v>
      </c>
      <c r="Y161" s="18" t="n">
        <v>0</v>
      </c>
      <c r="Z161" s="18" t="s">
        <v>1000</v>
      </c>
      <c r="AA161" s="18" t="s">
        <v>699</v>
      </c>
      <c r="AB161" s="18" t="s">
        <v>98</v>
      </c>
      <c r="AC161" s="18"/>
      <c r="AD161" s="23" t="str">
        <f aca="false">IF(A161="","",IF(COUNTIF(Parcels!$A$2:$A$3000,B161)=0,"Parcel not found",IF(COUNTIF($A$2:$A$3000,A161)&gt;1,"Duplicate perm_id",IF(AND(I161="Yes",C161&lt;&gt;"",COUNTIFS($C$2:$C$3000,C161,$I$2:$I$3000,"Yes")&gt;1),"Reference counted twice",IF(COUNTIF(Lists!$A$2:$A$7,H161)=0,"Unknown status","")))))</f>
        <v/>
      </c>
    </row>
    <row r="162" customFormat="false" ht="15" hidden="false" customHeight="false" outlineLevel="0" collapsed="false">
      <c r="A162" s="18" t="s">
        <v>1510</v>
      </c>
      <c r="B162" s="18" t="s">
        <v>567</v>
      </c>
      <c r="C162" s="18" t="s">
        <v>1511</v>
      </c>
      <c r="D162" s="18" t="s">
        <v>1511</v>
      </c>
      <c r="E162" s="18" t="s">
        <v>568</v>
      </c>
      <c r="F162" s="18" t="n">
        <v>13</v>
      </c>
      <c r="G162" s="18"/>
      <c r="H162" s="18" t="s">
        <v>728</v>
      </c>
      <c r="I162" s="18" t="s">
        <v>689</v>
      </c>
      <c r="J162" s="18" t="s">
        <v>690</v>
      </c>
      <c r="K162" s="18" t="s">
        <v>691</v>
      </c>
      <c r="L162" s="18" t="s">
        <v>105</v>
      </c>
      <c r="M162" s="18" t="s">
        <v>704</v>
      </c>
      <c r="N162" s="18" t="s">
        <v>1512</v>
      </c>
      <c r="O162" s="18" t="s">
        <v>1513</v>
      </c>
      <c r="P162" s="18" t="s">
        <v>1514</v>
      </c>
      <c r="Q162" s="18"/>
      <c r="R162" s="18"/>
      <c r="S162" s="18" t="s">
        <v>731</v>
      </c>
      <c r="T162" s="18" t="n">
        <v>0</v>
      </c>
      <c r="U162" s="18" t="n">
        <v>0</v>
      </c>
      <c r="V162" s="18" t="n">
        <v>0</v>
      </c>
      <c r="W162" s="18" t="n">
        <v>0</v>
      </c>
      <c r="X162" s="18" t="n">
        <v>0</v>
      </c>
      <c r="Y162" s="18" t="n">
        <v>0</v>
      </c>
      <c r="Z162" s="18" t="s">
        <v>1000</v>
      </c>
      <c r="AA162" s="18" t="s">
        <v>699</v>
      </c>
      <c r="AB162" s="18" t="s">
        <v>98</v>
      </c>
      <c r="AC162" s="18"/>
      <c r="AD162" s="23" t="str">
        <f aca="false">IF(A162="","",IF(COUNTIF(Parcels!$A$2:$A$3000,B162)=0,"Parcel not found",IF(COUNTIF($A$2:$A$3000,A162)&gt;1,"Duplicate perm_id",IF(AND(I162="Yes",C162&lt;&gt;"",COUNTIFS($C$2:$C$3000,C162,$I$2:$I$3000,"Yes")&gt;1),"Reference counted twice",IF(COUNTIF(Lists!$A$2:$A$7,H162)=0,"Unknown status","")))))</f>
        <v/>
      </c>
    </row>
    <row r="163" customFormat="false" ht="15" hidden="false" customHeight="false" outlineLevel="0" collapsed="false">
      <c r="A163" s="18" t="s">
        <v>1515</v>
      </c>
      <c r="B163" s="18" t="s">
        <v>569</v>
      </c>
      <c r="C163" s="18" t="s">
        <v>1516</v>
      </c>
      <c r="D163" s="18" t="s">
        <v>1516</v>
      </c>
      <c r="E163" s="18" t="s">
        <v>570</v>
      </c>
      <c r="F163" s="18" t="n">
        <v>32</v>
      </c>
      <c r="G163" s="18"/>
      <c r="H163" s="18" t="s">
        <v>688</v>
      </c>
      <c r="I163" s="18" t="s">
        <v>689</v>
      </c>
      <c r="J163" s="18" t="s">
        <v>690</v>
      </c>
      <c r="K163" s="18" t="s">
        <v>691</v>
      </c>
      <c r="L163" s="18" t="s">
        <v>105</v>
      </c>
      <c r="M163" s="18" t="s">
        <v>704</v>
      </c>
      <c r="N163" s="18" t="s">
        <v>1517</v>
      </c>
      <c r="O163" s="18" t="s">
        <v>1518</v>
      </c>
      <c r="P163" s="18"/>
      <c r="Q163" s="18" t="s">
        <v>695</v>
      </c>
      <c r="R163" s="18" t="s">
        <v>870</v>
      </c>
      <c r="S163" s="18" t="s">
        <v>697</v>
      </c>
      <c r="T163" s="18" t="n">
        <v>0</v>
      </c>
      <c r="U163" s="18" t="n">
        <v>0</v>
      </c>
      <c r="V163" s="18" t="n">
        <v>23.6</v>
      </c>
      <c r="W163" s="18" t="n">
        <v>8.4</v>
      </c>
      <c r="X163" s="18" t="n">
        <v>0</v>
      </c>
      <c r="Y163" s="18" t="n">
        <v>0</v>
      </c>
      <c r="Z163" s="18" t="s">
        <v>1000</v>
      </c>
      <c r="AA163" s="18" t="s">
        <v>699</v>
      </c>
      <c r="AB163" s="18" t="s">
        <v>98</v>
      </c>
      <c r="AC163" s="18"/>
      <c r="AD163" s="23" t="str">
        <f aca="false">IF(A163="","",IF(COUNTIF(Parcels!$A$2:$A$3000,B163)=0,"Parcel not found",IF(COUNTIF($A$2:$A$3000,A163)&gt;1,"Duplicate perm_id",IF(AND(I163="Yes",C163&lt;&gt;"",COUNTIFS($C$2:$C$3000,C163,$I$2:$I$3000,"Yes")&gt;1),"Reference counted twice",IF(COUNTIF(Lists!$A$2:$A$7,H163)=0,"Unknown status","")))))</f>
        <v/>
      </c>
    </row>
    <row r="164" customFormat="false" ht="15" hidden="false" customHeight="false" outlineLevel="0" collapsed="false">
      <c r="A164" s="18" t="s">
        <v>1519</v>
      </c>
      <c r="B164" s="18" t="s">
        <v>443</v>
      </c>
      <c r="C164" s="18" t="s">
        <v>1520</v>
      </c>
      <c r="D164" s="18" t="s">
        <v>1520</v>
      </c>
      <c r="E164" s="18" t="s">
        <v>444</v>
      </c>
      <c r="F164" s="18" t="n">
        <v>21</v>
      </c>
      <c r="G164" s="18"/>
      <c r="H164" s="18" t="s">
        <v>688</v>
      </c>
      <c r="I164" s="18" t="s">
        <v>689</v>
      </c>
      <c r="J164" s="18" t="s">
        <v>690</v>
      </c>
      <c r="K164" s="18" t="s">
        <v>691</v>
      </c>
      <c r="L164" s="18" t="s">
        <v>105</v>
      </c>
      <c r="M164" s="18" t="s">
        <v>704</v>
      </c>
      <c r="N164" s="18" t="s">
        <v>1213</v>
      </c>
      <c r="O164" s="18" t="s">
        <v>1521</v>
      </c>
      <c r="P164" s="18"/>
      <c r="Q164" s="18" t="s">
        <v>695</v>
      </c>
      <c r="R164" s="18" t="s">
        <v>773</v>
      </c>
      <c r="S164" s="18" t="s">
        <v>697</v>
      </c>
      <c r="T164" s="18" t="n">
        <v>0</v>
      </c>
      <c r="U164" s="18" t="n">
        <v>0</v>
      </c>
      <c r="V164" s="18" t="n">
        <v>6.7</v>
      </c>
      <c r="W164" s="18" t="n">
        <v>13.9</v>
      </c>
      <c r="X164" s="18" t="n">
        <v>0.5</v>
      </c>
      <c r="Y164" s="18" t="n">
        <v>-0.1</v>
      </c>
      <c r="Z164" s="18" t="s">
        <v>1000</v>
      </c>
      <c r="AA164" s="18" t="s">
        <v>699</v>
      </c>
      <c r="AB164" s="18" t="s">
        <v>98</v>
      </c>
      <c r="AC164" s="18"/>
      <c r="AD164" s="23" t="str">
        <f aca="false">IF(A164="","",IF(COUNTIF(Parcels!$A$2:$A$3000,B164)=0,"Parcel not found",IF(COUNTIF($A$2:$A$3000,A164)&gt;1,"Duplicate perm_id",IF(AND(I164="Yes",C164&lt;&gt;"",COUNTIFS($C$2:$C$3000,C164,$I$2:$I$3000,"Yes")&gt;1),"Reference counted twice",IF(COUNTIF(Lists!$A$2:$A$7,H164)=0,"Unknown status","")))))</f>
        <v/>
      </c>
    </row>
    <row r="165" customFormat="false" ht="15" hidden="false" customHeight="false" outlineLevel="0" collapsed="false">
      <c r="A165" s="18" t="s">
        <v>1522</v>
      </c>
      <c r="B165" s="18" t="s">
        <v>571</v>
      </c>
      <c r="C165" s="18" t="s">
        <v>1523</v>
      </c>
      <c r="D165" s="18" t="s">
        <v>1523</v>
      </c>
      <c r="E165" s="18" t="s">
        <v>572</v>
      </c>
      <c r="F165" s="18" t="n">
        <v>9</v>
      </c>
      <c r="G165" s="18"/>
      <c r="H165" s="18" t="s">
        <v>711</v>
      </c>
      <c r="I165" s="18" t="s">
        <v>689</v>
      </c>
      <c r="J165" s="18" t="s">
        <v>712</v>
      </c>
      <c r="K165" s="18" t="s">
        <v>713</v>
      </c>
      <c r="L165" s="18" t="s">
        <v>714</v>
      </c>
      <c r="M165" s="18" t="s">
        <v>715</v>
      </c>
      <c r="N165" s="18" t="s">
        <v>1524</v>
      </c>
      <c r="O165" s="18"/>
      <c r="P165" s="18" t="s">
        <v>1525</v>
      </c>
      <c r="Q165" s="18" t="s">
        <v>1456</v>
      </c>
      <c r="R165" s="18" t="s">
        <v>719</v>
      </c>
      <c r="S165" s="18" t="s">
        <v>720</v>
      </c>
      <c r="T165" s="18" t="n">
        <v>2.1</v>
      </c>
      <c r="U165" s="18" t="n">
        <v>6.9</v>
      </c>
      <c r="V165" s="18" t="n">
        <v>0</v>
      </c>
      <c r="W165" s="18" t="n">
        <v>0</v>
      </c>
      <c r="X165" s="18" t="n">
        <v>0</v>
      </c>
      <c r="Y165" s="18" t="n">
        <v>0</v>
      </c>
      <c r="Z165" s="18" t="s">
        <v>1000</v>
      </c>
      <c r="AA165" s="18" t="s">
        <v>699</v>
      </c>
      <c r="AB165" s="18" t="s">
        <v>98</v>
      </c>
      <c r="AC165" s="18"/>
      <c r="AD165" s="23" t="str">
        <f aca="false">IF(A165="","",IF(COUNTIF(Parcels!$A$2:$A$3000,B165)=0,"Parcel not found",IF(COUNTIF($A$2:$A$3000,A165)&gt;1,"Duplicate perm_id",IF(AND(I165="Yes",C165&lt;&gt;"",COUNTIFS($C$2:$C$3000,C165,$I$2:$I$3000,"Yes")&gt;1),"Reference counted twice",IF(COUNTIF(Lists!$A$2:$A$7,H165)=0,"Unknown status","")))))</f>
        <v/>
      </c>
    </row>
    <row r="166" customFormat="false" ht="15" hidden="false" customHeight="false" outlineLevel="0" collapsed="false">
      <c r="A166" s="18" t="s">
        <v>1526</v>
      </c>
      <c r="B166" s="18" t="s">
        <v>573</v>
      </c>
      <c r="C166" s="18" t="s">
        <v>1527</v>
      </c>
      <c r="D166" s="18" t="s">
        <v>1527</v>
      </c>
      <c r="E166" s="18" t="s">
        <v>574</v>
      </c>
      <c r="F166" s="18" t="n">
        <v>10</v>
      </c>
      <c r="G166" s="18"/>
      <c r="H166" s="18" t="s">
        <v>711</v>
      </c>
      <c r="I166" s="18" t="s">
        <v>689</v>
      </c>
      <c r="J166" s="18" t="s">
        <v>690</v>
      </c>
      <c r="K166" s="18" t="s">
        <v>713</v>
      </c>
      <c r="L166" s="18" t="s">
        <v>714</v>
      </c>
      <c r="M166" s="18" t="s">
        <v>715</v>
      </c>
      <c r="N166" s="18" t="s">
        <v>815</v>
      </c>
      <c r="O166" s="18"/>
      <c r="P166" s="18" t="s">
        <v>1528</v>
      </c>
      <c r="Q166" s="18" t="s">
        <v>1529</v>
      </c>
      <c r="R166" s="18" t="s">
        <v>719</v>
      </c>
      <c r="S166" s="18" t="s">
        <v>720</v>
      </c>
      <c r="T166" s="18" t="n">
        <v>2.3</v>
      </c>
      <c r="U166" s="18" t="n">
        <v>7.7</v>
      </c>
      <c r="V166" s="18" t="n">
        <v>0</v>
      </c>
      <c r="W166" s="18" t="n">
        <v>0</v>
      </c>
      <c r="X166" s="18" t="n">
        <v>0</v>
      </c>
      <c r="Y166" s="18" t="n">
        <v>0</v>
      </c>
      <c r="Z166" s="18" t="s">
        <v>1000</v>
      </c>
      <c r="AA166" s="18" t="s">
        <v>699</v>
      </c>
      <c r="AB166" s="18" t="s">
        <v>98</v>
      </c>
      <c r="AC166" s="18"/>
      <c r="AD166" s="23" t="str">
        <f aca="false">IF(A166="","",IF(COUNTIF(Parcels!$A$2:$A$3000,B166)=0,"Parcel not found",IF(COUNTIF($A$2:$A$3000,A166)&gt;1,"Duplicate perm_id",IF(AND(I166="Yes",C166&lt;&gt;"",COUNTIFS($C$2:$C$3000,C166,$I$2:$I$3000,"Yes")&gt;1),"Reference counted twice",IF(COUNTIF(Lists!$A$2:$A$7,H166)=0,"Unknown status","")))))</f>
        <v/>
      </c>
    </row>
    <row r="167" customFormat="false" ht="15" hidden="false" customHeight="false" outlineLevel="0" collapsed="false">
      <c r="A167" s="18" t="s">
        <v>1530</v>
      </c>
      <c r="B167" s="18" t="s">
        <v>575</v>
      </c>
      <c r="C167" s="18" t="s">
        <v>1531</v>
      </c>
      <c r="D167" s="18" t="s">
        <v>1531</v>
      </c>
      <c r="E167" s="18" t="s">
        <v>576</v>
      </c>
      <c r="F167" s="18" t="n">
        <v>24</v>
      </c>
      <c r="G167" s="18"/>
      <c r="H167" s="18" t="s">
        <v>711</v>
      </c>
      <c r="I167" s="18" t="s">
        <v>689</v>
      </c>
      <c r="J167" s="18" t="s">
        <v>712</v>
      </c>
      <c r="K167" s="18" t="s">
        <v>713</v>
      </c>
      <c r="L167" s="18" t="s">
        <v>714</v>
      </c>
      <c r="M167" s="18" t="s">
        <v>715</v>
      </c>
      <c r="N167" s="18" t="s">
        <v>1532</v>
      </c>
      <c r="O167" s="18"/>
      <c r="P167" s="18" t="s">
        <v>1533</v>
      </c>
      <c r="Q167" s="18" t="s">
        <v>792</v>
      </c>
      <c r="R167" s="18" t="s">
        <v>870</v>
      </c>
      <c r="S167" s="18" t="s">
        <v>720</v>
      </c>
      <c r="T167" s="18" t="n">
        <v>0</v>
      </c>
      <c r="U167" s="18" t="n">
        <v>5.9</v>
      </c>
      <c r="V167" s="18" t="n">
        <v>12.8</v>
      </c>
      <c r="W167" s="18" t="n">
        <v>5.3</v>
      </c>
      <c r="X167" s="18" t="n">
        <v>0</v>
      </c>
      <c r="Y167" s="18" t="n">
        <v>0</v>
      </c>
      <c r="Z167" s="18" t="s">
        <v>1000</v>
      </c>
      <c r="AA167" s="18" t="s">
        <v>699</v>
      </c>
      <c r="AB167" s="18" t="s">
        <v>98</v>
      </c>
      <c r="AC167" s="18"/>
      <c r="AD167" s="23" t="str">
        <f aca="false">IF(A167="","",IF(COUNTIF(Parcels!$A$2:$A$3000,B167)=0,"Parcel not found",IF(COUNTIF($A$2:$A$3000,A167)&gt;1,"Duplicate perm_id",IF(AND(I167="Yes",C167&lt;&gt;"",COUNTIFS($C$2:$C$3000,C167,$I$2:$I$3000,"Yes")&gt;1),"Reference counted twice",IF(COUNTIF(Lists!$A$2:$A$7,H167)=0,"Unknown status","")))))</f>
        <v/>
      </c>
    </row>
    <row r="168" customFormat="false" ht="15" hidden="false" customHeight="false" outlineLevel="0" collapsed="false">
      <c r="A168" s="18" t="s">
        <v>1534</v>
      </c>
      <c r="B168" s="18" t="s">
        <v>575</v>
      </c>
      <c r="C168" s="18" t="s">
        <v>1535</v>
      </c>
      <c r="D168" s="18" t="s">
        <v>1535</v>
      </c>
      <c r="E168" s="18" t="s">
        <v>1536</v>
      </c>
      <c r="F168" s="18" t="n">
        <v>24</v>
      </c>
      <c r="G168" s="18"/>
      <c r="H168" s="18" t="s">
        <v>711</v>
      </c>
      <c r="I168" s="18" t="s">
        <v>689</v>
      </c>
      <c r="J168" s="18" t="s">
        <v>690</v>
      </c>
      <c r="K168" s="18" t="s">
        <v>713</v>
      </c>
      <c r="L168" s="18" t="s">
        <v>714</v>
      </c>
      <c r="M168" s="18" t="s">
        <v>715</v>
      </c>
      <c r="N168" s="18" t="s">
        <v>1537</v>
      </c>
      <c r="O168" s="18"/>
      <c r="P168" s="18"/>
      <c r="Q168" s="18" t="s">
        <v>1538</v>
      </c>
      <c r="R168" s="18" t="s">
        <v>805</v>
      </c>
      <c r="S168" s="18" t="s">
        <v>720</v>
      </c>
      <c r="T168" s="18" t="n">
        <v>0</v>
      </c>
      <c r="U168" s="18" t="n">
        <v>3</v>
      </c>
      <c r="V168" s="18" t="n">
        <v>12.8</v>
      </c>
      <c r="W168" s="18" t="n">
        <v>8.2</v>
      </c>
      <c r="X168" s="18" t="n">
        <v>0</v>
      </c>
      <c r="Y168" s="18" t="n">
        <v>0</v>
      </c>
      <c r="Z168" s="18" t="s">
        <v>1000</v>
      </c>
      <c r="AA168" s="18" t="s">
        <v>1007</v>
      </c>
      <c r="AB168" s="18" t="s">
        <v>98</v>
      </c>
      <c r="AC168" s="18"/>
      <c r="AD168" s="23" t="str">
        <f aca="false">IF(A168="","",IF(COUNTIF(Parcels!$A$2:$A$3000,B168)=0,"Parcel not found",IF(COUNTIF($A$2:$A$3000,A168)&gt;1,"Duplicate perm_id",IF(AND(I168="Yes",C168&lt;&gt;"",COUNTIFS($C$2:$C$3000,C168,$I$2:$I$3000,"Yes")&gt;1),"Reference counted twice",IF(COUNTIF(Lists!$A$2:$A$7,H168)=0,"Unknown status","")))))</f>
        <v/>
      </c>
    </row>
    <row r="169" customFormat="false" ht="15" hidden="false" customHeight="false" outlineLevel="0" collapsed="false">
      <c r="A169" s="18" t="s">
        <v>1539</v>
      </c>
      <c r="B169" s="18" t="s">
        <v>577</v>
      </c>
      <c r="C169" s="18" t="s">
        <v>1540</v>
      </c>
      <c r="D169" s="18" t="s">
        <v>1540</v>
      </c>
      <c r="E169" s="18" t="s">
        <v>578</v>
      </c>
      <c r="F169" s="18" t="n">
        <v>31</v>
      </c>
      <c r="G169" s="18"/>
      <c r="H169" s="18" t="s">
        <v>688</v>
      </c>
      <c r="I169" s="18" t="s">
        <v>689</v>
      </c>
      <c r="J169" s="18" t="s">
        <v>690</v>
      </c>
      <c r="K169" s="18" t="s">
        <v>713</v>
      </c>
      <c r="L169" s="18" t="s">
        <v>714</v>
      </c>
      <c r="M169" s="18" t="s">
        <v>715</v>
      </c>
      <c r="N169" s="18" t="s">
        <v>1541</v>
      </c>
      <c r="O169" s="18"/>
      <c r="P169" s="18"/>
      <c r="Q169" s="18" t="s">
        <v>695</v>
      </c>
      <c r="R169" s="18" t="s">
        <v>738</v>
      </c>
      <c r="S169" s="18" t="s">
        <v>697</v>
      </c>
      <c r="T169" s="18" t="n">
        <v>0</v>
      </c>
      <c r="U169" s="18" t="n">
        <v>0</v>
      </c>
      <c r="V169" s="18" t="n">
        <v>23.6</v>
      </c>
      <c r="W169" s="18" t="n">
        <v>7.4</v>
      </c>
      <c r="X169" s="18" t="n">
        <v>0</v>
      </c>
      <c r="Y169" s="18" t="n">
        <v>0</v>
      </c>
      <c r="Z169" s="18" t="s">
        <v>1000</v>
      </c>
      <c r="AA169" s="18" t="s">
        <v>699</v>
      </c>
      <c r="AB169" s="18" t="s">
        <v>98</v>
      </c>
      <c r="AC169" s="18"/>
      <c r="AD169" s="23" t="str">
        <f aca="false">IF(A169="","",IF(COUNTIF(Parcels!$A$2:$A$3000,B169)=0,"Parcel not found",IF(COUNTIF($A$2:$A$3000,A169)&gt;1,"Duplicate perm_id",IF(AND(I169="Yes",C169&lt;&gt;"",COUNTIFS($C$2:$C$3000,C169,$I$2:$I$3000,"Yes")&gt;1),"Reference counted twice",IF(COUNTIF(Lists!$A$2:$A$7,H169)=0,"Unknown status","")))))</f>
        <v/>
      </c>
    </row>
    <row r="170" customFormat="false" ht="15" hidden="false" customHeight="false" outlineLevel="0" collapsed="false">
      <c r="A170" s="18" t="s">
        <v>1542</v>
      </c>
      <c r="B170" s="18" t="s">
        <v>376</v>
      </c>
      <c r="C170" s="18" t="s">
        <v>1543</v>
      </c>
      <c r="D170" s="18" t="s">
        <v>1543</v>
      </c>
      <c r="E170" s="18" t="s">
        <v>377</v>
      </c>
      <c r="F170" s="18" t="n">
        <v>13</v>
      </c>
      <c r="G170" s="18"/>
      <c r="H170" s="18" t="s">
        <v>711</v>
      </c>
      <c r="I170" s="18" t="s">
        <v>689</v>
      </c>
      <c r="J170" s="18" t="s">
        <v>690</v>
      </c>
      <c r="K170" s="18" t="s">
        <v>713</v>
      </c>
      <c r="L170" s="18" t="s">
        <v>714</v>
      </c>
      <c r="M170" s="18" t="s">
        <v>715</v>
      </c>
      <c r="N170" s="18" t="s">
        <v>1397</v>
      </c>
      <c r="O170" s="18"/>
      <c r="P170" s="18" t="s">
        <v>1544</v>
      </c>
      <c r="Q170" s="18" t="s">
        <v>1379</v>
      </c>
      <c r="R170" s="18" t="s">
        <v>876</v>
      </c>
      <c r="S170" s="18" t="s">
        <v>720</v>
      </c>
      <c r="T170" s="18" t="n">
        <v>0</v>
      </c>
      <c r="U170" s="18" t="n">
        <v>13</v>
      </c>
      <c r="V170" s="18" t="n">
        <v>0</v>
      </c>
      <c r="W170" s="18" t="n">
        <v>0</v>
      </c>
      <c r="X170" s="18" t="n">
        <v>0</v>
      </c>
      <c r="Y170" s="18" t="n">
        <v>0</v>
      </c>
      <c r="Z170" s="18" t="s">
        <v>1000</v>
      </c>
      <c r="AA170" s="18" t="s">
        <v>699</v>
      </c>
      <c r="AB170" s="18" t="s">
        <v>98</v>
      </c>
      <c r="AC170" s="18"/>
      <c r="AD170" s="23" t="str">
        <f aca="false">IF(A170="","",IF(COUNTIF(Parcels!$A$2:$A$3000,B170)=0,"Parcel not found",IF(COUNTIF($A$2:$A$3000,A170)&gt;1,"Duplicate perm_id",IF(AND(I170="Yes",C170&lt;&gt;"",COUNTIFS($C$2:$C$3000,C170,$I$2:$I$3000,"Yes")&gt;1),"Reference counted twice",IF(COUNTIF(Lists!$A$2:$A$7,H170)=0,"Unknown status","")))))</f>
        <v/>
      </c>
    </row>
    <row r="171" customFormat="false" ht="15" hidden="false" customHeight="false" outlineLevel="0" collapsed="false">
      <c r="A171" s="18" t="s">
        <v>1545</v>
      </c>
      <c r="B171" s="18" t="s">
        <v>579</v>
      </c>
      <c r="C171" s="18" t="s">
        <v>1546</v>
      </c>
      <c r="D171" s="18" t="s">
        <v>1546</v>
      </c>
      <c r="E171" s="18" t="s">
        <v>580</v>
      </c>
      <c r="F171" s="18" t="n">
        <v>93</v>
      </c>
      <c r="G171" s="18"/>
      <c r="H171" s="18" t="s">
        <v>711</v>
      </c>
      <c r="I171" s="18" t="s">
        <v>689</v>
      </c>
      <c r="J171" s="18" t="s">
        <v>690</v>
      </c>
      <c r="K171" s="18" t="s">
        <v>691</v>
      </c>
      <c r="L171" s="18" t="s">
        <v>105</v>
      </c>
      <c r="M171" s="18" t="s">
        <v>704</v>
      </c>
      <c r="N171" s="18" t="s">
        <v>1547</v>
      </c>
      <c r="O171" s="18" t="s">
        <v>1548</v>
      </c>
      <c r="P171" s="18" t="s">
        <v>1549</v>
      </c>
      <c r="Q171" s="18" t="s">
        <v>1188</v>
      </c>
      <c r="R171" s="18" t="s">
        <v>719</v>
      </c>
      <c r="S171" s="18" t="s">
        <v>720</v>
      </c>
      <c r="T171" s="18" t="n">
        <v>21.7</v>
      </c>
      <c r="U171" s="18" t="n">
        <v>71.3</v>
      </c>
      <c r="V171" s="18" t="n">
        <v>0</v>
      </c>
      <c r="W171" s="18" t="n">
        <v>0</v>
      </c>
      <c r="X171" s="18" t="n">
        <v>0</v>
      </c>
      <c r="Y171" s="18" t="n">
        <v>0</v>
      </c>
      <c r="Z171" s="18" t="s">
        <v>1000</v>
      </c>
      <c r="AA171" s="18" t="s">
        <v>699</v>
      </c>
      <c r="AB171" s="18" t="s">
        <v>98</v>
      </c>
      <c r="AC171" s="18"/>
      <c r="AD171" s="23" t="str">
        <f aca="false">IF(A171="","",IF(COUNTIF(Parcels!$A$2:$A$3000,B171)=0,"Parcel not found",IF(COUNTIF($A$2:$A$3000,A171)&gt;1,"Duplicate perm_id",IF(AND(I171="Yes",C171&lt;&gt;"",COUNTIFS($C$2:$C$3000,C171,$I$2:$I$3000,"Yes")&gt;1),"Reference counted twice",IF(COUNTIF(Lists!$A$2:$A$7,H171)=0,"Unknown status","")))))</f>
        <v/>
      </c>
    </row>
    <row r="172" customFormat="false" ht="15" hidden="false" customHeight="false" outlineLevel="0" collapsed="false">
      <c r="A172" s="18" t="s">
        <v>1550</v>
      </c>
      <c r="B172" s="18" t="s">
        <v>581</v>
      </c>
      <c r="C172" s="18" t="s">
        <v>1551</v>
      </c>
      <c r="D172" s="18" t="s">
        <v>1551</v>
      </c>
      <c r="E172" s="18" t="s">
        <v>582</v>
      </c>
      <c r="F172" s="18" t="n">
        <v>99</v>
      </c>
      <c r="G172" s="18"/>
      <c r="H172" s="18" t="s">
        <v>688</v>
      </c>
      <c r="I172" s="18" t="s">
        <v>689</v>
      </c>
      <c r="J172" s="18" t="s">
        <v>712</v>
      </c>
      <c r="K172" s="18" t="s">
        <v>691</v>
      </c>
      <c r="L172" s="18" t="s">
        <v>105</v>
      </c>
      <c r="M172" s="18" t="s">
        <v>704</v>
      </c>
      <c r="N172" s="18" t="s">
        <v>1552</v>
      </c>
      <c r="O172" s="18" t="s">
        <v>1553</v>
      </c>
      <c r="P172" s="18"/>
      <c r="Q172" s="18" t="s">
        <v>695</v>
      </c>
      <c r="R172" s="18" t="s">
        <v>877</v>
      </c>
      <c r="S172" s="18" t="s">
        <v>697</v>
      </c>
      <c r="T172" s="18" t="n">
        <v>0</v>
      </c>
      <c r="U172" s="18" t="n">
        <v>0</v>
      </c>
      <c r="V172" s="18" t="n">
        <v>25.1</v>
      </c>
      <c r="W172" s="18" t="n">
        <v>51.9</v>
      </c>
      <c r="X172" s="18" t="n">
        <v>22</v>
      </c>
      <c r="Y172" s="18" t="n">
        <v>0</v>
      </c>
      <c r="Z172" s="18" t="s">
        <v>1000</v>
      </c>
      <c r="AA172" s="18" t="s">
        <v>699</v>
      </c>
      <c r="AB172" s="18" t="s">
        <v>98</v>
      </c>
      <c r="AC172" s="18"/>
      <c r="AD172" s="23" t="str">
        <f aca="false">IF(A172="","",IF(COUNTIF(Parcels!$A$2:$A$3000,B172)=0,"Parcel not found",IF(COUNTIF($A$2:$A$3000,A172)&gt;1,"Duplicate perm_id",IF(AND(I172="Yes",C172&lt;&gt;"",COUNTIFS($C$2:$C$3000,C172,$I$2:$I$3000,"Yes")&gt;1),"Reference counted twice",IF(COUNTIF(Lists!$A$2:$A$7,H172)=0,"Unknown status","")))))</f>
        <v/>
      </c>
    </row>
    <row r="173" customFormat="false" ht="15" hidden="false" customHeight="false" outlineLevel="0" collapsed="false">
      <c r="A173" s="18" t="s">
        <v>1554</v>
      </c>
      <c r="B173" s="18" t="s">
        <v>581</v>
      </c>
      <c r="C173" s="18" t="s">
        <v>1555</v>
      </c>
      <c r="D173" s="18" t="s">
        <v>1555</v>
      </c>
      <c r="E173" s="18" t="s">
        <v>1556</v>
      </c>
      <c r="F173" s="18" t="n">
        <v>28</v>
      </c>
      <c r="G173" s="18"/>
      <c r="H173" s="18" t="s">
        <v>688</v>
      </c>
      <c r="I173" s="18" t="s">
        <v>689</v>
      </c>
      <c r="J173" s="18" t="s">
        <v>819</v>
      </c>
      <c r="K173" s="18" t="s">
        <v>691</v>
      </c>
      <c r="L173" s="18" t="s">
        <v>105</v>
      </c>
      <c r="M173" s="18" t="s">
        <v>704</v>
      </c>
      <c r="N173" s="18" t="s">
        <v>1557</v>
      </c>
      <c r="O173" s="18" t="s">
        <v>1558</v>
      </c>
      <c r="P173" s="18"/>
      <c r="Q173" s="18" t="s">
        <v>695</v>
      </c>
      <c r="R173" s="18" t="s">
        <v>738</v>
      </c>
      <c r="S173" s="18" t="s">
        <v>697</v>
      </c>
      <c r="T173" s="18" t="n">
        <v>0</v>
      </c>
      <c r="U173" s="18" t="n">
        <v>0</v>
      </c>
      <c r="V173" s="18" t="n">
        <v>21.3</v>
      </c>
      <c r="W173" s="18" t="n">
        <v>6.7</v>
      </c>
      <c r="X173" s="18" t="n">
        <v>0</v>
      </c>
      <c r="Y173" s="18" t="n">
        <v>0</v>
      </c>
      <c r="Z173" s="18" t="s">
        <v>1000</v>
      </c>
      <c r="AA173" s="18" t="s">
        <v>699</v>
      </c>
      <c r="AB173" s="18" t="s">
        <v>98</v>
      </c>
      <c r="AC173" s="18"/>
      <c r="AD173" s="23" t="str">
        <f aca="false">IF(A173="","",IF(COUNTIF(Parcels!$A$2:$A$3000,B173)=0,"Parcel not found",IF(COUNTIF($A$2:$A$3000,A173)&gt;1,"Duplicate perm_id",IF(AND(I173="Yes",C173&lt;&gt;"",COUNTIFS($C$2:$C$3000,C173,$I$2:$I$3000,"Yes")&gt;1),"Reference counted twice",IF(COUNTIF(Lists!$A$2:$A$7,H173)=0,"Unknown status","")))))</f>
        <v/>
      </c>
    </row>
    <row r="174" customFormat="false" ht="15" hidden="false" customHeight="false" outlineLevel="0" collapsed="false">
      <c r="A174" s="18" t="s">
        <v>1559</v>
      </c>
      <c r="B174" s="18" t="s">
        <v>583</v>
      </c>
      <c r="C174" s="18" t="s">
        <v>1560</v>
      </c>
      <c r="D174" s="18" t="s">
        <v>1560</v>
      </c>
      <c r="E174" s="18" t="s">
        <v>584</v>
      </c>
      <c r="F174" s="18" t="n">
        <v>28</v>
      </c>
      <c r="G174" s="18"/>
      <c r="H174" s="18" t="s">
        <v>711</v>
      </c>
      <c r="I174" s="18" t="s">
        <v>689</v>
      </c>
      <c r="J174" s="18" t="s">
        <v>690</v>
      </c>
      <c r="K174" s="18" t="s">
        <v>691</v>
      </c>
      <c r="L174" s="18" t="s">
        <v>105</v>
      </c>
      <c r="M174" s="18" t="s">
        <v>704</v>
      </c>
      <c r="N174" s="18" t="s">
        <v>1561</v>
      </c>
      <c r="O174" s="18" t="s">
        <v>1562</v>
      </c>
      <c r="P174" s="18" t="s">
        <v>1563</v>
      </c>
      <c r="Q174" s="18" t="s">
        <v>1379</v>
      </c>
      <c r="R174" s="18" t="s">
        <v>719</v>
      </c>
      <c r="S174" s="18" t="s">
        <v>720</v>
      </c>
      <c r="T174" s="18" t="n">
        <v>1.2</v>
      </c>
      <c r="U174" s="18" t="n">
        <v>26.8</v>
      </c>
      <c r="V174" s="18" t="n">
        <v>0</v>
      </c>
      <c r="W174" s="18" t="n">
        <v>0</v>
      </c>
      <c r="X174" s="18" t="n">
        <v>0</v>
      </c>
      <c r="Y174" s="18" t="n">
        <v>0</v>
      </c>
      <c r="Z174" s="18" t="s">
        <v>1000</v>
      </c>
      <c r="AA174" s="18" t="s">
        <v>699</v>
      </c>
      <c r="AB174" s="18" t="s">
        <v>98</v>
      </c>
      <c r="AC174" s="18"/>
      <c r="AD174" s="23" t="str">
        <f aca="false">IF(A174="","",IF(COUNTIF(Parcels!$A$2:$A$3000,B174)=0,"Parcel not found",IF(COUNTIF($A$2:$A$3000,A174)&gt;1,"Duplicate perm_id",IF(AND(I174="Yes",C174&lt;&gt;"",COUNTIFS($C$2:$C$3000,C174,$I$2:$I$3000,"Yes")&gt;1),"Reference counted twice",IF(COUNTIF(Lists!$A$2:$A$7,H174)=0,"Unknown status","")))))</f>
        <v/>
      </c>
    </row>
    <row r="175" customFormat="false" ht="15" hidden="false" customHeight="false" outlineLevel="0" collapsed="false">
      <c r="A175" s="18" t="s">
        <v>1564</v>
      </c>
      <c r="B175" s="18" t="s">
        <v>378</v>
      </c>
      <c r="C175" s="18" t="s">
        <v>1565</v>
      </c>
      <c r="D175" s="18" t="s">
        <v>1565</v>
      </c>
      <c r="E175" s="18" t="s">
        <v>379</v>
      </c>
      <c r="F175" s="18" t="n">
        <v>4</v>
      </c>
      <c r="G175" s="18"/>
      <c r="H175" s="18" t="s">
        <v>688</v>
      </c>
      <c r="I175" s="18" t="s">
        <v>689</v>
      </c>
      <c r="J175" s="18" t="s">
        <v>690</v>
      </c>
      <c r="K175" s="18" t="s">
        <v>713</v>
      </c>
      <c r="L175" s="18" t="s">
        <v>743</v>
      </c>
      <c r="M175" s="18" t="s">
        <v>704</v>
      </c>
      <c r="N175" s="18" t="s">
        <v>1566</v>
      </c>
      <c r="O175" s="18" t="s">
        <v>1567</v>
      </c>
      <c r="P175" s="18"/>
      <c r="Q175" s="18" t="s">
        <v>695</v>
      </c>
      <c r="R175" s="18" t="s">
        <v>870</v>
      </c>
      <c r="S175" s="18" t="s">
        <v>697</v>
      </c>
      <c r="T175" s="18" t="n">
        <v>0</v>
      </c>
      <c r="U175" s="18" t="n">
        <v>0</v>
      </c>
      <c r="V175" s="18" t="n">
        <v>2.5</v>
      </c>
      <c r="W175" s="18" t="n">
        <v>1.5</v>
      </c>
      <c r="X175" s="18" t="n">
        <v>0</v>
      </c>
      <c r="Y175" s="18" t="n">
        <v>0</v>
      </c>
      <c r="Z175" s="18" t="s">
        <v>1000</v>
      </c>
      <c r="AA175" s="18" t="s">
        <v>699</v>
      </c>
      <c r="AB175" s="18" t="s">
        <v>98</v>
      </c>
      <c r="AC175" s="18"/>
      <c r="AD175" s="23" t="str">
        <f aca="false">IF(A175="","",IF(COUNTIF(Parcels!$A$2:$A$3000,B175)=0,"Parcel not found",IF(COUNTIF($A$2:$A$3000,A175)&gt;1,"Duplicate perm_id",IF(AND(I175="Yes",C175&lt;&gt;"",COUNTIFS($C$2:$C$3000,C175,$I$2:$I$3000,"Yes")&gt;1),"Reference counted twice",IF(COUNTIF(Lists!$A$2:$A$7,H175)=0,"Unknown status","")))))</f>
        <v/>
      </c>
    </row>
    <row r="176" customFormat="false" ht="15" hidden="false" customHeight="false" outlineLevel="0" collapsed="false">
      <c r="A176" s="18" t="s">
        <v>1568</v>
      </c>
      <c r="B176" s="18" t="s">
        <v>585</v>
      </c>
      <c r="C176" s="18" t="s">
        <v>1569</v>
      </c>
      <c r="D176" s="18" t="s">
        <v>1569</v>
      </c>
      <c r="E176" s="18" t="s">
        <v>586</v>
      </c>
      <c r="F176" s="18" t="n">
        <v>22</v>
      </c>
      <c r="G176" s="18"/>
      <c r="H176" s="18" t="s">
        <v>711</v>
      </c>
      <c r="I176" s="18" t="s">
        <v>689</v>
      </c>
      <c r="J176" s="18" t="s">
        <v>690</v>
      </c>
      <c r="K176" s="18" t="s">
        <v>691</v>
      </c>
      <c r="L176" s="18" t="s">
        <v>105</v>
      </c>
      <c r="M176" s="18" t="s">
        <v>704</v>
      </c>
      <c r="N176" s="18" t="s">
        <v>1052</v>
      </c>
      <c r="O176" s="18" t="s">
        <v>1570</v>
      </c>
      <c r="P176" s="18" t="s">
        <v>1571</v>
      </c>
      <c r="Q176" s="18" t="s">
        <v>1529</v>
      </c>
      <c r="R176" s="18" t="s">
        <v>779</v>
      </c>
      <c r="S176" s="18" t="s">
        <v>720</v>
      </c>
      <c r="T176" s="18" t="n">
        <v>3.1</v>
      </c>
      <c r="U176" s="18" t="n">
        <v>13.5</v>
      </c>
      <c r="V176" s="18" t="n">
        <v>5.4</v>
      </c>
      <c r="W176" s="18" t="n">
        <v>0</v>
      </c>
      <c r="X176" s="18" t="n">
        <v>0</v>
      </c>
      <c r="Y176" s="18" t="n">
        <v>0</v>
      </c>
      <c r="Z176" s="18" t="s">
        <v>1000</v>
      </c>
      <c r="AA176" s="18" t="s">
        <v>699</v>
      </c>
      <c r="AB176" s="18" t="s">
        <v>98</v>
      </c>
      <c r="AC176" s="18"/>
      <c r="AD176" s="23" t="str">
        <f aca="false">IF(A176="","",IF(COUNTIF(Parcels!$A$2:$A$3000,B176)=0,"Parcel not found",IF(COUNTIF($A$2:$A$3000,A176)&gt;1,"Duplicate perm_id",IF(AND(I176="Yes",C176&lt;&gt;"",COUNTIFS($C$2:$C$3000,C176,$I$2:$I$3000,"Yes")&gt;1),"Reference counted twice",IF(COUNTIF(Lists!$A$2:$A$7,H176)=0,"Unknown status","")))))</f>
        <v/>
      </c>
    </row>
    <row r="177" customFormat="false" ht="15" hidden="false" customHeight="false" outlineLevel="0" collapsed="false">
      <c r="A177" s="18" t="s">
        <v>1572</v>
      </c>
      <c r="B177" s="18" t="s">
        <v>286</v>
      </c>
      <c r="C177" s="18" t="s">
        <v>1573</v>
      </c>
      <c r="D177" s="18" t="s">
        <v>1573</v>
      </c>
      <c r="E177" s="18" t="s">
        <v>287</v>
      </c>
      <c r="F177" s="18" t="n">
        <v>21</v>
      </c>
      <c r="G177" s="18"/>
      <c r="H177" s="18" t="s">
        <v>711</v>
      </c>
      <c r="I177" s="18" t="s">
        <v>689</v>
      </c>
      <c r="J177" s="18" t="s">
        <v>690</v>
      </c>
      <c r="K177" s="18" t="s">
        <v>713</v>
      </c>
      <c r="L177" s="18" t="s">
        <v>743</v>
      </c>
      <c r="M177" s="18" t="s">
        <v>704</v>
      </c>
      <c r="N177" s="18" t="s">
        <v>1574</v>
      </c>
      <c r="O177" s="18" t="s">
        <v>1575</v>
      </c>
      <c r="P177" s="18" t="s">
        <v>1576</v>
      </c>
      <c r="Q177" s="18" t="s">
        <v>1529</v>
      </c>
      <c r="R177" s="18" t="s">
        <v>779</v>
      </c>
      <c r="S177" s="18" t="s">
        <v>720</v>
      </c>
      <c r="T177" s="18" t="n">
        <v>2.7</v>
      </c>
      <c r="U177" s="18" t="n">
        <v>13.9</v>
      </c>
      <c r="V177" s="18" t="n">
        <v>4.5</v>
      </c>
      <c r="W177" s="18" t="n">
        <v>0</v>
      </c>
      <c r="X177" s="18" t="n">
        <v>0</v>
      </c>
      <c r="Y177" s="18" t="n">
        <v>-0.1</v>
      </c>
      <c r="Z177" s="18" t="s">
        <v>1000</v>
      </c>
      <c r="AA177" s="18" t="s">
        <v>699</v>
      </c>
      <c r="AB177" s="18" t="s">
        <v>98</v>
      </c>
      <c r="AC177" s="18"/>
      <c r="AD177" s="23" t="str">
        <f aca="false">IF(A177="","",IF(COUNTIF(Parcels!$A$2:$A$3000,B177)=0,"Parcel not found",IF(COUNTIF($A$2:$A$3000,A177)&gt;1,"Duplicate perm_id",IF(AND(I177="Yes",C177&lt;&gt;"",COUNTIFS($C$2:$C$3000,C177,$I$2:$I$3000,"Yes")&gt;1),"Reference counted twice",IF(COUNTIF(Lists!$A$2:$A$7,H177)=0,"Unknown status","")))))</f>
        <v/>
      </c>
    </row>
    <row r="178" customFormat="false" ht="15" hidden="false" customHeight="false" outlineLevel="0" collapsed="false">
      <c r="A178" s="18" t="s">
        <v>1577</v>
      </c>
      <c r="B178" s="18" t="s">
        <v>587</v>
      </c>
      <c r="C178" s="18" t="s">
        <v>1578</v>
      </c>
      <c r="D178" s="18" t="s">
        <v>1578</v>
      </c>
      <c r="E178" s="18" t="s">
        <v>588</v>
      </c>
      <c r="F178" s="18" t="n">
        <v>41</v>
      </c>
      <c r="G178" s="18"/>
      <c r="H178" s="18" t="s">
        <v>688</v>
      </c>
      <c r="I178" s="18" t="s">
        <v>689</v>
      </c>
      <c r="J178" s="18" t="s">
        <v>712</v>
      </c>
      <c r="K178" s="18" t="s">
        <v>691</v>
      </c>
      <c r="L178" s="18" t="s">
        <v>105</v>
      </c>
      <c r="M178" s="18" t="s">
        <v>704</v>
      </c>
      <c r="N178" s="18" t="s">
        <v>1579</v>
      </c>
      <c r="O178" s="18" t="s">
        <v>1247</v>
      </c>
      <c r="P178" s="18"/>
      <c r="Q178" s="18" t="s">
        <v>956</v>
      </c>
      <c r="R178" s="18" t="s">
        <v>979</v>
      </c>
      <c r="S178" s="18" t="s">
        <v>739</v>
      </c>
      <c r="T178" s="18" t="n">
        <v>0</v>
      </c>
      <c r="U178" s="18" t="n">
        <v>1.1</v>
      </c>
      <c r="V178" s="18" t="n">
        <v>39.9</v>
      </c>
      <c r="W178" s="18" t="n">
        <v>0</v>
      </c>
      <c r="X178" s="18" t="n">
        <v>0</v>
      </c>
      <c r="Y178" s="18" t="n">
        <v>0</v>
      </c>
      <c r="Z178" s="18" t="s">
        <v>1000</v>
      </c>
      <c r="AA178" s="18" t="s">
        <v>699</v>
      </c>
      <c r="AB178" s="18" t="s">
        <v>98</v>
      </c>
      <c r="AC178" s="18"/>
      <c r="AD178" s="23" t="str">
        <f aca="false">IF(A178="","",IF(COUNTIF(Parcels!$A$2:$A$3000,B178)=0,"Parcel not found",IF(COUNTIF($A$2:$A$3000,A178)&gt;1,"Duplicate perm_id",IF(AND(I178="Yes",C178&lt;&gt;"",COUNTIFS($C$2:$C$3000,C178,$I$2:$I$3000,"Yes")&gt;1),"Reference counted twice",IF(COUNTIF(Lists!$A$2:$A$7,H178)=0,"Unknown status","")))))</f>
        <v/>
      </c>
    </row>
    <row r="179" customFormat="false" ht="15" hidden="false" customHeight="false" outlineLevel="0" collapsed="false">
      <c r="A179" s="18" t="s">
        <v>1580</v>
      </c>
      <c r="B179" s="18" t="s">
        <v>380</v>
      </c>
      <c r="C179" s="18" t="s">
        <v>1581</v>
      </c>
      <c r="D179" s="18" t="s">
        <v>1581</v>
      </c>
      <c r="E179" s="18" t="s">
        <v>381</v>
      </c>
      <c r="F179" s="18" t="n">
        <v>24</v>
      </c>
      <c r="G179" s="18"/>
      <c r="H179" s="18" t="s">
        <v>711</v>
      </c>
      <c r="I179" s="18" t="s">
        <v>689</v>
      </c>
      <c r="J179" s="18" t="s">
        <v>690</v>
      </c>
      <c r="K179" s="18" t="s">
        <v>691</v>
      </c>
      <c r="L179" s="18" t="s">
        <v>105</v>
      </c>
      <c r="M179" s="18" t="s">
        <v>704</v>
      </c>
      <c r="N179" s="18" t="s">
        <v>1582</v>
      </c>
      <c r="O179" s="18" t="s">
        <v>1583</v>
      </c>
      <c r="P179" s="18" t="s">
        <v>1584</v>
      </c>
      <c r="Q179" s="18" t="s">
        <v>1529</v>
      </c>
      <c r="R179" s="18" t="s">
        <v>979</v>
      </c>
      <c r="S179" s="18" t="s">
        <v>720</v>
      </c>
      <c r="T179" s="18" t="n">
        <v>1.1</v>
      </c>
      <c r="U179" s="18" t="n">
        <v>12.8</v>
      </c>
      <c r="V179" s="18" t="n">
        <v>10.1</v>
      </c>
      <c r="W179" s="18" t="n">
        <v>0</v>
      </c>
      <c r="X179" s="18" t="n">
        <v>0</v>
      </c>
      <c r="Y179" s="18" t="n">
        <v>0</v>
      </c>
      <c r="Z179" s="18" t="s">
        <v>1000</v>
      </c>
      <c r="AA179" s="18" t="s">
        <v>699</v>
      </c>
      <c r="AB179" s="18" t="s">
        <v>98</v>
      </c>
      <c r="AC179" s="18"/>
      <c r="AD179" s="23" t="str">
        <f aca="false">IF(A179="","",IF(COUNTIF(Parcels!$A$2:$A$3000,B179)=0,"Parcel not found",IF(COUNTIF($A$2:$A$3000,A179)&gt;1,"Duplicate perm_id",IF(AND(I179="Yes",C179&lt;&gt;"",COUNTIFS($C$2:$C$3000,C179,$I$2:$I$3000,"Yes")&gt;1),"Reference counted twice",IF(COUNTIF(Lists!$A$2:$A$7,H179)=0,"Unknown status","")))))</f>
        <v/>
      </c>
    </row>
    <row r="180" customFormat="false" ht="15" hidden="false" customHeight="false" outlineLevel="0" collapsed="false">
      <c r="A180" s="18" t="s">
        <v>1585</v>
      </c>
      <c r="B180" s="18" t="s">
        <v>589</v>
      </c>
      <c r="C180" s="18" t="s">
        <v>1586</v>
      </c>
      <c r="D180" s="18" t="s">
        <v>1586</v>
      </c>
      <c r="E180" s="18" t="s">
        <v>590</v>
      </c>
      <c r="F180" s="18" t="n">
        <v>3</v>
      </c>
      <c r="G180" s="18"/>
      <c r="H180" s="18" t="s">
        <v>703</v>
      </c>
      <c r="I180" s="18" t="s">
        <v>689</v>
      </c>
      <c r="J180" s="18" t="s">
        <v>690</v>
      </c>
      <c r="K180" s="18" t="s">
        <v>691</v>
      </c>
      <c r="L180" s="18" t="s">
        <v>105</v>
      </c>
      <c r="M180" s="18" t="s">
        <v>704</v>
      </c>
      <c r="N180" s="18" t="s">
        <v>1587</v>
      </c>
      <c r="O180" s="18" t="s">
        <v>1588</v>
      </c>
      <c r="P180" s="18"/>
      <c r="Q180" s="18"/>
      <c r="R180" s="18"/>
      <c r="S180" s="18" t="s">
        <v>707</v>
      </c>
      <c r="T180" s="18" t="n">
        <v>0</v>
      </c>
      <c r="U180" s="18" t="n">
        <v>0</v>
      </c>
      <c r="V180" s="18" t="n">
        <v>0</v>
      </c>
      <c r="W180" s="18" t="n">
        <v>0</v>
      </c>
      <c r="X180" s="18" t="n">
        <v>0</v>
      </c>
      <c r="Y180" s="18" t="n">
        <v>0</v>
      </c>
      <c r="Z180" s="18" t="s">
        <v>1000</v>
      </c>
      <c r="AA180" s="18" t="s">
        <v>699</v>
      </c>
      <c r="AB180" s="18" t="s">
        <v>98</v>
      </c>
      <c r="AC180" s="18"/>
      <c r="AD180" s="23" t="str">
        <f aca="false">IF(A180="","",IF(COUNTIF(Parcels!$A$2:$A$3000,B180)=0,"Parcel not found",IF(COUNTIF($A$2:$A$3000,A180)&gt;1,"Duplicate perm_id",IF(AND(I180="Yes",C180&lt;&gt;"",COUNTIFS($C$2:$C$3000,C180,$I$2:$I$3000,"Yes")&gt;1),"Reference counted twice",IF(COUNTIF(Lists!$A$2:$A$7,H180)=0,"Unknown status","")))))</f>
        <v/>
      </c>
    </row>
    <row r="181" customFormat="false" ht="15" hidden="false" customHeight="false" outlineLevel="0" collapsed="false">
      <c r="A181" s="18" t="s">
        <v>1589</v>
      </c>
      <c r="B181" s="18" t="s">
        <v>338</v>
      </c>
      <c r="C181" s="18" t="s">
        <v>1590</v>
      </c>
      <c r="D181" s="18" t="s">
        <v>1590</v>
      </c>
      <c r="E181" s="18" t="s">
        <v>339</v>
      </c>
      <c r="F181" s="18" t="n">
        <v>14</v>
      </c>
      <c r="G181" s="18"/>
      <c r="H181" s="18" t="s">
        <v>711</v>
      </c>
      <c r="I181" s="18" t="s">
        <v>689</v>
      </c>
      <c r="J181" s="18" t="s">
        <v>690</v>
      </c>
      <c r="K181" s="18" t="s">
        <v>691</v>
      </c>
      <c r="L181" s="18" t="s">
        <v>105</v>
      </c>
      <c r="M181" s="18" t="s">
        <v>704</v>
      </c>
      <c r="N181" s="18" t="s">
        <v>1488</v>
      </c>
      <c r="O181" s="18" t="s">
        <v>1489</v>
      </c>
      <c r="P181" s="18" t="s">
        <v>1591</v>
      </c>
      <c r="Q181" s="18" t="s">
        <v>1188</v>
      </c>
      <c r="R181" s="18" t="s">
        <v>719</v>
      </c>
      <c r="S181" s="18" t="s">
        <v>720</v>
      </c>
      <c r="T181" s="18" t="n">
        <v>3.3</v>
      </c>
      <c r="U181" s="18" t="n">
        <v>10.7</v>
      </c>
      <c r="V181" s="18" t="n">
        <v>0</v>
      </c>
      <c r="W181" s="18" t="n">
        <v>0</v>
      </c>
      <c r="X181" s="18" t="n">
        <v>0</v>
      </c>
      <c r="Y181" s="18" t="n">
        <v>0</v>
      </c>
      <c r="Z181" s="18" t="s">
        <v>1000</v>
      </c>
      <c r="AA181" s="18" t="s">
        <v>699</v>
      </c>
      <c r="AB181" s="18" t="s">
        <v>98</v>
      </c>
      <c r="AC181" s="18"/>
      <c r="AD181" s="23" t="str">
        <f aca="false">IF(A181="","",IF(COUNTIF(Parcels!$A$2:$A$3000,B181)=0,"Parcel not found",IF(COUNTIF($A$2:$A$3000,A181)&gt;1,"Duplicate perm_id",IF(AND(I181="Yes",C181&lt;&gt;"",COUNTIFS($C$2:$C$3000,C181,$I$2:$I$3000,"Yes")&gt;1),"Reference counted twice",IF(COUNTIF(Lists!$A$2:$A$7,H181)=0,"Unknown status","")))))</f>
        <v/>
      </c>
    </row>
    <row r="182" customFormat="false" ht="15" hidden="false" customHeight="false" outlineLevel="0" collapsed="false">
      <c r="A182" s="18" t="s">
        <v>1592</v>
      </c>
      <c r="B182" s="18" t="s">
        <v>382</v>
      </c>
      <c r="C182" s="18" t="s">
        <v>1593</v>
      </c>
      <c r="D182" s="18" t="s">
        <v>1593</v>
      </c>
      <c r="E182" s="18" t="s">
        <v>383</v>
      </c>
      <c r="F182" s="18" t="n">
        <v>21</v>
      </c>
      <c r="G182" s="18"/>
      <c r="H182" s="18" t="s">
        <v>688</v>
      </c>
      <c r="I182" s="18" t="s">
        <v>689</v>
      </c>
      <c r="J182" s="18" t="s">
        <v>712</v>
      </c>
      <c r="K182" s="18" t="s">
        <v>691</v>
      </c>
      <c r="L182" s="18" t="s">
        <v>105</v>
      </c>
      <c r="M182" s="18" t="s">
        <v>704</v>
      </c>
      <c r="N182" s="18" t="s">
        <v>1594</v>
      </c>
      <c r="O182" s="18" t="s">
        <v>1595</v>
      </c>
      <c r="P182" s="18"/>
      <c r="Q182" s="18" t="s">
        <v>695</v>
      </c>
      <c r="R182" s="18" t="s">
        <v>773</v>
      </c>
      <c r="S182" s="18" t="s">
        <v>697</v>
      </c>
      <c r="T182" s="18" t="n">
        <v>0</v>
      </c>
      <c r="U182" s="18" t="n">
        <v>0</v>
      </c>
      <c r="V182" s="18" t="n">
        <v>6.7</v>
      </c>
      <c r="W182" s="18" t="n">
        <v>13.9</v>
      </c>
      <c r="X182" s="18" t="n">
        <v>0.5</v>
      </c>
      <c r="Y182" s="18" t="n">
        <v>-0.1</v>
      </c>
      <c r="Z182" s="18" t="s">
        <v>1000</v>
      </c>
      <c r="AA182" s="18" t="s">
        <v>699</v>
      </c>
      <c r="AB182" s="18" t="s">
        <v>98</v>
      </c>
      <c r="AC182" s="18"/>
      <c r="AD182" s="23" t="str">
        <f aca="false">IF(A182="","",IF(COUNTIF(Parcels!$A$2:$A$3000,B182)=0,"Parcel not found",IF(COUNTIF($A$2:$A$3000,A182)&gt;1,"Duplicate perm_id",IF(AND(I182="Yes",C182&lt;&gt;"",COUNTIFS($C$2:$C$3000,C182,$I$2:$I$3000,"Yes")&gt;1),"Reference counted twice",IF(COUNTIF(Lists!$A$2:$A$7,H182)=0,"Unknown status","")))))</f>
        <v/>
      </c>
    </row>
    <row r="183" customFormat="false" ht="15" hidden="false" customHeight="false" outlineLevel="0" collapsed="false">
      <c r="A183" s="18" t="s">
        <v>1596</v>
      </c>
      <c r="B183" s="18" t="s">
        <v>591</v>
      </c>
      <c r="C183" s="18" t="s">
        <v>1597</v>
      </c>
      <c r="D183" s="18" t="s">
        <v>1597</v>
      </c>
      <c r="E183" s="18" t="s">
        <v>592</v>
      </c>
      <c r="F183" s="18" t="n">
        <v>8</v>
      </c>
      <c r="G183" s="18"/>
      <c r="H183" s="18" t="s">
        <v>728</v>
      </c>
      <c r="I183" s="18" t="s">
        <v>689</v>
      </c>
      <c r="J183" s="18" t="s">
        <v>712</v>
      </c>
      <c r="K183" s="18" t="s">
        <v>691</v>
      </c>
      <c r="L183" s="18" t="s">
        <v>105</v>
      </c>
      <c r="M183" s="18" t="s">
        <v>704</v>
      </c>
      <c r="N183" s="18" t="s">
        <v>1598</v>
      </c>
      <c r="O183" s="18" t="s">
        <v>1599</v>
      </c>
      <c r="P183" s="18" t="s">
        <v>1427</v>
      </c>
      <c r="Q183" s="18"/>
      <c r="R183" s="18"/>
      <c r="S183" s="18" t="s">
        <v>731</v>
      </c>
      <c r="T183" s="18" t="n">
        <v>0</v>
      </c>
      <c r="U183" s="18" t="n">
        <v>0</v>
      </c>
      <c r="V183" s="18" t="n">
        <v>0</v>
      </c>
      <c r="W183" s="18" t="n">
        <v>0</v>
      </c>
      <c r="X183" s="18" t="n">
        <v>0</v>
      </c>
      <c r="Y183" s="18" t="n">
        <v>0</v>
      </c>
      <c r="Z183" s="18" t="s">
        <v>1000</v>
      </c>
      <c r="AA183" s="18" t="s">
        <v>699</v>
      </c>
      <c r="AB183" s="18" t="s">
        <v>98</v>
      </c>
      <c r="AC183" s="18"/>
      <c r="AD183" s="23" t="str">
        <f aca="false">IF(A183="","",IF(COUNTIF(Parcels!$A$2:$A$3000,B183)=0,"Parcel not found",IF(COUNTIF($A$2:$A$3000,A183)&gt;1,"Duplicate perm_id",IF(AND(I183="Yes",C183&lt;&gt;"",COUNTIFS($C$2:$C$3000,C183,$I$2:$I$3000,"Yes")&gt;1),"Reference counted twice",IF(COUNTIF(Lists!$A$2:$A$7,H183)=0,"Unknown status","")))))</f>
        <v/>
      </c>
    </row>
    <row r="184" customFormat="false" ht="15" hidden="false" customHeight="false" outlineLevel="0" collapsed="false">
      <c r="A184" s="18" t="s">
        <v>1600</v>
      </c>
      <c r="B184" s="18" t="s">
        <v>593</v>
      </c>
      <c r="C184" s="18" t="s">
        <v>1601</v>
      </c>
      <c r="D184" s="18" t="s">
        <v>1601</v>
      </c>
      <c r="E184" s="18" t="s">
        <v>594</v>
      </c>
      <c r="F184" s="18" t="n">
        <v>3</v>
      </c>
      <c r="G184" s="18"/>
      <c r="H184" s="18" t="s">
        <v>711</v>
      </c>
      <c r="I184" s="18" t="s">
        <v>689</v>
      </c>
      <c r="J184" s="18" t="s">
        <v>690</v>
      </c>
      <c r="K184" s="18" t="s">
        <v>691</v>
      </c>
      <c r="L184" s="18" t="s">
        <v>105</v>
      </c>
      <c r="M184" s="18" t="s">
        <v>704</v>
      </c>
      <c r="N184" s="18" t="s">
        <v>1602</v>
      </c>
      <c r="O184" s="18" t="s">
        <v>1603</v>
      </c>
      <c r="P184" s="18" t="s">
        <v>1604</v>
      </c>
      <c r="Q184" s="18" t="s">
        <v>765</v>
      </c>
      <c r="R184" s="18" t="s">
        <v>719</v>
      </c>
      <c r="S184" s="18" t="s">
        <v>720</v>
      </c>
      <c r="T184" s="18" t="n">
        <v>0.7</v>
      </c>
      <c r="U184" s="18" t="n">
        <v>2.3</v>
      </c>
      <c r="V184" s="18" t="n">
        <v>0</v>
      </c>
      <c r="W184" s="18" t="n">
        <v>0</v>
      </c>
      <c r="X184" s="18" t="n">
        <v>0</v>
      </c>
      <c r="Y184" s="18" t="n">
        <v>0</v>
      </c>
      <c r="Z184" s="18" t="s">
        <v>1000</v>
      </c>
      <c r="AA184" s="18" t="s">
        <v>699</v>
      </c>
      <c r="AB184" s="18" t="s">
        <v>98</v>
      </c>
      <c r="AC184" s="18"/>
      <c r="AD184" s="23" t="str">
        <f aca="false">IF(A184="","",IF(COUNTIF(Parcels!$A$2:$A$3000,B184)=0,"Parcel not found",IF(COUNTIF($A$2:$A$3000,A184)&gt;1,"Duplicate perm_id",IF(AND(I184="Yes",C184&lt;&gt;"",COUNTIFS($C$2:$C$3000,C184,$I$2:$I$3000,"Yes")&gt;1),"Reference counted twice",IF(COUNTIF(Lists!$A$2:$A$7,H184)=0,"Unknown status","")))))</f>
        <v/>
      </c>
    </row>
    <row r="185" customFormat="false" ht="15" hidden="false" customHeight="false" outlineLevel="0" collapsed="false">
      <c r="A185" s="18" t="s">
        <v>1605</v>
      </c>
      <c r="B185" s="18" t="s">
        <v>595</v>
      </c>
      <c r="C185" s="18" t="s">
        <v>1606</v>
      </c>
      <c r="D185" s="18" t="s">
        <v>1606</v>
      </c>
      <c r="E185" s="18" t="s">
        <v>596</v>
      </c>
      <c r="F185" s="18" t="n">
        <v>4</v>
      </c>
      <c r="G185" s="18"/>
      <c r="H185" s="18" t="s">
        <v>728</v>
      </c>
      <c r="I185" s="18" t="s">
        <v>689</v>
      </c>
      <c r="J185" s="18" t="s">
        <v>690</v>
      </c>
      <c r="K185" s="18" t="s">
        <v>691</v>
      </c>
      <c r="L185" s="18" t="s">
        <v>105</v>
      </c>
      <c r="M185" s="18" t="s">
        <v>704</v>
      </c>
      <c r="N185" s="18" t="s">
        <v>1488</v>
      </c>
      <c r="O185" s="18" t="s">
        <v>1489</v>
      </c>
      <c r="P185" s="18" t="s">
        <v>1607</v>
      </c>
      <c r="Q185" s="18"/>
      <c r="R185" s="18"/>
      <c r="S185" s="18" t="s">
        <v>731</v>
      </c>
      <c r="T185" s="18" t="n">
        <v>0</v>
      </c>
      <c r="U185" s="18" t="n">
        <v>0</v>
      </c>
      <c r="V185" s="18" t="n">
        <v>0</v>
      </c>
      <c r="W185" s="18" t="n">
        <v>0</v>
      </c>
      <c r="X185" s="18" t="n">
        <v>0</v>
      </c>
      <c r="Y185" s="18" t="n">
        <v>0</v>
      </c>
      <c r="Z185" s="18" t="s">
        <v>1000</v>
      </c>
      <c r="AA185" s="18" t="s">
        <v>699</v>
      </c>
      <c r="AB185" s="18" t="s">
        <v>98</v>
      </c>
      <c r="AC185" s="18"/>
      <c r="AD185" s="23" t="str">
        <f aca="false">IF(A185="","",IF(COUNTIF(Parcels!$A$2:$A$3000,B185)=0,"Parcel not found",IF(COUNTIF($A$2:$A$3000,A185)&gt;1,"Duplicate perm_id",IF(AND(I185="Yes",C185&lt;&gt;"",COUNTIFS($C$2:$C$3000,C185,$I$2:$I$3000,"Yes")&gt;1),"Reference counted twice",IF(COUNTIF(Lists!$A$2:$A$7,H185)=0,"Unknown status","")))))</f>
        <v/>
      </c>
    </row>
    <row r="186" customFormat="false" ht="15" hidden="false" customHeight="false" outlineLevel="0" collapsed="false">
      <c r="A186" s="18" t="s">
        <v>1608</v>
      </c>
      <c r="B186" s="18" t="s">
        <v>445</v>
      </c>
      <c r="C186" s="18" t="s">
        <v>1609</v>
      </c>
      <c r="D186" s="18" t="s">
        <v>1609</v>
      </c>
      <c r="E186" s="18" t="s">
        <v>446</v>
      </c>
      <c r="F186" s="18" t="n">
        <v>66</v>
      </c>
      <c r="G186" s="18"/>
      <c r="H186" s="18" t="s">
        <v>711</v>
      </c>
      <c r="I186" s="18" t="s">
        <v>689</v>
      </c>
      <c r="J186" s="18" t="s">
        <v>690</v>
      </c>
      <c r="K186" s="18" t="s">
        <v>691</v>
      </c>
      <c r="L186" s="18" t="s">
        <v>105</v>
      </c>
      <c r="M186" s="18" t="s">
        <v>704</v>
      </c>
      <c r="N186" s="18" t="s">
        <v>1610</v>
      </c>
      <c r="O186" s="18" t="s">
        <v>1611</v>
      </c>
      <c r="P186" s="18" t="s">
        <v>1360</v>
      </c>
      <c r="Q186" s="18" t="s">
        <v>765</v>
      </c>
      <c r="R186" s="18" t="s">
        <v>719</v>
      </c>
      <c r="S186" s="18" t="s">
        <v>720</v>
      </c>
      <c r="T186" s="18" t="n">
        <v>15.4</v>
      </c>
      <c r="U186" s="18" t="n">
        <v>50.6</v>
      </c>
      <c r="V186" s="18" t="n">
        <v>0</v>
      </c>
      <c r="W186" s="18" t="n">
        <v>0</v>
      </c>
      <c r="X186" s="18" t="n">
        <v>0</v>
      </c>
      <c r="Y186" s="18" t="n">
        <v>0</v>
      </c>
      <c r="Z186" s="18" t="s">
        <v>1000</v>
      </c>
      <c r="AA186" s="18" t="s">
        <v>699</v>
      </c>
      <c r="AB186" s="18" t="s">
        <v>98</v>
      </c>
      <c r="AC186" s="18"/>
      <c r="AD186" s="23" t="str">
        <f aca="false">IF(A186="","",IF(COUNTIF(Parcels!$A$2:$A$3000,B186)=0,"Parcel not found",IF(COUNTIF($A$2:$A$3000,A186)&gt;1,"Duplicate perm_id",IF(AND(I186="Yes",C186&lt;&gt;"",COUNTIFS($C$2:$C$3000,C186,$I$2:$I$3000,"Yes")&gt;1),"Reference counted twice",IF(COUNTIF(Lists!$A$2:$A$7,H186)=0,"Unknown status","")))))</f>
        <v/>
      </c>
    </row>
    <row r="187" customFormat="false" ht="15" hidden="false" customHeight="false" outlineLevel="0" collapsed="false">
      <c r="A187" s="18" t="s">
        <v>1612</v>
      </c>
      <c r="B187" s="18" t="s">
        <v>447</v>
      </c>
      <c r="C187" s="18" t="s">
        <v>1613</v>
      </c>
      <c r="D187" s="18" t="s">
        <v>1613</v>
      </c>
      <c r="E187" s="18" t="s">
        <v>448</v>
      </c>
      <c r="F187" s="18" t="n">
        <v>104</v>
      </c>
      <c r="G187" s="18"/>
      <c r="H187" s="18" t="s">
        <v>688</v>
      </c>
      <c r="I187" s="18" t="s">
        <v>689</v>
      </c>
      <c r="J187" s="18" t="s">
        <v>690</v>
      </c>
      <c r="K187" s="18" t="s">
        <v>691</v>
      </c>
      <c r="L187" s="18" t="s">
        <v>105</v>
      </c>
      <c r="M187" s="18" t="s">
        <v>704</v>
      </c>
      <c r="N187" s="18" t="s">
        <v>1614</v>
      </c>
      <c r="O187" s="18" t="s">
        <v>1615</v>
      </c>
      <c r="P187" s="18"/>
      <c r="Q187" s="18" t="s">
        <v>737</v>
      </c>
      <c r="R187" s="18" t="s">
        <v>870</v>
      </c>
      <c r="S187" s="18" t="s">
        <v>739</v>
      </c>
      <c r="T187" s="18" t="n">
        <v>0</v>
      </c>
      <c r="U187" s="18" t="n">
        <v>0</v>
      </c>
      <c r="V187" s="18" t="n">
        <v>70</v>
      </c>
      <c r="W187" s="18" t="n">
        <v>34</v>
      </c>
      <c r="X187" s="18" t="n">
        <v>0</v>
      </c>
      <c r="Y187" s="18" t="n">
        <v>0</v>
      </c>
      <c r="Z187" s="18" t="s">
        <v>1000</v>
      </c>
      <c r="AA187" s="18" t="s">
        <v>699</v>
      </c>
      <c r="AB187" s="18" t="s">
        <v>98</v>
      </c>
      <c r="AC187" s="18"/>
      <c r="AD187" s="23" t="str">
        <f aca="false">IF(A187="","",IF(COUNTIF(Parcels!$A$2:$A$3000,B187)=0,"Parcel not found",IF(COUNTIF($A$2:$A$3000,A187)&gt;1,"Duplicate perm_id",IF(AND(I187="Yes",C187&lt;&gt;"",COUNTIFS($C$2:$C$3000,C187,$I$2:$I$3000,"Yes")&gt;1),"Reference counted twice",IF(COUNTIF(Lists!$A$2:$A$7,H187)=0,"Unknown status","")))))</f>
        <v/>
      </c>
    </row>
    <row r="188" customFormat="false" ht="15" hidden="false" customHeight="false" outlineLevel="0" collapsed="false">
      <c r="A188" s="18" t="s">
        <v>1616</v>
      </c>
      <c r="B188" s="18" t="s">
        <v>597</v>
      </c>
      <c r="C188" s="18" t="s">
        <v>1617</v>
      </c>
      <c r="D188" s="18" t="s">
        <v>1617</v>
      </c>
      <c r="E188" s="18" t="s">
        <v>598</v>
      </c>
      <c r="F188" s="18" t="n">
        <v>53</v>
      </c>
      <c r="G188" s="18"/>
      <c r="H188" s="18" t="s">
        <v>796</v>
      </c>
      <c r="I188" s="18" t="s">
        <v>689</v>
      </c>
      <c r="J188" s="18" t="s">
        <v>690</v>
      </c>
      <c r="K188" s="18" t="s">
        <v>691</v>
      </c>
      <c r="L188" s="18" t="s">
        <v>105</v>
      </c>
      <c r="M188" s="18" t="s">
        <v>704</v>
      </c>
      <c r="N188" s="18" t="s">
        <v>1594</v>
      </c>
      <c r="O188" s="18" t="s">
        <v>1595</v>
      </c>
      <c r="P188" s="18"/>
      <c r="Q188" s="18"/>
      <c r="R188" s="18"/>
      <c r="S188" s="18" t="s">
        <v>707</v>
      </c>
      <c r="T188" s="18" t="n">
        <v>0</v>
      </c>
      <c r="U188" s="18" t="n">
        <v>0</v>
      </c>
      <c r="V188" s="18" t="n">
        <v>0</v>
      </c>
      <c r="W188" s="18" t="n">
        <v>0</v>
      </c>
      <c r="X188" s="18" t="n">
        <v>0</v>
      </c>
      <c r="Y188" s="18" t="n">
        <v>0</v>
      </c>
      <c r="Z188" s="18" t="s">
        <v>1000</v>
      </c>
      <c r="AA188" s="18" t="s">
        <v>699</v>
      </c>
      <c r="AB188" s="18" t="s">
        <v>98</v>
      </c>
      <c r="AC188" s="18"/>
      <c r="AD188" s="23" t="str">
        <f aca="false">IF(A188="","",IF(COUNTIF(Parcels!$A$2:$A$3000,B188)=0,"Parcel not found",IF(COUNTIF($A$2:$A$3000,A188)&gt;1,"Duplicate perm_id",IF(AND(I188="Yes",C188&lt;&gt;"",COUNTIFS($C$2:$C$3000,C188,$I$2:$I$3000,"Yes")&gt;1),"Reference counted twice",IF(COUNTIF(Lists!$A$2:$A$7,H188)=0,"Unknown status","")))))</f>
        <v/>
      </c>
    </row>
    <row r="189" customFormat="false" ht="15" hidden="false" customHeight="false" outlineLevel="0" collapsed="false">
      <c r="A189" s="18" t="s">
        <v>1618</v>
      </c>
      <c r="B189" s="18" t="s">
        <v>465</v>
      </c>
      <c r="C189" s="18" t="s">
        <v>1619</v>
      </c>
      <c r="D189" s="18" t="s">
        <v>1619</v>
      </c>
      <c r="E189" s="18" t="s">
        <v>466</v>
      </c>
      <c r="F189" s="18" t="n">
        <v>8</v>
      </c>
      <c r="G189" s="18"/>
      <c r="H189" s="18" t="s">
        <v>688</v>
      </c>
      <c r="I189" s="18" t="s">
        <v>689</v>
      </c>
      <c r="J189" s="18" t="s">
        <v>712</v>
      </c>
      <c r="K189" s="18" t="s">
        <v>691</v>
      </c>
      <c r="L189" s="18" t="s">
        <v>105</v>
      </c>
      <c r="M189" s="18" t="s">
        <v>704</v>
      </c>
      <c r="N189" s="18" t="s">
        <v>834</v>
      </c>
      <c r="O189" s="18" t="s">
        <v>1620</v>
      </c>
      <c r="P189" s="18"/>
      <c r="Q189" s="18" t="s">
        <v>695</v>
      </c>
      <c r="R189" s="18" t="s">
        <v>805</v>
      </c>
      <c r="S189" s="18" t="s">
        <v>697</v>
      </c>
      <c r="T189" s="18" t="n">
        <v>0</v>
      </c>
      <c r="U189" s="18" t="n">
        <v>0</v>
      </c>
      <c r="V189" s="18" t="n">
        <v>4</v>
      </c>
      <c r="W189" s="18" t="n">
        <v>4</v>
      </c>
      <c r="X189" s="18" t="n">
        <v>0</v>
      </c>
      <c r="Y189" s="18" t="n">
        <v>0</v>
      </c>
      <c r="Z189" s="18" t="s">
        <v>1000</v>
      </c>
      <c r="AA189" s="18" t="s">
        <v>699</v>
      </c>
      <c r="AB189" s="18" t="s">
        <v>98</v>
      </c>
      <c r="AC189" s="18"/>
      <c r="AD189" s="23" t="str">
        <f aca="false">IF(A189="","",IF(COUNTIF(Parcels!$A$2:$A$3000,B189)=0,"Parcel not found",IF(COUNTIF($A$2:$A$3000,A189)&gt;1,"Duplicate perm_id",IF(AND(I189="Yes",C189&lt;&gt;"",COUNTIFS($C$2:$C$3000,C189,$I$2:$I$3000,"Yes")&gt;1),"Reference counted twice",IF(COUNTIF(Lists!$A$2:$A$7,H189)=0,"Unknown status","")))))</f>
        <v/>
      </c>
    </row>
    <row r="190" customFormat="false" ht="15" hidden="false" customHeight="false" outlineLevel="0" collapsed="false">
      <c r="A190" s="18" t="s">
        <v>1621</v>
      </c>
      <c r="B190" s="18" t="s">
        <v>599</v>
      </c>
      <c r="C190" s="18" t="s">
        <v>1622</v>
      </c>
      <c r="D190" s="18" t="s">
        <v>1622</v>
      </c>
      <c r="E190" s="18" t="s">
        <v>600</v>
      </c>
      <c r="F190" s="18" t="n">
        <v>74</v>
      </c>
      <c r="G190" s="18"/>
      <c r="H190" s="18" t="s">
        <v>688</v>
      </c>
      <c r="I190" s="18" t="s">
        <v>689</v>
      </c>
      <c r="J190" s="18" t="s">
        <v>690</v>
      </c>
      <c r="K190" s="18" t="s">
        <v>691</v>
      </c>
      <c r="L190" s="18" t="s">
        <v>105</v>
      </c>
      <c r="M190" s="18" t="s">
        <v>704</v>
      </c>
      <c r="N190" s="18" t="s">
        <v>1623</v>
      </c>
      <c r="O190" s="18" t="s">
        <v>1624</v>
      </c>
      <c r="P190" s="18"/>
      <c r="Q190" s="18" t="s">
        <v>695</v>
      </c>
      <c r="R190" s="18" t="s">
        <v>906</v>
      </c>
      <c r="S190" s="18" t="s">
        <v>697</v>
      </c>
      <c r="T190" s="18" t="n">
        <v>0</v>
      </c>
      <c r="U190" s="18" t="n">
        <v>0</v>
      </c>
      <c r="V190" s="18" t="n">
        <v>28.4</v>
      </c>
      <c r="W190" s="18" t="n">
        <v>45.6</v>
      </c>
      <c r="X190" s="18" t="n">
        <v>0</v>
      </c>
      <c r="Y190" s="18" t="n">
        <v>0</v>
      </c>
      <c r="Z190" s="18" t="s">
        <v>1000</v>
      </c>
      <c r="AA190" s="18" t="s">
        <v>699</v>
      </c>
      <c r="AB190" s="18" t="s">
        <v>98</v>
      </c>
      <c r="AC190" s="18"/>
      <c r="AD190" s="23" t="str">
        <f aca="false">IF(A190="","",IF(COUNTIF(Parcels!$A$2:$A$3000,B190)=0,"Parcel not found",IF(COUNTIF($A$2:$A$3000,A190)&gt;1,"Duplicate perm_id",IF(AND(I190="Yes",C190&lt;&gt;"",COUNTIFS($C$2:$C$3000,C190,$I$2:$I$3000,"Yes")&gt;1),"Reference counted twice",IF(COUNTIF(Lists!$A$2:$A$7,H190)=0,"Unknown status","")))))</f>
        <v/>
      </c>
    </row>
    <row r="191" customFormat="false" ht="15" hidden="false" customHeight="false" outlineLevel="0" collapsed="false">
      <c r="A191" s="18" t="s">
        <v>1625</v>
      </c>
      <c r="B191" s="18" t="s">
        <v>601</v>
      </c>
      <c r="C191" s="18" t="s">
        <v>1626</v>
      </c>
      <c r="D191" s="18" t="s">
        <v>1626</v>
      </c>
      <c r="E191" s="18" t="s">
        <v>602</v>
      </c>
      <c r="F191" s="18" t="n">
        <v>6</v>
      </c>
      <c r="G191" s="18"/>
      <c r="H191" s="18" t="s">
        <v>711</v>
      </c>
      <c r="I191" s="18" t="s">
        <v>689</v>
      </c>
      <c r="J191" s="18" t="s">
        <v>819</v>
      </c>
      <c r="K191" s="18" t="s">
        <v>691</v>
      </c>
      <c r="L191" s="18" t="s">
        <v>105</v>
      </c>
      <c r="M191" s="18" t="s">
        <v>704</v>
      </c>
      <c r="N191" s="18" t="s">
        <v>1627</v>
      </c>
      <c r="O191" s="18" t="s">
        <v>1628</v>
      </c>
      <c r="P191" s="18" t="s">
        <v>1629</v>
      </c>
      <c r="Q191" s="18" t="s">
        <v>823</v>
      </c>
      <c r="R191" s="18" t="s">
        <v>719</v>
      </c>
      <c r="S191" s="18" t="s">
        <v>720</v>
      </c>
      <c r="T191" s="18" t="n">
        <v>1.4</v>
      </c>
      <c r="U191" s="18" t="n">
        <v>4.6</v>
      </c>
      <c r="V191" s="18" t="n">
        <v>0</v>
      </c>
      <c r="W191" s="18" t="n">
        <v>0</v>
      </c>
      <c r="X191" s="18" t="n">
        <v>0</v>
      </c>
      <c r="Y191" s="18" t="n">
        <v>0</v>
      </c>
      <c r="Z191" s="18" t="s">
        <v>1000</v>
      </c>
      <c r="AA191" s="18" t="s">
        <v>699</v>
      </c>
      <c r="AB191" s="18" t="s">
        <v>98</v>
      </c>
      <c r="AC191" s="18"/>
      <c r="AD191" s="23" t="str">
        <f aca="false">IF(A191="","",IF(COUNTIF(Parcels!$A$2:$A$3000,B191)=0,"Parcel not found",IF(COUNTIF($A$2:$A$3000,A191)&gt;1,"Duplicate perm_id",IF(AND(I191="Yes",C191&lt;&gt;"",COUNTIFS($C$2:$C$3000,C191,$I$2:$I$3000,"Yes")&gt;1),"Reference counted twice",IF(COUNTIF(Lists!$A$2:$A$7,H191)=0,"Unknown status","")))))</f>
        <v/>
      </c>
    </row>
    <row r="192" customFormat="false" ht="15" hidden="false" customHeight="false" outlineLevel="0" collapsed="false">
      <c r="A192" s="18" t="s">
        <v>1630</v>
      </c>
      <c r="B192" s="18" t="s">
        <v>603</v>
      </c>
      <c r="C192" s="18" t="s">
        <v>1631</v>
      </c>
      <c r="D192" s="18" t="s">
        <v>1631</v>
      </c>
      <c r="E192" s="18" t="s">
        <v>604</v>
      </c>
      <c r="F192" s="18" t="n">
        <v>14</v>
      </c>
      <c r="G192" s="18"/>
      <c r="H192" s="18" t="s">
        <v>688</v>
      </c>
      <c r="I192" s="18" t="s">
        <v>689</v>
      </c>
      <c r="J192" s="18" t="s">
        <v>690</v>
      </c>
      <c r="K192" s="18" t="s">
        <v>691</v>
      </c>
      <c r="L192" s="18" t="s">
        <v>105</v>
      </c>
      <c r="M192" s="18" t="s">
        <v>704</v>
      </c>
      <c r="N192" s="18" t="s">
        <v>1632</v>
      </c>
      <c r="O192" s="18" t="s">
        <v>1633</v>
      </c>
      <c r="P192" s="18"/>
      <c r="Q192" s="18" t="s">
        <v>695</v>
      </c>
      <c r="R192" s="18" t="s">
        <v>870</v>
      </c>
      <c r="S192" s="18" t="s">
        <v>697</v>
      </c>
      <c r="T192" s="18" t="n">
        <v>0</v>
      </c>
      <c r="U192" s="18" t="n">
        <v>0</v>
      </c>
      <c r="V192" s="18" t="n">
        <v>8.2</v>
      </c>
      <c r="W192" s="18" t="n">
        <v>5.8</v>
      </c>
      <c r="X192" s="18" t="n">
        <v>0</v>
      </c>
      <c r="Y192" s="18" t="n">
        <v>0</v>
      </c>
      <c r="Z192" s="18" t="s">
        <v>1000</v>
      </c>
      <c r="AA192" s="18" t="s">
        <v>699</v>
      </c>
      <c r="AB192" s="18" t="s">
        <v>98</v>
      </c>
      <c r="AC192" s="18"/>
      <c r="AD192" s="23" t="str">
        <f aca="false">IF(A192="","",IF(COUNTIF(Parcels!$A$2:$A$3000,B192)=0,"Parcel not found",IF(COUNTIF($A$2:$A$3000,A192)&gt;1,"Duplicate perm_id",IF(AND(I192="Yes",C192&lt;&gt;"",COUNTIFS($C$2:$C$3000,C192,$I$2:$I$3000,"Yes")&gt;1),"Reference counted twice",IF(COUNTIF(Lists!$A$2:$A$7,H192)=0,"Unknown status","")))))</f>
        <v/>
      </c>
    </row>
    <row r="193" customFormat="false" ht="15" hidden="false" customHeight="false" outlineLevel="0" collapsed="false">
      <c r="A193" s="18" t="s">
        <v>1634</v>
      </c>
      <c r="B193" s="18" t="s">
        <v>340</v>
      </c>
      <c r="C193" s="18" t="s">
        <v>1635</v>
      </c>
      <c r="D193" s="18" t="s">
        <v>1635</v>
      </c>
      <c r="E193" s="18" t="s">
        <v>341</v>
      </c>
      <c r="F193" s="18" t="n">
        <v>122</v>
      </c>
      <c r="G193" s="18"/>
      <c r="H193" s="18" t="s">
        <v>711</v>
      </c>
      <c r="I193" s="18" t="s">
        <v>689</v>
      </c>
      <c r="J193" s="18" t="s">
        <v>690</v>
      </c>
      <c r="K193" s="18" t="s">
        <v>691</v>
      </c>
      <c r="L193" s="18" t="s">
        <v>105</v>
      </c>
      <c r="M193" s="18" t="s">
        <v>770</v>
      </c>
      <c r="N193" s="18" t="s">
        <v>1636</v>
      </c>
      <c r="O193" s="18" t="s">
        <v>1637</v>
      </c>
      <c r="P193" s="18" t="s">
        <v>1638</v>
      </c>
      <c r="Q193" s="18" t="s">
        <v>864</v>
      </c>
      <c r="R193" s="18" t="s">
        <v>719</v>
      </c>
      <c r="S193" s="18" t="s">
        <v>720</v>
      </c>
      <c r="T193" s="18" t="n">
        <v>28.4</v>
      </c>
      <c r="U193" s="18" t="n">
        <v>93.6</v>
      </c>
      <c r="V193" s="18" t="n">
        <v>0</v>
      </c>
      <c r="W193" s="18" t="n">
        <v>0</v>
      </c>
      <c r="X193" s="18" t="n">
        <v>0</v>
      </c>
      <c r="Y193" s="18" t="n">
        <v>0</v>
      </c>
      <c r="Z193" s="18" t="s">
        <v>1000</v>
      </c>
      <c r="AA193" s="18" t="s">
        <v>699</v>
      </c>
      <c r="AB193" s="18" t="s">
        <v>98</v>
      </c>
      <c r="AC193" s="18"/>
      <c r="AD193" s="23" t="str">
        <f aca="false">IF(A193="","",IF(COUNTIF(Parcels!$A$2:$A$3000,B193)=0,"Parcel not found",IF(COUNTIF($A$2:$A$3000,A193)&gt;1,"Duplicate perm_id",IF(AND(I193="Yes",C193&lt;&gt;"",COUNTIFS($C$2:$C$3000,C193,$I$2:$I$3000,"Yes")&gt;1),"Reference counted twice",IF(COUNTIF(Lists!$A$2:$A$7,H193)=0,"Unknown status","")))))</f>
        <v/>
      </c>
    </row>
    <row r="194" customFormat="false" ht="15" hidden="false" customHeight="false" outlineLevel="0" collapsed="false">
      <c r="A194" s="18" t="s">
        <v>1639</v>
      </c>
      <c r="B194" s="18" t="s">
        <v>605</v>
      </c>
      <c r="C194" s="18" t="s">
        <v>1640</v>
      </c>
      <c r="D194" s="18" t="s">
        <v>1640</v>
      </c>
      <c r="E194" s="18" t="s">
        <v>606</v>
      </c>
      <c r="F194" s="18" t="n">
        <v>74</v>
      </c>
      <c r="G194" s="18"/>
      <c r="H194" s="18" t="s">
        <v>711</v>
      </c>
      <c r="I194" s="18" t="s">
        <v>689</v>
      </c>
      <c r="J194" s="18" t="s">
        <v>690</v>
      </c>
      <c r="K194" s="18" t="s">
        <v>691</v>
      </c>
      <c r="L194" s="18" t="s">
        <v>105</v>
      </c>
      <c r="M194" s="18" t="s">
        <v>704</v>
      </c>
      <c r="N194" s="18" t="s">
        <v>1641</v>
      </c>
      <c r="O194" s="18" t="s">
        <v>1642</v>
      </c>
      <c r="P194" s="18" t="s">
        <v>967</v>
      </c>
      <c r="Q194" s="18" t="s">
        <v>968</v>
      </c>
      <c r="R194" s="18" t="s">
        <v>719</v>
      </c>
      <c r="S194" s="18" t="s">
        <v>720</v>
      </c>
      <c r="T194" s="18" t="n">
        <v>17.2</v>
      </c>
      <c r="U194" s="18" t="n">
        <v>56.8</v>
      </c>
      <c r="V194" s="18" t="n">
        <v>0</v>
      </c>
      <c r="W194" s="18" t="n">
        <v>0</v>
      </c>
      <c r="X194" s="18" t="n">
        <v>0</v>
      </c>
      <c r="Y194" s="18" t="n">
        <v>0</v>
      </c>
      <c r="Z194" s="18" t="s">
        <v>1000</v>
      </c>
      <c r="AA194" s="18" t="s">
        <v>699</v>
      </c>
      <c r="AB194" s="18" t="s">
        <v>98</v>
      </c>
      <c r="AC194" s="18"/>
      <c r="AD194" s="23" t="str">
        <f aca="false">IF(A194="","",IF(COUNTIF(Parcels!$A$2:$A$3000,B194)=0,"Parcel not found",IF(COUNTIF($A$2:$A$3000,A194)&gt;1,"Duplicate perm_id",IF(AND(I194="Yes",C194&lt;&gt;"",COUNTIFS($C$2:$C$3000,C194,$I$2:$I$3000,"Yes")&gt;1),"Reference counted twice",IF(COUNTIF(Lists!$A$2:$A$7,H194)=0,"Unknown status","")))))</f>
        <v/>
      </c>
    </row>
    <row r="195" customFormat="false" ht="15" hidden="false" customHeight="false" outlineLevel="0" collapsed="false">
      <c r="A195" s="18" t="s">
        <v>1643</v>
      </c>
      <c r="B195" s="18" t="s">
        <v>607</v>
      </c>
      <c r="C195" s="18" t="s">
        <v>1644</v>
      </c>
      <c r="D195" s="18" t="s">
        <v>1644</v>
      </c>
      <c r="E195" s="18" t="s">
        <v>608</v>
      </c>
      <c r="F195" s="18" t="n">
        <v>10</v>
      </c>
      <c r="G195" s="18"/>
      <c r="H195" s="18" t="s">
        <v>688</v>
      </c>
      <c r="I195" s="18" t="s">
        <v>689</v>
      </c>
      <c r="J195" s="18" t="s">
        <v>690</v>
      </c>
      <c r="K195" s="18" t="s">
        <v>691</v>
      </c>
      <c r="L195" s="18" t="s">
        <v>105</v>
      </c>
      <c r="M195" s="18" t="s">
        <v>704</v>
      </c>
      <c r="N195" s="18" t="s">
        <v>1645</v>
      </c>
      <c r="O195" s="18" t="s">
        <v>1646</v>
      </c>
      <c r="P195" s="18"/>
      <c r="Q195" s="18" t="s">
        <v>695</v>
      </c>
      <c r="R195" s="18" t="s">
        <v>870</v>
      </c>
      <c r="S195" s="18" t="s">
        <v>697</v>
      </c>
      <c r="T195" s="18" t="n">
        <v>0</v>
      </c>
      <c r="U195" s="18" t="n">
        <v>0</v>
      </c>
      <c r="V195" s="18" t="n">
        <v>5.9</v>
      </c>
      <c r="W195" s="18" t="n">
        <v>4.1</v>
      </c>
      <c r="X195" s="18" t="n">
        <v>0</v>
      </c>
      <c r="Y195" s="18" t="n">
        <v>0</v>
      </c>
      <c r="Z195" s="18" t="s">
        <v>1000</v>
      </c>
      <c r="AA195" s="18" t="s">
        <v>1318</v>
      </c>
      <c r="AB195" s="18" t="s">
        <v>98</v>
      </c>
      <c r="AC195" s="18"/>
      <c r="AD195" s="23" t="str">
        <f aca="false">IF(A195="","",IF(COUNTIF(Parcels!$A$2:$A$3000,B195)=0,"Parcel not found",IF(COUNTIF($A$2:$A$3000,A195)&gt;1,"Duplicate perm_id",IF(AND(I195="Yes",C195&lt;&gt;"",COUNTIFS($C$2:$C$3000,C195,$I$2:$I$3000,"Yes")&gt;1),"Reference counted twice",IF(COUNTIF(Lists!$A$2:$A$7,H195)=0,"Unknown status","")))))</f>
        <v/>
      </c>
    </row>
    <row r="196" customFormat="false" ht="15" hidden="false" customHeight="false" outlineLevel="0" collapsed="false">
      <c r="A196" s="18" t="s">
        <v>1647</v>
      </c>
      <c r="B196" s="18" t="s">
        <v>609</v>
      </c>
      <c r="C196" s="18" t="s">
        <v>1648</v>
      </c>
      <c r="D196" s="18" t="s">
        <v>1648</v>
      </c>
      <c r="E196" s="18" t="s">
        <v>610</v>
      </c>
      <c r="F196" s="18" t="n">
        <v>30</v>
      </c>
      <c r="G196" s="18"/>
      <c r="H196" s="18" t="s">
        <v>711</v>
      </c>
      <c r="I196" s="18" t="s">
        <v>689</v>
      </c>
      <c r="J196" s="18" t="s">
        <v>690</v>
      </c>
      <c r="K196" s="18" t="s">
        <v>691</v>
      </c>
      <c r="L196" s="18" t="s">
        <v>105</v>
      </c>
      <c r="M196" s="18" t="s">
        <v>704</v>
      </c>
      <c r="N196" s="18" t="s">
        <v>1649</v>
      </c>
      <c r="O196" s="18" t="s">
        <v>1650</v>
      </c>
      <c r="P196" s="18" t="s">
        <v>1651</v>
      </c>
      <c r="Q196" s="18" t="s">
        <v>1529</v>
      </c>
      <c r="R196" s="18" t="s">
        <v>719</v>
      </c>
      <c r="S196" s="18" t="s">
        <v>720</v>
      </c>
      <c r="T196" s="18" t="n">
        <v>7</v>
      </c>
      <c r="U196" s="18" t="n">
        <v>23</v>
      </c>
      <c r="V196" s="18" t="n">
        <v>0</v>
      </c>
      <c r="W196" s="18" t="n">
        <v>0</v>
      </c>
      <c r="X196" s="18" t="n">
        <v>0</v>
      </c>
      <c r="Y196" s="18" t="n">
        <v>0</v>
      </c>
      <c r="Z196" s="18" t="s">
        <v>1000</v>
      </c>
      <c r="AA196" s="18" t="s">
        <v>699</v>
      </c>
      <c r="AB196" s="18" t="s">
        <v>98</v>
      </c>
      <c r="AC196" s="18"/>
      <c r="AD196" s="23" t="str">
        <f aca="false">IF(A196="","",IF(COUNTIF(Parcels!$A$2:$A$3000,B196)=0,"Parcel not found",IF(COUNTIF($A$2:$A$3000,A196)&gt;1,"Duplicate perm_id",IF(AND(I196="Yes",C196&lt;&gt;"",COUNTIFS($C$2:$C$3000,C196,$I$2:$I$3000,"Yes")&gt;1),"Reference counted twice",IF(COUNTIF(Lists!$A$2:$A$7,H196)=0,"Unknown status","")))))</f>
        <v/>
      </c>
    </row>
    <row r="197" customFormat="false" ht="15" hidden="false" customHeight="false" outlineLevel="0" collapsed="false">
      <c r="A197" s="18" t="s">
        <v>1652</v>
      </c>
      <c r="B197" s="18" t="s">
        <v>384</v>
      </c>
      <c r="C197" s="18" t="s">
        <v>1653</v>
      </c>
      <c r="D197" s="18" t="s">
        <v>1653</v>
      </c>
      <c r="E197" s="18" t="s">
        <v>385</v>
      </c>
      <c r="F197" s="18" t="n">
        <v>3</v>
      </c>
      <c r="G197" s="18"/>
      <c r="H197" s="18" t="s">
        <v>711</v>
      </c>
      <c r="I197" s="18" t="s">
        <v>689</v>
      </c>
      <c r="J197" s="18" t="s">
        <v>690</v>
      </c>
      <c r="K197" s="18" t="s">
        <v>691</v>
      </c>
      <c r="L197" s="18" t="s">
        <v>105</v>
      </c>
      <c r="M197" s="18" t="s">
        <v>704</v>
      </c>
      <c r="N197" s="18" t="s">
        <v>744</v>
      </c>
      <c r="O197" s="18" t="s">
        <v>745</v>
      </c>
      <c r="P197" s="18" t="s">
        <v>1654</v>
      </c>
      <c r="Q197" s="18" t="s">
        <v>864</v>
      </c>
      <c r="R197" s="18" t="s">
        <v>719</v>
      </c>
      <c r="S197" s="18" t="s">
        <v>720</v>
      </c>
      <c r="T197" s="18" t="n">
        <v>0.7</v>
      </c>
      <c r="U197" s="18" t="n">
        <v>2.3</v>
      </c>
      <c r="V197" s="18" t="n">
        <v>0</v>
      </c>
      <c r="W197" s="18" t="n">
        <v>0</v>
      </c>
      <c r="X197" s="18" t="n">
        <v>0</v>
      </c>
      <c r="Y197" s="18" t="n">
        <v>0</v>
      </c>
      <c r="Z197" s="18" t="s">
        <v>1000</v>
      </c>
      <c r="AA197" s="18" t="s">
        <v>699</v>
      </c>
      <c r="AB197" s="18" t="s">
        <v>98</v>
      </c>
      <c r="AC197" s="18"/>
      <c r="AD197" s="23" t="str">
        <f aca="false">IF(A197="","",IF(COUNTIF(Parcels!$A$2:$A$3000,B197)=0,"Parcel not found",IF(COUNTIF($A$2:$A$3000,A197)&gt;1,"Duplicate perm_id",IF(AND(I197="Yes",C197&lt;&gt;"",COUNTIFS($C$2:$C$3000,C197,$I$2:$I$3000,"Yes")&gt;1),"Reference counted twice",IF(COUNTIF(Lists!$A$2:$A$7,H197)=0,"Unknown status","")))))</f>
        <v/>
      </c>
    </row>
    <row r="198" customFormat="false" ht="15" hidden="false" customHeight="false" outlineLevel="0" collapsed="false">
      <c r="A198" s="18" t="s">
        <v>1655</v>
      </c>
      <c r="B198" s="18" t="s">
        <v>386</v>
      </c>
      <c r="C198" s="18" t="s">
        <v>1656</v>
      </c>
      <c r="D198" s="18" t="s">
        <v>1656</v>
      </c>
      <c r="E198" s="18" t="s">
        <v>387</v>
      </c>
      <c r="F198" s="18" t="n">
        <v>8</v>
      </c>
      <c r="G198" s="18"/>
      <c r="H198" s="18" t="s">
        <v>711</v>
      </c>
      <c r="I198" s="18" t="s">
        <v>689</v>
      </c>
      <c r="J198" s="18" t="s">
        <v>712</v>
      </c>
      <c r="K198" s="18" t="s">
        <v>691</v>
      </c>
      <c r="L198" s="18" t="s">
        <v>105</v>
      </c>
      <c r="M198" s="18" t="s">
        <v>704</v>
      </c>
      <c r="N198" s="18" t="s">
        <v>1657</v>
      </c>
      <c r="O198" s="18" t="s">
        <v>1658</v>
      </c>
      <c r="P198" s="18" t="s">
        <v>1659</v>
      </c>
      <c r="Q198" s="18" t="s">
        <v>1456</v>
      </c>
      <c r="R198" s="18" t="s">
        <v>719</v>
      </c>
      <c r="S198" s="18" t="s">
        <v>720</v>
      </c>
      <c r="T198" s="18" t="n">
        <v>1.9</v>
      </c>
      <c r="U198" s="18" t="n">
        <v>6.1</v>
      </c>
      <c r="V198" s="18" t="n">
        <v>0</v>
      </c>
      <c r="W198" s="18" t="n">
        <v>0</v>
      </c>
      <c r="X198" s="18" t="n">
        <v>0</v>
      </c>
      <c r="Y198" s="18" t="n">
        <v>0</v>
      </c>
      <c r="Z198" s="18" t="s">
        <v>1000</v>
      </c>
      <c r="AA198" s="18" t="s">
        <v>699</v>
      </c>
      <c r="AB198" s="18" t="s">
        <v>98</v>
      </c>
      <c r="AC198" s="18"/>
      <c r="AD198" s="23" t="str">
        <f aca="false">IF(A198="","",IF(COUNTIF(Parcels!$A$2:$A$3000,B198)=0,"Parcel not found",IF(COUNTIF($A$2:$A$3000,A198)&gt;1,"Duplicate perm_id",IF(AND(I198="Yes",C198&lt;&gt;"",COUNTIFS($C$2:$C$3000,C198,$I$2:$I$3000,"Yes")&gt;1),"Reference counted twice",IF(COUNTIF(Lists!$A$2:$A$7,H198)=0,"Unknown status","")))))</f>
        <v/>
      </c>
    </row>
    <row r="199" customFormat="false" ht="15" hidden="false" customHeight="false" outlineLevel="0" collapsed="false">
      <c r="A199" s="18" t="s">
        <v>1660</v>
      </c>
      <c r="B199" s="18" t="s">
        <v>611</v>
      </c>
      <c r="C199" s="18" t="s">
        <v>1661</v>
      </c>
      <c r="D199" s="18" t="s">
        <v>1661</v>
      </c>
      <c r="E199" s="18" t="s">
        <v>612</v>
      </c>
      <c r="F199" s="18" t="n">
        <v>10</v>
      </c>
      <c r="G199" s="18"/>
      <c r="H199" s="18" t="s">
        <v>688</v>
      </c>
      <c r="I199" s="18" t="s">
        <v>689</v>
      </c>
      <c r="J199" s="18" t="s">
        <v>690</v>
      </c>
      <c r="K199" s="18" t="s">
        <v>713</v>
      </c>
      <c r="L199" s="18" t="s">
        <v>743</v>
      </c>
      <c r="M199" s="18" t="s">
        <v>704</v>
      </c>
      <c r="N199" s="18" t="s">
        <v>1662</v>
      </c>
      <c r="O199" s="18" t="s">
        <v>1663</v>
      </c>
      <c r="P199" s="18"/>
      <c r="Q199" s="18" t="s">
        <v>737</v>
      </c>
      <c r="R199" s="18" t="s">
        <v>738</v>
      </c>
      <c r="S199" s="18" t="s">
        <v>739</v>
      </c>
      <c r="T199" s="18" t="n">
        <v>0</v>
      </c>
      <c r="U199" s="18" t="n">
        <v>0</v>
      </c>
      <c r="V199" s="18" t="n">
        <v>8.4</v>
      </c>
      <c r="W199" s="18" t="n">
        <v>1.6</v>
      </c>
      <c r="X199" s="18" t="n">
        <v>0</v>
      </c>
      <c r="Y199" s="18" t="n">
        <v>0</v>
      </c>
      <c r="Z199" s="18" t="s">
        <v>1000</v>
      </c>
      <c r="AA199" s="18" t="s">
        <v>699</v>
      </c>
      <c r="AB199" s="18" t="s">
        <v>98</v>
      </c>
      <c r="AC199" s="18"/>
      <c r="AD199" s="23" t="str">
        <f aca="false">IF(A199="","",IF(COUNTIF(Parcels!$A$2:$A$3000,B199)=0,"Parcel not found",IF(COUNTIF($A$2:$A$3000,A199)&gt;1,"Duplicate perm_id",IF(AND(I199="Yes",C199&lt;&gt;"",COUNTIFS($C$2:$C$3000,C199,$I$2:$I$3000,"Yes")&gt;1),"Reference counted twice",IF(COUNTIF(Lists!$A$2:$A$7,H199)=0,"Unknown status","")))))</f>
        <v/>
      </c>
    </row>
    <row r="200" customFormat="false" ht="15" hidden="false" customHeight="false" outlineLevel="0" collapsed="false">
      <c r="A200" s="18" t="s">
        <v>1664</v>
      </c>
      <c r="B200" s="18" t="s">
        <v>613</v>
      </c>
      <c r="C200" s="18" t="s">
        <v>1665</v>
      </c>
      <c r="D200" s="18" t="s">
        <v>1665</v>
      </c>
      <c r="E200" s="18" t="s">
        <v>614</v>
      </c>
      <c r="F200" s="18" t="n">
        <v>7</v>
      </c>
      <c r="G200" s="18"/>
      <c r="H200" s="18" t="s">
        <v>688</v>
      </c>
      <c r="I200" s="18" t="s">
        <v>689</v>
      </c>
      <c r="J200" s="18" t="s">
        <v>712</v>
      </c>
      <c r="K200" s="18" t="s">
        <v>713</v>
      </c>
      <c r="L200" s="18" t="s">
        <v>743</v>
      </c>
      <c r="M200" s="18" t="s">
        <v>704</v>
      </c>
      <c r="N200" s="18" t="s">
        <v>1666</v>
      </c>
      <c r="O200" s="18" t="s">
        <v>1667</v>
      </c>
      <c r="P200" s="18"/>
      <c r="Q200" s="18" t="s">
        <v>737</v>
      </c>
      <c r="R200" s="18" t="s">
        <v>738</v>
      </c>
      <c r="S200" s="18" t="s">
        <v>739</v>
      </c>
      <c r="T200" s="18" t="n">
        <v>0</v>
      </c>
      <c r="U200" s="18" t="n">
        <v>0</v>
      </c>
      <c r="V200" s="18" t="n">
        <v>6.1</v>
      </c>
      <c r="W200" s="18" t="n">
        <v>0.9</v>
      </c>
      <c r="X200" s="18" t="n">
        <v>0</v>
      </c>
      <c r="Y200" s="18" t="n">
        <v>0</v>
      </c>
      <c r="Z200" s="18" t="s">
        <v>1000</v>
      </c>
      <c r="AA200" s="18" t="s">
        <v>699</v>
      </c>
      <c r="AB200" s="18" t="s">
        <v>98</v>
      </c>
      <c r="AC200" s="18"/>
      <c r="AD200" s="23" t="str">
        <f aca="false">IF(A200="","",IF(COUNTIF(Parcels!$A$2:$A$3000,B200)=0,"Parcel not found",IF(COUNTIF($A$2:$A$3000,A200)&gt;1,"Duplicate perm_id",IF(AND(I200="Yes",C200&lt;&gt;"",COUNTIFS($C$2:$C$3000,C200,$I$2:$I$3000,"Yes")&gt;1),"Reference counted twice",IF(COUNTIF(Lists!$A$2:$A$7,H200)=0,"Unknown status","")))))</f>
        <v/>
      </c>
    </row>
    <row r="201" customFormat="false" ht="15" hidden="false" customHeight="false" outlineLevel="0" collapsed="false">
      <c r="A201" s="18" t="s">
        <v>1668</v>
      </c>
      <c r="B201" s="18" t="s">
        <v>388</v>
      </c>
      <c r="C201" s="18" t="s">
        <v>1669</v>
      </c>
      <c r="D201" s="18" t="s">
        <v>1669</v>
      </c>
      <c r="E201" s="18" t="s">
        <v>389</v>
      </c>
      <c r="F201" s="18" t="n">
        <v>8</v>
      </c>
      <c r="G201" s="18"/>
      <c r="H201" s="18" t="s">
        <v>688</v>
      </c>
      <c r="I201" s="18" t="s">
        <v>689</v>
      </c>
      <c r="J201" s="18" t="s">
        <v>712</v>
      </c>
      <c r="K201" s="18" t="s">
        <v>691</v>
      </c>
      <c r="L201" s="18" t="s">
        <v>105</v>
      </c>
      <c r="M201" s="18" t="s">
        <v>704</v>
      </c>
      <c r="N201" s="18" t="s">
        <v>834</v>
      </c>
      <c r="O201" s="18" t="s">
        <v>1620</v>
      </c>
      <c r="P201" s="18"/>
      <c r="Q201" s="18" t="s">
        <v>695</v>
      </c>
      <c r="R201" s="18" t="s">
        <v>805</v>
      </c>
      <c r="S201" s="18" t="s">
        <v>697</v>
      </c>
      <c r="T201" s="18" t="n">
        <v>0</v>
      </c>
      <c r="U201" s="18" t="n">
        <v>0</v>
      </c>
      <c r="V201" s="18" t="n">
        <v>4</v>
      </c>
      <c r="W201" s="18" t="n">
        <v>4</v>
      </c>
      <c r="X201" s="18" t="n">
        <v>0</v>
      </c>
      <c r="Y201" s="18" t="n">
        <v>0</v>
      </c>
      <c r="Z201" s="18" t="s">
        <v>1000</v>
      </c>
      <c r="AA201" s="18" t="s">
        <v>699</v>
      </c>
      <c r="AB201" s="18" t="s">
        <v>98</v>
      </c>
      <c r="AC201" s="18"/>
      <c r="AD201" s="23" t="str">
        <f aca="false">IF(A201="","",IF(COUNTIF(Parcels!$A$2:$A$3000,B201)=0,"Parcel not found",IF(COUNTIF($A$2:$A$3000,A201)&gt;1,"Duplicate perm_id",IF(AND(I201="Yes",C201&lt;&gt;"",COUNTIFS($C$2:$C$3000,C201,$I$2:$I$3000,"Yes")&gt;1),"Reference counted twice",IF(COUNTIF(Lists!$A$2:$A$7,H201)=0,"Unknown status","")))))</f>
        <v/>
      </c>
    </row>
    <row r="202" customFormat="false" ht="15" hidden="false" customHeight="false" outlineLevel="0" collapsed="false">
      <c r="A202" s="18" t="s">
        <v>1670</v>
      </c>
      <c r="B202" s="18" t="s">
        <v>390</v>
      </c>
      <c r="C202" s="18" t="s">
        <v>1671</v>
      </c>
      <c r="D202" s="18" t="s">
        <v>1671</v>
      </c>
      <c r="E202" s="18" t="s">
        <v>391</v>
      </c>
      <c r="F202" s="18" t="n">
        <v>7</v>
      </c>
      <c r="G202" s="18"/>
      <c r="H202" s="18" t="s">
        <v>711</v>
      </c>
      <c r="I202" s="18" t="s">
        <v>689</v>
      </c>
      <c r="J202" s="18" t="s">
        <v>712</v>
      </c>
      <c r="K202" s="18" t="s">
        <v>691</v>
      </c>
      <c r="L202" s="18" t="s">
        <v>105</v>
      </c>
      <c r="M202" s="18" t="s">
        <v>704</v>
      </c>
      <c r="N202" s="18" t="s">
        <v>850</v>
      </c>
      <c r="O202" s="18" t="s">
        <v>851</v>
      </c>
      <c r="P202" s="18" t="s">
        <v>1672</v>
      </c>
      <c r="Q202" s="18" t="s">
        <v>747</v>
      </c>
      <c r="R202" s="18" t="s">
        <v>876</v>
      </c>
      <c r="S202" s="18" t="s">
        <v>720</v>
      </c>
      <c r="T202" s="18" t="n">
        <v>0</v>
      </c>
      <c r="U202" s="18" t="n">
        <v>5.8</v>
      </c>
      <c r="V202" s="18" t="n">
        <v>1.2</v>
      </c>
      <c r="W202" s="18" t="n">
        <v>0</v>
      </c>
      <c r="X202" s="18" t="n">
        <v>0</v>
      </c>
      <c r="Y202" s="18" t="n">
        <v>0</v>
      </c>
      <c r="Z202" s="18" t="s">
        <v>1000</v>
      </c>
      <c r="AA202" s="18" t="s">
        <v>699</v>
      </c>
      <c r="AB202" s="18" t="s">
        <v>98</v>
      </c>
      <c r="AC202" s="18"/>
      <c r="AD202" s="23" t="str">
        <f aca="false">IF(A202="","",IF(COUNTIF(Parcels!$A$2:$A$3000,B202)=0,"Parcel not found",IF(COUNTIF($A$2:$A$3000,A202)&gt;1,"Duplicate perm_id",IF(AND(I202="Yes",C202&lt;&gt;"",COUNTIFS($C$2:$C$3000,C202,$I$2:$I$3000,"Yes")&gt;1),"Reference counted twice",IF(COUNTIF(Lists!$A$2:$A$7,H202)=0,"Unknown status","")))))</f>
        <v/>
      </c>
    </row>
    <row r="203" customFormat="false" ht="15" hidden="false" customHeight="false" outlineLevel="0" collapsed="false">
      <c r="A203" s="18" t="s">
        <v>1673</v>
      </c>
      <c r="B203" s="18" t="s">
        <v>615</v>
      </c>
      <c r="C203" s="18" t="s">
        <v>1674</v>
      </c>
      <c r="D203" s="18" t="s">
        <v>1674</v>
      </c>
      <c r="E203" s="18" t="s">
        <v>616</v>
      </c>
      <c r="F203" s="18" t="n">
        <v>3</v>
      </c>
      <c r="G203" s="18"/>
      <c r="H203" s="18" t="s">
        <v>688</v>
      </c>
      <c r="I203" s="18" t="s">
        <v>689</v>
      </c>
      <c r="J203" s="18" t="s">
        <v>690</v>
      </c>
      <c r="K203" s="18" t="s">
        <v>691</v>
      </c>
      <c r="L203" s="18" t="s">
        <v>105</v>
      </c>
      <c r="M203" s="18" t="s">
        <v>704</v>
      </c>
      <c r="N203" s="18" t="s">
        <v>1675</v>
      </c>
      <c r="O203" s="18" t="s">
        <v>1676</v>
      </c>
      <c r="P203" s="18"/>
      <c r="Q203" s="18" t="s">
        <v>695</v>
      </c>
      <c r="R203" s="18" t="s">
        <v>870</v>
      </c>
      <c r="S203" s="18" t="s">
        <v>697</v>
      </c>
      <c r="T203" s="18" t="n">
        <v>0</v>
      </c>
      <c r="U203" s="18" t="n">
        <v>0</v>
      </c>
      <c r="V203" s="18" t="n">
        <v>1.9</v>
      </c>
      <c r="W203" s="18" t="n">
        <v>1.1</v>
      </c>
      <c r="X203" s="18" t="n">
        <v>0</v>
      </c>
      <c r="Y203" s="18" t="n">
        <v>0</v>
      </c>
      <c r="Z203" s="18" t="s">
        <v>1000</v>
      </c>
      <c r="AA203" s="18" t="s">
        <v>699</v>
      </c>
      <c r="AB203" s="18" t="s">
        <v>98</v>
      </c>
      <c r="AC203" s="18"/>
      <c r="AD203" s="23" t="str">
        <f aca="false">IF(A203="","",IF(COUNTIF(Parcels!$A$2:$A$3000,B203)=0,"Parcel not found",IF(COUNTIF($A$2:$A$3000,A203)&gt;1,"Duplicate perm_id",IF(AND(I203="Yes",C203&lt;&gt;"",COUNTIFS($C$2:$C$3000,C203,$I$2:$I$3000,"Yes")&gt;1),"Reference counted twice",IF(COUNTIF(Lists!$A$2:$A$7,H203)=0,"Unknown status","")))))</f>
        <v/>
      </c>
    </row>
    <row r="204" customFormat="false" ht="15" hidden="false" customHeight="false" outlineLevel="0" collapsed="false">
      <c r="A204" s="18" t="s">
        <v>1677</v>
      </c>
      <c r="B204" s="18" t="s">
        <v>617</v>
      </c>
      <c r="C204" s="18" t="s">
        <v>1678</v>
      </c>
      <c r="D204" s="18" t="s">
        <v>1678</v>
      </c>
      <c r="E204" s="18" t="s">
        <v>618</v>
      </c>
      <c r="F204" s="18" t="n">
        <v>25</v>
      </c>
      <c r="G204" s="18"/>
      <c r="H204" s="18" t="s">
        <v>688</v>
      </c>
      <c r="I204" s="18" t="s">
        <v>689</v>
      </c>
      <c r="J204" s="18" t="s">
        <v>819</v>
      </c>
      <c r="K204" s="18" t="s">
        <v>691</v>
      </c>
      <c r="L204" s="18" t="s">
        <v>105</v>
      </c>
      <c r="M204" s="18" t="s">
        <v>704</v>
      </c>
      <c r="N204" s="18" t="s">
        <v>1557</v>
      </c>
      <c r="O204" s="18" t="s">
        <v>1558</v>
      </c>
      <c r="P204" s="18"/>
      <c r="Q204" s="18" t="s">
        <v>695</v>
      </c>
      <c r="R204" s="18" t="s">
        <v>738</v>
      </c>
      <c r="S204" s="18" t="s">
        <v>697</v>
      </c>
      <c r="T204" s="18" t="n">
        <v>0</v>
      </c>
      <c r="U204" s="18" t="n">
        <v>0</v>
      </c>
      <c r="V204" s="18" t="n">
        <v>19</v>
      </c>
      <c r="W204" s="18" t="n">
        <v>6</v>
      </c>
      <c r="X204" s="18" t="n">
        <v>0</v>
      </c>
      <c r="Y204" s="18" t="n">
        <v>0</v>
      </c>
      <c r="Z204" s="18" t="s">
        <v>1000</v>
      </c>
      <c r="AA204" s="18" t="s">
        <v>699</v>
      </c>
      <c r="AB204" s="18" t="s">
        <v>98</v>
      </c>
      <c r="AC204" s="18"/>
      <c r="AD204" s="23" t="str">
        <f aca="false">IF(A204="","",IF(COUNTIF(Parcels!$A$2:$A$3000,B204)=0,"Parcel not found",IF(COUNTIF($A$2:$A$3000,A204)&gt;1,"Duplicate perm_id",IF(AND(I204="Yes",C204&lt;&gt;"",COUNTIFS($C$2:$C$3000,C204,$I$2:$I$3000,"Yes")&gt;1),"Reference counted twice",IF(COUNTIF(Lists!$A$2:$A$7,H204)=0,"Unknown status","")))))</f>
        <v/>
      </c>
    </row>
    <row r="205" customFormat="false" ht="15" hidden="false" customHeight="false" outlineLevel="0" collapsed="false">
      <c r="A205" s="18" t="s">
        <v>1679</v>
      </c>
      <c r="B205" s="18" t="s">
        <v>481</v>
      </c>
      <c r="C205" s="18" t="s">
        <v>1680</v>
      </c>
      <c r="D205" s="18" t="s">
        <v>1680</v>
      </c>
      <c r="E205" s="18" t="s">
        <v>482</v>
      </c>
      <c r="F205" s="18" t="n">
        <v>12</v>
      </c>
      <c r="G205" s="18"/>
      <c r="H205" s="18" t="s">
        <v>711</v>
      </c>
      <c r="I205" s="18" t="s">
        <v>689</v>
      </c>
      <c r="J205" s="18" t="s">
        <v>712</v>
      </c>
      <c r="K205" s="18" t="s">
        <v>691</v>
      </c>
      <c r="L205" s="18" t="s">
        <v>105</v>
      </c>
      <c r="M205" s="18" t="s">
        <v>704</v>
      </c>
      <c r="N205" s="18" t="s">
        <v>1681</v>
      </c>
      <c r="O205" s="18" t="s">
        <v>1682</v>
      </c>
      <c r="P205" s="18" t="s">
        <v>1683</v>
      </c>
      <c r="Q205" s="18" t="s">
        <v>968</v>
      </c>
      <c r="R205" s="18" t="s">
        <v>719</v>
      </c>
      <c r="S205" s="18" t="s">
        <v>720</v>
      </c>
      <c r="T205" s="18" t="n">
        <v>2.8</v>
      </c>
      <c r="U205" s="18" t="n">
        <v>9.2</v>
      </c>
      <c r="V205" s="18" t="n">
        <v>0</v>
      </c>
      <c r="W205" s="18" t="n">
        <v>0</v>
      </c>
      <c r="X205" s="18" t="n">
        <v>0</v>
      </c>
      <c r="Y205" s="18" t="n">
        <v>0</v>
      </c>
      <c r="Z205" s="18" t="s">
        <v>1000</v>
      </c>
      <c r="AA205" s="18" t="s">
        <v>699</v>
      </c>
      <c r="AB205" s="18" t="s">
        <v>98</v>
      </c>
      <c r="AC205" s="18"/>
      <c r="AD205" s="23" t="str">
        <f aca="false">IF(A205="","",IF(COUNTIF(Parcels!$A$2:$A$3000,B205)=0,"Parcel not found",IF(COUNTIF($A$2:$A$3000,A205)&gt;1,"Duplicate perm_id",IF(AND(I205="Yes",C205&lt;&gt;"",COUNTIFS($C$2:$C$3000,C205,$I$2:$I$3000,"Yes")&gt;1),"Reference counted twice",IF(COUNTIF(Lists!$A$2:$A$7,H205)=0,"Unknown status","")))))</f>
        <v/>
      </c>
    </row>
    <row r="206" customFormat="false" ht="15" hidden="false" customHeight="false" outlineLevel="0" collapsed="false">
      <c r="A206" s="18" t="s">
        <v>1684</v>
      </c>
      <c r="B206" s="18" t="s">
        <v>619</v>
      </c>
      <c r="C206" s="18" t="s">
        <v>1685</v>
      </c>
      <c r="D206" s="18" t="s">
        <v>1685</v>
      </c>
      <c r="E206" s="18" t="s">
        <v>620</v>
      </c>
      <c r="F206" s="18" t="n">
        <v>18</v>
      </c>
      <c r="G206" s="18"/>
      <c r="H206" s="18" t="s">
        <v>711</v>
      </c>
      <c r="I206" s="18" t="s">
        <v>689</v>
      </c>
      <c r="J206" s="18" t="s">
        <v>690</v>
      </c>
      <c r="K206" s="18" t="s">
        <v>691</v>
      </c>
      <c r="L206" s="18" t="s">
        <v>105</v>
      </c>
      <c r="M206" s="18" t="s">
        <v>704</v>
      </c>
      <c r="N206" s="18" t="s">
        <v>1686</v>
      </c>
      <c r="O206" s="18" t="s">
        <v>1687</v>
      </c>
      <c r="P206" s="18" t="s">
        <v>1571</v>
      </c>
      <c r="Q206" s="18" t="s">
        <v>1529</v>
      </c>
      <c r="R206" s="18" t="s">
        <v>719</v>
      </c>
      <c r="S206" s="18" t="s">
        <v>720</v>
      </c>
      <c r="T206" s="18" t="n">
        <v>3.6</v>
      </c>
      <c r="U206" s="18" t="n">
        <v>14.4</v>
      </c>
      <c r="V206" s="18" t="n">
        <v>0</v>
      </c>
      <c r="W206" s="18" t="n">
        <v>0</v>
      </c>
      <c r="X206" s="18" t="n">
        <v>0</v>
      </c>
      <c r="Y206" s="18" t="n">
        <v>0</v>
      </c>
      <c r="Z206" s="18" t="s">
        <v>1000</v>
      </c>
      <c r="AA206" s="18" t="s">
        <v>699</v>
      </c>
      <c r="AB206" s="18" t="s">
        <v>98</v>
      </c>
      <c r="AC206" s="18"/>
      <c r="AD206" s="23" t="str">
        <f aca="false">IF(A206="","",IF(COUNTIF(Parcels!$A$2:$A$3000,B206)=0,"Parcel not found",IF(COUNTIF($A$2:$A$3000,A206)&gt;1,"Duplicate perm_id",IF(AND(I206="Yes",C206&lt;&gt;"",COUNTIFS($C$2:$C$3000,C206,$I$2:$I$3000,"Yes")&gt;1),"Reference counted twice",IF(COUNTIF(Lists!$A$2:$A$7,H206)=0,"Unknown status","")))))</f>
        <v/>
      </c>
    </row>
    <row r="207" customFormat="false" ht="15" hidden="false" customHeight="false" outlineLevel="0" collapsed="false">
      <c r="A207" s="18" t="s">
        <v>1688</v>
      </c>
      <c r="B207" s="18" t="s">
        <v>392</v>
      </c>
      <c r="C207" s="18" t="s">
        <v>1689</v>
      </c>
      <c r="D207" s="18" t="s">
        <v>1689</v>
      </c>
      <c r="E207" s="18" t="s">
        <v>393</v>
      </c>
      <c r="F207" s="18" t="n">
        <v>40</v>
      </c>
      <c r="G207" s="18"/>
      <c r="H207" s="18" t="s">
        <v>688</v>
      </c>
      <c r="I207" s="18" t="s">
        <v>689</v>
      </c>
      <c r="J207" s="18" t="s">
        <v>690</v>
      </c>
      <c r="K207" s="18" t="s">
        <v>691</v>
      </c>
      <c r="L207" s="18" t="s">
        <v>105</v>
      </c>
      <c r="M207" s="18" t="s">
        <v>704</v>
      </c>
      <c r="N207" s="18" t="s">
        <v>1690</v>
      </c>
      <c r="O207" s="18" t="s">
        <v>1691</v>
      </c>
      <c r="P207" s="18"/>
      <c r="Q207" s="18" t="s">
        <v>695</v>
      </c>
      <c r="R207" s="18" t="s">
        <v>870</v>
      </c>
      <c r="S207" s="18" t="s">
        <v>697</v>
      </c>
      <c r="T207" s="18" t="n">
        <v>0</v>
      </c>
      <c r="U207" s="18" t="n">
        <v>0</v>
      </c>
      <c r="V207" s="18" t="n">
        <v>22</v>
      </c>
      <c r="W207" s="18" t="n">
        <v>18</v>
      </c>
      <c r="X207" s="18" t="n">
        <v>0</v>
      </c>
      <c r="Y207" s="18" t="n">
        <v>0</v>
      </c>
      <c r="Z207" s="18" t="s">
        <v>1000</v>
      </c>
      <c r="AA207" s="18" t="s">
        <v>699</v>
      </c>
      <c r="AB207" s="18" t="s">
        <v>98</v>
      </c>
      <c r="AC207" s="18"/>
      <c r="AD207" s="23" t="str">
        <f aca="false">IF(A207="","",IF(COUNTIF(Parcels!$A$2:$A$3000,B207)=0,"Parcel not found",IF(COUNTIF($A$2:$A$3000,A207)&gt;1,"Duplicate perm_id",IF(AND(I207="Yes",C207&lt;&gt;"",COUNTIFS($C$2:$C$3000,C207,$I$2:$I$3000,"Yes")&gt;1),"Reference counted twice",IF(COUNTIF(Lists!$A$2:$A$7,H207)=0,"Unknown status","")))))</f>
        <v/>
      </c>
    </row>
    <row r="208" customFormat="false" ht="15" hidden="false" customHeight="false" outlineLevel="0" collapsed="false">
      <c r="A208" s="18" t="s">
        <v>1692</v>
      </c>
      <c r="B208" s="18" t="s">
        <v>394</v>
      </c>
      <c r="C208" s="18" t="s">
        <v>1693</v>
      </c>
      <c r="D208" s="18" t="s">
        <v>1693</v>
      </c>
      <c r="E208" s="18" t="s">
        <v>395</v>
      </c>
      <c r="F208" s="18" t="n">
        <v>15</v>
      </c>
      <c r="G208" s="18"/>
      <c r="H208" s="18" t="s">
        <v>688</v>
      </c>
      <c r="I208" s="18" t="s">
        <v>689</v>
      </c>
      <c r="J208" s="18" t="s">
        <v>690</v>
      </c>
      <c r="K208" s="18" t="s">
        <v>691</v>
      </c>
      <c r="L208" s="18" t="s">
        <v>105</v>
      </c>
      <c r="M208" s="18" t="s">
        <v>704</v>
      </c>
      <c r="N208" s="18" t="s">
        <v>1694</v>
      </c>
      <c r="O208" s="18" t="s">
        <v>1695</v>
      </c>
      <c r="P208" s="18"/>
      <c r="Q208" s="18" t="s">
        <v>695</v>
      </c>
      <c r="R208" s="18" t="s">
        <v>870</v>
      </c>
      <c r="S208" s="18" t="s">
        <v>697</v>
      </c>
      <c r="T208" s="18" t="n">
        <v>0</v>
      </c>
      <c r="U208" s="18" t="n">
        <v>0</v>
      </c>
      <c r="V208" s="18" t="n">
        <v>8.8</v>
      </c>
      <c r="W208" s="18" t="n">
        <v>6.2</v>
      </c>
      <c r="X208" s="18" t="n">
        <v>0</v>
      </c>
      <c r="Y208" s="18" t="n">
        <v>0</v>
      </c>
      <c r="Z208" s="18" t="s">
        <v>1000</v>
      </c>
      <c r="AA208" s="18" t="s">
        <v>699</v>
      </c>
      <c r="AB208" s="18" t="s">
        <v>98</v>
      </c>
      <c r="AC208" s="18"/>
      <c r="AD208" s="23" t="str">
        <f aca="false">IF(A208="","",IF(COUNTIF(Parcels!$A$2:$A$3000,B208)=0,"Parcel not found",IF(COUNTIF($A$2:$A$3000,A208)&gt;1,"Duplicate perm_id",IF(AND(I208="Yes",C208&lt;&gt;"",COUNTIFS($C$2:$C$3000,C208,$I$2:$I$3000,"Yes")&gt;1),"Reference counted twice",IF(COUNTIF(Lists!$A$2:$A$7,H208)=0,"Unknown status","")))))</f>
        <v/>
      </c>
    </row>
    <row r="209" customFormat="false" ht="15" hidden="false" customHeight="false" outlineLevel="0" collapsed="false">
      <c r="A209" s="18" t="s">
        <v>1696</v>
      </c>
      <c r="B209" s="18" t="s">
        <v>621</v>
      </c>
      <c r="C209" s="18" t="s">
        <v>1697</v>
      </c>
      <c r="D209" s="18" t="s">
        <v>1697</v>
      </c>
      <c r="E209" s="18" t="s">
        <v>622</v>
      </c>
      <c r="F209" s="18" t="n">
        <v>42</v>
      </c>
      <c r="G209" s="18"/>
      <c r="H209" s="18" t="s">
        <v>711</v>
      </c>
      <c r="I209" s="18" t="s">
        <v>689</v>
      </c>
      <c r="J209" s="18" t="s">
        <v>690</v>
      </c>
      <c r="K209" s="18" t="s">
        <v>691</v>
      </c>
      <c r="L209" s="18" t="s">
        <v>105</v>
      </c>
      <c r="M209" s="18" t="s">
        <v>704</v>
      </c>
      <c r="N209" s="18" t="s">
        <v>1698</v>
      </c>
      <c r="O209" s="18" t="s">
        <v>1699</v>
      </c>
      <c r="P209" s="18" t="s">
        <v>1700</v>
      </c>
      <c r="Q209" s="18" t="s">
        <v>747</v>
      </c>
      <c r="R209" s="18" t="s">
        <v>876</v>
      </c>
      <c r="S209" s="18" t="s">
        <v>720</v>
      </c>
      <c r="T209" s="18" t="n">
        <v>0</v>
      </c>
      <c r="U209" s="18" t="n">
        <v>32</v>
      </c>
      <c r="V209" s="18" t="n">
        <v>10</v>
      </c>
      <c r="W209" s="18" t="n">
        <v>0</v>
      </c>
      <c r="X209" s="18" t="n">
        <v>0</v>
      </c>
      <c r="Y209" s="18" t="n">
        <v>0</v>
      </c>
      <c r="Z209" s="18" t="s">
        <v>1000</v>
      </c>
      <c r="AA209" s="18" t="s">
        <v>699</v>
      </c>
      <c r="AB209" s="18" t="s">
        <v>98</v>
      </c>
      <c r="AC209" s="18"/>
      <c r="AD209" s="23" t="str">
        <f aca="false">IF(A209="","",IF(COUNTIF(Parcels!$A$2:$A$3000,B209)=0,"Parcel not found",IF(COUNTIF($A$2:$A$3000,A209)&gt;1,"Duplicate perm_id",IF(AND(I209="Yes",C209&lt;&gt;"",COUNTIFS($C$2:$C$3000,C209,$I$2:$I$3000,"Yes")&gt;1),"Reference counted twice",IF(COUNTIF(Lists!$A$2:$A$7,H209)=0,"Unknown status","")))))</f>
        <v/>
      </c>
    </row>
    <row r="210" customFormat="false" ht="15" hidden="false" customHeight="false" outlineLevel="0" collapsed="false">
      <c r="A210" s="18" t="s">
        <v>1701</v>
      </c>
      <c r="B210" s="18" t="s">
        <v>420</v>
      </c>
      <c r="C210" s="18" t="s">
        <v>1702</v>
      </c>
      <c r="D210" s="18" t="s">
        <v>1702</v>
      </c>
      <c r="E210" s="18" t="s">
        <v>421</v>
      </c>
      <c r="F210" s="18" t="n">
        <v>15</v>
      </c>
      <c r="G210" s="18"/>
      <c r="H210" s="18" t="s">
        <v>688</v>
      </c>
      <c r="I210" s="18" t="s">
        <v>689</v>
      </c>
      <c r="J210" s="18" t="s">
        <v>690</v>
      </c>
      <c r="K210" s="18" t="s">
        <v>691</v>
      </c>
      <c r="L210" s="18" t="s">
        <v>105</v>
      </c>
      <c r="M210" s="18" t="s">
        <v>704</v>
      </c>
      <c r="N210" s="18" t="s">
        <v>1703</v>
      </c>
      <c r="O210" s="18" t="s">
        <v>1704</v>
      </c>
      <c r="P210" s="18"/>
      <c r="Q210" s="18" t="s">
        <v>956</v>
      </c>
      <c r="R210" s="18" t="s">
        <v>738</v>
      </c>
      <c r="S210" s="18" t="s">
        <v>739</v>
      </c>
      <c r="T210" s="18" t="n">
        <v>0</v>
      </c>
      <c r="U210" s="18" t="n">
        <v>0</v>
      </c>
      <c r="V210" s="18" t="n">
        <v>15</v>
      </c>
      <c r="W210" s="18" t="n">
        <v>0</v>
      </c>
      <c r="X210" s="18" t="n">
        <v>0</v>
      </c>
      <c r="Y210" s="18" t="n">
        <v>0</v>
      </c>
      <c r="Z210" s="18" t="s">
        <v>1000</v>
      </c>
      <c r="AA210" s="18" t="s">
        <v>699</v>
      </c>
      <c r="AB210" s="18" t="s">
        <v>98</v>
      </c>
      <c r="AC210" s="18"/>
      <c r="AD210" s="23" t="str">
        <f aca="false">IF(A210="","",IF(COUNTIF(Parcels!$A$2:$A$3000,B210)=0,"Parcel not found",IF(COUNTIF($A$2:$A$3000,A210)&gt;1,"Duplicate perm_id",IF(AND(I210="Yes",C210&lt;&gt;"",COUNTIFS($C$2:$C$3000,C210,$I$2:$I$3000,"Yes")&gt;1),"Reference counted twice",IF(COUNTIF(Lists!$A$2:$A$7,H210)=0,"Unknown status","")))))</f>
        <v/>
      </c>
    </row>
    <row r="211" customFormat="false" ht="15" hidden="false" customHeight="false" outlineLevel="0" collapsed="false">
      <c r="A211" s="18" t="s">
        <v>1705</v>
      </c>
      <c r="B211" s="18" t="s">
        <v>623</v>
      </c>
      <c r="C211" s="18" t="s">
        <v>1706</v>
      </c>
      <c r="D211" s="18" t="s">
        <v>1706</v>
      </c>
      <c r="E211" s="18" t="s">
        <v>624</v>
      </c>
      <c r="F211" s="18" t="n">
        <v>7</v>
      </c>
      <c r="G211" s="18"/>
      <c r="H211" s="18" t="s">
        <v>688</v>
      </c>
      <c r="I211" s="18" t="s">
        <v>689</v>
      </c>
      <c r="J211" s="18" t="s">
        <v>1400</v>
      </c>
      <c r="K211" s="18" t="s">
        <v>691</v>
      </c>
      <c r="L211" s="18" t="s">
        <v>105</v>
      </c>
      <c r="M211" s="18" t="s">
        <v>704</v>
      </c>
      <c r="N211" s="18" t="s">
        <v>1707</v>
      </c>
      <c r="O211" s="18" t="s">
        <v>1708</v>
      </c>
      <c r="P211" s="18"/>
      <c r="Q211" s="18" t="s">
        <v>695</v>
      </c>
      <c r="R211" s="18" t="s">
        <v>870</v>
      </c>
      <c r="S211" s="18" t="s">
        <v>697</v>
      </c>
      <c r="T211" s="18" t="n">
        <v>0</v>
      </c>
      <c r="U211" s="18" t="n">
        <v>0</v>
      </c>
      <c r="V211" s="18" t="n">
        <v>4.4</v>
      </c>
      <c r="W211" s="18" t="n">
        <v>2.6</v>
      </c>
      <c r="X211" s="18" t="n">
        <v>0</v>
      </c>
      <c r="Y211" s="18" t="n">
        <v>0</v>
      </c>
      <c r="Z211" s="18" t="s">
        <v>1000</v>
      </c>
      <c r="AA211" s="18" t="s">
        <v>699</v>
      </c>
      <c r="AB211" s="18" t="s">
        <v>98</v>
      </c>
      <c r="AC211" s="18"/>
      <c r="AD211" s="23" t="str">
        <f aca="false">IF(A211="","",IF(COUNTIF(Parcels!$A$2:$A$3000,B211)=0,"Parcel not found",IF(COUNTIF($A$2:$A$3000,A211)&gt;1,"Duplicate perm_id",IF(AND(I211="Yes",C211&lt;&gt;"",COUNTIFS($C$2:$C$3000,C211,$I$2:$I$3000,"Yes")&gt;1),"Reference counted twice",IF(COUNTIF(Lists!$A$2:$A$7,H211)=0,"Unknown status","")))))</f>
        <v/>
      </c>
    </row>
    <row r="212" customFormat="false" ht="15" hidden="false" customHeight="false" outlineLevel="0" collapsed="false">
      <c r="A212" s="18" t="s">
        <v>1709</v>
      </c>
      <c r="B212" s="18" t="s">
        <v>625</v>
      </c>
      <c r="C212" s="18" t="s">
        <v>1710</v>
      </c>
      <c r="D212" s="18" t="s">
        <v>1710</v>
      </c>
      <c r="E212" s="18" t="s">
        <v>626</v>
      </c>
      <c r="F212" s="18" t="n">
        <v>27</v>
      </c>
      <c r="G212" s="18"/>
      <c r="H212" s="18" t="s">
        <v>688</v>
      </c>
      <c r="I212" s="18" t="s">
        <v>689</v>
      </c>
      <c r="J212" s="18" t="s">
        <v>690</v>
      </c>
      <c r="K212" s="18" t="s">
        <v>691</v>
      </c>
      <c r="L212" s="18" t="s">
        <v>105</v>
      </c>
      <c r="M212" s="18" t="s">
        <v>704</v>
      </c>
      <c r="N212" s="18" t="s">
        <v>1711</v>
      </c>
      <c r="O212" s="18" t="s">
        <v>1712</v>
      </c>
      <c r="P212" s="18"/>
      <c r="Q212" s="18" t="s">
        <v>719</v>
      </c>
      <c r="R212" s="18" t="s">
        <v>805</v>
      </c>
      <c r="S212" s="18" t="s">
        <v>739</v>
      </c>
      <c r="T212" s="18" t="n">
        <v>0</v>
      </c>
      <c r="U212" s="18" t="n">
        <v>0</v>
      </c>
      <c r="V212" s="18" t="n">
        <v>11.4</v>
      </c>
      <c r="W212" s="18" t="n">
        <v>15.6</v>
      </c>
      <c r="X212" s="18" t="n">
        <v>0</v>
      </c>
      <c r="Y212" s="18" t="n">
        <v>0</v>
      </c>
      <c r="Z212" s="18" t="s">
        <v>1000</v>
      </c>
      <c r="AA212" s="18" t="s">
        <v>699</v>
      </c>
      <c r="AB212" s="18" t="s">
        <v>98</v>
      </c>
      <c r="AC212" s="18"/>
      <c r="AD212" s="23" t="str">
        <f aca="false">IF(A212="","",IF(COUNTIF(Parcels!$A$2:$A$3000,B212)=0,"Parcel not found",IF(COUNTIF($A$2:$A$3000,A212)&gt;1,"Duplicate perm_id",IF(AND(I212="Yes",C212&lt;&gt;"",COUNTIFS($C$2:$C$3000,C212,$I$2:$I$3000,"Yes")&gt;1),"Reference counted twice",IF(COUNTIF(Lists!$A$2:$A$7,H212)=0,"Unknown status","")))))</f>
        <v/>
      </c>
    </row>
    <row r="213" customFormat="false" ht="15" hidden="false" customHeight="false" outlineLevel="0" collapsed="false">
      <c r="A213" s="18" t="s">
        <v>1713</v>
      </c>
      <c r="B213" s="18" t="s">
        <v>396</v>
      </c>
      <c r="C213" s="18" t="s">
        <v>1714</v>
      </c>
      <c r="D213" s="18" t="s">
        <v>1714</v>
      </c>
      <c r="E213" s="18" t="s">
        <v>397</v>
      </c>
      <c r="F213" s="18" t="n">
        <v>6</v>
      </c>
      <c r="G213" s="18"/>
      <c r="H213" s="18" t="s">
        <v>711</v>
      </c>
      <c r="I213" s="18" t="s">
        <v>689</v>
      </c>
      <c r="J213" s="18" t="s">
        <v>690</v>
      </c>
      <c r="K213" s="18" t="s">
        <v>691</v>
      </c>
      <c r="L213" s="18" t="s">
        <v>105</v>
      </c>
      <c r="M213" s="18" t="s">
        <v>704</v>
      </c>
      <c r="N213" s="18" t="s">
        <v>1715</v>
      </c>
      <c r="O213" s="18" t="s">
        <v>1716</v>
      </c>
      <c r="P213" s="18" t="s">
        <v>1717</v>
      </c>
      <c r="Q213" s="18" t="s">
        <v>1379</v>
      </c>
      <c r="R213" s="18" t="s">
        <v>876</v>
      </c>
      <c r="S213" s="18" t="s">
        <v>720</v>
      </c>
      <c r="T213" s="18" t="n">
        <v>0</v>
      </c>
      <c r="U213" s="18" t="n">
        <v>6</v>
      </c>
      <c r="V213" s="18" t="n">
        <v>0</v>
      </c>
      <c r="W213" s="18" t="n">
        <v>0</v>
      </c>
      <c r="X213" s="18" t="n">
        <v>0</v>
      </c>
      <c r="Y213" s="18" t="n">
        <v>0</v>
      </c>
      <c r="Z213" s="18" t="s">
        <v>1000</v>
      </c>
      <c r="AA213" s="18" t="s">
        <v>699</v>
      </c>
      <c r="AB213" s="18" t="s">
        <v>98</v>
      </c>
      <c r="AC213" s="18"/>
      <c r="AD213" s="23" t="str">
        <f aca="false">IF(A213="","",IF(COUNTIF(Parcels!$A$2:$A$3000,B213)=0,"Parcel not found",IF(COUNTIF($A$2:$A$3000,A213)&gt;1,"Duplicate perm_id",IF(AND(I213="Yes",C213&lt;&gt;"",COUNTIFS($C$2:$C$3000,C213,$I$2:$I$3000,"Yes")&gt;1),"Reference counted twice",IF(COUNTIF(Lists!$A$2:$A$7,H213)=0,"Unknown status","")))))</f>
        <v/>
      </c>
    </row>
    <row r="214" customFormat="false" ht="15" hidden="false" customHeight="false" outlineLevel="0" collapsed="false">
      <c r="A214" s="18" t="s">
        <v>1718</v>
      </c>
      <c r="B214" s="18" t="s">
        <v>342</v>
      </c>
      <c r="C214" s="18" t="s">
        <v>1719</v>
      </c>
      <c r="D214" s="18" t="s">
        <v>1719</v>
      </c>
      <c r="E214" s="18" t="s">
        <v>343</v>
      </c>
      <c r="F214" s="18" t="n">
        <v>6</v>
      </c>
      <c r="G214" s="18"/>
      <c r="H214" s="18" t="s">
        <v>711</v>
      </c>
      <c r="I214" s="18" t="s">
        <v>689</v>
      </c>
      <c r="J214" s="18" t="s">
        <v>690</v>
      </c>
      <c r="K214" s="18" t="s">
        <v>713</v>
      </c>
      <c r="L214" s="18" t="s">
        <v>714</v>
      </c>
      <c r="M214" s="18" t="s">
        <v>715</v>
      </c>
      <c r="N214" s="18" t="s">
        <v>1720</v>
      </c>
      <c r="O214" s="18"/>
      <c r="P214" s="18" t="s">
        <v>1721</v>
      </c>
      <c r="Q214" s="18" t="s">
        <v>747</v>
      </c>
      <c r="R214" s="18" t="s">
        <v>876</v>
      </c>
      <c r="S214" s="18" t="s">
        <v>720</v>
      </c>
      <c r="T214" s="18" t="n">
        <v>0</v>
      </c>
      <c r="U214" s="18" t="n">
        <v>4.7</v>
      </c>
      <c r="V214" s="18" t="n">
        <v>1.3</v>
      </c>
      <c r="W214" s="18" t="n">
        <v>0</v>
      </c>
      <c r="X214" s="18" t="n">
        <v>0</v>
      </c>
      <c r="Y214" s="18" t="n">
        <v>0</v>
      </c>
      <c r="Z214" s="18" t="s">
        <v>1000</v>
      </c>
      <c r="AA214" s="18" t="s">
        <v>699</v>
      </c>
      <c r="AB214" s="18" t="s">
        <v>98</v>
      </c>
      <c r="AC214" s="18"/>
      <c r="AD214" s="23" t="str">
        <f aca="false">IF(A214="","",IF(COUNTIF(Parcels!$A$2:$A$3000,B214)=0,"Parcel not found",IF(COUNTIF($A$2:$A$3000,A214)&gt;1,"Duplicate perm_id",IF(AND(I214="Yes",C214&lt;&gt;"",COUNTIFS($C$2:$C$3000,C214,$I$2:$I$3000,"Yes")&gt;1),"Reference counted twice",IF(COUNTIF(Lists!$A$2:$A$7,H214)=0,"Unknown status","")))))</f>
        <v/>
      </c>
    </row>
    <row r="215" customFormat="false" ht="15" hidden="false" customHeight="false" outlineLevel="0" collapsed="false">
      <c r="A215" s="18" t="s">
        <v>1722</v>
      </c>
      <c r="B215" s="18" t="s">
        <v>398</v>
      </c>
      <c r="C215" s="18" t="s">
        <v>1723</v>
      </c>
      <c r="D215" s="18" t="s">
        <v>1723</v>
      </c>
      <c r="E215" s="18" t="s">
        <v>399</v>
      </c>
      <c r="F215" s="18" t="n">
        <v>7</v>
      </c>
      <c r="G215" s="18"/>
      <c r="H215" s="18" t="s">
        <v>711</v>
      </c>
      <c r="I215" s="18" t="s">
        <v>689</v>
      </c>
      <c r="J215" s="18" t="s">
        <v>690</v>
      </c>
      <c r="K215" s="18" t="s">
        <v>691</v>
      </c>
      <c r="L215" s="18" t="s">
        <v>105</v>
      </c>
      <c r="M215" s="18" t="s">
        <v>704</v>
      </c>
      <c r="N215" s="18" t="s">
        <v>1724</v>
      </c>
      <c r="O215" s="18" t="s">
        <v>1725</v>
      </c>
      <c r="P215" s="18" t="s">
        <v>1726</v>
      </c>
      <c r="Q215" s="18" t="s">
        <v>1379</v>
      </c>
      <c r="R215" s="18" t="s">
        <v>876</v>
      </c>
      <c r="S215" s="18" t="s">
        <v>720</v>
      </c>
      <c r="T215" s="18" t="n">
        <v>0</v>
      </c>
      <c r="U215" s="18" t="n">
        <v>6.6</v>
      </c>
      <c r="V215" s="18" t="n">
        <v>0.4</v>
      </c>
      <c r="W215" s="18" t="n">
        <v>0</v>
      </c>
      <c r="X215" s="18" t="n">
        <v>0</v>
      </c>
      <c r="Y215" s="18" t="n">
        <v>0</v>
      </c>
      <c r="Z215" s="18" t="s">
        <v>1000</v>
      </c>
      <c r="AA215" s="18" t="s">
        <v>699</v>
      </c>
      <c r="AB215" s="18" t="s">
        <v>98</v>
      </c>
      <c r="AC215" s="18"/>
      <c r="AD215" s="23" t="str">
        <f aca="false">IF(A215="","",IF(COUNTIF(Parcels!$A$2:$A$3000,B215)=0,"Parcel not found",IF(COUNTIF($A$2:$A$3000,A215)&gt;1,"Duplicate perm_id",IF(AND(I215="Yes",C215&lt;&gt;"",COUNTIFS($C$2:$C$3000,C215,$I$2:$I$3000,"Yes")&gt;1),"Reference counted twice",IF(COUNTIF(Lists!$A$2:$A$7,H215)=0,"Unknown status","")))))</f>
        <v/>
      </c>
    </row>
    <row r="216" customFormat="false" ht="15" hidden="false" customHeight="false" outlineLevel="0" collapsed="false">
      <c r="A216" s="18" t="s">
        <v>1727</v>
      </c>
      <c r="B216" s="18" t="s">
        <v>627</v>
      </c>
      <c r="C216" s="18" t="s">
        <v>1728</v>
      </c>
      <c r="D216" s="18" t="s">
        <v>1728</v>
      </c>
      <c r="E216" s="18" t="s">
        <v>628</v>
      </c>
      <c r="F216" s="18" t="n">
        <v>63</v>
      </c>
      <c r="G216" s="18"/>
      <c r="H216" s="18" t="s">
        <v>688</v>
      </c>
      <c r="I216" s="18" t="s">
        <v>689</v>
      </c>
      <c r="J216" s="18" t="s">
        <v>712</v>
      </c>
      <c r="K216" s="18" t="s">
        <v>691</v>
      </c>
      <c r="L216" s="18" t="s">
        <v>105</v>
      </c>
      <c r="M216" s="18" t="s">
        <v>704</v>
      </c>
      <c r="N216" s="18" t="s">
        <v>1729</v>
      </c>
      <c r="O216" s="18" t="s">
        <v>1730</v>
      </c>
      <c r="P216" s="18"/>
      <c r="Q216" s="18" t="s">
        <v>695</v>
      </c>
      <c r="R216" s="18" t="s">
        <v>906</v>
      </c>
      <c r="S216" s="18" t="s">
        <v>697</v>
      </c>
      <c r="T216" s="18" t="n">
        <v>0</v>
      </c>
      <c r="U216" s="18" t="n">
        <v>0</v>
      </c>
      <c r="V216" s="18" t="n">
        <v>24.1</v>
      </c>
      <c r="W216" s="18" t="n">
        <v>38.9</v>
      </c>
      <c r="X216" s="18" t="n">
        <v>0</v>
      </c>
      <c r="Y216" s="18" t="n">
        <v>0</v>
      </c>
      <c r="Z216" s="18" t="s">
        <v>1000</v>
      </c>
      <c r="AA216" s="18" t="s">
        <v>699</v>
      </c>
      <c r="AB216" s="18" t="s">
        <v>98</v>
      </c>
      <c r="AC216" s="18"/>
      <c r="AD216" s="23" t="str">
        <f aca="false">IF(A216="","",IF(COUNTIF(Parcels!$A$2:$A$3000,B216)=0,"Parcel not found",IF(COUNTIF($A$2:$A$3000,A216)&gt;1,"Duplicate perm_id",IF(AND(I216="Yes",C216&lt;&gt;"",COUNTIFS($C$2:$C$3000,C216,$I$2:$I$3000,"Yes")&gt;1),"Reference counted twice",IF(COUNTIF(Lists!$A$2:$A$7,H216)=0,"Unknown status","")))))</f>
        <v/>
      </c>
    </row>
    <row r="217" customFormat="false" ht="15" hidden="false" customHeight="false" outlineLevel="0" collapsed="false">
      <c r="A217" s="18" t="s">
        <v>1731</v>
      </c>
      <c r="B217" s="18" t="s">
        <v>627</v>
      </c>
      <c r="C217" s="18" t="s">
        <v>1732</v>
      </c>
      <c r="D217" s="18" t="s">
        <v>1732</v>
      </c>
      <c r="E217" s="18" t="s">
        <v>1733</v>
      </c>
      <c r="F217" s="18" t="n">
        <v>40</v>
      </c>
      <c r="G217" s="18"/>
      <c r="H217" s="18" t="s">
        <v>796</v>
      </c>
      <c r="I217" s="18" t="s">
        <v>689</v>
      </c>
      <c r="J217" s="18" t="s">
        <v>712</v>
      </c>
      <c r="K217" s="18" t="s">
        <v>691</v>
      </c>
      <c r="L217" s="18" t="s">
        <v>105</v>
      </c>
      <c r="M217" s="18" t="s">
        <v>704</v>
      </c>
      <c r="N217" s="18" t="s">
        <v>1734</v>
      </c>
      <c r="O217" s="18" t="s">
        <v>1735</v>
      </c>
      <c r="P217" s="18"/>
      <c r="Q217" s="18"/>
      <c r="R217" s="18"/>
      <c r="S217" s="18" t="s">
        <v>707</v>
      </c>
      <c r="T217" s="18" t="n">
        <v>0</v>
      </c>
      <c r="U217" s="18" t="n">
        <v>0</v>
      </c>
      <c r="V217" s="18" t="n">
        <v>0</v>
      </c>
      <c r="W217" s="18" t="n">
        <v>0</v>
      </c>
      <c r="X217" s="18" t="n">
        <v>0</v>
      </c>
      <c r="Y217" s="18" t="n">
        <v>0</v>
      </c>
      <c r="Z217" s="18" t="s">
        <v>1000</v>
      </c>
      <c r="AA217" s="18" t="s">
        <v>699</v>
      </c>
      <c r="AB217" s="18" t="s">
        <v>98</v>
      </c>
      <c r="AC217" s="18"/>
      <c r="AD217" s="23" t="str">
        <f aca="false">IF(A217="","",IF(COUNTIF(Parcels!$A$2:$A$3000,B217)=0,"Parcel not found",IF(COUNTIF($A$2:$A$3000,A217)&gt;1,"Duplicate perm_id",IF(AND(I217="Yes",C217&lt;&gt;"",COUNTIFS($C$2:$C$3000,C217,$I$2:$I$3000,"Yes")&gt;1),"Reference counted twice",IF(COUNTIF(Lists!$A$2:$A$7,H217)=0,"Unknown status","")))))</f>
        <v/>
      </c>
    </row>
    <row r="218" customFormat="false" ht="15" hidden="false" customHeight="false" outlineLevel="0" collapsed="false">
      <c r="A218" s="18" t="s">
        <v>1736</v>
      </c>
      <c r="B218" s="18" t="s">
        <v>627</v>
      </c>
      <c r="C218" s="18" t="s">
        <v>1737</v>
      </c>
      <c r="D218" s="18" t="s">
        <v>1737</v>
      </c>
      <c r="E218" s="18" t="s">
        <v>1738</v>
      </c>
      <c r="F218" s="18" t="n">
        <v>49</v>
      </c>
      <c r="G218" s="18"/>
      <c r="H218" s="18" t="s">
        <v>703</v>
      </c>
      <c r="I218" s="18" t="s">
        <v>689</v>
      </c>
      <c r="J218" s="18" t="s">
        <v>690</v>
      </c>
      <c r="K218" s="18" t="s">
        <v>691</v>
      </c>
      <c r="L218" s="18" t="s">
        <v>105</v>
      </c>
      <c r="M218" s="18" t="s">
        <v>704</v>
      </c>
      <c r="N218" s="18" t="s">
        <v>1739</v>
      </c>
      <c r="O218" s="18" t="s">
        <v>1740</v>
      </c>
      <c r="P218" s="18"/>
      <c r="Q218" s="18"/>
      <c r="R218" s="18"/>
      <c r="S218" s="18" t="s">
        <v>707</v>
      </c>
      <c r="T218" s="18" t="n">
        <v>0</v>
      </c>
      <c r="U218" s="18" t="n">
        <v>0</v>
      </c>
      <c r="V218" s="18" t="n">
        <v>0</v>
      </c>
      <c r="W218" s="18" t="n">
        <v>0</v>
      </c>
      <c r="X218" s="18" t="n">
        <v>0</v>
      </c>
      <c r="Y218" s="18" t="n">
        <v>0</v>
      </c>
      <c r="Z218" s="18" t="s">
        <v>1000</v>
      </c>
      <c r="AA218" s="18" t="s">
        <v>699</v>
      </c>
      <c r="AB218" s="18" t="s">
        <v>98</v>
      </c>
      <c r="AC218" s="18"/>
      <c r="AD218" s="23" t="str">
        <f aca="false">IF(A218="","",IF(COUNTIF(Parcels!$A$2:$A$3000,B218)=0,"Parcel not found",IF(COUNTIF($A$2:$A$3000,A218)&gt;1,"Duplicate perm_id",IF(AND(I218="Yes",C218&lt;&gt;"",COUNTIFS($C$2:$C$3000,C218,$I$2:$I$3000,"Yes")&gt;1),"Reference counted twice",IF(COUNTIF(Lists!$A$2:$A$7,H218)=0,"Unknown status","")))))</f>
        <v/>
      </c>
    </row>
    <row r="219" customFormat="false" ht="15" hidden="false" customHeight="false" outlineLevel="0" collapsed="false">
      <c r="A219" s="18" t="s">
        <v>1741</v>
      </c>
      <c r="B219" s="18" t="s">
        <v>629</v>
      </c>
      <c r="C219" s="18" t="s">
        <v>1742</v>
      </c>
      <c r="D219" s="18" t="s">
        <v>1742</v>
      </c>
      <c r="E219" s="18" t="s">
        <v>630</v>
      </c>
      <c r="F219" s="18" t="n">
        <v>4</v>
      </c>
      <c r="G219" s="18"/>
      <c r="H219" s="18" t="s">
        <v>711</v>
      </c>
      <c r="I219" s="18" t="s">
        <v>689</v>
      </c>
      <c r="J219" s="18" t="s">
        <v>690</v>
      </c>
      <c r="K219" s="18" t="s">
        <v>691</v>
      </c>
      <c r="L219" s="18" t="s">
        <v>105</v>
      </c>
      <c r="M219" s="18" t="s">
        <v>704</v>
      </c>
      <c r="N219" s="18" t="s">
        <v>1743</v>
      </c>
      <c r="O219" s="18" t="s">
        <v>1744</v>
      </c>
      <c r="P219" s="18" t="s">
        <v>1745</v>
      </c>
      <c r="Q219" s="18" t="s">
        <v>1379</v>
      </c>
      <c r="R219" s="18" t="s">
        <v>876</v>
      </c>
      <c r="S219" s="18" t="s">
        <v>720</v>
      </c>
      <c r="T219" s="18" t="n">
        <v>0</v>
      </c>
      <c r="U219" s="18" t="n">
        <v>3.7</v>
      </c>
      <c r="V219" s="18" t="n">
        <v>0.3</v>
      </c>
      <c r="W219" s="18" t="n">
        <v>0</v>
      </c>
      <c r="X219" s="18" t="n">
        <v>0</v>
      </c>
      <c r="Y219" s="18" t="n">
        <v>0</v>
      </c>
      <c r="Z219" s="18" t="s">
        <v>1000</v>
      </c>
      <c r="AA219" s="18" t="s">
        <v>699</v>
      </c>
      <c r="AB219" s="18" t="s">
        <v>98</v>
      </c>
      <c r="AC219" s="18"/>
      <c r="AD219" s="23" t="str">
        <f aca="false">IF(A219="","",IF(COUNTIF(Parcels!$A$2:$A$3000,B219)=0,"Parcel not found",IF(COUNTIF($A$2:$A$3000,A219)&gt;1,"Duplicate perm_id",IF(AND(I219="Yes",C219&lt;&gt;"",COUNTIFS($C$2:$C$3000,C219,$I$2:$I$3000,"Yes")&gt;1),"Reference counted twice",IF(COUNTIF(Lists!$A$2:$A$7,H219)=0,"Unknown status","")))))</f>
        <v/>
      </c>
    </row>
    <row r="220" customFormat="false" ht="15" hidden="false" customHeight="false" outlineLevel="0" collapsed="false">
      <c r="A220" s="18" t="s">
        <v>1746</v>
      </c>
      <c r="B220" s="18" t="s">
        <v>400</v>
      </c>
      <c r="C220" s="18" t="s">
        <v>1747</v>
      </c>
      <c r="D220" s="18" t="s">
        <v>1747</v>
      </c>
      <c r="E220" s="18" t="s">
        <v>401</v>
      </c>
      <c r="F220" s="18" t="n">
        <v>16</v>
      </c>
      <c r="G220" s="18"/>
      <c r="H220" s="18" t="s">
        <v>688</v>
      </c>
      <c r="I220" s="18" t="s">
        <v>689</v>
      </c>
      <c r="J220" s="18" t="s">
        <v>712</v>
      </c>
      <c r="K220" s="18" t="s">
        <v>691</v>
      </c>
      <c r="L220" s="18" t="s">
        <v>105</v>
      </c>
      <c r="M220" s="18" t="s">
        <v>704</v>
      </c>
      <c r="N220" s="18" t="s">
        <v>1748</v>
      </c>
      <c r="O220" s="18" t="s">
        <v>1749</v>
      </c>
      <c r="P220" s="18"/>
      <c r="Q220" s="18" t="s">
        <v>719</v>
      </c>
      <c r="R220" s="18" t="s">
        <v>906</v>
      </c>
      <c r="S220" s="18" t="s">
        <v>739</v>
      </c>
      <c r="T220" s="18" t="n">
        <v>0</v>
      </c>
      <c r="U220" s="18" t="n">
        <v>0</v>
      </c>
      <c r="V220" s="18" t="n">
        <v>3.1</v>
      </c>
      <c r="W220" s="18" t="n">
        <v>12.9</v>
      </c>
      <c r="X220" s="18" t="n">
        <v>0</v>
      </c>
      <c r="Y220" s="18" t="n">
        <v>0</v>
      </c>
      <c r="Z220" s="18" t="s">
        <v>1000</v>
      </c>
      <c r="AA220" s="18" t="s">
        <v>699</v>
      </c>
      <c r="AB220" s="18" t="s">
        <v>98</v>
      </c>
      <c r="AC220" s="18"/>
      <c r="AD220" s="23" t="str">
        <f aca="false">IF(A220="","",IF(COUNTIF(Parcels!$A$2:$A$3000,B220)=0,"Parcel not found",IF(COUNTIF($A$2:$A$3000,A220)&gt;1,"Duplicate perm_id",IF(AND(I220="Yes",C220&lt;&gt;"",COUNTIFS($C$2:$C$3000,C220,$I$2:$I$3000,"Yes")&gt;1),"Reference counted twice",IF(COUNTIF(Lists!$A$2:$A$7,H220)=0,"Unknown status","")))))</f>
        <v/>
      </c>
    </row>
    <row r="221" customFormat="false" ht="15" hidden="false" customHeight="false" outlineLevel="0" collapsed="false">
      <c r="A221" s="18" t="s">
        <v>1750</v>
      </c>
      <c r="B221" s="18" t="s">
        <v>449</v>
      </c>
      <c r="C221" s="18" t="s">
        <v>1751</v>
      </c>
      <c r="D221" s="18" t="s">
        <v>1751</v>
      </c>
      <c r="E221" s="18" t="s">
        <v>450</v>
      </c>
      <c r="F221" s="18" t="n">
        <v>24</v>
      </c>
      <c r="G221" s="18"/>
      <c r="H221" s="18" t="s">
        <v>688</v>
      </c>
      <c r="I221" s="18" t="s">
        <v>689</v>
      </c>
      <c r="J221" s="18" t="s">
        <v>712</v>
      </c>
      <c r="K221" s="18" t="s">
        <v>691</v>
      </c>
      <c r="L221" s="18" t="s">
        <v>105</v>
      </c>
      <c r="M221" s="18" t="s">
        <v>704</v>
      </c>
      <c r="N221" s="18" t="s">
        <v>1752</v>
      </c>
      <c r="O221" s="18" t="s">
        <v>1753</v>
      </c>
      <c r="P221" s="18"/>
      <c r="Q221" s="18" t="s">
        <v>695</v>
      </c>
      <c r="R221" s="18" t="s">
        <v>1754</v>
      </c>
      <c r="S221" s="18" t="s">
        <v>739</v>
      </c>
      <c r="T221" s="18" t="n">
        <v>0</v>
      </c>
      <c r="U221" s="18" t="n">
        <v>0</v>
      </c>
      <c r="V221" s="18" t="n">
        <v>4.2</v>
      </c>
      <c r="W221" s="18" t="n">
        <v>12.8</v>
      </c>
      <c r="X221" s="18" t="n">
        <v>7</v>
      </c>
      <c r="Y221" s="18" t="n">
        <v>0</v>
      </c>
      <c r="Z221" s="18" t="s">
        <v>1000</v>
      </c>
      <c r="AA221" s="18" t="s">
        <v>699</v>
      </c>
      <c r="AB221" s="18" t="s">
        <v>98</v>
      </c>
      <c r="AC221" s="18"/>
      <c r="AD221" s="23" t="str">
        <f aca="false">IF(A221="","",IF(COUNTIF(Parcels!$A$2:$A$3000,B221)=0,"Parcel not found",IF(COUNTIF($A$2:$A$3000,A221)&gt;1,"Duplicate perm_id",IF(AND(I221="Yes",C221&lt;&gt;"",COUNTIFS($C$2:$C$3000,C221,$I$2:$I$3000,"Yes")&gt;1),"Reference counted twice",IF(COUNTIF(Lists!$A$2:$A$7,H221)=0,"Unknown status","")))))</f>
        <v/>
      </c>
    </row>
    <row r="222" customFormat="false" ht="15" hidden="false" customHeight="false" outlineLevel="0" collapsed="false">
      <c r="A222" s="18" t="s">
        <v>1755</v>
      </c>
      <c r="B222" s="18" t="s">
        <v>402</v>
      </c>
      <c r="C222" s="18" t="s">
        <v>1756</v>
      </c>
      <c r="D222" s="18" t="s">
        <v>1756</v>
      </c>
      <c r="E222" s="18" t="s">
        <v>403</v>
      </c>
      <c r="F222" s="18" t="n">
        <v>48</v>
      </c>
      <c r="G222" s="18"/>
      <c r="H222" s="18" t="s">
        <v>688</v>
      </c>
      <c r="I222" s="18" t="s">
        <v>689</v>
      </c>
      <c r="J222" s="18" t="s">
        <v>690</v>
      </c>
      <c r="K222" s="18" t="s">
        <v>691</v>
      </c>
      <c r="L222" s="18" t="s">
        <v>105</v>
      </c>
      <c r="M222" s="18" t="s">
        <v>704</v>
      </c>
      <c r="N222" s="18" t="s">
        <v>1757</v>
      </c>
      <c r="O222" s="18" t="s">
        <v>1758</v>
      </c>
      <c r="P222" s="18"/>
      <c r="Q222" s="18" t="s">
        <v>737</v>
      </c>
      <c r="R222" s="18" t="s">
        <v>805</v>
      </c>
      <c r="S222" s="18" t="s">
        <v>739</v>
      </c>
      <c r="T222" s="18" t="n">
        <v>0</v>
      </c>
      <c r="U222" s="18" t="n">
        <v>0</v>
      </c>
      <c r="V222" s="18" t="n">
        <v>20.5</v>
      </c>
      <c r="W222" s="18" t="n">
        <v>27.5</v>
      </c>
      <c r="X222" s="18" t="n">
        <v>0</v>
      </c>
      <c r="Y222" s="18" t="n">
        <v>0</v>
      </c>
      <c r="Z222" s="18" t="s">
        <v>1000</v>
      </c>
      <c r="AA222" s="18" t="s">
        <v>699</v>
      </c>
      <c r="AB222" s="18" t="s">
        <v>98</v>
      </c>
      <c r="AC222" s="18"/>
      <c r="AD222" s="23" t="str">
        <f aca="false">IF(A222="","",IF(COUNTIF(Parcels!$A$2:$A$3000,B222)=0,"Parcel not found",IF(COUNTIF($A$2:$A$3000,A222)&gt;1,"Duplicate perm_id",IF(AND(I222="Yes",C222&lt;&gt;"",COUNTIFS($C$2:$C$3000,C222,$I$2:$I$3000,"Yes")&gt;1),"Reference counted twice",IF(COUNTIF(Lists!$A$2:$A$7,H222)=0,"Unknown status","")))))</f>
        <v/>
      </c>
    </row>
    <row r="223" customFormat="false" ht="15" hidden="false" customHeight="false" outlineLevel="0" collapsed="false">
      <c r="A223" s="18" t="s">
        <v>1759</v>
      </c>
      <c r="B223" s="18" t="s">
        <v>404</v>
      </c>
      <c r="C223" s="18" t="s">
        <v>1760</v>
      </c>
      <c r="D223" s="18" t="s">
        <v>1760</v>
      </c>
      <c r="E223" s="18" t="s">
        <v>1761</v>
      </c>
      <c r="F223" s="18" t="n">
        <v>37</v>
      </c>
      <c r="G223" s="18"/>
      <c r="H223" s="18" t="s">
        <v>688</v>
      </c>
      <c r="I223" s="18" t="s">
        <v>689</v>
      </c>
      <c r="J223" s="18" t="s">
        <v>690</v>
      </c>
      <c r="K223" s="18" t="s">
        <v>691</v>
      </c>
      <c r="L223" s="18" t="s">
        <v>105</v>
      </c>
      <c r="M223" s="18" t="s">
        <v>704</v>
      </c>
      <c r="N223" s="18" t="s">
        <v>1762</v>
      </c>
      <c r="O223" s="18" t="s">
        <v>1763</v>
      </c>
      <c r="P223" s="18"/>
      <c r="Q223" s="18" t="s">
        <v>695</v>
      </c>
      <c r="R223" s="18" t="s">
        <v>870</v>
      </c>
      <c r="S223" s="18" t="s">
        <v>697</v>
      </c>
      <c r="T223" s="18" t="n">
        <v>0</v>
      </c>
      <c r="U223" s="18" t="n">
        <v>0</v>
      </c>
      <c r="V223" s="18" t="n">
        <v>23</v>
      </c>
      <c r="W223" s="18" t="n">
        <v>14</v>
      </c>
      <c r="X223" s="18" t="n">
        <v>0</v>
      </c>
      <c r="Y223" s="18" t="n">
        <v>0</v>
      </c>
      <c r="Z223" s="18" t="s">
        <v>1000</v>
      </c>
      <c r="AA223" s="18" t="s">
        <v>699</v>
      </c>
      <c r="AB223" s="18" t="s">
        <v>98</v>
      </c>
      <c r="AC223" s="18"/>
      <c r="AD223" s="23" t="str">
        <f aca="false">IF(A223="","",IF(COUNTIF(Parcels!$A$2:$A$3000,B223)=0,"Parcel not found",IF(COUNTIF($A$2:$A$3000,A223)&gt;1,"Duplicate perm_id",IF(AND(I223="Yes",C223&lt;&gt;"",COUNTIFS($C$2:$C$3000,C223,$I$2:$I$3000,"Yes")&gt;1),"Reference counted twice",IF(COUNTIF(Lists!$A$2:$A$7,H223)=0,"Unknown status","")))))</f>
        <v/>
      </c>
    </row>
    <row r="224" customFormat="false" ht="15" hidden="false" customHeight="false" outlineLevel="0" collapsed="false">
      <c r="A224" s="18" t="s">
        <v>1764</v>
      </c>
      <c r="B224" s="18" t="s">
        <v>404</v>
      </c>
      <c r="C224" s="18" t="s">
        <v>1765</v>
      </c>
      <c r="D224" s="18" t="s">
        <v>1765</v>
      </c>
      <c r="E224" s="18" t="s">
        <v>405</v>
      </c>
      <c r="F224" s="18" t="n">
        <v>37</v>
      </c>
      <c r="G224" s="18"/>
      <c r="H224" s="18" t="s">
        <v>688</v>
      </c>
      <c r="I224" s="18" t="s">
        <v>689</v>
      </c>
      <c r="J224" s="18" t="s">
        <v>712</v>
      </c>
      <c r="K224" s="18" t="s">
        <v>691</v>
      </c>
      <c r="L224" s="18" t="s">
        <v>105</v>
      </c>
      <c r="M224" s="18" t="s">
        <v>704</v>
      </c>
      <c r="N224" s="18" t="s">
        <v>822</v>
      </c>
      <c r="O224" s="18" t="s">
        <v>1766</v>
      </c>
      <c r="P224" s="18"/>
      <c r="Q224" s="18" t="s">
        <v>737</v>
      </c>
      <c r="R224" s="18" t="s">
        <v>738</v>
      </c>
      <c r="S224" s="18" t="s">
        <v>739</v>
      </c>
      <c r="T224" s="18" t="n">
        <v>0</v>
      </c>
      <c r="U224" s="18" t="n">
        <v>0</v>
      </c>
      <c r="V224" s="18" t="n">
        <v>31.4</v>
      </c>
      <c r="W224" s="18" t="n">
        <v>5.6</v>
      </c>
      <c r="X224" s="18" t="n">
        <v>0</v>
      </c>
      <c r="Y224" s="18" t="n">
        <v>0</v>
      </c>
      <c r="Z224" s="18" t="s">
        <v>1000</v>
      </c>
      <c r="AA224" s="18" t="s">
        <v>699</v>
      </c>
      <c r="AB224" s="18" t="s">
        <v>98</v>
      </c>
      <c r="AC224" s="18"/>
      <c r="AD224" s="23" t="str">
        <f aca="false">IF(A224="","",IF(COUNTIF(Parcels!$A$2:$A$3000,B224)=0,"Parcel not found",IF(COUNTIF($A$2:$A$3000,A224)&gt;1,"Duplicate perm_id",IF(AND(I224="Yes",C224&lt;&gt;"",COUNTIFS($C$2:$C$3000,C224,$I$2:$I$3000,"Yes")&gt;1),"Reference counted twice",IF(COUNTIF(Lists!$A$2:$A$7,H224)=0,"Unknown status","")))))</f>
        <v/>
      </c>
    </row>
    <row r="225" customFormat="false" ht="15" hidden="false" customHeight="false" outlineLevel="0" collapsed="false">
      <c r="A225" s="18" t="s">
        <v>1767</v>
      </c>
      <c r="B225" s="18" t="s">
        <v>406</v>
      </c>
      <c r="C225" s="18" t="s">
        <v>1768</v>
      </c>
      <c r="D225" s="18" t="s">
        <v>1768</v>
      </c>
      <c r="E225" s="18" t="s">
        <v>407</v>
      </c>
      <c r="F225" s="18" t="n">
        <v>6</v>
      </c>
      <c r="G225" s="18"/>
      <c r="H225" s="18" t="s">
        <v>688</v>
      </c>
      <c r="I225" s="18" t="s">
        <v>689</v>
      </c>
      <c r="J225" s="18" t="s">
        <v>712</v>
      </c>
      <c r="K225" s="18" t="s">
        <v>691</v>
      </c>
      <c r="L225" s="18" t="s">
        <v>105</v>
      </c>
      <c r="M225" s="18" t="s">
        <v>704</v>
      </c>
      <c r="N225" s="18" t="s">
        <v>991</v>
      </c>
      <c r="O225" s="18" t="s">
        <v>992</v>
      </c>
      <c r="P225" s="18"/>
      <c r="Q225" s="18" t="s">
        <v>737</v>
      </c>
      <c r="R225" s="18" t="s">
        <v>870</v>
      </c>
      <c r="S225" s="18" t="s">
        <v>739</v>
      </c>
      <c r="T225" s="18" t="n">
        <v>0</v>
      </c>
      <c r="U225" s="18" t="n">
        <v>0</v>
      </c>
      <c r="V225" s="18" t="n">
        <v>4.5</v>
      </c>
      <c r="W225" s="18" t="n">
        <v>1.5</v>
      </c>
      <c r="X225" s="18" t="n">
        <v>0</v>
      </c>
      <c r="Y225" s="18" t="n">
        <v>0</v>
      </c>
      <c r="Z225" s="18" t="s">
        <v>1000</v>
      </c>
      <c r="AA225" s="18" t="s">
        <v>699</v>
      </c>
      <c r="AB225" s="18" t="s">
        <v>98</v>
      </c>
      <c r="AC225" s="18"/>
      <c r="AD225" s="23" t="str">
        <f aca="false">IF(A225="","",IF(COUNTIF(Parcels!$A$2:$A$3000,B225)=0,"Parcel not found",IF(COUNTIF($A$2:$A$3000,A225)&gt;1,"Duplicate perm_id",IF(AND(I225="Yes",C225&lt;&gt;"",COUNTIFS($C$2:$C$3000,C225,$I$2:$I$3000,"Yes")&gt;1),"Reference counted twice",IF(COUNTIF(Lists!$A$2:$A$7,H225)=0,"Unknown status","")))))</f>
        <v/>
      </c>
    </row>
    <row r="226" customFormat="false" ht="15" hidden="false" customHeight="false" outlineLevel="0" collapsed="false">
      <c r="A226" s="18" t="s">
        <v>1769</v>
      </c>
      <c r="B226" s="18" t="s">
        <v>631</v>
      </c>
      <c r="C226" s="18" t="s">
        <v>1770</v>
      </c>
      <c r="D226" s="18" t="s">
        <v>1770</v>
      </c>
      <c r="E226" s="18" t="s">
        <v>632</v>
      </c>
      <c r="F226" s="18" t="n">
        <v>6</v>
      </c>
      <c r="G226" s="18"/>
      <c r="H226" s="18" t="s">
        <v>688</v>
      </c>
      <c r="I226" s="18" t="s">
        <v>689</v>
      </c>
      <c r="J226" s="18" t="s">
        <v>712</v>
      </c>
      <c r="K226" s="18" t="s">
        <v>691</v>
      </c>
      <c r="L226" s="18" t="s">
        <v>105</v>
      </c>
      <c r="M226" s="18" t="s">
        <v>704</v>
      </c>
      <c r="N226" s="18" t="s">
        <v>1771</v>
      </c>
      <c r="O226" s="18" t="s">
        <v>1772</v>
      </c>
      <c r="P226" s="18"/>
      <c r="Q226" s="18" t="s">
        <v>695</v>
      </c>
      <c r="R226" s="18" t="s">
        <v>870</v>
      </c>
      <c r="S226" s="18" t="s">
        <v>739</v>
      </c>
      <c r="T226" s="18" t="n">
        <v>0</v>
      </c>
      <c r="U226" s="18" t="n">
        <v>0</v>
      </c>
      <c r="V226" s="18" t="n">
        <v>3.7</v>
      </c>
      <c r="W226" s="18" t="n">
        <v>2.3</v>
      </c>
      <c r="X226" s="18" t="n">
        <v>0</v>
      </c>
      <c r="Y226" s="18" t="n">
        <v>0</v>
      </c>
      <c r="Z226" s="18" t="s">
        <v>1000</v>
      </c>
      <c r="AA226" s="18" t="s">
        <v>699</v>
      </c>
      <c r="AB226" s="18" t="s">
        <v>98</v>
      </c>
      <c r="AC226" s="18"/>
      <c r="AD226" s="23" t="str">
        <f aca="false">IF(A226="","",IF(COUNTIF(Parcels!$A$2:$A$3000,B226)=0,"Parcel not found",IF(COUNTIF($A$2:$A$3000,A226)&gt;1,"Duplicate perm_id",IF(AND(I226="Yes",C226&lt;&gt;"",COUNTIFS($C$2:$C$3000,C226,$I$2:$I$3000,"Yes")&gt;1),"Reference counted twice",IF(COUNTIF(Lists!$A$2:$A$7,H226)=0,"Unknown status","")))))</f>
        <v/>
      </c>
    </row>
    <row r="227" customFormat="false" ht="15" hidden="false" customHeight="false" outlineLevel="0" collapsed="false">
      <c r="A227" s="18" t="s">
        <v>1773</v>
      </c>
      <c r="B227" s="18" t="s">
        <v>408</v>
      </c>
      <c r="C227" s="18" t="s">
        <v>1774</v>
      </c>
      <c r="D227" s="18" t="s">
        <v>1774</v>
      </c>
      <c r="E227" s="18" t="s">
        <v>409</v>
      </c>
      <c r="F227" s="18" t="n">
        <v>22</v>
      </c>
      <c r="G227" s="18"/>
      <c r="H227" s="18" t="s">
        <v>688</v>
      </c>
      <c r="I227" s="18" t="s">
        <v>689</v>
      </c>
      <c r="J227" s="18" t="s">
        <v>712</v>
      </c>
      <c r="K227" s="18" t="s">
        <v>691</v>
      </c>
      <c r="L227" s="18" t="s">
        <v>105</v>
      </c>
      <c r="M227" s="18" t="s">
        <v>704</v>
      </c>
      <c r="N227" s="18" t="s">
        <v>1775</v>
      </c>
      <c r="O227" s="18" t="s">
        <v>1776</v>
      </c>
      <c r="P227" s="18"/>
      <c r="Q227" s="18" t="s">
        <v>719</v>
      </c>
      <c r="R227" s="18" t="s">
        <v>877</v>
      </c>
      <c r="S227" s="18" t="s">
        <v>739</v>
      </c>
      <c r="T227" s="18" t="n">
        <v>0</v>
      </c>
      <c r="U227" s="18" t="n">
        <v>0</v>
      </c>
      <c r="V227" s="18" t="n">
        <v>2.4</v>
      </c>
      <c r="W227" s="18" t="n">
        <v>13.5</v>
      </c>
      <c r="X227" s="18" t="n">
        <v>6.2</v>
      </c>
      <c r="Y227" s="18" t="n">
        <v>-0.1</v>
      </c>
      <c r="Z227" s="18" t="s">
        <v>1000</v>
      </c>
      <c r="AA227" s="18" t="s">
        <v>699</v>
      </c>
      <c r="AB227" s="18" t="s">
        <v>98</v>
      </c>
      <c r="AC227" s="18"/>
      <c r="AD227" s="23" t="str">
        <f aca="false">IF(A227="","",IF(COUNTIF(Parcels!$A$2:$A$3000,B227)=0,"Parcel not found",IF(COUNTIF($A$2:$A$3000,A227)&gt;1,"Duplicate perm_id",IF(AND(I227="Yes",C227&lt;&gt;"",COUNTIFS($C$2:$C$3000,C227,$I$2:$I$3000,"Yes")&gt;1),"Reference counted twice",IF(COUNTIF(Lists!$A$2:$A$7,H227)=0,"Unknown status","")))))</f>
        <v/>
      </c>
    </row>
    <row r="228" customFormat="false" ht="15" hidden="false" customHeight="false" outlineLevel="0" collapsed="false">
      <c r="A228" s="18" t="s">
        <v>1777</v>
      </c>
      <c r="B228" s="18" t="s">
        <v>633</v>
      </c>
      <c r="C228" s="18" t="s">
        <v>1778</v>
      </c>
      <c r="D228" s="18" t="s">
        <v>1778</v>
      </c>
      <c r="E228" s="18" t="s">
        <v>634</v>
      </c>
      <c r="F228" s="18" t="n">
        <v>8</v>
      </c>
      <c r="G228" s="18"/>
      <c r="H228" s="18" t="s">
        <v>688</v>
      </c>
      <c r="I228" s="18" t="s">
        <v>689</v>
      </c>
      <c r="J228" s="18" t="s">
        <v>690</v>
      </c>
      <c r="K228" s="18" t="s">
        <v>691</v>
      </c>
      <c r="L228" s="18" t="s">
        <v>105</v>
      </c>
      <c r="M228" s="18" t="s">
        <v>704</v>
      </c>
      <c r="N228" s="18" t="s">
        <v>1779</v>
      </c>
      <c r="O228" s="18" t="s">
        <v>1780</v>
      </c>
      <c r="P228" s="18"/>
      <c r="Q228" s="18" t="s">
        <v>719</v>
      </c>
      <c r="R228" s="18" t="s">
        <v>906</v>
      </c>
      <c r="S228" s="18" t="s">
        <v>739</v>
      </c>
      <c r="T228" s="18" t="n">
        <v>0</v>
      </c>
      <c r="U228" s="18" t="n">
        <v>0</v>
      </c>
      <c r="V228" s="18" t="n">
        <v>0.5</v>
      </c>
      <c r="W228" s="18" t="n">
        <v>7.5</v>
      </c>
      <c r="X228" s="18" t="n">
        <v>0</v>
      </c>
      <c r="Y228" s="18" t="n">
        <v>0</v>
      </c>
      <c r="Z228" s="18" t="s">
        <v>1000</v>
      </c>
      <c r="AA228" s="18" t="s">
        <v>699</v>
      </c>
      <c r="AB228" s="18" t="s">
        <v>98</v>
      </c>
      <c r="AC228" s="18"/>
      <c r="AD228" s="23" t="str">
        <f aca="false">IF(A228="","",IF(COUNTIF(Parcels!$A$2:$A$3000,B228)=0,"Parcel not found",IF(COUNTIF($A$2:$A$3000,A228)&gt;1,"Duplicate perm_id",IF(AND(I228="Yes",C228&lt;&gt;"",COUNTIFS($C$2:$C$3000,C228,$I$2:$I$3000,"Yes")&gt;1),"Reference counted twice",IF(COUNTIF(Lists!$A$2:$A$7,H228)=0,"Unknown status","")))))</f>
        <v/>
      </c>
    </row>
    <row r="229" customFormat="false" ht="15" hidden="false" customHeight="false" outlineLevel="0" collapsed="false">
      <c r="A229" s="18" t="s">
        <v>1781</v>
      </c>
      <c r="B229" s="18" t="s">
        <v>635</v>
      </c>
      <c r="C229" s="18" t="s">
        <v>1782</v>
      </c>
      <c r="D229" s="18" t="s">
        <v>1782</v>
      </c>
      <c r="E229" s="18" t="s">
        <v>636</v>
      </c>
      <c r="F229" s="18" t="n">
        <v>10</v>
      </c>
      <c r="G229" s="18"/>
      <c r="H229" s="18" t="s">
        <v>711</v>
      </c>
      <c r="I229" s="18" t="s">
        <v>689</v>
      </c>
      <c r="J229" s="18" t="s">
        <v>690</v>
      </c>
      <c r="K229" s="18" t="s">
        <v>691</v>
      </c>
      <c r="L229" s="18" t="s">
        <v>105</v>
      </c>
      <c r="M229" s="18" t="s">
        <v>704</v>
      </c>
      <c r="N229" s="18" t="s">
        <v>1783</v>
      </c>
      <c r="O229" s="18" t="s">
        <v>1784</v>
      </c>
      <c r="P229" s="18" t="s">
        <v>1785</v>
      </c>
      <c r="Q229" s="18" t="s">
        <v>747</v>
      </c>
      <c r="R229" s="18" t="s">
        <v>779</v>
      </c>
      <c r="S229" s="18" t="s">
        <v>720</v>
      </c>
      <c r="T229" s="18" t="n">
        <v>0</v>
      </c>
      <c r="U229" s="18" t="n">
        <v>6.9</v>
      </c>
      <c r="V229" s="18" t="n">
        <v>3.1</v>
      </c>
      <c r="W229" s="18" t="n">
        <v>0</v>
      </c>
      <c r="X229" s="18" t="n">
        <v>0</v>
      </c>
      <c r="Y229" s="18" t="n">
        <v>0</v>
      </c>
      <c r="Z229" s="18" t="s">
        <v>1000</v>
      </c>
      <c r="AA229" s="18" t="s">
        <v>699</v>
      </c>
      <c r="AB229" s="18" t="s">
        <v>98</v>
      </c>
      <c r="AC229" s="18"/>
      <c r="AD229" s="23" t="str">
        <f aca="false">IF(A229="","",IF(COUNTIF(Parcels!$A$2:$A$3000,B229)=0,"Parcel not found",IF(COUNTIF($A$2:$A$3000,A229)&gt;1,"Duplicate perm_id",IF(AND(I229="Yes",C229&lt;&gt;"",COUNTIFS($C$2:$C$3000,C229,$I$2:$I$3000,"Yes")&gt;1),"Reference counted twice",IF(COUNTIF(Lists!$A$2:$A$7,H229)=0,"Unknown status","")))))</f>
        <v/>
      </c>
    </row>
    <row r="230" customFormat="false" ht="15" hidden="false" customHeight="false" outlineLevel="0" collapsed="false">
      <c r="A230" s="18" t="s">
        <v>1786</v>
      </c>
      <c r="B230" s="18" t="s">
        <v>637</v>
      </c>
      <c r="C230" s="18" t="s">
        <v>1787</v>
      </c>
      <c r="D230" s="18" t="s">
        <v>1787</v>
      </c>
      <c r="E230" s="18" t="s">
        <v>638</v>
      </c>
      <c r="F230" s="18" t="n">
        <v>10</v>
      </c>
      <c r="G230" s="18"/>
      <c r="H230" s="18" t="s">
        <v>688</v>
      </c>
      <c r="I230" s="18" t="s">
        <v>689</v>
      </c>
      <c r="J230" s="18" t="s">
        <v>690</v>
      </c>
      <c r="K230" s="18" t="s">
        <v>691</v>
      </c>
      <c r="L230" s="18" t="s">
        <v>105</v>
      </c>
      <c r="M230" s="18" t="s">
        <v>704</v>
      </c>
      <c r="N230" s="18" t="s">
        <v>1788</v>
      </c>
      <c r="O230" s="18" t="s">
        <v>1789</v>
      </c>
      <c r="P230" s="18"/>
      <c r="Q230" s="18" t="s">
        <v>737</v>
      </c>
      <c r="R230" s="18" t="s">
        <v>738</v>
      </c>
      <c r="S230" s="18" t="s">
        <v>739</v>
      </c>
      <c r="T230" s="18" t="n">
        <v>0</v>
      </c>
      <c r="U230" s="18" t="n">
        <v>0</v>
      </c>
      <c r="V230" s="18" t="n">
        <v>8.4</v>
      </c>
      <c r="W230" s="18" t="n">
        <v>1.6</v>
      </c>
      <c r="X230" s="18" t="n">
        <v>0</v>
      </c>
      <c r="Y230" s="18" t="n">
        <v>0</v>
      </c>
      <c r="Z230" s="18" t="s">
        <v>1000</v>
      </c>
      <c r="AA230" s="18" t="s">
        <v>699</v>
      </c>
      <c r="AB230" s="18" t="s">
        <v>98</v>
      </c>
      <c r="AC230" s="18"/>
      <c r="AD230" s="23" t="str">
        <f aca="false">IF(A230="","",IF(COUNTIF(Parcels!$A$2:$A$3000,B230)=0,"Parcel not found",IF(COUNTIF($A$2:$A$3000,A230)&gt;1,"Duplicate perm_id",IF(AND(I230="Yes",C230&lt;&gt;"",COUNTIFS($C$2:$C$3000,C230,$I$2:$I$3000,"Yes")&gt;1),"Reference counted twice",IF(COUNTIF(Lists!$A$2:$A$7,H230)=0,"Unknown status","")))))</f>
        <v/>
      </c>
    </row>
    <row r="231" customFormat="false" ht="15" hidden="false" customHeight="false" outlineLevel="0" collapsed="false">
      <c r="A231" s="18" t="s">
        <v>1790</v>
      </c>
      <c r="B231" s="18" t="s">
        <v>639</v>
      </c>
      <c r="C231" s="18" t="s">
        <v>1791</v>
      </c>
      <c r="D231" s="18" t="s">
        <v>1791</v>
      </c>
      <c r="E231" s="18" t="s">
        <v>1792</v>
      </c>
      <c r="F231" s="18" t="n">
        <v>36</v>
      </c>
      <c r="G231" s="18"/>
      <c r="H231" s="18" t="s">
        <v>711</v>
      </c>
      <c r="I231" s="18" t="s">
        <v>689</v>
      </c>
      <c r="J231" s="18" t="s">
        <v>712</v>
      </c>
      <c r="K231" s="18" t="s">
        <v>691</v>
      </c>
      <c r="L231" s="18" t="s">
        <v>105</v>
      </c>
      <c r="M231" s="18" t="s">
        <v>704</v>
      </c>
      <c r="N231" s="18" t="s">
        <v>1793</v>
      </c>
      <c r="O231" s="18" t="s">
        <v>1584</v>
      </c>
      <c r="P231" s="18" t="s">
        <v>1794</v>
      </c>
      <c r="Q231" s="18" t="s">
        <v>1249</v>
      </c>
      <c r="R231" s="18" t="s">
        <v>719</v>
      </c>
      <c r="S231" s="18" t="s">
        <v>720</v>
      </c>
      <c r="T231" s="18" t="n">
        <v>8.4</v>
      </c>
      <c r="U231" s="18" t="n">
        <v>27.6</v>
      </c>
      <c r="V231" s="18" t="n">
        <v>0</v>
      </c>
      <c r="W231" s="18" t="n">
        <v>0</v>
      </c>
      <c r="X231" s="18" t="n">
        <v>0</v>
      </c>
      <c r="Y231" s="18" t="n">
        <v>0</v>
      </c>
      <c r="Z231" s="18" t="s">
        <v>1000</v>
      </c>
      <c r="AA231" s="18" t="s">
        <v>699</v>
      </c>
      <c r="AB231" s="18" t="s">
        <v>98</v>
      </c>
      <c r="AC231" s="18"/>
      <c r="AD231" s="23" t="str">
        <f aca="false">IF(A231="","",IF(COUNTIF(Parcels!$A$2:$A$3000,B231)=0,"Parcel not found",IF(COUNTIF($A$2:$A$3000,A231)&gt;1,"Duplicate perm_id",IF(AND(I231="Yes",C231&lt;&gt;"",COUNTIFS($C$2:$C$3000,C231,$I$2:$I$3000,"Yes")&gt;1),"Reference counted twice",IF(COUNTIF(Lists!$A$2:$A$7,H231)=0,"Unknown status","")))))</f>
        <v/>
      </c>
    </row>
    <row r="232" customFormat="false" ht="15" hidden="false" customHeight="false" outlineLevel="0" collapsed="false">
      <c r="A232" s="18" t="s">
        <v>1795</v>
      </c>
      <c r="B232" s="18" t="s">
        <v>639</v>
      </c>
      <c r="C232" s="18" t="s">
        <v>1796</v>
      </c>
      <c r="D232" s="18" t="s">
        <v>1796</v>
      </c>
      <c r="E232" s="18" t="s">
        <v>640</v>
      </c>
      <c r="F232" s="18" t="n">
        <v>54</v>
      </c>
      <c r="G232" s="18"/>
      <c r="H232" s="18" t="s">
        <v>711</v>
      </c>
      <c r="I232" s="18" t="s">
        <v>689</v>
      </c>
      <c r="J232" s="18" t="s">
        <v>712</v>
      </c>
      <c r="K232" s="18" t="s">
        <v>691</v>
      </c>
      <c r="L232" s="18" t="s">
        <v>105</v>
      </c>
      <c r="M232" s="18" t="s">
        <v>704</v>
      </c>
      <c r="N232" s="18" t="s">
        <v>1797</v>
      </c>
      <c r="O232" s="18" t="s">
        <v>1798</v>
      </c>
      <c r="P232" s="18" t="s">
        <v>1799</v>
      </c>
      <c r="Q232" s="18" t="s">
        <v>792</v>
      </c>
      <c r="R232" s="18" t="s">
        <v>979</v>
      </c>
      <c r="S232" s="18" t="s">
        <v>720</v>
      </c>
      <c r="T232" s="18" t="n">
        <v>0</v>
      </c>
      <c r="U232" s="18" t="n">
        <v>20.1</v>
      </c>
      <c r="V232" s="18" t="n">
        <v>33.9</v>
      </c>
      <c r="W232" s="18" t="n">
        <v>0</v>
      </c>
      <c r="X232" s="18" t="n">
        <v>0</v>
      </c>
      <c r="Y232" s="18" t="n">
        <v>0</v>
      </c>
      <c r="Z232" s="18" t="s">
        <v>1000</v>
      </c>
      <c r="AA232" s="18" t="s">
        <v>699</v>
      </c>
      <c r="AB232" s="18" t="s">
        <v>98</v>
      </c>
      <c r="AC232" s="18"/>
      <c r="AD232" s="23" t="str">
        <f aca="false">IF(A232="","",IF(COUNTIF(Parcels!$A$2:$A$3000,B232)=0,"Parcel not found",IF(COUNTIF($A$2:$A$3000,A232)&gt;1,"Duplicate perm_id",IF(AND(I232="Yes",C232&lt;&gt;"",COUNTIFS($C$2:$C$3000,C232,$I$2:$I$3000,"Yes")&gt;1),"Reference counted twice",IF(COUNTIF(Lists!$A$2:$A$7,H232)=0,"Unknown status","")))))</f>
        <v/>
      </c>
    </row>
    <row r="233" customFormat="false" ht="15" hidden="false" customHeight="false" outlineLevel="0" collapsed="false">
      <c r="A233" s="18" t="s">
        <v>1800</v>
      </c>
      <c r="B233" s="18" t="s">
        <v>467</v>
      </c>
      <c r="C233" s="18" t="s">
        <v>1801</v>
      </c>
      <c r="D233" s="18" t="s">
        <v>1801</v>
      </c>
      <c r="E233" s="18" t="s">
        <v>468</v>
      </c>
      <c r="F233" s="18" t="n">
        <v>0</v>
      </c>
      <c r="G233" s="18" t="n">
        <v>115</v>
      </c>
      <c r="H233" s="18" t="s">
        <v>688</v>
      </c>
      <c r="I233" s="18" t="s">
        <v>689</v>
      </c>
      <c r="J233" s="18" t="s">
        <v>690</v>
      </c>
      <c r="K233" s="18" t="s">
        <v>797</v>
      </c>
      <c r="L233" s="18" t="s">
        <v>105</v>
      </c>
      <c r="M233" s="18" t="s">
        <v>704</v>
      </c>
      <c r="N233" s="18" t="s">
        <v>1802</v>
      </c>
      <c r="O233" s="18" t="s">
        <v>1803</v>
      </c>
      <c r="P233" s="18"/>
      <c r="Q233" s="18" t="s">
        <v>719</v>
      </c>
      <c r="R233" s="18" t="s">
        <v>805</v>
      </c>
      <c r="S233" s="18" t="s">
        <v>739</v>
      </c>
      <c r="T233" s="18" t="n">
        <v>0</v>
      </c>
      <c r="U233" s="18" t="n">
        <v>0</v>
      </c>
      <c r="V233" s="18" t="n">
        <v>0</v>
      </c>
      <c r="W233" s="18" t="n">
        <v>0</v>
      </c>
      <c r="X233" s="18" t="n">
        <v>0</v>
      </c>
      <c r="Y233" s="18" t="n">
        <v>0</v>
      </c>
      <c r="Z233" s="18" t="s">
        <v>1000</v>
      </c>
      <c r="AA233" s="18" t="s">
        <v>699</v>
      </c>
      <c r="AB233" s="18" t="s">
        <v>98</v>
      </c>
      <c r="AC233" s="18"/>
      <c r="AD233" s="23" t="str">
        <f aca="false">IF(A233="","",IF(COUNTIF(Parcels!$A$2:$A$3000,B233)=0,"Parcel not found",IF(COUNTIF($A$2:$A$3000,A233)&gt;1,"Duplicate perm_id",IF(AND(I233="Yes",C233&lt;&gt;"",COUNTIFS($C$2:$C$3000,C233,$I$2:$I$3000,"Yes")&gt;1),"Reference counted twice",IF(COUNTIF(Lists!$A$2:$A$7,H233)=0,"Unknown status","")))))</f>
        <v/>
      </c>
    </row>
    <row r="234" customFormat="false" ht="15" hidden="false" customHeight="false" outlineLevel="0" collapsed="false">
      <c r="A234" s="18" t="s">
        <v>1804</v>
      </c>
      <c r="B234" s="18" t="s">
        <v>410</v>
      </c>
      <c r="C234" s="18" t="s">
        <v>1805</v>
      </c>
      <c r="D234" s="18" t="s">
        <v>1805</v>
      </c>
      <c r="E234" s="18" t="s">
        <v>1806</v>
      </c>
      <c r="F234" s="18" t="n">
        <v>24</v>
      </c>
      <c r="G234" s="18"/>
      <c r="H234" s="18" t="s">
        <v>703</v>
      </c>
      <c r="I234" s="18" t="s">
        <v>689</v>
      </c>
      <c r="J234" s="18" t="s">
        <v>690</v>
      </c>
      <c r="K234" s="18" t="s">
        <v>691</v>
      </c>
      <c r="L234" s="18" t="s">
        <v>105</v>
      </c>
      <c r="M234" s="18" t="s">
        <v>704</v>
      </c>
      <c r="N234" s="18" t="s">
        <v>1807</v>
      </c>
      <c r="O234" s="18" t="s">
        <v>1808</v>
      </c>
      <c r="P234" s="18"/>
      <c r="Q234" s="18"/>
      <c r="R234" s="18"/>
      <c r="S234" s="18" t="s">
        <v>707</v>
      </c>
      <c r="T234" s="18" t="n">
        <v>0</v>
      </c>
      <c r="U234" s="18" t="n">
        <v>0</v>
      </c>
      <c r="V234" s="18" t="n">
        <v>0</v>
      </c>
      <c r="W234" s="18" t="n">
        <v>0</v>
      </c>
      <c r="X234" s="18" t="n">
        <v>0</v>
      </c>
      <c r="Y234" s="18" t="n">
        <v>0</v>
      </c>
      <c r="Z234" s="18" t="s">
        <v>1000</v>
      </c>
      <c r="AA234" s="18" t="s">
        <v>699</v>
      </c>
      <c r="AB234" s="18" t="s">
        <v>98</v>
      </c>
      <c r="AC234" s="18"/>
      <c r="AD234" s="23" t="str">
        <f aca="false">IF(A234="","",IF(COUNTIF(Parcels!$A$2:$A$3000,B234)=0,"Parcel not found",IF(COUNTIF($A$2:$A$3000,A234)&gt;1,"Duplicate perm_id",IF(AND(I234="Yes",C234&lt;&gt;"",COUNTIFS($C$2:$C$3000,C234,$I$2:$I$3000,"Yes")&gt;1),"Reference counted twice",IF(COUNTIF(Lists!$A$2:$A$7,H234)=0,"Unknown status","")))))</f>
        <v/>
      </c>
    </row>
    <row r="235" customFormat="false" ht="15" hidden="false" customHeight="false" outlineLevel="0" collapsed="false">
      <c r="A235" s="18" t="s">
        <v>1809</v>
      </c>
      <c r="B235" s="18" t="s">
        <v>410</v>
      </c>
      <c r="C235" s="18" t="s">
        <v>1810</v>
      </c>
      <c r="D235" s="18" t="s">
        <v>1810</v>
      </c>
      <c r="E235" s="18" t="s">
        <v>411</v>
      </c>
      <c r="F235" s="18" t="n">
        <v>76</v>
      </c>
      <c r="G235" s="18"/>
      <c r="H235" s="18" t="s">
        <v>688</v>
      </c>
      <c r="I235" s="18" t="s">
        <v>689</v>
      </c>
      <c r="J235" s="18" t="s">
        <v>712</v>
      </c>
      <c r="K235" s="18" t="s">
        <v>691</v>
      </c>
      <c r="L235" s="18" t="s">
        <v>105</v>
      </c>
      <c r="M235" s="18" t="s">
        <v>704</v>
      </c>
      <c r="N235" s="18" t="s">
        <v>1811</v>
      </c>
      <c r="O235" s="18" t="s">
        <v>1812</v>
      </c>
      <c r="P235" s="18"/>
      <c r="Q235" s="18" t="s">
        <v>695</v>
      </c>
      <c r="R235" s="18" t="s">
        <v>906</v>
      </c>
      <c r="S235" s="18" t="s">
        <v>739</v>
      </c>
      <c r="T235" s="18" t="n">
        <v>0</v>
      </c>
      <c r="U235" s="18" t="n">
        <v>0</v>
      </c>
      <c r="V235" s="18" t="n">
        <v>26.3</v>
      </c>
      <c r="W235" s="18" t="n">
        <v>49.7</v>
      </c>
      <c r="X235" s="18" t="n">
        <v>0</v>
      </c>
      <c r="Y235" s="18" t="n">
        <v>0</v>
      </c>
      <c r="Z235" s="18" t="s">
        <v>1000</v>
      </c>
      <c r="AA235" s="18" t="s">
        <v>699</v>
      </c>
      <c r="AB235" s="18" t="s">
        <v>98</v>
      </c>
      <c r="AC235" s="18"/>
      <c r="AD235" s="23" t="str">
        <f aca="false">IF(A235="","",IF(COUNTIF(Parcels!$A$2:$A$3000,B235)=0,"Parcel not found",IF(COUNTIF($A$2:$A$3000,A235)&gt;1,"Duplicate perm_id",IF(AND(I235="Yes",C235&lt;&gt;"",COUNTIFS($C$2:$C$3000,C235,$I$2:$I$3000,"Yes")&gt;1),"Reference counted twice",IF(COUNTIF(Lists!$A$2:$A$7,H235)=0,"Unknown status","")))))</f>
        <v/>
      </c>
    </row>
    <row r="236" customFormat="false" ht="15" hidden="false" customHeight="false" outlineLevel="0" collapsed="false">
      <c r="A236" s="18" t="s">
        <v>1813</v>
      </c>
      <c r="B236" s="18" t="s">
        <v>344</v>
      </c>
      <c r="C236" s="18" t="s">
        <v>1814</v>
      </c>
      <c r="D236" s="18" t="s">
        <v>1814</v>
      </c>
      <c r="E236" s="18" t="s">
        <v>345</v>
      </c>
      <c r="F236" s="18" t="n">
        <v>4</v>
      </c>
      <c r="G236" s="18"/>
      <c r="H236" s="18" t="s">
        <v>688</v>
      </c>
      <c r="I236" s="18" t="s">
        <v>689</v>
      </c>
      <c r="J236" s="18" t="s">
        <v>712</v>
      </c>
      <c r="K236" s="18" t="s">
        <v>691</v>
      </c>
      <c r="L236" s="18" t="s">
        <v>105</v>
      </c>
      <c r="M236" s="18" t="s">
        <v>704</v>
      </c>
      <c r="N236" s="18" t="s">
        <v>777</v>
      </c>
      <c r="O236" s="18" t="s">
        <v>778</v>
      </c>
      <c r="P236" s="18"/>
      <c r="Q236" s="18" t="s">
        <v>719</v>
      </c>
      <c r="R236" s="18" t="s">
        <v>805</v>
      </c>
      <c r="S236" s="18" t="s">
        <v>739</v>
      </c>
      <c r="T236" s="18" t="n">
        <v>0</v>
      </c>
      <c r="U236" s="18" t="n">
        <v>0</v>
      </c>
      <c r="V236" s="18" t="n">
        <v>1.2</v>
      </c>
      <c r="W236" s="18" t="n">
        <v>2.8</v>
      </c>
      <c r="X236" s="18" t="n">
        <v>0</v>
      </c>
      <c r="Y236" s="18" t="n">
        <v>0</v>
      </c>
      <c r="Z236" s="18" t="s">
        <v>1000</v>
      </c>
      <c r="AA236" s="18" t="s">
        <v>699</v>
      </c>
      <c r="AB236" s="18" t="s">
        <v>98</v>
      </c>
      <c r="AC236" s="18"/>
      <c r="AD236" s="23" t="str">
        <f aca="false">IF(A236="","",IF(COUNTIF(Parcels!$A$2:$A$3000,B236)=0,"Parcel not found",IF(COUNTIF($A$2:$A$3000,A236)&gt;1,"Duplicate perm_id",IF(AND(I236="Yes",C236&lt;&gt;"",COUNTIFS($C$2:$C$3000,C236,$I$2:$I$3000,"Yes")&gt;1),"Reference counted twice",IF(COUNTIF(Lists!$A$2:$A$7,H236)=0,"Unknown status","")))))</f>
        <v/>
      </c>
    </row>
    <row r="237" customFormat="false" ht="15" hidden="false" customHeight="false" outlineLevel="0" collapsed="false">
      <c r="A237" s="18" t="s">
        <v>1815</v>
      </c>
      <c r="B237" s="18" t="s">
        <v>641</v>
      </c>
      <c r="C237" s="18" t="s">
        <v>1816</v>
      </c>
      <c r="D237" s="18" t="s">
        <v>1816</v>
      </c>
      <c r="E237" s="18" t="s">
        <v>642</v>
      </c>
      <c r="F237" s="18" t="n">
        <v>12</v>
      </c>
      <c r="G237" s="18"/>
      <c r="H237" s="18" t="s">
        <v>688</v>
      </c>
      <c r="I237" s="18" t="s">
        <v>689</v>
      </c>
      <c r="J237" s="18" t="s">
        <v>690</v>
      </c>
      <c r="K237" s="18" t="s">
        <v>713</v>
      </c>
      <c r="L237" s="18" t="s">
        <v>743</v>
      </c>
      <c r="M237" s="18" t="s">
        <v>715</v>
      </c>
      <c r="N237" s="18"/>
      <c r="O237" s="18"/>
      <c r="P237" s="18"/>
      <c r="Q237" s="18" t="s">
        <v>876</v>
      </c>
      <c r="R237" s="18" t="s">
        <v>773</v>
      </c>
      <c r="S237" s="18" t="s">
        <v>739</v>
      </c>
      <c r="T237" s="18" t="n">
        <v>0</v>
      </c>
      <c r="U237" s="18" t="n">
        <v>0</v>
      </c>
      <c r="V237" s="18" t="n">
        <v>0</v>
      </c>
      <c r="W237" s="18" t="n">
        <v>11.3</v>
      </c>
      <c r="X237" s="18" t="n">
        <v>0.7</v>
      </c>
      <c r="Y237" s="18" t="n">
        <v>0</v>
      </c>
      <c r="Z237" s="18" t="s">
        <v>1000</v>
      </c>
      <c r="AA237" s="18" t="s">
        <v>699</v>
      </c>
      <c r="AB237" s="18" t="s">
        <v>98</v>
      </c>
      <c r="AC237" s="18"/>
      <c r="AD237" s="23" t="str">
        <f aca="false">IF(A237="","",IF(COUNTIF(Parcels!$A$2:$A$3000,B237)=0,"Parcel not found",IF(COUNTIF($A$2:$A$3000,A237)&gt;1,"Duplicate perm_id",IF(AND(I237="Yes",C237&lt;&gt;"",COUNTIFS($C$2:$C$3000,C237,$I$2:$I$3000,"Yes")&gt;1),"Reference counted twice",IF(COUNTIF(Lists!$A$2:$A$7,H237)=0,"Unknown status","")))))</f>
        <v/>
      </c>
    </row>
    <row r="238" customFormat="false" ht="15" hidden="false" customHeight="false" outlineLevel="0" collapsed="false">
      <c r="A238" s="18" t="s">
        <v>1817</v>
      </c>
      <c r="B238" s="18" t="s">
        <v>643</v>
      </c>
      <c r="C238" s="18" t="s">
        <v>1818</v>
      </c>
      <c r="D238" s="18" t="s">
        <v>1818</v>
      </c>
      <c r="E238" s="18" t="s">
        <v>644</v>
      </c>
      <c r="F238" s="18" t="n">
        <v>8</v>
      </c>
      <c r="G238" s="18"/>
      <c r="H238" s="18" t="s">
        <v>724</v>
      </c>
      <c r="I238" s="18" t="s">
        <v>689</v>
      </c>
      <c r="J238" s="18" t="s">
        <v>690</v>
      </c>
      <c r="K238" s="18" t="s">
        <v>713</v>
      </c>
      <c r="L238" s="18" t="s">
        <v>743</v>
      </c>
      <c r="M238" s="18" t="s">
        <v>704</v>
      </c>
      <c r="N238" s="18"/>
      <c r="O238" s="18"/>
      <c r="P238" s="18"/>
      <c r="Q238" s="18"/>
      <c r="R238" s="18"/>
      <c r="S238" s="18" t="s">
        <v>707</v>
      </c>
      <c r="T238" s="18" t="n">
        <v>0</v>
      </c>
      <c r="U238" s="18" t="n">
        <v>0</v>
      </c>
      <c r="V238" s="18" t="n">
        <v>0</v>
      </c>
      <c r="W238" s="18" t="n">
        <v>0</v>
      </c>
      <c r="X238" s="18" t="n">
        <v>0</v>
      </c>
      <c r="Y238" s="18" t="n">
        <v>0</v>
      </c>
      <c r="Z238" s="18" t="s">
        <v>1000</v>
      </c>
      <c r="AA238" s="18" t="s">
        <v>699</v>
      </c>
      <c r="AB238" s="18" t="s">
        <v>98</v>
      </c>
      <c r="AC238" s="18"/>
      <c r="AD238" s="23" t="str">
        <f aca="false">IF(A238="","",IF(COUNTIF(Parcels!$A$2:$A$3000,B238)=0,"Parcel not found",IF(COUNTIF($A$2:$A$3000,A238)&gt;1,"Duplicate perm_id",IF(AND(I238="Yes",C238&lt;&gt;"",COUNTIFS($C$2:$C$3000,C238,$I$2:$I$3000,"Yes")&gt;1),"Reference counted twice",IF(COUNTIF(Lists!$A$2:$A$7,H238)=0,"Unknown status","")))))</f>
        <v/>
      </c>
    </row>
    <row r="239" customFormat="false" ht="15" hidden="false" customHeight="false" outlineLevel="0" collapsed="false">
      <c r="A239" s="18" t="s">
        <v>1819</v>
      </c>
      <c r="B239" s="18" t="s">
        <v>645</v>
      </c>
      <c r="C239" s="18" t="s">
        <v>1820</v>
      </c>
      <c r="D239" s="18" t="s">
        <v>1820</v>
      </c>
      <c r="E239" s="18" t="s">
        <v>646</v>
      </c>
      <c r="F239" s="18" t="n">
        <v>30</v>
      </c>
      <c r="G239" s="18"/>
      <c r="H239" s="18" t="s">
        <v>724</v>
      </c>
      <c r="I239" s="18" t="s">
        <v>689</v>
      </c>
      <c r="J239" s="18" t="s">
        <v>690</v>
      </c>
      <c r="K239" s="18" t="s">
        <v>691</v>
      </c>
      <c r="L239" s="18" t="s">
        <v>105</v>
      </c>
      <c r="M239" s="18" t="s">
        <v>704</v>
      </c>
      <c r="N239" s="18"/>
      <c r="O239" s="18"/>
      <c r="P239" s="18"/>
      <c r="Q239" s="18"/>
      <c r="R239" s="18"/>
      <c r="S239" s="18" t="s">
        <v>707</v>
      </c>
      <c r="T239" s="18" t="n">
        <v>0</v>
      </c>
      <c r="U239" s="18" t="n">
        <v>0</v>
      </c>
      <c r="V239" s="18" t="n">
        <v>0</v>
      </c>
      <c r="W239" s="18" t="n">
        <v>0</v>
      </c>
      <c r="X239" s="18" t="n">
        <v>0</v>
      </c>
      <c r="Y239" s="18" t="n">
        <v>0</v>
      </c>
      <c r="Z239" s="18" t="s">
        <v>1000</v>
      </c>
      <c r="AA239" s="18" t="s">
        <v>699</v>
      </c>
      <c r="AB239" s="18" t="s">
        <v>98</v>
      </c>
      <c r="AC239" s="18"/>
      <c r="AD239" s="23" t="str">
        <f aca="false">IF(A239="","",IF(COUNTIF(Parcels!$A$2:$A$3000,B239)=0,"Parcel not found",IF(COUNTIF($A$2:$A$3000,A239)&gt;1,"Duplicate perm_id",IF(AND(I239="Yes",C239&lt;&gt;"",COUNTIFS($C$2:$C$3000,C239,$I$2:$I$3000,"Yes")&gt;1),"Reference counted twice",IF(COUNTIF(Lists!$A$2:$A$7,H239)=0,"Unknown status","")))))</f>
        <v/>
      </c>
    </row>
    <row r="240" customFormat="false" ht="15" hidden="false" customHeight="false" outlineLevel="0" collapsed="false">
      <c r="A240" s="18" t="s">
        <v>1821</v>
      </c>
      <c r="B240" s="18" t="s">
        <v>647</v>
      </c>
      <c r="C240" s="18" t="s">
        <v>1822</v>
      </c>
      <c r="D240" s="18" t="s">
        <v>1822</v>
      </c>
      <c r="E240" s="18" t="s">
        <v>648</v>
      </c>
      <c r="F240" s="18" t="n">
        <v>28</v>
      </c>
      <c r="G240" s="18"/>
      <c r="H240" s="18" t="s">
        <v>688</v>
      </c>
      <c r="I240" s="18" t="s">
        <v>689</v>
      </c>
      <c r="J240" s="18" t="s">
        <v>690</v>
      </c>
      <c r="K240" s="18" t="s">
        <v>691</v>
      </c>
      <c r="L240" s="18" t="s">
        <v>105</v>
      </c>
      <c r="M240" s="18" t="s">
        <v>704</v>
      </c>
      <c r="N240" s="18" t="s">
        <v>1779</v>
      </c>
      <c r="O240" s="18" t="s">
        <v>1780</v>
      </c>
      <c r="P240" s="18"/>
      <c r="Q240" s="18" t="s">
        <v>779</v>
      </c>
      <c r="R240" s="18" t="s">
        <v>773</v>
      </c>
      <c r="S240" s="18" t="s">
        <v>739</v>
      </c>
      <c r="T240" s="18" t="n">
        <v>0</v>
      </c>
      <c r="U240" s="18" t="n">
        <v>0</v>
      </c>
      <c r="V240" s="18" t="n">
        <v>0</v>
      </c>
      <c r="W240" s="18" t="n">
        <v>27.8</v>
      </c>
      <c r="X240" s="18" t="n">
        <v>0.2</v>
      </c>
      <c r="Y240" s="18" t="n">
        <v>0</v>
      </c>
      <c r="Z240" s="18" t="s">
        <v>1000</v>
      </c>
      <c r="AA240" s="18" t="s">
        <v>699</v>
      </c>
      <c r="AB240" s="18" t="s">
        <v>98</v>
      </c>
      <c r="AC240" s="18"/>
      <c r="AD240" s="23" t="str">
        <f aca="false">IF(A240="","",IF(COUNTIF(Parcels!$A$2:$A$3000,B240)=0,"Parcel not found",IF(COUNTIF($A$2:$A$3000,A240)&gt;1,"Duplicate perm_id",IF(AND(I240="Yes",C240&lt;&gt;"",COUNTIFS($C$2:$C$3000,C240,$I$2:$I$3000,"Yes")&gt;1),"Reference counted twice",IF(COUNTIF(Lists!$A$2:$A$7,H240)=0,"Unknown status","")))))</f>
        <v/>
      </c>
    </row>
    <row r="241" customFormat="false" ht="15" hidden="false" customHeight="false" outlineLevel="0" collapsed="false">
      <c r="A241" s="18" t="s">
        <v>1823</v>
      </c>
      <c r="B241" s="18" t="s">
        <v>306</v>
      </c>
      <c r="C241" s="18" t="s">
        <v>1824</v>
      </c>
      <c r="D241" s="18" t="s">
        <v>1824</v>
      </c>
      <c r="E241" s="18" t="s">
        <v>307</v>
      </c>
      <c r="F241" s="18" t="n">
        <v>6</v>
      </c>
      <c r="G241" s="18"/>
      <c r="H241" s="18" t="s">
        <v>724</v>
      </c>
      <c r="I241" s="18" t="s">
        <v>689</v>
      </c>
      <c r="J241" s="18" t="s">
        <v>690</v>
      </c>
      <c r="K241" s="18" t="s">
        <v>713</v>
      </c>
      <c r="L241" s="18" t="s">
        <v>714</v>
      </c>
      <c r="M241" s="18" t="s">
        <v>715</v>
      </c>
      <c r="N241" s="18"/>
      <c r="O241" s="18"/>
      <c r="P241" s="18"/>
      <c r="Q241" s="18"/>
      <c r="R241" s="18"/>
      <c r="S241" s="18" t="s">
        <v>707</v>
      </c>
      <c r="T241" s="18" t="n">
        <v>0</v>
      </c>
      <c r="U241" s="18" t="n">
        <v>0</v>
      </c>
      <c r="V241" s="18" t="n">
        <v>0</v>
      </c>
      <c r="W241" s="18" t="n">
        <v>0</v>
      </c>
      <c r="X241" s="18" t="n">
        <v>0</v>
      </c>
      <c r="Y241" s="18" t="n">
        <v>0</v>
      </c>
      <c r="Z241" s="18" t="s">
        <v>1000</v>
      </c>
      <c r="AA241" s="18" t="s">
        <v>699</v>
      </c>
      <c r="AB241" s="18" t="s">
        <v>98</v>
      </c>
      <c r="AC241" s="18"/>
      <c r="AD241" s="23" t="str">
        <f aca="false">IF(A241="","",IF(COUNTIF(Parcels!$A$2:$A$3000,B241)=0,"Parcel not found",IF(COUNTIF($A$2:$A$3000,A241)&gt;1,"Duplicate perm_id",IF(AND(I241="Yes",C241&lt;&gt;"",COUNTIFS($C$2:$C$3000,C241,$I$2:$I$3000,"Yes")&gt;1),"Reference counted twice",IF(COUNTIF(Lists!$A$2:$A$7,H241)=0,"Unknown status","")))))</f>
        <v/>
      </c>
    </row>
    <row r="242" customFormat="false" ht="15" hidden="false" customHeight="false" outlineLevel="0" collapsed="false">
      <c r="A242" s="18" t="s">
        <v>1825</v>
      </c>
      <c r="B242" s="18" t="s">
        <v>423</v>
      </c>
      <c r="C242" s="18" t="s">
        <v>1826</v>
      </c>
      <c r="D242" s="18" t="s">
        <v>1826</v>
      </c>
      <c r="E242" s="18" t="s">
        <v>424</v>
      </c>
      <c r="F242" s="18" t="n">
        <v>6</v>
      </c>
      <c r="G242" s="18"/>
      <c r="H242" s="18" t="s">
        <v>724</v>
      </c>
      <c r="I242" s="18" t="s">
        <v>689</v>
      </c>
      <c r="J242" s="18" t="s">
        <v>690</v>
      </c>
      <c r="K242" s="18" t="s">
        <v>713</v>
      </c>
      <c r="L242" s="18" t="s">
        <v>714</v>
      </c>
      <c r="M242" s="18" t="s">
        <v>715</v>
      </c>
      <c r="N242" s="18"/>
      <c r="O242" s="18"/>
      <c r="P242" s="18"/>
      <c r="Q242" s="18"/>
      <c r="R242" s="18"/>
      <c r="S242" s="18" t="s">
        <v>707</v>
      </c>
      <c r="T242" s="18" t="n">
        <v>0</v>
      </c>
      <c r="U242" s="18" t="n">
        <v>0</v>
      </c>
      <c r="V242" s="18" t="n">
        <v>0</v>
      </c>
      <c r="W242" s="18" t="n">
        <v>0</v>
      </c>
      <c r="X242" s="18" t="n">
        <v>0</v>
      </c>
      <c r="Y242" s="18" t="n">
        <v>0</v>
      </c>
      <c r="Z242" s="18" t="s">
        <v>1000</v>
      </c>
      <c r="AA242" s="18" t="s">
        <v>699</v>
      </c>
      <c r="AB242" s="18" t="s">
        <v>98</v>
      </c>
      <c r="AC242" s="18"/>
      <c r="AD242" s="23" t="str">
        <f aca="false">IF(A242="","",IF(COUNTIF(Parcels!$A$2:$A$3000,B242)=0,"Parcel not found",IF(COUNTIF($A$2:$A$3000,A242)&gt;1,"Duplicate perm_id",IF(AND(I242="Yes",C242&lt;&gt;"",COUNTIFS($C$2:$C$3000,C242,$I$2:$I$3000,"Yes")&gt;1),"Reference counted twice",IF(COUNTIF(Lists!$A$2:$A$7,H242)=0,"Unknown status","")))))</f>
        <v/>
      </c>
    </row>
    <row r="243" customFormat="false" ht="15" hidden="false" customHeight="false" outlineLevel="0" collapsed="false">
      <c r="A243" s="18" t="s">
        <v>1827</v>
      </c>
      <c r="B243" s="18" t="s">
        <v>412</v>
      </c>
      <c r="C243" s="18" t="s">
        <v>1828</v>
      </c>
      <c r="D243" s="18" t="s">
        <v>1828</v>
      </c>
      <c r="E243" s="18" t="s">
        <v>413</v>
      </c>
      <c r="F243" s="18" t="n">
        <v>13</v>
      </c>
      <c r="G243" s="18"/>
      <c r="H243" s="18" t="s">
        <v>724</v>
      </c>
      <c r="I243" s="18" t="s">
        <v>689</v>
      </c>
      <c r="J243" s="18" t="s">
        <v>690</v>
      </c>
      <c r="K243" s="18" t="s">
        <v>713</v>
      </c>
      <c r="L243" s="18" t="s">
        <v>714</v>
      </c>
      <c r="M243" s="18" t="s">
        <v>715</v>
      </c>
      <c r="N243" s="18"/>
      <c r="O243" s="18"/>
      <c r="P243" s="18"/>
      <c r="Q243" s="18"/>
      <c r="R243" s="18"/>
      <c r="S243" s="18" t="s">
        <v>707</v>
      </c>
      <c r="T243" s="18" t="n">
        <v>0</v>
      </c>
      <c r="U243" s="18" t="n">
        <v>0</v>
      </c>
      <c r="V243" s="18" t="n">
        <v>0</v>
      </c>
      <c r="W243" s="18" t="n">
        <v>0</v>
      </c>
      <c r="X243" s="18" t="n">
        <v>0</v>
      </c>
      <c r="Y243" s="18" t="n">
        <v>0</v>
      </c>
      <c r="Z243" s="18" t="s">
        <v>1000</v>
      </c>
      <c r="AA243" s="18" t="s">
        <v>699</v>
      </c>
      <c r="AB243" s="18" t="s">
        <v>98</v>
      </c>
      <c r="AC243" s="18"/>
      <c r="AD243" s="23" t="str">
        <f aca="false">IF(A243="","",IF(COUNTIF(Parcels!$A$2:$A$3000,B243)=0,"Parcel not found",IF(COUNTIF($A$2:$A$3000,A243)&gt;1,"Duplicate perm_id",IF(AND(I243="Yes",C243&lt;&gt;"",COUNTIFS($C$2:$C$3000,C243,$I$2:$I$3000,"Yes")&gt;1),"Reference counted twice",IF(COUNTIF(Lists!$A$2:$A$7,H243)=0,"Unknown status","")))))</f>
        <v/>
      </c>
    </row>
    <row r="244" customFormat="false" ht="15" hidden="false" customHeight="false" outlineLevel="0" collapsed="false">
      <c r="A244" s="18" t="s">
        <v>1829</v>
      </c>
      <c r="B244" s="18" t="s">
        <v>346</v>
      </c>
      <c r="C244" s="18" t="s">
        <v>1830</v>
      </c>
      <c r="D244" s="18" t="s">
        <v>1830</v>
      </c>
      <c r="E244" s="18" t="s">
        <v>1831</v>
      </c>
      <c r="F244" s="18" t="n">
        <v>54</v>
      </c>
      <c r="G244" s="18"/>
      <c r="H244" s="18" t="s">
        <v>711</v>
      </c>
      <c r="I244" s="18" t="s">
        <v>689</v>
      </c>
      <c r="J244" s="18" t="s">
        <v>812</v>
      </c>
      <c r="K244" s="18" t="s">
        <v>691</v>
      </c>
      <c r="L244" s="18" t="s">
        <v>105</v>
      </c>
      <c r="M244" s="18" t="s">
        <v>704</v>
      </c>
      <c r="N244" s="18" t="s">
        <v>1739</v>
      </c>
      <c r="O244" s="18" t="s">
        <v>1087</v>
      </c>
      <c r="P244" s="18" t="s">
        <v>1832</v>
      </c>
      <c r="Q244" s="18" t="s">
        <v>1224</v>
      </c>
      <c r="R244" s="18" t="s">
        <v>719</v>
      </c>
      <c r="S244" s="18" t="s">
        <v>720</v>
      </c>
      <c r="T244" s="18" t="n">
        <v>12.6</v>
      </c>
      <c r="U244" s="18" t="n">
        <v>41.4</v>
      </c>
      <c r="V244" s="18" t="n">
        <v>0</v>
      </c>
      <c r="W244" s="18" t="n">
        <v>0</v>
      </c>
      <c r="X244" s="18" t="n">
        <v>0</v>
      </c>
      <c r="Y244" s="18" t="n">
        <v>0</v>
      </c>
      <c r="Z244" s="18" t="s">
        <v>1000</v>
      </c>
      <c r="AA244" s="18" t="s">
        <v>699</v>
      </c>
      <c r="AB244" s="18" t="s">
        <v>98</v>
      </c>
      <c r="AC244" s="18"/>
      <c r="AD244" s="23" t="str">
        <f aca="false">IF(A244="","",IF(COUNTIF(Parcels!$A$2:$A$3000,B244)=0,"Parcel not found",IF(COUNTIF($A$2:$A$3000,A244)&gt;1,"Duplicate perm_id",IF(AND(I244="Yes",C244&lt;&gt;"",COUNTIFS($C$2:$C$3000,C244,$I$2:$I$3000,"Yes")&gt;1),"Reference counted twice",IF(COUNTIF(Lists!$A$2:$A$7,H244)=0,"Unknown status","")))))</f>
        <v/>
      </c>
    </row>
    <row r="245" customFormat="false" ht="15" hidden="false" customHeight="false" outlineLevel="0" collapsed="false">
      <c r="A245" s="18" t="s">
        <v>1833</v>
      </c>
      <c r="B245" s="18" t="s">
        <v>346</v>
      </c>
      <c r="C245" s="18" t="s">
        <v>1834</v>
      </c>
      <c r="D245" s="18" t="s">
        <v>1834</v>
      </c>
      <c r="E245" s="18" t="s">
        <v>347</v>
      </c>
      <c r="F245" s="18" t="n">
        <v>200</v>
      </c>
      <c r="G245" s="18"/>
      <c r="H245" s="18" t="s">
        <v>728</v>
      </c>
      <c r="I245" s="18" t="s">
        <v>689</v>
      </c>
      <c r="J245" s="18" t="s">
        <v>690</v>
      </c>
      <c r="K245" s="18" t="s">
        <v>691</v>
      </c>
      <c r="L245" s="18" t="s">
        <v>105</v>
      </c>
      <c r="M245" s="18" t="s">
        <v>692</v>
      </c>
      <c r="N245" s="18" t="s">
        <v>1835</v>
      </c>
      <c r="O245" s="18" t="s">
        <v>1836</v>
      </c>
      <c r="P245" s="18" t="s">
        <v>1837</v>
      </c>
      <c r="Q245" s="18"/>
      <c r="R245" s="18"/>
      <c r="S245" s="18" t="s">
        <v>731</v>
      </c>
      <c r="T245" s="18" t="n">
        <v>0</v>
      </c>
      <c r="U245" s="18" t="n">
        <v>0</v>
      </c>
      <c r="V245" s="18" t="n">
        <v>0</v>
      </c>
      <c r="W245" s="18" t="n">
        <v>0</v>
      </c>
      <c r="X245" s="18" t="n">
        <v>0</v>
      </c>
      <c r="Y245" s="18" t="n">
        <v>0</v>
      </c>
      <c r="Z245" s="18" t="s">
        <v>1000</v>
      </c>
      <c r="AA245" s="18" t="s">
        <v>699</v>
      </c>
      <c r="AB245" s="18" t="s">
        <v>98</v>
      </c>
      <c r="AC245" s="18"/>
      <c r="AD245" s="23" t="str">
        <f aca="false">IF(A245="","",IF(COUNTIF(Parcels!$A$2:$A$3000,B245)=0,"Parcel not found",IF(COUNTIF($A$2:$A$3000,A245)&gt;1,"Duplicate perm_id",IF(AND(I245="Yes",C245&lt;&gt;"",COUNTIFS($C$2:$C$3000,C245,$I$2:$I$3000,"Yes")&gt;1),"Reference counted twice",IF(COUNTIF(Lists!$A$2:$A$7,H245)=0,"Unknown status","")))))</f>
        <v/>
      </c>
    </row>
    <row r="246" customFormat="false" ht="15" hidden="false" customHeight="false" outlineLevel="0" collapsed="false">
      <c r="A246" s="18" t="s">
        <v>1838</v>
      </c>
      <c r="B246" s="18" t="s">
        <v>346</v>
      </c>
      <c r="C246" s="18" t="s">
        <v>1839</v>
      </c>
      <c r="D246" s="18" t="s">
        <v>1839</v>
      </c>
      <c r="E246" s="18" t="s">
        <v>1840</v>
      </c>
      <c r="F246" s="18" t="n">
        <v>21</v>
      </c>
      <c r="G246" s="18"/>
      <c r="H246" s="18" t="s">
        <v>728</v>
      </c>
      <c r="I246" s="18" t="s">
        <v>689</v>
      </c>
      <c r="J246" s="18" t="s">
        <v>712</v>
      </c>
      <c r="K246" s="18" t="s">
        <v>691</v>
      </c>
      <c r="L246" s="18" t="s">
        <v>105</v>
      </c>
      <c r="M246" s="18" t="s">
        <v>704</v>
      </c>
      <c r="N246" s="18" t="s">
        <v>1841</v>
      </c>
      <c r="O246" s="18" t="s">
        <v>1842</v>
      </c>
      <c r="P246" s="18" t="s">
        <v>1843</v>
      </c>
      <c r="Q246" s="18"/>
      <c r="R246" s="18"/>
      <c r="S246" s="18" t="s">
        <v>731</v>
      </c>
      <c r="T246" s="18" t="n">
        <v>0</v>
      </c>
      <c r="U246" s="18" t="n">
        <v>0</v>
      </c>
      <c r="V246" s="18" t="n">
        <v>0</v>
      </c>
      <c r="W246" s="18" t="n">
        <v>0</v>
      </c>
      <c r="X246" s="18" t="n">
        <v>0</v>
      </c>
      <c r="Y246" s="18" t="n">
        <v>0</v>
      </c>
      <c r="Z246" s="18" t="s">
        <v>1000</v>
      </c>
      <c r="AA246" s="18" t="s">
        <v>699</v>
      </c>
      <c r="AB246" s="18" t="s">
        <v>98</v>
      </c>
      <c r="AC246" s="18"/>
      <c r="AD246" s="23" t="str">
        <f aca="false">IF(A246="","",IF(COUNTIF(Parcels!$A$2:$A$3000,B246)=0,"Parcel not found",IF(COUNTIF($A$2:$A$3000,A246)&gt;1,"Duplicate perm_id",IF(AND(I246="Yes",C246&lt;&gt;"",COUNTIFS($C$2:$C$3000,C246,$I$2:$I$3000,"Yes")&gt;1),"Reference counted twice",IF(COUNTIF(Lists!$A$2:$A$7,H246)=0,"Unknown status","")))))</f>
        <v/>
      </c>
    </row>
    <row r="247" customFormat="false" ht="15" hidden="false" customHeight="false" outlineLevel="0" collapsed="false">
      <c r="A247" s="18" t="s">
        <v>1844</v>
      </c>
      <c r="B247" s="18" t="s">
        <v>346</v>
      </c>
      <c r="C247" s="18" t="s">
        <v>1845</v>
      </c>
      <c r="D247" s="18" t="s">
        <v>1845</v>
      </c>
      <c r="E247" s="18" t="s">
        <v>1846</v>
      </c>
      <c r="F247" s="18" t="n">
        <v>23</v>
      </c>
      <c r="G247" s="18"/>
      <c r="H247" s="18" t="s">
        <v>711</v>
      </c>
      <c r="I247" s="18" t="s">
        <v>689</v>
      </c>
      <c r="J247" s="18" t="s">
        <v>712</v>
      </c>
      <c r="K247" s="18" t="s">
        <v>691</v>
      </c>
      <c r="L247" s="18" t="s">
        <v>105</v>
      </c>
      <c r="M247" s="18" t="s">
        <v>704</v>
      </c>
      <c r="N247" s="18" t="s">
        <v>1421</v>
      </c>
      <c r="O247" s="18" t="s">
        <v>1422</v>
      </c>
      <c r="P247" s="18" t="s">
        <v>1847</v>
      </c>
      <c r="Q247" s="18" t="s">
        <v>1209</v>
      </c>
      <c r="R247" s="18" t="s">
        <v>719</v>
      </c>
      <c r="S247" s="18" t="s">
        <v>720</v>
      </c>
      <c r="T247" s="18" t="n">
        <v>5.4</v>
      </c>
      <c r="U247" s="18" t="n">
        <v>17.6</v>
      </c>
      <c r="V247" s="18" t="n">
        <v>0</v>
      </c>
      <c r="W247" s="18" t="n">
        <v>0</v>
      </c>
      <c r="X247" s="18" t="n">
        <v>0</v>
      </c>
      <c r="Y247" s="18" t="n">
        <v>0</v>
      </c>
      <c r="Z247" s="18" t="s">
        <v>1000</v>
      </c>
      <c r="AA247" s="18" t="s">
        <v>699</v>
      </c>
      <c r="AB247" s="18" t="s">
        <v>98</v>
      </c>
      <c r="AC247" s="18"/>
      <c r="AD247" s="23" t="str">
        <f aca="false">IF(A247="","",IF(COUNTIF(Parcels!$A$2:$A$3000,B247)=0,"Parcel not found",IF(COUNTIF($A$2:$A$3000,A247)&gt;1,"Duplicate perm_id",IF(AND(I247="Yes",C247&lt;&gt;"",COUNTIFS($C$2:$C$3000,C247,$I$2:$I$3000,"Yes")&gt;1),"Reference counted twice",IF(COUNTIF(Lists!$A$2:$A$7,H247)=0,"Unknown status","")))))</f>
        <v/>
      </c>
    </row>
    <row r="248" customFormat="false" ht="15" hidden="false" customHeight="false" outlineLevel="0" collapsed="false">
      <c r="A248" s="18" t="s">
        <v>1848</v>
      </c>
      <c r="B248" s="18" t="s">
        <v>309</v>
      </c>
      <c r="C248" s="18" t="s">
        <v>1849</v>
      </c>
      <c r="D248" s="18" t="s">
        <v>1849</v>
      </c>
      <c r="E248" s="18" t="s">
        <v>310</v>
      </c>
      <c r="F248" s="18" t="n">
        <v>6</v>
      </c>
      <c r="G248" s="18"/>
      <c r="H248" s="18" t="s">
        <v>728</v>
      </c>
      <c r="I248" s="18" t="s">
        <v>689</v>
      </c>
      <c r="J248" s="18" t="s">
        <v>690</v>
      </c>
      <c r="K248" s="18" t="s">
        <v>713</v>
      </c>
      <c r="L248" s="18" t="s">
        <v>714</v>
      </c>
      <c r="M248" s="18" t="s">
        <v>715</v>
      </c>
      <c r="N248" s="18" t="s">
        <v>1850</v>
      </c>
      <c r="O248" s="18"/>
      <c r="P248" s="18" t="s">
        <v>1851</v>
      </c>
      <c r="Q248" s="18"/>
      <c r="R248" s="18"/>
      <c r="S248" s="18" t="s">
        <v>731</v>
      </c>
      <c r="T248" s="18" t="n">
        <v>0</v>
      </c>
      <c r="U248" s="18" t="n">
        <v>0</v>
      </c>
      <c r="V248" s="18" t="n">
        <v>0</v>
      </c>
      <c r="W248" s="18" t="n">
        <v>0</v>
      </c>
      <c r="X248" s="18" t="n">
        <v>0</v>
      </c>
      <c r="Y248" s="18" t="n">
        <v>0</v>
      </c>
      <c r="Z248" s="18" t="s">
        <v>1000</v>
      </c>
      <c r="AA248" s="18" t="s">
        <v>699</v>
      </c>
      <c r="AB248" s="18" t="s">
        <v>98</v>
      </c>
      <c r="AC248" s="18"/>
      <c r="AD248" s="23" t="str">
        <f aca="false">IF(A248="","",IF(COUNTIF(Parcels!$A$2:$A$3000,B248)=0,"Parcel not found",IF(COUNTIF($A$2:$A$3000,A248)&gt;1,"Duplicate perm_id",IF(AND(I248="Yes",C248&lt;&gt;"",COUNTIFS($C$2:$C$3000,C248,$I$2:$I$3000,"Yes")&gt;1),"Reference counted twice",IF(COUNTIF(Lists!$A$2:$A$7,H248)=0,"Unknown status","")))))</f>
        <v/>
      </c>
    </row>
    <row r="249" customFormat="false" ht="15" hidden="false" customHeight="false" outlineLevel="0" collapsed="false">
      <c r="A249" s="18" t="s">
        <v>1852</v>
      </c>
      <c r="B249" s="18" t="s">
        <v>649</v>
      </c>
      <c r="C249" s="18"/>
      <c r="D249" s="18"/>
      <c r="E249" s="18" t="s">
        <v>650</v>
      </c>
      <c r="F249" s="18" t="n">
        <v>17</v>
      </c>
      <c r="G249" s="18"/>
      <c r="H249" s="18" t="s">
        <v>703</v>
      </c>
      <c r="I249" s="18" t="s">
        <v>689</v>
      </c>
      <c r="J249" s="18" t="s">
        <v>690</v>
      </c>
      <c r="K249" s="18" t="s">
        <v>691</v>
      </c>
      <c r="L249" s="18" t="s">
        <v>105</v>
      </c>
      <c r="M249" s="18" t="s">
        <v>704</v>
      </c>
      <c r="N249" s="18" t="s">
        <v>1853</v>
      </c>
      <c r="O249" s="18" t="s">
        <v>1854</v>
      </c>
      <c r="P249" s="18"/>
      <c r="Q249" s="18"/>
      <c r="R249" s="18"/>
      <c r="S249" s="18" t="s">
        <v>707</v>
      </c>
      <c r="T249" s="18" t="n">
        <v>0</v>
      </c>
      <c r="U249" s="18" t="n">
        <v>0</v>
      </c>
      <c r="V249" s="18" t="n">
        <v>0</v>
      </c>
      <c r="W249" s="18" t="n">
        <v>0</v>
      </c>
      <c r="X249" s="18" t="n">
        <v>0</v>
      </c>
      <c r="Y249" s="18" t="n">
        <v>0</v>
      </c>
      <c r="Z249" s="18" t="s">
        <v>1000</v>
      </c>
      <c r="AA249" s="18" t="s">
        <v>699</v>
      </c>
      <c r="AB249" s="18" t="s">
        <v>98</v>
      </c>
      <c r="AC249" s="18"/>
      <c r="AD249" s="23" t="str">
        <f aca="false">IF(A249="","",IF(COUNTIF(Parcels!$A$2:$A$3000,B249)=0,"Parcel not found",IF(COUNTIF($A$2:$A$3000,A249)&gt;1,"Duplicate perm_id",IF(AND(I249="Yes",C249&lt;&gt;"",COUNTIFS($C$2:$C$3000,C249,$I$2:$I$3000,"Yes")&gt;1),"Reference counted twice",IF(COUNTIF(Lists!$A$2:$A$7,H249)=0,"Unknown status","")))))</f>
        <v/>
      </c>
    </row>
    <row r="250" customFormat="false" ht="15" hidden="false" customHeight="false" outlineLevel="0" collapsed="false">
      <c r="A250" s="18" t="s">
        <v>1855</v>
      </c>
      <c r="B250" s="18" t="s">
        <v>311</v>
      </c>
      <c r="C250" s="18"/>
      <c r="D250" s="18"/>
      <c r="E250" s="18" t="s">
        <v>1856</v>
      </c>
      <c r="F250" s="18" t="n">
        <v>0</v>
      </c>
      <c r="G250" s="18"/>
      <c r="H250" s="18" t="s">
        <v>688</v>
      </c>
      <c r="I250" s="18" t="s">
        <v>689</v>
      </c>
      <c r="J250" s="18" t="s">
        <v>690</v>
      </c>
      <c r="K250" s="18" t="s">
        <v>713</v>
      </c>
      <c r="L250" s="18" t="s">
        <v>714</v>
      </c>
      <c r="M250" s="18" t="s">
        <v>704</v>
      </c>
      <c r="N250" s="18"/>
      <c r="O250" s="18"/>
      <c r="P250" s="18"/>
      <c r="Q250" s="18"/>
      <c r="R250" s="18"/>
      <c r="S250" s="18" t="s">
        <v>707</v>
      </c>
      <c r="T250" s="18" t="n">
        <v>0</v>
      </c>
      <c r="U250" s="18" t="n">
        <v>0</v>
      </c>
      <c r="V250" s="18" t="n">
        <v>0</v>
      </c>
      <c r="W250" s="18" t="n">
        <v>0</v>
      </c>
      <c r="X250" s="18" t="n">
        <v>0</v>
      </c>
      <c r="Y250" s="18" t="n">
        <v>0</v>
      </c>
      <c r="Z250" s="18" t="s">
        <v>1000</v>
      </c>
      <c r="AA250" s="18" t="s">
        <v>699</v>
      </c>
      <c r="AB250" s="18" t="s">
        <v>98</v>
      </c>
      <c r="AC250" s="18"/>
      <c r="AD250" s="23" t="str">
        <f aca="false">IF(A250="","",IF(COUNTIF(Parcels!$A$2:$A$3000,B250)=0,"Parcel not found",IF(COUNTIF($A$2:$A$3000,A250)&gt;1,"Duplicate perm_id",IF(AND(I250="Yes",C250&lt;&gt;"",COUNTIFS($C$2:$C$3000,C250,$I$2:$I$3000,"Yes")&gt;1),"Reference counted twice",IF(COUNTIF(Lists!$A$2:$A$7,H250)=0,"Unknown status","")))))</f>
        <v/>
      </c>
    </row>
    <row r="251" customFormat="false" ht="15" hidden="false" customHeight="false" outlineLevel="0" collapsed="false">
      <c r="A251" s="18" t="s">
        <v>1857</v>
      </c>
      <c r="B251" s="18" t="s">
        <v>483</v>
      </c>
      <c r="C251" s="18"/>
      <c r="D251" s="18"/>
      <c r="E251" s="18" t="s">
        <v>484</v>
      </c>
      <c r="F251" s="18" t="n">
        <v>12</v>
      </c>
      <c r="G251" s="18"/>
      <c r="H251" s="18" t="s">
        <v>724</v>
      </c>
      <c r="I251" s="18" t="s">
        <v>689</v>
      </c>
      <c r="J251" s="18" t="s">
        <v>690</v>
      </c>
      <c r="K251" s="18" t="s">
        <v>713</v>
      </c>
      <c r="L251" s="18" t="s">
        <v>714</v>
      </c>
      <c r="M251" s="18" t="s">
        <v>715</v>
      </c>
      <c r="N251" s="18"/>
      <c r="O251" s="18"/>
      <c r="P251" s="18"/>
      <c r="Q251" s="18"/>
      <c r="R251" s="18"/>
      <c r="S251" s="18" t="s">
        <v>707</v>
      </c>
      <c r="T251" s="18" t="n">
        <v>0</v>
      </c>
      <c r="U251" s="18" t="n">
        <v>0</v>
      </c>
      <c r="V251" s="18" t="n">
        <v>0</v>
      </c>
      <c r="W251" s="18" t="n">
        <v>0</v>
      </c>
      <c r="X251" s="18" t="n">
        <v>0</v>
      </c>
      <c r="Y251" s="18" t="n">
        <v>0</v>
      </c>
      <c r="Z251" s="18" t="s">
        <v>1000</v>
      </c>
      <c r="AA251" s="18" t="s">
        <v>699</v>
      </c>
      <c r="AB251" s="18" t="s">
        <v>98</v>
      </c>
      <c r="AC251" s="18"/>
      <c r="AD251" s="23" t="str">
        <f aca="false">IF(A251="","",IF(COUNTIF(Parcels!$A$2:$A$3000,B251)=0,"Parcel not found",IF(COUNTIF($A$2:$A$3000,A251)&gt;1,"Duplicate perm_id",IF(AND(I251="Yes",C251&lt;&gt;"",COUNTIFS($C$2:$C$3000,C251,$I$2:$I$3000,"Yes")&gt;1),"Reference counted twice",IF(COUNTIF(Lists!$A$2:$A$7,H251)=0,"Unknown status","")))))</f>
        <v/>
      </c>
    </row>
    <row r="252" customFormat="false" ht="15" hidden="false" customHeight="false" outlineLevel="0" collapsed="false">
      <c r="A252" s="18" t="s">
        <v>1858</v>
      </c>
      <c r="B252" s="18" t="s">
        <v>453</v>
      </c>
      <c r="C252" s="18"/>
      <c r="D252" s="18"/>
      <c r="E252" s="18" t="s">
        <v>1859</v>
      </c>
      <c r="F252" s="18" t="n">
        <v>23</v>
      </c>
      <c r="G252" s="18"/>
      <c r="H252" s="18" t="s">
        <v>688</v>
      </c>
      <c r="I252" s="18" t="s">
        <v>689</v>
      </c>
      <c r="J252" s="18" t="s">
        <v>712</v>
      </c>
      <c r="K252" s="18" t="s">
        <v>713</v>
      </c>
      <c r="L252" s="18" t="s">
        <v>714</v>
      </c>
      <c r="M252" s="18" t="s">
        <v>704</v>
      </c>
      <c r="N252" s="18"/>
      <c r="O252" s="18"/>
      <c r="P252" s="18"/>
      <c r="Q252" s="18" t="s">
        <v>737</v>
      </c>
      <c r="R252" s="18" t="s">
        <v>773</v>
      </c>
      <c r="S252" s="18" t="s">
        <v>739</v>
      </c>
      <c r="T252" s="18" t="n">
        <v>0</v>
      </c>
      <c r="U252" s="18" t="n">
        <v>0</v>
      </c>
      <c r="V252" s="18" t="n">
        <v>9.6</v>
      </c>
      <c r="W252" s="18" t="n">
        <v>13.1</v>
      </c>
      <c r="X252" s="18" t="n">
        <v>0.3</v>
      </c>
      <c r="Y252" s="18" t="n">
        <v>0</v>
      </c>
      <c r="Z252" s="18" t="s">
        <v>1000</v>
      </c>
      <c r="AA252" s="18" t="s">
        <v>699</v>
      </c>
      <c r="AB252" s="18" t="s">
        <v>98</v>
      </c>
      <c r="AC252" s="18"/>
      <c r="AD252" s="23" t="str">
        <f aca="false">IF(A252="","",IF(COUNTIF(Parcels!$A$2:$A$3000,B252)=0,"Parcel not found",IF(COUNTIF($A$2:$A$3000,A252)&gt;1,"Duplicate perm_id",IF(AND(I252="Yes",C252&lt;&gt;"",COUNTIFS($C$2:$C$3000,C252,$I$2:$I$3000,"Yes")&gt;1),"Reference counted twice",IF(COUNTIF(Lists!$A$2:$A$7,H252)=0,"Unknown status","")))))</f>
        <v/>
      </c>
    </row>
    <row r="253" customFormat="false" ht="15" hidden="false" customHeight="false" outlineLevel="0" collapsed="false">
      <c r="A253" s="18" t="s">
        <v>1860</v>
      </c>
      <c r="B253" s="18" t="s">
        <v>485</v>
      </c>
      <c r="C253" s="18" t="s">
        <v>1861</v>
      </c>
      <c r="D253" s="18" t="s">
        <v>1861</v>
      </c>
      <c r="E253" s="18" t="s">
        <v>486</v>
      </c>
      <c r="F253" s="18" t="n">
        <v>5</v>
      </c>
      <c r="G253" s="18"/>
      <c r="H253" s="18" t="s">
        <v>688</v>
      </c>
      <c r="I253" s="18" t="s">
        <v>689</v>
      </c>
      <c r="J253" s="18" t="s">
        <v>690</v>
      </c>
      <c r="K253" s="18" t="s">
        <v>713</v>
      </c>
      <c r="L253" s="18" t="s">
        <v>714</v>
      </c>
      <c r="M253" s="18" t="s">
        <v>715</v>
      </c>
      <c r="N253" s="18" t="s">
        <v>1862</v>
      </c>
      <c r="O253" s="18"/>
      <c r="P253" s="18"/>
      <c r="Q253" s="18" t="s">
        <v>737</v>
      </c>
      <c r="R253" s="18" t="s">
        <v>738</v>
      </c>
      <c r="S253" s="18" t="s">
        <v>739</v>
      </c>
      <c r="T253" s="18" t="n">
        <v>0</v>
      </c>
      <c r="U253" s="18" t="n">
        <v>0</v>
      </c>
      <c r="V253" s="18" t="n">
        <v>4.4</v>
      </c>
      <c r="W253" s="18" t="n">
        <v>0.6</v>
      </c>
      <c r="X253" s="18" t="n">
        <v>0</v>
      </c>
      <c r="Y253" s="18" t="n">
        <v>0</v>
      </c>
      <c r="Z253" s="18" t="s">
        <v>1000</v>
      </c>
      <c r="AA253" s="18" t="s">
        <v>699</v>
      </c>
      <c r="AB253" s="18" t="s">
        <v>98</v>
      </c>
      <c r="AC253" s="18"/>
      <c r="AD253" s="23" t="str">
        <f aca="false">IF(A253="","",IF(COUNTIF(Parcels!$A$2:$A$3000,B253)=0,"Parcel not found",IF(COUNTIF($A$2:$A$3000,A253)&gt;1,"Duplicate perm_id",IF(AND(I253="Yes",C253&lt;&gt;"",COUNTIFS($C$2:$C$3000,C253,$I$2:$I$3000,"Yes")&gt;1),"Reference counted twice",IF(COUNTIF(Lists!$A$2:$A$7,H253)=0,"Unknown status","")))))</f>
        <v/>
      </c>
    </row>
    <row r="254" customFormat="false" ht="15" hidden="false" customHeight="false" outlineLevel="0" collapsed="false">
      <c r="A254" s="18" t="s">
        <v>1863</v>
      </c>
      <c r="B254" s="18" t="s">
        <v>314</v>
      </c>
      <c r="C254" s="18" t="s">
        <v>1864</v>
      </c>
      <c r="D254" s="18" t="s">
        <v>1865</v>
      </c>
      <c r="E254" s="18" t="s">
        <v>315</v>
      </c>
      <c r="F254" s="18" t="n">
        <v>22</v>
      </c>
      <c r="G254" s="18"/>
      <c r="H254" s="18" t="s">
        <v>724</v>
      </c>
      <c r="I254" s="18" t="s">
        <v>689</v>
      </c>
      <c r="J254" s="18" t="s">
        <v>690</v>
      </c>
      <c r="K254" s="18" t="s">
        <v>713</v>
      </c>
      <c r="L254" s="18" t="s">
        <v>714</v>
      </c>
      <c r="M254" s="18" t="s">
        <v>715</v>
      </c>
      <c r="N254" s="18"/>
      <c r="O254" s="18"/>
      <c r="P254" s="18"/>
      <c r="Q254" s="18"/>
      <c r="R254" s="18"/>
      <c r="S254" s="18" t="s">
        <v>707</v>
      </c>
      <c r="T254" s="18" t="n">
        <v>0</v>
      </c>
      <c r="U254" s="18" t="n">
        <v>0</v>
      </c>
      <c r="V254" s="18" t="n">
        <v>0</v>
      </c>
      <c r="W254" s="18" t="n">
        <v>0</v>
      </c>
      <c r="X254" s="18" t="n">
        <v>0</v>
      </c>
      <c r="Y254" s="18" t="n">
        <v>0</v>
      </c>
      <c r="Z254" s="18" t="s">
        <v>1000</v>
      </c>
      <c r="AA254" s="18" t="s">
        <v>699</v>
      </c>
      <c r="AB254" s="18" t="s">
        <v>98</v>
      </c>
      <c r="AC254" s="18"/>
      <c r="AD254" s="23" t="str">
        <f aca="false">IF(A254="","",IF(COUNTIF(Parcels!$A$2:$A$3000,B254)=0,"Parcel not found",IF(COUNTIF($A$2:$A$3000,A254)&gt;1,"Duplicate perm_id",IF(AND(I254="Yes",C254&lt;&gt;"",COUNTIFS($C$2:$C$3000,C254,$I$2:$I$3000,"Yes")&gt;1),"Reference counted twice",IF(COUNTIF(Lists!$A$2:$A$7,H254)=0,"Unknown status","")))))</f>
        <v/>
      </c>
    </row>
    <row r="255" customFormat="false" ht="15" hidden="false" customHeight="false" outlineLevel="0" collapsed="false">
      <c r="A255" s="18" t="s">
        <v>1866</v>
      </c>
      <c r="B255" s="18" t="s">
        <v>651</v>
      </c>
      <c r="C255" s="18" t="s">
        <v>1867</v>
      </c>
      <c r="D255" s="18" t="s">
        <v>1868</v>
      </c>
      <c r="E255" s="18" t="s">
        <v>652</v>
      </c>
      <c r="F255" s="18" t="n">
        <v>4</v>
      </c>
      <c r="G255" s="18"/>
      <c r="H255" s="18" t="s">
        <v>711</v>
      </c>
      <c r="I255" s="18" t="s">
        <v>689</v>
      </c>
      <c r="J255" s="18" t="s">
        <v>690</v>
      </c>
      <c r="K255" s="18" t="s">
        <v>713</v>
      </c>
      <c r="L255" s="18" t="s">
        <v>714</v>
      </c>
      <c r="M255" s="18" t="s">
        <v>715</v>
      </c>
      <c r="N255" s="18" t="s">
        <v>1110</v>
      </c>
      <c r="O255" s="18"/>
      <c r="P255" s="18" t="s">
        <v>1869</v>
      </c>
      <c r="Q255" s="18" t="s">
        <v>1079</v>
      </c>
      <c r="R255" s="18" t="s">
        <v>719</v>
      </c>
      <c r="S255" s="18" t="s">
        <v>720</v>
      </c>
      <c r="T255" s="18" t="n">
        <v>0.9</v>
      </c>
      <c r="U255" s="18" t="n">
        <v>3.1</v>
      </c>
      <c r="V255" s="18" t="n">
        <v>0</v>
      </c>
      <c r="W255" s="18" t="n">
        <v>0</v>
      </c>
      <c r="X255" s="18" t="n">
        <v>0</v>
      </c>
      <c r="Y255" s="18" t="n">
        <v>0</v>
      </c>
      <c r="Z255" s="18" t="s">
        <v>1000</v>
      </c>
      <c r="AA255" s="18" t="s">
        <v>699</v>
      </c>
      <c r="AB255" s="18" t="s">
        <v>98</v>
      </c>
      <c r="AC255" s="18"/>
      <c r="AD255" s="23" t="str">
        <f aca="false">IF(A255="","",IF(COUNTIF(Parcels!$A$2:$A$3000,B255)=0,"Parcel not found",IF(COUNTIF($A$2:$A$3000,A255)&gt;1,"Duplicate perm_id",IF(AND(I255="Yes",C255&lt;&gt;"",COUNTIFS($C$2:$C$3000,C255,$I$2:$I$3000,"Yes")&gt;1),"Reference counted twice",IF(COUNTIF(Lists!$A$2:$A$7,H255)=0,"Unknown status","")))))</f>
        <v/>
      </c>
    </row>
    <row r="256" customFormat="false" ht="15" hidden="false" customHeight="false" outlineLevel="0" collapsed="false">
      <c r="A256" s="18" t="s">
        <v>1870</v>
      </c>
      <c r="B256" s="18" t="s">
        <v>316</v>
      </c>
      <c r="C256" s="18" t="s">
        <v>1871</v>
      </c>
      <c r="D256" s="18" t="s">
        <v>1871</v>
      </c>
      <c r="E256" s="18" t="s">
        <v>317</v>
      </c>
      <c r="F256" s="18" t="n">
        <v>38</v>
      </c>
      <c r="G256" s="18"/>
      <c r="H256" s="18" t="s">
        <v>711</v>
      </c>
      <c r="I256" s="18" t="s">
        <v>689</v>
      </c>
      <c r="J256" s="18" t="s">
        <v>690</v>
      </c>
      <c r="K256" s="18" t="s">
        <v>713</v>
      </c>
      <c r="L256" s="18" t="s">
        <v>714</v>
      </c>
      <c r="M256" s="18" t="s">
        <v>715</v>
      </c>
      <c r="N256" s="18" t="s">
        <v>1872</v>
      </c>
      <c r="O256" s="18"/>
      <c r="P256" s="18" t="s">
        <v>1873</v>
      </c>
      <c r="Q256" s="18" t="s">
        <v>1224</v>
      </c>
      <c r="R256" s="18" t="s">
        <v>719</v>
      </c>
      <c r="S256" s="18" t="s">
        <v>720</v>
      </c>
      <c r="T256" s="18" t="n">
        <v>8.8</v>
      </c>
      <c r="U256" s="18" t="n">
        <v>29.2</v>
      </c>
      <c r="V256" s="18" t="n">
        <v>0</v>
      </c>
      <c r="W256" s="18" t="n">
        <v>0</v>
      </c>
      <c r="X256" s="18" t="n">
        <v>0</v>
      </c>
      <c r="Y256" s="18" t="n">
        <v>0</v>
      </c>
      <c r="Z256" s="18" t="s">
        <v>1000</v>
      </c>
      <c r="AA256" s="18" t="s">
        <v>699</v>
      </c>
      <c r="AB256" s="18" t="s">
        <v>98</v>
      </c>
      <c r="AC256" s="18"/>
      <c r="AD256" s="23" t="str">
        <f aca="false">IF(A256="","",IF(COUNTIF(Parcels!$A$2:$A$3000,B256)=0,"Parcel not found",IF(COUNTIF($A$2:$A$3000,A256)&gt;1,"Duplicate perm_id",IF(AND(I256="Yes",C256&lt;&gt;"",COUNTIFS($C$2:$C$3000,C256,$I$2:$I$3000,"Yes")&gt;1),"Reference counted twice",IF(COUNTIF(Lists!$A$2:$A$7,H256)=0,"Unknown status","")))))</f>
        <v/>
      </c>
    </row>
    <row r="257" customFormat="false" ht="15" hidden="false" customHeight="false" outlineLevel="0" collapsed="false">
      <c r="A257" s="18" t="s">
        <v>1874</v>
      </c>
      <c r="B257" s="18" t="s">
        <v>653</v>
      </c>
      <c r="C257" s="18" t="s">
        <v>1875</v>
      </c>
      <c r="D257" s="18" t="s">
        <v>1875</v>
      </c>
      <c r="E257" s="18" t="s">
        <v>654</v>
      </c>
      <c r="F257" s="18" t="n">
        <v>24</v>
      </c>
      <c r="G257" s="18"/>
      <c r="H257" s="18" t="s">
        <v>688</v>
      </c>
      <c r="I257" s="18" t="s">
        <v>689</v>
      </c>
      <c r="J257" s="18" t="s">
        <v>712</v>
      </c>
      <c r="K257" s="18" t="s">
        <v>713</v>
      </c>
      <c r="L257" s="18" t="s">
        <v>714</v>
      </c>
      <c r="M257" s="18" t="s">
        <v>715</v>
      </c>
      <c r="N257" s="18" t="s">
        <v>1876</v>
      </c>
      <c r="O257" s="18"/>
      <c r="P257" s="18"/>
      <c r="Q257" s="18" t="s">
        <v>695</v>
      </c>
      <c r="R257" s="18" t="s">
        <v>877</v>
      </c>
      <c r="S257" s="18" t="s">
        <v>697</v>
      </c>
      <c r="T257" s="18" t="n">
        <v>0</v>
      </c>
      <c r="U257" s="18" t="n">
        <v>0</v>
      </c>
      <c r="V257" s="18" t="n">
        <v>6.2</v>
      </c>
      <c r="W257" s="18" t="n">
        <v>12.8</v>
      </c>
      <c r="X257" s="18" t="n">
        <v>5</v>
      </c>
      <c r="Y257" s="18" t="n">
        <v>0</v>
      </c>
      <c r="Z257" s="18" t="s">
        <v>1000</v>
      </c>
      <c r="AA257" s="18" t="s">
        <v>699</v>
      </c>
      <c r="AB257" s="18" t="s">
        <v>98</v>
      </c>
      <c r="AC257" s="18"/>
      <c r="AD257" s="23" t="str">
        <f aca="false">IF(A257="","",IF(COUNTIF(Parcels!$A$2:$A$3000,B257)=0,"Parcel not found",IF(COUNTIF($A$2:$A$3000,A257)&gt;1,"Duplicate perm_id",IF(AND(I257="Yes",C257&lt;&gt;"",COUNTIFS($C$2:$C$3000,C257,$I$2:$I$3000,"Yes")&gt;1),"Reference counted twice",IF(COUNTIF(Lists!$A$2:$A$7,H257)=0,"Unknown status","")))))</f>
        <v/>
      </c>
    </row>
    <row r="258" customFormat="false" ht="15" hidden="false" customHeight="false" outlineLevel="0" collapsed="false">
      <c r="A258" s="18" t="s">
        <v>1877</v>
      </c>
      <c r="B258" s="18" t="s">
        <v>414</v>
      </c>
      <c r="C258" s="18" t="s">
        <v>1878</v>
      </c>
      <c r="D258" s="18" t="s">
        <v>1878</v>
      </c>
      <c r="E258" s="18" t="s">
        <v>415</v>
      </c>
      <c r="F258" s="18" t="n">
        <v>8</v>
      </c>
      <c r="G258" s="18"/>
      <c r="H258" s="18" t="s">
        <v>688</v>
      </c>
      <c r="I258" s="18" t="s">
        <v>689</v>
      </c>
      <c r="J258" s="18" t="s">
        <v>712</v>
      </c>
      <c r="K258" s="18" t="s">
        <v>713</v>
      </c>
      <c r="L258" s="18" t="s">
        <v>714</v>
      </c>
      <c r="M258" s="18" t="s">
        <v>715</v>
      </c>
      <c r="N258" s="18" t="s">
        <v>1283</v>
      </c>
      <c r="O258" s="18"/>
      <c r="P258" s="18"/>
      <c r="Q258" s="18" t="s">
        <v>695</v>
      </c>
      <c r="R258" s="18" t="s">
        <v>805</v>
      </c>
      <c r="S258" s="18" t="s">
        <v>697</v>
      </c>
      <c r="T258" s="18" t="n">
        <v>0</v>
      </c>
      <c r="U258" s="18" t="n">
        <v>0</v>
      </c>
      <c r="V258" s="18" t="n">
        <v>4</v>
      </c>
      <c r="W258" s="18" t="n">
        <v>4</v>
      </c>
      <c r="X258" s="18" t="n">
        <v>0</v>
      </c>
      <c r="Y258" s="18" t="n">
        <v>0</v>
      </c>
      <c r="Z258" s="18" t="s">
        <v>1000</v>
      </c>
      <c r="AA258" s="18" t="s">
        <v>699</v>
      </c>
      <c r="AB258" s="18" t="s">
        <v>98</v>
      </c>
      <c r="AC258" s="18"/>
      <c r="AD258" s="23" t="str">
        <f aca="false">IF(A258="","",IF(COUNTIF(Parcels!$A$2:$A$3000,B258)=0,"Parcel not found",IF(COUNTIF($A$2:$A$3000,A258)&gt;1,"Duplicate perm_id",IF(AND(I258="Yes",C258&lt;&gt;"",COUNTIFS($C$2:$C$3000,C258,$I$2:$I$3000,"Yes")&gt;1),"Reference counted twice",IF(COUNTIF(Lists!$A$2:$A$7,H258)=0,"Unknown status","")))))</f>
        <v/>
      </c>
    </row>
    <row r="259" customFormat="false" ht="15" hidden="false" customHeight="false" outlineLevel="0" collapsed="false">
      <c r="A259" s="18" t="s">
        <v>1879</v>
      </c>
      <c r="B259" s="18" t="s">
        <v>655</v>
      </c>
      <c r="C259" s="18" t="s">
        <v>1880</v>
      </c>
      <c r="D259" s="18" t="s">
        <v>1880</v>
      </c>
      <c r="E259" s="18" t="s">
        <v>656</v>
      </c>
      <c r="F259" s="18" t="n">
        <v>4</v>
      </c>
      <c r="G259" s="18"/>
      <c r="H259" s="18" t="s">
        <v>688</v>
      </c>
      <c r="I259" s="18" t="s">
        <v>689</v>
      </c>
      <c r="J259" s="18" t="s">
        <v>690</v>
      </c>
      <c r="K259" s="18" t="s">
        <v>713</v>
      </c>
      <c r="L259" s="18" t="s">
        <v>714</v>
      </c>
      <c r="M259" s="18" t="s">
        <v>715</v>
      </c>
      <c r="N259" s="18" t="s">
        <v>1368</v>
      </c>
      <c r="O259" s="18"/>
      <c r="P259" s="18"/>
      <c r="Q259" s="18" t="s">
        <v>737</v>
      </c>
      <c r="R259" s="18" t="s">
        <v>738</v>
      </c>
      <c r="S259" s="18" t="s">
        <v>739</v>
      </c>
      <c r="T259" s="18" t="n">
        <v>0</v>
      </c>
      <c r="U259" s="18" t="n">
        <v>0</v>
      </c>
      <c r="V259" s="18" t="n">
        <v>3.5</v>
      </c>
      <c r="W259" s="18" t="n">
        <v>0.5</v>
      </c>
      <c r="X259" s="18" t="n">
        <v>0</v>
      </c>
      <c r="Y259" s="18" t="n">
        <v>0</v>
      </c>
      <c r="Z259" s="18" t="s">
        <v>1000</v>
      </c>
      <c r="AA259" s="18" t="s">
        <v>699</v>
      </c>
      <c r="AB259" s="18" t="s">
        <v>98</v>
      </c>
      <c r="AC259" s="18"/>
      <c r="AD259" s="23" t="str">
        <f aca="false">IF(A259="","",IF(COUNTIF(Parcels!$A$2:$A$3000,B259)=0,"Parcel not found",IF(COUNTIF($A$2:$A$3000,A259)&gt;1,"Duplicate perm_id",IF(AND(I259="Yes",C259&lt;&gt;"",COUNTIFS($C$2:$C$3000,C259,$I$2:$I$3000,"Yes")&gt;1),"Reference counted twice",IF(COUNTIF(Lists!$A$2:$A$7,H259)=0,"Unknown status","")))))</f>
        <v/>
      </c>
    </row>
    <row r="260" customFormat="false" ht="15" hidden="false" customHeight="false" outlineLevel="0" collapsed="false">
      <c r="A260" s="18" t="s">
        <v>1881</v>
      </c>
      <c r="B260" s="18" t="s">
        <v>657</v>
      </c>
      <c r="C260" s="18" t="s">
        <v>1882</v>
      </c>
      <c r="D260" s="18" t="s">
        <v>1882</v>
      </c>
      <c r="E260" s="18" t="s">
        <v>658</v>
      </c>
      <c r="F260" s="18" t="n">
        <v>11</v>
      </c>
      <c r="G260" s="18"/>
      <c r="H260" s="18" t="s">
        <v>711</v>
      </c>
      <c r="I260" s="18" t="s">
        <v>689</v>
      </c>
      <c r="J260" s="18" t="s">
        <v>690</v>
      </c>
      <c r="K260" s="18" t="s">
        <v>713</v>
      </c>
      <c r="L260" s="18" t="s">
        <v>714</v>
      </c>
      <c r="M260" s="18" t="s">
        <v>715</v>
      </c>
      <c r="N260" s="18"/>
      <c r="O260" s="18"/>
      <c r="P260" s="18" t="s">
        <v>1883</v>
      </c>
      <c r="Q260" s="18" t="s">
        <v>864</v>
      </c>
      <c r="R260" s="18" t="s">
        <v>719</v>
      </c>
      <c r="S260" s="18" t="s">
        <v>720</v>
      </c>
      <c r="T260" s="18" t="n">
        <v>2.6</v>
      </c>
      <c r="U260" s="18" t="n">
        <v>8.4</v>
      </c>
      <c r="V260" s="18" t="n">
        <v>0</v>
      </c>
      <c r="W260" s="18" t="n">
        <v>0</v>
      </c>
      <c r="X260" s="18" t="n">
        <v>0</v>
      </c>
      <c r="Y260" s="18" t="n">
        <v>0</v>
      </c>
      <c r="Z260" s="18" t="s">
        <v>1000</v>
      </c>
      <c r="AA260" s="18" t="s">
        <v>699</v>
      </c>
      <c r="AB260" s="18" t="s">
        <v>98</v>
      </c>
      <c r="AC260" s="18"/>
      <c r="AD260" s="23" t="str">
        <f aca="false">IF(A260="","",IF(COUNTIF(Parcels!$A$2:$A$3000,B260)=0,"Parcel not found",IF(COUNTIF($A$2:$A$3000,A260)&gt;1,"Duplicate perm_id",IF(AND(I260="Yes",C260&lt;&gt;"",COUNTIFS($C$2:$C$3000,C260,$I$2:$I$3000,"Yes")&gt;1),"Reference counted twice",IF(COUNTIF(Lists!$A$2:$A$7,H260)=0,"Unknown status","")))))</f>
        <v/>
      </c>
    </row>
    <row r="261" customFormat="false" ht="15" hidden="false" customHeight="false" outlineLevel="0" collapsed="false">
      <c r="A261" s="18" t="s">
        <v>1884</v>
      </c>
      <c r="B261" s="18" t="s">
        <v>487</v>
      </c>
      <c r="C261" s="18" t="s">
        <v>1885</v>
      </c>
      <c r="D261" s="18" t="s">
        <v>1885</v>
      </c>
      <c r="E261" s="18" t="s">
        <v>488</v>
      </c>
      <c r="F261" s="18" t="n">
        <v>14</v>
      </c>
      <c r="G261" s="18"/>
      <c r="H261" s="18" t="s">
        <v>728</v>
      </c>
      <c r="I261" s="18" t="s">
        <v>689</v>
      </c>
      <c r="J261" s="18" t="s">
        <v>690</v>
      </c>
      <c r="K261" s="18" t="s">
        <v>713</v>
      </c>
      <c r="L261" s="18" t="s">
        <v>714</v>
      </c>
      <c r="M261" s="18" t="s">
        <v>715</v>
      </c>
      <c r="N261" s="18" t="s">
        <v>1426</v>
      </c>
      <c r="O261" s="18"/>
      <c r="P261" s="18" t="s">
        <v>820</v>
      </c>
      <c r="Q261" s="18"/>
      <c r="R261" s="18"/>
      <c r="S261" s="18" t="s">
        <v>731</v>
      </c>
      <c r="T261" s="18" t="n">
        <v>0</v>
      </c>
      <c r="U261" s="18" t="n">
        <v>0</v>
      </c>
      <c r="V261" s="18" t="n">
        <v>0</v>
      </c>
      <c r="W261" s="18" t="n">
        <v>0</v>
      </c>
      <c r="X261" s="18" t="n">
        <v>0</v>
      </c>
      <c r="Y261" s="18" t="n">
        <v>0</v>
      </c>
      <c r="Z261" s="18" t="s">
        <v>1000</v>
      </c>
      <c r="AA261" s="18" t="s">
        <v>699</v>
      </c>
      <c r="AB261" s="18" t="s">
        <v>98</v>
      </c>
      <c r="AC261" s="18"/>
      <c r="AD261" s="23" t="str">
        <f aca="false">IF(A261="","",IF(COUNTIF(Parcels!$A$2:$A$3000,B261)=0,"Parcel not found",IF(COUNTIF($A$2:$A$3000,A261)&gt;1,"Duplicate perm_id",IF(AND(I261="Yes",C261&lt;&gt;"",COUNTIFS($C$2:$C$3000,C261,$I$2:$I$3000,"Yes")&gt;1),"Reference counted twice",IF(COUNTIF(Lists!$A$2:$A$7,H261)=0,"Unknown status","")))))</f>
        <v/>
      </c>
    </row>
    <row r="262" customFormat="false" ht="15" hidden="false" customHeight="false" outlineLevel="0" collapsed="false">
      <c r="A262" s="18" t="s">
        <v>1886</v>
      </c>
      <c r="B262" s="18" t="s">
        <v>451</v>
      </c>
      <c r="C262" s="18" t="s">
        <v>1887</v>
      </c>
      <c r="D262" s="18" t="s">
        <v>1887</v>
      </c>
      <c r="E262" s="18" t="s">
        <v>452</v>
      </c>
      <c r="F262" s="18" t="n">
        <v>20</v>
      </c>
      <c r="G262" s="18"/>
      <c r="H262" s="18" t="s">
        <v>688</v>
      </c>
      <c r="I262" s="18" t="s">
        <v>689</v>
      </c>
      <c r="J262" s="18" t="s">
        <v>1400</v>
      </c>
      <c r="K262" s="18" t="s">
        <v>713</v>
      </c>
      <c r="L262" s="18" t="s">
        <v>714</v>
      </c>
      <c r="M262" s="18" t="s">
        <v>715</v>
      </c>
      <c r="N262" s="18" t="s">
        <v>1888</v>
      </c>
      <c r="O262" s="18"/>
      <c r="P262" s="18"/>
      <c r="Q262" s="18" t="s">
        <v>695</v>
      </c>
      <c r="R262" s="18" t="s">
        <v>906</v>
      </c>
      <c r="S262" s="18" t="s">
        <v>697</v>
      </c>
      <c r="T262" s="18" t="n">
        <v>0</v>
      </c>
      <c r="U262" s="18" t="n">
        <v>0</v>
      </c>
      <c r="V262" s="18" t="n">
        <v>6.9</v>
      </c>
      <c r="W262" s="18" t="n">
        <v>13.1</v>
      </c>
      <c r="X262" s="18" t="n">
        <v>0</v>
      </c>
      <c r="Y262" s="18" t="n">
        <v>0</v>
      </c>
      <c r="Z262" s="18" t="s">
        <v>1000</v>
      </c>
      <c r="AA262" s="18" t="s">
        <v>699</v>
      </c>
      <c r="AB262" s="18" t="s">
        <v>98</v>
      </c>
      <c r="AC262" s="18"/>
      <c r="AD262" s="23" t="str">
        <f aca="false">IF(A262="","",IF(COUNTIF(Parcels!$A$2:$A$3000,B262)=0,"Parcel not found",IF(COUNTIF($A$2:$A$3000,A262)&gt;1,"Duplicate perm_id",IF(AND(I262="Yes",C262&lt;&gt;"",COUNTIFS($C$2:$C$3000,C262,$I$2:$I$3000,"Yes")&gt;1),"Reference counted twice",IF(COUNTIF(Lists!$A$2:$A$7,H262)=0,"Unknown status","")))))</f>
        <v/>
      </c>
    </row>
    <row r="263" customFormat="false" ht="15" hidden="false" customHeight="false" outlineLevel="0" collapsed="false">
      <c r="A263" s="18" t="s">
        <v>1889</v>
      </c>
      <c r="B263" s="18" t="s">
        <v>489</v>
      </c>
      <c r="C263" s="18" t="s">
        <v>1890</v>
      </c>
      <c r="D263" s="18" t="s">
        <v>1890</v>
      </c>
      <c r="E263" s="18" t="s">
        <v>490</v>
      </c>
      <c r="F263" s="18" t="n">
        <v>4</v>
      </c>
      <c r="G263" s="18"/>
      <c r="H263" s="18" t="s">
        <v>724</v>
      </c>
      <c r="I263" s="18" t="s">
        <v>689</v>
      </c>
      <c r="J263" s="18" t="s">
        <v>690</v>
      </c>
      <c r="K263" s="18" t="s">
        <v>713</v>
      </c>
      <c r="L263" s="18" t="s">
        <v>714</v>
      </c>
      <c r="M263" s="18" t="s">
        <v>715</v>
      </c>
      <c r="N263" s="18"/>
      <c r="O263" s="18"/>
      <c r="P263" s="18"/>
      <c r="Q263" s="18"/>
      <c r="R263" s="18"/>
      <c r="S263" s="18" t="s">
        <v>707</v>
      </c>
      <c r="T263" s="18" t="n">
        <v>0</v>
      </c>
      <c r="U263" s="18" t="n">
        <v>0</v>
      </c>
      <c r="V263" s="18" t="n">
        <v>0</v>
      </c>
      <c r="W263" s="18" t="n">
        <v>0</v>
      </c>
      <c r="X263" s="18" t="n">
        <v>0</v>
      </c>
      <c r="Y263" s="18" t="n">
        <v>0</v>
      </c>
      <c r="Z263" s="18" t="s">
        <v>1000</v>
      </c>
      <c r="AA263" s="18" t="s">
        <v>699</v>
      </c>
      <c r="AB263" s="18" t="s">
        <v>98</v>
      </c>
      <c r="AC263" s="18"/>
      <c r="AD263" s="23" t="str">
        <f aca="false">IF(A263="","",IF(COUNTIF(Parcels!$A$2:$A$3000,B263)=0,"Parcel not found",IF(COUNTIF($A$2:$A$3000,A263)&gt;1,"Duplicate perm_id",IF(AND(I263="Yes",C263&lt;&gt;"",COUNTIFS($C$2:$C$3000,C263,$I$2:$I$3000,"Yes")&gt;1),"Reference counted twice",IF(COUNTIF(Lists!$A$2:$A$7,H263)=0,"Unknown status","")))))</f>
        <v/>
      </c>
    </row>
    <row r="264" customFormat="false" ht="15" hidden="false" customHeight="false" outlineLevel="0" collapsed="false">
      <c r="A264" s="18" t="s">
        <v>1891</v>
      </c>
      <c r="B264" s="18" t="s">
        <v>659</v>
      </c>
      <c r="C264" s="18" t="s">
        <v>1892</v>
      </c>
      <c r="D264" s="18" t="s">
        <v>1892</v>
      </c>
      <c r="E264" s="18" t="s">
        <v>660</v>
      </c>
      <c r="F264" s="18" t="n">
        <v>4</v>
      </c>
      <c r="G264" s="18"/>
      <c r="H264" s="18" t="s">
        <v>724</v>
      </c>
      <c r="I264" s="18" t="s">
        <v>689</v>
      </c>
      <c r="J264" s="18" t="s">
        <v>690</v>
      </c>
      <c r="K264" s="18" t="s">
        <v>713</v>
      </c>
      <c r="L264" s="18" t="s">
        <v>714</v>
      </c>
      <c r="M264" s="18" t="s">
        <v>715</v>
      </c>
      <c r="N264" s="18"/>
      <c r="O264" s="18"/>
      <c r="P264" s="18"/>
      <c r="Q264" s="18"/>
      <c r="R264" s="18"/>
      <c r="S264" s="18" t="s">
        <v>707</v>
      </c>
      <c r="T264" s="18" t="n">
        <v>0</v>
      </c>
      <c r="U264" s="18" t="n">
        <v>0</v>
      </c>
      <c r="V264" s="18" t="n">
        <v>0</v>
      </c>
      <c r="W264" s="18" t="n">
        <v>0</v>
      </c>
      <c r="X264" s="18" t="n">
        <v>0</v>
      </c>
      <c r="Y264" s="18" t="n">
        <v>0</v>
      </c>
      <c r="Z264" s="18" t="s">
        <v>1000</v>
      </c>
      <c r="AA264" s="18" t="s">
        <v>699</v>
      </c>
      <c r="AB264" s="18" t="s">
        <v>98</v>
      </c>
      <c r="AC264" s="18"/>
      <c r="AD264" s="23" t="str">
        <f aca="false">IF(A264="","",IF(COUNTIF(Parcels!$A$2:$A$3000,B264)=0,"Parcel not found",IF(COUNTIF($A$2:$A$3000,A264)&gt;1,"Duplicate perm_id",IF(AND(I264="Yes",C264&lt;&gt;"",COUNTIFS($C$2:$C$3000,C264,$I$2:$I$3000,"Yes")&gt;1),"Reference counted twice",IF(COUNTIF(Lists!$A$2:$A$7,H264)=0,"Unknown status","")))))</f>
        <v/>
      </c>
    </row>
    <row r="265" customFormat="false" ht="15" hidden="false" customHeight="false" outlineLevel="0" collapsed="false">
      <c r="A265" s="18" t="s">
        <v>1893</v>
      </c>
      <c r="B265" s="18" t="s">
        <v>661</v>
      </c>
      <c r="C265" s="18" t="s">
        <v>1894</v>
      </c>
      <c r="D265" s="18" t="s">
        <v>1894</v>
      </c>
      <c r="E265" s="18" t="s">
        <v>662</v>
      </c>
      <c r="F265" s="18" t="n">
        <v>18</v>
      </c>
      <c r="G265" s="18"/>
      <c r="H265" s="18" t="s">
        <v>711</v>
      </c>
      <c r="I265" s="18" t="s">
        <v>689</v>
      </c>
      <c r="J265" s="18" t="s">
        <v>690</v>
      </c>
      <c r="K265" s="18" t="s">
        <v>713</v>
      </c>
      <c r="L265" s="18" t="s">
        <v>714</v>
      </c>
      <c r="M265" s="18" t="s">
        <v>715</v>
      </c>
      <c r="N265" s="18" t="s">
        <v>1895</v>
      </c>
      <c r="O265" s="18"/>
      <c r="P265" s="18" t="s">
        <v>1896</v>
      </c>
      <c r="Q265" s="18" t="s">
        <v>747</v>
      </c>
      <c r="R265" s="18" t="s">
        <v>748</v>
      </c>
      <c r="S265" s="18" t="s">
        <v>720</v>
      </c>
      <c r="T265" s="18" t="n">
        <v>0</v>
      </c>
      <c r="U265" s="18" t="n">
        <v>10.2</v>
      </c>
      <c r="V265" s="18" t="n">
        <v>7.8</v>
      </c>
      <c r="W265" s="18" t="n">
        <v>0</v>
      </c>
      <c r="X265" s="18" t="n">
        <v>0</v>
      </c>
      <c r="Y265" s="18" t="n">
        <v>0</v>
      </c>
      <c r="Z265" s="18" t="s">
        <v>1000</v>
      </c>
      <c r="AA265" s="18" t="s">
        <v>699</v>
      </c>
      <c r="AB265" s="18" t="s">
        <v>98</v>
      </c>
      <c r="AC265" s="18"/>
      <c r="AD265" s="23" t="str">
        <f aca="false">IF(A265="","",IF(COUNTIF(Parcels!$A$2:$A$3000,B265)=0,"Parcel not found",IF(COUNTIF($A$2:$A$3000,A265)&gt;1,"Duplicate perm_id",IF(AND(I265="Yes",C265&lt;&gt;"",COUNTIFS($C$2:$C$3000,C265,$I$2:$I$3000,"Yes")&gt;1),"Reference counted twice",IF(COUNTIF(Lists!$A$2:$A$7,H265)=0,"Unknown status","")))))</f>
        <v/>
      </c>
    </row>
    <row r="266" customFormat="false" ht="15" hidden="false" customHeight="false" outlineLevel="0" collapsed="false">
      <c r="A266" s="18" t="s">
        <v>1897</v>
      </c>
      <c r="B266" s="18" t="s">
        <v>416</v>
      </c>
      <c r="C266" s="18" t="s">
        <v>1898</v>
      </c>
      <c r="D266" s="18" t="s">
        <v>1898</v>
      </c>
      <c r="E266" s="18" t="s">
        <v>417</v>
      </c>
      <c r="F266" s="18" t="n">
        <v>13</v>
      </c>
      <c r="G266" s="18"/>
      <c r="H266" s="18" t="s">
        <v>724</v>
      </c>
      <c r="I266" s="18" t="s">
        <v>689</v>
      </c>
      <c r="J266" s="18" t="s">
        <v>712</v>
      </c>
      <c r="K266" s="18" t="s">
        <v>713</v>
      </c>
      <c r="L266" s="18" t="s">
        <v>714</v>
      </c>
      <c r="M266" s="18" t="s">
        <v>715</v>
      </c>
      <c r="N266" s="18"/>
      <c r="O266" s="18"/>
      <c r="P266" s="18"/>
      <c r="Q266" s="18"/>
      <c r="R266" s="18"/>
      <c r="S266" s="18" t="s">
        <v>707</v>
      </c>
      <c r="T266" s="18" t="n">
        <v>0</v>
      </c>
      <c r="U266" s="18" t="n">
        <v>0</v>
      </c>
      <c r="V266" s="18" t="n">
        <v>0</v>
      </c>
      <c r="W266" s="18" t="n">
        <v>0</v>
      </c>
      <c r="X266" s="18" t="n">
        <v>0</v>
      </c>
      <c r="Y266" s="18" t="n">
        <v>0</v>
      </c>
      <c r="Z266" s="18" t="s">
        <v>1000</v>
      </c>
      <c r="AA266" s="18" t="s">
        <v>699</v>
      </c>
      <c r="AB266" s="18" t="s">
        <v>98</v>
      </c>
      <c r="AC266" s="18"/>
      <c r="AD266" s="23" t="str">
        <f aca="false">IF(A266="","",IF(COUNTIF(Parcels!$A$2:$A$3000,B266)=0,"Parcel not found",IF(COUNTIF($A$2:$A$3000,A266)&gt;1,"Duplicate perm_id",IF(AND(I266="Yes",C266&lt;&gt;"",COUNTIFS($C$2:$C$3000,C266,$I$2:$I$3000,"Yes")&gt;1),"Reference counted twice",IF(COUNTIF(Lists!$A$2:$A$7,H266)=0,"Unknown status","")))))</f>
        <v/>
      </c>
    </row>
    <row r="267" customFormat="false" ht="15" hidden="false" customHeight="false" outlineLevel="0" collapsed="false">
      <c r="AD267" s="23" t="str">
        <f aca="false">IF(A267="","",IF(COUNTIF(Parcels!$A$2:$A$3000,B267)=0,"Parcel not found",IF(COUNTIF($A$2:$A$3000,A267)&gt;1,"Duplicate perm_id",IF(AND(I267="Yes",C267&lt;&gt;"",COUNTIFS($C$2:$C$3000,C267,$I$2:$I$3000,"Yes")&gt;1),"Reference counted twice",IF(COUNTIF(Lists!$A$2:$A$7,H267)=0,"Unknown status","")))))</f>
        <v/>
      </c>
    </row>
    <row r="268" customFormat="false" ht="15" hidden="false" customHeight="false" outlineLevel="0" collapsed="false">
      <c r="AD268" s="23" t="str">
        <f aca="false">IF(A268="","",IF(COUNTIF(Parcels!$A$2:$A$3000,B268)=0,"Parcel not found",IF(COUNTIF($A$2:$A$3000,A268)&gt;1,"Duplicate perm_id",IF(AND(I268="Yes",C268&lt;&gt;"",COUNTIFS($C$2:$C$3000,C268,$I$2:$I$3000,"Yes")&gt;1),"Reference counted twice",IF(COUNTIF(Lists!$A$2:$A$7,H268)=0,"Unknown status","")))))</f>
        <v/>
      </c>
    </row>
    <row r="269" customFormat="false" ht="15" hidden="false" customHeight="false" outlineLevel="0" collapsed="false">
      <c r="AD269" s="23" t="str">
        <f aca="false">IF(A269="","",IF(COUNTIF(Parcels!$A$2:$A$3000,B269)=0,"Parcel not found",IF(COUNTIF($A$2:$A$3000,A269)&gt;1,"Duplicate perm_id",IF(AND(I269="Yes",C269&lt;&gt;"",COUNTIFS($C$2:$C$3000,C269,$I$2:$I$3000,"Yes")&gt;1),"Reference counted twice",IF(COUNTIF(Lists!$A$2:$A$7,H269)=0,"Unknown status","")))))</f>
        <v/>
      </c>
    </row>
    <row r="270" customFormat="false" ht="15" hidden="false" customHeight="false" outlineLevel="0" collapsed="false">
      <c r="AD270" s="23" t="str">
        <f aca="false">IF(A270="","",IF(COUNTIF(Parcels!$A$2:$A$3000,B270)=0,"Parcel not found",IF(COUNTIF($A$2:$A$3000,A270)&gt;1,"Duplicate perm_id",IF(AND(I270="Yes",C270&lt;&gt;"",COUNTIFS($C$2:$C$3000,C270,$I$2:$I$3000,"Yes")&gt;1),"Reference counted twice",IF(COUNTIF(Lists!$A$2:$A$7,H270)=0,"Unknown status","")))))</f>
        <v/>
      </c>
    </row>
    <row r="271" customFormat="false" ht="15" hidden="false" customHeight="false" outlineLevel="0" collapsed="false">
      <c r="AD271" s="23" t="str">
        <f aca="false">IF(A271="","",IF(COUNTIF(Parcels!$A$2:$A$3000,B271)=0,"Parcel not found",IF(COUNTIF($A$2:$A$3000,A271)&gt;1,"Duplicate perm_id",IF(AND(I271="Yes",C271&lt;&gt;"",COUNTIFS($C$2:$C$3000,C271,$I$2:$I$3000,"Yes")&gt;1),"Reference counted twice",IF(COUNTIF(Lists!$A$2:$A$7,H271)=0,"Unknown status","")))))</f>
        <v/>
      </c>
    </row>
    <row r="272" customFormat="false" ht="15" hidden="false" customHeight="false" outlineLevel="0" collapsed="false">
      <c r="AD272" s="23" t="str">
        <f aca="false">IF(A272="","",IF(COUNTIF(Parcels!$A$2:$A$3000,B272)=0,"Parcel not found",IF(COUNTIF($A$2:$A$3000,A272)&gt;1,"Duplicate perm_id",IF(AND(I272="Yes",C272&lt;&gt;"",COUNTIFS($C$2:$C$3000,C272,$I$2:$I$3000,"Yes")&gt;1),"Reference counted twice",IF(COUNTIF(Lists!$A$2:$A$7,H272)=0,"Unknown status","")))))</f>
        <v/>
      </c>
    </row>
    <row r="273" customFormat="false" ht="15" hidden="false" customHeight="false" outlineLevel="0" collapsed="false">
      <c r="AD273" s="23" t="str">
        <f aca="false">IF(A273="","",IF(COUNTIF(Parcels!$A$2:$A$3000,B273)=0,"Parcel not found",IF(COUNTIF($A$2:$A$3000,A273)&gt;1,"Duplicate perm_id",IF(AND(I273="Yes",C273&lt;&gt;"",COUNTIFS($C$2:$C$3000,C273,$I$2:$I$3000,"Yes")&gt;1),"Reference counted twice",IF(COUNTIF(Lists!$A$2:$A$7,H273)=0,"Unknown status","")))))</f>
        <v/>
      </c>
    </row>
    <row r="274" customFormat="false" ht="15" hidden="false" customHeight="false" outlineLevel="0" collapsed="false">
      <c r="AD274" s="23" t="str">
        <f aca="false">IF(A274="","",IF(COUNTIF(Parcels!$A$2:$A$3000,B274)=0,"Parcel not found",IF(COUNTIF($A$2:$A$3000,A274)&gt;1,"Duplicate perm_id",IF(AND(I274="Yes",C274&lt;&gt;"",COUNTIFS($C$2:$C$3000,C274,$I$2:$I$3000,"Yes")&gt;1),"Reference counted twice",IF(COUNTIF(Lists!$A$2:$A$7,H274)=0,"Unknown status","")))))</f>
        <v/>
      </c>
    </row>
    <row r="275" customFormat="false" ht="15" hidden="false" customHeight="false" outlineLevel="0" collapsed="false">
      <c r="AD275" s="23" t="str">
        <f aca="false">IF(A275="","",IF(COUNTIF(Parcels!$A$2:$A$3000,B275)=0,"Parcel not found",IF(COUNTIF($A$2:$A$3000,A275)&gt;1,"Duplicate perm_id",IF(AND(I275="Yes",C275&lt;&gt;"",COUNTIFS($C$2:$C$3000,C275,$I$2:$I$3000,"Yes")&gt;1),"Reference counted twice",IF(COUNTIF(Lists!$A$2:$A$7,H275)=0,"Unknown status","")))))</f>
        <v/>
      </c>
    </row>
    <row r="276" customFormat="false" ht="15" hidden="false" customHeight="false" outlineLevel="0" collapsed="false">
      <c r="AD276" s="23" t="str">
        <f aca="false">IF(A276="","",IF(COUNTIF(Parcels!$A$2:$A$3000,B276)=0,"Parcel not found",IF(COUNTIF($A$2:$A$3000,A276)&gt;1,"Duplicate perm_id",IF(AND(I276="Yes",C276&lt;&gt;"",COUNTIFS($C$2:$C$3000,C276,$I$2:$I$3000,"Yes")&gt;1),"Reference counted twice",IF(COUNTIF(Lists!$A$2:$A$7,H276)=0,"Unknown status","")))))</f>
        <v/>
      </c>
    </row>
    <row r="277" customFormat="false" ht="15" hidden="false" customHeight="false" outlineLevel="0" collapsed="false">
      <c r="AD277" s="23" t="str">
        <f aca="false">IF(A277="","",IF(COUNTIF(Parcels!$A$2:$A$3000,B277)=0,"Parcel not found",IF(COUNTIF($A$2:$A$3000,A277)&gt;1,"Duplicate perm_id",IF(AND(I277="Yes",C277&lt;&gt;"",COUNTIFS($C$2:$C$3000,C277,$I$2:$I$3000,"Yes")&gt;1),"Reference counted twice",IF(COUNTIF(Lists!$A$2:$A$7,H277)=0,"Unknown status","")))))</f>
        <v/>
      </c>
    </row>
    <row r="278" customFormat="false" ht="15" hidden="false" customHeight="false" outlineLevel="0" collapsed="false">
      <c r="AD278" s="23" t="str">
        <f aca="false">IF(A278="","",IF(COUNTIF(Parcels!$A$2:$A$3000,B278)=0,"Parcel not found",IF(COUNTIF($A$2:$A$3000,A278)&gt;1,"Duplicate perm_id",IF(AND(I278="Yes",C278&lt;&gt;"",COUNTIFS($C$2:$C$3000,C278,$I$2:$I$3000,"Yes")&gt;1),"Reference counted twice",IF(COUNTIF(Lists!$A$2:$A$7,H278)=0,"Unknown status","")))))</f>
        <v/>
      </c>
    </row>
    <row r="279" customFormat="false" ht="15" hidden="false" customHeight="false" outlineLevel="0" collapsed="false">
      <c r="AD279" s="23" t="str">
        <f aca="false">IF(A279="","",IF(COUNTIF(Parcels!$A$2:$A$3000,B279)=0,"Parcel not found",IF(COUNTIF($A$2:$A$3000,A279)&gt;1,"Duplicate perm_id",IF(AND(I279="Yes",C279&lt;&gt;"",COUNTIFS($C$2:$C$3000,C279,$I$2:$I$3000,"Yes")&gt;1),"Reference counted twice",IF(COUNTIF(Lists!$A$2:$A$7,H279)=0,"Unknown status","")))))</f>
        <v/>
      </c>
    </row>
    <row r="280" customFormat="false" ht="15" hidden="false" customHeight="false" outlineLevel="0" collapsed="false">
      <c r="AD280" s="23" t="str">
        <f aca="false">IF(A280="","",IF(COUNTIF(Parcels!$A$2:$A$3000,B280)=0,"Parcel not found",IF(COUNTIF($A$2:$A$3000,A280)&gt;1,"Duplicate perm_id",IF(AND(I280="Yes",C280&lt;&gt;"",COUNTIFS($C$2:$C$3000,C280,$I$2:$I$3000,"Yes")&gt;1),"Reference counted twice",IF(COUNTIF(Lists!$A$2:$A$7,H280)=0,"Unknown status","")))))</f>
        <v/>
      </c>
    </row>
    <row r="281" customFormat="false" ht="15" hidden="false" customHeight="false" outlineLevel="0" collapsed="false">
      <c r="AD281" s="23" t="str">
        <f aca="false">IF(A281="","",IF(COUNTIF(Parcels!$A$2:$A$3000,B281)=0,"Parcel not found",IF(COUNTIF($A$2:$A$3000,A281)&gt;1,"Duplicate perm_id",IF(AND(I281="Yes",C281&lt;&gt;"",COUNTIFS($C$2:$C$3000,C281,$I$2:$I$3000,"Yes")&gt;1),"Reference counted twice",IF(COUNTIF(Lists!$A$2:$A$7,H281)=0,"Unknown status","")))))</f>
        <v/>
      </c>
    </row>
    <row r="282" customFormat="false" ht="15" hidden="false" customHeight="false" outlineLevel="0" collapsed="false">
      <c r="AD282" s="23" t="str">
        <f aca="false">IF(A282="","",IF(COUNTIF(Parcels!$A$2:$A$3000,B282)=0,"Parcel not found",IF(COUNTIF($A$2:$A$3000,A282)&gt;1,"Duplicate perm_id",IF(AND(I282="Yes",C282&lt;&gt;"",COUNTIFS($C$2:$C$3000,C282,$I$2:$I$3000,"Yes")&gt;1),"Reference counted twice",IF(COUNTIF(Lists!$A$2:$A$7,H282)=0,"Unknown status","")))))</f>
        <v/>
      </c>
    </row>
    <row r="283" customFormat="false" ht="15" hidden="false" customHeight="false" outlineLevel="0" collapsed="false">
      <c r="AD283" s="23" t="str">
        <f aca="false">IF(A283="","",IF(COUNTIF(Parcels!$A$2:$A$3000,B283)=0,"Parcel not found",IF(COUNTIF($A$2:$A$3000,A283)&gt;1,"Duplicate perm_id",IF(AND(I283="Yes",C283&lt;&gt;"",COUNTIFS($C$2:$C$3000,C283,$I$2:$I$3000,"Yes")&gt;1),"Reference counted twice",IF(COUNTIF(Lists!$A$2:$A$7,H283)=0,"Unknown status","")))))</f>
        <v/>
      </c>
    </row>
    <row r="284" customFormat="false" ht="15" hidden="false" customHeight="false" outlineLevel="0" collapsed="false">
      <c r="AD284" s="23" t="str">
        <f aca="false">IF(A284="","",IF(COUNTIF(Parcels!$A$2:$A$3000,B284)=0,"Parcel not found",IF(COUNTIF($A$2:$A$3000,A284)&gt;1,"Duplicate perm_id",IF(AND(I284="Yes",C284&lt;&gt;"",COUNTIFS($C$2:$C$3000,C284,$I$2:$I$3000,"Yes")&gt;1),"Reference counted twice",IF(COUNTIF(Lists!$A$2:$A$7,H284)=0,"Unknown status","")))))</f>
        <v/>
      </c>
    </row>
    <row r="285" customFormat="false" ht="15" hidden="false" customHeight="false" outlineLevel="0" collapsed="false">
      <c r="AD285" s="23" t="str">
        <f aca="false">IF(A285="","",IF(COUNTIF(Parcels!$A$2:$A$3000,B285)=0,"Parcel not found",IF(COUNTIF($A$2:$A$3000,A285)&gt;1,"Duplicate perm_id",IF(AND(I285="Yes",C285&lt;&gt;"",COUNTIFS($C$2:$C$3000,C285,$I$2:$I$3000,"Yes")&gt;1),"Reference counted twice",IF(COUNTIF(Lists!$A$2:$A$7,H285)=0,"Unknown status","")))))</f>
        <v/>
      </c>
    </row>
    <row r="286" customFormat="false" ht="15" hidden="false" customHeight="false" outlineLevel="0" collapsed="false">
      <c r="AD286" s="23" t="str">
        <f aca="false">IF(A286="","",IF(COUNTIF(Parcels!$A$2:$A$3000,B286)=0,"Parcel not found",IF(COUNTIF($A$2:$A$3000,A286)&gt;1,"Duplicate perm_id",IF(AND(I286="Yes",C286&lt;&gt;"",COUNTIFS($C$2:$C$3000,C286,$I$2:$I$3000,"Yes")&gt;1),"Reference counted twice",IF(COUNTIF(Lists!$A$2:$A$7,H286)=0,"Unknown status","")))))</f>
        <v/>
      </c>
    </row>
    <row r="287" customFormat="false" ht="15" hidden="false" customHeight="false" outlineLevel="0" collapsed="false">
      <c r="AD287" s="23" t="str">
        <f aca="false">IF(A287="","",IF(COUNTIF(Parcels!$A$2:$A$3000,B287)=0,"Parcel not found",IF(COUNTIF($A$2:$A$3000,A287)&gt;1,"Duplicate perm_id",IF(AND(I287="Yes",C287&lt;&gt;"",COUNTIFS($C$2:$C$3000,C287,$I$2:$I$3000,"Yes")&gt;1),"Reference counted twice",IF(COUNTIF(Lists!$A$2:$A$7,H287)=0,"Unknown status","")))))</f>
        <v/>
      </c>
    </row>
    <row r="288" customFormat="false" ht="15" hidden="false" customHeight="false" outlineLevel="0" collapsed="false">
      <c r="AD288" s="23" t="str">
        <f aca="false">IF(A288="","",IF(COUNTIF(Parcels!$A$2:$A$3000,B288)=0,"Parcel not found",IF(COUNTIF($A$2:$A$3000,A288)&gt;1,"Duplicate perm_id",IF(AND(I288="Yes",C288&lt;&gt;"",COUNTIFS($C$2:$C$3000,C288,$I$2:$I$3000,"Yes")&gt;1),"Reference counted twice",IF(COUNTIF(Lists!$A$2:$A$7,H288)=0,"Unknown status","")))))</f>
        <v/>
      </c>
    </row>
    <row r="289" customFormat="false" ht="15" hidden="false" customHeight="false" outlineLevel="0" collapsed="false">
      <c r="AD289" s="23" t="str">
        <f aca="false">IF(A289="","",IF(COUNTIF(Parcels!$A$2:$A$3000,B289)=0,"Parcel not found",IF(COUNTIF($A$2:$A$3000,A289)&gt;1,"Duplicate perm_id",IF(AND(I289="Yes",C289&lt;&gt;"",COUNTIFS($C$2:$C$3000,C289,$I$2:$I$3000,"Yes")&gt;1),"Reference counted twice",IF(COUNTIF(Lists!$A$2:$A$7,H289)=0,"Unknown status","")))))</f>
        <v/>
      </c>
    </row>
    <row r="290" customFormat="false" ht="15" hidden="false" customHeight="false" outlineLevel="0" collapsed="false">
      <c r="AD290" s="23" t="str">
        <f aca="false">IF(A290="","",IF(COUNTIF(Parcels!$A$2:$A$3000,B290)=0,"Parcel not found",IF(COUNTIF($A$2:$A$3000,A290)&gt;1,"Duplicate perm_id",IF(AND(I290="Yes",C290&lt;&gt;"",COUNTIFS($C$2:$C$3000,C290,$I$2:$I$3000,"Yes")&gt;1),"Reference counted twice",IF(COUNTIF(Lists!$A$2:$A$7,H290)=0,"Unknown status","")))))</f>
        <v/>
      </c>
    </row>
    <row r="291" customFormat="false" ht="15" hidden="false" customHeight="false" outlineLevel="0" collapsed="false">
      <c r="AD291" s="23" t="str">
        <f aca="false">IF(A291="","",IF(COUNTIF(Parcels!$A$2:$A$3000,B291)=0,"Parcel not found",IF(COUNTIF($A$2:$A$3000,A291)&gt;1,"Duplicate perm_id",IF(AND(I291="Yes",C291&lt;&gt;"",COUNTIFS($C$2:$C$3000,C291,$I$2:$I$3000,"Yes")&gt;1),"Reference counted twice",IF(COUNTIF(Lists!$A$2:$A$7,H291)=0,"Unknown status","")))))</f>
        <v/>
      </c>
    </row>
    <row r="292" customFormat="false" ht="15" hidden="false" customHeight="false" outlineLevel="0" collapsed="false">
      <c r="AD292" s="23" t="str">
        <f aca="false">IF(A292="","",IF(COUNTIF(Parcels!$A$2:$A$3000,B292)=0,"Parcel not found",IF(COUNTIF($A$2:$A$3000,A292)&gt;1,"Duplicate perm_id",IF(AND(I292="Yes",C292&lt;&gt;"",COUNTIFS($C$2:$C$3000,C292,$I$2:$I$3000,"Yes")&gt;1),"Reference counted twice",IF(COUNTIF(Lists!$A$2:$A$7,H292)=0,"Unknown status","")))))</f>
        <v/>
      </c>
    </row>
    <row r="293" customFormat="false" ht="15" hidden="false" customHeight="false" outlineLevel="0" collapsed="false">
      <c r="AD293" s="23" t="str">
        <f aca="false">IF(A293="","",IF(COUNTIF(Parcels!$A$2:$A$3000,B293)=0,"Parcel not found",IF(COUNTIF($A$2:$A$3000,A293)&gt;1,"Duplicate perm_id",IF(AND(I293="Yes",C293&lt;&gt;"",COUNTIFS($C$2:$C$3000,C293,$I$2:$I$3000,"Yes")&gt;1),"Reference counted twice",IF(COUNTIF(Lists!$A$2:$A$7,H293)=0,"Unknown status","")))))</f>
        <v/>
      </c>
    </row>
    <row r="294" customFormat="false" ht="15" hidden="false" customHeight="false" outlineLevel="0" collapsed="false">
      <c r="AD294" s="23" t="str">
        <f aca="false">IF(A294="","",IF(COUNTIF(Parcels!$A$2:$A$3000,B294)=0,"Parcel not found",IF(COUNTIF($A$2:$A$3000,A294)&gt;1,"Duplicate perm_id",IF(AND(I294="Yes",C294&lt;&gt;"",COUNTIFS($C$2:$C$3000,C294,$I$2:$I$3000,"Yes")&gt;1),"Reference counted twice",IF(COUNTIF(Lists!$A$2:$A$7,H294)=0,"Unknown status","")))))</f>
        <v/>
      </c>
    </row>
    <row r="295" customFormat="false" ht="15" hidden="false" customHeight="false" outlineLevel="0" collapsed="false">
      <c r="AD295" s="23" t="str">
        <f aca="false">IF(A295="","",IF(COUNTIF(Parcels!$A$2:$A$3000,B295)=0,"Parcel not found",IF(COUNTIF($A$2:$A$3000,A295)&gt;1,"Duplicate perm_id",IF(AND(I295="Yes",C295&lt;&gt;"",COUNTIFS($C$2:$C$3000,C295,$I$2:$I$3000,"Yes")&gt;1),"Reference counted twice",IF(COUNTIF(Lists!$A$2:$A$7,H295)=0,"Unknown status","")))))</f>
        <v/>
      </c>
    </row>
    <row r="296" customFormat="false" ht="15" hidden="false" customHeight="false" outlineLevel="0" collapsed="false">
      <c r="AD296" s="23" t="str">
        <f aca="false">IF(A296="","",IF(COUNTIF(Parcels!$A$2:$A$3000,B296)=0,"Parcel not found",IF(COUNTIF($A$2:$A$3000,A296)&gt;1,"Duplicate perm_id",IF(AND(I296="Yes",C296&lt;&gt;"",COUNTIFS($C$2:$C$3000,C296,$I$2:$I$3000,"Yes")&gt;1),"Reference counted twice",IF(COUNTIF(Lists!$A$2:$A$7,H296)=0,"Unknown status","")))))</f>
        <v/>
      </c>
    </row>
    <row r="297" customFormat="false" ht="15" hidden="false" customHeight="false" outlineLevel="0" collapsed="false">
      <c r="AD297" s="23" t="str">
        <f aca="false">IF(A297="","",IF(COUNTIF(Parcels!$A$2:$A$3000,B297)=0,"Parcel not found",IF(COUNTIF($A$2:$A$3000,A297)&gt;1,"Duplicate perm_id",IF(AND(I297="Yes",C297&lt;&gt;"",COUNTIFS($C$2:$C$3000,C297,$I$2:$I$3000,"Yes")&gt;1),"Reference counted twice",IF(COUNTIF(Lists!$A$2:$A$7,H297)=0,"Unknown status","")))))</f>
        <v/>
      </c>
    </row>
    <row r="298" customFormat="false" ht="15" hidden="false" customHeight="false" outlineLevel="0" collapsed="false">
      <c r="AD298" s="23" t="str">
        <f aca="false">IF(A298="","",IF(COUNTIF(Parcels!$A$2:$A$3000,B298)=0,"Parcel not found",IF(COUNTIF($A$2:$A$3000,A298)&gt;1,"Duplicate perm_id",IF(AND(I298="Yes",C298&lt;&gt;"",COUNTIFS($C$2:$C$3000,C298,$I$2:$I$3000,"Yes")&gt;1),"Reference counted twice",IF(COUNTIF(Lists!$A$2:$A$7,H298)=0,"Unknown status","")))))</f>
        <v/>
      </c>
    </row>
    <row r="299" customFormat="false" ht="15" hidden="false" customHeight="false" outlineLevel="0" collapsed="false">
      <c r="AD299" s="23" t="str">
        <f aca="false">IF(A299="","",IF(COUNTIF(Parcels!$A$2:$A$3000,B299)=0,"Parcel not found",IF(COUNTIF($A$2:$A$3000,A299)&gt;1,"Duplicate perm_id",IF(AND(I299="Yes",C299&lt;&gt;"",COUNTIFS($C$2:$C$3000,C299,$I$2:$I$3000,"Yes")&gt;1),"Reference counted twice",IF(COUNTIF(Lists!$A$2:$A$7,H299)=0,"Unknown status","")))))</f>
        <v/>
      </c>
    </row>
    <row r="300" customFormat="false" ht="15" hidden="false" customHeight="false" outlineLevel="0" collapsed="false">
      <c r="AD300" s="23" t="str">
        <f aca="false">IF(A300="","",IF(COUNTIF(Parcels!$A$2:$A$3000,B300)=0,"Parcel not found",IF(COUNTIF($A$2:$A$3000,A300)&gt;1,"Duplicate perm_id",IF(AND(I300="Yes",C300&lt;&gt;"",COUNTIFS($C$2:$C$3000,C300,$I$2:$I$3000,"Yes")&gt;1),"Reference counted twice",IF(COUNTIF(Lists!$A$2:$A$7,H300)=0,"Unknown status","")))))</f>
        <v/>
      </c>
    </row>
    <row r="301" customFormat="false" ht="15" hidden="false" customHeight="false" outlineLevel="0" collapsed="false">
      <c r="AD301" s="23" t="str">
        <f aca="false">IF(A301="","",IF(COUNTIF(Parcels!$A$2:$A$3000,B301)=0,"Parcel not found",IF(COUNTIF($A$2:$A$3000,A301)&gt;1,"Duplicate perm_id",IF(AND(I301="Yes",C301&lt;&gt;"",COUNTIFS($C$2:$C$3000,C301,$I$2:$I$3000,"Yes")&gt;1),"Reference counted twice",IF(COUNTIF(Lists!$A$2:$A$7,H301)=0,"Unknown status","")))))</f>
        <v/>
      </c>
    </row>
    <row r="302" customFormat="false" ht="15" hidden="false" customHeight="false" outlineLevel="0" collapsed="false">
      <c r="AD302" s="23" t="str">
        <f aca="false">IF(A302="","",IF(COUNTIF(Parcels!$A$2:$A$3000,B302)=0,"Parcel not found",IF(COUNTIF($A$2:$A$3000,A302)&gt;1,"Duplicate perm_id",IF(AND(I302="Yes",C302&lt;&gt;"",COUNTIFS($C$2:$C$3000,C302,$I$2:$I$3000,"Yes")&gt;1),"Reference counted twice",IF(COUNTIF(Lists!$A$2:$A$7,H302)=0,"Unknown status","")))))</f>
        <v/>
      </c>
    </row>
    <row r="303" customFormat="false" ht="15" hidden="false" customHeight="false" outlineLevel="0" collapsed="false">
      <c r="AD303" s="23" t="str">
        <f aca="false">IF(A303="","",IF(COUNTIF(Parcels!$A$2:$A$3000,B303)=0,"Parcel not found",IF(COUNTIF($A$2:$A$3000,A303)&gt;1,"Duplicate perm_id",IF(AND(I303="Yes",C303&lt;&gt;"",COUNTIFS($C$2:$C$3000,C303,$I$2:$I$3000,"Yes")&gt;1),"Reference counted twice",IF(COUNTIF(Lists!$A$2:$A$7,H303)=0,"Unknown status","")))))</f>
        <v/>
      </c>
    </row>
    <row r="304" customFormat="false" ht="15" hidden="false" customHeight="false" outlineLevel="0" collapsed="false">
      <c r="AD304" s="23" t="str">
        <f aca="false">IF(A304="","",IF(COUNTIF(Parcels!$A$2:$A$3000,B304)=0,"Parcel not found",IF(COUNTIF($A$2:$A$3000,A304)&gt;1,"Duplicate perm_id",IF(AND(I304="Yes",C304&lt;&gt;"",COUNTIFS($C$2:$C$3000,C304,$I$2:$I$3000,"Yes")&gt;1),"Reference counted twice",IF(COUNTIF(Lists!$A$2:$A$7,H304)=0,"Unknown status","")))))</f>
        <v/>
      </c>
    </row>
    <row r="305" customFormat="false" ht="15" hidden="false" customHeight="false" outlineLevel="0" collapsed="false">
      <c r="AD305" s="23" t="str">
        <f aca="false">IF(A305="","",IF(COUNTIF(Parcels!$A$2:$A$3000,B305)=0,"Parcel not found",IF(COUNTIF($A$2:$A$3000,A305)&gt;1,"Duplicate perm_id",IF(AND(I305="Yes",C305&lt;&gt;"",COUNTIFS($C$2:$C$3000,C305,$I$2:$I$3000,"Yes")&gt;1),"Reference counted twice",IF(COUNTIF(Lists!$A$2:$A$7,H305)=0,"Unknown status","")))))</f>
        <v/>
      </c>
    </row>
    <row r="306" customFormat="false" ht="15" hidden="false" customHeight="false" outlineLevel="0" collapsed="false">
      <c r="AD306" s="23" t="str">
        <f aca="false">IF(A306="","",IF(COUNTIF(Parcels!$A$2:$A$3000,B306)=0,"Parcel not found",IF(COUNTIF($A$2:$A$3000,A306)&gt;1,"Duplicate perm_id",IF(AND(I306="Yes",C306&lt;&gt;"",COUNTIFS($C$2:$C$3000,C306,$I$2:$I$3000,"Yes")&gt;1),"Reference counted twice",IF(COUNTIF(Lists!$A$2:$A$7,H306)=0,"Unknown status","")))))</f>
        <v/>
      </c>
    </row>
    <row r="307" customFormat="false" ht="15" hidden="false" customHeight="false" outlineLevel="0" collapsed="false">
      <c r="AD307" s="23" t="str">
        <f aca="false">IF(A307="","",IF(COUNTIF(Parcels!$A$2:$A$3000,B307)=0,"Parcel not found",IF(COUNTIF($A$2:$A$3000,A307)&gt;1,"Duplicate perm_id",IF(AND(I307="Yes",C307&lt;&gt;"",COUNTIFS($C$2:$C$3000,C307,$I$2:$I$3000,"Yes")&gt;1),"Reference counted twice",IF(COUNTIF(Lists!$A$2:$A$7,H307)=0,"Unknown status","")))))</f>
        <v/>
      </c>
    </row>
    <row r="308" customFormat="false" ht="15" hidden="false" customHeight="false" outlineLevel="0" collapsed="false">
      <c r="AD308" s="23" t="str">
        <f aca="false">IF(A308="","",IF(COUNTIF(Parcels!$A$2:$A$3000,B308)=0,"Parcel not found",IF(COUNTIF($A$2:$A$3000,A308)&gt;1,"Duplicate perm_id",IF(AND(I308="Yes",C308&lt;&gt;"",COUNTIFS($C$2:$C$3000,C308,$I$2:$I$3000,"Yes")&gt;1),"Reference counted twice",IF(COUNTIF(Lists!$A$2:$A$7,H308)=0,"Unknown status","")))))</f>
        <v/>
      </c>
    </row>
    <row r="309" customFormat="false" ht="15" hidden="false" customHeight="false" outlineLevel="0" collapsed="false">
      <c r="AD309" s="23" t="str">
        <f aca="false">IF(A309="","",IF(COUNTIF(Parcels!$A$2:$A$3000,B309)=0,"Parcel not found",IF(COUNTIF($A$2:$A$3000,A309)&gt;1,"Duplicate perm_id",IF(AND(I309="Yes",C309&lt;&gt;"",COUNTIFS($C$2:$C$3000,C309,$I$2:$I$3000,"Yes")&gt;1),"Reference counted twice",IF(COUNTIF(Lists!$A$2:$A$7,H309)=0,"Unknown status","")))))</f>
        <v/>
      </c>
    </row>
    <row r="310" customFormat="false" ht="15" hidden="false" customHeight="false" outlineLevel="0" collapsed="false">
      <c r="AD310" s="23" t="str">
        <f aca="false">IF(A310="","",IF(COUNTIF(Parcels!$A$2:$A$3000,B310)=0,"Parcel not found",IF(COUNTIF($A$2:$A$3000,A310)&gt;1,"Duplicate perm_id",IF(AND(I310="Yes",C310&lt;&gt;"",COUNTIFS($C$2:$C$3000,C310,$I$2:$I$3000,"Yes")&gt;1),"Reference counted twice",IF(COUNTIF(Lists!$A$2:$A$7,H310)=0,"Unknown status","")))))</f>
        <v/>
      </c>
    </row>
    <row r="311" customFormat="false" ht="15" hidden="false" customHeight="false" outlineLevel="0" collapsed="false">
      <c r="AD311" s="23" t="str">
        <f aca="false">IF(A311="","",IF(COUNTIF(Parcels!$A$2:$A$3000,B311)=0,"Parcel not found",IF(COUNTIF($A$2:$A$3000,A311)&gt;1,"Duplicate perm_id",IF(AND(I311="Yes",C311&lt;&gt;"",COUNTIFS($C$2:$C$3000,C311,$I$2:$I$3000,"Yes")&gt;1),"Reference counted twice",IF(COUNTIF(Lists!$A$2:$A$7,H311)=0,"Unknown status","")))))</f>
        <v/>
      </c>
    </row>
    <row r="312" customFormat="false" ht="15" hidden="false" customHeight="false" outlineLevel="0" collapsed="false">
      <c r="AD312" s="23" t="str">
        <f aca="false">IF(A312="","",IF(COUNTIF(Parcels!$A$2:$A$3000,B312)=0,"Parcel not found",IF(COUNTIF($A$2:$A$3000,A312)&gt;1,"Duplicate perm_id",IF(AND(I312="Yes",C312&lt;&gt;"",COUNTIFS($C$2:$C$3000,C312,$I$2:$I$3000,"Yes")&gt;1),"Reference counted twice",IF(COUNTIF(Lists!$A$2:$A$7,H312)=0,"Unknown status","")))))</f>
        <v/>
      </c>
    </row>
    <row r="313" customFormat="false" ht="15" hidden="false" customHeight="false" outlineLevel="0" collapsed="false">
      <c r="AD313" s="23" t="str">
        <f aca="false">IF(A313="","",IF(COUNTIF(Parcels!$A$2:$A$3000,B313)=0,"Parcel not found",IF(COUNTIF($A$2:$A$3000,A313)&gt;1,"Duplicate perm_id",IF(AND(I313="Yes",C313&lt;&gt;"",COUNTIFS($C$2:$C$3000,C313,$I$2:$I$3000,"Yes")&gt;1),"Reference counted twice",IF(COUNTIF(Lists!$A$2:$A$7,H313)=0,"Unknown status","")))))</f>
        <v/>
      </c>
    </row>
    <row r="314" customFormat="false" ht="15" hidden="false" customHeight="false" outlineLevel="0" collapsed="false">
      <c r="AD314" s="23" t="str">
        <f aca="false">IF(A314="","",IF(COUNTIF(Parcels!$A$2:$A$3000,B314)=0,"Parcel not found",IF(COUNTIF($A$2:$A$3000,A314)&gt;1,"Duplicate perm_id",IF(AND(I314="Yes",C314&lt;&gt;"",COUNTIFS($C$2:$C$3000,C314,$I$2:$I$3000,"Yes")&gt;1),"Reference counted twice",IF(COUNTIF(Lists!$A$2:$A$7,H314)=0,"Unknown status","")))))</f>
        <v/>
      </c>
    </row>
    <row r="315" customFormat="false" ht="15" hidden="false" customHeight="false" outlineLevel="0" collapsed="false">
      <c r="AD315" s="23" t="str">
        <f aca="false">IF(A315="","",IF(COUNTIF(Parcels!$A$2:$A$3000,B315)=0,"Parcel not found",IF(COUNTIF($A$2:$A$3000,A315)&gt;1,"Duplicate perm_id",IF(AND(I315="Yes",C315&lt;&gt;"",COUNTIFS($C$2:$C$3000,C315,$I$2:$I$3000,"Yes")&gt;1),"Reference counted twice",IF(COUNTIF(Lists!$A$2:$A$7,H315)=0,"Unknown status","")))))</f>
        <v/>
      </c>
    </row>
    <row r="316" customFormat="false" ht="15" hidden="false" customHeight="false" outlineLevel="0" collapsed="false">
      <c r="AD316" s="23" t="str">
        <f aca="false">IF(A316="","",IF(COUNTIF(Parcels!$A$2:$A$3000,B316)=0,"Parcel not found",IF(COUNTIF($A$2:$A$3000,A316)&gt;1,"Duplicate perm_id",IF(AND(I316="Yes",C316&lt;&gt;"",COUNTIFS($C$2:$C$3000,C316,$I$2:$I$3000,"Yes")&gt;1),"Reference counted twice",IF(COUNTIF(Lists!$A$2:$A$7,H316)=0,"Unknown status","")))))</f>
        <v/>
      </c>
    </row>
    <row r="317" customFormat="false" ht="15" hidden="false" customHeight="false" outlineLevel="0" collapsed="false">
      <c r="AD317" s="23" t="str">
        <f aca="false">IF(A317="","",IF(COUNTIF(Parcels!$A$2:$A$3000,B317)=0,"Parcel not found",IF(COUNTIF($A$2:$A$3000,A317)&gt;1,"Duplicate perm_id",IF(AND(I317="Yes",C317&lt;&gt;"",COUNTIFS($C$2:$C$3000,C317,$I$2:$I$3000,"Yes")&gt;1),"Reference counted twice",IF(COUNTIF(Lists!$A$2:$A$7,H317)=0,"Unknown status","")))))</f>
        <v/>
      </c>
    </row>
    <row r="318" customFormat="false" ht="15" hidden="false" customHeight="false" outlineLevel="0" collapsed="false">
      <c r="AD318" s="23" t="str">
        <f aca="false">IF(A318="","",IF(COUNTIF(Parcels!$A$2:$A$3000,B318)=0,"Parcel not found",IF(COUNTIF($A$2:$A$3000,A318)&gt;1,"Duplicate perm_id",IF(AND(I318="Yes",C318&lt;&gt;"",COUNTIFS($C$2:$C$3000,C318,$I$2:$I$3000,"Yes")&gt;1),"Reference counted twice",IF(COUNTIF(Lists!$A$2:$A$7,H318)=0,"Unknown status","")))))</f>
        <v/>
      </c>
    </row>
    <row r="319" customFormat="false" ht="15" hidden="false" customHeight="false" outlineLevel="0" collapsed="false">
      <c r="AD319" s="23" t="str">
        <f aca="false">IF(A319="","",IF(COUNTIF(Parcels!$A$2:$A$3000,B319)=0,"Parcel not found",IF(COUNTIF($A$2:$A$3000,A319)&gt;1,"Duplicate perm_id",IF(AND(I319="Yes",C319&lt;&gt;"",COUNTIFS($C$2:$C$3000,C319,$I$2:$I$3000,"Yes")&gt;1),"Reference counted twice",IF(COUNTIF(Lists!$A$2:$A$7,H319)=0,"Unknown status","")))))</f>
        <v/>
      </c>
    </row>
    <row r="320" customFormat="false" ht="15" hidden="false" customHeight="false" outlineLevel="0" collapsed="false">
      <c r="AD320" s="23" t="str">
        <f aca="false">IF(A320="","",IF(COUNTIF(Parcels!$A$2:$A$3000,B320)=0,"Parcel not found",IF(COUNTIF($A$2:$A$3000,A320)&gt;1,"Duplicate perm_id",IF(AND(I320="Yes",C320&lt;&gt;"",COUNTIFS($C$2:$C$3000,C320,$I$2:$I$3000,"Yes")&gt;1),"Reference counted twice",IF(COUNTIF(Lists!$A$2:$A$7,H320)=0,"Unknown status","")))))</f>
        <v/>
      </c>
    </row>
    <row r="321" customFormat="false" ht="15" hidden="false" customHeight="false" outlineLevel="0" collapsed="false">
      <c r="AD321" s="23" t="str">
        <f aca="false">IF(A321="","",IF(COUNTIF(Parcels!$A$2:$A$3000,B321)=0,"Parcel not found",IF(COUNTIF($A$2:$A$3000,A321)&gt;1,"Duplicate perm_id",IF(AND(I321="Yes",C321&lt;&gt;"",COUNTIFS($C$2:$C$3000,C321,$I$2:$I$3000,"Yes")&gt;1),"Reference counted twice",IF(COUNTIF(Lists!$A$2:$A$7,H321)=0,"Unknown status","")))))</f>
        <v/>
      </c>
    </row>
    <row r="322" customFormat="false" ht="15" hidden="false" customHeight="false" outlineLevel="0" collapsed="false">
      <c r="AD322" s="23" t="str">
        <f aca="false">IF(A322="","",IF(COUNTIF(Parcels!$A$2:$A$3000,B322)=0,"Parcel not found",IF(COUNTIF($A$2:$A$3000,A322)&gt;1,"Duplicate perm_id",IF(AND(I322="Yes",C322&lt;&gt;"",COUNTIFS($C$2:$C$3000,C322,$I$2:$I$3000,"Yes")&gt;1),"Reference counted twice",IF(COUNTIF(Lists!$A$2:$A$7,H322)=0,"Unknown status","")))))</f>
        <v/>
      </c>
    </row>
    <row r="323" customFormat="false" ht="15" hidden="false" customHeight="false" outlineLevel="0" collapsed="false">
      <c r="AD323" s="23" t="str">
        <f aca="false">IF(A323="","",IF(COUNTIF(Parcels!$A$2:$A$3000,B323)=0,"Parcel not found",IF(COUNTIF($A$2:$A$3000,A323)&gt;1,"Duplicate perm_id",IF(AND(I323="Yes",C323&lt;&gt;"",COUNTIFS($C$2:$C$3000,C323,$I$2:$I$3000,"Yes")&gt;1),"Reference counted twice",IF(COUNTIF(Lists!$A$2:$A$7,H323)=0,"Unknown status","")))))</f>
        <v/>
      </c>
    </row>
    <row r="324" customFormat="false" ht="15" hidden="false" customHeight="false" outlineLevel="0" collapsed="false">
      <c r="AD324" s="23" t="str">
        <f aca="false">IF(A324="","",IF(COUNTIF(Parcels!$A$2:$A$3000,B324)=0,"Parcel not found",IF(COUNTIF($A$2:$A$3000,A324)&gt;1,"Duplicate perm_id",IF(AND(I324="Yes",C324&lt;&gt;"",COUNTIFS($C$2:$C$3000,C324,$I$2:$I$3000,"Yes")&gt;1),"Reference counted twice",IF(COUNTIF(Lists!$A$2:$A$7,H324)=0,"Unknown status","")))))</f>
        <v/>
      </c>
    </row>
    <row r="325" customFormat="false" ht="15" hidden="false" customHeight="false" outlineLevel="0" collapsed="false">
      <c r="AD325" s="23" t="str">
        <f aca="false">IF(A325="","",IF(COUNTIF(Parcels!$A$2:$A$3000,B325)=0,"Parcel not found",IF(COUNTIF($A$2:$A$3000,A325)&gt;1,"Duplicate perm_id",IF(AND(I325="Yes",C325&lt;&gt;"",COUNTIFS($C$2:$C$3000,C325,$I$2:$I$3000,"Yes")&gt;1),"Reference counted twice",IF(COUNTIF(Lists!$A$2:$A$7,H325)=0,"Unknown status","")))))</f>
        <v/>
      </c>
    </row>
    <row r="326" customFormat="false" ht="15" hidden="false" customHeight="false" outlineLevel="0" collapsed="false">
      <c r="AD326" s="23" t="str">
        <f aca="false">IF(A326="","",IF(COUNTIF(Parcels!$A$2:$A$3000,B326)=0,"Parcel not found",IF(COUNTIF($A$2:$A$3000,A326)&gt;1,"Duplicate perm_id",IF(AND(I326="Yes",C326&lt;&gt;"",COUNTIFS($C$2:$C$3000,C326,$I$2:$I$3000,"Yes")&gt;1),"Reference counted twice",IF(COUNTIF(Lists!$A$2:$A$7,H326)=0,"Unknown status","")))))</f>
        <v/>
      </c>
    </row>
    <row r="327" customFormat="false" ht="15" hidden="false" customHeight="false" outlineLevel="0" collapsed="false">
      <c r="AD327" s="23" t="str">
        <f aca="false">IF(A327="","",IF(COUNTIF(Parcels!$A$2:$A$3000,B327)=0,"Parcel not found",IF(COUNTIF($A$2:$A$3000,A327)&gt;1,"Duplicate perm_id",IF(AND(I327="Yes",C327&lt;&gt;"",COUNTIFS($C$2:$C$3000,C327,$I$2:$I$3000,"Yes")&gt;1),"Reference counted twice",IF(COUNTIF(Lists!$A$2:$A$7,H327)=0,"Unknown status","")))))</f>
        <v/>
      </c>
    </row>
    <row r="328" customFormat="false" ht="15" hidden="false" customHeight="false" outlineLevel="0" collapsed="false">
      <c r="AD328" s="23" t="str">
        <f aca="false">IF(A328="","",IF(COUNTIF(Parcels!$A$2:$A$3000,B328)=0,"Parcel not found",IF(COUNTIF($A$2:$A$3000,A328)&gt;1,"Duplicate perm_id",IF(AND(I328="Yes",C328&lt;&gt;"",COUNTIFS($C$2:$C$3000,C328,$I$2:$I$3000,"Yes")&gt;1),"Reference counted twice",IF(COUNTIF(Lists!$A$2:$A$7,H328)=0,"Unknown status","")))))</f>
        <v/>
      </c>
    </row>
    <row r="329" customFormat="false" ht="15" hidden="false" customHeight="false" outlineLevel="0" collapsed="false">
      <c r="AD329" s="23" t="str">
        <f aca="false">IF(A329="","",IF(COUNTIF(Parcels!$A$2:$A$3000,B329)=0,"Parcel not found",IF(COUNTIF($A$2:$A$3000,A329)&gt;1,"Duplicate perm_id",IF(AND(I329="Yes",C329&lt;&gt;"",COUNTIFS($C$2:$C$3000,C329,$I$2:$I$3000,"Yes")&gt;1),"Reference counted twice",IF(COUNTIF(Lists!$A$2:$A$7,H329)=0,"Unknown status","")))))</f>
        <v/>
      </c>
    </row>
    <row r="330" customFormat="false" ht="15" hidden="false" customHeight="false" outlineLevel="0" collapsed="false">
      <c r="AD330" s="23" t="str">
        <f aca="false">IF(A330="","",IF(COUNTIF(Parcels!$A$2:$A$3000,B330)=0,"Parcel not found",IF(COUNTIF($A$2:$A$3000,A330)&gt;1,"Duplicate perm_id",IF(AND(I330="Yes",C330&lt;&gt;"",COUNTIFS($C$2:$C$3000,C330,$I$2:$I$3000,"Yes")&gt;1),"Reference counted twice",IF(COUNTIF(Lists!$A$2:$A$7,H330)=0,"Unknown status","")))))</f>
        <v/>
      </c>
    </row>
    <row r="331" customFormat="false" ht="15" hidden="false" customHeight="false" outlineLevel="0" collapsed="false">
      <c r="AD331" s="23" t="str">
        <f aca="false">IF(A331="","",IF(COUNTIF(Parcels!$A$2:$A$3000,B331)=0,"Parcel not found",IF(COUNTIF($A$2:$A$3000,A331)&gt;1,"Duplicate perm_id",IF(AND(I331="Yes",C331&lt;&gt;"",COUNTIFS($C$2:$C$3000,C331,$I$2:$I$3000,"Yes")&gt;1),"Reference counted twice",IF(COUNTIF(Lists!$A$2:$A$7,H331)=0,"Unknown status","")))))</f>
        <v/>
      </c>
    </row>
    <row r="332" customFormat="false" ht="15" hidden="false" customHeight="false" outlineLevel="0" collapsed="false">
      <c r="AD332" s="23" t="str">
        <f aca="false">IF(A332="","",IF(COUNTIF(Parcels!$A$2:$A$3000,B332)=0,"Parcel not found",IF(COUNTIF($A$2:$A$3000,A332)&gt;1,"Duplicate perm_id",IF(AND(I332="Yes",C332&lt;&gt;"",COUNTIFS($C$2:$C$3000,C332,$I$2:$I$3000,"Yes")&gt;1),"Reference counted twice",IF(COUNTIF(Lists!$A$2:$A$7,H332)=0,"Unknown status","")))))</f>
        <v/>
      </c>
    </row>
    <row r="333" customFormat="false" ht="15" hidden="false" customHeight="false" outlineLevel="0" collapsed="false">
      <c r="AD333" s="23" t="str">
        <f aca="false">IF(A333="","",IF(COUNTIF(Parcels!$A$2:$A$3000,B333)=0,"Parcel not found",IF(COUNTIF($A$2:$A$3000,A333)&gt;1,"Duplicate perm_id",IF(AND(I333="Yes",C333&lt;&gt;"",COUNTIFS($C$2:$C$3000,C333,$I$2:$I$3000,"Yes")&gt;1),"Reference counted twice",IF(COUNTIF(Lists!$A$2:$A$7,H333)=0,"Unknown status","")))))</f>
        <v/>
      </c>
    </row>
    <row r="334" customFormat="false" ht="15" hidden="false" customHeight="false" outlineLevel="0" collapsed="false">
      <c r="AD334" s="23" t="str">
        <f aca="false">IF(A334="","",IF(COUNTIF(Parcels!$A$2:$A$3000,B334)=0,"Parcel not found",IF(COUNTIF($A$2:$A$3000,A334)&gt;1,"Duplicate perm_id",IF(AND(I334="Yes",C334&lt;&gt;"",COUNTIFS($C$2:$C$3000,C334,$I$2:$I$3000,"Yes")&gt;1),"Reference counted twice",IF(COUNTIF(Lists!$A$2:$A$7,H334)=0,"Unknown status","")))))</f>
        <v/>
      </c>
    </row>
    <row r="335" customFormat="false" ht="15" hidden="false" customHeight="false" outlineLevel="0" collapsed="false">
      <c r="AD335" s="23" t="str">
        <f aca="false">IF(A335="","",IF(COUNTIF(Parcels!$A$2:$A$3000,B335)=0,"Parcel not found",IF(COUNTIF($A$2:$A$3000,A335)&gt;1,"Duplicate perm_id",IF(AND(I335="Yes",C335&lt;&gt;"",COUNTIFS($C$2:$C$3000,C335,$I$2:$I$3000,"Yes")&gt;1),"Reference counted twice",IF(COUNTIF(Lists!$A$2:$A$7,H335)=0,"Unknown status","")))))</f>
        <v/>
      </c>
    </row>
    <row r="336" customFormat="false" ht="15" hidden="false" customHeight="false" outlineLevel="0" collapsed="false">
      <c r="AD336" s="23" t="str">
        <f aca="false">IF(A336="","",IF(COUNTIF(Parcels!$A$2:$A$3000,B336)=0,"Parcel not found",IF(COUNTIF($A$2:$A$3000,A336)&gt;1,"Duplicate perm_id",IF(AND(I336="Yes",C336&lt;&gt;"",COUNTIFS($C$2:$C$3000,C336,$I$2:$I$3000,"Yes")&gt;1),"Reference counted twice",IF(COUNTIF(Lists!$A$2:$A$7,H336)=0,"Unknown status","")))))</f>
        <v/>
      </c>
    </row>
    <row r="337" customFormat="false" ht="15" hidden="false" customHeight="false" outlineLevel="0" collapsed="false">
      <c r="AD337" s="23" t="str">
        <f aca="false">IF(A337="","",IF(COUNTIF(Parcels!$A$2:$A$3000,B337)=0,"Parcel not found",IF(COUNTIF($A$2:$A$3000,A337)&gt;1,"Duplicate perm_id",IF(AND(I337="Yes",C337&lt;&gt;"",COUNTIFS($C$2:$C$3000,C337,$I$2:$I$3000,"Yes")&gt;1),"Reference counted twice",IF(COUNTIF(Lists!$A$2:$A$7,H337)=0,"Unknown status","")))))</f>
        <v/>
      </c>
    </row>
    <row r="338" customFormat="false" ht="15" hidden="false" customHeight="false" outlineLevel="0" collapsed="false">
      <c r="AD338" s="23" t="str">
        <f aca="false">IF(A338="","",IF(COUNTIF(Parcels!$A$2:$A$3000,B338)=0,"Parcel not found",IF(COUNTIF($A$2:$A$3000,A338)&gt;1,"Duplicate perm_id",IF(AND(I338="Yes",C338&lt;&gt;"",COUNTIFS($C$2:$C$3000,C338,$I$2:$I$3000,"Yes")&gt;1),"Reference counted twice",IF(COUNTIF(Lists!$A$2:$A$7,H338)=0,"Unknown status","")))))</f>
        <v/>
      </c>
    </row>
    <row r="339" customFormat="false" ht="15" hidden="false" customHeight="false" outlineLevel="0" collapsed="false">
      <c r="AD339" s="23" t="str">
        <f aca="false">IF(A339="","",IF(COUNTIF(Parcels!$A$2:$A$3000,B339)=0,"Parcel not found",IF(COUNTIF($A$2:$A$3000,A339)&gt;1,"Duplicate perm_id",IF(AND(I339="Yes",C339&lt;&gt;"",COUNTIFS($C$2:$C$3000,C339,$I$2:$I$3000,"Yes")&gt;1),"Reference counted twice",IF(COUNTIF(Lists!$A$2:$A$7,H339)=0,"Unknown status","")))))</f>
        <v/>
      </c>
    </row>
    <row r="340" customFormat="false" ht="15" hidden="false" customHeight="false" outlineLevel="0" collapsed="false">
      <c r="AD340" s="23" t="str">
        <f aca="false">IF(A340="","",IF(COUNTIF(Parcels!$A$2:$A$3000,B340)=0,"Parcel not found",IF(COUNTIF($A$2:$A$3000,A340)&gt;1,"Duplicate perm_id",IF(AND(I340="Yes",C340&lt;&gt;"",COUNTIFS($C$2:$C$3000,C340,$I$2:$I$3000,"Yes")&gt;1),"Reference counted twice",IF(COUNTIF(Lists!$A$2:$A$7,H340)=0,"Unknown status","")))))</f>
        <v/>
      </c>
    </row>
    <row r="341" customFormat="false" ht="15" hidden="false" customHeight="false" outlineLevel="0" collapsed="false">
      <c r="AD341" s="23" t="str">
        <f aca="false">IF(A341="","",IF(COUNTIF(Parcels!$A$2:$A$3000,B341)=0,"Parcel not found",IF(COUNTIF($A$2:$A$3000,A341)&gt;1,"Duplicate perm_id",IF(AND(I341="Yes",C341&lt;&gt;"",COUNTIFS($C$2:$C$3000,C341,$I$2:$I$3000,"Yes")&gt;1),"Reference counted twice",IF(COUNTIF(Lists!$A$2:$A$7,H341)=0,"Unknown status","")))))</f>
        <v/>
      </c>
    </row>
    <row r="342" customFormat="false" ht="15" hidden="false" customHeight="false" outlineLevel="0" collapsed="false">
      <c r="AD342" s="23" t="str">
        <f aca="false">IF(A342="","",IF(COUNTIF(Parcels!$A$2:$A$3000,B342)=0,"Parcel not found",IF(COUNTIF($A$2:$A$3000,A342)&gt;1,"Duplicate perm_id",IF(AND(I342="Yes",C342&lt;&gt;"",COUNTIFS($C$2:$C$3000,C342,$I$2:$I$3000,"Yes")&gt;1),"Reference counted twice",IF(COUNTIF(Lists!$A$2:$A$7,H342)=0,"Unknown status","")))))</f>
        <v/>
      </c>
    </row>
    <row r="343" customFormat="false" ht="15" hidden="false" customHeight="false" outlineLevel="0" collapsed="false">
      <c r="AD343" s="23" t="str">
        <f aca="false">IF(A343="","",IF(COUNTIF(Parcels!$A$2:$A$3000,B343)=0,"Parcel not found",IF(COUNTIF($A$2:$A$3000,A343)&gt;1,"Duplicate perm_id",IF(AND(I343="Yes",C343&lt;&gt;"",COUNTIFS($C$2:$C$3000,C343,$I$2:$I$3000,"Yes")&gt;1),"Reference counted twice",IF(COUNTIF(Lists!$A$2:$A$7,H343)=0,"Unknown status","")))))</f>
        <v/>
      </c>
    </row>
    <row r="344" customFormat="false" ht="15" hidden="false" customHeight="false" outlineLevel="0" collapsed="false">
      <c r="AD344" s="23" t="str">
        <f aca="false">IF(A344="","",IF(COUNTIF(Parcels!$A$2:$A$3000,B344)=0,"Parcel not found",IF(COUNTIF($A$2:$A$3000,A344)&gt;1,"Duplicate perm_id",IF(AND(I344="Yes",C344&lt;&gt;"",COUNTIFS($C$2:$C$3000,C344,$I$2:$I$3000,"Yes")&gt;1),"Reference counted twice",IF(COUNTIF(Lists!$A$2:$A$7,H344)=0,"Unknown status","")))))</f>
        <v/>
      </c>
    </row>
    <row r="345" customFormat="false" ht="15" hidden="false" customHeight="false" outlineLevel="0" collapsed="false">
      <c r="AD345" s="23" t="str">
        <f aca="false">IF(A345="","",IF(COUNTIF(Parcels!$A$2:$A$3000,B345)=0,"Parcel not found",IF(COUNTIF($A$2:$A$3000,A345)&gt;1,"Duplicate perm_id",IF(AND(I345="Yes",C345&lt;&gt;"",COUNTIFS($C$2:$C$3000,C345,$I$2:$I$3000,"Yes")&gt;1),"Reference counted twice",IF(COUNTIF(Lists!$A$2:$A$7,H345)=0,"Unknown status","")))))</f>
        <v/>
      </c>
    </row>
    <row r="346" customFormat="false" ht="15" hidden="false" customHeight="false" outlineLevel="0" collapsed="false">
      <c r="AD346" s="23" t="str">
        <f aca="false">IF(A346="","",IF(COUNTIF(Parcels!$A$2:$A$3000,B346)=0,"Parcel not found",IF(COUNTIF($A$2:$A$3000,A346)&gt;1,"Duplicate perm_id",IF(AND(I346="Yes",C346&lt;&gt;"",COUNTIFS($C$2:$C$3000,C346,$I$2:$I$3000,"Yes")&gt;1),"Reference counted twice",IF(COUNTIF(Lists!$A$2:$A$7,H346)=0,"Unknown status","")))))</f>
        <v/>
      </c>
    </row>
    <row r="347" customFormat="false" ht="15" hidden="false" customHeight="false" outlineLevel="0" collapsed="false">
      <c r="AD347" s="23" t="str">
        <f aca="false">IF(A347="","",IF(COUNTIF(Parcels!$A$2:$A$3000,B347)=0,"Parcel not found",IF(COUNTIF($A$2:$A$3000,A347)&gt;1,"Duplicate perm_id",IF(AND(I347="Yes",C347&lt;&gt;"",COUNTIFS($C$2:$C$3000,C347,$I$2:$I$3000,"Yes")&gt;1),"Reference counted twice",IF(COUNTIF(Lists!$A$2:$A$7,H347)=0,"Unknown status","")))))</f>
        <v/>
      </c>
    </row>
    <row r="348" customFormat="false" ht="15" hidden="false" customHeight="false" outlineLevel="0" collapsed="false">
      <c r="AD348" s="23" t="str">
        <f aca="false">IF(A348="","",IF(COUNTIF(Parcels!$A$2:$A$3000,B348)=0,"Parcel not found",IF(COUNTIF($A$2:$A$3000,A348)&gt;1,"Duplicate perm_id",IF(AND(I348="Yes",C348&lt;&gt;"",COUNTIFS($C$2:$C$3000,C348,$I$2:$I$3000,"Yes")&gt;1),"Reference counted twice",IF(COUNTIF(Lists!$A$2:$A$7,H348)=0,"Unknown status","")))))</f>
        <v/>
      </c>
    </row>
    <row r="349" customFormat="false" ht="15" hidden="false" customHeight="false" outlineLevel="0" collapsed="false">
      <c r="AD349" s="23" t="str">
        <f aca="false">IF(A349="","",IF(COUNTIF(Parcels!$A$2:$A$3000,B349)=0,"Parcel not found",IF(COUNTIF($A$2:$A$3000,A349)&gt;1,"Duplicate perm_id",IF(AND(I349="Yes",C349&lt;&gt;"",COUNTIFS($C$2:$C$3000,C349,$I$2:$I$3000,"Yes")&gt;1),"Reference counted twice",IF(COUNTIF(Lists!$A$2:$A$7,H349)=0,"Unknown status","")))))</f>
        <v/>
      </c>
    </row>
    <row r="350" customFormat="false" ht="15" hidden="false" customHeight="false" outlineLevel="0" collapsed="false">
      <c r="AD350" s="23" t="str">
        <f aca="false">IF(A350="","",IF(COUNTIF(Parcels!$A$2:$A$3000,B350)=0,"Parcel not found",IF(COUNTIF($A$2:$A$3000,A350)&gt;1,"Duplicate perm_id",IF(AND(I350="Yes",C350&lt;&gt;"",COUNTIFS($C$2:$C$3000,C350,$I$2:$I$3000,"Yes")&gt;1),"Reference counted twice",IF(COUNTIF(Lists!$A$2:$A$7,H350)=0,"Unknown status","")))))</f>
        <v/>
      </c>
    </row>
    <row r="351" customFormat="false" ht="15" hidden="false" customHeight="false" outlineLevel="0" collapsed="false">
      <c r="AD351" s="23" t="str">
        <f aca="false">IF(A351="","",IF(COUNTIF(Parcels!$A$2:$A$3000,B351)=0,"Parcel not found",IF(COUNTIF($A$2:$A$3000,A351)&gt;1,"Duplicate perm_id",IF(AND(I351="Yes",C351&lt;&gt;"",COUNTIFS($C$2:$C$3000,C351,$I$2:$I$3000,"Yes")&gt;1),"Reference counted twice",IF(COUNTIF(Lists!$A$2:$A$7,H351)=0,"Unknown status","")))))</f>
        <v/>
      </c>
    </row>
    <row r="352" customFormat="false" ht="15" hidden="false" customHeight="false" outlineLevel="0" collapsed="false">
      <c r="AD352" s="23" t="str">
        <f aca="false">IF(A352="","",IF(COUNTIF(Parcels!$A$2:$A$3000,B352)=0,"Parcel not found",IF(COUNTIF($A$2:$A$3000,A352)&gt;1,"Duplicate perm_id",IF(AND(I352="Yes",C352&lt;&gt;"",COUNTIFS($C$2:$C$3000,C352,$I$2:$I$3000,"Yes")&gt;1),"Reference counted twice",IF(COUNTIF(Lists!$A$2:$A$7,H352)=0,"Unknown status","")))))</f>
        <v/>
      </c>
    </row>
    <row r="353" customFormat="false" ht="15" hidden="false" customHeight="false" outlineLevel="0" collapsed="false">
      <c r="AD353" s="23" t="str">
        <f aca="false">IF(A353="","",IF(COUNTIF(Parcels!$A$2:$A$3000,B353)=0,"Parcel not found",IF(COUNTIF($A$2:$A$3000,A353)&gt;1,"Duplicate perm_id",IF(AND(I353="Yes",C353&lt;&gt;"",COUNTIFS($C$2:$C$3000,C353,$I$2:$I$3000,"Yes")&gt;1),"Reference counted twice",IF(COUNTIF(Lists!$A$2:$A$7,H353)=0,"Unknown status","")))))</f>
        <v/>
      </c>
    </row>
    <row r="354" customFormat="false" ht="15" hidden="false" customHeight="false" outlineLevel="0" collapsed="false">
      <c r="AD354" s="23" t="str">
        <f aca="false">IF(A354="","",IF(COUNTIF(Parcels!$A$2:$A$3000,B354)=0,"Parcel not found",IF(COUNTIF($A$2:$A$3000,A354)&gt;1,"Duplicate perm_id",IF(AND(I354="Yes",C354&lt;&gt;"",COUNTIFS($C$2:$C$3000,C354,$I$2:$I$3000,"Yes")&gt;1),"Reference counted twice",IF(COUNTIF(Lists!$A$2:$A$7,H354)=0,"Unknown status","")))))</f>
        <v/>
      </c>
    </row>
    <row r="355" customFormat="false" ht="15" hidden="false" customHeight="false" outlineLevel="0" collapsed="false">
      <c r="AD355" s="23" t="str">
        <f aca="false">IF(A355="","",IF(COUNTIF(Parcels!$A$2:$A$3000,B355)=0,"Parcel not found",IF(COUNTIF($A$2:$A$3000,A355)&gt;1,"Duplicate perm_id",IF(AND(I355="Yes",C355&lt;&gt;"",COUNTIFS($C$2:$C$3000,C355,$I$2:$I$3000,"Yes")&gt;1),"Reference counted twice",IF(COUNTIF(Lists!$A$2:$A$7,H355)=0,"Unknown status","")))))</f>
        <v/>
      </c>
    </row>
    <row r="356" customFormat="false" ht="15" hidden="false" customHeight="false" outlineLevel="0" collapsed="false">
      <c r="AD356" s="23" t="str">
        <f aca="false">IF(A356="","",IF(COUNTIF(Parcels!$A$2:$A$3000,B356)=0,"Parcel not found",IF(COUNTIF($A$2:$A$3000,A356)&gt;1,"Duplicate perm_id",IF(AND(I356="Yes",C356&lt;&gt;"",COUNTIFS($C$2:$C$3000,C356,$I$2:$I$3000,"Yes")&gt;1),"Reference counted twice",IF(COUNTIF(Lists!$A$2:$A$7,H356)=0,"Unknown status","")))))</f>
        <v/>
      </c>
    </row>
    <row r="357" customFormat="false" ht="15" hidden="false" customHeight="false" outlineLevel="0" collapsed="false">
      <c r="AD357" s="23" t="str">
        <f aca="false">IF(A357="","",IF(COUNTIF(Parcels!$A$2:$A$3000,B357)=0,"Parcel not found",IF(COUNTIF($A$2:$A$3000,A357)&gt;1,"Duplicate perm_id",IF(AND(I357="Yes",C357&lt;&gt;"",COUNTIFS($C$2:$C$3000,C357,$I$2:$I$3000,"Yes")&gt;1),"Reference counted twice",IF(COUNTIF(Lists!$A$2:$A$7,H357)=0,"Unknown status","")))))</f>
        <v/>
      </c>
    </row>
    <row r="358" customFormat="false" ht="15" hidden="false" customHeight="false" outlineLevel="0" collapsed="false">
      <c r="AD358" s="23" t="str">
        <f aca="false">IF(A358="","",IF(COUNTIF(Parcels!$A$2:$A$3000,B358)=0,"Parcel not found",IF(COUNTIF($A$2:$A$3000,A358)&gt;1,"Duplicate perm_id",IF(AND(I358="Yes",C358&lt;&gt;"",COUNTIFS($C$2:$C$3000,C358,$I$2:$I$3000,"Yes")&gt;1),"Reference counted twice",IF(COUNTIF(Lists!$A$2:$A$7,H358)=0,"Unknown status","")))))</f>
        <v/>
      </c>
    </row>
    <row r="359" customFormat="false" ht="15" hidden="false" customHeight="false" outlineLevel="0" collapsed="false">
      <c r="AD359" s="23" t="str">
        <f aca="false">IF(A359="","",IF(COUNTIF(Parcels!$A$2:$A$3000,B359)=0,"Parcel not found",IF(COUNTIF($A$2:$A$3000,A359)&gt;1,"Duplicate perm_id",IF(AND(I359="Yes",C359&lt;&gt;"",COUNTIFS($C$2:$C$3000,C359,$I$2:$I$3000,"Yes")&gt;1),"Reference counted twice",IF(COUNTIF(Lists!$A$2:$A$7,H359)=0,"Unknown status","")))))</f>
        <v/>
      </c>
    </row>
    <row r="360" customFormat="false" ht="15" hidden="false" customHeight="false" outlineLevel="0" collapsed="false">
      <c r="AD360" s="23" t="str">
        <f aca="false">IF(A360="","",IF(COUNTIF(Parcels!$A$2:$A$3000,B360)=0,"Parcel not found",IF(COUNTIF($A$2:$A$3000,A360)&gt;1,"Duplicate perm_id",IF(AND(I360="Yes",C360&lt;&gt;"",COUNTIFS($C$2:$C$3000,C360,$I$2:$I$3000,"Yes")&gt;1),"Reference counted twice",IF(COUNTIF(Lists!$A$2:$A$7,H360)=0,"Unknown status","")))))</f>
        <v/>
      </c>
    </row>
    <row r="361" customFormat="false" ht="15" hidden="false" customHeight="false" outlineLevel="0" collapsed="false">
      <c r="AD361" s="23" t="str">
        <f aca="false">IF(A361="","",IF(COUNTIF(Parcels!$A$2:$A$3000,B361)=0,"Parcel not found",IF(COUNTIF($A$2:$A$3000,A361)&gt;1,"Duplicate perm_id",IF(AND(I361="Yes",C361&lt;&gt;"",COUNTIFS($C$2:$C$3000,C361,$I$2:$I$3000,"Yes")&gt;1),"Reference counted twice",IF(COUNTIF(Lists!$A$2:$A$7,H361)=0,"Unknown status","")))))</f>
        <v/>
      </c>
    </row>
    <row r="362" customFormat="false" ht="15" hidden="false" customHeight="false" outlineLevel="0" collapsed="false">
      <c r="AD362" s="23" t="str">
        <f aca="false">IF(A362="","",IF(COUNTIF(Parcels!$A$2:$A$3000,B362)=0,"Parcel not found",IF(COUNTIF($A$2:$A$3000,A362)&gt;1,"Duplicate perm_id",IF(AND(I362="Yes",C362&lt;&gt;"",COUNTIFS($C$2:$C$3000,C362,$I$2:$I$3000,"Yes")&gt;1),"Reference counted twice",IF(COUNTIF(Lists!$A$2:$A$7,H362)=0,"Unknown status","")))))</f>
        <v/>
      </c>
    </row>
    <row r="363" customFormat="false" ht="15" hidden="false" customHeight="false" outlineLevel="0" collapsed="false">
      <c r="AD363" s="23" t="str">
        <f aca="false">IF(A363="","",IF(COUNTIF(Parcels!$A$2:$A$3000,B363)=0,"Parcel not found",IF(COUNTIF($A$2:$A$3000,A363)&gt;1,"Duplicate perm_id",IF(AND(I363="Yes",C363&lt;&gt;"",COUNTIFS($C$2:$C$3000,C363,$I$2:$I$3000,"Yes")&gt;1),"Reference counted twice",IF(COUNTIF(Lists!$A$2:$A$7,H363)=0,"Unknown status","")))))</f>
        <v/>
      </c>
    </row>
    <row r="364" customFormat="false" ht="15" hidden="false" customHeight="false" outlineLevel="0" collapsed="false">
      <c r="AD364" s="23" t="str">
        <f aca="false">IF(A364="","",IF(COUNTIF(Parcels!$A$2:$A$3000,B364)=0,"Parcel not found",IF(COUNTIF($A$2:$A$3000,A364)&gt;1,"Duplicate perm_id",IF(AND(I364="Yes",C364&lt;&gt;"",COUNTIFS($C$2:$C$3000,C364,$I$2:$I$3000,"Yes")&gt;1),"Reference counted twice",IF(COUNTIF(Lists!$A$2:$A$7,H364)=0,"Unknown status","")))))</f>
        <v/>
      </c>
    </row>
    <row r="365" customFormat="false" ht="15" hidden="false" customHeight="false" outlineLevel="0" collapsed="false">
      <c r="AD365" s="23" t="str">
        <f aca="false">IF(A365="","",IF(COUNTIF(Parcels!$A$2:$A$3000,B365)=0,"Parcel not found",IF(COUNTIF($A$2:$A$3000,A365)&gt;1,"Duplicate perm_id",IF(AND(I365="Yes",C365&lt;&gt;"",COUNTIFS($C$2:$C$3000,C365,$I$2:$I$3000,"Yes")&gt;1),"Reference counted twice",IF(COUNTIF(Lists!$A$2:$A$7,H365)=0,"Unknown status","")))))</f>
        <v/>
      </c>
    </row>
    <row r="366" customFormat="false" ht="15" hidden="false" customHeight="false" outlineLevel="0" collapsed="false">
      <c r="AD366" s="23" t="str">
        <f aca="false">IF(A366="","",IF(COUNTIF(Parcels!$A$2:$A$3000,B366)=0,"Parcel not found",IF(COUNTIF($A$2:$A$3000,A366)&gt;1,"Duplicate perm_id",IF(AND(I366="Yes",C366&lt;&gt;"",COUNTIFS($C$2:$C$3000,C366,$I$2:$I$3000,"Yes")&gt;1),"Reference counted twice",IF(COUNTIF(Lists!$A$2:$A$7,H366)=0,"Unknown status","")))))</f>
        <v/>
      </c>
    </row>
    <row r="367" customFormat="false" ht="15" hidden="false" customHeight="false" outlineLevel="0" collapsed="false">
      <c r="AD367" s="23" t="str">
        <f aca="false">IF(A367="","",IF(COUNTIF(Parcels!$A$2:$A$3000,B367)=0,"Parcel not found",IF(COUNTIF($A$2:$A$3000,A367)&gt;1,"Duplicate perm_id",IF(AND(I367="Yes",C367&lt;&gt;"",COUNTIFS($C$2:$C$3000,C367,$I$2:$I$3000,"Yes")&gt;1),"Reference counted twice",IF(COUNTIF(Lists!$A$2:$A$7,H367)=0,"Unknown status","")))))</f>
        <v/>
      </c>
    </row>
    <row r="368" customFormat="false" ht="15" hidden="false" customHeight="false" outlineLevel="0" collapsed="false">
      <c r="AD368" s="23" t="str">
        <f aca="false">IF(A368="","",IF(COUNTIF(Parcels!$A$2:$A$3000,B368)=0,"Parcel not found",IF(COUNTIF($A$2:$A$3000,A368)&gt;1,"Duplicate perm_id",IF(AND(I368="Yes",C368&lt;&gt;"",COUNTIFS($C$2:$C$3000,C368,$I$2:$I$3000,"Yes")&gt;1),"Reference counted twice",IF(COUNTIF(Lists!$A$2:$A$7,H368)=0,"Unknown status","")))))</f>
        <v/>
      </c>
    </row>
    <row r="369" customFormat="false" ht="15" hidden="false" customHeight="false" outlineLevel="0" collapsed="false">
      <c r="AD369" s="23" t="str">
        <f aca="false">IF(A369="","",IF(COUNTIF(Parcels!$A$2:$A$3000,B369)=0,"Parcel not found",IF(COUNTIF($A$2:$A$3000,A369)&gt;1,"Duplicate perm_id",IF(AND(I369="Yes",C369&lt;&gt;"",COUNTIFS($C$2:$C$3000,C369,$I$2:$I$3000,"Yes")&gt;1),"Reference counted twice",IF(COUNTIF(Lists!$A$2:$A$7,H369)=0,"Unknown status","")))))</f>
        <v/>
      </c>
    </row>
    <row r="370" customFormat="false" ht="15" hidden="false" customHeight="false" outlineLevel="0" collapsed="false">
      <c r="AD370" s="23" t="str">
        <f aca="false">IF(A370="","",IF(COUNTIF(Parcels!$A$2:$A$3000,B370)=0,"Parcel not found",IF(COUNTIF($A$2:$A$3000,A370)&gt;1,"Duplicate perm_id",IF(AND(I370="Yes",C370&lt;&gt;"",COUNTIFS($C$2:$C$3000,C370,$I$2:$I$3000,"Yes")&gt;1),"Reference counted twice",IF(COUNTIF(Lists!$A$2:$A$7,H370)=0,"Unknown status","")))))</f>
        <v/>
      </c>
    </row>
    <row r="371" customFormat="false" ht="15" hidden="false" customHeight="false" outlineLevel="0" collapsed="false">
      <c r="AD371" s="23" t="str">
        <f aca="false">IF(A371="","",IF(COUNTIF(Parcels!$A$2:$A$3000,B371)=0,"Parcel not found",IF(COUNTIF($A$2:$A$3000,A371)&gt;1,"Duplicate perm_id",IF(AND(I371="Yes",C371&lt;&gt;"",COUNTIFS($C$2:$C$3000,C371,$I$2:$I$3000,"Yes")&gt;1),"Reference counted twice",IF(COUNTIF(Lists!$A$2:$A$7,H371)=0,"Unknown status","")))))</f>
        <v/>
      </c>
    </row>
    <row r="372" customFormat="false" ht="15" hidden="false" customHeight="false" outlineLevel="0" collapsed="false">
      <c r="AD372" s="23" t="str">
        <f aca="false">IF(A372="","",IF(COUNTIF(Parcels!$A$2:$A$3000,B372)=0,"Parcel not found",IF(COUNTIF($A$2:$A$3000,A372)&gt;1,"Duplicate perm_id",IF(AND(I372="Yes",C372&lt;&gt;"",COUNTIFS($C$2:$C$3000,C372,$I$2:$I$3000,"Yes")&gt;1),"Reference counted twice",IF(COUNTIF(Lists!$A$2:$A$7,H372)=0,"Unknown status","")))))</f>
        <v/>
      </c>
    </row>
    <row r="373" customFormat="false" ht="15" hidden="false" customHeight="false" outlineLevel="0" collapsed="false">
      <c r="AD373" s="23" t="str">
        <f aca="false">IF(A373="","",IF(COUNTIF(Parcels!$A$2:$A$3000,B373)=0,"Parcel not found",IF(COUNTIF($A$2:$A$3000,A373)&gt;1,"Duplicate perm_id",IF(AND(I373="Yes",C373&lt;&gt;"",COUNTIFS($C$2:$C$3000,C373,$I$2:$I$3000,"Yes")&gt;1),"Reference counted twice",IF(COUNTIF(Lists!$A$2:$A$7,H373)=0,"Unknown status","")))))</f>
        <v/>
      </c>
    </row>
    <row r="374" customFormat="false" ht="15" hidden="false" customHeight="false" outlineLevel="0" collapsed="false">
      <c r="AD374" s="23" t="str">
        <f aca="false">IF(A374="","",IF(COUNTIF(Parcels!$A$2:$A$3000,B374)=0,"Parcel not found",IF(COUNTIF($A$2:$A$3000,A374)&gt;1,"Duplicate perm_id",IF(AND(I374="Yes",C374&lt;&gt;"",COUNTIFS($C$2:$C$3000,C374,$I$2:$I$3000,"Yes")&gt;1),"Reference counted twice",IF(COUNTIF(Lists!$A$2:$A$7,H374)=0,"Unknown status","")))))</f>
        <v/>
      </c>
    </row>
    <row r="375" customFormat="false" ht="15" hidden="false" customHeight="false" outlineLevel="0" collapsed="false">
      <c r="AD375" s="23" t="str">
        <f aca="false">IF(A375="","",IF(COUNTIF(Parcels!$A$2:$A$3000,B375)=0,"Parcel not found",IF(COUNTIF($A$2:$A$3000,A375)&gt;1,"Duplicate perm_id",IF(AND(I375="Yes",C375&lt;&gt;"",COUNTIFS($C$2:$C$3000,C375,$I$2:$I$3000,"Yes")&gt;1),"Reference counted twice",IF(COUNTIF(Lists!$A$2:$A$7,H375)=0,"Unknown status","")))))</f>
        <v/>
      </c>
    </row>
    <row r="376" customFormat="false" ht="15" hidden="false" customHeight="false" outlineLevel="0" collapsed="false">
      <c r="AD376" s="23" t="str">
        <f aca="false">IF(A376="","",IF(COUNTIF(Parcels!$A$2:$A$3000,B376)=0,"Parcel not found",IF(COUNTIF($A$2:$A$3000,A376)&gt;1,"Duplicate perm_id",IF(AND(I376="Yes",C376&lt;&gt;"",COUNTIFS($C$2:$C$3000,C376,$I$2:$I$3000,"Yes")&gt;1),"Reference counted twice",IF(COUNTIF(Lists!$A$2:$A$7,H376)=0,"Unknown status","")))))</f>
        <v/>
      </c>
    </row>
    <row r="377" customFormat="false" ht="15" hidden="false" customHeight="false" outlineLevel="0" collapsed="false">
      <c r="AD377" s="23" t="str">
        <f aca="false">IF(A377="","",IF(COUNTIF(Parcels!$A$2:$A$3000,B377)=0,"Parcel not found",IF(COUNTIF($A$2:$A$3000,A377)&gt;1,"Duplicate perm_id",IF(AND(I377="Yes",C377&lt;&gt;"",COUNTIFS($C$2:$C$3000,C377,$I$2:$I$3000,"Yes")&gt;1),"Reference counted twice",IF(COUNTIF(Lists!$A$2:$A$7,H377)=0,"Unknown status","")))))</f>
        <v/>
      </c>
    </row>
    <row r="378" customFormat="false" ht="15" hidden="false" customHeight="false" outlineLevel="0" collapsed="false">
      <c r="AD378" s="23" t="str">
        <f aca="false">IF(A378="","",IF(COUNTIF(Parcels!$A$2:$A$3000,B378)=0,"Parcel not found",IF(COUNTIF($A$2:$A$3000,A378)&gt;1,"Duplicate perm_id",IF(AND(I378="Yes",C378&lt;&gt;"",COUNTIFS($C$2:$C$3000,C378,$I$2:$I$3000,"Yes")&gt;1),"Reference counted twice",IF(COUNTIF(Lists!$A$2:$A$7,H378)=0,"Unknown status","")))))</f>
        <v/>
      </c>
    </row>
    <row r="379" customFormat="false" ht="15" hidden="false" customHeight="false" outlineLevel="0" collapsed="false">
      <c r="AD379" s="23" t="str">
        <f aca="false">IF(A379="","",IF(COUNTIF(Parcels!$A$2:$A$3000,B379)=0,"Parcel not found",IF(COUNTIF($A$2:$A$3000,A379)&gt;1,"Duplicate perm_id",IF(AND(I379="Yes",C379&lt;&gt;"",COUNTIFS($C$2:$C$3000,C379,$I$2:$I$3000,"Yes")&gt;1),"Reference counted twice",IF(COUNTIF(Lists!$A$2:$A$7,H379)=0,"Unknown status","")))))</f>
        <v/>
      </c>
    </row>
    <row r="380" customFormat="false" ht="15" hidden="false" customHeight="false" outlineLevel="0" collapsed="false">
      <c r="AD380" s="23" t="str">
        <f aca="false">IF(A380="","",IF(COUNTIF(Parcels!$A$2:$A$3000,B380)=0,"Parcel not found",IF(COUNTIF($A$2:$A$3000,A380)&gt;1,"Duplicate perm_id",IF(AND(I380="Yes",C380&lt;&gt;"",COUNTIFS($C$2:$C$3000,C380,$I$2:$I$3000,"Yes")&gt;1),"Reference counted twice",IF(COUNTIF(Lists!$A$2:$A$7,H380)=0,"Unknown status","")))))</f>
        <v/>
      </c>
    </row>
    <row r="381" customFormat="false" ht="15" hidden="false" customHeight="false" outlineLevel="0" collapsed="false">
      <c r="AD381" s="23" t="str">
        <f aca="false">IF(A381="","",IF(COUNTIF(Parcels!$A$2:$A$3000,B381)=0,"Parcel not found",IF(COUNTIF($A$2:$A$3000,A381)&gt;1,"Duplicate perm_id",IF(AND(I381="Yes",C381&lt;&gt;"",COUNTIFS($C$2:$C$3000,C381,$I$2:$I$3000,"Yes")&gt;1),"Reference counted twice",IF(COUNTIF(Lists!$A$2:$A$7,H381)=0,"Unknown status","")))))</f>
        <v/>
      </c>
    </row>
    <row r="382" customFormat="false" ht="15" hidden="false" customHeight="false" outlineLevel="0" collapsed="false">
      <c r="AD382" s="23" t="str">
        <f aca="false">IF(A382="","",IF(COUNTIF(Parcels!$A$2:$A$3000,B382)=0,"Parcel not found",IF(COUNTIF($A$2:$A$3000,A382)&gt;1,"Duplicate perm_id",IF(AND(I382="Yes",C382&lt;&gt;"",COUNTIFS($C$2:$C$3000,C382,$I$2:$I$3000,"Yes")&gt;1),"Reference counted twice",IF(COUNTIF(Lists!$A$2:$A$7,H382)=0,"Unknown status","")))))</f>
        <v/>
      </c>
    </row>
    <row r="383" customFormat="false" ht="15" hidden="false" customHeight="false" outlineLevel="0" collapsed="false">
      <c r="AD383" s="23" t="str">
        <f aca="false">IF(A383="","",IF(COUNTIF(Parcels!$A$2:$A$3000,B383)=0,"Parcel not found",IF(COUNTIF($A$2:$A$3000,A383)&gt;1,"Duplicate perm_id",IF(AND(I383="Yes",C383&lt;&gt;"",COUNTIFS($C$2:$C$3000,C383,$I$2:$I$3000,"Yes")&gt;1),"Reference counted twice",IF(COUNTIF(Lists!$A$2:$A$7,H383)=0,"Unknown status","")))))</f>
        <v/>
      </c>
    </row>
    <row r="384" customFormat="false" ht="15" hidden="false" customHeight="false" outlineLevel="0" collapsed="false">
      <c r="AD384" s="23" t="str">
        <f aca="false">IF(A384="","",IF(COUNTIF(Parcels!$A$2:$A$3000,B384)=0,"Parcel not found",IF(COUNTIF($A$2:$A$3000,A384)&gt;1,"Duplicate perm_id",IF(AND(I384="Yes",C384&lt;&gt;"",COUNTIFS($C$2:$C$3000,C384,$I$2:$I$3000,"Yes")&gt;1),"Reference counted twice",IF(COUNTIF(Lists!$A$2:$A$7,H384)=0,"Unknown status","")))))</f>
        <v/>
      </c>
    </row>
    <row r="385" customFormat="false" ht="15" hidden="false" customHeight="false" outlineLevel="0" collapsed="false">
      <c r="AD385" s="23" t="str">
        <f aca="false">IF(A385="","",IF(COUNTIF(Parcels!$A$2:$A$3000,B385)=0,"Parcel not found",IF(COUNTIF($A$2:$A$3000,A385)&gt;1,"Duplicate perm_id",IF(AND(I385="Yes",C385&lt;&gt;"",COUNTIFS($C$2:$C$3000,C385,$I$2:$I$3000,"Yes")&gt;1),"Reference counted twice",IF(COUNTIF(Lists!$A$2:$A$7,H385)=0,"Unknown status","")))))</f>
        <v/>
      </c>
    </row>
    <row r="386" customFormat="false" ht="15" hidden="false" customHeight="false" outlineLevel="0" collapsed="false">
      <c r="AD386" s="23" t="str">
        <f aca="false">IF(A386="","",IF(COUNTIF(Parcels!$A$2:$A$3000,B386)=0,"Parcel not found",IF(COUNTIF($A$2:$A$3000,A386)&gt;1,"Duplicate perm_id",IF(AND(I386="Yes",C386&lt;&gt;"",COUNTIFS($C$2:$C$3000,C386,$I$2:$I$3000,"Yes")&gt;1),"Reference counted twice",IF(COUNTIF(Lists!$A$2:$A$7,H386)=0,"Unknown status","")))))</f>
        <v/>
      </c>
    </row>
    <row r="387" customFormat="false" ht="15" hidden="false" customHeight="false" outlineLevel="0" collapsed="false">
      <c r="AD387" s="23" t="str">
        <f aca="false">IF(A387="","",IF(COUNTIF(Parcels!$A$2:$A$3000,B387)=0,"Parcel not found",IF(COUNTIF($A$2:$A$3000,A387)&gt;1,"Duplicate perm_id",IF(AND(I387="Yes",C387&lt;&gt;"",COUNTIFS($C$2:$C$3000,C387,$I$2:$I$3000,"Yes")&gt;1),"Reference counted twice",IF(COUNTIF(Lists!$A$2:$A$7,H387)=0,"Unknown status","")))))</f>
        <v/>
      </c>
    </row>
    <row r="388" customFormat="false" ht="15" hidden="false" customHeight="false" outlineLevel="0" collapsed="false">
      <c r="AD388" s="23" t="str">
        <f aca="false">IF(A388="","",IF(COUNTIF(Parcels!$A$2:$A$3000,B388)=0,"Parcel not found",IF(COUNTIF($A$2:$A$3000,A388)&gt;1,"Duplicate perm_id",IF(AND(I388="Yes",C388&lt;&gt;"",COUNTIFS($C$2:$C$3000,C388,$I$2:$I$3000,"Yes")&gt;1),"Reference counted twice",IF(COUNTIF(Lists!$A$2:$A$7,H388)=0,"Unknown status","")))))</f>
        <v/>
      </c>
    </row>
    <row r="389" customFormat="false" ht="15" hidden="false" customHeight="false" outlineLevel="0" collapsed="false">
      <c r="AD389" s="23" t="str">
        <f aca="false">IF(A389="","",IF(COUNTIF(Parcels!$A$2:$A$3000,B389)=0,"Parcel not found",IF(COUNTIF($A$2:$A$3000,A389)&gt;1,"Duplicate perm_id",IF(AND(I389="Yes",C389&lt;&gt;"",COUNTIFS($C$2:$C$3000,C389,$I$2:$I$3000,"Yes")&gt;1),"Reference counted twice",IF(COUNTIF(Lists!$A$2:$A$7,H389)=0,"Unknown status","")))))</f>
        <v/>
      </c>
    </row>
    <row r="390" customFormat="false" ht="15" hidden="false" customHeight="false" outlineLevel="0" collapsed="false">
      <c r="AD390" s="23" t="str">
        <f aca="false">IF(A390="","",IF(COUNTIF(Parcels!$A$2:$A$3000,B390)=0,"Parcel not found",IF(COUNTIF($A$2:$A$3000,A390)&gt;1,"Duplicate perm_id",IF(AND(I390="Yes",C390&lt;&gt;"",COUNTIFS($C$2:$C$3000,C390,$I$2:$I$3000,"Yes")&gt;1),"Reference counted twice",IF(COUNTIF(Lists!$A$2:$A$7,H390)=0,"Unknown status","")))))</f>
        <v/>
      </c>
    </row>
    <row r="391" customFormat="false" ht="15" hidden="false" customHeight="false" outlineLevel="0" collapsed="false">
      <c r="AD391" s="23" t="str">
        <f aca="false">IF(A391="","",IF(COUNTIF(Parcels!$A$2:$A$3000,B391)=0,"Parcel not found",IF(COUNTIF($A$2:$A$3000,A391)&gt;1,"Duplicate perm_id",IF(AND(I391="Yes",C391&lt;&gt;"",COUNTIFS($C$2:$C$3000,C391,$I$2:$I$3000,"Yes")&gt;1),"Reference counted twice",IF(COUNTIF(Lists!$A$2:$A$7,H391)=0,"Unknown status","")))))</f>
        <v/>
      </c>
    </row>
    <row r="392" customFormat="false" ht="15" hidden="false" customHeight="false" outlineLevel="0" collapsed="false">
      <c r="AD392" s="23" t="str">
        <f aca="false">IF(A392="","",IF(COUNTIF(Parcels!$A$2:$A$3000,B392)=0,"Parcel not found",IF(COUNTIF($A$2:$A$3000,A392)&gt;1,"Duplicate perm_id",IF(AND(I392="Yes",C392&lt;&gt;"",COUNTIFS($C$2:$C$3000,C392,$I$2:$I$3000,"Yes")&gt;1),"Reference counted twice",IF(COUNTIF(Lists!$A$2:$A$7,H392)=0,"Unknown status","")))))</f>
        <v/>
      </c>
    </row>
    <row r="393" customFormat="false" ht="15" hidden="false" customHeight="false" outlineLevel="0" collapsed="false">
      <c r="AD393" s="23" t="str">
        <f aca="false">IF(A393="","",IF(COUNTIF(Parcels!$A$2:$A$3000,B393)=0,"Parcel not found",IF(COUNTIF($A$2:$A$3000,A393)&gt;1,"Duplicate perm_id",IF(AND(I393="Yes",C393&lt;&gt;"",COUNTIFS($C$2:$C$3000,C393,$I$2:$I$3000,"Yes")&gt;1),"Reference counted twice",IF(COUNTIF(Lists!$A$2:$A$7,H393)=0,"Unknown status","")))))</f>
        <v/>
      </c>
    </row>
    <row r="394" customFormat="false" ht="15" hidden="false" customHeight="false" outlineLevel="0" collapsed="false">
      <c r="AD394" s="23" t="str">
        <f aca="false">IF(A394="","",IF(COUNTIF(Parcels!$A$2:$A$3000,B394)=0,"Parcel not found",IF(COUNTIF($A$2:$A$3000,A394)&gt;1,"Duplicate perm_id",IF(AND(I394="Yes",C394&lt;&gt;"",COUNTIFS($C$2:$C$3000,C394,$I$2:$I$3000,"Yes")&gt;1),"Reference counted twice",IF(COUNTIF(Lists!$A$2:$A$7,H394)=0,"Unknown status","")))))</f>
        <v/>
      </c>
    </row>
    <row r="395" customFormat="false" ht="15" hidden="false" customHeight="false" outlineLevel="0" collapsed="false">
      <c r="AD395" s="23" t="str">
        <f aca="false">IF(A395="","",IF(COUNTIF(Parcels!$A$2:$A$3000,B395)=0,"Parcel not found",IF(COUNTIF($A$2:$A$3000,A395)&gt;1,"Duplicate perm_id",IF(AND(I395="Yes",C395&lt;&gt;"",COUNTIFS($C$2:$C$3000,C395,$I$2:$I$3000,"Yes")&gt;1),"Reference counted twice",IF(COUNTIF(Lists!$A$2:$A$7,H395)=0,"Unknown status","")))))</f>
        <v/>
      </c>
    </row>
    <row r="396" customFormat="false" ht="15" hidden="false" customHeight="false" outlineLevel="0" collapsed="false">
      <c r="AD396" s="23" t="str">
        <f aca="false">IF(A396="","",IF(COUNTIF(Parcels!$A$2:$A$3000,B396)=0,"Parcel not found",IF(COUNTIF($A$2:$A$3000,A396)&gt;1,"Duplicate perm_id",IF(AND(I396="Yes",C396&lt;&gt;"",COUNTIFS($C$2:$C$3000,C396,$I$2:$I$3000,"Yes")&gt;1),"Reference counted twice",IF(COUNTIF(Lists!$A$2:$A$7,H396)=0,"Unknown status","")))))</f>
        <v/>
      </c>
    </row>
    <row r="397" customFormat="false" ht="15" hidden="false" customHeight="false" outlineLevel="0" collapsed="false">
      <c r="AD397" s="23" t="str">
        <f aca="false">IF(A397="","",IF(COUNTIF(Parcels!$A$2:$A$3000,B397)=0,"Parcel not found",IF(COUNTIF($A$2:$A$3000,A397)&gt;1,"Duplicate perm_id",IF(AND(I397="Yes",C397&lt;&gt;"",COUNTIFS($C$2:$C$3000,C397,$I$2:$I$3000,"Yes")&gt;1),"Reference counted twice",IF(COUNTIF(Lists!$A$2:$A$7,H397)=0,"Unknown status","")))))</f>
        <v/>
      </c>
    </row>
    <row r="398" customFormat="false" ht="15" hidden="false" customHeight="false" outlineLevel="0" collapsed="false">
      <c r="AD398" s="23" t="str">
        <f aca="false">IF(A398="","",IF(COUNTIF(Parcels!$A$2:$A$3000,B398)=0,"Parcel not found",IF(COUNTIF($A$2:$A$3000,A398)&gt;1,"Duplicate perm_id",IF(AND(I398="Yes",C398&lt;&gt;"",COUNTIFS($C$2:$C$3000,C398,$I$2:$I$3000,"Yes")&gt;1),"Reference counted twice",IF(COUNTIF(Lists!$A$2:$A$7,H398)=0,"Unknown status","")))))</f>
        <v/>
      </c>
    </row>
    <row r="399" customFormat="false" ht="15" hidden="false" customHeight="false" outlineLevel="0" collapsed="false">
      <c r="AD399" s="23" t="str">
        <f aca="false">IF(A399="","",IF(COUNTIF(Parcels!$A$2:$A$3000,B399)=0,"Parcel not found",IF(COUNTIF($A$2:$A$3000,A399)&gt;1,"Duplicate perm_id",IF(AND(I399="Yes",C399&lt;&gt;"",COUNTIFS($C$2:$C$3000,C399,$I$2:$I$3000,"Yes")&gt;1),"Reference counted twice",IF(COUNTIF(Lists!$A$2:$A$7,H399)=0,"Unknown status","")))))</f>
        <v/>
      </c>
    </row>
    <row r="400" customFormat="false" ht="15" hidden="false" customHeight="false" outlineLevel="0" collapsed="false">
      <c r="AD400" s="23" t="str">
        <f aca="false">IF(A400="","",IF(COUNTIF(Parcels!$A$2:$A$3000,B400)=0,"Parcel not found",IF(COUNTIF($A$2:$A$3000,A400)&gt;1,"Duplicate perm_id",IF(AND(I400="Yes",C400&lt;&gt;"",COUNTIFS($C$2:$C$3000,C400,$I$2:$I$3000,"Yes")&gt;1),"Reference counted twice",IF(COUNTIF(Lists!$A$2:$A$7,H400)=0,"Unknown status","")))))</f>
        <v/>
      </c>
    </row>
    <row r="401" customFormat="false" ht="15" hidden="false" customHeight="false" outlineLevel="0" collapsed="false">
      <c r="AD401" s="23" t="str">
        <f aca="false">IF(A401="","",IF(COUNTIF(Parcels!$A$2:$A$3000,B401)=0,"Parcel not found",IF(COUNTIF($A$2:$A$3000,A401)&gt;1,"Duplicate perm_id",IF(AND(I401="Yes",C401&lt;&gt;"",COUNTIFS($C$2:$C$3000,C401,$I$2:$I$3000,"Yes")&gt;1),"Reference counted twice",IF(COUNTIF(Lists!$A$2:$A$7,H401)=0,"Unknown status","")))))</f>
        <v/>
      </c>
    </row>
    <row r="402" customFormat="false" ht="15" hidden="false" customHeight="false" outlineLevel="0" collapsed="false">
      <c r="AD402" s="23" t="str">
        <f aca="false">IF(A402="","",IF(COUNTIF(Parcels!$A$2:$A$3000,B402)=0,"Parcel not found",IF(COUNTIF($A$2:$A$3000,A402)&gt;1,"Duplicate perm_id",IF(AND(I402="Yes",C402&lt;&gt;"",COUNTIFS($C$2:$C$3000,C402,$I$2:$I$3000,"Yes")&gt;1),"Reference counted twice",IF(COUNTIF(Lists!$A$2:$A$7,H402)=0,"Unknown status","")))))</f>
        <v/>
      </c>
    </row>
    <row r="403" customFormat="false" ht="15" hidden="false" customHeight="false" outlineLevel="0" collapsed="false">
      <c r="AD403" s="23" t="str">
        <f aca="false">IF(A403="","",IF(COUNTIF(Parcels!$A$2:$A$3000,B403)=0,"Parcel not found",IF(COUNTIF($A$2:$A$3000,A403)&gt;1,"Duplicate perm_id",IF(AND(I403="Yes",C403&lt;&gt;"",COUNTIFS($C$2:$C$3000,C403,$I$2:$I$3000,"Yes")&gt;1),"Reference counted twice",IF(COUNTIF(Lists!$A$2:$A$7,H403)=0,"Unknown status","")))))</f>
        <v/>
      </c>
    </row>
    <row r="404" customFormat="false" ht="15" hidden="false" customHeight="false" outlineLevel="0" collapsed="false">
      <c r="AD404" s="23" t="str">
        <f aca="false">IF(A404="","",IF(COUNTIF(Parcels!$A$2:$A$3000,B404)=0,"Parcel not found",IF(COUNTIF($A$2:$A$3000,A404)&gt;1,"Duplicate perm_id",IF(AND(I404="Yes",C404&lt;&gt;"",COUNTIFS($C$2:$C$3000,C404,$I$2:$I$3000,"Yes")&gt;1),"Reference counted twice",IF(COUNTIF(Lists!$A$2:$A$7,H404)=0,"Unknown status","")))))</f>
        <v/>
      </c>
    </row>
    <row r="405" customFormat="false" ht="15" hidden="false" customHeight="false" outlineLevel="0" collapsed="false">
      <c r="AD405" s="23" t="str">
        <f aca="false">IF(A405="","",IF(COUNTIF(Parcels!$A$2:$A$3000,B405)=0,"Parcel not found",IF(COUNTIF($A$2:$A$3000,A405)&gt;1,"Duplicate perm_id",IF(AND(I405="Yes",C405&lt;&gt;"",COUNTIFS($C$2:$C$3000,C405,$I$2:$I$3000,"Yes")&gt;1),"Reference counted twice",IF(COUNTIF(Lists!$A$2:$A$7,H405)=0,"Unknown status","")))))</f>
        <v/>
      </c>
    </row>
    <row r="406" customFormat="false" ht="15" hidden="false" customHeight="false" outlineLevel="0" collapsed="false">
      <c r="AD406" s="23" t="str">
        <f aca="false">IF(A406="","",IF(COUNTIF(Parcels!$A$2:$A$3000,B406)=0,"Parcel not found",IF(COUNTIF($A$2:$A$3000,A406)&gt;1,"Duplicate perm_id",IF(AND(I406="Yes",C406&lt;&gt;"",COUNTIFS($C$2:$C$3000,C406,$I$2:$I$3000,"Yes")&gt;1),"Reference counted twice",IF(COUNTIF(Lists!$A$2:$A$7,H406)=0,"Unknown status","")))))</f>
        <v/>
      </c>
    </row>
    <row r="407" customFormat="false" ht="15" hidden="false" customHeight="false" outlineLevel="0" collapsed="false">
      <c r="AD407" s="23" t="str">
        <f aca="false">IF(A407="","",IF(COUNTIF(Parcels!$A$2:$A$3000,B407)=0,"Parcel not found",IF(COUNTIF($A$2:$A$3000,A407)&gt;1,"Duplicate perm_id",IF(AND(I407="Yes",C407&lt;&gt;"",COUNTIFS($C$2:$C$3000,C407,$I$2:$I$3000,"Yes")&gt;1),"Reference counted twice",IF(COUNTIF(Lists!$A$2:$A$7,H407)=0,"Unknown status","")))))</f>
        <v/>
      </c>
    </row>
    <row r="408" customFormat="false" ht="15" hidden="false" customHeight="false" outlineLevel="0" collapsed="false">
      <c r="AD408" s="23" t="str">
        <f aca="false">IF(A408="","",IF(COUNTIF(Parcels!$A$2:$A$3000,B408)=0,"Parcel not found",IF(COUNTIF($A$2:$A$3000,A408)&gt;1,"Duplicate perm_id",IF(AND(I408="Yes",C408&lt;&gt;"",COUNTIFS($C$2:$C$3000,C408,$I$2:$I$3000,"Yes")&gt;1),"Reference counted twice",IF(COUNTIF(Lists!$A$2:$A$7,H408)=0,"Unknown status","")))))</f>
        <v/>
      </c>
    </row>
    <row r="409" customFormat="false" ht="15" hidden="false" customHeight="false" outlineLevel="0" collapsed="false">
      <c r="AD409" s="23" t="str">
        <f aca="false">IF(A409="","",IF(COUNTIF(Parcels!$A$2:$A$3000,B409)=0,"Parcel not found",IF(COUNTIF($A$2:$A$3000,A409)&gt;1,"Duplicate perm_id",IF(AND(I409="Yes",C409&lt;&gt;"",COUNTIFS($C$2:$C$3000,C409,$I$2:$I$3000,"Yes")&gt;1),"Reference counted twice",IF(COUNTIF(Lists!$A$2:$A$7,H409)=0,"Unknown status","")))))</f>
        <v/>
      </c>
    </row>
    <row r="410" customFormat="false" ht="15" hidden="false" customHeight="false" outlineLevel="0" collapsed="false">
      <c r="AD410" s="23" t="str">
        <f aca="false">IF(A410="","",IF(COUNTIF(Parcels!$A$2:$A$3000,B410)=0,"Parcel not found",IF(COUNTIF($A$2:$A$3000,A410)&gt;1,"Duplicate perm_id",IF(AND(I410="Yes",C410&lt;&gt;"",COUNTIFS($C$2:$C$3000,C410,$I$2:$I$3000,"Yes")&gt;1),"Reference counted twice",IF(COUNTIF(Lists!$A$2:$A$7,H410)=0,"Unknown status","")))))</f>
        <v/>
      </c>
    </row>
    <row r="411" customFormat="false" ht="15" hidden="false" customHeight="false" outlineLevel="0" collapsed="false">
      <c r="AD411" s="23" t="str">
        <f aca="false">IF(A411="","",IF(COUNTIF(Parcels!$A$2:$A$3000,B411)=0,"Parcel not found",IF(COUNTIF($A$2:$A$3000,A411)&gt;1,"Duplicate perm_id",IF(AND(I411="Yes",C411&lt;&gt;"",COUNTIFS($C$2:$C$3000,C411,$I$2:$I$3000,"Yes")&gt;1),"Reference counted twice",IF(COUNTIF(Lists!$A$2:$A$7,H411)=0,"Unknown status","")))))</f>
        <v/>
      </c>
    </row>
    <row r="412" customFormat="false" ht="15" hidden="false" customHeight="false" outlineLevel="0" collapsed="false">
      <c r="AD412" s="23" t="str">
        <f aca="false">IF(A412="","",IF(COUNTIF(Parcels!$A$2:$A$3000,B412)=0,"Parcel not found",IF(COUNTIF($A$2:$A$3000,A412)&gt;1,"Duplicate perm_id",IF(AND(I412="Yes",C412&lt;&gt;"",COUNTIFS($C$2:$C$3000,C412,$I$2:$I$3000,"Yes")&gt;1),"Reference counted twice",IF(COUNTIF(Lists!$A$2:$A$7,H412)=0,"Unknown status","")))))</f>
        <v/>
      </c>
    </row>
    <row r="413" customFormat="false" ht="15" hidden="false" customHeight="false" outlineLevel="0" collapsed="false">
      <c r="AD413" s="23" t="str">
        <f aca="false">IF(A413="","",IF(COUNTIF(Parcels!$A$2:$A$3000,B413)=0,"Parcel not found",IF(COUNTIF($A$2:$A$3000,A413)&gt;1,"Duplicate perm_id",IF(AND(I413="Yes",C413&lt;&gt;"",COUNTIFS($C$2:$C$3000,C413,$I$2:$I$3000,"Yes")&gt;1),"Reference counted twice",IF(COUNTIF(Lists!$A$2:$A$7,H413)=0,"Unknown status","")))))</f>
        <v/>
      </c>
    </row>
    <row r="414" customFormat="false" ht="15" hidden="false" customHeight="false" outlineLevel="0" collapsed="false">
      <c r="AD414" s="23" t="str">
        <f aca="false">IF(A414="","",IF(COUNTIF(Parcels!$A$2:$A$3000,B414)=0,"Parcel not found",IF(COUNTIF($A$2:$A$3000,A414)&gt;1,"Duplicate perm_id",IF(AND(I414="Yes",C414&lt;&gt;"",COUNTIFS($C$2:$C$3000,C414,$I$2:$I$3000,"Yes")&gt;1),"Reference counted twice",IF(COUNTIF(Lists!$A$2:$A$7,H414)=0,"Unknown status","")))))</f>
        <v/>
      </c>
    </row>
    <row r="415" customFormat="false" ht="15" hidden="false" customHeight="false" outlineLevel="0" collapsed="false">
      <c r="AD415" s="23" t="str">
        <f aca="false">IF(A415="","",IF(COUNTIF(Parcels!$A$2:$A$3000,B415)=0,"Parcel not found",IF(COUNTIF($A$2:$A$3000,A415)&gt;1,"Duplicate perm_id",IF(AND(I415="Yes",C415&lt;&gt;"",COUNTIFS($C$2:$C$3000,C415,$I$2:$I$3000,"Yes")&gt;1),"Reference counted twice",IF(COUNTIF(Lists!$A$2:$A$7,H415)=0,"Unknown status","")))))</f>
        <v/>
      </c>
    </row>
    <row r="416" customFormat="false" ht="15" hidden="false" customHeight="false" outlineLevel="0" collapsed="false">
      <c r="AD416" s="23" t="str">
        <f aca="false">IF(A416="","",IF(COUNTIF(Parcels!$A$2:$A$3000,B416)=0,"Parcel not found",IF(COUNTIF($A$2:$A$3000,A416)&gt;1,"Duplicate perm_id",IF(AND(I416="Yes",C416&lt;&gt;"",COUNTIFS($C$2:$C$3000,C416,$I$2:$I$3000,"Yes")&gt;1),"Reference counted twice",IF(COUNTIF(Lists!$A$2:$A$7,H416)=0,"Unknown status","")))))</f>
        <v/>
      </c>
    </row>
    <row r="417" customFormat="false" ht="15" hidden="false" customHeight="false" outlineLevel="0" collapsed="false">
      <c r="AD417" s="23" t="str">
        <f aca="false">IF(A417="","",IF(COUNTIF(Parcels!$A$2:$A$3000,B417)=0,"Parcel not found",IF(COUNTIF($A$2:$A$3000,A417)&gt;1,"Duplicate perm_id",IF(AND(I417="Yes",C417&lt;&gt;"",COUNTIFS($C$2:$C$3000,C417,$I$2:$I$3000,"Yes")&gt;1),"Reference counted twice",IF(COUNTIF(Lists!$A$2:$A$7,H417)=0,"Unknown status","")))))</f>
        <v/>
      </c>
    </row>
    <row r="418" customFormat="false" ht="15" hidden="false" customHeight="false" outlineLevel="0" collapsed="false">
      <c r="AD418" s="23" t="str">
        <f aca="false">IF(A418="","",IF(COUNTIF(Parcels!$A$2:$A$3000,B418)=0,"Parcel not found",IF(COUNTIF($A$2:$A$3000,A418)&gt;1,"Duplicate perm_id",IF(AND(I418="Yes",C418&lt;&gt;"",COUNTIFS($C$2:$C$3000,C418,$I$2:$I$3000,"Yes")&gt;1),"Reference counted twice",IF(COUNTIF(Lists!$A$2:$A$7,H418)=0,"Unknown status","")))))</f>
        <v/>
      </c>
    </row>
    <row r="419" customFormat="false" ht="15" hidden="false" customHeight="false" outlineLevel="0" collapsed="false">
      <c r="AD419" s="23" t="str">
        <f aca="false">IF(A419="","",IF(COUNTIF(Parcels!$A$2:$A$3000,B419)=0,"Parcel not found",IF(COUNTIF($A$2:$A$3000,A419)&gt;1,"Duplicate perm_id",IF(AND(I419="Yes",C419&lt;&gt;"",COUNTIFS($C$2:$C$3000,C419,$I$2:$I$3000,"Yes")&gt;1),"Reference counted twice",IF(COUNTIF(Lists!$A$2:$A$7,H419)=0,"Unknown status","")))))</f>
        <v/>
      </c>
    </row>
    <row r="420" customFormat="false" ht="15" hidden="false" customHeight="false" outlineLevel="0" collapsed="false">
      <c r="AD420" s="23" t="str">
        <f aca="false">IF(A420="","",IF(COUNTIF(Parcels!$A$2:$A$3000,B420)=0,"Parcel not found",IF(COUNTIF($A$2:$A$3000,A420)&gt;1,"Duplicate perm_id",IF(AND(I420="Yes",C420&lt;&gt;"",COUNTIFS($C$2:$C$3000,C420,$I$2:$I$3000,"Yes")&gt;1),"Reference counted twice",IF(COUNTIF(Lists!$A$2:$A$7,H420)=0,"Unknown status","")))))</f>
        <v/>
      </c>
    </row>
    <row r="421" customFormat="false" ht="15" hidden="false" customHeight="false" outlineLevel="0" collapsed="false">
      <c r="AD421" s="23" t="str">
        <f aca="false">IF(A421="","",IF(COUNTIF(Parcels!$A$2:$A$3000,B421)=0,"Parcel not found",IF(COUNTIF($A$2:$A$3000,A421)&gt;1,"Duplicate perm_id",IF(AND(I421="Yes",C421&lt;&gt;"",COUNTIFS($C$2:$C$3000,C421,$I$2:$I$3000,"Yes")&gt;1),"Reference counted twice",IF(COUNTIF(Lists!$A$2:$A$7,H421)=0,"Unknown status","")))))</f>
        <v/>
      </c>
    </row>
    <row r="422" customFormat="false" ht="15" hidden="false" customHeight="false" outlineLevel="0" collapsed="false">
      <c r="AD422" s="23" t="str">
        <f aca="false">IF(A422="","",IF(COUNTIF(Parcels!$A$2:$A$3000,B422)=0,"Parcel not found",IF(COUNTIF($A$2:$A$3000,A422)&gt;1,"Duplicate perm_id",IF(AND(I422="Yes",C422&lt;&gt;"",COUNTIFS($C$2:$C$3000,C422,$I$2:$I$3000,"Yes")&gt;1),"Reference counted twice",IF(COUNTIF(Lists!$A$2:$A$7,H422)=0,"Unknown status","")))))</f>
        <v/>
      </c>
    </row>
    <row r="423" customFormat="false" ht="15" hidden="false" customHeight="false" outlineLevel="0" collapsed="false">
      <c r="AD423" s="23" t="str">
        <f aca="false">IF(A423="","",IF(COUNTIF(Parcels!$A$2:$A$3000,B423)=0,"Parcel not found",IF(COUNTIF($A$2:$A$3000,A423)&gt;1,"Duplicate perm_id",IF(AND(I423="Yes",C423&lt;&gt;"",COUNTIFS($C$2:$C$3000,C423,$I$2:$I$3000,"Yes")&gt;1),"Reference counted twice",IF(COUNTIF(Lists!$A$2:$A$7,H423)=0,"Unknown status","")))))</f>
        <v/>
      </c>
    </row>
    <row r="424" customFormat="false" ht="15" hidden="false" customHeight="false" outlineLevel="0" collapsed="false">
      <c r="AD424" s="23" t="str">
        <f aca="false">IF(A424="","",IF(COUNTIF(Parcels!$A$2:$A$3000,B424)=0,"Parcel not found",IF(COUNTIF($A$2:$A$3000,A424)&gt;1,"Duplicate perm_id",IF(AND(I424="Yes",C424&lt;&gt;"",COUNTIFS($C$2:$C$3000,C424,$I$2:$I$3000,"Yes")&gt;1),"Reference counted twice",IF(COUNTIF(Lists!$A$2:$A$7,H424)=0,"Unknown status","")))))</f>
        <v/>
      </c>
    </row>
    <row r="425" customFormat="false" ht="15" hidden="false" customHeight="false" outlineLevel="0" collapsed="false">
      <c r="AD425" s="23" t="str">
        <f aca="false">IF(A425="","",IF(COUNTIF(Parcels!$A$2:$A$3000,B425)=0,"Parcel not found",IF(COUNTIF($A$2:$A$3000,A425)&gt;1,"Duplicate perm_id",IF(AND(I425="Yes",C425&lt;&gt;"",COUNTIFS($C$2:$C$3000,C425,$I$2:$I$3000,"Yes")&gt;1),"Reference counted twice",IF(COUNTIF(Lists!$A$2:$A$7,H425)=0,"Unknown status","")))))</f>
        <v/>
      </c>
    </row>
    <row r="426" customFormat="false" ht="15" hidden="false" customHeight="false" outlineLevel="0" collapsed="false">
      <c r="AD426" s="23" t="str">
        <f aca="false">IF(A426="","",IF(COUNTIF(Parcels!$A$2:$A$3000,B426)=0,"Parcel not found",IF(COUNTIF($A$2:$A$3000,A426)&gt;1,"Duplicate perm_id",IF(AND(I426="Yes",C426&lt;&gt;"",COUNTIFS($C$2:$C$3000,C426,$I$2:$I$3000,"Yes")&gt;1),"Reference counted twice",IF(COUNTIF(Lists!$A$2:$A$7,H426)=0,"Unknown status","")))))</f>
        <v/>
      </c>
    </row>
    <row r="427" customFormat="false" ht="15" hidden="false" customHeight="false" outlineLevel="0" collapsed="false">
      <c r="AD427" s="23" t="str">
        <f aca="false">IF(A427="","",IF(COUNTIF(Parcels!$A$2:$A$3000,B427)=0,"Parcel not found",IF(COUNTIF($A$2:$A$3000,A427)&gt;1,"Duplicate perm_id",IF(AND(I427="Yes",C427&lt;&gt;"",COUNTIFS($C$2:$C$3000,C427,$I$2:$I$3000,"Yes")&gt;1),"Reference counted twice",IF(COUNTIF(Lists!$A$2:$A$7,H427)=0,"Unknown status","")))))</f>
        <v/>
      </c>
    </row>
    <row r="428" customFormat="false" ht="15" hidden="false" customHeight="false" outlineLevel="0" collapsed="false">
      <c r="AD428" s="23" t="str">
        <f aca="false">IF(A428="","",IF(COUNTIF(Parcels!$A$2:$A$3000,B428)=0,"Parcel not found",IF(COUNTIF($A$2:$A$3000,A428)&gt;1,"Duplicate perm_id",IF(AND(I428="Yes",C428&lt;&gt;"",COUNTIFS($C$2:$C$3000,C428,$I$2:$I$3000,"Yes")&gt;1),"Reference counted twice",IF(COUNTIF(Lists!$A$2:$A$7,H428)=0,"Unknown status","")))))</f>
        <v/>
      </c>
    </row>
    <row r="429" customFormat="false" ht="15" hidden="false" customHeight="false" outlineLevel="0" collapsed="false">
      <c r="AD429" s="23" t="str">
        <f aca="false">IF(A429="","",IF(COUNTIF(Parcels!$A$2:$A$3000,B429)=0,"Parcel not found",IF(COUNTIF($A$2:$A$3000,A429)&gt;1,"Duplicate perm_id",IF(AND(I429="Yes",C429&lt;&gt;"",COUNTIFS($C$2:$C$3000,C429,$I$2:$I$3000,"Yes")&gt;1),"Reference counted twice",IF(COUNTIF(Lists!$A$2:$A$7,H429)=0,"Unknown status","")))))</f>
        <v/>
      </c>
    </row>
    <row r="430" customFormat="false" ht="15" hidden="false" customHeight="false" outlineLevel="0" collapsed="false">
      <c r="AD430" s="23" t="str">
        <f aca="false">IF(A430="","",IF(COUNTIF(Parcels!$A$2:$A$3000,B430)=0,"Parcel not found",IF(COUNTIF($A$2:$A$3000,A430)&gt;1,"Duplicate perm_id",IF(AND(I430="Yes",C430&lt;&gt;"",COUNTIFS($C$2:$C$3000,C430,$I$2:$I$3000,"Yes")&gt;1),"Reference counted twice",IF(COUNTIF(Lists!$A$2:$A$7,H430)=0,"Unknown status","")))))</f>
        <v/>
      </c>
    </row>
    <row r="431" customFormat="false" ht="15" hidden="false" customHeight="false" outlineLevel="0" collapsed="false">
      <c r="AD431" s="23" t="str">
        <f aca="false">IF(A431="","",IF(COUNTIF(Parcels!$A$2:$A$3000,B431)=0,"Parcel not found",IF(COUNTIF($A$2:$A$3000,A431)&gt;1,"Duplicate perm_id",IF(AND(I431="Yes",C431&lt;&gt;"",COUNTIFS($C$2:$C$3000,C431,$I$2:$I$3000,"Yes")&gt;1),"Reference counted twice",IF(COUNTIF(Lists!$A$2:$A$7,H431)=0,"Unknown status","")))))</f>
        <v/>
      </c>
    </row>
    <row r="432" customFormat="false" ht="15" hidden="false" customHeight="false" outlineLevel="0" collapsed="false">
      <c r="AD432" s="23" t="str">
        <f aca="false">IF(A432="","",IF(COUNTIF(Parcels!$A$2:$A$3000,B432)=0,"Parcel not found",IF(COUNTIF($A$2:$A$3000,A432)&gt;1,"Duplicate perm_id",IF(AND(I432="Yes",C432&lt;&gt;"",COUNTIFS($C$2:$C$3000,C432,$I$2:$I$3000,"Yes")&gt;1),"Reference counted twice",IF(COUNTIF(Lists!$A$2:$A$7,H432)=0,"Unknown status","")))))</f>
        <v/>
      </c>
    </row>
    <row r="433" customFormat="false" ht="15" hidden="false" customHeight="false" outlineLevel="0" collapsed="false">
      <c r="AD433" s="23" t="str">
        <f aca="false">IF(A433="","",IF(COUNTIF(Parcels!$A$2:$A$3000,B433)=0,"Parcel not found",IF(COUNTIF($A$2:$A$3000,A433)&gt;1,"Duplicate perm_id",IF(AND(I433="Yes",C433&lt;&gt;"",COUNTIFS($C$2:$C$3000,C433,$I$2:$I$3000,"Yes")&gt;1),"Reference counted twice",IF(COUNTIF(Lists!$A$2:$A$7,H433)=0,"Unknown status","")))))</f>
        <v/>
      </c>
    </row>
    <row r="434" customFormat="false" ht="15" hidden="false" customHeight="false" outlineLevel="0" collapsed="false">
      <c r="AD434" s="23" t="str">
        <f aca="false">IF(A434="","",IF(COUNTIF(Parcels!$A$2:$A$3000,B434)=0,"Parcel not found",IF(COUNTIF($A$2:$A$3000,A434)&gt;1,"Duplicate perm_id",IF(AND(I434="Yes",C434&lt;&gt;"",COUNTIFS($C$2:$C$3000,C434,$I$2:$I$3000,"Yes")&gt;1),"Reference counted twice",IF(COUNTIF(Lists!$A$2:$A$7,H434)=0,"Unknown status","")))))</f>
        <v/>
      </c>
    </row>
    <row r="435" customFormat="false" ht="15" hidden="false" customHeight="false" outlineLevel="0" collapsed="false">
      <c r="AD435" s="23" t="str">
        <f aca="false">IF(A435="","",IF(COUNTIF(Parcels!$A$2:$A$3000,B435)=0,"Parcel not found",IF(COUNTIF($A$2:$A$3000,A435)&gt;1,"Duplicate perm_id",IF(AND(I435="Yes",C435&lt;&gt;"",COUNTIFS($C$2:$C$3000,C435,$I$2:$I$3000,"Yes")&gt;1),"Reference counted twice",IF(COUNTIF(Lists!$A$2:$A$7,H435)=0,"Unknown status","")))))</f>
        <v/>
      </c>
    </row>
    <row r="436" customFormat="false" ht="15" hidden="false" customHeight="false" outlineLevel="0" collapsed="false">
      <c r="AD436" s="23" t="str">
        <f aca="false">IF(A436="","",IF(COUNTIF(Parcels!$A$2:$A$3000,B436)=0,"Parcel not found",IF(COUNTIF($A$2:$A$3000,A436)&gt;1,"Duplicate perm_id",IF(AND(I436="Yes",C436&lt;&gt;"",COUNTIFS($C$2:$C$3000,C436,$I$2:$I$3000,"Yes")&gt;1),"Reference counted twice",IF(COUNTIF(Lists!$A$2:$A$7,H436)=0,"Unknown status","")))))</f>
        <v/>
      </c>
    </row>
    <row r="437" customFormat="false" ht="15" hidden="false" customHeight="false" outlineLevel="0" collapsed="false">
      <c r="AD437" s="23" t="str">
        <f aca="false">IF(A437="","",IF(COUNTIF(Parcels!$A$2:$A$3000,B437)=0,"Parcel not found",IF(COUNTIF($A$2:$A$3000,A437)&gt;1,"Duplicate perm_id",IF(AND(I437="Yes",C437&lt;&gt;"",COUNTIFS($C$2:$C$3000,C437,$I$2:$I$3000,"Yes")&gt;1),"Reference counted twice",IF(COUNTIF(Lists!$A$2:$A$7,H437)=0,"Unknown status","")))))</f>
        <v/>
      </c>
    </row>
    <row r="438" customFormat="false" ht="15" hidden="false" customHeight="false" outlineLevel="0" collapsed="false">
      <c r="AD438" s="23" t="str">
        <f aca="false">IF(A438="","",IF(COUNTIF(Parcels!$A$2:$A$3000,B438)=0,"Parcel not found",IF(COUNTIF($A$2:$A$3000,A438)&gt;1,"Duplicate perm_id",IF(AND(I438="Yes",C438&lt;&gt;"",COUNTIFS($C$2:$C$3000,C438,$I$2:$I$3000,"Yes")&gt;1),"Reference counted twice",IF(COUNTIF(Lists!$A$2:$A$7,H438)=0,"Unknown status","")))))</f>
        <v/>
      </c>
    </row>
    <row r="439" customFormat="false" ht="15" hidden="false" customHeight="false" outlineLevel="0" collapsed="false">
      <c r="AD439" s="23" t="str">
        <f aca="false">IF(A439="","",IF(COUNTIF(Parcels!$A$2:$A$3000,B439)=0,"Parcel not found",IF(COUNTIF($A$2:$A$3000,A439)&gt;1,"Duplicate perm_id",IF(AND(I439="Yes",C439&lt;&gt;"",COUNTIFS($C$2:$C$3000,C439,$I$2:$I$3000,"Yes")&gt;1),"Reference counted twice",IF(COUNTIF(Lists!$A$2:$A$7,H439)=0,"Unknown status","")))))</f>
        <v/>
      </c>
    </row>
    <row r="440" customFormat="false" ht="15" hidden="false" customHeight="false" outlineLevel="0" collapsed="false">
      <c r="AD440" s="23" t="str">
        <f aca="false">IF(A440="","",IF(COUNTIF(Parcels!$A$2:$A$3000,B440)=0,"Parcel not found",IF(COUNTIF($A$2:$A$3000,A440)&gt;1,"Duplicate perm_id",IF(AND(I440="Yes",C440&lt;&gt;"",COUNTIFS($C$2:$C$3000,C440,$I$2:$I$3000,"Yes")&gt;1),"Reference counted twice",IF(COUNTIF(Lists!$A$2:$A$7,H440)=0,"Unknown status","")))))</f>
        <v/>
      </c>
    </row>
    <row r="441" customFormat="false" ht="15" hidden="false" customHeight="false" outlineLevel="0" collapsed="false">
      <c r="AD441" s="23" t="str">
        <f aca="false">IF(A441="","",IF(COUNTIF(Parcels!$A$2:$A$3000,B441)=0,"Parcel not found",IF(COUNTIF($A$2:$A$3000,A441)&gt;1,"Duplicate perm_id",IF(AND(I441="Yes",C441&lt;&gt;"",COUNTIFS($C$2:$C$3000,C441,$I$2:$I$3000,"Yes")&gt;1),"Reference counted twice",IF(COUNTIF(Lists!$A$2:$A$7,H441)=0,"Unknown status","")))))</f>
        <v/>
      </c>
    </row>
    <row r="442" customFormat="false" ht="15" hidden="false" customHeight="false" outlineLevel="0" collapsed="false">
      <c r="AD442" s="23" t="str">
        <f aca="false">IF(A442="","",IF(COUNTIF(Parcels!$A$2:$A$3000,B442)=0,"Parcel not found",IF(COUNTIF($A$2:$A$3000,A442)&gt;1,"Duplicate perm_id",IF(AND(I442="Yes",C442&lt;&gt;"",COUNTIFS($C$2:$C$3000,C442,$I$2:$I$3000,"Yes")&gt;1),"Reference counted twice",IF(COUNTIF(Lists!$A$2:$A$7,H442)=0,"Unknown status","")))))</f>
        <v/>
      </c>
    </row>
    <row r="443" customFormat="false" ht="15" hidden="false" customHeight="false" outlineLevel="0" collapsed="false">
      <c r="AD443" s="23" t="str">
        <f aca="false">IF(A443="","",IF(COUNTIF(Parcels!$A$2:$A$3000,B443)=0,"Parcel not found",IF(COUNTIF($A$2:$A$3000,A443)&gt;1,"Duplicate perm_id",IF(AND(I443="Yes",C443&lt;&gt;"",COUNTIFS($C$2:$C$3000,C443,$I$2:$I$3000,"Yes")&gt;1),"Reference counted twice",IF(COUNTIF(Lists!$A$2:$A$7,H443)=0,"Unknown status","")))))</f>
        <v/>
      </c>
    </row>
    <row r="444" customFormat="false" ht="15" hidden="false" customHeight="false" outlineLevel="0" collapsed="false">
      <c r="AD444" s="23" t="str">
        <f aca="false">IF(A444="","",IF(COUNTIF(Parcels!$A$2:$A$3000,B444)=0,"Parcel not found",IF(COUNTIF($A$2:$A$3000,A444)&gt;1,"Duplicate perm_id",IF(AND(I444="Yes",C444&lt;&gt;"",COUNTIFS($C$2:$C$3000,C444,$I$2:$I$3000,"Yes")&gt;1),"Reference counted twice",IF(COUNTIF(Lists!$A$2:$A$7,H444)=0,"Unknown status","")))))</f>
        <v/>
      </c>
    </row>
    <row r="445" customFormat="false" ht="15" hidden="false" customHeight="false" outlineLevel="0" collapsed="false">
      <c r="AD445" s="23" t="str">
        <f aca="false">IF(A445="","",IF(COUNTIF(Parcels!$A$2:$A$3000,B445)=0,"Parcel not found",IF(COUNTIF($A$2:$A$3000,A445)&gt;1,"Duplicate perm_id",IF(AND(I445="Yes",C445&lt;&gt;"",COUNTIFS($C$2:$C$3000,C445,$I$2:$I$3000,"Yes")&gt;1),"Reference counted twice",IF(COUNTIF(Lists!$A$2:$A$7,H445)=0,"Unknown status","")))))</f>
        <v/>
      </c>
    </row>
    <row r="446" customFormat="false" ht="15" hidden="false" customHeight="false" outlineLevel="0" collapsed="false">
      <c r="AD446" s="23" t="str">
        <f aca="false">IF(A446="","",IF(COUNTIF(Parcels!$A$2:$A$3000,B446)=0,"Parcel not found",IF(COUNTIF($A$2:$A$3000,A446)&gt;1,"Duplicate perm_id",IF(AND(I446="Yes",C446&lt;&gt;"",COUNTIFS($C$2:$C$3000,C446,$I$2:$I$3000,"Yes")&gt;1),"Reference counted twice",IF(COUNTIF(Lists!$A$2:$A$7,H446)=0,"Unknown status","")))))</f>
        <v/>
      </c>
    </row>
    <row r="447" customFormat="false" ht="15" hidden="false" customHeight="false" outlineLevel="0" collapsed="false">
      <c r="AD447" s="23" t="str">
        <f aca="false">IF(A447="","",IF(COUNTIF(Parcels!$A$2:$A$3000,B447)=0,"Parcel not found",IF(COUNTIF($A$2:$A$3000,A447)&gt;1,"Duplicate perm_id",IF(AND(I447="Yes",C447&lt;&gt;"",COUNTIFS($C$2:$C$3000,C447,$I$2:$I$3000,"Yes")&gt;1),"Reference counted twice",IF(COUNTIF(Lists!$A$2:$A$7,H447)=0,"Unknown status","")))))</f>
        <v/>
      </c>
    </row>
    <row r="448" customFormat="false" ht="15" hidden="false" customHeight="false" outlineLevel="0" collapsed="false">
      <c r="AD448" s="23" t="str">
        <f aca="false">IF(A448="","",IF(COUNTIF(Parcels!$A$2:$A$3000,B448)=0,"Parcel not found",IF(COUNTIF($A$2:$A$3000,A448)&gt;1,"Duplicate perm_id",IF(AND(I448="Yes",C448&lt;&gt;"",COUNTIFS($C$2:$C$3000,C448,$I$2:$I$3000,"Yes")&gt;1),"Reference counted twice",IF(COUNTIF(Lists!$A$2:$A$7,H448)=0,"Unknown status","")))))</f>
        <v/>
      </c>
    </row>
    <row r="449" customFormat="false" ht="15" hidden="false" customHeight="false" outlineLevel="0" collapsed="false">
      <c r="AD449" s="23" t="str">
        <f aca="false">IF(A449="","",IF(COUNTIF(Parcels!$A$2:$A$3000,B449)=0,"Parcel not found",IF(COUNTIF($A$2:$A$3000,A449)&gt;1,"Duplicate perm_id",IF(AND(I449="Yes",C449&lt;&gt;"",COUNTIFS($C$2:$C$3000,C449,$I$2:$I$3000,"Yes")&gt;1),"Reference counted twice",IF(COUNTIF(Lists!$A$2:$A$7,H449)=0,"Unknown status","")))))</f>
        <v/>
      </c>
    </row>
    <row r="450" customFormat="false" ht="15" hidden="false" customHeight="false" outlineLevel="0" collapsed="false">
      <c r="AD450" s="23" t="str">
        <f aca="false">IF(A450="","",IF(COUNTIF(Parcels!$A$2:$A$3000,B450)=0,"Parcel not found",IF(COUNTIF($A$2:$A$3000,A450)&gt;1,"Duplicate perm_id",IF(AND(I450="Yes",C450&lt;&gt;"",COUNTIFS($C$2:$C$3000,C450,$I$2:$I$3000,"Yes")&gt;1),"Reference counted twice",IF(COUNTIF(Lists!$A$2:$A$7,H450)=0,"Unknown status","")))))</f>
        <v/>
      </c>
    </row>
    <row r="451" customFormat="false" ht="15" hidden="false" customHeight="false" outlineLevel="0" collapsed="false">
      <c r="AD451" s="23" t="str">
        <f aca="false">IF(A451="","",IF(COUNTIF(Parcels!$A$2:$A$3000,B451)=0,"Parcel not found",IF(COUNTIF($A$2:$A$3000,A451)&gt;1,"Duplicate perm_id",IF(AND(I451="Yes",C451&lt;&gt;"",COUNTIFS($C$2:$C$3000,C451,$I$2:$I$3000,"Yes")&gt;1),"Reference counted twice",IF(COUNTIF(Lists!$A$2:$A$7,H451)=0,"Unknown status","")))))</f>
        <v/>
      </c>
    </row>
    <row r="452" customFormat="false" ht="15" hidden="false" customHeight="false" outlineLevel="0" collapsed="false">
      <c r="AD452" s="23" t="str">
        <f aca="false">IF(A452="","",IF(COUNTIF(Parcels!$A$2:$A$3000,B452)=0,"Parcel not found",IF(COUNTIF($A$2:$A$3000,A452)&gt;1,"Duplicate perm_id",IF(AND(I452="Yes",C452&lt;&gt;"",COUNTIFS($C$2:$C$3000,C452,$I$2:$I$3000,"Yes")&gt;1),"Reference counted twice",IF(COUNTIF(Lists!$A$2:$A$7,H452)=0,"Unknown status","")))))</f>
        <v/>
      </c>
    </row>
    <row r="453" customFormat="false" ht="15" hidden="false" customHeight="false" outlineLevel="0" collapsed="false">
      <c r="AD453" s="23" t="str">
        <f aca="false">IF(A453="","",IF(COUNTIF(Parcels!$A$2:$A$3000,B453)=0,"Parcel not found",IF(COUNTIF($A$2:$A$3000,A453)&gt;1,"Duplicate perm_id",IF(AND(I453="Yes",C453&lt;&gt;"",COUNTIFS($C$2:$C$3000,C453,$I$2:$I$3000,"Yes")&gt;1),"Reference counted twice",IF(COUNTIF(Lists!$A$2:$A$7,H453)=0,"Unknown status","")))))</f>
        <v/>
      </c>
    </row>
    <row r="454" customFormat="false" ht="15" hidden="false" customHeight="false" outlineLevel="0" collapsed="false">
      <c r="AD454" s="23" t="str">
        <f aca="false">IF(A454="","",IF(COUNTIF(Parcels!$A$2:$A$3000,B454)=0,"Parcel not found",IF(COUNTIF($A$2:$A$3000,A454)&gt;1,"Duplicate perm_id",IF(AND(I454="Yes",C454&lt;&gt;"",COUNTIFS($C$2:$C$3000,C454,$I$2:$I$3000,"Yes")&gt;1),"Reference counted twice",IF(COUNTIF(Lists!$A$2:$A$7,H454)=0,"Unknown status","")))))</f>
        <v/>
      </c>
    </row>
    <row r="455" customFormat="false" ht="15" hidden="false" customHeight="false" outlineLevel="0" collapsed="false">
      <c r="AD455" s="23" t="str">
        <f aca="false">IF(A455="","",IF(COUNTIF(Parcels!$A$2:$A$3000,B455)=0,"Parcel not found",IF(COUNTIF($A$2:$A$3000,A455)&gt;1,"Duplicate perm_id",IF(AND(I455="Yes",C455&lt;&gt;"",COUNTIFS($C$2:$C$3000,C455,$I$2:$I$3000,"Yes")&gt;1),"Reference counted twice",IF(COUNTIF(Lists!$A$2:$A$7,H455)=0,"Unknown status","")))))</f>
        <v/>
      </c>
    </row>
    <row r="456" customFormat="false" ht="15" hidden="false" customHeight="false" outlineLevel="0" collapsed="false">
      <c r="AD456" s="23" t="str">
        <f aca="false">IF(A456="","",IF(COUNTIF(Parcels!$A$2:$A$3000,B456)=0,"Parcel not found",IF(COUNTIF($A$2:$A$3000,A456)&gt;1,"Duplicate perm_id",IF(AND(I456="Yes",C456&lt;&gt;"",COUNTIFS($C$2:$C$3000,C456,$I$2:$I$3000,"Yes")&gt;1),"Reference counted twice",IF(COUNTIF(Lists!$A$2:$A$7,H456)=0,"Unknown status","")))))</f>
        <v/>
      </c>
    </row>
    <row r="457" customFormat="false" ht="15" hidden="false" customHeight="false" outlineLevel="0" collapsed="false">
      <c r="AD457" s="23" t="str">
        <f aca="false">IF(A457="","",IF(COUNTIF(Parcels!$A$2:$A$3000,B457)=0,"Parcel not found",IF(COUNTIF($A$2:$A$3000,A457)&gt;1,"Duplicate perm_id",IF(AND(I457="Yes",C457&lt;&gt;"",COUNTIFS($C$2:$C$3000,C457,$I$2:$I$3000,"Yes")&gt;1),"Reference counted twice",IF(COUNTIF(Lists!$A$2:$A$7,H457)=0,"Unknown status","")))))</f>
        <v/>
      </c>
    </row>
    <row r="458" customFormat="false" ht="15" hidden="false" customHeight="false" outlineLevel="0" collapsed="false">
      <c r="AD458" s="23" t="str">
        <f aca="false">IF(A458="","",IF(COUNTIF(Parcels!$A$2:$A$3000,B458)=0,"Parcel not found",IF(COUNTIF($A$2:$A$3000,A458)&gt;1,"Duplicate perm_id",IF(AND(I458="Yes",C458&lt;&gt;"",COUNTIFS($C$2:$C$3000,C458,$I$2:$I$3000,"Yes")&gt;1),"Reference counted twice",IF(COUNTIF(Lists!$A$2:$A$7,H458)=0,"Unknown status","")))))</f>
        <v/>
      </c>
    </row>
    <row r="459" customFormat="false" ht="15" hidden="false" customHeight="false" outlineLevel="0" collapsed="false">
      <c r="AD459" s="23" t="str">
        <f aca="false">IF(A459="","",IF(COUNTIF(Parcels!$A$2:$A$3000,B459)=0,"Parcel not found",IF(COUNTIF($A$2:$A$3000,A459)&gt;1,"Duplicate perm_id",IF(AND(I459="Yes",C459&lt;&gt;"",COUNTIFS($C$2:$C$3000,C459,$I$2:$I$3000,"Yes")&gt;1),"Reference counted twice",IF(COUNTIF(Lists!$A$2:$A$7,H459)=0,"Unknown status","")))))</f>
        <v/>
      </c>
    </row>
    <row r="460" customFormat="false" ht="15" hidden="false" customHeight="false" outlineLevel="0" collapsed="false">
      <c r="AD460" s="23" t="str">
        <f aca="false">IF(A460="","",IF(COUNTIF(Parcels!$A$2:$A$3000,B460)=0,"Parcel not found",IF(COUNTIF($A$2:$A$3000,A460)&gt;1,"Duplicate perm_id",IF(AND(I460="Yes",C460&lt;&gt;"",COUNTIFS($C$2:$C$3000,C460,$I$2:$I$3000,"Yes")&gt;1),"Reference counted twice",IF(COUNTIF(Lists!$A$2:$A$7,H460)=0,"Unknown status","")))))</f>
        <v/>
      </c>
    </row>
    <row r="461" customFormat="false" ht="15" hidden="false" customHeight="false" outlineLevel="0" collapsed="false">
      <c r="AD461" s="23" t="str">
        <f aca="false">IF(A461="","",IF(COUNTIF(Parcels!$A$2:$A$3000,B461)=0,"Parcel not found",IF(COUNTIF($A$2:$A$3000,A461)&gt;1,"Duplicate perm_id",IF(AND(I461="Yes",C461&lt;&gt;"",COUNTIFS($C$2:$C$3000,C461,$I$2:$I$3000,"Yes")&gt;1),"Reference counted twice",IF(COUNTIF(Lists!$A$2:$A$7,H461)=0,"Unknown status","")))))</f>
        <v/>
      </c>
    </row>
    <row r="462" customFormat="false" ht="15" hidden="false" customHeight="false" outlineLevel="0" collapsed="false">
      <c r="AD462" s="23" t="str">
        <f aca="false">IF(A462="","",IF(COUNTIF(Parcels!$A$2:$A$3000,B462)=0,"Parcel not found",IF(COUNTIF($A$2:$A$3000,A462)&gt;1,"Duplicate perm_id",IF(AND(I462="Yes",C462&lt;&gt;"",COUNTIFS($C$2:$C$3000,C462,$I$2:$I$3000,"Yes")&gt;1),"Reference counted twice",IF(COUNTIF(Lists!$A$2:$A$7,H462)=0,"Unknown status","")))))</f>
        <v/>
      </c>
    </row>
    <row r="463" customFormat="false" ht="15" hidden="false" customHeight="false" outlineLevel="0" collapsed="false">
      <c r="AD463" s="23" t="str">
        <f aca="false">IF(A463="","",IF(COUNTIF(Parcels!$A$2:$A$3000,B463)=0,"Parcel not found",IF(COUNTIF($A$2:$A$3000,A463)&gt;1,"Duplicate perm_id",IF(AND(I463="Yes",C463&lt;&gt;"",COUNTIFS($C$2:$C$3000,C463,$I$2:$I$3000,"Yes")&gt;1),"Reference counted twice",IF(COUNTIF(Lists!$A$2:$A$7,H463)=0,"Unknown status","")))))</f>
        <v/>
      </c>
    </row>
    <row r="464" customFormat="false" ht="15" hidden="false" customHeight="false" outlineLevel="0" collapsed="false">
      <c r="AD464" s="23" t="str">
        <f aca="false">IF(A464="","",IF(COUNTIF(Parcels!$A$2:$A$3000,B464)=0,"Parcel not found",IF(COUNTIF($A$2:$A$3000,A464)&gt;1,"Duplicate perm_id",IF(AND(I464="Yes",C464&lt;&gt;"",COUNTIFS($C$2:$C$3000,C464,$I$2:$I$3000,"Yes")&gt;1),"Reference counted twice",IF(COUNTIF(Lists!$A$2:$A$7,H464)=0,"Unknown status","")))))</f>
        <v/>
      </c>
    </row>
    <row r="465" customFormat="false" ht="15" hidden="false" customHeight="false" outlineLevel="0" collapsed="false">
      <c r="AD465" s="23" t="str">
        <f aca="false">IF(A465="","",IF(COUNTIF(Parcels!$A$2:$A$3000,B465)=0,"Parcel not found",IF(COUNTIF($A$2:$A$3000,A465)&gt;1,"Duplicate perm_id",IF(AND(I465="Yes",C465&lt;&gt;"",COUNTIFS($C$2:$C$3000,C465,$I$2:$I$3000,"Yes")&gt;1),"Reference counted twice",IF(COUNTIF(Lists!$A$2:$A$7,H465)=0,"Unknown status","")))))</f>
        <v/>
      </c>
    </row>
  </sheetData>
  <autoFilter ref="A1:AD266"/>
  <conditionalFormatting sqref="AD2:AD3000">
    <cfRule type="expression" priority="2" aboveAverage="0" equalAverage="0" bottom="0" percent="0" rank="0" text="" dxfId="0">
      <formula>LEN(AD2)&gt;0</formula>
    </cfRule>
  </conditionalFormatting>
  <dataValidations count="3">
    <dataValidation allowBlank="true" error="Pick a value from the list." errorStyle="stop" errorTitle="Not in list" operator="between" showDropDown="false" showErrorMessage="true" showInputMessage="false" sqref="H2:H1465" type="list">
      <formula1>Lists!$A$2:$A$7</formula1>
      <formula2>0</formula2>
    </dataValidation>
    <dataValidation allowBlank="true" error="Pick a value from the list." errorStyle="stop" errorTitle="Not in list" operator="between" showDropDown="false" showErrorMessage="true" showInputMessage="false" sqref="I2:I1465" type="list">
      <formula1>Lists!$B$2:$B$3</formula1>
      <formula2>0</formula2>
    </dataValidation>
    <dataValidation allowBlank="true" error="Pick a value from the list." errorStyle="stop" errorTitle="Not in list" operator="between" showDropDown="false" showErrorMessage="true" showInputMessage="false" sqref="B2:B1465" type="list">
      <formula1>Parcels!$A$2:$A$3000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36"/>
  </cols>
  <sheetData>
    <row r="1" customFormat="false" ht="15" hidden="false" customHeight="false" outlineLevel="0" collapsed="false">
      <c r="A1" s="24" t="s">
        <v>669</v>
      </c>
      <c r="B1" s="24" t="s">
        <v>670</v>
      </c>
      <c r="C1" s="24" t="s">
        <v>51</v>
      </c>
      <c r="D1" s="24" t="s">
        <v>52</v>
      </c>
    </row>
    <row r="2" customFormat="false" ht="15" hidden="false" customHeight="false" outlineLevel="0" collapsed="false">
      <c r="A2" s="0" t="s">
        <v>728</v>
      </c>
      <c r="B2" s="0" t="s">
        <v>689</v>
      </c>
      <c r="C2" s="0" t="s">
        <v>10</v>
      </c>
      <c r="D2" s="0" t="s">
        <v>15</v>
      </c>
    </row>
    <row r="3" customFormat="false" ht="15" hidden="false" customHeight="false" outlineLevel="0" collapsed="false">
      <c r="A3" s="0" t="s">
        <v>711</v>
      </c>
      <c r="B3" s="0" t="s">
        <v>1899</v>
      </c>
      <c r="C3" s="0" t="s">
        <v>11</v>
      </c>
      <c r="D3" s="0" t="s">
        <v>16</v>
      </c>
    </row>
    <row r="4" customFormat="false" ht="15" hidden="false" customHeight="false" outlineLevel="0" collapsed="false">
      <c r="A4" s="0" t="s">
        <v>688</v>
      </c>
      <c r="C4" s="0" t="s">
        <v>12</v>
      </c>
    </row>
    <row r="5" customFormat="false" ht="15" hidden="false" customHeight="false" outlineLevel="0" collapsed="false">
      <c r="A5" s="0" t="s">
        <v>796</v>
      </c>
      <c r="C5" s="0" t="s">
        <v>1900</v>
      </c>
    </row>
    <row r="6" customFormat="false" ht="15" hidden="false" customHeight="false" outlineLevel="0" collapsed="false">
      <c r="A6" s="0" t="s">
        <v>703</v>
      </c>
    </row>
    <row r="7" customFormat="false" ht="15" hidden="false" customHeight="false" outlineLevel="0" collapsed="false">
      <c r="A7" s="0" t="s">
        <v>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24" t="s">
        <v>1901</v>
      </c>
      <c r="B1" s="24" t="s">
        <v>1902</v>
      </c>
      <c r="C1" s="24" t="s">
        <v>1903</v>
      </c>
    </row>
    <row r="2" customFormat="false" ht="28.35" hidden="false" customHeight="false" outlineLevel="0" collapsed="false">
      <c r="A2" s="25" t="s">
        <v>1904</v>
      </c>
      <c r="B2" s="25" t="s">
        <v>50</v>
      </c>
      <c r="C2" s="25" t="s">
        <v>1905</v>
      </c>
    </row>
    <row r="3" customFormat="false" ht="15" hidden="false" customHeight="false" outlineLevel="0" collapsed="false">
      <c r="A3" s="25" t="s">
        <v>1904</v>
      </c>
      <c r="B3" s="25" t="s">
        <v>51</v>
      </c>
      <c r="C3" s="25" t="s">
        <v>1906</v>
      </c>
    </row>
    <row r="4" customFormat="false" ht="15" hidden="false" customHeight="false" outlineLevel="0" collapsed="false">
      <c r="A4" s="25" t="s">
        <v>1904</v>
      </c>
      <c r="B4" s="25" t="s">
        <v>52</v>
      </c>
      <c r="C4" s="25" t="s">
        <v>1907</v>
      </c>
    </row>
    <row r="5" customFormat="false" ht="15" hidden="false" customHeight="false" outlineLevel="0" collapsed="false">
      <c r="A5" s="25" t="s">
        <v>1904</v>
      </c>
      <c r="B5" s="25" t="s">
        <v>53</v>
      </c>
      <c r="C5" s="25" t="s">
        <v>1908</v>
      </c>
    </row>
    <row r="6" customFormat="false" ht="15" hidden="false" customHeight="false" outlineLevel="0" collapsed="false">
      <c r="A6" s="25" t="s">
        <v>1904</v>
      </c>
      <c r="B6" s="25" t="s">
        <v>63</v>
      </c>
      <c r="C6" s="25" t="s">
        <v>1909</v>
      </c>
    </row>
    <row r="7" customFormat="false" ht="15" hidden="false" customHeight="false" outlineLevel="0" collapsed="false">
      <c r="A7" s="25" t="s">
        <v>1904</v>
      </c>
      <c r="B7" s="25" t="s">
        <v>64</v>
      </c>
      <c r="C7" s="25" t="s">
        <v>1910</v>
      </c>
    </row>
    <row r="8" customFormat="false" ht="15" hidden="false" customHeight="false" outlineLevel="0" collapsed="false">
      <c r="A8" s="25" t="s">
        <v>1904</v>
      </c>
      <c r="B8" s="25" t="s">
        <v>61</v>
      </c>
      <c r="C8" s="25" t="s">
        <v>1911</v>
      </c>
    </row>
    <row r="9" customFormat="false" ht="28.35" hidden="false" customHeight="false" outlineLevel="0" collapsed="false">
      <c r="A9" s="25" t="s">
        <v>1904</v>
      </c>
      <c r="B9" s="25" t="s">
        <v>62</v>
      </c>
      <c r="C9" s="25" t="s">
        <v>1912</v>
      </c>
    </row>
    <row r="10" customFormat="false" ht="15" hidden="false" customHeight="false" outlineLevel="0" collapsed="false">
      <c r="A10" s="25" t="s">
        <v>1904</v>
      </c>
      <c r="B10" s="25" t="s">
        <v>65</v>
      </c>
      <c r="C10" s="25" t="s">
        <v>1913</v>
      </c>
    </row>
    <row r="11" customFormat="false" ht="15" hidden="false" customHeight="false" outlineLevel="0" collapsed="false">
      <c r="A11" s="25" t="s">
        <v>1904</v>
      </c>
      <c r="B11" s="25" t="s">
        <v>66</v>
      </c>
      <c r="C11" s="25" t="s">
        <v>1914</v>
      </c>
    </row>
    <row r="12" customFormat="false" ht="15" hidden="false" customHeight="false" outlineLevel="0" collapsed="false">
      <c r="A12" s="25" t="s">
        <v>1904</v>
      </c>
      <c r="B12" s="25" t="s">
        <v>1915</v>
      </c>
      <c r="C12" s="25" t="s">
        <v>1916</v>
      </c>
    </row>
    <row r="13" customFormat="false" ht="15" hidden="false" customHeight="false" outlineLevel="0" collapsed="false">
      <c r="A13" s="25" t="s">
        <v>1917</v>
      </c>
      <c r="B13" s="25" t="s">
        <v>663</v>
      </c>
      <c r="C13" s="25" t="s">
        <v>1918</v>
      </c>
    </row>
    <row r="14" customFormat="false" ht="15" hidden="false" customHeight="false" outlineLevel="0" collapsed="false">
      <c r="A14" s="25" t="s">
        <v>1917</v>
      </c>
      <c r="B14" s="25" t="s">
        <v>50</v>
      </c>
      <c r="C14" s="25" t="s">
        <v>1919</v>
      </c>
    </row>
    <row r="15" customFormat="false" ht="15" hidden="false" customHeight="false" outlineLevel="0" collapsed="false">
      <c r="A15" s="25" t="s">
        <v>1917</v>
      </c>
      <c r="B15" s="25" t="s">
        <v>667</v>
      </c>
      <c r="C15" s="25" t="s">
        <v>1920</v>
      </c>
    </row>
    <row r="16" customFormat="false" ht="15" hidden="false" customHeight="false" outlineLevel="0" collapsed="false">
      <c r="A16" s="25" t="s">
        <v>1917</v>
      </c>
      <c r="B16" s="25" t="s">
        <v>669</v>
      </c>
      <c r="C16" s="25" t="s">
        <v>1921</v>
      </c>
    </row>
    <row r="17" customFormat="false" ht="15" hidden="false" customHeight="false" outlineLevel="0" collapsed="false">
      <c r="A17" s="25" t="s">
        <v>1917</v>
      </c>
      <c r="B17" s="25" t="s">
        <v>670</v>
      </c>
      <c r="C17" s="25" t="s">
        <v>1922</v>
      </c>
    </row>
    <row r="18" customFormat="false" ht="28.35" hidden="false" customHeight="false" outlineLevel="0" collapsed="false">
      <c r="A18" s="25" t="s">
        <v>1917</v>
      </c>
      <c r="B18" s="25" t="s">
        <v>671</v>
      </c>
      <c r="C18" s="25" t="s">
        <v>1923</v>
      </c>
    </row>
    <row r="19" customFormat="false" ht="28.35" hidden="false" customHeight="false" outlineLevel="0" collapsed="false">
      <c r="A19" s="25" t="s">
        <v>1917</v>
      </c>
      <c r="B19" s="25" t="s">
        <v>1924</v>
      </c>
      <c r="C19" s="25" t="s">
        <v>1925</v>
      </c>
    </row>
    <row r="20" customFormat="false" ht="15" hidden="false" customHeight="false" outlineLevel="0" collapsed="false">
      <c r="A20" s="25" t="s">
        <v>1917</v>
      </c>
      <c r="B20" s="25" t="s">
        <v>681</v>
      </c>
      <c r="C20" s="25" t="s">
        <v>1926</v>
      </c>
    </row>
    <row r="21" customFormat="false" ht="15" hidden="false" customHeight="false" outlineLevel="0" collapsed="false">
      <c r="A21" s="25" t="s">
        <v>1927</v>
      </c>
      <c r="B21" s="25" t="s">
        <v>73</v>
      </c>
      <c r="C21" s="25" t="s">
        <v>1928</v>
      </c>
    </row>
    <row r="22" customFormat="false" ht="15" hidden="false" customHeight="false" outlineLevel="0" collapsed="false">
      <c r="A22" s="25" t="s">
        <v>1927</v>
      </c>
      <c r="B22" s="25" t="s">
        <v>76</v>
      </c>
      <c r="C22" s="25" t="s">
        <v>1929</v>
      </c>
    </row>
    <row r="23" customFormat="false" ht="15" hidden="false" customHeight="false" outlineLevel="0" collapsed="false">
      <c r="A23" s="25" t="s">
        <v>1927</v>
      </c>
      <c r="B23" s="25" t="s">
        <v>77</v>
      </c>
      <c r="C23" s="25" t="s">
        <v>1930</v>
      </c>
    </row>
    <row r="24" customFormat="false" ht="15" hidden="false" customHeight="false" outlineLevel="0" collapsed="false">
      <c r="A24" s="25" t="s">
        <v>1927</v>
      </c>
      <c r="B24" s="25" t="s">
        <v>78</v>
      </c>
      <c r="C24" s="25" t="s">
        <v>1931</v>
      </c>
    </row>
    <row r="25" customFormat="false" ht="15" hidden="false" customHeight="false" outlineLevel="0" collapsed="false">
      <c r="A25" s="25" t="s">
        <v>1932</v>
      </c>
      <c r="B25" s="25" t="s">
        <v>1933</v>
      </c>
      <c r="C25" s="25" t="s">
        <v>1934</v>
      </c>
    </row>
    <row r="26" customFormat="false" ht="28.35" hidden="false" customHeight="false" outlineLevel="0" collapsed="false">
      <c r="A26" s="25" t="s">
        <v>1932</v>
      </c>
      <c r="B26" s="25" t="s">
        <v>1935</v>
      </c>
      <c r="C26" s="25" t="s">
        <v>1936</v>
      </c>
    </row>
    <row r="27" customFormat="false" ht="28.35" hidden="false" customHeight="false" outlineLevel="0" collapsed="false">
      <c r="A27" s="25" t="s">
        <v>1932</v>
      </c>
      <c r="B27" s="25" t="s">
        <v>1937</v>
      </c>
      <c r="C27" s="25" t="s">
        <v>1938</v>
      </c>
    </row>
    <row r="28" customFormat="false" ht="15" hidden="false" customHeight="false" outlineLevel="0" collapsed="false">
      <c r="A28" s="25" t="s">
        <v>1932</v>
      </c>
      <c r="B28" s="25" t="s">
        <v>1939</v>
      </c>
      <c r="C28" s="25" t="s">
        <v>1940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2026-10-11T08:23:54Z</dcterms:created>
  <dc:creator>openpyxl</dc:creator>
  <dc:description/>
  <dc:language>en-US</dc:language>
  <cp:lastModifiedBy/>
  <dcterms:modified xsi:type="dcterms:W3CDTF">2026-10-11T08:23:55Z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