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atchments" sheetId="2" state="visible" r:id="rId4"/>
    <sheet name="How to update" sheetId="3" state="visible" r:id="rId5"/>
    <sheet name="Parcels" sheetId="4" state="visible" r:id="rId6"/>
    <sheet name="Permissions" sheetId="5" state="visible" r:id="rId7"/>
    <sheet name="Lists" sheetId="6" state="visible" r:id="rId8"/>
    <sheet name="GeoDirectory checks" sheetId="7" state="visible" r:id="rId9"/>
    <sheet name="Data dictionary" sheetId="8" state="visible" r:id="rId10"/>
  </sheets>
  <definedNames>
    <definedName function="false" hidden="true" localSheetId="3" name="_xlnm._FilterDatabase" vbProcedure="false">Parcels!$A$1:$BD$448</definedName>
    <definedName function="false" hidden="true" localSheetId="4" name="_xlnm._FilterDatabase" vbProcedure="false">Permissions!$A$1:$AT$264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<sst xmlns="http://schemas.openxmlformats.org/spreadsheetml/2006/main" count="14174" uniqueCount="2426">
  <si>
    <t xml:space="preserve">Limerick housing land register</t>
  </si>
  <si>
    <t xml:space="preserve">Council audit parcels plus parcels for residential consents outside the audit. Every permission is linked to one parcel; totals are calculated from the Permissions sheet.</t>
  </si>
  <si>
    <t xml:space="preserve">By parcel source</t>
  </si>
  <si>
    <t xml:space="preserve">Parcels</t>
  </si>
  <si>
    <t xml:space="preserve">Developable ha</t>
  </si>
  <si>
    <t xml:space="preserve">Consented</t>
  </si>
  <si>
    <t xml:space="preserve">Built to date</t>
  </si>
  <si>
    <t xml:space="preserve">Unconsented capacity</t>
  </si>
  <si>
    <t xml:space="preserve">Total supply</t>
  </si>
  <si>
    <t xml:space="preserve">Future supply</t>
  </si>
  <si>
    <t xml:space="preserve">Council audit</t>
  </si>
  <si>
    <t xml:space="preserve">Council audit – reinstated</t>
  </si>
  <si>
    <t xml:space="preserve">Planning consent – not in council audit</t>
  </si>
  <si>
    <t xml:space="preserve">Zoned land – no consent (estimate)</t>
  </si>
  <si>
    <t xml:space="preserve">Total</t>
  </si>
  <si>
    <t xml:space="preserve">By scope</t>
  </si>
  <si>
    <t xml:space="preserve">City</t>
  </si>
  <si>
    <t xml:space="preserve">County</t>
  </si>
  <si>
    <t xml:space="preserve">By catchment type</t>
  </si>
  <si>
    <t xml:space="preserve">City neighbourhood</t>
  </si>
  <si>
    <t xml:space="preserve">Key town</t>
  </si>
  <si>
    <t xml:space="preserve">Large village</t>
  </si>
  <si>
    <t xml:space="preserve">Rest of county</t>
  </si>
  <si>
    <t xml:space="preserve">By parcel status</t>
  </si>
  <si>
    <t xml:space="preserve">Finished</t>
  </si>
  <si>
    <t xml:space="preserve">Partly built</t>
  </si>
  <si>
    <t xml:space="preserve">Consented – not built</t>
  </si>
  <si>
    <t xml:space="preserve">No consent</t>
  </si>
  <si>
    <t xml:space="preserve">Expected completions (consented schemes; estimates)</t>
  </si>
  <si>
    <t xml:space="preserve">Q4 2026</t>
  </si>
  <si>
    <t xml:space="preserve">2027</t>
  </si>
  <si>
    <t xml:space="preserve">2028</t>
  </si>
  <si>
    <t xml:space="preserve">2029</t>
  </si>
  <si>
    <t xml:space="preserve">2030</t>
  </si>
  <si>
    <t xml:space="preserve">2031+</t>
  </si>
  <si>
    <t xml:space="preserve">All parcels</t>
  </si>
  <si>
    <t xml:space="preserve">Checks (all should be zero)</t>
  </si>
  <si>
    <t xml:space="preserve">Permissions with a problem (see check column)</t>
  </si>
  <si>
    <t xml:space="preserve">Parcels with a flag</t>
  </si>
  <si>
    <t xml:space="preserve">Units on Permissions not reaching a parcel</t>
  </si>
  <si>
    <t xml:space="preserve">Permissions with no parcel_id</t>
  </si>
  <si>
    <t xml:space="preserve">Parcels consented above council capacity (review capacity)</t>
  </si>
  <si>
    <t xml:space="preserve">Blue-grey columns are calculated. Edit only the white columns. capacity_units (council estimate on audit parcels, zoning estimate on zoned-land parcels) is the only unit figure typed on the Parcels sheet.</t>
  </si>
  <si>
    <t xml:space="preserve">Supply by study catchment</t>
  </si>
  <si>
    <t xml:space="preserve">Each parcel is assigned to the catchment it overlaps most. Parcels just outside a key town or village are added to it when zoned in its LAP, within 500 m, or named in the scheme and within 2 km (catchment_basis on Parcels). Live formulas on the Parcels sheet.</t>
  </si>
  <si>
    <t xml:space="preserve">Catchment type</t>
  </si>
  <si>
    <t xml:space="preserve">Catchment</t>
  </si>
  <si>
    <t xml:space="preserve">Complete</t>
  </si>
  <si>
    <t xml:space="preserve">Under construction</t>
  </si>
  <si>
    <t xml:space="preserve">Permitted, not started</t>
  </si>
  <si>
    <t xml:space="preserve">Ballinacurra</t>
  </si>
  <si>
    <t xml:space="preserve">Caherdavin</t>
  </si>
  <si>
    <t xml:space="preserve">Castletroy/Annacotty</t>
  </si>
  <si>
    <t xml:space="preserve">City Centre</t>
  </si>
  <si>
    <t xml:space="preserve">Corbally/Grove Island</t>
  </si>
  <si>
    <t xml:space="preserve">Dooradoyle</t>
  </si>
  <si>
    <t xml:space="preserve">Kings Island</t>
  </si>
  <si>
    <t xml:space="preserve">Singland/Garryowen</t>
  </si>
  <si>
    <t xml:space="preserve">Southhill</t>
  </si>
  <si>
    <t xml:space="preserve">City neighbourhood total</t>
  </si>
  <si>
    <t xml:space="preserve">Abbeyfeale</t>
  </si>
  <si>
    <t xml:space="preserve">Caherconlish</t>
  </si>
  <si>
    <t xml:space="preserve">Castleconnell</t>
  </si>
  <si>
    <t xml:space="preserve">Kilmallock</t>
  </si>
  <si>
    <t xml:space="preserve">Newcastle West</t>
  </si>
  <si>
    <t xml:space="preserve">Rathkeale</t>
  </si>
  <si>
    <t xml:space="preserve">Key town total</t>
  </si>
  <si>
    <t xml:space="preserve">Adare</t>
  </si>
  <si>
    <t xml:space="preserve">Bruff</t>
  </si>
  <si>
    <t xml:space="preserve">Cappamore</t>
  </si>
  <si>
    <t xml:space="preserve">Croom</t>
  </si>
  <si>
    <t xml:space="preserve">Hospital</t>
  </si>
  <si>
    <t xml:space="preserve">Kilfinnane</t>
  </si>
  <si>
    <t xml:space="preserve">Moroe</t>
  </si>
  <si>
    <t xml:space="preserve">Patrickswell</t>
  </si>
  <si>
    <t xml:space="preserve">Large village total</t>
  </si>
  <si>
    <t xml:space="preserve">Rest of county total</t>
  </si>
  <si>
    <t xml:space="preserve">The rule</t>
  </si>
  <si>
    <t xml:space="preserve">One permission, one parcel. Units live only on the Permissions sheet. Parcel totals add them up, so a home cannot be counted twice. Parcels do not overlap.</t>
  </si>
  <si>
    <t xml:space="preserve">New permission on an existing parcel</t>
  </si>
  <si>
    <t xml:space="preserve">Add a row to Permissions with a new perm_id, pick the parcel_id from the list, enter units and status, counts_toward_totals = Yes. The parcel totals update.</t>
  </si>
  <si>
    <t xml:space="preserve">New permission on new land</t>
  </si>
  <si>
    <t xml:space="preserve">Draw a parcel in the GeoPackage from the planning boundary (clip out any existing parcel), id PC-&lt;planning ref without slashes&gt;, parcel_source = Planning consent – not in council audit. Add the same parcel row here, then the permission row.</t>
  </si>
  <si>
    <t xml:space="preserve">Amendment, repeat or extension of duration</t>
  </si>
  <si>
    <t xml:space="preserve">Add the row with counts_toward_totals = No unless it replaces the counted permission. If it replaces it (e.g. a new scheme on the same land), set the old row to No and the new row to Yes.</t>
  </si>
  <si>
    <t xml:space="preserve">Status changes</t>
  </si>
  <si>
    <t xml:space="preserve">Change status on the Permissions row (Permitted – not started → Under construction → Complete). Use building control commencement and completion notices as the source; note it in notes and update last_updated.</t>
  </si>
  <si>
    <t xml:space="preserve">Expired permissions</t>
  </si>
  <si>
    <t xml:space="preserve">Set status to Expired – not started. The units drop out of consented supply; on an audit parcel the council capacity becomes unconsented capacity again.</t>
  </si>
  <si>
    <t xml:space="preserve">Capacity</t>
  </si>
  <si>
    <t xml:space="preserve">Audit parcels: council estimate. Zoned-land parcels: zoned area x developable share x density (see density_basis). If a permission shows the capacity was wrong, update capacity_units and say why in notes. Consent parcels have no capacity figure: their supply is the consented units.</t>
  </si>
  <si>
    <t xml:space="preserve">Zoned land (interim)</t>
  </si>
  <si>
    <t xml:space="preserve">Zoned-land parcels are estimates from new residential zoning not in any other parcel and not built on. When a permission is granted on one, draw the consent parcel and cut it out of the zoned parcel. When the county audit arrives, replace them.</t>
  </si>
  <si>
    <t xml:space="preserve">County audit</t>
  </si>
  <si>
    <t xml:space="preserve">Add county audit parcels with parcel_source = Council audit – county and scope = County. Move county permissions onto them by changing parcel_id, then retire any consent parcel left empty (flag: Consent parcel with no permission).</t>
  </si>
  <si>
    <t xml:space="preserve">GeoDirectory</t>
  </si>
  <si>
    <t xml:space="preserve">Each quarter, rerun the build with the new GeoDirectory extract. A scheme whose new built addresses reach 95% of its units moves to Complete (status_source says so); other differences are listed on the GeoDirectory checks sheet for a person to confirm.</t>
  </si>
  <si>
    <t xml:space="preserve">Retiring a parcel</t>
  </si>
  <si>
    <t xml:space="preserve">Do not delete. parcel_status turns to Finished when every counted home is complete and no council capacity is left; filter Finished parcels off the map. Their homes stay in the delivery record.</t>
  </si>
  <si>
    <t xml:space="preserve">Checks</t>
  </si>
  <si>
    <t xml:space="preserve">Summary sheet checks must all be zero before figures are reported. Red cells on Permissions (check column) and Parcels (flag) show what to fix.</t>
  </si>
  <si>
    <t xml:space="preserve">parcel_id</t>
  </si>
  <si>
    <t xml:space="preserve">parcel_source</t>
  </si>
  <si>
    <t xml:space="preserve">scope</t>
  </si>
  <si>
    <t xml:space="preserve">catchment</t>
  </si>
  <si>
    <t xml:space="preserve">catchment_type</t>
  </si>
  <si>
    <t xml:space="preserve">catchment_share</t>
  </si>
  <si>
    <t xml:space="preserve">catchment_basis</t>
  </si>
  <si>
    <t xml:space="preserve">rsca</t>
  </si>
  <si>
    <t xml:space="preserve">neighbourhood</t>
  </si>
  <si>
    <t xml:space="preserve">lea</t>
  </si>
  <si>
    <t xml:space="preserve">local_name</t>
  </si>
  <si>
    <t xml:space="preserve">landowner</t>
  </si>
  <si>
    <t xml:space="preserve">zoning</t>
  </si>
  <si>
    <t xml:space="preserve">site_type</t>
  </si>
  <si>
    <t xml:space="preserve">density_band</t>
  </si>
  <si>
    <t xml:space="preserve">developable_area_ha</t>
  </si>
  <si>
    <t xml:space="preserve">mapped_area_ha</t>
  </si>
  <si>
    <t xml:space="preserve">capacity_units</t>
  </si>
  <si>
    <t xml:space="preserve">capacity_basis</t>
  </si>
  <si>
    <t xml:space="preserve">density_estimate_units</t>
  </si>
  <si>
    <t xml:space="preserve">plan_name</t>
  </si>
  <si>
    <t xml:space="preserve">zone_gzt</t>
  </si>
  <si>
    <t xml:space="preserve">phase</t>
  </si>
  <si>
    <t xml:space="preserve">density_tier</t>
  </si>
  <si>
    <t xml:space="preserve">density_dph</t>
  </si>
  <si>
    <t xml:space="preserve">density_basis</t>
  </si>
  <si>
    <t xml:space="preserve">rzlt_2027_share</t>
  </si>
  <si>
    <t xml:space="preserve">geod_addresses_now</t>
  </si>
  <si>
    <t xml:space="preserve">geod_new_since_2019</t>
  </si>
  <si>
    <t xml:space="preserve">register_status</t>
  </si>
  <si>
    <t xml:space="preserve">notes</t>
  </si>
  <si>
    <t xml:space="preserve">last_reviewed</t>
  </si>
  <si>
    <t xml:space="preserve">reviewed_by</t>
  </si>
  <si>
    <t xml:space="preserve">capacity_used</t>
  </si>
  <si>
    <t xml:space="preserve">complete_units</t>
  </si>
  <si>
    <t xml:space="preserve">under_construction_units</t>
  </si>
  <si>
    <t xml:space="preserve">permitted_not_started_units</t>
  </si>
  <si>
    <t xml:space="preserve">stalled_units</t>
  </si>
  <si>
    <t xml:space="preserve">consented_units</t>
  </si>
  <si>
    <t xml:space="preserve">expired_units</t>
  </si>
  <si>
    <t xml:space="preserve">in_planning_units</t>
  </si>
  <si>
    <t xml:space="preserve">unconsented_capacity</t>
  </si>
  <si>
    <t xml:space="preserve">total_supply_units</t>
  </si>
  <si>
    <t xml:space="preserve">built_units</t>
  </si>
  <si>
    <t xml:space="preserve">future_supply_units</t>
  </si>
  <si>
    <t xml:space="preserve">est_q4_2026</t>
  </si>
  <si>
    <t xml:space="preserve">est_2027</t>
  </si>
  <si>
    <t xml:space="preserve">est_2028</t>
  </si>
  <si>
    <t xml:space="preserve">est_2029</t>
  </si>
  <si>
    <t xml:space="preserve">est_2030</t>
  </si>
  <si>
    <t xml:space="preserve">est_2031_plus</t>
  </si>
  <si>
    <t xml:space="preserve">permissions</t>
  </si>
  <si>
    <t xml:space="preserve">geod_new_built</t>
  </si>
  <si>
    <t xml:space="preserve">geod_new_vacant</t>
  </si>
  <si>
    <t xml:space="preserve">parcel_status</t>
  </si>
  <si>
    <t xml:space="preserve">flag</t>
  </si>
  <si>
    <t xml:space="preserve">CITY-129</t>
  </si>
  <si>
    <t xml:space="preserve">Inside catchment</t>
  </si>
  <si>
    <t xml:space="preserve">LIMERICK CITY WEST LEA-7</t>
  </si>
  <si>
    <t xml:space="preserve">Council</t>
  </si>
  <si>
    <t xml:space="preserve">New Resi</t>
  </si>
  <si>
    <t xml:space="preserve">Brownfield</t>
  </si>
  <si>
    <t xml:space="preserve">45+</t>
  </si>
  <si>
    <t xml:space="preserve">Council estimate (area × density band)</t>
  </si>
  <si>
    <t xml:space="preserve">City suburbs</t>
  </si>
  <si>
    <t xml:space="preserve">34 homes/ha = median of 39 permitted Limerick schemes of 10+ homes in city suburbs; applied to developable for density_estimate_units only</t>
  </si>
  <si>
    <t xml:space="preserve">Undeveloped/Permission Sought</t>
  </si>
  <si>
    <t xml:space="preserve">Unchanged</t>
  </si>
  <si>
    <t xml:space="preserve">2026-10-11</t>
  </si>
  <si>
    <t xml:space="preserve">CITY-130</t>
  </si>
  <si>
    <t xml:space="preserve">Exist Resi</t>
  </si>
  <si>
    <t xml:space="preserve">Infill</t>
  </si>
  <si>
    <t xml:space="preserve">CITY-131</t>
  </si>
  <si>
    <t xml:space="preserve">CITY-132</t>
  </si>
  <si>
    <t xml:space="preserve">Dock Rd</t>
  </si>
  <si>
    <t xml:space="preserve">Private</t>
  </si>
  <si>
    <t xml:space="preserve">CITY-133</t>
  </si>
  <si>
    <t xml:space="preserve">6.659 in 45+ 2.284 in 35+</t>
  </si>
  <si>
    <t xml:space="preserve">Complete/Commenced</t>
  </si>
  <si>
    <t xml:space="preserve">Reduced Area</t>
  </si>
  <si>
    <t xml:space="preserve">CITY-1</t>
  </si>
  <si>
    <t xml:space="preserve">LIMERICK CITY NORTH LEA-7</t>
  </si>
  <si>
    <t xml:space="preserve">Northside</t>
  </si>
  <si>
    <t xml:space="preserve">Greenfield</t>
  </si>
  <si>
    <t xml:space="preserve">35+</t>
  </si>
  <si>
    <t xml:space="preserve">Permission Granted</t>
  </si>
  <si>
    <t xml:space="preserve">CITY-10</t>
  </si>
  <si>
    <t xml:space="preserve">CITY-12</t>
  </si>
  <si>
    <t xml:space="preserve">Unknown</t>
  </si>
  <si>
    <t xml:space="preserve">Mixed Use</t>
  </si>
  <si>
    <t xml:space="preserve">6.207 in 45+ 3.224 in 35+</t>
  </si>
  <si>
    <t xml:space="preserve">Unchanged (council file landowner "EOI", owner not stated: shown as Unknown)</t>
  </si>
  <si>
    <t xml:space="preserve">CITY-13</t>
  </si>
  <si>
    <t xml:space="preserve">CITY-14</t>
  </si>
  <si>
    <t xml:space="preserve">CITY-15</t>
  </si>
  <si>
    <t xml:space="preserve">CITY-16</t>
  </si>
  <si>
    <t xml:space="preserve">CITY-164</t>
  </si>
  <si>
    <t xml:space="preserve">Addition</t>
  </si>
  <si>
    <t xml:space="preserve">CITY-20</t>
  </si>
  <si>
    <t xml:space="preserve">CITY-21</t>
  </si>
  <si>
    <t xml:space="preserve">CITY-24</t>
  </si>
  <si>
    <t xml:space="preserve">CITY-25</t>
  </si>
  <si>
    <t xml:space="preserve">CITY-3</t>
  </si>
  <si>
    <t xml:space="preserve">CITY-5</t>
  </si>
  <si>
    <t xml:space="preserve">CITY-6</t>
  </si>
  <si>
    <t xml:space="preserve">Local Centre</t>
  </si>
  <si>
    <t xml:space="preserve">CITY-7</t>
  </si>
  <si>
    <t xml:space="preserve">CITY-8</t>
  </si>
  <si>
    <t xml:space="preserve">CITY-9</t>
  </si>
  <si>
    <t xml:space="preserve">CITY-159</t>
  </si>
  <si>
    <t xml:space="preserve">LIMERICK CITY EAST LEA-7</t>
  </si>
  <si>
    <t xml:space="preserve">Castletroy</t>
  </si>
  <si>
    <t xml:space="preserve">0.145 in 45+ 2.589 in 35+</t>
  </si>
  <si>
    <t xml:space="preserve">CITY-53</t>
  </si>
  <si>
    <t xml:space="preserve">CITY-54</t>
  </si>
  <si>
    <t xml:space="preserve">CITY-56</t>
  </si>
  <si>
    <t xml:space="preserve">CITY-57</t>
  </si>
  <si>
    <t xml:space="preserve">7.544 in 45+ 4.816 in 35+</t>
  </si>
  <si>
    <t xml:space="preserve">CITY-60</t>
  </si>
  <si>
    <t xml:space="preserve">CITY-61</t>
  </si>
  <si>
    <t xml:space="preserve">CITY-62</t>
  </si>
  <si>
    <t xml:space="preserve">CITY-63</t>
  </si>
  <si>
    <t xml:space="preserve">CITY-65</t>
  </si>
  <si>
    <t xml:space="preserve">CITY-66</t>
  </si>
  <si>
    <t xml:space="preserve">CITY-67</t>
  </si>
  <si>
    <t xml:space="preserve">CITY-69</t>
  </si>
  <si>
    <t xml:space="preserve">0.397 in 45+ 8.349 in 35+</t>
  </si>
  <si>
    <t xml:space="preserve">CITY-70</t>
  </si>
  <si>
    <t xml:space="preserve">7.515 in 45+ 1.045 in 35+</t>
  </si>
  <si>
    <t xml:space="preserve">CITY-71</t>
  </si>
  <si>
    <t xml:space="preserve">2.979 in 45+ 0.188 in 35+</t>
  </si>
  <si>
    <t xml:space="preserve">CITY-72</t>
  </si>
  <si>
    <t xml:space="preserve">CITY-101</t>
  </si>
  <si>
    <t xml:space="preserve">City C</t>
  </si>
  <si>
    <t xml:space="preserve">100+</t>
  </si>
  <si>
    <t xml:space="preserve">City centre</t>
  </si>
  <si>
    <t xml:space="preserve">101 homes/ha = median of 6 permitted Limerick schemes of 10+ homes in city centre; applied to developable for density_estimate_units only</t>
  </si>
  <si>
    <t xml:space="preserve">CITY-102</t>
  </si>
  <si>
    <t xml:space="preserve">Estimate (council audit recorded no capacity): developable area x density</t>
  </si>
  <si>
    <t xml:space="preserve">101 homes/ha = median of 6 permitted Limerick schemes of 10+ homes in city centre; developable share 0.91 where none recorded</t>
  </si>
  <si>
    <t xml:space="preserve">CITY-104</t>
  </si>
  <si>
    <t xml:space="preserve">CITY-105</t>
  </si>
  <si>
    <t xml:space="preserve">CITY-106</t>
  </si>
  <si>
    <t xml:space="preserve">CITY-107</t>
  </si>
  <si>
    <t xml:space="preserve">CITY-108</t>
  </si>
  <si>
    <t xml:space="preserve">CITY-162</t>
  </si>
  <si>
    <t xml:space="preserve">CITY-163</t>
  </si>
  <si>
    <t xml:space="preserve">CITY-22</t>
  </si>
  <si>
    <t xml:space="preserve">CITY-23</t>
  </si>
  <si>
    <t xml:space="preserve">CITY-86</t>
  </si>
  <si>
    <t xml:space="preserve">CITY-87</t>
  </si>
  <si>
    <t xml:space="preserve">CITY-88</t>
  </si>
  <si>
    <t xml:space="preserve">CITY-89</t>
  </si>
  <si>
    <t xml:space="preserve">CITY-91</t>
  </si>
  <si>
    <t xml:space="preserve">CITY-92</t>
  </si>
  <si>
    <t xml:space="preserve">CITY-93</t>
  </si>
  <si>
    <t xml:space="preserve">CITY-95</t>
  </si>
  <si>
    <t xml:space="preserve">CITY-97</t>
  </si>
  <si>
    <t xml:space="preserve">CITY-99</t>
  </si>
  <si>
    <t xml:space="preserve">CITY-26</t>
  </si>
  <si>
    <t xml:space="preserve">Corbally</t>
  </si>
  <si>
    <t xml:space="preserve">CITY-27</t>
  </si>
  <si>
    <t xml:space="preserve">0.08 in 45+ 2.34 in 35+</t>
  </si>
  <si>
    <t xml:space="preserve">CITY-28</t>
  </si>
  <si>
    <t xml:space="preserve">0.478 in 45+ 0.108 in 35+</t>
  </si>
  <si>
    <t xml:space="preserve">CITY-29</t>
  </si>
  <si>
    <t xml:space="preserve">CITY-30</t>
  </si>
  <si>
    <t xml:space="preserve">CITY-31</t>
  </si>
  <si>
    <t xml:space="preserve">0.007 in 45+ 1.054 in 35+</t>
  </si>
  <si>
    <t xml:space="preserve">CITY-32</t>
  </si>
  <si>
    <t xml:space="preserve">2.893 in 45+ 1.38 in 35+</t>
  </si>
  <si>
    <t xml:space="preserve">CITY-33</t>
  </si>
  <si>
    <t xml:space="preserve">CITY-34</t>
  </si>
  <si>
    <t xml:space="preserve">CITY-134</t>
  </si>
  <si>
    <t xml:space="preserve">0.194 in 45+ 0.412 in 35+</t>
  </si>
  <si>
    <t xml:space="preserve">CITY-135</t>
  </si>
  <si>
    <t xml:space="preserve">CITY-136</t>
  </si>
  <si>
    <t xml:space="preserve">CITY-137</t>
  </si>
  <si>
    <t xml:space="preserve">CITY-139</t>
  </si>
  <si>
    <t xml:space="preserve">CITY-141</t>
  </si>
  <si>
    <t xml:space="preserve">CITY-142</t>
  </si>
  <si>
    <t xml:space="preserve">CITY-143</t>
  </si>
  <si>
    <t xml:space="preserve">CITY-144</t>
  </si>
  <si>
    <t xml:space="preserve">CITY-145</t>
  </si>
  <si>
    <t xml:space="preserve">CITY-146</t>
  </si>
  <si>
    <t xml:space="preserve">CITY-147</t>
  </si>
  <si>
    <t xml:space="preserve">CITY-148</t>
  </si>
  <si>
    <t xml:space="preserve">CITY-149</t>
  </si>
  <si>
    <t xml:space="preserve">CITY-151</t>
  </si>
  <si>
    <t xml:space="preserve">7.869 in 45+ 3.1017 in 35+</t>
  </si>
  <si>
    <t xml:space="preserve">CITY-152</t>
  </si>
  <si>
    <t xml:space="preserve">0.775 in 45+ 3.345 in 35+</t>
  </si>
  <si>
    <t xml:space="preserve">CITY-153</t>
  </si>
  <si>
    <t xml:space="preserve">CITY-154</t>
  </si>
  <si>
    <t xml:space="preserve">CITY-155</t>
  </si>
  <si>
    <t xml:space="preserve">CITY-156</t>
  </si>
  <si>
    <t xml:space="preserve">CITY-160</t>
  </si>
  <si>
    <t xml:space="preserve">CITY-168</t>
  </si>
  <si>
    <t xml:space="preserve">CITY-40</t>
  </si>
  <si>
    <t xml:space="preserve">CITY-41</t>
  </si>
  <si>
    <t xml:space="preserve">CITY-109</t>
  </si>
  <si>
    <t xml:space="preserve">Garryowen</t>
  </si>
  <si>
    <t xml:space="preserve">CITY-169</t>
  </si>
  <si>
    <t xml:space="preserve">34 homes/ha = median of 39 permitted Limerick schemes of 10+ homes in city suburbs; developable share 0.91 where none recorded</t>
  </si>
  <si>
    <t xml:space="preserve">CITY-43</t>
  </si>
  <si>
    <t xml:space="preserve">CITY-45</t>
  </si>
  <si>
    <t xml:space="preserve">CITY-46</t>
  </si>
  <si>
    <t xml:space="preserve">CITY-47</t>
  </si>
  <si>
    <t xml:space="preserve">CITY-49</t>
  </si>
  <si>
    <t xml:space="preserve">CITY-50</t>
  </si>
  <si>
    <t xml:space="preserve">CITY-51</t>
  </si>
  <si>
    <t xml:space="preserve">CITY-52</t>
  </si>
  <si>
    <t xml:space="preserve">CITY-75</t>
  </si>
  <si>
    <t xml:space="preserve">0.171 in 45+ 0.056 in 35+</t>
  </si>
  <si>
    <t xml:space="preserve">CITY-77</t>
  </si>
  <si>
    <t xml:space="preserve">CITY-78</t>
  </si>
  <si>
    <t xml:space="preserve">CITY-79</t>
  </si>
  <si>
    <t xml:space="preserve">CITY-80</t>
  </si>
  <si>
    <t xml:space="preserve">CITY-81</t>
  </si>
  <si>
    <t xml:space="preserve">CITY-82</t>
  </si>
  <si>
    <t xml:space="preserve">CITY-83</t>
  </si>
  <si>
    <t xml:space="preserve">CITY-84</t>
  </si>
  <si>
    <t xml:space="preserve">CITY-110</t>
  </si>
  <si>
    <t xml:space="preserve">CITY-111</t>
  </si>
  <si>
    <t xml:space="preserve">CITY-113</t>
  </si>
  <si>
    <t xml:space="preserve">CITY-114</t>
  </si>
  <si>
    <t xml:space="preserve">CITY-115</t>
  </si>
  <si>
    <t xml:space="preserve">Southill</t>
  </si>
  <si>
    <t xml:space="preserve">CITY-116</t>
  </si>
  <si>
    <t xml:space="preserve">CITY-117</t>
  </si>
  <si>
    <t xml:space="preserve">CITY-118</t>
  </si>
  <si>
    <t xml:space="preserve">CITY-119</t>
  </si>
  <si>
    <t xml:space="preserve">CITY-120</t>
  </si>
  <si>
    <t xml:space="preserve">CITY-121</t>
  </si>
  <si>
    <t xml:space="preserve">CITY-123</t>
  </si>
  <si>
    <t xml:space="preserve">0.467 in 45+</t>
  </si>
  <si>
    <t xml:space="preserve">CITY-124</t>
  </si>
  <si>
    <t xml:space="preserve">CITY-125</t>
  </si>
  <si>
    <t xml:space="preserve">CITY-127</t>
  </si>
  <si>
    <t xml:space="preserve">CITY-128</t>
  </si>
  <si>
    <t xml:space="preserve">CITY-158</t>
  </si>
  <si>
    <t xml:space="preserve">CITY-74</t>
  </si>
  <si>
    <t xml:space="preserve">CITY-76</t>
  </si>
  <si>
    <t xml:space="preserve">CTY-BALLINGARRY-1</t>
  </si>
  <si>
    <t xml:space="preserve">Council audit – county</t>
  </si>
  <si>
    <t xml:space="preserve">Outside city neighbourhoods</t>
  </si>
  <si>
    <t xml:space="preserve">ADARE-RATHKEALE LEA-6</t>
  </si>
  <si>
    <t xml:space="preserve">Ballingarry – site 1</t>
  </si>
  <si>
    <t xml:space="preserve">New Residential</t>
  </si>
  <si>
    <t xml:space="preserve">Infill/Brownfield</t>
  </si>
  <si>
    <t xml:space="preserve">22</t>
  </si>
  <si>
    <t xml:space="preserve">Council county audit: area x density</t>
  </si>
  <si>
    <t xml:space="preserve">County towns and villages</t>
  </si>
  <si>
    <t xml:space="preserve">25 homes/ha = median of 101 permitted Limerick schemes of 10+ homes in county towns and villages; applied to developable for density_estimate_units only</t>
  </si>
  <si>
    <t xml:space="preserve">CTY-BALLINGARRY-2</t>
  </si>
  <si>
    <t xml:space="preserve">Ballingarry – site 2</t>
  </si>
  <si>
    <t xml:space="preserve">Residential Serviced Sites</t>
  </si>
  <si>
    <t xml:space="preserve">10</t>
  </si>
  <si>
    <t xml:space="preserve">CTY-BALLINGARRY-3</t>
  </si>
  <si>
    <t xml:space="preserve">Ballingarry – site 3</t>
  </si>
  <si>
    <t xml:space="preserve">CTY-BRUFF-1</t>
  </si>
  <si>
    <t xml:space="preserve">Edge of settlement (within 500 m)</t>
  </si>
  <si>
    <t xml:space="preserve">CAPPAMORE-KILMALLOCK LEA-7</t>
  </si>
  <si>
    <t xml:space="preserve">Bruff – site 1</t>
  </si>
  <si>
    <t xml:space="preserve">clipped by consent 2360794</t>
  </si>
  <si>
    <t xml:space="preserve">CTY-BRUFF-2</t>
  </si>
  <si>
    <t xml:space="preserve">Bruff – site 2</t>
  </si>
  <si>
    <t xml:space="preserve">CTY-BRUFF-3</t>
  </si>
  <si>
    <t xml:space="preserve">Bruff – site 3</t>
  </si>
  <si>
    <t xml:space="preserve">clipped by consent 2560947</t>
  </si>
  <si>
    <t xml:space="preserve">CTY-BRUFF-4</t>
  </si>
  <si>
    <t xml:space="preserve">Bruff – site 4</t>
  </si>
  <si>
    <t xml:space="preserve">CTY-BRUREE-1</t>
  </si>
  <si>
    <t xml:space="preserve">Bruree – site 1</t>
  </si>
  <si>
    <t xml:space="preserve">CTY-BRUREE-2</t>
  </si>
  <si>
    <t xml:space="preserve">Bruree – site 2</t>
  </si>
  <si>
    <t xml:space="preserve">CTY-BRUREE-3</t>
  </si>
  <si>
    <t xml:space="preserve">Bruree – site 3</t>
  </si>
  <si>
    <t xml:space="preserve">CTY-CAPPAMORE-1</t>
  </si>
  <si>
    <t xml:space="preserve">Cappamore – site 1</t>
  </si>
  <si>
    <t xml:space="preserve">clipped by consent 221352</t>
  </si>
  <si>
    <t xml:space="preserve">CTY-CAPPAMORE-2</t>
  </si>
  <si>
    <t xml:space="preserve">Cappamore – site 2</t>
  </si>
  <si>
    <t xml:space="preserve">CTY-CAPPAMORE-3</t>
  </si>
  <si>
    <t xml:space="preserve">Cappamore – site 3</t>
  </si>
  <si>
    <t xml:space="preserve">CTY-CAPPAMORE-4</t>
  </si>
  <si>
    <t xml:space="preserve">Cappamore – site 4</t>
  </si>
  <si>
    <t xml:space="preserve">clipped by consent 19872</t>
  </si>
  <si>
    <t xml:space="preserve">CTY-DROMCOLLIHER-1</t>
  </si>
  <si>
    <t xml:space="preserve">NEWCASTLE WEST LEA-6</t>
  </si>
  <si>
    <t xml:space="preserve">Dromcolliher – site 1</t>
  </si>
  <si>
    <t xml:space="preserve">CTY-DROMCOLLIHER-2</t>
  </si>
  <si>
    <t xml:space="preserve">Dromcolliher – site 2</t>
  </si>
  <si>
    <t xml:space="preserve">CTY-DROMCOLLIHER-3</t>
  </si>
  <si>
    <t xml:space="preserve">Dromcolliher – site 3</t>
  </si>
  <si>
    <t xml:space="preserve">CTY-DROMCOLLIHER-4</t>
  </si>
  <si>
    <t xml:space="preserve">Dromcolliher – site 4</t>
  </si>
  <si>
    <t xml:space="preserve">CTY-FOYNES-1</t>
  </si>
  <si>
    <t xml:space="preserve">Foynes – site 1</t>
  </si>
  <si>
    <t xml:space="preserve">10-22</t>
  </si>
  <si>
    <t xml:space="preserve">Council county audit: area x density (midpoint of range given)</t>
  </si>
  <si>
    <t xml:space="preserve">CTY-GLIN-1</t>
  </si>
  <si>
    <t xml:space="preserve">Glin – site 1</t>
  </si>
  <si>
    <t xml:space="preserve">CTY-GLIN-2</t>
  </si>
  <si>
    <t xml:space="preserve">Glin – site 2</t>
  </si>
  <si>
    <t xml:space="preserve">CTY-GLIN-3</t>
  </si>
  <si>
    <t xml:space="preserve">Glin – site 3</t>
  </si>
  <si>
    <t xml:space="preserve">CTY-GLIN-4</t>
  </si>
  <si>
    <t xml:space="preserve">Glin – site 4</t>
  </si>
  <si>
    <t xml:space="preserve">CTY-HOSPITAL-1</t>
  </si>
  <si>
    <t xml:space="preserve">Hospital – site 1</t>
  </si>
  <si>
    <t xml:space="preserve">CTY-HOSPITAL-2</t>
  </si>
  <si>
    <t xml:space="preserve">Hospital – site 2</t>
  </si>
  <si>
    <t xml:space="preserve">CTY-HOSPITAL-3</t>
  </si>
  <si>
    <t xml:space="preserve">Hospital – site 3</t>
  </si>
  <si>
    <t xml:space="preserve">CTY-HOSPITAL-4</t>
  </si>
  <si>
    <t xml:space="preserve">Hospital – site 4</t>
  </si>
  <si>
    <t xml:space="preserve">CTY-HOSPITAL-5</t>
  </si>
  <si>
    <t xml:space="preserve">Hospital – site 5</t>
  </si>
  <si>
    <t xml:space="preserve">Enterprise &amp; Employment</t>
  </si>
  <si>
    <t xml:space="preserve">25 homes/ha = median of 101 permitted Limerick schemes of 10+ homes in county towns and villages; developable share 0.91 where none recorded</t>
  </si>
  <si>
    <t xml:space="preserve">County audit gives no density; zoned Enterprise &amp; Employment</t>
  </si>
  <si>
    <t xml:space="preserve">CTY-KILFINANE-1</t>
  </si>
  <si>
    <t xml:space="preserve">Kilfinane – site 1</t>
  </si>
  <si>
    <t xml:space="preserve">clipped by consent 218013</t>
  </si>
  <si>
    <t xml:space="preserve">CTY-KILFINANE-2</t>
  </si>
  <si>
    <t xml:space="preserve">Kilfinane – site 2</t>
  </si>
  <si>
    <t xml:space="preserve">CTY-KILFINANE-3</t>
  </si>
  <si>
    <t xml:space="preserve">Kilfinane – site 3</t>
  </si>
  <si>
    <t xml:space="preserve">CTY-KILFINANE-4</t>
  </si>
  <si>
    <t xml:space="preserve">Kilfinane – site 4</t>
  </si>
  <si>
    <t xml:space="preserve">CTY-KILFINANE-5</t>
  </si>
  <si>
    <t xml:space="preserve">Kilfinane – site 5</t>
  </si>
  <si>
    <t xml:space="preserve">CTY-MURROE-1</t>
  </si>
  <si>
    <t xml:space="preserve">Murroe – site 1</t>
  </si>
  <si>
    <t xml:space="preserve">CTY-MURROE-2</t>
  </si>
  <si>
    <t xml:space="preserve">Murroe – site 2</t>
  </si>
  <si>
    <t xml:space="preserve">CTY-MURROE-4</t>
  </si>
  <si>
    <t xml:space="preserve">Murroe – site 4</t>
  </si>
  <si>
    <t xml:space="preserve">CTY-PALLASGREEN-1</t>
  </si>
  <si>
    <t xml:space="preserve">Pallasgreen – site 1</t>
  </si>
  <si>
    <t xml:space="preserve">CTY-PALLASGREEN-2</t>
  </si>
  <si>
    <t xml:space="preserve">Pallasgreen – site 2</t>
  </si>
  <si>
    <t xml:space="preserve">CTY-PALLASGREEN-3</t>
  </si>
  <si>
    <t xml:space="preserve">Pallasgreen – site 3</t>
  </si>
  <si>
    <t xml:space="preserve">CTY-PALLASKENRY-3</t>
  </si>
  <si>
    <t xml:space="preserve">Pallaskenry – site 3</t>
  </si>
  <si>
    <t xml:space="preserve">CTY-PALLASKENRY-4</t>
  </si>
  <si>
    <t xml:space="preserve">Pallaskenry – site 4</t>
  </si>
  <si>
    <t xml:space="preserve">clipped by consent 24352</t>
  </si>
  <si>
    <t xml:space="preserve">CITY-2</t>
  </si>
  <si>
    <t xml:space="preserve">Reinstated: removed in council review with no reason recorded; adjoining land built under 17/470, this remainder undeveloped</t>
  </si>
  <si>
    <t xml:space="preserve">CITY-35</t>
  </si>
  <si>
    <t xml:space="preserve">Reinstated: removed because it already had approval (Part 8 19/8004, 27 older persons homes, not started), unlike the 28 permitted sites the council kept</t>
  </si>
  <si>
    <t xml:space="preserve">CITY-112</t>
  </si>
  <si>
    <t xml:space="preserve">Reinstated: removed in council review with no reason recorded; council-owned, undeveloped, no permission. Irregular narrow shape, so the density-based capacity may overstate what fits</t>
  </si>
  <si>
    <t xml:space="preserve">PC-188014</t>
  </si>
  <si>
    <t xml:space="preserve">€1.7m - Residential Development, Rosbrien Road</t>
  </si>
  <si>
    <t xml:space="preserve">Consented units (no council estimate)</t>
  </si>
  <si>
    <t xml:space="preserve">PC-18892</t>
  </si>
  <si>
    <t xml:space="preserve">€870k - Apartments  </t>
  </si>
  <si>
    <t xml:space="preserve">PC-2360025</t>
  </si>
  <si>
    <t xml:space="preserve">€3.8m - Apartment Development, Limerick</t>
  </si>
  <si>
    <t xml:space="preserve">PC-188004</t>
  </si>
  <si>
    <t xml:space="preserve">Part 8: (i) provision of 5 no. residential units (3 no. 2 bedroom houses and 2</t>
  </si>
  <si>
    <t xml:space="preserve">PC-188008</t>
  </si>
  <si>
    <t xml:space="preserve">€7m - Residential Development, Condell Road</t>
  </si>
  <si>
    <t xml:space="preserve">PC-188009</t>
  </si>
  <si>
    <t xml:space="preserve">€1.1m - Residential Units </t>
  </si>
  <si>
    <t xml:space="preserve">PC-19302</t>
  </si>
  <si>
    <t xml:space="preserve">€2.6m - Apartments</t>
  </si>
  <si>
    <t xml:space="preserve">Units of the expired permission (lapsed; land accepted for housing)</t>
  </si>
  <si>
    <t xml:space="preserve">PC-198003</t>
  </si>
  <si>
    <t xml:space="preserve">€3.9m - Residential Development, Moyross</t>
  </si>
  <si>
    <t xml:space="preserve">PC-19970</t>
  </si>
  <si>
    <t xml:space="preserve">€16m - Residential Development, Ennis Road</t>
  </si>
  <si>
    <t xml:space="preserve">PC-21147</t>
  </si>
  <si>
    <t xml:space="preserve">€1.4m - Housing Development </t>
  </si>
  <si>
    <t xml:space="preserve">PC-21342</t>
  </si>
  <si>
    <t xml:space="preserve">€864k - 6 Dwellings</t>
  </si>
  <si>
    <t xml:space="preserve">PC-221189</t>
  </si>
  <si>
    <t xml:space="preserve">€6.3m - Apartment Development, Limerick</t>
  </si>
  <si>
    <t xml:space="preserve">PC-268363</t>
  </si>
  <si>
    <t xml:space="preserve">€1.4m - 6 Houses, Caherdavin</t>
  </si>
  <si>
    <t xml:space="preserve">Units of the application in planning (pending decision)</t>
  </si>
  <si>
    <t xml:space="preserve">Approximate – 25 m circle round scheme point (no boundary)</t>
  </si>
  <si>
    <t xml:space="preserve">PC-CE2019087</t>
  </si>
  <si>
    <t xml:space="preserve">€1.5m - Housing Development</t>
  </si>
  <si>
    <t xml:space="preserve">PC-CIS1417205</t>
  </si>
  <si>
    <t xml:space="preserve">€1.4m - Architect Led Integrated Design Team for College Avenue Infill Housing S</t>
  </si>
  <si>
    <t xml:space="preserve">Estimate (no unit count recorded): developable area x density</t>
  </si>
  <si>
    <t xml:space="preserve">Approximate – 25 m circle round scheme point (no boundary); was matched as Edge (≤50 m) – check</t>
  </si>
  <si>
    <t xml:space="preserve">PC-PT8LL283</t>
  </si>
  <si>
    <t xml:space="preserve">€5.4m - Cosgrave Park Phase 2, Moyross</t>
  </si>
  <si>
    <t xml:space="preserve">PC-Part81063948</t>
  </si>
  <si>
    <t xml:space="preserve">€9m - Rapid Housing Delivery</t>
  </si>
  <si>
    <t xml:space="preserve">PC-181104</t>
  </si>
  <si>
    <t xml:space="preserve">€11.8m - Residential Development, Castletroy</t>
  </si>
  <si>
    <t xml:space="preserve">PC-18496</t>
  </si>
  <si>
    <t xml:space="preserve">€1.3m - Housing Development</t>
  </si>
  <si>
    <t xml:space="preserve">PC-187020</t>
  </si>
  <si>
    <t xml:space="preserve">€1m - Residential Development</t>
  </si>
  <si>
    <t xml:space="preserve">PC-191037</t>
  </si>
  <si>
    <t xml:space="preserve">€2.3m - 8 Residential Units </t>
  </si>
  <si>
    <t xml:space="preserve">PC-197025</t>
  </si>
  <si>
    <t xml:space="preserve">Housing Development </t>
  </si>
  <si>
    <t xml:space="preserve">PC-201074</t>
  </si>
  <si>
    <t xml:space="preserve">€13m - Residential Development, Castletroy</t>
  </si>
  <si>
    <t xml:space="preserve">PC-20361</t>
  </si>
  <si>
    <t xml:space="preserve">€648k - 3 Houses </t>
  </si>
  <si>
    <t xml:space="preserve">PC-211152</t>
  </si>
  <si>
    <t xml:space="preserve">€16.6m - Residential Development, Castletroy</t>
  </si>
  <si>
    <t xml:space="preserve">PC-21350</t>
  </si>
  <si>
    <t xml:space="preserve">€14m - Residential Development,Castletroy</t>
  </si>
  <si>
    <t xml:space="preserve">PC-21853</t>
  </si>
  <si>
    <t xml:space="preserve">€622k - 2 Houses</t>
  </si>
  <si>
    <t xml:space="preserve">PC-2360263</t>
  </si>
  <si>
    <t xml:space="preserve">€3.8m - Housing Development, Castletroy</t>
  </si>
  <si>
    <t xml:space="preserve">PC-2360842</t>
  </si>
  <si>
    <t xml:space="preserve">€22m - Golf Links Road LRD, Monaleen</t>
  </si>
  <si>
    <t xml:space="preserve">PC-248132</t>
  </si>
  <si>
    <t xml:space="preserve">€1.4m - 6 Houses, Annacotty</t>
  </si>
  <si>
    <t xml:space="preserve">PC-2561323</t>
  </si>
  <si>
    <t xml:space="preserve">€757k - 4 Apartments, Castletroy</t>
  </si>
  <si>
    <t xml:space="preserve">PC-ABPREF307631</t>
  </si>
  <si>
    <t xml:space="preserve">€44m - Residential Development, Castletroy</t>
  </si>
  <si>
    <t xml:space="preserve">PC-178017</t>
  </si>
  <si>
    <t xml:space="preserve">Part 8: (a) Provision of 13 no. residential terraced units (11 no. two storey </t>
  </si>
  <si>
    <t xml:space="preserve">PC-18219</t>
  </si>
  <si>
    <t xml:space="preserve">€2m - Apartment Development </t>
  </si>
  <si>
    <t xml:space="preserve">PC-188001</t>
  </si>
  <si>
    <t xml:space="preserve">€3m - Residential Development, Mulgrave Street</t>
  </si>
  <si>
    <t xml:space="preserve">PC-191060</t>
  </si>
  <si>
    <t xml:space="preserve">€50m - 1 BQ Development, Limerick City</t>
  </si>
  <si>
    <t xml:space="preserve">PC-19769</t>
  </si>
  <si>
    <t xml:space="preserve">€782k - Apartment Change of Use, Henry Street</t>
  </si>
  <si>
    <t xml:space="preserve">PC-198008</t>
  </si>
  <si>
    <t xml:space="preserve">Part 8: (a) provision of 3 no. residential two-storey terraced units comprisin</t>
  </si>
  <si>
    <t xml:space="preserve">PC-19841</t>
  </si>
  <si>
    <t xml:space="preserve">€618k - 2 Apartments </t>
  </si>
  <si>
    <t xml:space="preserve">PC-201142</t>
  </si>
  <si>
    <t xml:space="preserve">€919k - Student Accommodation Development, Saint Gerard Street</t>
  </si>
  <si>
    <t xml:space="preserve">PC-20622</t>
  </si>
  <si>
    <t xml:space="preserve">€3.2m - Change of Use to Apartment Development </t>
  </si>
  <si>
    <t xml:space="preserve">PC-211454</t>
  </si>
  <si>
    <t xml:space="preserve">€2.1m - Apartment Development </t>
  </si>
  <si>
    <t xml:space="preserve">PC-211598</t>
  </si>
  <si>
    <t xml:space="preserve">€5.8m - Apartment/Retail Development, Limerick </t>
  </si>
  <si>
    <t xml:space="preserve">PC-221003</t>
  </si>
  <si>
    <t xml:space="preserve">€6.5m - Apartment Development, Limerick</t>
  </si>
  <si>
    <t xml:space="preserve">PC-221172</t>
  </si>
  <si>
    <t xml:space="preserve">€5.9m - Student Accommodation Development </t>
  </si>
  <si>
    <t xml:space="preserve">PC-221367</t>
  </si>
  <si>
    <t xml:space="preserve">€5.2m - Residential Development, Limerick</t>
  </si>
  <si>
    <t xml:space="preserve">PC-221381</t>
  </si>
  <si>
    <t xml:space="preserve">€2m - 9 Apartments</t>
  </si>
  <si>
    <t xml:space="preserve">PC-228023</t>
  </si>
  <si>
    <t xml:space="preserve">€5.45m - Apartment Development, Limerick</t>
  </si>
  <si>
    <t xml:space="preserve">PC-23283</t>
  </si>
  <si>
    <t xml:space="preserve">€907k - Change of Use to 4 Apartments </t>
  </si>
  <si>
    <t xml:space="preserve">PC-2360150</t>
  </si>
  <si>
    <t xml:space="preserve">€3m - Apartment Development, Limerick</t>
  </si>
  <si>
    <t xml:space="preserve">PC-2360345</t>
  </si>
  <si>
    <t xml:space="preserve">€3.7m - Residential Development, Limerick City</t>
  </si>
  <si>
    <t xml:space="preserve">PC-2460004</t>
  </si>
  <si>
    <t xml:space="preserve">€755k - Change of Use to 3 Apartments </t>
  </si>
  <si>
    <t xml:space="preserve">PC-2460020</t>
  </si>
  <si>
    <t xml:space="preserve">€200k - Change of Use to 8 Apartments </t>
  </si>
  <si>
    <t xml:space="preserve">PC-2460075</t>
  </si>
  <si>
    <t xml:space="preserve">€816k - 8 Apartment </t>
  </si>
  <si>
    <t xml:space="preserve">PC-2460151</t>
  </si>
  <si>
    <t xml:space="preserve">€1.6m - Change of Use to 7 Apartments, Limerick</t>
  </si>
  <si>
    <t xml:space="preserve">PC-2460570</t>
  </si>
  <si>
    <t xml:space="preserve">€4.5m - Apartment Development, Limerick City</t>
  </si>
  <si>
    <t xml:space="preserve">PC-2460633</t>
  </si>
  <si>
    <t xml:space="preserve">€2.7m - Residential Development, Limerick</t>
  </si>
  <si>
    <t xml:space="preserve">PC-2461298</t>
  </si>
  <si>
    <t xml:space="preserve">€975k - Change of Use to Restaurant/Apartments</t>
  </si>
  <si>
    <t xml:space="preserve">PC-2560001</t>
  </si>
  <si>
    <t xml:space="preserve">€1.3m - 6 Apartments, Thomondgate</t>
  </si>
  <si>
    <t xml:space="preserve">PC-2560365</t>
  </si>
  <si>
    <t xml:space="preserve">€2.4m - Apartment Development</t>
  </si>
  <si>
    <t xml:space="preserve">PC-2560540</t>
  </si>
  <si>
    <t xml:space="preserve">€7m - Apartment Development, Limerick City</t>
  </si>
  <si>
    <t xml:space="preserve">PC-2560595</t>
  </si>
  <si>
    <t xml:space="preserve">€819k - 6 Apartments</t>
  </si>
  <si>
    <t xml:space="preserve">PC-2560771</t>
  </si>
  <si>
    <t xml:space="preserve">€4.5m - Mixed Use Development</t>
  </si>
  <si>
    <t xml:space="preserve">PC-2561242</t>
  </si>
  <si>
    <t xml:space="preserve">€14.5m - Residential Development, Limerick</t>
  </si>
  <si>
    <t xml:space="preserve">PC-268371</t>
  </si>
  <si>
    <t xml:space="preserve">€3.2m - Residential Development, Thomondgate</t>
  </si>
  <si>
    <t xml:space="preserve">PC-Part81264155</t>
  </si>
  <si>
    <t xml:space="preserve">€590k - Residential Development / Living Georgian Project, 58 O’Connell Street</t>
  </si>
  <si>
    <t xml:space="preserve">PC-187029</t>
  </si>
  <si>
    <t xml:space="preserve">€1.9m - Housing Development </t>
  </si>
  <si>
    <t xml:space="preserve">PC-2460864</t>
  </si>
  <si>
    <t xml:space="preserve">€4.2m - Residential Development</t>
  </si>
  <si>
    <t xml:space="preserve">was matched as Partly on site – check</t>
  </si>
  <si>
    <t xml:space="preserve">PC-268364</t>
  </si>
  <si>
    <t xml:space="preserve">€883k - Part 8 - 6 Apartments, Corbally</t>
  </si>
  <si>
    <t xml:space="preserve">PC-19990</t>
  </si>
  <si>
    <t xml:space="preserve">€521k - 8 Houses </t>
  </si>
  <si>
    <t xml:space="preserve">PC-201115</t>
  </si>
  <si>
    <t xml:space="preserve">€16.5m - Residential Development, Mungret</t>
  </si>
  <si>
    <t xml:space="preserve">PC-201195</t>
  </si>
  <si>
    <t xml:space="preserve">€9m - Residential Development, Mungret</t>
  </si>
  <si>
    <t xml:space="preserve">PC-20467</t>
  </si>
  <si>
    <t xml:space="preserve">€5.4m - Patricks Well Housing Development, Mungret</t>
  </si>
  <si>
    <t xml:space="preserve">PC-211216</t>
  </si>
  <si>
    <t xml:space="preserve">€21m - Residential Development, Mungret</t>
  </si>
  <si>
    <t xml:space="preserve">PC-211217</t>
  </si>
  <si>
    <t xml:space="preserve">€15.2m - Residential Development Mungret</t>
  </si>
  <si>
    <t xml:space="preserve">PC-21364</t>
  </si>
  <si>
    <t xml:space="preserve">€2.5m - Residential Development, Mungret</t>
  </si>
  <si>
    <t xml:space="preserve">PC-21532</t>
  </si>
  <si>
    <t xml:space="preserve">€858k - Residential Development, Mungret</t>
  </si>
  <si>
    <t xml:space="preserve">PC-221107</t>
  </si>
  <si>
    <t xml:space="preserve">€5m - Apartment/Retail Development, Dooradoyle</t>
  </si>
  <si>
    <t xml:space="preserve">PC-22471</t>
  </si>
  <si>
    <t xml:space="preserve">€4.5m - Housing Development, Mungret</t>
  </si>
  <si>
    <t xml:space="preserve">PC-2360615</t>
  </si>
  <si>
    <t xml:space="preserve">€11.3m - Housing Development, Mungret</t>
  </si>
  <si>
    <t xml:space="preserve">PC-2360703</t>
  </si>
  <si>
    <t xml:space="preserve">€27m - Mixed Use Development, Dooradoyle</t>
  </si>
  <si>
    <t xml:space="preserve">PC-2560425</t>
  </si>
  <si>
    <t xml:space="preserve">€4.4m - Apartment Development </t>
  </si>
  <si>
    <t xml:space="preserve">PC-Part81371977</t>
  </si>
  <si>
    <t xml:space="preserve">€3.4m - Residential Development</t>
  </si>
  <si>
    <t xml:space="preserve">PC-CIS1422145</t>
  </si>
  <si>
    <t xml:space="preserve">€719k - Architect Led Integrated Design Team Services for 23 Residential Units, </t>
  </si>
  <si>
    <t xml:space="preserve">PC-178001</t>
  </si>
  <si>
    <t xml:space="preserve">Part 8: (1)Provision of 7no. residential units, 2no. two storey and 5no. singl</t>
  </si>
  <si>
    <t xml:space="preserve">PC-178012</t>
  </si>
  <si>
    <t xml:space="preserve">Part 8: (i) provision of 7 no. residential units (2 no. three-storey, 3 bedroo</t>
  </si>
  <si>
    <t xml:space="preserve">PC-187040</t>
  </si>
  <si>
    <t xml:space="preserve">€5.7m - Residential Development, Rhebogue</t>
  </si>
  <si>
    <t xml:space="preserve">PC-211257</t>
  </si>
  <si>
    <t xml:space="preserve">€1.8m - Social Housing Development, Limerick</t>
  </si>
  <si>
    <t xml:space="preserve">PC-211395</t>
  </si>
  <si>
    <t xml:space="preserve">€1.3m - 6 Houses </t>
  </si>
  <si>
    <t xml:space="preserve">PC-2360759</t>
  </si>
  <si>
    <t xml:space="preserve">€1.4m - Retail Units/Apartments</t>
  </si>
  <si>
    <t xml:space="preserve">PC-2561232</t>
  </si>
  <si>
    <t xml:space="preserve">€9.4m - Student Accommodation Development, Limerick</t>
  </si>
  <si>
    <t xml:space="preserve">PC-178015</t>
  </si>
  <si>
    <t xml:space="preserve">Part 8: provision of 5 no. residential terraced units (all two storey) and all</t>
  </si>
  <si>
    <t xml:space="preserve">PC-181243</t>
  </si>
  <si>
    <t xml:space="preserve">€6.4m - Residential Development, Crossagalla</t>
  </si>
  <si>
    <t xml:space="preserve">PC-18434</t>
  </si>
  <si>
    <t xml:space="preserve">€10m - Residential Development, Singland</t>
  </si>
  <si>
    <t xml:space="preserve">PC-18618</t>
  </si>
  <si>
    <t xml:space="preserve">€529k - 4 Houses </t>
  </si>
  <si>
    <t xml:space="preserve">PC-1872</t>
  </si>
  <si>
    <t xml:space="preserve">€554k - 4 Houses </t>
  </si>
  <si>
    <t xml:space="preserve">PC-188007</t>
  </si>
  <si>
    <t xml:space="preserve">€8.9m - Residential Development </t>
  </si>
  <si>
    <t xml:space="preserve">PC-2460468</t>
  </si>
  <si>
    <t xml:space="preserve">€3.6m - Housing/Creche Development, Crossagalla</t>
  </si>
  <si>
    <t xml:space="preserve">PC-CIS1419395</t>
  </si>
  <si>
    <t xml:space="preserve">€2.1m - Part 8 Residential Development, Limerick</t>
  </si>
  <si>
    <t xml:space="preserve">PC-PT8LL277</t>
  </si>
  <si>
    <t xml:space="preserve">€1.5m - 5 Residential Units, Limerick</t>
  </si>
  <si>
    <t xml:space="preserve">PC-Part81363543</t>
  </si>
  <si>
    <t xml:space="preserve">€4m - Housing Development</t>
  </si>
  <si>
    <t xml:space="preserve">PC-Part81378081</t>
  </si>
  <si>
    <t xml:space="preserve">€879k - 4 Houses</t>
  </si>
  <si>
    <t xml:space="preserve">PC-178013</t>
  </si>
  <si>
    <t xml:space="preserve">Part 8: (i) Provision of 16no. residential terraced units (15no. two storey an</t>
  </si>
  <si>
    <t xml:space="preserve">PC-181193</t>
  </si>
  <si>
    <t xml:space="preserve">€9m - Housing Development</t>
  </si>
  <si>
    <t xml:space="preserve">PC-188002</t>
  </si>
  <si>
    <t xml:space="preserve">€1.9m - Residential Development </t>
  </si>
  <si>
    <t xml:space="preserve">PC-188012</t>
  </si>
  <si>
    <t xml:space="preserve">Part 8: (a) provision of 24 no. two storey residential housing units. The unit</t>
  </si>
  <si>
    <t xml:space="preserve">PC-188013</t>
  </si>
  <si>
    <t xml:space="preserve">€701k - 7 Houses </t>
  </si>
  <si>
    <t xml:space="preserve">PC-18994</t>
  </si>
  <si>
    <t xml:space="preserve">€553k - 6 Houses</t>
  </si>
  <si>
    <t xml:space="preserve">PC-191255</t>
  </si>
  <si>
    <t xml:space="preserve">€572k - Residential Development, Kilmallock</t>
  </si>
  <si>
    <t xml:space="preserve">PC-191298</t>
  </si>
  <si>
    <t xml:space="preserve">€5.6m - Housing Development</t>
  </si>
  <si>
    <t xml:space="preserve">PC-19149</t>
  </si>
  <si>
    <t xml:space="preserve">€567k - Change of Use to Care Residential Units </t>
  </si>
  <si>
    <t xml:space="preserve">PC-19233</t>
  </si>
  <si>
    <t xml:space="preserve">€931k - 5 Houses </t>
  </si>
  <si>
    <t xml:space="preserve">PC-19518</t>
  </si>
  <si>
    <t xml:space="preserve">€11m - Mixed Use Development, Castleconnell</t>
  </si>
  <si>
    <t xml:space="preserve">PC-19552</t>
  </si>
  <si>
    <t xml:space="preserve">PC-19689</t>
  </si>
  <si>
    <t xml:space="preserve">€2.2m - 9 Houses </t>
  </si>
  <si>
    <t xml:space="preserve">PC-197016</t>
  </si>
  <si>
    <t xml:space="preserve">€800k - Residential Development, Ballingarry</t>
  </si>
  <si>
    <t xml:space="preserve">PC-198005</t>
  </si>
  <si>
    <t xml:space="preserve">€1.7m - Residential Development </t>
  </si>
  <si>
    <t xml:space="preserve">PC-198007</t>
  </si>
  <si>
    <t xml:space="preserve">PC-198009</t>
  </si>
  <si>
    <t xml:space="preserve">€1.8m - Housing Development </t>
  </si>
  <si>
    <t xml:space="preserve">PC-198010</t>
  </si>
  <si>
    <t xml:space="preserve">€5m - Housing Development </t>
  </si>
  <si>
    <t xml:space="preserve">PC-19872</t>
  </si>
  <si>
    <t xml:space="preserve">€1.3m - Care Residential Units </t>
  </si>
  <si>
    <t xml:space="preserve">PC-201101</t>
  </si>
  <si>
    <t xml:space="preserve">€1m - 5 Houses </t>
  </si>
  <si>
    <t xml:space="preserve">PC-20314</t>
  </si>
  <si>
    <t xml:space="preserve">€1.1m - 6 Houses </t>
  </si>
  <si>
    <t xml:space="preserve">PC-20341</t>
  </si>
  <si>
    <t xml:space="preserve">€574k - Extension to Pub </t>
  </si>
  <si>
    <t xml:space="preserve">PC-20525</t>
  </si>
  <si>
    <t xml:space="preserve">Register: the construction of 14 dwelling houses, including 2 no semi-detached 2</t>
  </si>
  <si>
    <t xml:space="preserve">PC-20678</t>
  </si>
  <si>
    <t xml:space="preserve">€864k - Residential Development, Tournafulla</t>
  </si>
  <si>
    <t xml:space="preserve">PC-20857</t>
  </si>
  <si>
    <t xml:space="preserve">€543k - 2 Houses </t>
  </si>
  <si>
    <t xml:space="preserve">PC-211170</t>
  </si>
  <si>
    <t xml:space="preserve">€3m - Modifications to Housing Development, Kilfinane</t>
  </si>
  <si>
    <t xml:space="preserve">PC-21240</t>
  </si>
  <si>
    <t xml:space="preserve">€561k - Main Street Housing Development, Ballylanders </t>
  </si>
  <si>
    <t xml:space="preserve">PC-2148</t>
  </si>
  <si>
    <t xml:space="preserve">€1.9m - Change of Use to 9 Apartments, St. Paul's Convent</t>
  </si>
  <si>
    <t xml:space="preserve">PC-21531</t>
  </si>
  <si>
    <t xml:space="preserve">€9.7m - Housing Development, Newcastle West</t>
  </si>
  <si>
    <t xml:space="preserve">PC-21550</t>
  </si>
  <si>
    <t xml:space="preserve">€1.9m - 9 Houses </t>
  </si>
  <si>
    <t xml:space="preserve">PC-21594</t>
  </si>
  <si>
    <t xml:space="preserve">€11.3m - Residential Development </t>
  </si>
  <si>
    <t xml:space="preserve">PC-21630</t>
  </si>
  <si>
    <t xml:space="preserve">€10.8m - Residential Development, Croom</t>
  </si>
  <si>
    <t xml:space="preserve">PC-218012</t>
  </si>
  <si>
    <t xml:space="preserve">€2.4m - Residential Development</t>
  </si>
  <si>
    <t xml:space="preserve">PC-218013</t>
  </si>
  <si>
    <t xml:space="preserve">€3m - Housing Development</t>
  </si>
  <si>
    <t xml:space="preserve">PC-21873</t>
  </si>
  <si>
    <t xml:space="preserve">€1.7 - 9 Houses, Patrickswell</t>
  </si>
  <si>
    <t xml:space="preserve">PC-221318</t>
  </si>
  <si>
    <t xml:space="preserve">€10.9m - Residential Development, Patrickswell</t>
  </si>
  <si>
    <t xml:space="preserve">PC-221352</t>
  </si>
  <si>
    <t xml:space="preserve">€5.5m - Housing Development, Cappamore</t>
  </si>
  <si>
    <t xml:space="preserve">PC-22394</t>
  </si>
  <si>
    <t xml:space="preserve">€2.9m - Housing Development, Castleconnell</t>
  </si>
  <si>
    <t xml:space="preserve">PC-22410</t>
  </si>
  <si>
    <t xml:space="preserve">€18.8m - Nursing Home Development, Croom</t>
  </si>
  <si>
    <t xml:space="preserve">PC-228000</t>
  </si>
  <si>
    <t xml:space="preserve">€2.5m - 9 Houses</t>
  </si>
  <si>
    <t xml:space="preserve">PC-228013</t>
  </si>
  <si>
    <t xml:space="preserve">€2.2m - Housing Development, Ardagh</t>
  </si>
  <si>
    <t xml:space="preserve">PC-228020</t>
  </si>
  <si>
    <t xml:space="preserve">€4.9m - Residential Development, Newcastle West</t>
  </si>
  <si>
    <t xml:space="preserve">PC-22840</t>
  </si>
  <si>
    <t xml:space="preserve">€21m - Residential Development, Newcastle West</t>
  </si>
  <si>
    <t xml:space="preserve">PC-22990</t>
  </si>
  <si>
    <t xml:space="preserve">€22m - Residential Development, Adare</t>
  </si>
  <si>
    <t xml:space="preserve">PC-2326</t>
  </si>
  <si>
    <t xml:space="preserve">€6.3m - Housing Development, Kilmallock</t>
  </si>
  <si>
    <t xml:space="preserve">PC-2360144</t>
  </si>
  <si>
    <t xml:space="preserve">€9m - Housing Development, Patrickswell</t>
  </si>
  <si>
    <t xml:space="preserve">PC-2360207</t>
  </si>
  <si>
    <t xml:space="preserve">€680k - 3 Houses </t>
  </si>
  <si>
    <t xml:space="preserve">PC-2360393</t>
  </si>
  <si>
    <t xml:space="preserve">€604k - 8 Residential Units </t>
  </si>
  <si>
    <t xml:space="preserve">PC-2360493</t>
  </si>
  <si>
    <t xml:space="preserve">€1.4m - 3 Houses </t>
  </si>
  <si>
    <t xml:space="preserve">PC-2360546</t>
  </si>
  <si>
    <t xml:space="preserve">€686k - 4 Dwellings</t>
  </si>
  <si>
    <t xml:space="preserve">PC-2360706</t>
  </si>
  <si>
    <t xml:space="preserve">€8.9m - Housing Development, Newcastle West</t>
  </si>
  <si>
    <t xml:space="preserve">PC-2360794</t>
  </si>
  <si>
    <t xml:space="preserve">€15.3m - Residential Development, Bruff</t>
  </si>
  <si>
    <t xml:space="preserve">PC-2360798</t>
  </si>
  <si>
    <t xml:space="preserve">€1.2m - 6 Houses </t>
  </si>
  <si>
    <t xml:space="preserve">PC-2360826</t>
  </si>
  <si>
    <t xml:space="preserve">€2.2m - Residential Development, Newcastle West</t>
  </si>
  <si>
    <t xml:space="preserve">PC-2360866</t>
  </si>
  <si>
    <t xml:space="preserve">€16.8m - Residential Development, Castleconnell</t>
  </si>
  <si>
    <t xml:space="preserve">PC-24151</t>
  </si>
  <si>
    <t xml:space="preserve">Register: the construction of 10 dwelling units to include 2 no. detached 5 bedr</t>
  </si>
  <si>
    <t xml:space="preserve">PC-24352</t>
  </si>
  <si>
    <t xml:space="preserve">€7.3m - Residential Development</t>
  </si>
  <si>
    <t xml:space="preserve">PC-2460046</t>
  </si>
  <si>
    <t xml:space="preserve">€2m - 7 Houses, Broadford</t>
  </si>
  <si>
    <t xml:space="preserve">PC-2460299</t>
  </si>
  <si>
    <t xml:space="preserve">€884k - 3 Houses</t>
  </si>
  <si>
    <t xml:space="preserve">PC-2460304</t>
  </si>
  <si>
    <t xml:space="preserve">€6.2m - Residential Development,  Adare</t>
  </si>
  <si>
    <t xml:space="preserve">PC-2460568</t>
  </si>
  <si>
    <t xml:space="preserve">€3.9m - Residential Development, Castlemahon</t>
  </si>
  <si>
    <t xml:space="preserve">PC-2460788</t>
  </si>
  <si>
    <t xml:space="preserve">€7.4m - Residential Development, Kilmallock</t>
  </si>
  <si>
    <t xml:space="preserve">PC-2461101</t>
  </si>
  <si>
    <t xml:space="preserve">€1.4m - 7 Houses</t>
  </si>
  <si>
    <t xml:space="preserve">PC-2461182</t>
  </si>
  <si>
    <t xml:space="preserve">€5.4m - Residential Development </t>
  </si>
  <si>
    <t xml:space="preserve">PC-2560156</t>
  </si>
  <si>
    <t xml:space="preserve">€15.9m - Residential Development, Patrickswell</t>
  </si>
  <si>
    <t xml:space="preserve">PC-2560211</t>
  </si>
  <si>
    <t xml:space="preserve">€800k - 4 Apartments </t>
  </si>
  <si>
    <t xml:space="preserve">PC-2560633</t>
  </si>
  <si>
    <t xml:space="preserve">€2.4m - 6 Houses</t>
  </si>
  <si>
    <t xml:space="preserve">PC-2560947</t>
  </si>
  <si>
    <t xml:space="preserve">€1m - 8 Houses, Bruff</t>
  </si>
  <si>
    <t xml:space="preserve">PC-2560977</t>
  </si>
  <si>
    <t xml:space="preserve">€2.7m - Self Catering Accommodation Lodges, Adare</t>
  </si>
  <si>
    <t xml:space="preserve">PC-2561211</t>
  </si>
  <si>
    <t xml:space="preserve">€1.8m - Residential Development, Newcastle West</t>
  </si>
  <si>
    <t xml:space="preserve">PC-2561228</t>
  </si>
  <si>
    <t xml:space="preserve">€18.4m - Residential Development, Patrickswell</t>
  </si>
  <si>
    <t xml:space="preserve">PC-258297</t>
  </si>
  <si>
    <t xml:space="preserve">€4.5m - Residential Development, Abbeyfeale</t>
  </si>
  <si>
    <t xml:space="preserve">PC-2660063</t>
  </si>
  <si>
    <t xml:space="preserve">€1.8m - 7 House/Apartment/Community Office, Feenagh</t>
  </si>
  <si>
    <t xml:space="preserve">PC-2660575</t>
  </si>
  <si>
    <t xml:space="preserve">€4.3m - Apartment Development, Newcastle West</t>
  </si>
  <si>
    <t xml:space="preserve">PC-2660779</t>
  </si>
  <si>
    <t xml:space="preserve">Named in scheme, within 2 km</t>
  </si>
  <si>
    <t xml:space="preserve">€8.6m - Staff Accommodation/8Apartments, Adare</t>
  </si>
  <si>
    <t xml:space="preserve">PC-CIS1015929</t>
  </si>
  <si>
    <t xml:space="preserve">€2m - Housing Development </t>
  </si>
  <si>
    <t xml:space="preserve">PC-Part81033981</t>
  </si>
  <si>
    <t xml:space="preserve">€960k - Residential Development</t>
  </si>
  <si>
    <t xml:space="preserve">PC-Part81248404</t>
  </si>
  <si>
    <t xml:space="preserve">€4.6m - Residential Development, Patrickswell</t>
  </si>
  <si>
    <t xml:space="preserve">PC-Part81316160</t>
  </si>
  <si>
    <t xml:space="preserve">€705k - Radharc an Ghleanna Residential Development, Mountcollins</t>
  </si>
  <si>
    <t xml:space="preserve">PC-Part81345677</t>
  </si>
  <si>
    <t xml:space="preserve">€1.5m - New Traveller Welfare Units, Hillview Park</t>
  </si>
  <si>
    <t xml:space="preserve">PC-Part81378805</t>
  </si>
  <si>
    <t xml:space="preserve">€800k - Housing Development</t>
  </si>
  <si>
    <t xml:space="preserve">PC-Part81392454</t>
  </si>
  <si>
    <t xml:space="preserve">€5.9m - Residential Development, Bruff</t>
  </si>
  <si>
    <t xml:space="preserve">ZN-Limerick-005</t>
  </si>
  <si>
    <t xml:space="preserve">Limerick: New Residential</t>
  </si>
  <si>
    <t xml:space="preserve">Estimate: zoned area x developable share x density</t>
  </si>
  <si>
    <t xml:space="preserve">Limerick Development Plan 2022-2028</t>
  </si>
  <si>
    <t xml:space="preserve">R1</t>
  </si>
  <si>
    <t xml:space="preserve">34 homes/ha = median of 39 permitted Limerick schemes of 10+ homes in city suburbs (planning boundaries, gross over the red line); developable share 0.91 = council city audit developable area / mapped area</t>
  </si>
  <si>
    <t xml:space="preserve">ZN-Limerick-001</t>
  </si>
  <si>
    <t xml:space="preserve">ZN-Limerick-004</t>
  </si>
  <si>
    <t xml:space="preserve">ZN-Limerick-002</t>
  </si>
  <si>
    <t xml:space="preserve">ZN-Limerick-003</t>
  </si>
  <si>
    <t xml:space="preserve">ZN-Abbeyfeale-001</t>
  </si>
  <si>
    <t xml:space="preserve">Zoned in the Abbeyfeale Local Area PLan 2023-2029</t>
  </si>
  <si>
    <t xml:space="preserve">Abbeyfeale: New Residential</t>
  </si>
  <si>
    <t xml:space="preserve">Abbeyfeale Local Area PLan 2023-2029</t>
  </si>
  <si>
    <t xml:space="preserve">25 homes/ha = median of 101 permitted Limerick schemes of 10+ homes in county towns and villages (planning boundaries, gross over the red line); developable share 0.91 = council city audit developable area / mapped area</t>
  </si>
  <si>
    <t xml:space="preserve">ZN-Abbeyfeale-002</t>
  </si>
  <si>
    <t xml:space="preserve">ZN-Abbeyfeale-003</t>
  </si>
  <si>
    <t xml:space="preserve">Abbeyfeale: Residential Serviced Sites</t>
  </si>
  <si>
    <t xml:space="preserve">R3</t>
  </si>
  <si>
    <t xml:space="preserve">Serviced sites</t>
  </si>
  <si>
    <t xml:space="preserve">19 homes/ha = lower quartile of permitted county schemes, for serviced-site (self-build) zoning; developable share 0.91 = council city audit developable area / mapped area</t>
  </si>
  <si>
    <t xml:space="preserve">ZN-Abbeyfeale-004</t>
  </si>
  <si>
    <t xml:space="preserve">ZN-Abbeyfeale-005</t>
  </si>
  <si>
    <t xml:space="preserve">ZN-Abbeyfeale-006</t>
  </si>
  <si>
    <t xml:space="preserve">ZN-Abbeyfeale-007</t>
  </si>
  <si>
    <t xml:space="preserve">ZN-Adare-001</t>
  </si>
  <si>
    <t xml:space="preserve">Zoned in the Adare Local Area Plan 2024-2030</t>
  </si>
  <si>
    <t xml:space="preserve">Adare: Residential Serviced Sites</t>
  </si>
  <si>
    <t xml:space="preserve">Adare Local Area Plan 2024-2030</t>
  </si>
  <si>
    <t xml:space="preserve">ZN-Adare-002</t>
  </si>
  <si>
    <t xml:space="preserve">Adare: New Residential</t>
  </si>
  <si>
    <t xml:space="preserve">ZN-Adare-003</t>
  </si>
  <si>
    <t xml:space="preserve">ZN-Adare-004</t>
  </si>
  <si>
    <t xml:space="preserve">ZN-Adare-005</t>
  </si>
  <si>
    <t xml:space="preserve">ZN-Adare-006</t>
  </si>
  <si>
    <t xml:space="preserve">ZN-Adare-007</t>
  </si>
  <si>
    <t xml:space="preserve">ZN-Caherconlish-001</t>
  </si>
  <si>
    <t xml:space="preserve">Caherconlish: New Residential</t>
  </si>
  <si>
    <t xml:space="preserve">Caherconlish Local Area Plan 2023-2029</t>
  </si>
  <si>
    <t xml:space="preserve">ZN-Caherconlish-002</t>
  </si>
  <si>
    <t xml:space="preserve">ZN-Caherconlish-003</t>
  </si>
  <si>
    <t xml:space="preserve">ZN-Caherconlish-004</t>
  </si>
  <si>
    <t xml:space="preserve">ZN-Caherconlish-005</t>
  </si>
  <si>
    <t xml:space="preserve">Caherconlish: Residential Serviced Sites</t>
  </si>
  <si>
    <t xml:space="preserve">ZN-Caherconlish-006</t>
  </si>
  <si>
    <t xml:space="preserve">ZN-Castleconnel-001</t>
  </si>
  <si>
    <t xml:space="preserve">Castleconnell: New Residential</t>
  </si>
  <si>
    <t xml:space="preserve">Castleconnell Local Area Plan 2023-2029</t>
  </si>
  <si>
    <t xml:space="preserve">ZN-Castleconnel-002</t>
  </si>
  <si>
    <t xml:space="preserve">Zoned in the Castleconnell Local Area Plan 2023-2029</t>
  </si>
  <si>
    <t xml:space="preserve">Castleconnell: Residential Serviced Sites</t>
  </si>
  <si>
    <t xml:space="preserve">ZN-Castleconnel-003</t>
  </si>
  <si>
    <t xml:space="preserve">ZN-Castleconnel-004</t>
  </si>
  <si>
    <t xml:space="preserve">ZN-Castleconnel-005</t>
  </si>
  <si>
    <t xml:space="preserve">ZN-Castleconnel-006</t>
  </si>
  <si>
    <t xml:space="preserve">ZN-Castleconnel-007</t>
  </si>
  <si>
    <t xml:space="preserve">ZN-Castleconnel-008</t>
  </si>
  <si>
    <t xml:space="preserve">ZN-Castleconnel-009</t>
  </si>
  <si>
    <t xml:space="preserve">ZN-Croom-001</t>
  </si>
  <si>
    <t xml:space="preserve">Croom: Residential Service Sites - Phase 1</t>
  </si>
  <si>
    <t xml:space="preserve">Residential Service Sites - Phase 1</t>
  </si>
  <si>
    <t xml:space="preserve">Croom Local Area Plan 2020-2026</t>
  </si>
  <si>
    <t xml:space="preserve">ZN-Croom-002</t>
  </si>
  <si>
    <t xml:space="preserve">Croom: Residential Development Area - Phase 1</t>
  </si>
  <si>
    <t xml:space="preserve">Residential Development Area - Phase 1</t>
  </si>
  <si>
    <t xml:space="preserve">ZN-Croom-003</t>
  </si>
  <si>
    <t xml:space="preserve">ZN-Croom-004</t>
  </si>
  <si>
    <t xml:space="preserve">ZN-Croom-005</t>
  </si>
  <si>
    <t xml:space="preserve">ZN-Croom-006</t>
  </si>
  <si>
    <t xml:space="preserve">ZN-Croom-007</t>
  </si>
  <si>
    <t xml:space="preserve">ZN-Kilmallock-001</t>
  </si>
  <si>
    <t xml:space="preserve">Zoned in the Kilmallock Local Area Plan 2019-2025</t>
  </si>
  <si>
    <t xml:space="preserve">Kilmallock: Residential Development Area - Phase 1</t>
  </si>
  <si>
    <t xml:space="preserve">Kilmallock Local Area Plan 2019-2025</t>
  </si>
  <si>
    <t xml:space="preserve">ZN-Kilmallock-002</t>
  </si>
  <si>
    <t xml:space="preserve">ZN-Kilmallock-003</t>
  </si>
  <si>
    <t xml:space="preserve">ZN-Kilmallock-004</t>
  </si>
  <si>
    <t xml:space="preserve">ZN-Kilmallock-005</t>
  </si>
  <si>
    <t xml:space="preserve">ZN-Kilmallock-006</t>
  </si>
  <si>
    <t xml:space="preserve">Kilmallock: Residential Service Sites - Phase 1</t>
  </si>
  <si>
    <t xml:space="preserve">ZN-Kilmallock-007</t>
  </si>
  <si>
    <t xml:space="preserve">ZN-Kilmallock-008</t>
  </si>
  <si>
    <t xml:space="preserve">ZN-Kilmallock-009</t>
  </si>
  <si>
    <t xml:space="preserve">ZN-NewcastleWes-001</t>
  </si>
  <si>
    <t xml:space="preserve">Newcastle West: New Residential</t>
  </si>
  <si>
    <t xml:space="preserve">Newcastle West Local Area Plan 2023-2029</t>
  </si>
  <si>
    <t xml:space="preserve">ZN-NewcastleWes-002</t>
  </si>
  <si>
    <t xml:space="preserve">Zoned in the Newcastle West Local Area Plan 2023-2029</t>
  </si>
  <si>
    <t xml:space="preserve">ZN-NewcastleWes-003</t>
  </si>
  <si>
    <t xml:space="preserve">Newcastle West: Residential Serviced Sites</t>
  </si>
  <si>
    <t xml:space="preserve">ZN-NewcastleWes-004</t>
  </si>
  <si>
    <t xml:space="preserve">ZN-NewcastleWes-005</t>
  </si>
  <si>
    <t xml:space="preserve">ZN-NewcastleWes-006</t>
  </si>
  <si>
    <t xml:space="preserve">ZN-NewcastleWes-007</t>
  </si>
  <si>
    <t xml:space="preserve">ZN-NewcastleWes-008</t>
  </si>
  <si>
    <t xml:space="preserve">ZN-NewcastleWes-009</t>
  </si>
  <si>
    <t xml:space="preserve">ZN-NewcastleWes-010</t>
  </si>
  <si>
    <t xml:space="preserve">ZN-NewcastleWes-011</t>
  </si>
  <si>
    <t xml:space="preserve">ZN-NewcastleWes-012</t>
  </si>
  <si>
    <t xml:space="preserve">ZN-NewcastleWes-013</t>
  </si>
  <si>
    <t xml:space="preserve">ZN-NewcastleWes-014</t>
  </si>
  <si>
    <t xml:space="preserve">ZN-NewcastleWes-015</t>
  </si>
  <si>
    <t xml:space="preserve">ZN-NewcastleWes-016</t>
  </si>
  <si>
    <t xml:space="preserve">ZN-NewcastleWes-017</t>
  </si>
  <si>
    <t xml:space="preserve">ZN-NewcastleWes-018</t>
  </si>
  <si>
    <t xml:space="preserve">ZN-NewcastleWes-019</t>
  </si>
  <si>
    <t xml:space="preserve">ZN-Patrickswell-001</t>
  </si>
  <si>
    <t xml:space="preserve">Patrickswell: New Residential - Phase 1</t>
  </si>
  <si>
    <t xml:space="preserve">New Residential - Phase 1</t>
  </si>
  <si>
    <t xml:space="preserve">Patrickswell Local Area Plan 2024-2030</t>
  </si>
  <si>
    <t xml:space="preserve">ZN-Patrickswell-002</t>
  </si>
  <si>
    <t xml:space="preserve">ZN-Patrickswell-003</t>
  </si>
  <si>
    <t xml:space="preserve">Zoned in the Patrickswell Local Area Plan 2024-2030</t>
  </si>
  <si>
    <t xml:space="preserve">Patrickswell: Residential Serviced Sites</t>
  </si>
  <si>
    <t xml:space="preserve">ZN-Patrickswell-004</t>
  </si>
  <si>
    <t xml:space="preserve">ZN-Patrickswell-005</t>
  </si>
  <si>
    <t xml:space="preserve">Patrickswell: New Residential - Phase 2</t>
  </si>
  <si>
    <t xml:space="preserve">New Residential - Phase 2</t>
  </si>
  <si>
    <t xml:space="preserve">Phase 2 – later phasing</t>
  </si>
  <si>
    <t xml:space="preserve">Phase 2 zoning: later phasing</t>
  </si>
  <si>
    <t xml:space="preserve">ZN-Patrickswell-006</t>
  </si>
  <si>
    <t xml:space="preserve">ZN-Patrickswell-007</t>
  </si>
  <si>
    <t xml:space="preserve">ZN-Patrickswell-008</t>
  </si>
  <si>
    <t xml:space="preserve">ZN-Patrickswell-009</t>
  </si>
  <si>
    <t xml:space="preserve">ZN-Rathkeale-001</t>
  </si>
  <si>
    <t xml:space="preserve">Rathkeale: New Residential</t>
  </si>
  <si>
    <t xml:space="preserve">Rathkeale Local Area Plan 2023-2029</t>
  </si>
  <si>
    <t xml:space="preserve">ZN-Rathkeale-002</t>
  </si>
  <si>
    <t xml:space="preserve">ZN-Rathkeale-003</t>
  </si>
  <si>
    <t xml:space="preserve">ZN-Rathkeale-004</t>
  </si>
  <si>
    <t xml:space="preserve">ZN-Rathkeale-005</t>
  </si>
  <si>
    <t xml:space="preserve">ZN-Rathkeale-006</t>
  </si>
  <si>
    <t xml:space="preserve">ZN-Rathkeale-007</t>
  </si>
  <si>
    <t xml:space="preserve">Zoned in the Rathkeale Local Area Plan 2023-2029</t>
  </si>
  <si>
    <t xml:space="preserve">Rathkeale: Residential Serviced Sites</t>
  </si>
  <si>
    <t xml:space="preserve">ZN-Rathkeale-008</t>
  </si>
  <si>
    <t xml:space="preserve">ZN-Rathkeale-009</t>
  </si>
  <si>
    <t xml:space="preserve">ZN-Rathkeale-010</t>
  </si>
  <si>
    <t xml:space="preserve">perm_id</t>
  </si>
  <si>
    <t xml:space="preserve">planning_ref</t>
  </si>
  <si>
    <t xml:space="preserve">register_ref</t>
  </si>
  <si>
    <t xml:space="preserve">scheme</t>
  </si>
  <si>
    <t xml:space="preserve">units</t>
  </si>
  <si>
    <t xml:space="preserve">student_bedspaces</t>
  </si>
  <si>
    <t xml:space="preserve">status</t>
  </si>
  <si>
    <t xml:space="preserve">status_source</t>
  </si>
  <si>
    <t xml:space="preserve">status_cis</t>
  </si>
  <si>
    <t xml:space="preserve">units_built</t>
  </si>
  <si>
    <t xml:space="preserve">geod_new_undercon</t>
  </si>
  <si>
    <t xml:space="preserve">geod_suggestion</t>
  </si>
  <si>
    <t xml:space="preserve">geod_extract</t>
  </si>
  <si>
    <t xml:space="preserve">counts_toward_totals</t>
  </si>
  <si>
    <t xml:space="preserve">mix_source</t>
  </si>
  <si>
    <t xml:space="preserve">mix_studio</t>
  </si>
  <si>
    <t xml:space="preserve">mix_1bed</t>
  </si>
  <si>
    <t xml:space="preserve">mix_2bed</t>
  </si>
  <si>
    <t xml:space="preserve">mix_3bed</t>
  </si>
  <si>
    <t xml:space="preserve">mix_4bed</t>
  </si>
  <si>
    <t xml:space="preserve">mix_5plus</t>
  </si>
  <si>
    <t xml:space="preserve">relationship</t>
  </si>
  <si>
    <t xml:space="preserve">tenure</t>
  </si>
  <si>
    <t xml:space="preserve">delivery_body</t>
  </si>
  <si>
    <t xml:space="preserve">route</t>
  </si>
  <si>
    <t xml:space="preserve">final_grant</t>
  </si>
  <si>
    <t xml:space="preserve">expiry</t>
  </si>
  <si>
    <t xml:space="preserve">start_on_site</t>
  </si>
  <si>
    <t xml:space="preserve">est_start</t>
  </si>
  <si>
    <t xml:space="preserve">est_last_completions</t>
  </si>
  <si>
    <t xml:space="preserve">confidence</t>
  </si>
  <si>
    <t xml:space="preserve">match_basis</t>
  </si>
  <si>
    <t xml:space="preserve">source</t>
  </si>
  <si>
    <t xml:space="preserve">last_updated</t>
  </si>
  <si>
    <t xml:space="preserve">check</t>
  </si>
  <si>
    <t xml:space="preserve">1214059</t>
  </si>
  <si>
    <t xml:space="preserve">ABPREF312683</t>
  </si>
  <si>
    <t xml:space="preserve">€27.5m - Clonmacken Gardens Housing Development, Limerick</t>
  </si>
  <si>
    <t xml:space="preserve">Permitted – not started</t>
  </si>
  <si>
    <t xml:space="preserve">CIS / building control</t>
  </si>
  <si>
    <t xml:space="preserve">2026-06-09</t>
  </si>
  <si>
    <t xml:space="preserve">Yes</t>
  </si>
  <si>
    <t xml:space="preserve">CIS / KPMG</t>
  </si>
  <si>
    <t xml:space="preserve">Primary</t>
  </si>
  <si>
    <t xml:space="preserve">Market (incl. Part V)</t>
  </si>
  <si>
    <t xml:space="preserve">SHD (An Bord Pleanála)</t>
  </si>
  <si>
    <t xml:space="preserve">2022-05-26</t>
  </si>
  <si>
    <t xml:space="preserve">2027-05-25</t>
  </si>
  <si>
    <t xml:space="preserve">2027 Q3</t>
  </si>
  <si>
    <t xml:space="preserve">2030 Q4</t>
  </si>
  <si>
    <t xml:space="preserve">Low</t>
  </si>
  <si>
    <t xml:space="preserve">Within site</t>
  </si>
  <si>
    <t xml:space="preserve">CIS</t>
  </si>
  <si>
    <t xml:space="preserve">978022</t>
  </si>
  <si>
    <t xml:space="preserve">18168</t>
  </si>
  <si>
    <t xml:space="preserve">€3m - Mixed Use Development</t>
  </si>
  <si>
    <t xml:space="preserve">Expired – not started</t>
  </si>
  <si>
    <t xml:space="preserve">Not available (no bedroom detail in register text)</t>
  </si>
  <si>
    <t xml:space="preserve">Standard planning application</t>
  </si>
  <si>
    <t xml:space="preserve">2018-07-19</t>
  </si>
  <si>
    <t xml:space="preserve">2023-07-18</t>
  </si>
  <si>
    <t xml:space="preserve">Not projected</t>
  </si>
  <si>
    <t xml:space="preserve">1245933</t>
  </si>
  <si>
    <t xml:space="preserve">228016</t>
  </si>
  <si>
    <t xml:space="preserve">€6m - Apartment Development, Limerick</t>
  </si>
  <si>
    <t xml:space="preserve">Additional application on site</t>
  </si>
  <si>
    <t xml:space="preserve">Social</t>
  </si>
  <si>
    <t xml:space="preserve">Local authority</t>
  </si>
  <si>
    <t xml:space="preserve">Part 8 / council</t>
  </si>
  <si>
    <t xml:space="preserve">2022-11-21</t>
  </si>
  <si>
    <t xml:space="preserve">2024-09-25</t>
  </si>
  <si>
    <t xml:space="preserve">2024 Q3</t>
  </si>
  <si>
    <t xml:space="preserve">2027 Q4</t>
  </si>
  <si>
    <t xml:space="preserve">High</t>
  </si>
  <si>
    <t xml:space="preserve">1442414</t>
  </si>
  <si>
    <t xml:space="preserve">2660652</t>
  </si>
  <si>
    <t xml:space="preserve">€540k - 4 Apartments, Limerick</t>
  </si>
  <si>
    <t xml:space="preserve">In planning</t>
  </si>
  <si>
    <t xml:space="preserve">999958</t>
  </si>
  <si>
    <t xml:space="preserve">188010</t>
  </si>
  <si>
    <t xml:space="preserve">€2.2m - Residential Development </t>
  </si>
  <si>
    <t xml:space="preserve">Register description</t>
  </si>
  <si>
    <t xml:space="preserve">2018-08-31</t>
  </si>
  <si>
    <t xml:space="preserve">2020-02-13</t>
  </si>
  <si>
    <t xml:space="preserve">Delivered</t>
  </si>
  <si>
    <t xml:space="preserve">1412257</t>
  </si>
  <si>
    <t xml:space="preserve">2560778</t>
  </si>
  <si>
    <t xml:space="preserve">€1.2m - 10 Houses, Crossagalla</t>
  </si>
  <si>
    <t xml:space="preserve">2026-02-24</t>
  </si>
  <si>
    <t xml:space="preserve">2031-02-23</t>
  </si>
  <si>
    <t xml:space="preserve">2027 Q2</t>
  </si>
  <si>
    <t xml:space="preserve">2029 Q1</t>
  </si>
  <si>
    <t xml:space="preserve">Medium</t>
  </si>
  <si>
    <t xml:space="preserve">1325143</t>
  </si>
  <si>
    <t xml:space="preserve">2360951</t>
  </si>
  <si>
    <t xml:space="preserve">€28m - Mixed Use Development, Moyross</t>
  </si>
  <si>
    <t xml:space="preserve">Approved housing body</t>
  </si>
  <si>
    <t xml:space="preserve">2024-03-27</t>
  </si>
  <si>
    <t xml:space="preserve">2029-03-26</t>
  </si>
  <si>
    <t xml:space="preserve">2026-06-04</t>
  </si>
  <si>
    <t xml:space="preserve">2026 Q2</t>
  </si>
  <si>
    <t xml:space="preserve">2028 Q3</t>
  </si>
  <si>
    <t xml:space="preserve">1425841</t>
  </si>
  <si>
    <t xml:space="preserve">258328</t>
  </si>
  <si>
    <t xml:space="preserve">€14m - Residential Development, Limerick</t>
  </si>
  <si>
    <t xml:space="preserve">1194302</t>
  </si>
  <si>
    <t xml:space="preserve">ABPREF311588</t>
  </si>
  <si>
    <t xml:space="preserve">€66m - Greenpark SHD Residential Development, Dock Road, Limerick </t>
  </si>
  <si>
    <t xml:space="preserve">2022-03-30</t>
  </si>
  <si>
    <t xml:space="preserve">2027-03-29</t>
  </si>
  <si>
    <t xml:space="preserve">2023-07-31</t>
  </si>
  <si>
    <t xml:space="preserve">2023 Q3</t>
  </si>
  <si>
    <t xml:space="preserve">1221693</t>
  </si>
  <si>
    <t xml:space="preserve">ABPREF313124</t>
  </si>
  <si>
    <t xml:space="preserve">€76m - Residential Development, Raheen</t>
  </si>
  <si>
    <t xml:space="preserve">2022-06-30</t>
  </si>
  <si>
    <t xml:space="preserve">2032-06-29</t>
  </si>
  <si>
    <t xml:space="preserve">2024-04-24</t>
  </si>
  <si>
    <t xml:space="preserve">2024 Q2</t>
  </si>
  <si>
    <t xml:space="preserve">2031 Q4</t>
  </si>
  <si>
    <t xml:space="preserve">1382991</t>
  </si>
  <si>
    <t xml:space="preserve">2461282</t>
  </si>
  <si>
    <t xml:space="preserve">€32m - LRD, Mungret</t>
  </si>
  <si>
    <t xml:space="preserve">LRD</t>
  </si>
  <si>
    <t xml:space="preserve">2025-09-24</t>
  </si>
  <si>
    <t xml:space="preserve">2030-09-23</t>
  </si>
  <si>
    <t xml:space="preserve">2030 Q1</t>
  </si>
  <si>
    <t xml:space="preserve">1417769</t>
  </si>
  <si>
    <t xml:space="preserve">2561231</t>
  </si>
  <si>
    <t xml:space="preserve">€32.5m - Large Residential Development, Mungret</t>
  </si>
  <si>
    <t xml:space="preserve">2026-07-30</t>
  </si>
  <si>
    <t xml:space="preserve">2031-07-30</t>
  </si>
  <si>
    <t xml:space="preserve">2028 Q2</t>
  </si>
  <si>
    <t xml:space="preserve">2031 Q3</t>
  </si>
  <si>
    <t xml:space="preserve">1432711</t>
  </si>
  <si>
    <t xml:space="preserve">2660396</t>
  </si>
  <si>
    <t xml:space="preserve">€39m - Large Residential Development, Mungret</t>
  </si>
  <si>
    <t xml:space="preserve">2026-09-15</t>
  </si>
  <si>
    <t xml:space="preserve">2031-09-15</t>
  </si>
  <si>
    <t xml:space="preserve">2032 Q1</t>
  </si>
  <si>
    <t xml:space="preserve">1147240</t>
  </si>
  <si>
    <t xml:space="preserve">218000</t>
  </si>
  <si>
    <t xml:space="preserve">€47m - The Mungret Project</t>
  </si>
  <si>
    <t xml:space="preserve">2021-07-13</t>
  </si>
  <si>
    <t xml:space="preserve">2026-07-29</t>
  </si>
  <si>
    <t xml:space="preserve">2026 Q3</t>
  </si>
  <si>
    <t xml:space="preserve">1058796</t>
  </si>
  <si>
    <t xml:space="preserve">19710</t>
  </si>
  <si>
    <t xml:space="preserve">€8.5m - Student Accommodation Development, Former Hassett’s Bar</t>
  </si>
  <si>
    <t xml:space="preserve">Stalled</t>
  </si>
  <si>
    <t xml:space="preserve">Student (PBSA)</t>
  </si>
  <si>
    <t xml:space="preserve">2021-03-15</t>
  </si>
  <si>
    <t xml:space="preserve">2029-03-13</t>
  </si>
  <si>
    <t xml:space="preserve">1265188</t>
  </si>
  <si>
    <t xml:space="preserve">221400</t>
  </si>
  <si>
    <t xml:space="preserve">€10.4m - Residential Development, Thomondgate</t>
  </si>
  <si>
    <t xml:space="preserve">2024-07-26</t>
  </si>
  <si>
    <t xml:space="preserve">2029-07-25</t>
  </si>
  <si>
    <t xml:space="preserve">2029 Q3</t>
  </si>
  <si>
    <t xml:space="preserve">1447625</t>
  </si>
  <si>
    <t xml:space="preserve">248153</t>
  </si>
  <si>
    <t xml:space="preserve">€1.4m - Part 8 - 2 Houses &amp; 4 Apartments, Thomondghate</t>
  </si>
  <si>
    <t xml:space="preserve">Not available (not in register)</t>
  </si>
  <si>
    <t xml:space="preserve">1172151</t>
  </si>
  <si>
    <t xml:space="preserve">217025</t>
  </si>
  <si>
    <t xml:space="preserve">€3.7m - Ardhú Apartments Refurbishment, Ennis Road</t>
  </si>
  <si>
    <t xml:space="preserve">Fewer addresses than units – check</t>
  </si>
  <si>
    <t xml:space="preserve">Extension of duration (parent not in CIS)</t>
  </si>
  <si>
    <t xml:space="preserve">2021-07-14</t>
  </si>
  <si>
    <t xml:space="preserve">2026-11-19</t>
  </si>
  <si>
    <t xml:space="preserve">2022-08-29</t>
  </si>
  <si>
    <t xml:space="preserve">1319462</t>
  </si>
  <si>
    <t xml:space="preserve">23557</t>
  </si>
  <si>
    <t xml:space="preserve">€33m - LRD Development, Limerick</t>
  </si>
  <si>
    <t xml:space="preserve">Additional phase</t>
  </si>
  <si>
    <t xml:space="preserve">2024-08-23</t>
  </si>
  <si>
    <t xml:space="preserve">2029-08-22</t>
  </si>
  <si>
    <t xml:space="preserve">2025-09-04</t>
  </si>
  <si>
    <t xml:space="preserve">2025 Q3</t>
  </si>
  <si>
    <t xml:space="preserve">1414128</t>
  </si>
  <si>
    <t xml:space="preserve">2560953</t>
  </si>
  <si>
    <t xml:space="preserve">€4.8m - Residential Development, Limerick</t>
  </si>
  <si>
    <t xml:space="preserve">2026-04-29</t>
  </si>
  <si>
    <t xml:space="preserve">2031-04-28</t>
  </si>
  <si>
    <t xml:space="preserve">1162677</t>
  </si>
  <si>
    <t xml:space="preserve">21520</t>
  </si>
  <si>
    <t xml:space="preserve">€6.5m - Housing Development Limerick</t>
  </si>
  <si>
    <t xml:space="preserve">2023-12-04</t>
  </si>
  <si>
    <t xml:space="preserve">2028-12-03</t>
  </si>
  <si>
    <t xml:space="preserve">2024-07-17</t>
  </si>
  <si>
    <t xml:space="preserve">1054214</t>
  </si>
  <si>
    <t xml:space="preserve">198004</t>
  </si>
  <si>
    <t xml:space="preserve">€6m - Residential Development, King's Island</t>
  </si>
  <si>
    <t xml:space="preserve">2019-10-02</t>
  </si>
  <si>
    <t xml:space="preserve">1419614</t>
  </si>
  <si>
    <t xml:space="preserve">258327</t>
  </si>
  <si>
    <t xml:space="preserve">€4.8m - Apartment Development, Limerick</t>
  </si>
  <si>
    <t xml:space="preserve">1357447</t>
  </si>
  <si>
    <t xml:space="preserve">2460713</t>
  </si>
  <si>
    <t xml:space="preserve">€4.2m - Apartment Development, Limerick City</t>
  </si>
  <si>
    <t xml:space="preserve">2025-10-31</t>
  </si>
  <si>
    <t xml:space="preserve">2030-10-30</t>
  </si>
  <si>
    <t xml:space="preserve">1327848</t>
  </si>
  <si>
    <t xml:space="preserve">2460032</t>
  </si>
  <si>
    <t xml:space="preserve">€18.9m - Residential Development, Old Cratloe Road</t>
  </si>
  <si>
    <t xml:space="preserve">2024-08-20</t>
  </si>
  <si>
    <t xml:space="preserve">2029-08-19</t>
  </si>
  <si>
    <t xml:space="preserve">2025-08-20</t>
  </si>
  <si>
    <t xml:space="preserve">1120093</t>
  </si>
  <si>
    <t xml:space="preserve">20827</t>
  </si>
  <si>
    <t xml:space="preserve">€864k - 4 Houses </t>
  </si>
  <si>
    <t xml:space="preserve">2021-08-26</t>
  </si>
  <si>
    <t xml:space="preserve">2026-08-25</t>
  </si>
  <si>
    <t xml:space="preserve">1259753</t>
  </si>
  <si>
    <t xml:space="preserve">221216</t>
  </si>
  <si>
    <t xml:space="preserve">€14m - Old Dublin Road Student Village LRD, Limerick City</t>
  </si>
  <si>
    <t xml:space="preserve">2023-05-17</t>
  </si>
  <si>
    <t xml:space="preserve">2028-05-16</t>
  </si>
  <si>
    <t xml:space="preserve">2024-12-27</t>
  </si>
  <si>
    <t xml:space="preserve">2024 Q4</t>
  </si>
  <si>
    <t xml:space="preserve">1389800</t>
  </si>
  <si>
    <t xml:space="preserve">2560113</t>
  </si>
  <si>
    <t xml:space="preserve">€87m - Student Accommodation, Castletroy</t>
  </si>
  <si>
    <t xml:space="preserve">2025-10-29</t>
  </si>
  <si>
    <t xml:space="preserve">2030-10-28</t>
  </si>
  <si>
    <t xml:space="preserve">2029 Q2</t>
  </si>
  <si>
    <t xml:space="preserve">1397299</t>
  </si>
  <si>
    <t xml:space="preserve">2560271</t>
  </si>
  <si>
    <t xml:space="preserve">€21m - Residential Development, Castletroy</t>
  </si>
  <si>
    <t xml:space="preserve">2026-04-15</t>
  </si>
  <si>
    <t xml:space="preserve">2031-04-14</t>
  </si>
  <si>
    <t xml:space="preserve">2028 Q1</t>
  </si>
  <si>
    <t xml:space="preserve">2030 Q2</t>
  </si>
  <si>
    <t xml:space="preserve">973082</t>
  </si>
  <si>
    <t xml:space="preserve">1855</t>
  </si>
  <si>
    <t xml:space="preserve">€4.8m - Residential Development, Castletroy</t>
  </si>
  <si>
    <t xml:space="preserve">2018-07-04</t>
  </si>
  <si>
    <t xml:space="preserve">2023-07-03</t>
  </si>
  <si>
    <t xml:space="preserve">2018-08-08</t>
  </si>
  <si>
    <t xml:space="preserve">2018 Q3</t>
  </si>
  <si>
    <t xml:space="preserve">1446288</t>
  </si>
  <si>
    <t xml:space="preserve">2660241</t>
  </si>
  <si>
    <t xml:space="preserve">€125.6m - Large Residential Development, Castletroy</t>
  </si>
  <si>
    <t xml:space="preserve">2026-04-28</t>
  </si>
  <si>
    <t xml:space="preserve">2031-09-01</t>
  </si>
  <si>
    <t xml:space="preserve">2038 Q2</t>
  </si>
  <si>
    <t xml:space="preserve">1245941</t>
  </si>
  <si>
    <t xml:space="preserve">22917</t>
  </si>
  <si>
    <t xml:space="preserve">€3.6m - Mixed Use Development, Limerick</t>
  </si>
  <si>
    <t xml:space="preserve">2023-10-03</t>
  </si>
  <si>
    <t xml:space="preserve">2028-10-02</t>
  </si>
  <si>
    <t xml:space="preserve">1163033</t>
  </si>
  <si>
    <t xml:space="preserve">ABPREF309999</t>
  </si>
  <si>
    <t xml:space="preserve">€30m - Residential Development, Annacotty</t>
  </si>
  <si>
    <t xml:space="preserve">2021-08-05</t>
  </si>
  <si>
    <t xml:space="preserve">2026-08-04</t>
  </si>
  <si>
    <t xml:space="preserve">1402906</t>
  </si>
  <si>
    <t xml:space="preserve">2560399</t>
  </si>
  <si>
    <t xml:space="preserve">€16.4m - Residential Development </t>
  </si>
  <si>
    <t xml:space="preserve">2026-07-13</t>
  </si>
  <si>
    <t xml:space="preserve">2031-07-12</t>
  </si>
  <si>
    <t xml:space="preserve">2029 Q4</t>
  </si>
  <si>
    <t xml:space="preserve">1207014</t>
  </si>
  <si>
    <t xml:space="preserve">211800</t>
  </si>
  <si>
    <t xml:space="preserve">€21m - Residential Development, Old Cratloe Road</t>
  </si>
  <si>
    <t xml:space="preserve">2024-04-08</t>
  </si>
  <si>
    <t xml:space="preserve">2029-04-07</t>
  </si>
  <si>
    <t xml:space="preserve">1248019</t>
  </si>
  <si>
    <t xml:space="preserve">22959</t>
  </si>
  <si>
    <t xml:space="preserve">€20m - Residential Development, Limerick.</t>
  </si>
  <si>
    <t xml:space="preserve">2024-11-21</t>
  </si>
  <si>
    <t xml:space="preserve">2029-11-20</t>
  </si>
  <si>
    <t xml:space="preserve">1254544</t>
  </si>
  <si>
    <t xml:space="preserve">221114</t>
  </si>
  <si>
    <t xml:space="preserve">€12.2m - Residential Development, Limerick</t>
  </si>
  <si>
    <t xml:space="preserve">2024-10-18</t>
  </si>
  <si>
    <t xml:space="preserve">2029-10-17</t>
  </si>
  <si>
    <t xml:space="preserve">1423228</t>
  </si>
  <si>
    <t xml:space="preserve">2660089</t>
  </si>
  <si>
    <t xml:space="preserve">€42m - Large Residential Development, Castletroy</t>
  </si>
  <si>
    <t xml:space="preserve">2026-07-22</t>
  </si>
  <si>
    <t xml:space="preserve">2031-07-21</t>
  </si>
  <si>
    <t xml:space="preserve">2037 Q3</t>
  </si>
  <si>
    <t xml:space="preserve">1247398</t>
  </si>
  <si>
    <t xml:space="preserve">22950</t>
  </si>
  <si>
    <t xml:space="preserve">€13.9m - Lidl Mixed Use Development , Ballysimon</t>
  </si>
  <si>
    <t xml:space="preserve">2023-09-05</t>
  </si>
  <si>
    <t xml:space="preserve">2028-09-04</t>
  </si>
  <si>
    <t xml:space="preserve">2024-07-15</t>
  </si>
  <si>
    <t xml:space="preserve">1428325</t>
  </si>
  <si>
    <t xml:space="preserve">2660275</t>
  </si>
  <si>
    <t xml:space="preserve">€42m - Large Residential Development,Limerick</t>
  </si>
  <si>
    <t xml:space="preserve">2026-09-23</t>
  </si>
  <si>
    <t xml:space="preserve">2031-09-22</t>
  </si>
  <si>
    <t xml:space="preserve">2032 Q3</t>
  </si>
  <si>
    <t xml:space="preserve">1391659</t>
  </si>
  <si>
    <t xml:space="preserve">2560151</t>
  </si>
  <si>
    <t xml:space="preserve">€6.2m - Residential Development, Limerick</t>
  </si>
  <si>
    <t xml:space="preserve">2025-11-27</t>
  </si>
  <si>
    <t xml:space="preserve">2030-11-26</t>
  </si>
  <si>
    <t xml:space="preserve">2026-05-12</t>
  </si>
  <si>
    <t xml:space="preserve">1437215</t>
  </si>
  <si>
    <t xml:space="preserve">2660603</t>
  </si>
  <si>
    <t xml:space="preserve">€84m - Parkway Valley LRD, Singland</t>
  </si>
  <si>
    <t xml:space="preserve">2031-07-22</t>
  </si>
  <si>
    <t xml:space="preserve">2036 Q2</t>
  </si>
  <si>
    <t xml:space="preserve">1164424</t>
  </si>
  <si>
    <t xml:space="preserve">21580</t>
  </si>
  <si>
    <t xml:space="preserve">€9.6m - Residential Development </t>
  </si>
  <si>
    <t xml:space="preserve">2025-05-13</t>
  </si>
  <si>
    <t xml:space="preserve">2030-05-12</t>
  </si>
  <si>
    <t xml:space="preserve">2027 Q1</t>
  </si>
  <si>
    <t xml:space="preserve">1242233</t>
  </si>
  <si>
    <t xml:space="preserve">22817</t>
  </si>
  <si>
    <t xml:space="preserve">€11m - Residential Development, Limerick</t>
  </si>
  <si>
    <t xml:space="preserve">2023-07-04</t>
  </si>
  <si>
    <t xml:space="preserve">2028-07-03</t>
  </si>
  <si>
    <t xml:space="preserve">1241529</t>
  </si>
  <si>
    <t xml:space="preserve">22793</t>
  </si>
  <si>
    <t xml:space="preserve">€4.5m - Housing Development, Limerick City</t>
  </si>
  <si>
    <t xml:space="preserve">2024-02-01</t>
  </si>
  <si>
    <t xml:space="preserve">2029-01-31</t>
  </si>
  <si>
    <t xml:space="preserve">2024-12-31</t>
  </si>
  <si>
    <t xml:space="preserve">2025 Q1</t>
  </si>
  <si>
    <t xml:space="preserve">1173364</t>
  </si>
  <si>
    <t xml:space="preserve">21835</t>
  </si>
  <si>
    <t xml:space="preserve">€3.5m - Apartment Development, Limerick</t>
  </si>
  <si>
    <t xml:space="preserve">2022-02-17</t>
  </si>
  <si>
    <t xml:space="preserve">2027-02-16</t>
  </si>
  <si>
    <t xml:space="preserve">1393371</t>
  </si>
  <si>
    <t xml:space="preserve">2560169</t>
  </si>
  <si>
    <t xml:space="preserve">€4.8m - Mixed Use Development, Limerick</t>
  </si>
  <si>
    <t xml:space="preserve">2025-08-13</t>
  </si>
  <si>
    <t xml:space="preserve">2030-08-12</t>
  </si>
  <si>
    <t xml:space="preserve">2028 Q4</t>
  </si>
  <si>
    <t xml:space="preserve">1202244</t>
  </si>
  <si>
    <t xml:space="preserve">211640</t>
  </si>
  <si>
    <t xml:space="preserve">€3.8m - Residential Development, Curry Lane</t>
  </si>
  <si>
    <t xml:space="preserve">2022-03-08</t>
  </si>
  <si>
    <t xml:space="preserve">2027-03-07</t>
  </si>
  <si>
    <t xml:space="preserve">2024-07-11</t>
  </si>
  <si>
    <t xml:space="preserve">1412002</t>
  </si>
  <si>
    <t xml:space="preserve">2560780</t>
  </si>
  <si>
    <t xml:space="preserve">€95m - Dock Road LRD, Limerick</t>
  </si>
  <si>
    <t xml:space="preserve">Affordable / cost rental</t>
  </si>
  <si>
    <t xml:space="preserve">Land Development Agency</t>
  </si>
  <si>
    <t xml:space="preserve">2026-02-11</t>
  </si>
  <si>
    <t xml:space="preserve">2031-02-10</t>
  </si>
  <si>
    <t xml:space="preserve">2033 Q3</t>
  </si>
  <si>
    <t xml:space="preserve">1317302</t>
  </si>
  <si>
    <t xml:space="preserve">23529</t>
  </si>
  <si>
    <t xml:space="preserve">€4.4m - Housing Development</t>
  </si>
  <si>
    <t xml:space="preserve">2024-09-03</t>
  </si>
  <si>
    <t xml:space="preserve">2029-09-02</t>
  </si>
  <si>
    <t xml:space="preserve">2025-10-09</t>
  </si>
  <si>
    <t xml:space="preserve">2025 Q4</t>
  </si>
  <si>
    <t xml:space="preserve">Own consent parcel</t>
  </si>
  <si>
    <t xml:space="preserve">1327665</t>
  </si>
  <si>
    <t xml:space="preserve">2460028</t>
  </si>
  <si>
    <t xml:space="preserve">€2.5m - Assisted Living Dwelling Units, Glin</t>
  </si>
  <si>
    <t xml:space="preserve">2024-09-02</t>
  </si>
  <si>
    <t xml:space="preserve">2029-09-01</t>
  </si>
  <si>
    <t xml:space="preserve">1278179</t>
  </si>
  <si>
    <t xml:space="preserve">2360148</t>
  </si>
  <si>
    <t xml:space="preserve">€1.5m - 3 Community Houses</t>
  </si>
  <si>
    <t xml:space="preserve">No new addresses found – check location</t>
  </si>
  <si>
    <t xml:space="preserve">2023-11-02</t>
  </si>
  <si>
    <t xml:space="preserve">2028-11-01</t>
  </si>
  <si>
    <t xml:space="preserve">2024-08-26</t>
  </si>
  <si>
    <t xml:space="preserve">837963</t>
  </si>
  <si>
    <t xml:space="preserve">15577</t>
  </si>
  <si>
    <t xml:space="preserve">€588k - 3 Houses</t>
  </si>
  <si>
    <t xml:space="preserve">GeoDirectory 2026-06-09</t>
  </si>
  <si>
    <t xml:space="preserve">Complete – applied</t>
  </si>
  <si>
    <t xml:space="preserve">2015-09-09</t>
  </si>
  <si>
    <t xml:space="preserve">REG-178001</t>
  </si>
  <si>
    <t xml:space="preserve">178001</t>
  </si>
  <si>
    <t xml:space="preserve">Not available</t>
  </si>
  <si>
    <t xml:space="preserve">2018-09-24</t>
  </si>
  <si>
    <t xml:space="preserve">Register only (Part 8, not in CIS)</t>
  </si>
  <si>
    <t xml:space="preserve">REG-178012</t>
  </si>
  <si>
    <t xml:space="preserve">178012</t>
  </si>
  <si>
    <t xml:space="preserve">REG-178013</t>
  </si>
  <si>
    <t xml:space="preserve">178013</t>
  </si>
  <si>
    <t xml:space="preserve">2017-12-13</t>
  </si>
  <si>
    <t xml:space="preserve">2019-04-12</t>
  </si>
  <si>
    <t xml:space="preserve">2019 Q2</t>
  </si>
  <si>
    <t xml:space="preserve">REG-178015</t>
  </si>
  <si>
    <t xml:space="preserve">178015</t>
  </si>
  <si>
    <t xml:space="preserve">2019-01-07</t>
  </si>
  <si>
    <t xml:space="preserve">2019 Q1</t>
  </si>
  <si>
    <t xml:space="preserve">REG-178017</t>
  </si>
  <si>
    <t xml:space="preserve">178017</t>
  </si>
  <si>
    <t xml:space="preserve">2019-05-15</t>
  </si>
  <si>
    <t xml:space="preserve">1019118</t>
  </si>
  <si>
    <t xml:space="preserve">181104</t>
  </si>
  <si>
    <t xml:space="preserve">Not available (register text incomplete)</t>
  </si>
  <si>
    <t xml:space="preserve">2019-06-04</t>
  </si>
  <si>
    <t xml:space="preserve">2027-06-02</t>
  </si>
  <si>
    <t xml:space="preserve">2023-07-07</t>
  </si>
  <si>
    <t xml:space="preserve">1019119</t>
  </si>
  <si>
    <t xml:space="preserve">181105</t>
  </si>
  <si>
    <t xml:space="preserve">€2.3m - Housing Development</t>
  </si>
  <si>
    <t xml:space="preserve">2019-09-19</t>
  </si>
  <si>
    <t xml:space="preserve">2024-09-18</t>
  </si>
  <si>
    <t xml:space="preserve">2023-07-06</t>
  </si>
  <si>
    <t xml:space="preserve">1023413</t>
  </si>
  <si>
    <t xml:space="preserve">181193</t>
  </si>
  <si>
    <t xml:space="preserve">Planning file documents</t>
  </si>
  <si>
    <t xml:space="preserve">2019-05-28</t>
  </si>
  <si>
    <t xml:space="preserve">2027-05-26</t>
  </si>
  <si>
    <t xml:space="preserve">1045778</t>
  </si>
  <si>
    <t xml:space="preserve">19444</t>
  </si>
  <si>
    <t xml:space="preserve">€2.2m - Housing Development </t>
  </si>
  <si>
    <t xml:space="preserve">2019-11-05</t>
  </si>
  <si>
    <t xml:space="preserve">2024-11-04</t>
  </si>
  <si>
    <t xml:space="preserve">979081</t>
  </si>
  <si>
    <t xml:space="preserve">18200</t>
  </si>
  <si>
    <t xml:space="preserve">€5.9m - Residential Development, Patrickswell</t>
  </si>
  <si>
    <t xml:space="preserve">2018-12-11</t>
  </si>
  <si>
    <t xml:space="preserve">2026-12-08</t>
  </si>
  <si>
    <t xml:space="preserve">2022-12-09</t>
  </si>
  <si>
    <t xml:space="preserve">2022 Q4</t>
  </si>
  <si>
    <t xml:space="preserve">1024750</t>
  </si>
  <si>
    <t xml:space="preserve">181243</t>
  </si>
  <si>
    <t xml:space="preserve">2019-09-04</t>
  </si>
  <si>
    <t xml:space="preserve">2021-04-28</t>
  </si>
  <si>
    <t xml:space="preserve">980328</t>
  </si>
  <si>
    <t xml:space="preserve">18219</t>
  </si>
  <si>
    <t xml:space="preserve">2018-09-11</t>
  </si>
  <si>
    <t xml:space="preserve">2023-09-10</t>
  </si>
  <si>
    <t xml:space="preserve">1025215</t>
  </si>
  <si>
    <t xml:space="preserve">181270</t>
  </si>
  <si>
    <t xml:space="preserve">€5.8m - Housing Development</t>
  </si>
  <si>
    <t xml:space="preserve">2019-05-29</t>
  </si>
  <si>
    <t xml:space="preserve">2024-05-28</t>
  </si>
  <si>
    <t xml:space="preserve">2021-05-25</t>
  </si>
  <si>
    <t xml:space="preserve">990309</t>
  </si>
  <si>
    <t xml:space="preserve">18434</t>
  </si>
  <si>
    <t xml:space="preserve">2018-11-06</t>
  </si>
  <si>
    <t xml:space="preserve">2023-11-05</t>
  </si>
  <si>
    <t xml:space="preserve">2020-06-22</t>
  </si>
  <si>
    <t xml:space="preserve">991834</t>
  </si>
  <si>
    <t xml:space="preserve">18496</t>
  </si>
  <si>
    <t xml:space="preserve">2019-01-22</t>
  </si>
  <si>
    <t xml:space="preserve">2024-01-21</t>
  </si>
  <si>
    <t xml:space="preserve">2019-08-12</t>
  </si>
  <si>
    <t xml:space="preserve">997554</t>
  </si>
  <si>
    <t xml:space="preserve">18618</t>
  </si>
  <si>
    <t xml:space="preserve">2018-11-27</t>
  </si>
  <si>
    <t xml:space="preserve">2023-11-26</t>
  </si>
  <si>
    <t xml:space="preserve">2019-07-19</t>
  </si>
  <si>
    <t xml:space="preserve">2019 Q3</t>
  </si>
  <si>
    <t xml:space="preserve">997576</t>
  </si>
  <si>
    <t xml:space="preserve">187020</t>
  </si>
  <si>
    <t xml:space="preserve">2023-05-13</t>
  </si>
  <si>
    <t xml:space="preserve">2019-04-05</t>
  </si>
  <si>
    <t xml:space="preserve">1005377</t>
  </si>
  <si>
    <t xml:space="preserve">187029</t>
  </si>
  <si>
    <t xml:space="preserve">2018-10-04</t>
  </si>
  <si>
    <t xml:space="preserve">2021-12-31</t>
  </si>
  <si>
    <t xml:space="preserve">2018-03-13</t>
  </si>
  <si>
    <t xml:space="preserve">1022341</t>
  </si>
  <si>
    <t xml:space="preserve">187040</t>
  </si>
  <si>
    <t xml:space="preserve">2018-12-14</t>
  </si>
  <si>
    <t xml:space="preserve">2023-12-30</t>
  </si>
  <si>
    <t xml:space="preserve">2020-10-21</t>
  </si>
  <si>
    <t xml:space="preserve">2020 Q4</t>
  </si>
  <si>
    <t xml:space="preserve">974045</t>
  </si>
  <si>
    <t xml:space="preserve">1872</t>
  </si>
  <si>
    <t xml:space="preserve">2019-01-18</t>
  </si>
  <si>
    <t xml:space="preserve">2024-01-17</t>
  </si>
  <si>
    <t xml:space="preserve">2020-08-07</t>
  </si>
  <si>
    <t xml:space="preserve">1045472</t>
  </si>
  <si>
    <t xml:space="preserve">188001</t>
  </si>
  <si>
    <t xml:space="preserve">2018-05-16</t>
  </si>
  <si>
    <t xml:space="preserve">2020-02-10</t>
  </si>
  <si>
    <t xml:space="preserve">981494</t>
  </si>
  <si>
    <t xml:space="preserve">188002</t>
  </si>
  <si>
    <t xml:space="preserve">2018-05-14</t>
  </si>
  <si>
    <t xml:space="preserve">2020-03-18</t>
  </si>
  <si>
    <t xml:space="preserve">REG-188004</t>
  </si>
  <si>
    <t xml:space="preserve">188004</t>
  </si>
  <si>
    <t xml:space="preserve">2018-06-13</t>
  </si>
  <si>
    <t xml:space="preserve">998747</t>
  </si>
  <si>
    <t xml:space="preserve">188007</t>
  </si>
  <si>
    <t xml:space="preserve">2018-09-12</t>
  </si>
  <si>
    <t xml:space="preserve">2020-04-30</t>
  </si>
  <si>
    <t xml:space="preserve">999956</t>
  </si>
  <si>
    <t xml:space="preserve">188008</t>
  </si>
  <si>
    <t xml:space="preserve">2019-09-24</t>
  </si>
  <si>
    <t xml:space="preserve">999957</t>
  </si>
  <si>
    <t xml:space="preserve">188009</t>
  </si>
  <si>
    <t xml:space="preserve">2020-07-20</t>
  </si>
  <si>
    <t xml:space="preserve">1248017</t>
  </si>
  <si>
    <t xml:space="preserve">228017</t>
  </si>
  <si>
    <t xml:space="preserve">€4.4m - Residential Development, Patrickswell</t>
  </si>
  <si>
    <t xml:space="preserve">2022-12-12</t>
  </si>
  <si>
    <t xml:space="preserve">2026-07-17</t>
  </si>
  <si>
    <t xml:space="preserve">REG-188012</t>
  </si>
  <si>
    <t xml:space="preserve">188012</t>
  </si>
  <si>
    <t xml:space="preserve">2018-10-11</t>
  </si>
  <si>
    <t xml:space="preserve">2026 Q4</t>
  </si>
  <si>
    <t xml:space="preserve">1007351</t>
  </si>
  <si>
    <t xml:space="preserve">188013</t>
  </si>
  <si>
    <t xml:space="preserve">2018-09-25</t>
  </si>
  <si>
    <t xml:space="preserve">1015932</t>
  </si>
  <si>
    <t xml:space="preserve">188014</t>
  </si>
  <si>
    <t xml:space="preserve">2020-11-06</t>
  </si>
  <si>
    <t xml:space="preserve">1009370</t>
  </si>
  <si>
    <t xml:space="preserve">18892</t>
  </si>
  <si>
    <t xml:space="preserve">2019-02-26</t>
  </si>
  <si>
    <t xml:space="preserve">2024-02-25</t>
  </si>
  <si>
    <t xml:space="preserve">2019-08-30</t>
  </si>
  <si>
    <t xml:space="preserve">1014706</t>
  </si>
  <si>
    <t xml:space="preserve">18994</t>
  </si>
  <si>
    <t xml:space="preserve">2019-11-13</t>
  </si>
  <si>
    <t xml:space="preserve">2024-11-12</t>
  </si>
  <si>
    <t xml:space="preserve">2023-07-12</t>
  </si>
  <si>
    <t xml:space="preserve">1072840</t>
  </si>
  <si>
    <t xml:space="preserve">191037</t>
  </si>
  <si>
    <t xml:space="preserve">2020-10-13</t>
  </si>
  <si>
    <t xml:space="preserve">2025-10-12</t>
  </si>
  <si>
    <t xml:space="preserve">2024-04-18</t>
  </si>
  <si>
    <t xml:space="preserve">895586</t>
  </si>
  <si>
    <t xml:space="preserve">191060</t>
  </si>
  <si>
    <t xml:space="preserve">2020-03-04</t>
  </si>
  <si>
    <t xml:space="preserve">2022-06-18</t>
  </si>
  <si>
    <t xml:space="preserve">2022-06-20</t>
  </si>
  <si>
    <t xml:space="preserve">1081912</t>
  </si>
  <si>
    <t xml:space="preserve">191255</t>
  </si>
  <si>
    <t xml:space="preserve">2025-03-17</t>
  </si>
  <si>
    <t xml:space="preserve">2022-04-27</t>
  </si>
  <si>
    <t xml:space="preserve">1084266</t>
  </si>
  <si>
    <t xml:space="preserve">191298</t>
  </si>
  <si>
    <t xml:space="preserve">2020-11-26</t>
  </si>
  <si>
    <t xml:space="preserve">2028-11-25</t>
  </si>
  <si>
    <t xml:space="preserve">1034286</t>
  </si>
  <si>
    <t xml:space="preserve">19149</t>
  </si>
  <si>
    <t xml:space="preserve">2019-09-11</t>
  </si>
  <si>
    <t xml:space="preserve">2024-09-10</t>
  </si>
  <si>
    <t xml:space="preserve">1036712</t>
  </si>
  <si>
    <t xml:space="preserve">19233</t>
  </si>
  <si>
    <t xml:space="preserve">2020-03-02</t>
  </si>
  <si>
    <t xml:space="preserve">2025-03-01</t>
  </si>
  <si>
    <t xml:space="preserve">2024-04-19</t>
  </si>
  <si>
    <t xml:space="preserve">1040199</t>
  </si>
  <si>
    <t xml:space="preserve">19302</t>
  </si>
  <si>
    <t xml:space="preserve">2019-06-19</t>
  </si>
  <si>
    <t xml:space="preserve">2024-06-18</t>
  </si>
  <si>
    <t xml:space="preserve">1049430</t>
  </si>
  <si>
    <t xml:space="preserve">19518</t>
  </si>
  <si>
    <t xml:space="preserve">2020-12-21</t>
  </si>
  <si>
    <t xml:space="preserve">2025-12-20</t>
  </si>
  <si>
    <t xml:space="preserve">2022-01-14</t>
  </si>
  <si>
    <t xml:space="preserve">2022 Q1</t>
  </si>
  <si>
    <t xml:space="preserve">1327846</t>
  </si>
  <si>
    <t xml:space="preserve">2460030</t>
  </si>
  <si>
    <t xml:space="preserve">€2.9m - Residential Development</t>
  </si>
  <si>
    <t xml:space="preserve">2025-03-12</t>
  </si>
  <si>
    <t xml:space="preserve">2030-03-11</t>
  </si>
  <si>
    <t xml:space="preserve">1051821</t>
  </si>
  <si>
    <t xml:space="preserve">19552</t>
  </si>
  <si>
    <t xml:space="preserve">2020-11-13</t>
  </si>
  <si>
    <t xml:space="preserve">2028-11-13</t>
  </si>
  <si>
    <t xml:space="preserve">1057729</t>
  </si>
  <si>
    <t xml:space="preserve">19689</t>
  </si>
  <si>
    <t xml:space="preserve">2020-02-27</t>
  </si>
  <si>
    <t xml:space="preserve">2026-09-05</t>
  </si>
  <si>
    <t xml:space="preserve">2024-03-21</t>
  </si>
  <si>
    <t xml:space="preserve">2024 Q1</t>
  </si>
  <si>
    <t xml:space="preserve">1053166</t>
  </si>
  <si>
    <t xml:space="preserve">197016</t>
  </si>
  <si>
    <t xml:space="preserve">2019-09-03</t>
  </si>
  <si>
    <t xml:space="preserve">2024-07-28</t>
  </si>
  <si>
    <t xml:space="preserve">2021-08-19</t>
  </si>
  <si>
    <t xml:space="preserve">2021 Q3</t>
  </si>
  <si>
    <t xml:space="preserve">1075116</t>
  </si>
  <si>
    <t xml:space="preserve">197025</t>
  </si>
  <si>
    <t xml:space="preserve">2020-02-07</t>
  </si>
  <si>
    <t xml:space="preserve">2024-12-01</t>
  </si>
  <si>
    <t xml:space="preserve">1061120</t>
  </si>
  <si>
    <t xml:space="preserve">19769</t>
  </si>
  <si>
    <t xml:space="preserve">2019-10-30</t>
  </si>
  <si>
    <t xml:space="preserve">2025-10-28</t>
  </si>
  <si>
    <t xml:space="preserve">2021-03-22</t>
  </si>
  <si>
    <t xml:space="preserve">2021 Q1</t>
  </si>
  <si>
    <t xml:space="preserve">1050624</t>
  </si>
  <si>
    <t xml:space="preserve">198003</t>
  </si>
  <si>
    <t xml:space="preserve">2019-09-10</t>
  </si>
  <si>
    <t xml:space="preserve">2022-07-18</t>
  </si>
  <si>
    <t xml:space="preserve">2022 Q3</t>
  </si>
  <si>
    <t xml:space="preserve">1058813</t>
  </si>
  <si>
    <t xml:space="preserve">198005</t>
  </si>
  <si>
    <t xml:space="preserve">2021-10-29</t>
  </si>
  <si>
    <t xml:space="preserve">2024-01-22</t>
  </si>
  <si>
    <t xml:space="preserve">1065269</t>
  </si>
  <si>
    <t xml:space="preserve">198007</t>
  </si>
  <si>
    <t xml:space="preserve">2019-11-15</t>
  </si>
  <si>
    <t xml:space="preserve">2021-08-13</t>
  </si>
  <si>
    <t xml:space="preserve">1079275</t>
  </si>
  <si>
    <t xml:space="preserve">191184</t>
  </si>
  <si>
    <t xml:space="preserve">€790k -  5 Houses </t>
  </si>
  <si>
    <t xml:space="preserve">2020-07-28</t>
  </si>
  <si>
    <t xml:space="preserve">2025-07-27</t>
  </si>
  <si>
    <t xml:space="preserve">2021-05-05</t>
  </si>
  <si>
    <t xml:space="preserve">2021 Q2</t>
  </si>
  <si>
    <t xml:space="preserve">REG-198008</t>
  </si>
  <si>
    <t xml:space="preserve">198008</t>
  </si>
  <si>
    <t xml:space="preserve">2019-12-12</t>
  </si>
  <si>
    <t xml:space="preserve">2020-04-21</t>
  </si>
  <si>
    <t xml:space="preserve">2020 Q2</t>
  </si>
  <si>
    <t xml:space="preserve">1071780</t>
  </si>
  <si>
    <t xml:space="preserve">198009</t>
  </si>
  <si>
    <t xml:space="preserve">1073938</t>
  </si>
  <si>
    <t xml:space="preserve">198010</t>
  </si>
  <si>
    <t xml:space="preserve">Under construction – check</t>
  </si>
  <si>
    <t xml:space="preserve">2020-01-27</t>
  </si>
  <si>
    <t xml:space="preserve">1064271</t>
  </si>
  <si>
    <t xml:space="preserve">19841</t>
  </si>
  <si>
    <t xml:space="preserve">2020-09-16</t>
  </si>
  <si>
    <t xml:space="preserve">2025-09-15</t>
  </si>
  <si>
    <t xml:space="preserve">1065293</t>
  </si>
  <si>
    <t xml:space="preserve">19872</t>
  </si>
  <si>
    <t xml:space="preserve">2020-02-25</t>
  </si>
  <si>
    <t xml:space="preserve">2025-02-24</t>
  </si>
  <si>
    <t xml:space="preserve">2024-05-08</t>
  </si>
  <si>
    <t xml:space="preserve">1069596</t>
  </si>
  <si>
    <t xml:space="preserve">19970</t>
  </si>
  <si>
    <t xml:space="preserve">2020-11-16</t>
  </si>
  <si>
    <t xml:space="preserve">2028-11-14</t>
  </si>
  <si>
    <t xml:space="preserve">2023-04-10</t>
  </si>
  <si>
    <t xml:space="preserve">2023 Q2</t>
  </si>
  <si>
    <t xml:space="preserve">1070656</t>
  </si>
  <si>
    <t xml:space="preserve">19990</t>
  </si>
  <si>
    <t xml:space="preserve">2020-01-10</t>
  </si>
  <si>
    <t xml:space="preserve">2023-02-26</t>
  </si>
  <si>
    <t xml:space="preserve">2020-12-04</t>
  </si>
  <si>
    <t xml:space="preserve">1129627</t>
  </si>
  <si>
    <t xml:space="preserve">201074</t>
  </si>
  <si>
    <t xml:space="preserve">2021-05-06</t>
  </si>
  <si>
    <t xml:space="preserve">2026-05-05</t>
  </si>
  <si>
    <t xml:space="preserve">2023-06-01</t>
  </si>
  <si>
    <t xml:space="preserve">1130829</t>
  </si>
  <si>
    <t xml:space="preserve">201101</t>
  </si>
  <si>
    <t xml:space="preserve">2021-05-17</t>
  </si>
  <si>
    <t xml:space="preserve">2024-05-16</t>
  </si>
  <si>
    <t xml:space="preserve">2024-09-19</t>
  </si>
  <si>
    <t xml:space="preserve">1131237</t>
  </si>
  <si>
    <t xml:space="preserve">201115</t>
  </si>
  <si>
    <t xml:space="preserve">2021-05-27</t>
  </si>
  <si>
    <t xml:space="preserve">2029-07-09</t>
  </si>
  <si>
    <t xml:space="preserve">2026-04-07</t>
  </si>
  <si>
    <t xml:space="preserve">1136132</t>
  </si>
  <si>
    <t xml:space="preserve">201114</t>
  </si>
  <si>
    <t xml:space="preserve">€19.4m - Residential Development, Mungret</t>
  </si>
  <si>
    <t xml:space="preserve">2026-05-26</t>
  </si>
  <si>
    <t xml:space="preserve">2022-02-21</t>
  </si>
  <si>
    <t xml:space="preserve">1132789</t>
  </si>
  <si>
    <t xml:space="preserve">201142</t>
  </si>
  <si>
    <t xml:space="preserve">2021-09-21</t>
  </si>
  <si>
    <t xml:space="preserve">2026-09-20</t>
  </si>
  <si>
    <t xml:space="preserve">1134847</t>
  </si>
  <si>
    <t xml:space="preserve">201195</t>
  </si>
  <si>
    <t xml:space="preserve">2021-06-23</t>
  </si>
  <si>
    <t xml:space="preserve">2026-06-22</t>
  </si>
  <si>
    <t xml:space="preserve">2022-04-08</t>
  </si>
  <si>
    <t xml:space="preserve">1098119</t>
  </si>
  <si>
    <t xml:space="preserve">20314</t>
  </si>
  <si>
    <t xml:space="preserve">2020-08-11</t>
  </si>
  <si>
    <t xml:space="preserve">2025-08-10</t>
  </si>
  <si>
    <t xml:space="preserve">2021-12-09</t>
  </si>
  <si>
    <t xml:space="preserve">2021 Q4</t>
  </si>
  <si>
    <t xml:space="preserve">1099323</t>
  </si>
  <si>
    <t xml:space="preserve">20341</t>
  </si>
  <si>
    <t xml:space="preserve">2020-09-24</t>
  </si>
  <si>
    <t xml:space="preserve">2025-09-23</t>
  </si>
  <si>
    <t xml:space="preserve">1100331</t>
  </si>
  <si>
    <t xml:space="preserve">20361</t>
  </si>
  <si>
    <t xml:space="preserve">2021-06-15</t>
  </si>
  <si>
    <t xml:space="preserve">2026-06-14</t>
  </si>
  <si>
    <t xml:space="preserve">2022-09-26</t>
  </si>
  <si>
    <t xml:space="preserve">1103803</t>
  </si>
  <si>
    <t xml:space="preserve">20467</t>
  </si>
  <si>
    <t xml:space="preserve">2021-01-29</t>
  </si>
  <si>
    <t xml:space="preserve">2029-03-12</t>
  </si>
  <si>
    <t xml:space="preserve">2021-10-11</t>
  </si>
  <si>
    <t xml:space="preserve">971158</t>
  </si>
  <si>
    <t xml:space="preserve">187001</t>
  </si>
  <si>
    <t xml:space="preserve">€18.9m - Housing Development </t>
  </si>
  <si>
    <t xml:space="preserve">2018-04-10</t>
  </si>
  <si>
    <t xml:space="preserve">990340</t>
  </si>
  <si>
    <t xml:space="preserve">18465</t>
  </si>
  <si>
    <t xml:space="preserve">€3.4m - Residential Development, Mungret</t>
  </si>
  <si>
    <t xml:space="preserve">2018-09-18</t>
  </si>
  <si>
    <t xml:space="preserve">2023-09-17</t>
  </si>
  <si>
    <t xml:space="preserve">2020-07-16</t>
  </si>
  <si>
    <t xml:space="preserve">REG-20525</t>
  </si>
  <si>
    <t xml:space="preserve">20525</t>
  </si>
  <si>
    <t xml:space="preserve">2021-12-02</t>
  </si>
  <si>
    <t xml:space="preserve">2026-12-01</t>
  </si>
  <si>
    <t xml:space="preserve">Register only (private, not in CIS)</t>
  </si>
  <si>
    <t xml:space="preserve">1112715</t>
  </si>
  <si>
    <t xml:space="preserve">20622</t>
  </si>
  <si>
    <t xml:space="preserve">2020-10-07</t>
  </si>
  <si>
    <t xml:space="preserve">2025-10-06</t>
  </si>
  <si>
    <t xml:space="preserve">1114096</t>
  </si>
  <si>
    <t xml:space="preserve">20678</t>
  </si>
  <si>
    <t xml:space="preserve">2021-07-22</t>
  </si>
  <si>
    <t xml:space="preserve">2026-07-21</t>
  </si>
  <si>
    <t xml:space="preserve">2021-11-06</t>
  </si>
  <si>
    <t xml:space="preserve">1121263</t>
  </si>
  <si>
    <t xml:space="preserve">20857</t>
  </si>
  <si>
    <t xml:space="preserve">2020-11-25</t>
  </si>
  <si>
    <t xml:space="preserve">2025-11-24</t>
  </si>
  <si>
    <t xml:space="preserve">2022-11-04</t>
  </si>
  <si>
    <t xml:space="preserve">1051816</t>
  </si>
  <si>
    <t xml:space="preserve">19547</t>
  </si>
  <si>
    <t xml:space="preserve">€18m - Residential Development, Castletroy</t>
  </si>
  <si>
    <t xml:space="preserve">2020-05-28</t>
  </si>
  <si>
    <t xml:space="preserve">2025-05-27</t>
  </si>
  <si>
    <t xml:space="preserve">2022 Q2</t>
  </si>
  <si>
    <t xml:space="preserve">1081200</t>
  </si>
  <si>
    <t xml:space="preserve">191236</t>
  </si>
  <si>
    <t xml:space="preserve">€16m - Housing Development</t>
  </si>
  <si>
    <t xml:space="preserve">2021-03-04</t>
  </si>
  <si>
    <t xml:space="preserve">2026-03-03</t>
  </si>
  <si>
    <t xml:space="preserve">2022-11-01</t>
  </si>
  <si>
    <t xml:space="preserve">1184347</t>
  </si>
  <si>
    <t xml:space="preserve">211152</t>
  </si>
  <si>
    <t xml:space="preserve">2022-04-20</t>
  </si>
  <si>
    <t xml:space="preserve">2027-04-19</t>
  </si>
  <si>
    <t xml:space="preserve">2024-04-11</t>
  </si>
  <si>
    <t xml:space="preserve">1193936</t>
  </si>
  <si>
    <t xml:space="preserve">211400</t>
  </si>
  <si>
    <t xml:space="preserve">€21m - Newtow Meadows Development, Phase 4, Castletroy</t>
  </si>
  <si>
    <t xml:space="preserve">2022-06-09</t>
  </si>
  <si>
    <t xml:space="preserve">2027-06-08</t>
  </si>
  <si>
    <t xml:space="preserve">2024-07-01</t>
  </si>
  <si>
    <t xml:space="preserve">1184979</t>
  </si>
  <si>
    <t xml:space="preserve">211170</t>
  </si>
  <si>
    <t xml:space="preserve">2022-09-16</t>
  </si>
  <si>
    <t xml:space="preserve">2027-09-15</t>
  </si>
  <si>
    <t xml:space="preserve">2024-04-22</t>
  </si>
  <si>
    <t xml:space="preserve">1187172</t>
  </si>
  <si>
    <t xml:space="preserve">211216</t>
  </si>
  <si>
    <t xml:space="preserve">2023-07-28</t>
  </si>
  <si>
    <t xml:space="preserve">2028-07-27</t>
  </si>
  <si>
    <t xml:space="preserve">2024-04-20</t>
  </si>
  <si>
    <t xml:space="preserve">1186980</t>
  </si>
  <si>
    <t xml:space="preserve">211217</t>
  </si>
  <si>
    <t xml:space="preserve">2024-02-13</t>
  </si>
  <si>
    <t xml:space="preserve">1188558</t>
  </si>
  <si>
    <t xml:space="preserve">211257</t>
  </si>
  <si>
    <t xml:space="preserve">2023-09-25</t>
  </si>
  <si>
    <t xml:space="preserve">2028-09-24</t>
  </si>
  <si>
    <t xml:space="preserve">2024-02-21</t>
  </si>
  <si>
    <t xml:space="preserve">1193931</t>
  </si>
  <si>
    <t xml:space="preserve">211395</t>
  </si>
  <si>
    <t xml:space="preserve">2022-06-21</t>
  </si>
  <si>
    <t xml:space="preserve">2027-06-20</t>
  </si>
  <si>
    <t xml:space="preserve">2026-02-13</t>
  </si>
  <si>
    <t xml:space="preserve">2026 Q1</t>
  </si>
  <si>
    <t xml:space="preserve">1195465</t>
  </si>
  <si>
    <t xml:space="preserve">211454</t>
  </si>
  <si>
    <t xml:space="preserve">2022-09-21</t>
  </si>
  <si>
    <t xml:space="preserve">2027-09-20</t>
  </si>
  <si>
    <t xml:space="preserve">1148944</t>
  </si>
  <si>
    <t xml:space="preserve">21147</t>
  </si>
  <si>
    <t xml:space="preserve">2022-02-07</t>
  </si>
  <si>
    <t xml:space="preserve">2027-02-06</t>
  </si>
  <si>
    <t xml:space="preserve">1201033</t>
  </si>
  <si>
    <t xml:space="preserve">211598</t>
  </si>
  <si>
    <t xml:space="preserve">2022-05-25</t>
  </si>
  <si>
    <t xml:space="preserve">2027-05-24</t>
  </si>
  <si>
    <t xml:space="preserve">1408496</t>
  </si>
  <si>
    <t xml:space="preserve">2560546</t>
  </si>
  <si>
    <t xml:space="preserve">€7m - Residential/Commercial Development, Limerick</t>
  </si>
  <si>
    <t xml:space="preserve">2030-09-03</t>
  </si>
  <si>
    <t xml:space="preserve">1152091</t>
  </si>
  <si>
    <t xml:space="preserve">21240</t>
  </si>
  <si>
    <t xml:space="preserve">2022-05-17</t>
  </si>
  <si>
    <t xml:space="preserve">2027-05-16</t>
  </si>
  <si>
    <t xml:space="preserve">2023-07-21</t>
  </si>
  <si>
    <t xml:space="preserve">1156999</t>
  </si>
  <si>
    <t xml:space="preserve">21342</t>
  </si>
  <si>
    <t xml:space="preserve">2022-04-13</t>
  </si>
  <si>
    <t xml:space="preserve">2027-04-12</t>
  </si>
  <si>
    <t xml:space="preserve">2023-03-20</t>
  </si>
  <si>
    <t xml:space="preserve">1157003</t>
  </si>
  <si>
    <t xml:space="preserve">21350</t>
  </si>
  <si>
    <t xml:space="preserve">Replaces earlier</t>
  </si>
  <si>
    <t xml:space="preserve">2021-12-03</t>
  </si>
  <si>
    <t xml:space="preserve">2026-12-02</t>
  </si>
  <si>
    <t xml:space="preserve">2022-03-25</t>
  </si>
  <si>
    <t xml:space="preserve">999946</t>
  </si>
  <si>
    <t xml:space="preserve">18698</t>
  </si>
  <si>
    <t xml:space="preserve">€4.6m - Residential Development </t>
  </si>
  <si>
    <t xml:space="preserve">2018-11-21</t>
  </si>
  <si>
    <t xml:space="preserve">2029-01-23</t>
  </si>
  <si>
    <t xml:space="preserve">2019-09-18</t>
  </si>
  <si>
    <t xml:space="preserve">1157017</t>
  </si>
  <si>
    <t xml:space="preserve">21364</t>
  </si>
  <si>
    <t xml:space="preserve">2023-06-22</t>
  </si>
  <si>
    <t xml:space="preserve">2028-06-21</t>
  </si>
  <si>
    <t xml:space="preserve">1144674</t>
  </si>
  <si>
    <t xml:space="preserve">2148</t>
  </si>
  <si>
    <t xml:space="preserve">2021-10-06</t>
  </si>
  <si>
    <t xml:space="preserve">2026-10-05</t>
  </si>
  <si>
    <t xml:space="preserve">2023-11-20</t>
  </si>
  <si>
    <t xml:space="preserve">1163124</t>
  </si>
  <si>
    <t xml:space="preserve">21531</t>
  </si>
  <si>
    <t xml:space="preserve">2022-05-03</t>
  </si>
  <si>
    <t xml:space="preserve">2027-05-02</t>
  </si>
  <si>
    <t xml:space="preserve">1330186</t>
  </si>
  <si>
    <t xml:space="preserve">2460082</t>
  </si>
  <si>
    <t xml:space="preserve">€1.9m - Apartment Development </t>
  </si>
  <si>
    <t xml:space="preserve">2024-05-01</t>
  </si>
  <si>
    <t xml:space="preserve">2024-09-30</t>
  </si>
  <si>
    <t xml:space="preserve">1163125</t>
  </si>
  <si>
    <t xml:space="preserve">21532</t>
  </si>
  <si>
    <t xml:space="preserve">2022-01-13</t>
  </si>
  <si>
    <t xml:space="preserve">2027-01-12</t>
  </si>
  <si>
    <t xml:space="preserve">1164066</t>
  </si>
  <si>
    <t xml:space="preserve">21550</t>
  </si>
  <si>
    <t xml:space="preserve">2022-02-23</t>
  </si>
  <si>
    <t xml:space="preserve">2027-02-22</t>
  </si>
  <si>
    <t xml:space="preserve">1165485</t>
  </si>
  <si>
    <t xml:space="preserve">21594</t>
  </si>
  <si>
    <t xml:space="preserve">2022-09-06</t>
  </si>
  <si>
    <t xml:space="preserve">2027-09-05</t>
  </si>
  <si>
    <t xml:space="preserve">1446285</t>
  </si>
  <si>
    <t xml:space="preserve">2660232</t>
  </si>
  <si>
    <t xml:space="preserve">€7.8m - Residential Development, Abbeyfeale</t>
  </si>
  <si>
    <t xml:space="preserve">1166991</t>
  </si>
  <si>
    <t xml:space="preserve">21630</t>
  </si>
  <si>
    <t xml:space="preserve">2022-05-12</t>
  </si>
  <si>
    <t xml:space="preserve">2027-05-11</t>
  </si>
  <si>
    <t xml:space="preserve">1203836</t>
  </si>
  <si>
    <t xml:space="preserve">218012</t>
  </si>
  <si>
    <t xml:space="preserve">2022-02-25</t>
  </si>
  <si>
    <t xml:space="preserve">2025-06-26</t>
  </si>
  <si>
    <t xml:space="preserve">2025 Q2</t>
  </si>
  <si>
    <t xml:space="preserve">1205019</t>
  </si>
  <si>
    <t xml:space="preserve">218013</t>
  </si>
  <si>
    <t xml:space="preserve">2022-03-09</t>
  </si>
  <si>
    <t xml:space="preserve">2024-03-19</t>
  </si>
  <si>
    <t xml:space="preserve">1174250</t>
  </si>
  <si>
    <t xml:space="preserve">21853</t>
  </si>
  <si>
    <t xml:space="preserve">2021-12-15</t>
  </si>
  <si>
    <t xml:space="preserve">2026-12-14</t>
  </si>
  <si>
    <t xml:space="preserve">1174682</t>
  </si>
  <si>
    <t xml:space="preserve">21873</t>
  </si>
  <si>
    <t xml:space="preserve">2022-07-14</t>
  </si>
  <si>
    <t xml:space="preserve">2027-07-13</t>
  </si>
  <si>
    <t xml:space="preserve">2024-03-18</t>
  </si>
  <si>
    <t xml:space="preserve">1250272</t>
  </si>
  <si>
    <t xml:space="preserve">221003</t>
  </si>
  <si>
    <t xml:space="preserve">2028-07-11</t>
  </si>
  <si>
    <t xml:space="preserve">1254537</t>
  </si>
  <si>
    <t xml:space="preserve">221107</t>
  </si>
  <si>
    <t xml:space="preserve">2023-06-14</t>
  </si>
  <si>
    <t xml:space="preserve">2028-06-13</t>
  </si>
  <si>
    <t xml:space="preserve">1256924</t>
  </si>
  <si>
    <t xml:space="preserve">221172</t>
  </si>
  <si>
    <t xml:space="preserve">2024-05-30</t>
  </si>
  <si>
    <t xml:space="preserve">2029-05-29</t>
  </si>
  <si>
    <t xml:space="preserve">1258052</t>
  </si>
  <si>
    <t xml:space="preserve">221189</t>
  </si>
  <si>
    <t xml:space="preserve">2024-12-19</t>
  </si>
  <si>
    <t xml:space="preserve">2029-12-18</t>
  </si>
  <si>
    <t xml:space="preserve">2026-02-20</t>
  </si>
  <si>
    <t xml:space="preserve">1262614</t>
  </si>
  <si>
    <t xml:space="preserve">221318</t>
  </si>
  <si>
    <t xml:space="preserve">2023-10-24</t>
  </si>
  <si>
    <t xml:space="preserve">2028-10-23</t>
  </si>
  <si>
    <t xml:space="preserve">2025-02-05</t>
  </si>
  <si>
    <t xml:space="preserve">1263448</t>
  </si>
  <si>
    <t xml:space="preserve">221352</t>
  </si>
  <si>
    <t xml:space="preserve">2023-07-11</t>
  </si>
  <si>
    <t xml:space="preserve">2028-07-10</t>
  </si>
  <si>
    <t xml:space="preserve">2025-03-18</t>
  </si>
  <si>
    <t xml:space="preserve">1263713</t>
  </si>
  <si>
    <t xml:space="preserve">221367</t>
  </si>
  <si>
    <t xml:space="preserve">2023-09-13</t>
  </si>
  <si>
    <t xml:space="preserve">2028-09-12</t>
  </si>
  <si>
    <t xml:space="preserve">1103802</t>
  </si>
  <si>
    <t xml:space="preserve">20466</t>
  </si>
  <si>
    <t xml:space="preserve">€1.7m - 8 Apartments</t>
  </si>
  <si>
    <t xml:space="preserve">2021-04-20</t>
  </si>
  <si>
    <t xml:space="preserve">2026-04-19</t>
  </si>
  <si>
    <t xml:space="preserve">1264538</t>
  </si>
  <si>
    <t xml:space="preserve">221381</t>
  </si>
  <si>
    <t xml:space="preserve">2023-08-29</t>
  </si>
  <si>
    <t xml:space="preserve">2028-08-28</t>
  </si>
  <si>
    <t xml:space="preserve">2024-04-15</t>
  </si>
  <si>
    <t xml:space="preserve">1223809</t>
  </si>
  <si>
    <t xml:space="preserve">22394</t>
  </si>
  <si>
    <t xml:space="preserve">2022-10-27</t>
  </si>
  <si>
    <t xml:space="preserve">2027-10-26</t>
  </si>
  <si>
    <t xml:space="preserve">2022-12-07</t>
  </si>
  <si>
    <t xml:space="preserve">1225380</t>
  </si>
  <si>
    <t xml:space="preserve">22410</t>
  </si>
  <si>
    <t xml:space="preserve">2023-02-20</t>
  </si>
  <si>
    <t xml:space="preserve">2028-02-19</t>
  </si>
  <si>
    <t xml:space="preserve">1227182</t>
  </si>
  <si>
    <t xml:space="preserve">22471</t>
  </si>
  <si>
    <t xml:space="preserve">2029-01-21</t>
  </si>
  <si>
    <t xml:space="preserve">1213266</t>
  </si>
  <si>
    <t xml:space="preserve">228000</t>
  </si>
  <si>
    <t xml:space="preserve">2022-04-07</t>
  </si>
  <si>
    <t xml:space="preserve">2025-04-22</t>
  </si>
  <si>
    <t xml:space="preserve">1237333</t>
  </si>
  <si>
    <t xml:space="preserve">228013</t>
  </si>
  <si>
    <t xml:space="preserve">2025-10-13</t>
  </si>
  <si>
    <t xml:space="preserve">1258895</t>
  </si>
  <si>
    <t xml:space="preserve">228020</t>
  </si>
  <si>
    <t xml:space="preserve">2023-02-10</t>
  </si>
  <si>
    <t xml:space="preserve">1265040</t>
  </si>
  <si>
    <t xml:space="preserve">228023</t>
  </si>
  <si>
    <t xml:space="preserve">2026-02-09</t>
  </si>
  <si>
    <t xml:space="preserve">1243349</t>
  </si>
  <si>
    <t xml:space="preserve">22840</t>
  </si>
  <si>
    <t xml:space="preserve">2023-06-26</t>
  </si>
  <si>
    <t xml:space="preserve">2028-06-25</t>
  </si>
  <si>
    <t xml:space="preserve">2024-01-31</t>
  </si>
  <si>
    <t xml:space="preserve">1250091</t>
  </si>
  <si>
    <t xml:space="preserve">22990</t>
  </si>
  <si>
    <t xml:space="preserve">2025-02-25</t>
  </si>
  <si>
    <t xml:space="preserve">2030-02-24</t>
  </si>
  <si>
    <t xml:space="preserve">1316491</t>
  </si>
  <si>
    <t xml:space="preserve">2360793</t>
  </si>
  <si>
    <t xml:space="preserve">€6.1m - Residential Development, Adare</t>
  </si>
  <si>
    <t xml:space="preserve">2025-03-21</t>
  </si>
  <si>
    <t xml:space="preserve">2030-03-20</t>
  </si>
  <si>
    <t xml:space="preserve">1266613</t>
  </si>
  <si>
    <t xml:space="preserve">2326</t>
  </si>
  <si>
    <t xml:space="preserve">2024-01-29</t>
  </si>
  <si>
    <t xml:space="preserve">2029-01-28</t>
  </si>
  <si>
    <t xml:space="preserve">2026-03-28</t>
  </si>
  <si>
    <t xml:space="preserve">1292276</t>
  </si>
  <si>
    <t xml:space="preserve">23283</t>
  </si>
  <si>
    <t xml:space="preserve">2023-08-16</t>
  </si>
  <si>
    <t xml:space="preserve">2028-08-15</t>
  </si>
  <si>
    <t xml:space="preserve">1270045</t>
  </si>
  <si>
    <t xml:space="preserve">2360025</t>
  </si>
  <si>
    <t xml:space="preserve">2024-08-28</t>
  </si>
  <si>
    <t xml:space="preserve">2029-08-27</t>
  </si>
  <si>
    <t xml:space="preserve">2025-10-23</t>
  </si>
  <si>
    <t xml:space="preserve">1277663</t>
  </si>
  <si>
    <t xml:space="preserve">2360144</t>
  </si>
  <si>
    <t xml:space="preserve">2023-11-15</t>
  </si>
  <si>
    <t xml:space="preserve">1278374</t>
  </si>
  <si>
    <t xml:space="preserve">2360150</t>
  </si>
  <si>
    <t xml:space="preserve">2023-08-22</t>
  </si>
  <si>
    <t xml:space="preserve">2028-08-21</t>
  </si>
  <si>
    <t xml:space="preserve">2025-12-01</t>
  </si>
  <si>
    <t xml:space="preserve">1283723</t>
  </si>
  <si>
    <t xml:space="preserve">2360207</t>
  </si>
  <si>
    <t xml:space="preserve">2023-09-18</t>
  </si>
  <si>
    <t xml:space="preserve">2026-09-17</t>
  </si>
  <si>
    <t xml:space="preserve">1286254</t>
  </si>
  <si>
    <t xml:space="preserve">2360263</t>
  </si>
  <si>
    <t xml:space="preserve">2024-02-26</t>
  </si>
  <si>
    <t xml:space="preserve">1290708</t>
  </si>
  <si>
    <t xml:space="preserve">2360345</t>
  </si>
  <si>
    <t xml:space="preserve">2024-07-09</t>
  </si>
  <si>
    <t xml:space="preserve">2029-07-08</t>
  </si>
  <si>
    <t xml:space="preserve">1293390</t>
  </si>
  <si>
    <t xml:space="preserve">2360393</t>
  </si>
  <si>
    <t xml:space="preserve">2023-12-05</t>
  </si>
  <si>
    <t xml:space="preserve">2028-12-04</t>
  </si>
  <si>
    <t xml:space="preserve">1299520</t>
  </si>
  <si>
    <t xml:space="preserve">2360493</t>
  </si>
  <si>
    <t xml:space="preserve">2024-01-02</t>
  </si>
  <si>
    <t xml:space="preserve">2029-01-01</t>
  </si>
  <si>
    <t xml:space="preserve">2024-04-01</t>
  </si>
  <si>
    <t xml:space="preserve">1302251</t>
  </si>
  <si>
    <t xml:space="preserve">2360546</t>
  </si>
  <si>
    <t xml:space="preserve">2024-01-24</t>
  </si>
  <si>
    <t xml:space="preserve">1306162</t>
  </si>
  <si>
    <t xml:space="preserve">2360615</t>
  </si>
  <si>
    <t xml:space="preserve">2024-01-15</t>
  </si>
  <si>
    <t xml:space="preserve">2029-01-14</t>
  </si>
  <si>
    <t xml:space="preserve">1310780</t>
  </si>
  <si>
    <t xml:space="preserve">2360703</t>
  </si>
  <si>
    <t xml:space="preserve">2025-04-14</t>
  </si>
  <si>
    <t xml:space="preserve">2030-04-13</t>
  </si>
  <si>
    <t xml:space="preserve">1310783</t>
  </si>
  <si>
    <t xml:space="preserve">2360706</t>
  </si>
  <si>
    <t xml:space="preserve">1314456</t>
  </si>
  <si>
    <t xml:space="preserve">2360759</t>
  </si>
  <si>
    <t xml:space="preserve">2029-07-16</t>
  </si>
  <si>
    <t xml:space="preserve">1316492</t>
  </si>
  <si>
    <t xml:space="preserve">2360794</t>
  </si>
  <si>
    <t xml:space="preserve">2024-05-07</t>
  </si>
  <si>
    <t xml:space="preserve">2029-05-06</t>
  </si>
  <si>
    <t xml:space="preserve">1316698</t>
  </si>
  <si>
    <t xml:space="preserve">2360798</t>
  </si>
  <si>
    <t xml:space="preserve">2024-10-31</t>
  </si>
  <si>
    <t xml:space="preserve">2029-10-30</t>
  </si>
  <si>
    <t xml:space="preserve">2025-07-07</t>
  </si>
  <si>
    <t xml:space="preserve">1318536</t>
  </si>
  <si>
    <t xml:space="preserve">2360826</t>
  </si>
  <si>
    <t xml:space="preserve">2024-05-15</t>
  </si>
  <si>
    <t xml:space="preserve">2029-05-14</t>
  </si>
  <si>
    <t xml:space="preserve">1319159</t>
  </si>
  <si>
    <t xml:space="preserve">2360842</t>
  </si>
  <si>
    <t xml:space="preserve">2024-05-23</t>
  </si>
  <si>
    <t xml:space="preserve">2029-05-22</t>
  </si>
  <si>
    <t xml:space="preserve">2024-12-20</t>
  </si>
  <si>
    <t xml:space="preserve">1320420</t>
  </si>
  <si>
    <t xml:space="preserve">2360866</t>
  </si>
  <si>
    <t xml:space="preserve">2024-06-12</t>
  </si>
  <si>
    <t xml:space="preserve">2029-06-11</t>
  </si>
  <si>
    <t xml:space="preserve">REG-24151</t>
  </si>
  <si>
    <t xml:space="preserve">24151</t>
  </si>
  <si>
    <t xml:space="preserve">2025-01-15</t>
  </si>
  <si>
    <t xml:space="preserve">2030-01-14</t>
  </si>
  <si>
    <t xml:space="preserve">1366163</t>
  </si>
  <si>
    <t xml:space="preserve">24352</t>
  </si>
  <si>
    <t xml:space="preserve">2025-09-17</t>
  </si>
  <si>
    <t xml:space="preserve">2030-09-16</t>
  </si>
  <si>
    <t xml:space="preserve">2025-12-22</t>
  </si>
  <si>
    <t xml:space="preserve">1326040</t>
  </si>
  <si>
    <t xml:space="preserve">2460004</t>
  </si>
  <si>
    <t xml:space="preserve">2024-12-30</t>
  </si>
  <si>
    <t xml:space="preserve">1327311</t>
  </si>
  <si>
    <t xml:space="preserve">2460020</t>
  </si>
  <si>
    <t xml:space="preserve">2024-04-04</t>
  </si>
  <si>
    <t xml:space="preserve">2029-04-03</t>
  </si>
  <si>
    <t xml:space="preserve">2025-05-07</t>
  </si>
  <si>
    <t xml:space="preserve">1328561</t>
  </si>
  <si>
    <t xml:space="preserve">2460046</t>
  </si>
  <si>
    <t xml:space="preserve">2024-08-16</t>
  </si>
  <si>
    <t xml:space="preserve">2029-08-15</t>
  </si>
  <si>
    <t xml:space="preserve">1329797</t>
  </si>
  <si>
    <t xml:space="preserve">2460075</t>
  </si>
  <si>
    <t xml:space="preserve">1333345</t>
  </si>
  <si>
    <t xml:space="preserve">2460151</t>
  </si>
  <si>
    <t xml:space="preserve">2026-04-24</t>
  </si>
  <si>
    <t xml:space="preserve">1339954</t>
  </si>
  <si>
    <t xml:space="preserve">2460299</t>
  </si>
  <si>
    <t xml:space="preserve">2024-07-02</t>
  </si>
  <si>
    <t xml:space="preserve">2029-07-01</t>
  </si>
  <si>
    <t xml:space="preserve">1340202</t>
  </si>
  <si>
    <t xml:space="preserve">2460304</t>
  </si>
  <si>
    <t xml:space="preserve">1347165</t>
  </si>
  <si>
    <t xml:space="preserve">2460468</t>
  </si>
  <si>
    <t xml:space="preserve">2024-10-24</t>
  </si>
  <si>
    <t xml:space="preserve">2029-10-23</t>
  </si>
  <si>
    <t xml:space="preserve">2025-01-08</t>
  </si>
  <si>
    <t xml:space="preserve">1350850</t>
  </si>
  <si>
    <t xml:space="preserve">2460568</t>
  </si>
  <si>
    <t xml:space="preserve">2025-03-07</t>
  </si>
  <si>
    <t xml:space="preserve">2030-03-06</t>
  </si>
  <si>
    <t xml:space="preserve">1350852</t>
  </si>
  <si>
    <t xml:space="preserve">2460570</t>
  </si>
  <si>
    <t xml:space="preserve">2025-02-06</t>
  </si>
  <si>
    <t xml:space="preserve">2030-02-05</t>
  </si>
  <si>
    <t xml:space="preserve">1353358</t>
  </si>
  <si>
    <t xml:space="preserve">2460633</t>
  </si>
  <si>
    <t xml:space="preserve">2025-04-24</t>
  </si>
  <si>
    <t xml:space="preserve">2030-04-23</t>
  </si>
  <si>
    <t xml:space="preserve">1360674</t>
  </si>
  <si>
    <t xml:space="preserve">2460788</t>
  </si>
  <si>
    <t xml:space="preserve">2025-07-15</t>
  </si>
  <si>
    <t xml:space="preserve">2030-07-14</t>
  </si>
  <si>
    <t xml:space="preserve">2026-04-06</t>
  </si>
  <si>
    <t xml:space="preserve">1363929</t>
  </si>
  <si>
    <t xml:space="preserve">2460864</t>
  </si>
  <si>
    <t xml:space="preserve">2025-09-18</t>
  </si>
  <si>
    <t xml:space="preserve">2030-09-17</t>
  </si>
  <si>
    <t xml:space="preserve">1375398</t>
  </si>
  <si>
    <t xml:space="preserve">2461101</t>
  </si>
  <si>
    <t xml:space="preserve">2025-07-30</t>
  </si>
  <si>
    <t xml:space="preserve">2028-10-16</t>
  </si>
  <si>
    <t xml:space="preserve">1379266</t>
  </si>
  <si>
    <t xml:space="preserve">2461182</t>
  </si>
  <si>
    <t xml:space="preserve">2026-03-30</t>
  </si>
  <si>
    <t xml:space="preserve">2031-03-29</t>
  </si>
  <si>
    <t xml:space="preserve">1383405</t>
  </si>
  <si>
    <t xml:space="preserve">2461298</t>
  </si>
  <si>
    <t xml:space="preserve">2025-06-24</t>
  </si>
  <si>
    <t xml:space="preserve">2030-06-23</t>
  </si>
  <si>
    <t xml:space="preserve">2026-02-23</t>
  </si>
  <si>
    <t xml:space="preserve">1360553</t>
  </si>
  <si>
    <t xml:space="preserve">248132</t>
  </si>
  <si>
    <t xml:space="preserve">2024-12-04</t>
  </si>
  <si>
    <t xml:space="preserve">2026-05-13</t>
  </si>
  <si>
    <t xml:space="preserve">1384661</t>
  </si>
  <si>
    <t xml:space="preserve">2560001</t>
  </si>
  <si>
    <t xml:space="preserve">2025-12-03</t>
  </si>
  <si>
    <t xml:space="preserve">2030-12-02</t>
  </si>
  <si>
    <t xml:space="preserve">2026-03-16</t>
  </si>
  <si>
    <t xml:space="preserve">1391914</t>
  </si>
  <si>
    <t xml:space="preserve">2560156</t>
  </si>
  <si>
    <t xml:space="preserve">2025-11-11</t>
  </si>
  <si>
    <t xml:space="preserve">2030-11-10</t>
  </si>
  <si>
    <t xml:space="preserve">1409934</t>
  </si>
  <si>
    <t xml:space="preserve">2560653</t>
  </si>
  <si>
    <t xml:space="preserve">€9.4m - Residential Development</t>
  </si>
  <si>
    <t xml:space="preserve">2026-01-20</t>
  </si>
  <si>
    <t xml:space="preserve">2031-01-19</t>
  </si>
  <si>
    <t xml:space="preserve">985986</t>
  </si>
  <si>
    <t xml:space="preserve">18346</t>
  </si>
  <si>
    <t xml:space="preserve">€6.3m - Residential Development, Patrickswell</t>
  </si>
  <si>
    <t xml:space="preserve">2018-10-23</t>
  </si>
  <si>
    <t xml:space="preserve">2023-10-22</t>
  </si>
  <si>
    <t xml:space="preserve">1395070</t>
  </si>
  <si>
    <t xml:space="preserve">2560211</t>
  </si>
  <si>
    <t xml:space="preserve">2025-06-10</t>
  </si>
  <si>
    <t xml:space="preserve">2030-06-09</t>
  </si>
  <si>
    <t xml:space="preserve">2026-03-21</t>
  </si>
  <si>
    <t xml:space="preserve">1401743</t>
  </si>
  <si>
    <t xml:space="preserve">2560365</t>
  </si>
  <si>
    <t xml:space="preserve">2026-06-16</t>
  </si>
  <si>
    <t xml:space="preserve">2031-06-15</t>
  </si>
  <si>
    <t xml:space="preserve">1403973</t>
  </si>
  <si>
    <t xml:space="preserve">2560425</t>
  </si>
  <si>
    <t xml:space="preserve">2026-04-14</t>
  </si>
  <si>
    <t xml:space="preserve">2031-04-13</t>
  </si>
  <si>
    <t xml:space="preserve">2030 Q3</t>
  </si>
  <si>
    <t xml:space="preserve">1408292</t>
  </si>
  <si>
    <t xml:space="preserve">2560540</t>
  </si>
  <si>
    <t xml:space="preserve">2025-11-10</t>
  </si>
  <si>
    <t xml:space="preserve">2030-11-09</t>
  </si>
  <si>
    <t xml:space="preserve">1409292</t>
  </si>
  <si>
    <t xml:space="preserve">2560595</t>
  </si>
  <si>
    <t xml:space="preserve">1409727</t>
  </si>
  <si>
    <t xml:space="preserve">2560633</t>
  </si>
  <si>
    <t xml:space="preserve">2026-04-01</t>
  </si>
  <si>
    <t xml:space="preserve">2031-03-31</t>
  </si>
  <si>
    <t xml:space="preserve">1411773</t>
  </si>
  <si>
    <t xml:space="preserve">2560771</t>
  </si>
  <si>
    <t xml:space="preserve">2026-06-08</t>
  </si>
  <si>
    <t xml:space="preserve">2031-06-07</t>
  </si>
  <si>
    <t xml:space="preserve">1414007</t>
  </si>
  <si>
    <t xml:space="preserve">2560947</t>
  </si>
  <si>
    <t xml:space="preserve">2026-09-02</t>
  </si>
  <si>
    <t xml:space="preserve">2031-09-02</t>
  </si>
  <si>
    <t xml:space="preserve">1424781</t>
  </si>
  <si>
    <t xml:space="preserve">2560977</t>
  </si>
  <si>
    <t xml:space="preserve">2026-03-23</t>
  </si>
  <si>
    <t xml:space="preserve">2031-03-22</t>
  </si>
  <si>
    <t xml:space="preserve">2026-06-01</t>
  </si>
  <si>
    <t xml:space="preserve">1417331</t>
  </si>
  <si>
    <t xml:space="preserve">2561211</t>
  </si>
  <si>
    <t xml:space="preserve">2026-02-26</t>
  </si>
  <si>
    <t xml:space="preserve">2031-02-25</t>
  </si>
  <si>
    <t xml:space="preserve">1097151</t>
  </si>
  <si>
    <t xml:space="preserve">20281</t>
  </si>
  <si>
    <t xml:space="preserve">€12m - Residential Development, Patrickswell</t>
  </si>
  <si>
    <t xml:space="preserve">2021-01-15</t>
  </si>
  <si>
    <t xml:space="preserve">2023-06-09</t>
  </si>
  <si>
    <t xml:space="preserve">1417511</t>
  </si>
  <si>
    <t xml:space="preserve">2561228</t>
  </si>
  <si>
    <t xml:space="preserve">2026-05-06</t>
  </si>
  <si>
    <t xml:space="preserve">2031-05-05</t>
  </si>
  <si>
    <t xml:space="preserve">2026-07-14</t>
  </si>
  <si>
    <t xml:space="preserve">1417746</t>
  </si>
  <si>
    <t xml:space="preserve">2561232</t>
  </si>
  <si>
    <t xml:space="preserve">2026-07-28</t>
  </si>
  <si>
    <t xml:space="preserve">2031-07-27</t>
  </si>
  <si>
    <t xml:space="preserve">1094519</t>
  </si>
  <si>
    <t xml:space="preserve">20222</t>
  </si>
  <si>
    <t xml:space="preserve">€8.9m - Mixed Use Development, 34-41 Catherine Street</t>
  </si>
  <si>
    <t xml:space="preserve">2021-01-06</t>
  </si>
  <si>
    <t xml:space="preserve">2026-01-05</t>
  </si>
  <si>
    <t xml:space="preserve">1417885</t>
  </si>
  <si>
    <t xml:space="preserve">2561242</t>
  </si>
  <si>
    <t xml:space="preserve">2026-06-10</t>
  </si>
  <si>
    <t xml:space="preserve">2031-06-09</t>
  </si>
  <si>
    <t xml:space="preserve">1419374</t>
  </si>
  <si>
    <t xml:space="preserve">2561323</t>
  </si>
  <si>
    <t xml:space="preserve">1414882</t>
  </si>
  <si>
    <t xml:space="preserve">258297</t>
  </si>
  <si>
    <t xml:space="preserve">1422361</t>
  </si>
  <si>
    <t xml:space="preserve">2660063</t>
  </si>
  <si>
    <t xml:space="preserve">1360912</t>
  </si>
  <si>
    <t xml:space="preserve">2660575</t>
  </si>
  <si>
    <t xml:space="preserve">1444384</t>
  </si>
  <si>
    <t xml:space="preserve">2660779</t>
  </si>
  <si>
    <t xml:space="preserve">1439022</t>
  </si>
  <si>
    <t xml:space="preserve">268363</t>
  </si>
  <si>
    <t xml:space="preserve">1438136</t>
  </si>
  <si>
    <t xml:space="preserve">268364</t>
  </si>
  <si>
    <t xml:space="preserve">1431510</t>
  </si>
  <si>
    <t xml:space="preserve">268371</t>
  </si>
  <si>
    <t xml:space="preserve">1010675</t>
  </si>
  <si>
    <t xml:space="preserve">187031</t>
  </si>
  <si>
    <t xml:space="preserve">€11m - Residential Development, Castletroy</t>
  </si>
  <si>
    <t xml:space="preserve">2021-04-12</t>
  </si>
  <si>
    <t xml:space="preserve">1114461</t>
  </si>
  <si>
    <t xml:space="preserve">ABPREF307631</t>
  </si>
  <si>
    <t xml:space="preserve">2020-11-02</t>
  </si>
  <si>
    <t xml:space="preserve">2025-11-01</t>
  </si>
  <si>
    <t xml:space="preserve">2022-08-30</t>
  </si>
  <si>
    <t xml:space="preserve">1139440</t>
  </si>
  <si>
    <t xml:space="preserve">201320</t>
  </si>
  <si>
    <t xml:space="preserve">€3.7m - Residential Development, Newcastle</t>
  </si>
  <si>
    <t xml:space="preserve">2021-04-27</t>
  </si>
  <si>
    <t xml:space="preserve">2026-04-26</t>
  </si>
  <si>
    <t xml:space="preserve">2022-01-26</t>
  </si>
  <si>
    <t xml:space="preserve">1196488</t>
  </si>
  <si>
    <t xml:space="preserve">211475</t>
  </si>
  <si>
    <t xml:space="preserve">€4.9m - Residential Development, Castletroy</t>
  </si>
  <si>
    <t xml:space="preserve">2022-08-15</t>
  </si>
  <si>
    <t xml:space="preserve">1363541</t>
  </si>
  <si>
    <t xml:space="preserve">CE/2019/087</t>
  </si>
  <si>
    <t xml:space="preserve">2024-05-04</t>
  </si>
  <si>
    <t xml:space="preserve">2024-08-19</t>
  </si>
  <si>
    <t xml:space="preserve">1015929</t>
  </si>
  <si>
    <t xml:space="preserve">2019-09-27</t>
  </si>
  <si>
    <t xml:space="preserve">2024-09-27</t>
  </si>
  <si>
    <t xml:space="preserve">1417205</t>
  </si>
  <si>
    <t xml:space="preserve">€1.4m - Architect Led Integrated Design Team for College Avenue Infill Housing Scheme,  Moyross</t>
  </si>
  <si>
    <t xml:space="preserve">1419395</t>
  </si>
  <si>
    <t xml:space="preserve">1422145</t>
  </si>
  <si>
    <t xml:space="preserve">€719k - Architect Led Integrated Design Team Services for 23 Residential Units, Limerick</t>
  </si>
  <si>
    <t xml:space="preserve">1412368</t>
  </si>
  <si>
    <t xml:space="preserve">PT8LL277</t>
  </si>
  <si>
    <t xml:space="preserve">2025-12-15</t>
  </si>
  <si>
    <t xml:space="preserve">1412942</t>
  </si>
  <si>
    <t xml:space="preserve">PT8LL283</t>
  </si>
  <si>
    <t xml:space="preserve">258283</t>
  </si>
  <si>
    <t xml:space="preserve">1033981</t>
  </si>
  <si>
    <t xml:space="preserve">Part 8 / 1033981</t>
  </si>
  <si>
    <t xml:space="preserve">188003</t>
  </si>
  <si>
    <t xml:space="preserve">2019-08-27</t>
  </si>
  <si>
    <t xml:space="preserve">1063948</t>
  </si>
  <si>
    <t xml:space="preserve">Part 8 - 1063948</t>
  </si>
  <si>
    <t xml:space="preserve">2019-12-06</t>
  </si>
  <si>
    <t xml:space="preserve">2021-04-22</t>
  </si>
  <si>
    <t xml:space="preserve">1248404</t>
  </si>
  <si>
    <t xml:space="preserve">Part 8 - 1248404</t>
  </si>
  <si>
    <t xml:space="preserve">2023-01-24</t>
  </si>
  <si>
    <t xml:space="preserve">1264155</t>
  </si>
  <si>
    <t xml:space="preserve">Part 8 - 1264155</t>
  </si>
  <si>
    <t xml:space="preserve">1316160</t>
  </si>
  <si>
    <t xml:space="preserve">Part 8 - 1316160</t>
  </si>
  <si>
    <t xml:space="preserve">1345677</t>
  </si>
  <si>
    <t xml:space="preserve">Part 8 - 1345677</t>
  </si>
  <si>
    <t xml:space="preserve">2024-11-18</t>
  </si>
  <si>
    <t xml:space="preserve">1363543</t>
  </si>
  <si>
    <t xml:space="preserve">Part 8 - 1363543</t>
  </si>
  <si>
    <t xml:space="preserve">1371977</t>
  </si>
  <si>
    <t xml:space="preserve">Part 8 - 1371977</t>
  </si>
  <si>
    <t xml:space="preserve">2025-01-20</t>
  </si>
  <si>
    <t xml:space="preserve">1378081</t>
  </si>
  <si>
    <t xml:space="preserve">Part 8 - 1378081</t>
  </si>
  <si>
    <t xml:space="preserve">1378805</t>
  </si>
  <si>
    <t xml:space="preserve">Part 8 - 1378805</t>
  </si>
  <si>
    <t xml:space="preserve">1392454</t>
  </si>
  <si>
    <t xml:space="preserve">Part 8 - 1392454</t>
  </si>
  <si>
    <t xml:space="preserve">2024-10-04</t>
  </si>
  <si>
    <t xml:space="preserve">2026-05-08</t>
  </si>
  <si>
    <t xml:space="preserve">No</t>
  </si>
  <si>
    <t xml:space="preserve">GeoDirectory checks</t>
  </si>
  <si>
    <t xml:space="preserve">GeoDirectory residential addresses, extract to 2026-06-09. Counts only; no address data is held in this workbook.</t>
  </si>
  <si>
    <t xml:space="preserve">1. Permissions where GeoDirectory and the recorded status differ</t>
  </si>
  <si>
    <t xml:space="preserve">2. Clusters of new addresses (since 2019) outside every parcel</t>
  </si>
  <si>
    <t xml:space="preserve">cluster_id</t>
  </si>
  <si>
    <t xml:space="preserve">relevance</t>
  </si>
  <si>
    <t xml:space="preserve">new_addresses</t>
  </si>
  <si>
    <t xml:space="preserve">built</t>
  </si>
  <si>
    <t xml:space="preserve">under_construction</t>
  </si>
  <si>
    <t xml:space="preserve">streets</t>
  </si>
  <si>
    <t xml:space="preserve">first_created</t>
  </si>
  <si>
    <t xml:space="preserve">last_created</t>
  </si>
  <si>
    <t xml:space="preserve">register_applications</t>
  </si>
  <si>
    <t xml:space="preserve">GD-003</t>
  </si>
  <si>
    <t xml:space="preserve">Recent or active build – check for a missing permission</t>
  </si>
  <si>
    <t xml:space="preserve">MÓINÉIR, CLONMACKEN ROAD</t>
  </si>
  <si>
    <t xml:space="preserve">2020-12-01</t>
  </si>
  <si>
    <t xml:space="preserve">2024-10-15</t>
  </si>
  <si>
    <t xml:space="preserve">17470 (110), 24316 (2), 211286 (2)</t>
  </si>
  <si>
    <t xml:space="preserve">GD-004</t>
  </si>
  <si>
    <t xml:space="preserve">CAMOGE PARK, GATEWAY PARK</t>
  </si>
  <si>
    <t xml:space="preserve">2020-03-12</t>
  </si>
  <si>
    <t xml:space="preserve">2025-01-23</t>
  </si>
  <si>
    <t xml:space="preserve">19717 (56), 171194 (3), 1791 (2), 2079 (2), 21131 (2)</t>
  </si>
  <si>
    <t xml:space="preserve">GD-007</t>
  </si>
  <si>
    <t xml:space="preserve">NEWTOWN MANOR</t>
  </si>
  <si>
    <t xml:space="preserve">2021-09-08</t>
  </si>
  <si>
    <t xml:space="preserve">2360258 (78), 181104 (43), 18698 (38), 20256 (31), 21350 (28)</t>
  </si>
  <si>
    <t xml:space="preserve">GD-016</t>
  </si>
  <si>
    <t xml:space="preserve">, HASSETT'S VILLAS</t>
  </si>
  <si>
    <t xml:space="preserve">2019-02-13</t>
  </si>
  <si>
    <t xml:space="preserve">2024-03-12</t>
  </si>
  <si>
    <t xml:space="preserve">GD-017</t>
  </si>
  <si>
    <t xml:space="preserve">THE ORCHARD, MAIN STREET, SUMMERVILLE DRIVE</t>
  </si>
  <si>
    <t xml:space="preserve">2019-12-02</t>
  </si>
  <si>
    <t xml:space="preserve">17645 (16), 19553 (4)</t>
  </si>
  <si>
    <t xml:space="preserve">GD-018</t>
  </si>
  <si>
    <t xml:space="preserve">SAINT ITA STREET, SAINT COLUMCILLE STREET, SAINT BRENDAN STREET</t>
  </si>
  <si>
    <t xml:space="preserve">2019-08-22</t>
  </si>
  <si>
    <t xml:space="preserve">GD-019</t>
  </si>
  <si>
    <t xml:space="preserve">DELMEGE PARK</t>
  </si>
  <si>
    <t xml:space="preserve">2022-09-02</t>
  </si>
  <si>
    <t xml:space="preserve">2025-02-19</t>
  </si>
  <si>
    <t xml:space="preserve">GD-023</t>
  </si>
  <si>
    <t xml:space="preserve">OAK AVENUE</t>
  </si>
  <si>
    <t xml:space="preserve">2024-02-20</t>
  </si>
  <si>
    <t xml:space="preserve">198010 (31), 19684 (17)</t>
  </si>
  <si>
    <t xml:space="preserve">GD-024</t>
  </si>
  <si>
    <t xml:space="preserve">NORTH CIRCULAR ROAD</t>
  </si>
  <si>
    <t xml:space="preserve">2019-12-03</t>
  </si>
  <si>
    <t xml:space="preserve">GD-027</t>
  </si>
  <si>
    <t xml:space="preserve">DE VERE COURT</t>
  </si>
  <si>
    <t xml:space="preserve">2025-01-28</t>
  </si>
  <si>
    <t xml:space="preserve">GD-001</t>
  </si>
  <si>
    <t xml:space="preserve">Built before the tracker window – history only</t>
  </si>
  <si>
    <t xml:space="preserve">BAUNACLOKA HEIGHTS, THE GRANGE</t>
  </si>
  <si>
    <t xml:space="preserve">2019-03-11</t>
  </si>
  <si>
    <t xml:space="preserve">211216 (72), 211217 (62), 201195 (35)</t>
  </si>
  <si>
    <t xml:space="preserve">GD-002</t>
  </si>
  <si>
    <t xml:space="preserve">ABBEY VIEW, ABBEY SQUARE, ABBEY WAY</t>
  </si>
  <si>
    <t xml:space="preserve">2019-01-29</t>
  </si>
  <si>
    <t xml:space="preserve">2023-11-10</t>
  </si>
  <si>
    <t xml:space="preserve">19991 (10), 19990 (8), 21532 (7), 17940 (3)</t>
  </si>
  <si>
    <t xml:space="preserve">GD-005</t>
  </si>
  <si>
    <t xml:space="preserve">KYLEMORE</t>
  </si>
  <si>
    <t xml:space="preserve">2019-03-12</t>
  </si>
  <si>
    <t xml:space="preserve">2021-09-03</t>
  </si>
  <si>
    <t xml:space="preserve">2360842 (122), 1818 (33)</t>
  </si>
  <si>
    <t xml:space="preserve">GD-006</t>
  </si>
  <si>
    <t xml:space="preserve">BLOOMFIELD</t>
  </si>
  <si>
    <t xml:space="preserve">2020-03-09</t>
  </si>
  <si>
    <t xml:space="preserve">191073 (5)</t>
  </si>
  <si>
    <t xml:space="preserve">GD-008</t>
  </si>
  <si>
    <t xml:space="preserve">NEWTOWN MEADOWS</t>
  </si>
  <si>
    <t xml:space="preserve">2023-03-07</t>
  </si>
  <si>
    <t xml:space="preserve">2023-05-15</t>
  </si>
  <si>
    <t xml:space="preserve">191236 (92), 19547 (90), 211152 (89), 211400 (26)</t>
  </si>
  <si>
    <t xml:space="preserve">GD-009</t>
  </si>
  <si>
    <t xml:space="preserve">CLUAIN AOIBH, COIS CARRAIG</t>
  </si>
  <si>
    <t xml:space="preserve">2020-03-10</t>
  </si>
  <si>
    <t xml:space="preserve">17977 (8)</t>
  </si>
  <si>
    <t xml:space="preserve">GD-010</t>
  </si>
  <si>
    <t xml:space="preserve">CHURCHFIELD</t>
  </si>
  <si>
    <t xml:space="preserve">2023-12-06</t>
  </si>
  <si>
    <t xml:space="preserve">GD-011</t>
  </si>
  <si>
    <t xml:space="preserve">MANOR BROOK</t>
  </si>
  <si>
    <t xml:space="preserve">2021-08-09</t>
  </si>
  <si>
    <t xml:space="preserve">19234 (40)</t>
  </si>
  <si>
    <t xml:space="preserve">GD-012</t>
  </si>
  <si>
    <t xml:space="preserve">THE AVENUE, THE MEADOWS</t>
  </si>
  <si>
    <t xml:space="preserve">2019-06-28</t>
  </si>
  <si>
    <t xml:space="preserve">2020-11-24</t>
  </si>
  <si>
    <t xml:space="preserve">17465 (56), 18619 (17), 18415 (11), 18618 (3)</t>
  </si>
  <si>
    <t xml:space="preserve">GD-013</t>
  </si>
  <si>
    <t xml:space="preserve">GLEN GROVE</t>
  </si>
  <si>
    <t xml:space="preserve">2021-09-09</t>
  </si>
  <si>
    <t xml:space="preserve">2022-03-03</t>
  </si>
  <si>
    <t xml:space="preserve">17926 (33)</t>
  </si>
  <si>
    <t xml:space="preserve">GD-014</t>
  </si>
  <si>
    <t xml:space="preserve">WOODFIELD MANOR</t>
  </si>
  <si>
    <t xml:space="preserve">2022-05-16</t>
  </si>
  <si>
    <t xml:space="preserve">21531 (63), 17375 (60), 201380 (30)</t>
  </si>
  <si>
    <t xml:space="preserve">GD-015</t>
  </si>
  <si>
    <t xml:space="preserve">COSGRAVE PARK</t>
  </si>
  <si>
    <t xml:space="preserve">2022-12-06</t>
  </si>
  <si>
    <t xml:space="preserve">2023-03-09</t>
  </si>
  <si>
    <t xml:space="preserve">GD-020</t>
  </si>
  <si>
    <t xml:space="preserve">TOORMORE</t>
  </si>
  <si>
    <t xml:space="preserve">2020-12-09</t>
  </si>
  <si>
    <t xml:space="preserve">17939 (20), 18809 (16)</t>
  </si>
  <si>
    <t xml:space="preserve">GD-021</t>
  </si>
  <si>
    <t xml:space="preserve">OLD DUBLIN ROAD</t>
  </si>
  <si>
    <t xml:space="preserve">2021-09-14</t>
  </si>
  <si>
    <t xml:space="preserve">GD-022</t>
  </si>
  <si>
    <t xml:space="preserve">TEMPLEVILLE</t>
  </si>
  <si>
    <t xml:space="preserve">171040 (2)</t>
  </si>
  <si>
    <t xml:space="preserve">GD-025</t>
  </si>
  <si>
    <t xml:space="preserve">REDGATE CLOSE</t>
  </si>
  <si>
    <t xml:space="preserve">1771 (11)</t>
  </si>
  <si>
    <t xml:space="preserve">GD-026</t>
  </si>
  <si>
    <t xml:space="preserve">WOODLAWN CLOSE</t>
  </si>
  <si>
    <t xml:space="preserve">2019-11-29</t>
  </si>
  <si>
    <t xml:space="preserve">GD-028</t>
  </si>
  <si>
    <t xml:space="preserve">FOX HOLLOW</t>
  </si>
  <si>
    <t xml:space="preserve">2019-09-09</t>
  </si>
  <si>
    <t xml:space="preserve">19627 (2)</t>
  </si>
  <si>
    <t xml:space="preserve">table</t>
  </si>
  <si>
    <t xml:space="preserve">field</t>
  </si>
  <si>
    <t xml:space="preserve">meaning</t>
  </si>
  <si>
    <t xml:space="preserve">parcels</t>
  </si>
  <si>
    <t xml:space="preserve">Unique parcel key. CITY-&lt;rsca&gt; for council audit parcels; PC-&lt;planning ref&gt; for consent parcels outside the audit. Never reuse a retired id.</t>
  </si>
  <si>
    <t xml:space="preserve">Council audit / Council audit – reinstated / Planning consent – not in council audit / Zoned land – no consent (estimate: new residential zoning outside every other parcel and not built on, until the county audit replaces it). County audit parcels: Council audit – county.</t>
  </si>
  <si>
    <t xml:space="preserve">City or County.</t>
  </si>
  <si>
    <t xml:space="preserve">Council audit reference (audit parcels only).</t>
  </si>
  <si>
    <t xml:space="preserve">Homes the parcel can take: council estimate on audit parcels, zoning estimate on zoned-land parcels. Blank on consent parcels: their capacity is the consented units.</t>
  </si>
  <si>
    <t xml:space="preserve">How capacity is set.</t>
  </si>
  <si>
    <t xml:space="preserve">Audit parcels: the council’s net developable area, the basis of its capacity estimate. Consent parcels: mapped area.</t>
  </si>
  <si>
    <t xml:space="preserve">Area of the polygon as drawn. Larger than the developable area where the council netted off roads, open space or constrained land.</t>
  </si>
  <si>
    <t xml:space="preserve">Status in the council audit file (audit parcels).</t>
  </si>
  <si>
    <t xml:space="preserve">plan_name / zone_gzt / zoning / phase</t>
  </si>
  <si>
    <t xml:space="preserve">Zoned-land parcels: development plan or LAP, national zoning type, plan zoning name, and Phase 2 flag.</t>
  </si>
  <si>
    <t xml:space="preserve">density_tier / density_dph / density_basis</t>
  </si>
  <si>
    <t xml:space="preserve">Zoned-land parcels: area type, homes per hectare used, and where the figure comes from (Limerick permitted schemes).</t>
  </si>
  <si>
    <t xml:space="preserve">Share of the parcel on the Residential Zoned Land Tax draft map 2027 (land the council considers serviced and vacant or idle).</t>
  </si>
  <si>
    <t xml:space="preserve">geod_addresses_now / geod_new_since_2019 / geod_extract</t>
  </si>
  <si>
    <t xml:space="preserve">GeoDirectory residential addresses inside the parcel now / created since 2019, and the extract date. A rise on a parcel with no permission means building without a linked consent.</t>
  </si>
  <si>
    <t xml:space="preserve">catchment / catchment_type / catchment_share / catchment_basis</t>
  </si>
  <si>
    <t xml:space="preserve">Study catchment the parcel overlaps most and the share inside it. Parcels outside every catchment go to a key town or large village when zoned in its local area plan, within 500 m of it, or named in the scheme and within 2 km (catchment_share 0, catchment_basis says which). Otherwise Rest of county.</t>
  </si>
  <si>
    <t xml:space="preserve">Why a parcel was reinstated, matched approximately, or needs checking.</t>
  </si>
  <si>
    <t xml:space="preserve">last_reviewed / reviewed_by</t>
  </si>
  <si>
    <t xml:space="preserve">Update on each review.</t>
  </si>
  <si>
    <t xml:space="preserve">parcel_permissions</t>
  </si>
  <si>
    <t xml:space="preserve">Unique permission key (CIS project id or REG-&lt;ref&gt;). One row per permission.</t>
  </si>
  <si>
    <t xml:space="preserve">The one parcel this permission sits on. Must exist in parcels.</t>
  </si>
  <si>
    <t xml:space="preserve">Homes in this permission as counted (after amendments and repeats are removed). PBSA: units as recorded, bedspaces separate.</t>
  </si>
  <si>
    <t xml:space="preserve">Complete / Under construction / Permitted – not started / Stalled / Expired – not started / In planning.</t>
  </si>
  <si>
    <t xml:space="preserve">Yes for the permission being counted. Set to No when a later permission replaces it on the same land (keep the row for the record).</t>
  </si>
  <si>
    <t xml:space="preserve">How the permission relates to others on the land (primary, additional phase, additional application, replaces earlier, extension of duration).</t>
  </si>
  <si>
    <t xml:space="preserve">est_start / est_last_completions / confidence / est_*</t>
  </si>
  <si>
    <t xml:space="preserve">Estimated delivery years (method on the dashboard Assumptions sheet). Update when programmes are known.</t>
  </si>
  <si>
    <t xml:space="preserve">Within site (boundary or point on an audit parcel); Mostly on audit parcel; Own consent parcel.</t>
  </si>
  <si>
    <t xml:space="preserve">status_cis / status_source</t>
  </si>
  <si>
    <t xml:space="preserve">Status as CIS and building control give it, and where the current status comes from. GeoDirectory moves a scheme to Complete when new built addresses reach 95% of its units.</t>
  </si>
  <si>
    <t xml:space="preserve">geod_new_built / geod_new_undercon</t>
  </si>
  <si>
    <t xml:space="preserve">GeoDirectory residential addresses created since the application was received (for an extension of duration, since 1 January of the parent permission year), inside the permission boundary and its parcel: built / flagged under construction. Each address credited to one permission.</t>
  </si>
  <si>
    <t xml:space="preserve">geod_extract / geod_suggestion</t>
  </si>
  <si>
    <t xml:space="preserve">Date of the latest address in the GeoDirectory extract used, and what it suggests (applied, or check).</t>
  </si>
  <si>
    <t xml:space="preserve">mix_source / mix_studio … mix_5plus</t>
  </si>
  <si>
    <t xml:space="preserve">Bedroom mix of the permission and where it comes from (CIS, register description, or planning file documents such as planner’s reports and schedules of accommodation). Blank where not known.</t>
  </si>
  <si>
    <t xml:space="preserve">parcel_summary</t>
  </si>
  <si>
    <t xml:space="preserve">mix_* / units_with_known_mix</t>
  </si>
  <si>
    <t xml:space="preserve">Bedroom mix summed over the parcel’s counted permissions, and the units it covers (the rest have no known mix).</t>
  </si>
  <si>
    <t xml:space="preserve">Of the built addresses credited to the permission, how many GeoDirectory marks vacant.</t>
  </si>
  <si>
    <t xml:space="preserve">Indicative homes for the parcel from its area x the local median density of permitted Limerick schemes (density_tier, density_dph). Filled for every parcel so all land can be compared on one basis. Not used in the supply totals; on consent parcels the consented units are the figure that counts.</t>
  </si>
  <si>
    <t xml:space="preserve">The unit figure the parcel is planned on: council or zoning capacity where there is one, otherwise the consented units. Always filled where the parcel has units.</t>
  </si>
  <si>
    <t xml:space="preserve">active_parcels</t>
  </si>
  <si>
    <t xml:space="preserve">(all fields)</t>
  </si>
  <si>
    <t xml:space="preserve">parcel_summary without Finished parcels: the land still to deliver homes. Use this layer for maps of future supply.</t>
  </si>
  <si>
    <t xml:space="preserve">Finished (every counted home complete and no unconsented capacity left), Partly built, Consented – not built, No consent. Finished parcels stay in the file as delivery history with zero future supply; the active_parcels layer leaves them out.</t>
  </si>
  <si>
    <t xml:space="preserve">Homes built to date: all units of a completed scheme, otherwise the GeoDirectory built count (so part-built schemes are netted off future supply).</t>
  </si>
  <si>
    <t xml:space="preserve">built_units / future_supply_units</t>
  </si>
  <si>
    <t xml:space="preserve">Homes built to date on the parcel, and total supply minus homes built.</t>
  </si>
  <si>
    <t xml:space="preserve">Complete + under construction + permitted not started + stalled, from parcel_permissions where counts_toward_totals = Yes.</t>
  </si>
  <si>
    <t xml:space="preserve">Council capacity minus consented units, not below zero. Zero on consent parcels.</t>
  </si>
  <si>
    <t xml:space="preserve">Consented units + unconsented capacity. Sums across parcels with no double counting.</t>
  </si>
  <si>
    <t xml:space="preserve">rules</t>
  </si>
  <si>
    <t xml:space="preserve">One permission, one parcel</t>
  </si>
  <si>
    <t xml:space="preserve">Each permission row has exactly one parcel_id; parcels never overlap; totals are calculated, not typed.</t>
  </si>
  <si>
    <t xml:space="preserve">New permission</t>
  </si>
  <si>
    <t xml:space="preserve">Add a row to parcel_permissions. If it is on an existing parcel, use that parcel_id. If not, draw a parcel from the planning boundary (clipped to exclude existing parcels) with id PC-&lt;ref&gt;.</t>
  </si>
  <si>
    <t xml:space="preserve">Amendment / repeat / extension</t>
  </si>
  <si>
    <t xml:space="preserve">Add the row with counts_toward_totals = No unless it replaces the counted permission, in which case switch the old row to No and the new row to Yes.</t>
  </si>
  <si>
    <t xml:space="preserve">GeoDirectory refresh</t>
  </si>
  <si>
    <t xml:space="preserve">Each quarter: rerun the build with the new extract. Schemes reaching 95% built addresses move to Complete; partial ones and mismatches show in register_checks for a person to confirm.</t>
  </si>
  <si>
    <t xml:space="preserve">Zoned-land parcels</t>
  </si>
  <si>
    <t xml:space="preserve">Interim estimates. When a permission is granted on one, draw the consent parcel and cut it out of the zoned parcel (or link the permission to it if it covers it). Replace them with county audit parcels when the audit arrives.</t>
  </si>
  <si>
    <t xml:space="preserve">Do not delete. A parcel is Finished when all its counted homes are complete (CIS, or GeoDirectory addresses reach the unit count) and no council capacity is left; it drops out of active_parcels. Delete only a parcel created in error.</t>
  </si>
  <si>
    <t xml:space="preserve">Refused / withdrawn</t>
  </si>
  <si>
    <t xml:space="preserve">Do not add to parcel_permissions. Record land interest in notes if useful.</t>
  </si>
</sst>
</file>

<file path=xl/styles.xml><?xml version="1.0" encoding="utf-8"?>
<styleSheet xmlns="http://schemas.openxmlformats.org/spreadsheetml/2006/main">
  <numFmts count="3">
    <numFmt numFmtId="164" formatCode="General"/>
    <numFmt numFmtId="165" formatCode="#,##0"/>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9"/>
      <name val="Arial"/>
      <family val="0"/>
      <charset val="1"/>
    </font>
    <font>
      <b val="true"/>
      <sz val="11"/>
      <color rgb="FF1F3A5F"/>
      <name val="Arial"/>
      <family val="0"/>
      <charset val="1"/>
    </font>
    <font>
      <b val="true"/>
      <sz val="9"/>
      <color rgb="FFFFFFFF"/>
      <name val="Arial"/>
      <family val="0"/>
      <charset val="1"/>
    </font>
    <font>
      <sz val="10"/>
      <name val="Arial"/>
      <family val="0"/>
      <charset val="1"/>
    </font>
    <font>
      <b val="true"/>
      <sz val="10"/>
      <name val="Arial"/>
      <family val="0"/>
      <charset val="1"/>
    </font>
    <font>
      <sz val="9"/>
      <name val="Arial"/>
      <family val="0"/>
      <charset val="1"/>
    </font>
    <font>
      <b val="true"/>
      <sz val="9"/>
      <name val="Arial"/>
      <family val="0"/>
      <charset val="1"/>
    </font>
    <font>
      <sz val="9"/>
      <color rgb="FF000000"/>
      <name val="Arial"/>
      <family val="0"/>
      <charset val="1"/>
    </font>
    <font>
      <b val="true"/>
      <sz val="9"/>
      <color rgb="FF000000"/>
      <name val="Arial"/>
      <family val="0"/>
      <charset val="1"/>
    </font>
    <font>
      <b val="true"/>
      <sz val="9"/>
      <color rgb="FF9C0006"/>
      <name val="Arial"/>
      <family val="0"/>
      <charset val="1"/>
    </font>
    <font>
      <b val="true"/>
      <sz val="11"/>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DCE4EE"/>
        <bgColor rgb="FFEEF2F7"/>
      </patternFill>
    </fill>
    <fill>
      <patternFill patternType="solid">
        <fgColor rgb="FF4F6F94"/>
        <bgColor rgb="FF808080"/>
      </patternFill>
    </fill>
    <fill>
      <patternFill patternType="solid">
        <fgColor rgb="FFEEF2F7"/>
        <bgColor rgb="FFFFFFFF"/>
      </patternFill>
    </fill>
  </fills>
  <borders count="2">
    <border diagonalUp="false" diagonalDown="false">
      <left/>
      <right/>
      <top/>
      <bottom/>
      <diagonal/>
    </border>
    <border diagonalUp="false" diagonalDown="false">
      <left/>
      <right/>
      <top/>
      <bottom style="thin">
        <color rgb="FFB7C3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5" fontId="12" fillId="5" borderId="0" xfId="0" applyFont="true" applyBorder="false" applyAlignment="false" applyProtection="false">
      <alignment horizontal="general" vertical="bottom" textRotation="0" wrapText="false" indent="0" shrinkToFit="false"/>
      <protection locked="true" hidden="false"/>
    </xf>
    <xf numFmtId="165" fontId="13" fillId="5" borderId="0" xfId="0" applyFont="true" applyBorder="false" applyAlignment="false" applyProtection="false">
      <alignment horizontal="general" vertical="bottom" textRotation="0" wrapText="false" indent="0" shrinkToFit="false"/>
      <protection locked="true" hidden="false"/>
    </xf>
    <xf numFmtId="166" fontId="12" fillId="5"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5" fontId="14" fillId="5"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F8D7DA"/>
        </patternFill>
      </fill>
    </dxf>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4F6F94"/>
          <bgColor rgb="FF000000"/>
        </patternFill>
      </fill>
    </dxf>
    <dxf>
      <fill>
        <patternFill patternType="solid">
          <fgColor rgb="FFEEF2F7"/>
          <bgColor rgb="FF000000"/>
        </patternFill>
      </fill>
    </dxf>
    <dxf>
      <fill>
        <patternFill patternType="solid">
          <fgColor rgb="FF000000"/>
          <bgColor rgb="FF000000"/>
        </patternFill>
      </fill>
    </dxf>
    <dxf>
      <fill>
        <patternFill patternType="solid">
          <fgColor rgb="FFF8D7DA"/>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C3D0"/>
      <rgbColor rgb="FF808080"/>
      <rgbColor rgb="FF9999FF"/>
      <rgbColor rgb="FF993366"/>
      <rgbColor rgb="FFEEF2F7"/>
      <rgbColor rgb="FFCCFFFF"/>
      <rgbColor rgb="FF660066"/>
      <rgbColor rgb="FFFF8080"/>
      <rgbColor rgb="FF0066CC"/>
      <rgbColor rgb="FFDCE4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4F6F94"/>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9" min="2"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2.35" hidden="false" customHeight="false" outlineLevel="0" collapsed="false">
      <c r="A5" s="4"/>
      <c r="B5" s="4" t="s">
        <v>3</v>
      </c>
      <c r="C5" s="4" t="s">
        <v>4</v>
      </c>
      <c r="D5" s="4" t="s">
        <v>5</v>
      </c>
      <c r="E5" s="4" t="s">
        <v>6</v>
      </c>
      <c r="F5" s="4" t="s">
        <v>7</v>
      </c>
      <c r="G5" s="4" t="s">
        <v>8</v>
      </c>
      <c r="H5" s="4" t="s">
        <v>9</v>
      </c>
    </row>
    <row r="6" customFormat="false" ht="15" hidden="false" customHeight="false" outlineLevel="0" collapsed="false">
      <c r="A6" s="5" t="s">
        <v>10</v>
      </c>
      <c r="B6" s="6" t="n">
        <f aca="false">COUNTIFS(Parcels!$B$2:$B$3000,$A6)</f>
        <v>131</v>
      </c>
      <c r="C6" s="7" t="n">
        <f aca="false">SUMIFS(Parcels!$P$2:$P$3000,Parcels!$B$2:$B$3000,$A6)</f>
        <v>313.164</v>
      </c>
      <c r="D6" s="6" t="n">
        <f aca="false">SUMIFS(Parcels!$AM$2:$AM$3000,Parcels!$B$2:$B$3000,$A6)</f>
        <v>5225</v>
      </c>
      <c r="E6" s="6" t="n">
        <f aca="false">SUMIFS(Parcels!$AR$2:$AR$3000,Parcels!$B$2:$B$3000,$A6)</f>
        <v>227</v>
      </c>
      <c r="F6" s="6" t="n">
        <f aca="false">SUMIFS(Parcels!$AP$2:$AP$3000,Parcels!$B$2:$B$3000,$A6)</f>
        <v>10104</v>
      </c>
      <c r="G6" s="6" t="n">
        <f aca="false">SUMIFS(Parcels!$AQ$2:$AQ$3000,Parcels!$B$2:$B$3000,$A6)</f>
        <v>15329</v>
      </c>
      <c r="H6" s="6" t="n">
        <f aca="false">SUMIFS(Parcels!$AS$2:$AS$3000,Parcels!$B$2:$B$3000,$A6)</f>
        <v>15102</v>
      </c>
    </row>
    <row r="7" customFormat="false" ht="15" hidden="false" customHeight="false" outlineLevel="0" collapsed="false">
      <c r="A7" s="5" t="s">
        <v>11</v>
      </c>
      <c r="B7" s="6" t="n">
        <f aca="false">COUNTIFS(Parcels!$B$2:$B$3000,$A7)</f>
        <v>3</v>
      </c>
      <c r="C7" s="7" t="n">
        <f aca="false">SUMIFS(Parcels!$P$2:$P$3000,Parcels!$B$2:$B$3000,$A7)</f>
        <v>3.993</v>
      </c>
      <c r="D7" s="6" t="n">
        <f aca="false">SUMIFS(Parcels!$AM$2:$AM$3000,Parcels!$B$2:$B$3000,$A7)</f>
        <v>27</v>
      </c>
      <c r="E7" s="6" t="n">
        <f aca="false">SUMIFS(Parcels!$AR$2:$AR$3000,Parcels!$B$2:$B$3000,$A7)</f>
        <v>0</v>
      </c>
      <c r="F7" s="6" t="n">
        <f aca="false">SUMIFS(Parcels!$AP$2:$AP$3000,Parcels!$B$2:$B$3000,$A7)</f>
        <v>138</v>
      </c>
      <c r="G7" s="6" t="n">
        <f aca="false">SUMIFS(Parcels!$AQ$2:$AQ$3000,Parcels!$B$2:$B$3000,$A7)</f>
        <v>165</v>
      </c>
      <c r="H7" s="6" t="n">
        <f aca="false">SUMIFS(Parcels!$AS$2:$AS$3000,Parcels!$B$2:$B$3000,$A7)</f>
        <v>165</v>
      </c>
    </row>
    <row r="8" customFormat="false" ht="15" hidden="false" customHeight="false" outlineLevel="0" collapsed="false">
      <c r="A8" s="5" t="s">
        <v>12</v>
      </c>
      <c r="B8" s="6" t="n">
        <f aca="false">COUNTIFS(Parcels!$B$2:$B$3000,$A8)</f>
        <v>184</v>
      </c>
      <c r="C8" s="7" t="n">
        <f aca="false">SUMIFS(Parcels!$P$2:$P$3000,Parcels!$B$2:$B$3000,$A8)</f>
        <v>216.101</v>
      </c>
      <c r="D8" s="6" t="n">
        <f aca="false">SUMIFS(Parcels!$AM$2:$AM$3000,Parcels!$B$2:$B$3000,$A8)</f>
        <v>5204</v>
      </c>
      <c r="E8" s="6" t="n">
        <f aca="false">SUMIFS(Parcels!$AR$2:$AR$3000,Parcels!$B$2:$B$3000,$A8)</f>
        <v>1999</v>
      </c>
      <c r="F8" s="6" t="n">
        <f aca="false">SUMIFS(Parcels!$AP$2:$AP$3000,Parcels!$B$2:$B$3000,$A8)</f>
        <v>195</v>
      </c>
      <c r="G8" s="6" t="n">
        <f aca="false">SUMIFS(Parcels!$AQ$2:$AQ$3000,Parcels!$B$2:$B$3000,$A8)</f>
        <v>5399</v>
      </c>
      <c r="H8" s="6" t="n">
        <f aca="false">SUMIFS(Parcels!$AS$2:$AS$3000,Parcels!$B$2:$B$3000,$A8)</f>
        <v>3400</v>
      </c>
    </row>
    <row r="9" customFormat="false" ht="15" hidden="false" customHeight="false" outlineLevel="0" collapsed="false">
      <c r="A9" s="5" t="s">
        <v>13</v>
      </c>
      <c r="B9" s="6" t="n">
        <f aca="false">COUNTIFS(Parcels!$B$2:$B$3000,$A9)</f>
        <v>88</v>
      </c>
      <c r="C9" s="7" t="n">
        <f aca="false">SUMIFS(Parcels!$P$2:$P$3000,Parcels!$B$2:$B$3000,$A9)</f>
        <v>118.343</v>
      </c>
      <c r="D9" s="6" t="n">
        <f aca="false">SUMIFS(Parcels!$AM$2:$AM$3000,Parcels!$B$2:$B$3000,$A9)</f>
        <v>0</v>
      </c>
      <c r="E9" s="6" t="n">
        <f aca="false">SUMIFS(Parcels!$AR$2:$AR$3000,Parcels!$B$2:$B$3000,$A9)</f>
        <v>0</v>
      </c>
      <c r="F9" s="6" t="n">
        <f aca="false">SUMIFS(Parcels!$AP$2:$AP$3000,Parcels!$B$2:$B$3000,$A9)</f>
        <v>2805</v>
      </c>
      <c r="G9" s="6" t="n">
        <f aca="false">SUMIFS(Parcels!$AQ$2:$AQ$3000,Parcels!$B$2:$B$3000,$A9)</f>
        <v>2805</v>
      </c>
      <c r="H9" s="6" t="n">
        <f aca="false">SUMIFS(Parcels!$AS$2:$AS$3000,Parcels!$B$2:$B$3000,$A9)</f>
        <v>2805</v>
      </c>
    </row>
    <row r="10" customFormat="false" ht="15" hidden="false" customHeight="false" outlineLevel="0" collapsed="false">
      <c r="A10" s="8" t="s">
        <v>14</v>
      </c>
      <c r="B10" s="9" t="n">
        <f aca="false">SUM(B6:B9)</f>
        <v>406</v>
      </c>
      <c r="C10" s="10" t="n">
        <f aca="false">SUM(C6:C9)</f>
        <v>651.601</v>
      </c>
      <c r="D10" s="9" t="n">
        <f aca="false">SUM(D6:D9)</f>
        <v>10456</v>
      </c>
      <c r="E10" s="9" t="n">
        <f aca="false">SUM(E6:E9)</f>
        <v>2226</v>
      </c>
      <c r="F10" s="9" t="n">
        <f aca="false">SUM(F6:F9)</f>
        <v>13242</v>
      </c>
      <c r="G10" s="9" t="n">
        <f aca="false">SUM(G6:G9)</f>
        <v>23698</v>
      </c>
      <c r="H10" s="9" t="n">
        <f aca="false">SUM(H6:H9)</f>
        <v>21472</v>
      </c>
    </row>
    <row r="12" customFormat="false" ht="15" hidden="false" customHeight="false" outlineLevel="0" collapsed="false">
      <c r="A12" s="3" t="s">
        <v>15</v>
      </c>
    </row>
    <row r="13" customFormat="false" ht="22.35" hidden="false" customHeight="false" outlineLevel="0" collapsed="false">
      <c r="A13" s="4"/>
      <c r="B13" s="4" t="s">
        <v>3</v>
      </c>
      <c r="C13" s="4" t="s">
        <v>4</v>
      </c>
      <c r="D13" s="4" t="s">
        <v>5</v>
      </c>
      <c r="E13" s="4" t="s">
        <v>6</v>
      </c>
      <c r="F13" s="4" t="s">
        <v>7</v>
      </c>
      <c r="G13" s="4" t="s">
        <v>8</v>
      </c>
      <c r="H13" s="4" t="s">
        <v>9</v>
      </c>
    </row>
    <row r="14" customFormat="false" ht="15" hidden="false" customHeight="false" outlineLevel="0" collapsed="false">
      <c r="A14" s="5" t="s">
        <v>16</v>
      </c>
      <c r="B14" s="6" t="n">
        <f aca="false">COUNTIFS(Parcels!$C$2:$C$3000,$A14)</f>
        <v>241</v>
      </c>
      <c r="C14" s="7" t="n">
        <f aca="false">SUMIFS(Parcels!$P$2:$P$3000,Parcels!$C$2:$C$3000,$A14)</f>
        <v>420.728</v>
      </c>
      <c r="D14" s="6" t="n">
        <f aca="false">SUMIFS(Parcels!$AM$2:$AM$3000,Parcels!$C$2:$C$3000,$A14)</f>
        <v>8543</v>
      </c>
      <c r="E14" s="6" t="n">
        <f aca="false">SUMIFS(Parcels!$AR$2:$AR$3000,Parcels!$C$2:$C$3000,$A14)</f>
        <v>1878</v>
      </c>
      <c r="F14" s="6" t="n">
        <f aca="false">SUMIFS(Parcels!$AP$2:$AP$3000,Parcels!$C$2:$C$3000,$A14)</f>
        <v>10400</v>
      </c>
      <c r="G14" s="6" t="n">
        <f aca="false">SUMIFS(Parcels!$AQ$2:$AQ$3000,Parcels!$C$2:$C$3000,$A14)</f>
        <v>18943</v>
      </c>
      <c r="H14" s="6" t="n">
        <f aca="false">SUMIFS(Parcels!$AS$2:$AS$3000,Parcels!$C$2:$C$3000,$A14)</f>
        <v>17065</v>
      </c>
    </row>
    <row r="15" customFormat="false" ht="15" hidden="false" customHeight="false" outlineLevel="0" collapsed="false">
      <c r="A15" s="5" t="s">
        <v>17</v>
      </c>
      <c r="B15" s="6" t="n">
        <f aca="false">COUNTIFS(Parcels!$C$2:$C$3000,$A15)</f>
        <v>206</v>
      </c>
      <c r="C15" s="7" t="n">
        <f aca="false">SUMIFS(Parcels!$P$2:$P$3000,Parcels!$C$2:$C$3000,$A15)</f>
        <v>272.358</v>
      </c>
      <c r="D15" s="6" t="n">
        <f aca="false">SUMIFS(Parcels!$AM$2:$AM$3000,Parcels!$C$2:$C$3000,$A15)</f>
        <v>1951</v>
      </c>
      <c r="E15" s="6" t="n">
        <f aca="false">SUMIFS(Parcels!$AR$2:$AR$3000,Parcels!$C$2:$C$3000,$A15)</f>
        <v>354</v>
      </c>
      <c r="F15" s="6" t="n">
        <f aca="false">SUMIFS(Parcels!$AP$2:$AP$3000,Parcels!$C$2:$C$3000,$A15)</f>
        <v>3532</v>
      </c>
      <c r="G15" s="6" t="n">
        <f aca="false">SUMIFS(Parcels!$AQ$2:$AQ$3000,Parcels!$C$2:$C$3000,$A15)</f>
        <v>5483</v>
      </c>
      <c r="H15" s="6" t="n">
        <f aca="false">SUMIFS(Parcels!$AS$2:$AS$3000,Parcels!$C$2:$C$3000,$A15)</f>
        <v>5129</v>
      </c>
    </row>
    <row r="16" customFormat="false" ht="15" hidden="false" customHeight="false" outlineLevel="0" collapsed="false">
      <c r="A16" s="8" t="s">
        <v>14</v>
      </c>
      <c r="B16" s="9" t="n">
        <f aca="false">SUM(B14:B15)</f>
        <v>447</v>
      </c>
      <c r="C16" s="10" t="n">
        <f aca="false">SUM(C14:C15)</f>
        <v>693.086</v>
      </c>
      <c r="D16" s="9" t="n">
        <f aca="false">SUM(D14:D15)</f>
        <v>10494</v>
      </c>
      <c r="E16" s="9" t="n">
        <f aca="false">SUM(E14:E15)</f>
        <v>2232</v>
      </c>
      <c r="F16" s="9" t="n">
        <f aca="false">SUM(F14:F15)</f>
        <v>13932</v>
      </c>
      <c r="G16" s="9" t="n">
        <f aca="false">SUM(G14:G15)</f>
        <v>24426</v>
      </c>
      <c r="H16" s="9" t="n">
        <f aca="false">SUM(H14:H15)</f>
        <v>22194</v>
      </c>
    </row>
    <row r="18" customFormat="false" ht="15" hidden="false" customHeight="false" outlineLevel="0" collapsed="false">
      <c r="A18" s="3" t="s">
        <v>18</v>
      </c>
    </row>
    <row r="19" customFormat="false" ht="22.35" hidden="false" customHeight="false" outlineLevel="0" collapsed="false">
      <c r="A19" s="4"/>
      <c r="B19" s="4" t="s">
        <v>3</v>
      </c>
      <c r="C19" s="4" t="s">
        <v>4</v>
      </c>
      <c r="D19" s="4" t="s">
        <v>5</v>
      </c>
      <c r="E19" s="4" t="s">
        <v>6</v>
      </c>
      <c r="F19" s="4" t="s">
        <v>7</v>
      </c>
      <c r="G19" s="4" t="s">
        <v>8</v>
      </c>
      <c r="H19" s="4" t="s">
        <v>9</v>
      </c>
    </row>
    <row r="20" customFormat="false" ht="15" hidden="false" customHeight="false" outlineLevel="0" collapsed="false">
      <c r="A20" s="5" t="s">
        <v>19</v>
      </c>
      <c r="B20" s="6" t="n">
        <f aca="false">COUNTIFS(Parcels!$E$2:$E$3000,$A20)</f>
        <v>241</v>
      </c>
      <c r="C20" s="7" t="n">
        <f aca="false">SUMIFS(Parcels!$P$2:$P$3000,Parcels!$E$2:$E$3000,$A20)</f>
        <v>420.728</v>
      </c>
      <c r="D20" s="6" t="n">
        <f aca="false">SUMIFS(Parcels!$AM$2:$AM$3000,Parcels!$E$2:$E$3000,$A20)</f>
        <v>8543</v>
      </c>
      <c r="E20" s="6" t="n">
        <f aca="false">SUMIFS(Parcels!$AR$2:$AR$3000,Parcels!$E$2:$E$3000,$A20)</f>
        <v>1878</v>
      </c>
      <c r="F20" s="6" t="n">
        <f aca="false">SUMIFS(Parcels!$AP$2:$AP$3000,Parcels!$E$2:$E$3000,$A20)</f>
        <v>10400</v>
      </c>
      <c r="G20" s="6" t="n">
        <f aca="false">SUMIFS(Parcels!$AQ$2:$AQ$3000,Parcels!$E$2:$E$3000,$A20)</f>
        <v>18943</v>
      </c>
      <c r="H20" s="6" t="n">
        <f aca="false">SUMIFS(Parcels!$AS$2:$AS$3000,Parcels!$E$2:$E$3000,$A20)</f>
        <v>17065</v>
      </c>
    </row>
    <row r="21" customFormat="false" ht="15" hidden="false" customHeight="false" outlineLevel="0" collapsed="false">
      <c r="A21" s="5" t="s">
        <v>20</v>
      </c>
      <c r="B21" s="6" t="n">
        <f aca="false">COUNTIFS(Parcels!$E$2:$E$3000,$A21)</f>
        <v>80</v>
      </c>
      <c r="C21" s="7" t="n">
        <f aca="false">SUMIFS(Parcels!$P$2:$P$3000,Parcels!$E$2:$E$3000,$A21)</f>
        <v>125.614</v>
      </c>
      <c r="D21" s="6" t="n">
        <f aca="false">SUMIFS(Parcels!$AM$2:$AM$3000,Parcels!$E$2:$E$3000,$A21)</f>
        <v>618</v>
      </c>
      <c r="E21" s="6" t="n">
        <f aca="false">SUMIFS(Parcels!$AR$2:$AR$3000,Parcels!$E$2:$E$3000,$A21)</f>
        <v>118</v>
      </c>
      <c r="F21" s="6" t="n">
        <f aca="false">SUMIFS(Parcels!$AP$2:$AP$3000,Parcels!$E$2:$E$3000,$A21)</f>
        <v>2327</v>
      </c>
      <c r="G21" s="6" t="n">
        <f aca="false">SUMIFS(Parcels!$AQ$2:$AQ$3000,Parcels!$E$2:$E$3000,$A21)</f>
        <v>2945</v>
      </c>
      <c r="H21" s="6" t="n">
        <f aca="false">SUMIFS(Parcels!$AS$2:$AS$3000,Parcels!$E$2:$E$3000,$A21)</f>
        <v>2827</v>
      </c>
    </row>
    <row r="22" customFormat="false" ht="15" hidden="false" customHeight="false" outlineLevel="0" collapsed="false">
      <c r="A22" s="5" t="s">
        <v>21</v>
      </c>
      <c r="B22" s="6" t="n">
        <f aca="false">COUNTIFS(Parcels!$E$2:$E$3000,$A22)</f>
        <v>80</v>
      </c>
      <c r="C22" s="7" t="n">
        <f aca="false">SUMIFS(Parcels!$P$2:$P$3000,Parcels!$E$2:$E$3000,$A22)</f>
        <v>104.484</v>
      </c>
      <c r="D22" s="6" t="n">
        <f aca="false">SUMIFS(Parcels!$AM$2:$AM$3000,Parcels!$E$2:$E$3000,$A22)</f>
        <v>1120</v>
      </c>
      <c r="E22" s="6" t="n">
        <f aca="false">SUMIFS(Parcels!$AR$2:$AR$3000,Parcels!$E$2:$E$3000,$A22)</f>
        <v>189</v>
      </c>
      <c r="F22" s="6" t="n">
        <f aca="false">SUMIFS(Parcels!$AP$2:$AP$3000,Parcels!$E$2:$E$3000,$A22)</f>
        <v>789</v>
      </c>
      <c r="G22" s="6" t="n">
        <f aca="false">SUMIFS(Parcels!$AQ$2:$AQ$3000,Parcels!$E$2:$E$3000,$A22)</f>
        <v>1909</v>
      </c>
      <c r="H22" s="6" t="n">
        <f aca="false">SUMIFS(Parcels!$AS$2:$AS$3000,Parcels!$E$2:$E$3000,$A22)</f>
        <v>1720</v>
      </c>
    </row>
    <row r="23" customFormat="false" ht="15" hidden="false" customHeight="false" outlineLevel="0" collapsed="false">
      <c r="A23" s="5" t="s">
        <v>22</v>
      </c>
      <c r="B23" s="6" t="n">
        <f aca="false">COUNTIFS(Parcels!$E$2:$E$3000,$A23)</f>
        <v>46</v>
      </c>
      <c r="C23" s="7" t="n">
        <f aca="false">SUMIFS(Parcels!$P$2:$P$3000,Parcels!$E$2:$E$3000,$A23)</f>
        <v>42.26</v>
      </c>
      <c r="D23" s="6" t="n">
        <f aca="false">SUMIFS(Parcels!$AM$2:$AM$3000,Parcels!$E$2:$E$3000,$A23)</f>
        <v>213</v>
      </c>
      <c r="E23" s="6" t="n">
        <f aca="false">SUMIFS(Parcels!$AR$2:$AR$3000,Parcels!$E$2:$E$3000,$A23)</f>
        <v>47</v>
      </c>
      <c r="F23" s="6" t="n">
        <f aca="false">SUMIFS(Parcels!$AP$2:$AP$3000,Parcels!$E$2:$E$3000,$A23)</f>
        <v>416</v>
      </c>
      <c r="G23" s="6" t="n">
        <f aca="false">SUMIFS(Parcels!$AQ$2:$AQ$3000,Parcels!$E$2:$E$3000,$A23)</f>
        <v>629</v>
      </c>
      <c r="H23" s="6" t="n">
        <f aca="false">SUMIFS(Parcels!$AS$2:$AS$3000,Parcels!$E$2:$E$3000,$A23)</f>
        <v>582</v>
      </c>
    </row>
    <row r="24" customFormat="false" ht="15" hidden="false" customHeight="false" outlineLevel="0" collapsed="false">
      <c r="A24" s="8" t="s">
        <v>14</v>
      </c>
      <c r="B24" s="9" t="n">
        <f aca="false">SUM(B20:B23)</f>
        <v>447</v>
      </c>
      <c r="C24" s="10" t="n">
        <f aca="false">SUM(C20:C23)</f>
        <v>693.086</v>
      </c>
      <c r="D24" s="9" t="n">
        <f aca="false">SUM(D20:D23)</f>
        <v>10494</v>
      </c>
      <c r="E24" s="9" t="n">
        <f aca="false">SUM(E20:E23)</f>
        <v>2232</v>
      </c>
      <c r="F24" s="9" t="n">
        <f aca="false">SUM(F20:F23)</f>
        <v>13932</v>
      </c>
      <c r="G24" s="9" t="n">
        <f aca="false">SUM(G20:G23)</f>
        <v>24426</v>
      </c>
      <c r="H24" s="9" t="n">
        <f aca="false">SUM(H20:H23)</f>
        <v>22194</v>
      </c>
    </row>
    <row r="26" customFormat="false" ht="15" hidden="false" customHeight="false" outlineLevel="0" collapsed="false">
      <c r="A26" s="3" t="s">
        <v>23</v>
      </c>
    </row>
    <row r="27" customFormat="false" ht="22.35" hidden="false" customHeight="false" outlineLevel="0" collapsed="false">
      <c r="A27" s="4"/>
      <c r="B27" s="4" t="s">
        <v>3</v>
      </c>
      <c r="C27" s="4" t="s">
        <v>4</v>
      </c>
      <c r="D27" s="4" t="s">
        <v>5</v>
      </c>
      <c r="E27" s="4" t="s">
        <v>6</v>
      </c>
      <c r="F27" s="4" t="s">
        <v>7</v>
      </c>
      <c r="G27" s="4" t="s">
        <v>8</v>
      </c>
      <c r="H27" s="4" t="s">
        <v>9</v>
      </c>
    </row>
    <row r="28" customFormat="false" ht="15" hidden="false" customHeight="false" outlineLevel="0" collapsed="false">
      <c r="A28" s="5" t="s">
        <v>24</v>
      </c>
      <c r="B28" s="6" t="n">
        <f aca="false">COUNTIFS(Parcels!$BC$2:$BC$3000,$A28)</f>
        <v>50</v>
      </c>
      <c r="C28" s="7" t="n">
        <f aca="false">SUMIFS(Parcels!$P$2:$P$3000,Parcels!$BC$2:$BC$3000,$A28)</f>
        <v>59.406</v>
      </c>
      <c r="D28" s="6" t="n">
        <f aca="false">SUMIFS(Parcels!$AM$2:$AM$3000,Parcels!$BC$2:$BC$3000,$A28)</f>
        <v>1196</v>
      </c>
      <c r="E28" s="6" t="n">
        <f aca="false">SUMIFS(Parcels!$AR$2:$AR$3000,Parcels!$BC$2:$BC$3000,$A28)</f>
        <v>1196</v>
      </c>
      <c r="F28" s="6" t="n">
        <f aca="false">SUMIFS(Parcels!$AP$2:$AP$3000,Parcels!$BC$2:$BC$3000,$A28)</f>
        <v>0</v>
      </c>
      <c r="G28" s="6" t="n">
        <f aca="false">SUMIFS(Parcels!$AQ$2:$AQ$3000,Parcels!$BC$2:$BC$3000,$A28)</f>
        <v>1196</v>
      </c>
      <c r="H28" s="6" t="n">
        <f aca="false">SUMIFS(Parcels!$AS$2:$AS$3000,Parcels!$BC$2:$BC$3000,$A28)</f>
        <v>0</v>
      </c>
    </row>
    <row r="29" customFormat="false" ht="15" hidden="false" customHeight="false" outlineLevel="0" collapsed="false">
      <c r="A29" s="5" t="s">
        <v>25</v>
      </c>
      <c r="B29" s="6" t="n">
        <f aca="false">COUNTIFS(Parcels!$BC$2:$BC$3000,$A29)</f>
        <v>23</v>
      </c>
      <c r="C29" s="7" t="n">
        <f aca="false">SUMIFS(Parcels!$P$2:$P$3000,Parcels!$BC$2:$BC$3000,$A29)</f>
        <v>128.138</v>
      </c>
      <c r="D29" s="6" t="n">
        <f aca="false">SUMIFS(Parcels!$AM$2:$AM$3000,Parcels!$BC$2:$BC$3000,$A29)</f>
        <v>2209</v>
      </c>
      <c r="E29" s="6" t="n">
        <f aca="false">SUMIFS(Parcels!$AR$2:$AR$3000,Parcels!$BC$2:$BC$3000,$A29)</f>
        <v>1036</v>
      </c>
      <c r="F29" s="6" t="n">
        <f aca="false">SUMIFS(Parcels!$AP$2:$AP$3000,Parcels!$BC$2:$BC$3000,$A29)</f>
        <v>2625</v>
      </c>
      <c r="G29" s="6" t="n">
        <f aca="false">SUMIFS(Parcels!$AQ$2:$AQ$3000,Parcels!$BC$2:$BC$3000,$A29)</f>
        <v>4834</v>
      </c>
      <c r="H29" s="6" t="n">
        <f aca="false">SUMIFS(Parcels!$AS$2:$AS$3000,Parcels!$BC$2:$BC$3000,$A29)</f>
        <v>3798</v>
      </c>
    </row>
    <row r="30" customFormat="false" ht="15" hidden="false" customHeight="false" outlineLevel="0" collapsed="false">
      <c r="A30" s="5" t="s">
        <v>26</v>
      </c>
      <c r="B30" s="6" t="n">
        <f aca="false">COUNTIFS(Parcels!$BC$2:$BC$3000,$A30)</f>
        <v>130</v>
      </c>
      <c r="C30" s="7" t="n">
        <f aca="false">SUMIFS(Parcels!$P$2:$P$3000,Parcels!$BC$2:$BC$3000,$A30)</f>
        <v>210.641</v>
      </c>
      <c r="D30" s="6" t="n">
        <f aca="false">SUMIFS(Parcels!$AM$2:$AM$3000,Parcels!$BC$2:$BC$3000,$A30)</f>
        <v>7089</v>
      </c>
      <c r="E30" s="6" t="n">
        <f aca="false">SUMIFS(Parcels!$AR$2:$AR$3000,Parcels!$BC$2:$BC$3000,$A30)</f>
        <v>0</v>
      </c>
      <c r="F30" s="6" t="n">
        <f aca="false">SUMIFS(Parcels!$AP$2:$AP$3000,Parcels!$BC$2:$BC$3000,$A30)</f>
        <v>1660</v>
      </c>
      <c r="G30" s="6" t="n">
        <f aca="false">SUMIFS(Parcels!$AQ$2:$AQ$3000,Parcels!$BC$2:$BC$3000,$A30)</f>
        <v>8749</v>
      </c>
      <c r="H30" s="6" t="n">
        <f aca="false">SUMIFS(Parcels!$AS$2:$AS$3000,Parcels!$BC$2:$BC$3000,$A30)</f>
        <v>8749</v>
      </c>
    </row>
    <row r="31" customFormat="false" ht="15" hidden="false" customHeight="false" outlineLevel="0" collapsed="false">
      <c r="A31" s="5" t="s">
        <v>27</v>
      </c>
      <c r="B31" s="6" t="n">
        <f aca="false">COUNTIFS(Parcels!$BC$2:$BC$3000,$A31)</f>
        <v>244</v>
      </c>
      <c r="C31" s="7" t="n">
        <f aca="false">SUMIFS(Parcels!$P$2:$P$3000,Parcels!$BC$2:$BC$3000,$A31)</f>
        <v>294.901</v>
      </c>
      <c r="D31" s="6" t="n">
        <f aca="false">SUMIFS(Parcels!$AM$2:$AM$3000,Parcels!$BC$2:$BC$3000,$A31)</f>
        <v>0</v>
      </c>
      <c r="E31" s="6" t="n">
        <f aca="false">SUMIFS(Parcels!$AR$2:$AR$3000,Parcels!$BC$2:$BC$3000,$A31)</f>
        <v>0</v>
      </c>
      <c r="F31" s="6" t="n">
        <f aca="false">SUMIFS(Parcels!$AP$2:$AP$3000,Parcels!$BC$2:$BC$3000,$A31)</f>
        <v>9647</v>
      </c>
      <c r="G31" s="6" t="n">
        <f aca="false">SUMIFS(Parcels!$AQ$2:$AQ$3000,Parcels!$BC$2:$BC$3000,$A31)</f>
        <v>9647</v>
      </c>
      <c r="H31" s="6" t="n">
        <f aca="false">SUMIFS(Parcels!$AS$2:$AS$3000,Parcels!$BC$2:$BC$3000,$A31)</f>
        <v>9647</v>
      </c>
    </row>
    <row r="32" customFormat="false" ht="15" hidden="false" customHeight="false" outlineLevel="0" collapsed="false">
      <c r="A32" s="8" t="s">
        <v>14</v>
      </c>
      <c r="B32" s="9" t="n">
        <f aca="false">SUM(B28:B31)</f>
        <v>447</v>
      </c>
      <c r="C32" s="10" t="n">
        <f aca="false">SUM(C28:C31)</f>
        <v>693.086</v>
      </c>
      <c r="D32" s="9" t="n">
        <f aca="false">SUM(D28:D31)</f>
        <v>10494</v>
      </c>
      <c r="E32" s="9" t="n">
        <f aca="false">SUM(E28:E31)</f>
        <v>2232</v>
      </c>
      <c r="F32" s="9" t="n">
        <f aca="false">SUM(F28:F31)</f>
        <v>13932</v>
      </c>
      <c r="G32" s="9" t="n">
        <f aca="false">SUM(G28:G31)</f>
        <v>24426</v>
      </c>
      <c r="H32" s="9" t="n">
        <f aca="false">SUM(H28:H31)</f>
        <v>22194</v>
      </c>
    </row>
    <row r="34" customFormat="false" ht="15" hidden="false" customHeight="false" outlineLevel="0" collapsed="false">
      <c r="A34" s="3" t="s">
        <v>28</v>
      </c>
    </row>
    <row r="35" customFormat="false" ht="15" hidden="false" customHeight="false" outlineLevel="0" collapsed="false">
      <c r="A35" s="11"/>
      <c r="B35" s="12" t="s">
        <v>29</v>
      </c>
      <c r="C35" s="12" t="s">
        <v>30</v>
      </c>
      <c r="D35" s="12" t="s">
        <v>31</v>
      </c>
      <c r="E35" s="12" t="s">
        <v>32</v>
      </c>
      <c r="F35" s="12" t="s">
        <v>33</v>
      </c>
      <c r="G35" s="12" t="s">
        <v>34</v>
      </c>
    </row>
    <row r="36" customFormat="false" ht="15" hidden="false" customHeight="false" outlineLevel="0" collapsed="false">
      <c r="A36" s="5" t="s">
        <v>35</v>
      </c>
      <c r="B36" s="6" t="n">
        <f aca="false">SUM(Parcels!$AT$2:$AT$3000)</f>
        <v>506.2</v>
      </c>
      <c r="C36" s="6" t="n">
        <f aca="false">SUM(Parcels!$AU$2:$AU$3000)</f>
        <v>2084.7</v>
      </c>
      <c r="D36" s="6" t="n">
        <f aca="false">SUM(Parcels!$AV$2:$AV$3000)</f>
        <v>1725.2</v>
      </c>
      <c r="E36" s="6" t="n">
        <f aca="false">SUM(Parcels!$AW$2:$AW$3000)</f>
        <v>1954.7</v>
      </c>
      <c r="F36" s="6" t="n">
        <f aca="false">SUM(Parcels!$AX$2:$AX$3000)</f>
        <v>851</v>
      </c>
      <c r="G36" s="6" t="n">
        <f aca="false">SUM(Parcels!$AY$2:$AY$3000)</f>
        <v>1573.2</v>
      </c>
    </row>
    <row r="38" customFormat="false" ht="15" hidden="false" customHeight="false" outlineLevel="0" collapsed="false">
      <c r="A38" s="3" t="s">
        <v>36</v>
      </c>
    </row>
    <row r="39" customFormat="false" ht="15" hidden="false" customHeight="false" outlineLevel="0" collapsed="false">
      <c r="A39" s="5" t="s">
        <v>37</v>
      </c>
      <c r="B39" s="13" t="n">
        <f aca="false">COUNTIF(Permissions!$AT$2:$AT$3000,"?*")</f>
        <v>0</v>
      </c>
    </row>
    <row r="40" customFormat="false" ht="15" hidden="false" customHeight="false" outlineLevel="0" collapsed="false">
      <c r="A40" s="5" t="s">
        <v>38</v>
      </c>
      <c r="B40" s="13" t="n">
        <f aca="false">COUNTIF(Parcels!$BD$2:$BD$3000,"?*")-COUNTIF(Parcels!$BD$2:$BD$3000,"Consented above capacity")</f>
        <v>0</v>
      </c>
    </row>
    <row r="41" customFormat="false" ht="15" hidden="false" customHeight="false" outlineLevel="0" collapsed="false">
      <c r="A41" s="5" t="s">
        <v>39</v>
      </c>
      <c r="B41" s="13" t="n">
        <f aca="false">SUMIFS(Permissions!$G$2:$G$3000,Permissions!$R$2:$R$3000,"Yes")-SUM(Parcels!$AM$2:$AM$3000)-SUM(Parcels!$AN$2:$AN$3000)-SUM(Parcels!$AO$2:$AO$3000)</f>
        <v>0</v>
      </c>
    </row>
    <row r="42" customFormat="false" ht="15" hidden="false" customHeight="false" outlineLevel="0" collapsed="false">
      <c r="A42" s="5" t="s">
        <v>40</v>
      </c>
      <c r="B42" s="13" t="n">
        <f aca="false">COUNTIFS(Permissions!$A$2:$A$3000,"?*",Permissions!$B$2:$B$3000,"")</f>
        <v>0</v>
      </c>
    </row>
    <row r="43" customFormat="false" ht="15" hidden="false" customHeight="false" outlineLevel="0" collapsed="false">
      <c r="A43" s="5" t="s">
        <v>41</v>
      </c>
      <c r="B43" s="6" t="n">
        <f aca="false">COUNTIF(Parcels!$BD$2:$BD$3000,"Consented above capacity")</f>
        <v>14</v>
      </c>
    </row>
    <row r="45" customFormat="false" ht="15" hidden="false" customHeight="false" outlineLevel="0" collapsed="false">
      <c r="A45" s="2" t="s">
        <v>42</v>
      </c>
    </row>
  </sheetData>
  <conditionalFormatting sqref="B39:B42">
    <cfRule type="expression" priority="2" aboveAverage="0" equalAverage="0" bottom="0" percent="0" rank="0" text="" dxfId="0">
      <formula>B39&lt;&gt;0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17" min="3" style="0" width="11"/>
  </cols>
  <sheetData>
    <row r="1" customFormat="false" ht="17.35" hidden="false" customHeight="false" outlineLevel="0" collapsed="false">
      <c r="A1" s="1" t="s">
        <v>43</v>
      </c>
    </row>
    <row r="2" customFormat="false" ht="15" hidden="false" customHeight="false" outlineLevel="0" collapsed="false">
      <c r="A2" s="2" t="s">
        <v>44</v>
      </c>
    </row>
    <row r="4" customFormat="false" ht="42" hidden="false" customHeight="true" outlineLevel="0" collapsed="false">
      <c r="A4" s="14" t="s">
        <v>45</v>
      </c>
      <c r="B4" s="14" t="s">
        <v>46</v>
      </c>
      <c r="C4" s="14" t="s">
        <v>3</v>
      </c>
      <c r="D4" s="14" t="s">
        <v>4</v>
      </c>
      <c r="E4" s="14" t="s">
        <v>5</v>
      </c>
      <c r="F4" s="14" t="s">
        <v>47</v>
      </c>
      <c r="G4" s="14" t="s">
        <v>48</v>
      </c>
      <c r="H4" s="14" t="s">
        <v>49</v>
      </c>
      <c r="I4" s="14" t="s">
        <v>7</v>
      </c>
      <c r="J4" s="14" t="s">
        <v>8</v>
      </c>
      <c r="K4" s="14" t="s">
        <v>9</v>
      </c>
      <c r="L4" s="14" t="s">
        <v>29</v>
      </c>
      <c r="M4" s="14" t="s">
        <v>30</v>
      </c>
      <c r="N4" s="14" t="s">
        <v>31</v>
      </c>
      <c r="O4" s="14" t="s">
        <v>32</v>
      </c>
      <c r="P4" s="14" t="s">
        <v>33</v>
      </c>
      <c r="Q4" s="14" t="s">
        <v>34</v>
      </c>
    </row>
    <row r="5" customFormat="false" ht="15" hidden="false" customHeight="false" outlineLevel="0" collapsed="false">
      <c r="A5" s="15" t="s">
        <v>19</v>
      </c>
      <c r="B5" s="15" t="s">
        <v>50</v>
      </c>
      <c r="C5" s="16" t="n">
        <f aca="false">COUNTIFS(Parcels!$D$2:$D$3000,$B5)</f>
        <v>9</v>
      </c>
      <c r="D5" s="17" t="n">
        <f aca="false">SUMIFS(Parcels!$P$2:$P$3000,Parcels!$D$2:$D$3000,$B5)</f>
        <v>5.562</v>
      </c>
      <c r="E5" s="16" t="n">
        <f aca="false">SUMIFS(Parcels!$AM$2:$AM$3000,Parcels!$D$2:$D$3000,$B5)</f>
        <v>415</v>
      </c>
      <c r="F5" s="16" t="n">
        <f aca="false">SUMIFS(Parcels!$AI$2:$AI$3000,Parcels!$D$2:$D$3000,$B5)</f>
        <v>17</v>
      </c>
      <c r="G5" s="16" t="n">
        <f aca="false">SUMIFS(Parcels!$AJ$2:$AJ$3000,Parcels!$D$2:$D$3000,$B5)</f>
        <v>398</v>
      </c>
      <c r="H5" s="16" t="n">
        <f aca="false">SUMIFS(Parcels!$AK$2:$AK$3000,Parcels!$D$2:$D$3000,$B5)</f>
        <v>0</v>
      </c>
      <c r="I5" s="16" t="n">
        <f aca="false">SUMIFS(Parcels!$AP$2:$AP$3000,Parcels!$D$2:$D$3000,$B5)</f>
        <v>153</v>
      </c>
      <c r="J5" s="16" t="n">
        <f aca="false">SUMIFS(Parcels!$AQ$2:$AQ$3000,Parcels!$D$2:$D$3000,$B5)</f>
        <v>568</v>
      </c>
      <c r="K5" s="16" t="n">
        <f aca="false">SUMIFS(Parcels!$AS$2:$AS$3000,Parcels!$D$2:$D$3000,$B5)</f>
        <v>430</v>
      </c>
      <c r="L5" s="16" t="n">
        <f aca="false">SUMIFS(Parcels!$AT$2:$AT$3000,Parcels!$D$2:$D$3000,$B5)</f>
        <v>24.7</v>
      </c>
      <c r="M5" s="16" t="n">
        <f aca="false">SUMIFS(Parcels!$AU$2:$AU$3000,Parcels!$D$2:$D$3000,$B5)</f>
        <v>107</v>
      </c>
      <c r="N5" s="16" t="n">
        <f aca="false">SUMIFS(Parcels!$AV$2:$AV$3000,Parcels!$D$2:$D$3000,$B5)</f>
        <v>93</v>
      </c>
      <c r="O5" s="16" t="n">
        <f aca="false">SUMIFS(Parcels!$AW$2:$AW$3000,Parcels!$D$2:$D$3000,$B5)</f>
        <v>88.5</v>
      </c>
      <c r="P5" s="16" t="n">
        <f aca="false">SUMIFS(Parcels!$AX$2:$AX$3000,Parcels!$D$2:$D$3000,$B5)</f>
        <v>84.9</v>
      </c>
      <c r="Q5" s="16" t="n">
        <f aca="false">SUMIFS(Parcels!$AY$2:$AY$3000,Parcels!$D$2:$D$3000,$B5)</f>
        <v>-0.1</v>
      </c>
    </row>
    <row r="6" customFormat="false" ht="15" hidden="false" customHeight="false" outlineLevel="0" collapsed="false">
      <c r="A6" s="15" t="s">
        <v>19</v>
      </c>
      <c r="B6" s="15" t="s">
        <v>51</v>
      </c>
      <c r="C6" s="16" t="n">
        <f aca="false">COUNTIFS(Parcels!$D$2:$D$3000,$B6)</f>
        <v>33</v>
      </c>
      <c r="D6" s="17" t="n">
        <f aca="false">SUMIFS(Parcels!$P$2:$P$3000,Parcels!$D$2:$D$3000,$B6)</f>
        <v>64.726</v>
      </c>
      <c r="E6" s="16" t="n">
        <f aca="false">SUMIFS(Parcels!$AM$2:$AM$3000,Parcels!$D$2:$D$3000,$B6)</f>
        <v>1298</v>
      </c>
      <c r="F6" s="16" t="n">
        <f aca="false">SUMIFS(Parcels!$AI$2:$AI$3000,Parcels!$D$2:$D$3000,$B6)</f>
        <v>152</v>
      </c>
      <c r="G6" s="16" t="n">
        <f aca="false">SUMIFS(Parcels!$AJ$2:$AJ$3000,Parcels!$D$2:$D$3000,$B6)</f>
        <v>539</v>
      </c>
      <c r="H6" s="16" t="n">
        <f aca="false">SUMIFS(Parcels!$AK$2:$AK$3000,Parcels!$D$2:$D$3000,$B6)</f>
        <v>576</v>
      </c>
      <c r="I6" s="16" t="n">
        <f aca="false">SUMIFS(Parcels!$AP$2:$AP$3000,Parcels!$D$2:$D$3000,$B6)</f>
        <v>985</v>
      </c>
      <c r="J6" s="16" t="n">
        <f aca="false">SUMIFS(Parcels!$AQ$2:$AQ$3000,Parcels!$D$2:$D$3000,$B6)</f>
        <v>2283</v>
      </c>
      <c r="K6" s="16" t="n">
        <f aca="false">SUMIFS(Parcels!$AS$2:$AS$3000,Parcels!$D$2:$D$3000,$B6)</f>
        <v>2083</v>
      </c>
      <c r="L6" s="16" t="n">
        <f aca="false">SUMIFS(Parcels!$AT$2:$AT$3000,Parcels!$D$2:$D$3000,$B6)</f>
        <v>64.5</v>
      </c>
      <c r="M6" s="16" t="n">
        <f aca="false">SUMIFS(Parcels!$AU$2:$AU$3000,Parcels!$D$2:$D$3000,$B6)</f>
        <v>306.2</v>
      </c>
      <c r="N6" s="16" t="n">
        <f aca="false">SUMIFS(Parcels!$AV$2:$AV$3000,Parcels!$D$2:$D$3000,$B6)</f>
        <v>337.3</v>
      </c>
      <c r="O6" s="16" t="n">
        <f aca="false">SUMIFS(Parcels!$AW$2:$AW$3000,Parcels!$D$2:$D$3000,$B6)</f>
        <v>304.1</v>
      </c>
      <c r="P6" s="16" t="n">
        <f aca="false">SUMIFS(Parcels!$AX$2:$AX$3000,Parcels!$D$2:$D$3000,$B6)</f>
        <v>102.8</v>
      </c>
      <c r="Q6" s="16" t="n">
        <f aca="false">SUMIFS(Parcels!$AY$2:$AY$3000,Parcels!$D$2:$D$3000,$B6)</f>
        <v>0.1</v>
      </c>
    </row>
    <row r="7" customFormat="false" ht="15" hidden="false" customHeight="false" outlineLevel="0" collapsed="false">
      <c r="A7" s="15" t="s">
        <v>19</v>
      </c>
      <c r="B7" s="15" t="s">
        <v>52</v>
      </c>
      <c r="C7" s="16" t="n">
        <f aca="false">COUNTIFS(Parcels!$D$2:$D$3000,$B7)</f>
        <v>32</v>
      </c>
      <c r="D7" s="17" t="n">
        <f aca="false">SUMIFS(Parcels!$P$2:$P$3000,Parcels!$D$2:$D$3000,$B7)</f>
        <v>99.594</v>
      </c>
      <c r="E7" s="16" t="n">
        <f aca="false">SUMIFS(Parcels!$AM$2:$AM$3000,Parcels!$D$2:$D$3000,$B7)</f>
        <v>2822</v>
      </c>
      <c r="F7" s="16" t="n">
        <f aca="false">SUMIFS(Parcels!$AI$2:$AI$3000,Parcels!$D$2:$D$3000,$B7)</f>
        <v>628</v>
      </c>
      <c r="G7" s="16" t="n">
        <f aca="false">SUMIFS(Parcels!$AJ$2:$AJ$3000,Parcels!$D$2:$D$3000,$B7)</f>
        <v>604</v>
      </c>
      <c r="H7" s="16" t="n">
        <f aca="false">SUMIFS(Parcels!$AK$2:$AK$3000,Parcels!$D$2:$D$3000,$B7)</f>
        <v>1590</v>
      </c>
      <c r="I7" s="16" t="n">
        <f aca="false">SUMIFS(Parcels!$AP$2:$AP$3000,Parcels!$D$2:$D$3000,$B7)</f>
        <v>1193</v>
      </c>
      <c r="J7" s="16" t="n">
        <f aca="false">SUMIFS(Parcels!$AQ$2:$AQ$3000,Parcels!$D$2:$D$3000,$B7)</f>
        <v>4015</v>
      </c>
      <c r="K7" s="16" t="n">
        <f aca="false">SUMIFS(Parcels!$AS$2:$AS$3000,Parcels!$D$2:$D$3000,$B7)</f>
        <v>3219</v>
      </c>
      <c r="L7" s="16" t="n">
        <f aca="false">SUMIFS(Parcels!$AT$2:$AT$3000,Parcels!$D$2:$D$3000,$B7)</f>
        <v>139.5</v>
      </c>
      <c r="M7" s="16" t="n">
        <f aca="false">SUMIFS(Parcels!$AU$2:$AU$3000,Parcels!$D$2:$D$3000,$B7)</f>
        <v>463.2</v>
      </c>
      <c r="N7" s="16" t="n">
        <f aca="false">SUMIFS(Parcels!$AV$2:$AV$3000,Parcels!$D$2:$D$3000,$B7)</f>
        <v>23.4</v>
      </c>
      <c r="O7" s="16" t="n">
        <f aca="false">SUMIFS(Parcels!$AW$2:$AW$3000,Parcels!$D$2:$D$3000,$B7)</f>
        <v>473.6</v>
      </c>
      <c r="P7" s="16" t="n">
        <f aca="false">SUMIFS(Parcels!$AX$2:$AX$3000,Parcels!$D$2:$D$3000,$B7)</f>
        <v>202.6</v>
      </c>
      <c r="Q7" s="16" t="n">
        <f aca="false">SUMIFS(Parcels!$AY$2:$AY$3000,Parcels!$D$2:$D$3000,$B7)</f>
        <v>891.7</v>
      </c>
    </row>
    <row r="8" customFormat="false" ht="15" hidden="false" customHeight="false" outlineLevel="0" collapsed="false">
      <c r="A8" s="15" t="s">
        <v>19</v>
      </c>
      <c r="B8" s="15" t="s">
        <v>53</v>
      </c>
      <c r="C8" s="16" t="n">
        <f aca="false">COUNTIFS(Parcels!$D$2:$D$3000,$B8)</f>
        <v>55</v>
      </c>
      <c r="D8" s="17" t="n">
        <f aca="false">SUMIFS(Parcels!$P$2:$P$3000,Parcels!$D$2:$D$3000,$B8)</f>
        <v>81.522</v>
      </c>
      <c r="E8" s="16" t="n">
        <f aca="false">SUMIFS(Parcels!$AM$2:$AM$3000,Parcels!$D$2:$D$3000,$B8)</f>
        <v>925</v>
      </c>
      <c r="F8" s="16" t="n">
        <f aca="false">SUMIFS(Parcels!$AI$2:$AI$3000,Parcels!$D$2:$D$3000,$B8)</f>
        <v>99</v>
      </c>
      <c r="G8" s="16" t="n">
        <f aca="false">SUMIFS(Parcels!$AJ$2:$AJ$3000,Parcels!$D$2:$D$3000,$B8)</f>
        <v>111</v>
      </c>
      <c r="H8" s="16" t="n">
        <f aca="false">SUMIFS(Parcels!$AK$2:$AK$3000,Parcels!$D$2:$D$3000,$B8)</f>
        <v>715</v>
      </c>
      <c r="I8" s="16" t="n">
        <f aca="false">SUMIFS(Parcels!$AP$2:$AP$3000,Parcels!$D$2:$D$3000,$B8)</f>
        <v>3412</v>
      </c>
      <c r="J8" s="16" t="n">
        <f aca="false">SUMIFS(Parcels!$AQ$2:$AQ$3000,Parcels!$D$2:$D$3000,$B8)</f>
        <v>4337</v>
      </c>
      <c r="K8" s="16" t="n">
        <f aca="false">SUMIFS(Parcels!$AS$2:$AS$3000,Parcels!$D$2:$D$3000,$B8)</f>
        <v>4238</v>
      </c>
      <c r="L8" s="16" t="n">
        <f aca="false">SUMIFS(Parcels!$AT$2:$AT$3000,Parcels!$D$2:$D$3000,$B8)</f>
        <v>13.8</v>
      </c>
      <c r="M8" s="16" t="n">
        <f aca="false">SUMIFS(Parcels!$AU$2:$AU$3000,Parcels!$D$2:$D$3000,$B8)</f>
        <v>85.5</v>
      </c>
      <c r="N8" s="16" t="n">
        <f aca="false">SUMIFS(Parcels!$AV$2:$AV$3000,Parcels!$D$2:$D$3000,$B8)</f>
        <v>242.4</v>
      </c>
      <c r="O8" s="16" t="n">
        <f aca="false">SUMIFS(Parcels!$AW$2:$AW$3000,Parcels!$D$2:$D$3000,$B8)</f>
        <v>258.9</v>
      </c>
      <c r="P8" s="16" t="n">
        <f aca="false">SUMIFS(Parcels!$AX$2:$AX$3000,Parcels!$D$2:$D$3000,$B8)</f>
        <v>72.7</v>
      </c>
      <c r="Q8" s="16" t="n">
        <f aca="false">SUMIFS(Parcels!$AY$2:$AY$3000,Parcels!$D$2:$D$3000,$B8)</f>
        <v>152.7</v>
      </c>
    </row>
    <row r="9" customFormat="false" ht="15" hidden="false" customHeight="false" outlineLevel="0" collapsed="false">
      <c r="A9" s="15" t="s">
        <v>19</v>
      </c>
      <c r="B9" s="15" t="s">
        <v>54</v>
      </c>
      <c r="C9" s="16" t="n">
        <f aca="false">COUNTIFS(Parcels!$D$2:$D$3000,$B9)</f>
        <v>12</v>
      </c>
      <c r="D9" s="17" t="n">
        <f aca="false">SUMIFS(Parcels!$P$2:$P$3000,Parcels!$D$2:$D$3000,$B9)</f>
        <v>19.019</v>
      </c>
      <c r="E9" s="16" t="n">
        <f aca="false">SUMIFS(Parcels!$AM$2:$AM$3000,Parcels!$D$2:$D$3000,$B9)</f>
        <v>90</v>
      </c>
      <c r="F9" s="16" t="n">
        <f aca="false">SUMIFS(Parcels!$AI$2:$AI$3000,Parcels!$D$2:$D$3000,$B9)</f>
        <v>24</v>
      </c>
      <c r="G9" s="16" t="n">
        <f aca="false">SUMIFS(Parcels!$AJ$2:$AJ$3000,Parcels!$D$2:$D$3000,$B9)</f>
        <v>26</v>
      </c>
      <c r="H9" s="16" t="n">
        <f aca="false">SUMIFS(Parcels!$AK$2:$AK$3000,Parcels!$D$2:$D$3000,$B9)</f>
        <v>40</v>
      </c>
      <c r="I9" s="16" t="n">
        <f aca="false">SUMIFS(Parcels!$AP$2:$AP$3000,Parcels!$D$2:$D$3000,$B9)</f>
        <v>605</v>
      </c>
      <c r="J9" s="16" t="n">
        <f aca="false">SUMIFS(Parcels!$AQ$2:$AQ$3000,Parcels!$D$2:$D$3000,$B9)</f>
        <v>695</v>
      </c>
      <c r="K9" s="16" t="n">
        <f aca="false">SUMIFS(Parcels!$AS$2:$AS$3000,Parcels!$D$2:$D$3000,$B9)</f>
        <v>671</v>
      </c>
      <c r="L9" s="16" t="n">
        <f aca="false">SUMIFS(Parcels!$AT$2:$AT$3000,Parcels!$D$2:$D$3000,$B9)</f>
        <v>6.1</v>
      </c>
      <c r="M9" s="16" t="n">
        <f aca="false">SUMIFS(Parcels!$AU$2:$AU$3000,Parcels!$D$2:$D$3000,$B9)</f>
        <v>19.9</v>
      </c>
      <c r="N9" s="16" t="n">
        <f aca="false">SUMIFS(Parcels!$AV$2:$AV$3000,Parcels!$D$2:$D$3000,$B9)</f>
        <v>23.5</v>
      </c>
      <c r="O9" s="16" t="n">
        <f aca="false">SUMIFS(Parcels!$AW$2:$AW$3000,Parcels!$D$2:$D$3000,$B9)</f>
        <v>16.5</v>
      </c>
      <c r="P9" s="16" t="n">
        <f aca="false">SUMIFS(Parcels!$AX$2:$AX$3000,Parcels!$D$2:$D$3000,$B9)</f>
        <v>0</v>
      </c>
      <c r="Q9" s="16" t="n">
        <f aca="false">SUMIFS(Parcels!$AY$2:$AY$3000,Parcels!$D$2:$D$3000,$B9)</f>
        <v>0</v>
      </c>
    </row>
    <row r="10" customFormat="false" ht="15" hidden="false" customHeight="false" outlineLevel="0" collapsed="false">
      <c r="A10" s="15" t="s">
        <v>19</v>
      </c>
      <c r="B10" s="15" t="s">
        <v>55</v>
      </c>
      <c r="C10" s="16" t="n">
        <f aca="false">COUNTIFS(Parcels!$D$2:$D$3000,$B10)</f>
        <v>36</v>
      </c>
      <c r="D10" s="17" t="n">
        <f aca="false">SUMIFS(Parcels!$P$2:$P$3000,Parcels!$D$2:$D$3000,$B10)</f>
        <v>103.808</v>
      </c>
      <c r="E10" s="16" t="n">
        <f aca="false">SUMIFS(Parcels!$AM$2:$AM$3000,Parcels!$D$2:$D$3000,$B10)</f>
        <v>1920</v>
      </c>
      <c r="F10" s="16" t="n">
        <f aca="false">SUMIFS(Parcels!$AI$2:$AI$3000,Parcels!$D$2:$D$3000,$B10)</f>
        <v>110</v>
      </c>
      <c r="G10" s="16" t="n">
        <f aca="false">SUMIFS(Parcels!$AJ$2:$AJ$3000,Parcels!$D$2:$D$3000,$B10)</f>
        <v>1121</v>
      </c>
      <c r="H10" s="16" t="n">
        <f aca="false">SUMIFS(Parcels!$AK$2:$AK$3000,Parcels!$D$2:$D$3000,$B10)</f>
        <v>689</v>
      </c>
      <c r="I10" s="16" t="n">
        <f aca="false">SUMIFS(Parcels!$AP$2:$AP$3000,Parcels!$D$2:$D$3000,$B10)</f>
        <v>2811</v>
      </c>
      <c r="J10" s="16" t="n">
        <f aca="false">SUMIFS(Parcels!$AQ$2:$AQ$3000,Parcels!$D$2:$D$3000,$B10)</f>
        <v>4731</v>
      </c>
      <c r="K10" s="16" t="n">
        <f aca="false">SUMIFS(Parcels!$AS$2:$AS$3000,Parcels!$D$2:$D$3000,$B10)</f>
        <v>4454</v>
      </c>
      <c r="L10" s="16" t="n">
        <f aca="false">SUMIFS(Parcels!$AT$2:$AT$3000,Parcels!$D$2:$D$3000,$B10)</f>
        <v>108.4</v>
      </c>
      <c r="M10" s="16" t="n">
        <f aca="false">SUMIFS(Parcels!$AU$2:$AU$3000,Parcels!$D$2:$D$3000,$B10)</f>
        <v>439.7</v>
      </c>
      <c r="N10" s="16" t="n">
        <f aca="false">SUMIFS(Parcels!$AV$2:$AV$3000,Parcels!$D$2:$D$3000,$B10)</f>
        <v>343.6</v>
      </c>
      <c r="O10" s="16" t="n">
        <f aca="false">SUMIFS(Parcels!$AW$2:$AW$3000,Parcels!$D$2:$D$3000,$B10)</f>
        <v>391.1</v>
      </c>
      <c r="P10" s="16" t="n">
        <f aca="false">SUMIFS(Parcels!$AX$2:$AX$3000,Parcels!$D$2:$D$3000,$B10)</f>
        <v>302.4</v>
      </c>
      <c r="Q10" s="16" t="n">
        <f aca="false">SUMIFS(Parcels!$AY$2:$AY$3000,Parcels!$D$2:$D$3000,$B10)</f>
        <v>224.8</v>
      </c>
    </row>
    <row r="11" customFormat="false" ht="15" hidden="false" customHeight="false" outlineLevel="0" collapsed="false">
      <c r="A11" s="15" t="s">
        <v>19</v>
      </c>
      <c r="B11" s="15" t="s">
        <v>56</v>
      </c>
      <c r="C11" s="16" t="n">
        <f aca="false">COUNTIFS(Parcels!$D$2:$D$3000,$B11)</f>
        <v>5</v>
      </c>
      <c r="D11" s="17" t="n">
        <f aca="false">SUMIFS(Parcels!$P$2:$P$3000,Parcels!$D$2:$D$3000,$B11)</f>
        <v>0.906</v>
      </c>
      <c r="E11" s="16" t="n">
        <f aca="false">SUMIFS(Parcels!$AM$2:$AM$3000,Parcels!$D$2:$D$3000,$B11)</f>
        <v>50</v>
      </c>
      <c r="F11" s="16" t="n">
        <f aca="false">SUMIFS(Parcels!$AI$2:$AI$3000,Parcels!$D$2:$D$3000,$B11)</f>
        <v>0</v>
      </c>
      <c r="G11" s="16" t="n">
        <f aca="false">SUMIFS(Parcels!$AJ$2:$AJ$3000,Parcels!$D$2:$D$3000,$B11)</f>
        <v>0</v>
      </c>
      <c r="H11" s="16" t="n">
        <f aca="false">SUMIFS(Parcels!$AK$2:$AK$3000,Parcels!$D$2:$D$3000,$B11)</f>
        <v>50</v>
      </c>
      <c r="I11" s="16" t="n">
        <f aca="false">SUMIFS(Parcels!$AP$2:$AP$3000,Parcels!$D$2:$D$3000,$B11)</f>
        <v>25</v>
      </c>
      <c r="J11" s="16" t="n">
        <f aca="false">SUMIFS(Parcels!$AQ$2:$AQ$3000,Parcels!$D$2:$D$3000,$B11)</f>
        <v>75</v>
      </c>
      <c r="K11" s="16" t="n">
        <f aca="false">SUMIFS(Parcels!$AS$2:$AS$3000,Parcels!$D$2:$D$3000,$B11)</f>
        <v>75</v>
      </c>
      <c r="L11" s="16" t="n">
        <f aca="false">SUMIFS(Parcels!$AT$2:$AT$3000,Parcels!$D$2:$D$3000,$B11)</f>
        <v>0</v>
      </c>
      <c r="M11" s="16" t="n">
        <f aca="false">SUMIFS(Parcels!$AU$2:$AU$3000,Parcels!$D$2:$D$3000,$B11)</f>
        <v>0</v>
      </c>
      <c r="N11" s="16" t="n">
        <f aca="false">SUMIFS(Parcels!$AV$2:$AV$3000,Parcels!$D$2:$D$3000,$B11)</f>
        <v>30.1</v>
      </c>
      <c r="O11" s="16" t="n">
        <f aca="false">SUMIFS(Parcels!$AW$2:$AW$3000,Parcels!$D$2:$D$3000,$B11)</f>
        <v>19.6</v>
      </c>
      <c r="P11" s="16" t="n">
        <f aca="false">SUMIFS(Parcels!$AX$2:$AX$3000,Parcels!$D$2:$D$3000,$B11)</f>
        <v>0.3</v>
      </c>
      <c r="Q11" s="16" t="n">
        <f aca="false">SUMIFS(Parcels!$AY$2:$AY$3000,Parcels!$D$2:$D$3000,$B11)</f>
        <v>0</v>
      </c>
    </row>
    <row r="12" customFormat="false" ht="15" hidden="false" customHeight="false" outlineLevel="0" collapsed="false">
      <c r="A12" s="15" t="s">
        <v>19</v>
      </c>
      <c r="B12" s="15" t="s">
        <v>57</v>
      </c>
      <c r="C12" s="16" t="n">
        <f aca="false">COUNTIFS(Parcels!$D$2:$D$3000,$B12)</f>
        <v>28</v>
      </c>
      <c r="D12" s="17" t="n">
        <f aca="false">SUMIFS(Parcels!$P$2:$P$3000,Parcels!$D$2:$D$3000,$B12)</f>
        <v>15.732</v>
      </c>
      <c r="E12" s="16" t="n">
        <f aca="false">SUMIFS(Parcels!$AM$2:$AM$3000,Parcels!$D$2:$D$3000,$B12)</f>
        <v>269</v>
      </c>
      <c r="F12" s="16" t="n">
        <f aca="false">SUMIFS(Parcels!$AI$2:$AI$3000,Parcels!$D$2:$D$3000,$B12)</f>
        <v>29</v>
      </c>
      <c r="G12" s="16" t="n">
        <f aca="false">SUMIFS(Parcels!$AJ$2:$AJ$3000,Parcels!$D$2:$D$3000,$B12)</f>
        <v>108</v>
      </c>
      <c r="H12" s="16" t="n">
        <f aca="false">SUMIFS(Parcels!$AK$2:$AK$3000,Parcels!$D$2:$D$3000,$B12)</f>
        <v>132</v>
      </c>
      <c r="I12" s="16" t="n">
        <f aca="false">SUMIFS(Parcels!$AP$2:$AP$3000,Parcels!$D$2:$D$3000,$B12)</f>
        <v>517</v>
      </c>
      <c r="J12" s="16" t="n">
        <f aca="false">SUMIFS(Parcels!$AQ$2:$AQ$3000,Parcels!$D$2:$D$3000,$B12)</f>
        <v>786</v>
      </c>
      <c r="K12" s="16" t="n">
        <f aca="false">SUMIFS(Parcels!$AS$2:$AS$3000,Parcels!$D$2:$D$3000,$B12)</f>
        <v>734</v>
      </c>
      <c r="L12" s="16" t="n">
        <f aca="false">SUMIFS(Parcels!$AT$2:$AT$3000,Parcels!$D$2:$D$3000,$B12)</f>
        <v>18</v>
      </c>
      <c r="M12" s="16" t="n">
        <f aca="false">SUMIFS(Parcels!$AU$2:$AU$3000,Parcels!$D$2:$D$3000,$B12)</f>
        <v>91.4</v>
      </c>
      <c r="N12" s="16" t="n">
        <f aca="false">SUMIFS(Parcels!$AV$2:$AV$3000,Parcels!$D$2:$D$3000,$B12)</f>
        <v>104.5</v>
      </c>
      <c r="O12" s="16" t="n">
        <f aca="false">SUMIFS(Parcels!$AW$2:$AW$3000,Parcels!$D$2:$D$3000,$B12)</f>
        <v>26.1</v>
      </c>
      <c r="P12" s="16" t="n">
        <f aca="false">SUMIFS(Parcels!$AX$2:$AX$3000,Parcels!$D$2:$D$3000,$B12)</f>
        <v>0</v>
      </c>
      <c r="Q12" s="16" t="n">
        <f aca="false">SUMIFS(Parcels!$AY$2:$AY$3000,Parcels!$D$2:$D$3000,$B12)</f>
        <v>0</v>
      </c>
    </row>
    <row r="13" customFormat="false" ht="15" hidden="false" customHeight="false" outlineLevel="0" collapsed="false">
      <c r="A13" s="15" t="s">
        <v>19</v>
      </c>
      <c r="B13" s="15" t="s">
        <v>58</v>
      </c>
      <c r="C13" s="16" t="n">
        <f aca="false">COUNTIFS(Parcels!$D$2:$D$3000,$B13)</f>
        <v>31</v>
      </c>
      <c r="D13" s="17" t="n">
        <f aca="false">SUMIFS(Parcels!$P$2:$P$3000,Parcels!$D$2:$D$3000,$B13)</f>
        <v>29.859</v>
      </c>
      <c r="E13" s="16" t="n">
        <f aca="false">SUMIFS(Parcels!$AM$2:$AM$3000,Parcels!$D$2:$D$3000,$B13)</f>
        <v>754</v>
      </c>
      <c r="F13" s="16" t="n">
        <f aca="false">SUMIFS(Parcels!$AI$2:$AI$3000,Parcels!$D$2:$D$3000,$B13)</f>
        <v>289</v>
      </c>
      <c r="G13" s="16" t="n">
        <f aca="false">SUMIFS(Parcels!$AJ$2:$AJ$3000,Parcels!$D$2:$D$3000,$B13)</f>
        <v>47</v>
      </c>
      <c r="H13" s="16" t="n">
        <f aca="false">SUMIFS(Parcels!$AK$2:$AK$3000,Parcels!$D$2:$D$3000,$B13)</f>
        <v>418</v>
      </c>
      <c r="I13" s="16" t="n">
        <f aca="false">SUMIFS(Parcels!$AP$2:$AP$3000,Parcels!$D$2:$D$3000,$B13)</f>
        <v>699</v>
      </c>
      <c r="J13" s="16" t="n">
        <f aca="false">SUMIFS(Parcels!$AQ$2:$AQ$3000,Parcels!$D$2:$D$3000,$B13)</f>
        <v>1453</v>
      </c>
      <c r="K13" s="16" t="n">
        <f aca="false">SUMIFS(Parcels!$AS$2:$AS$3000,Parcels!$D$2:$D$3000,$B13)</f>
        <v>1161</v>
      </c>
      <c r="L13" s="16" t="n">
        <f aca="false">SUMIFS(Parcels!$AT$2:$AT$3000,Parcels!$D$2:$D$3000,$B13)</f>
        <v>3.7</v>
      </c>
      <c r="M13" s="16" t="n">
        <f aca="false">SUMIFS(Parcels!$AU$2:$AU$3000,Parcels!$D$2:$D$3000,$B13)</f>
        <v>40.8</v>
      </c>
      <c r="N13" s="16" t="n">
        <f aca="false">SUMIFS(Parcels!$AV$2:$AV$3000,Parcels!$D$2:$D$3000,$B13)</f>
        <v>15.3</v>
      </c>
      <c r="O13" s="16" t="n">
        <f aca="false">SUMIFS(Parcels!$AW$2:$AW$3000,Parcels!$D$2:$D$3000,$B13)</f>
        <v>43.8</v>
      </c>
      <c r="P13" s="16" t="n">
        <f aca="false">SUMIFS(Parcels!$AX$2:$AX$3000,Parcels!$D$2:$D$3000,$B13)</f>
        <v>57.4</v>
      </c>
      <c r="Q13" s="16" t="n">
        <f aca="false">SUMIFS(Parcels!$AY$2:$AY$3000,Parcels!$D$2:$D$3000,$B13)</f>
        <v>304</v>
      </c>
    </row>
    <row r="14" customFormat="false" ht="15" hidden="false" customHeight="false" outlineLevel="0" collapsed="false">
      <c r="A14" s="18" t="s">
        <v>59</v>
      </c>
      <c r="B14" s="19"/>
      <c r="C14" s="20" t="n">
        <f aca="false">SUM(C5:C13)</f>
        <v>241</v>
      </c>
      <c r="D14" s="20" t="n">
        <f aca="false">SUM(D5:D13)</f>
        <v>420.728</v>
      </c>
      <c r="E14" s="20" t="n">
        <f aca="false">SUM(E5:E13)</f>
        <v>8543</v>
      </c>
      <c r="F14" s="20" t="n">
        <f aca="false">SUM(F5:F13)</f>
        <v>1348</v>
      </c>
      <c r="G14" s="20" t="n">
        <f aca="false">SUM(G5:G13)</f>
        <v>2954</v>
      </c>
      <c r="H14" s="20" t="n">
        <f aca="false">SUM(H5:H13)</f>
        <v>4210</v>
      </c>
      <c r="I14" s="20" t="n">
        <f aca="false">SUM(I5:I13)</f>
        <v>10400</v>
      </c>
      <c r="J14" s="20" t="n">
        <f aca="false">SUM(J5:J13)</f>
        <v>18943</v>
      </c>
      <c r="K14" s="20" t="n">
        <f aca="false">SUM(K5:K13)</f>
        <v>17065</v>
      </c>
      <c r="L14" s="20" t="n">
        <f aca="false">SUM(L5:L13)</f>
        <v>378.7</v>
      </c>
      <c r="M14" s="20" t="n">
        <f aca="false">SUM(M5:M13)</f>
        <v>1553.7</v>
      </c>
      <c r="N14" s="20" t="n">
        <f aca="false">SUM(N5:N13)</f>
        <v>1213.1</v>
      </c>
      <c r="O14" s="20" t="n">
        <f aca="false">SUM(O5:O13)</f>
        <v>1622.2</v>
      </c>
      <c r="P14" s="20" t="n">
        <f aca="false">SUM(P5:P13)</f>
        <v>823.1</v>
      </c>
      <c r="Q14" s="20" t="n">
        <f aca="false">SUM(Q5:Q13)</f>
        <v>1573.2</v>
      </c>
    </row>
    <row r="16" customFormat="false" ht="15" hidden="false" customHeight="false" outlineLevel="0" collapsed="false">
      <c r="A16" s="15" t="s">
        <v>20</v>
      </c>
      <c r="B16" s="15" t="s">
        <v>60</v>
      </c>
      <c r="C16" s="16" t="n">
        <f aca="false">COUNTIFS(Parcels!$D$2:$D$3000,$B16)</f>
        <v>10</v>
      </c>
      <c r="D16" s="17" t="n">
        <f aca="false">SUMIFS(Parcels!$P$2:$P$3000,Parcels!$D$2:$D$3000,$B16)</f>
        <v>11.181</v>
      </c>
      <c r="E16" s="16" t="n">
        <f aca="false">SUMIFS(Parcels!$AM$2:$AM$3000,Parcels!$D$2:$D$3000,$B16)</f>
        <v>87</v>
      </c>
      <c r="F16" s="16" t="n">
        <f aca="false">SUMIFS(Parcels!$AI$2:$AI$3000,Parcels!$D$2:$D$3000,$B16)</f>
        <v>0</v>
      </c>
      <c r="G16" s="16" t="n">
        <f aca="false">SUMIFS(Parcels!$AJ$2:$AJ$3000,Parcels!$D$2:$D$3000,$B16)</f>
        <v>0</v>
      </c>
      <c r="H16" s="16" t="n">
        <f aca="false">SUMIFS(Parcels!$AK$2:$AK$3000,Parcels!$D$2:$D$3000,$B16)</f>
        <v>87</v>
      </c>
      <c r="I16" s="16" t="n">
        <f aca="false">SUMIFS(Parcels!$AP$2:$AP$3000,Parcels!$D$2:$D$3000,$B16)</f>
        <v>176</v>
      </c>
      <c r="J16" s="16" t="n">
        <f aca="false">SUMIFS(Parcels!$AQ$2:$AQ$3000,Parcels!$D$2:$D$3000,$B16)</f>
        <v>263</v>
      </c>
      <c r="K16" s="16" t="n">
        <f aca="false">SUMIFS(Parcels!$AS$2:$AS$3000,Parcels!$D$2:$D$3000,$B16)</f>
        <v>263</v>
      </c>
      <c r="L16" s="16" t="n">
        <f aca="false">SUMIFS(Parcels!$AT$2:$AT$3000,Parcels!$D$2:$D$3000,$B16)</f>
        <v>0</v>
      </c>
      <c r="M16" s="16" t="n">
        <f aca="false">SUMIFS(Parcels!$AU$2:$AU$3000,Parcels!$D$2:$D$3000,$B16)</f>
        <v>0</v>
      </c>
      <c r="N16" s="16" t="n">
        <f aca="false">SUMIFS(Parcels!$AV$2:$AV$3000,Parcels!$D$2:$D$3000,$B16)</f>
        <v>57.4</v>
      </c>
      <c r="O16" s="16" t="n">
        <f aca="false">SUMIFS(Parcels!$AW$2:$AW$3000,Parcels!$D$2:$D$3000,$B16)</f>
        <v>28.9</v>
      </c>
      <c r="P16" s="16" t="n">
        <f aca="false">SUMIFS(Parcels!$AX$2:$AX$3000,Parcels!$D$2:$D$3000,$B16)</f>
        <v>0.7</v>
      </c>
      <c r="Q16" s="16" t="n">
        <f aca="false">SUMIFS(Parcels!$AY$2:$AY$3000,Parcels!$D$2:$D$3000,$B16)</f>
        <v>0</v>
      </c>
    </row>
    <row r="17" customFormat="false" ht="15" hidden="false" customHeight="false" outlineLevel="0" collapsed="false">
      <c r="A17" s="15" t="s">
        <v>20</v>
      </c>
      <c r="B17" s="15" t="s">
        <v>61</v>
      </c>
      <c r="C17" s="16" t="n">
        <f aca="false">COUNTIFS(Parcels!$D$2:$D$3000,$B17)</f>
        <v>7</v>
      </c>
      <c r="D17" s="17" t="n">
        <f aca="false">SUMIFS(Parcels!$P$2:$P$3000,Parcels!$D$2:$D$3000,$B17)</f>
        <v>8.214</v>
      </c>
      <c r="E17" s="16" t="n">
        <f aca="false">SUMIFS(Parcels!$AM$2:$AM$3000,Parcels!$D$2:$D$3000,$B17)</f>
        <v>9</v>
      </c>
      <c r="F17" s="16" t="n">
        <f aca="false">SUMIFS(Parcels!$AI$2:$AI$3000,Parcels!$D$2:$D$3000,$B17)</f>
        <v>9</v>
      </c>
      <c r="G17" s="16" t="n">
        <f aca="false">SUMIFS(Parcels!$AJ$2:$AJ$3000,Parcels!$D$2:$D$3000,$B17)</f>
        <v>0</v>
      </c>
      <c r="H17" s="16" t="n">
        <f aca="false">SUMIFS(Parcels!$AK$2:$AK$3000,Parcels!$D$2:$D$3000,$B17)</f>
        <v>0</v>
      </c>
      <c r="I17" s="16" t="n">
        <f aca="false">SUMIFS(Parcels!$AP$2:$AP$3000,Parcels!$D$2:$D$3000,$B17)</f>
        <v>190</v>
      </c>
      <c r="J17" s="16" t="n">
        <f aca="false">SUMIFS(Parcels!$AQ$2:$AQ$3000,Parcels!$D$2:$D$3000,$B17)</f>
        <v>199</v>
      </c>
      <c r="K17" s="16" t="n">
        <f aca="false">SUMIFS(Parcels!$AS$2:$AS$3000,Parcels!$D$2:$D$3000,$B17)</f>
        <v>190</v>
      </c>
      <c r="L17" s="16" t="n">
        <f aca="false">SUMIFS(Parcels!$AT$2:$AT$3000,Parcels!$D$2:$D$3000,$B17)</f>
        <v>0</v>
      </c>
      <c r="M17" s="16" t="n">
        <f aca="false">SUMIFS(Parcels!$AU$2:$AU$3000,Parcels!$D$2:$D$3000,$B17)</f>
        <v>0</v>
      </c>
      <c r="N17" s="16" t="n">
        <f aca="false">SUMIFS(Parcels!$AV$2:$AV$3000,Parcels!$D$2:$D$3000,$B17)</f>
        <v>0</v>
      </c>
      <c r="O17" s="16" t="n">
        <f aca="false">SUMIFS(Parcels!$AW$2:$AW$3000,Parcels!$D$2:$D$3000,$B17)</f>
        <v>0</v>
      </c>
      <c r="P17" s="16" t="n">
        <f aca="false">SUMIFS(Parcels!$AX$2:$AX$3000,Parcels!$D$2:$D$3000,$B17)</f>
        <v>0</v>
      </c>
      <c r="Q17" s="16" t="n">
        <f aca="false">SUMIFS(Parcels!$AY$2:$AY$3000,Parcels!$D$2:$D$3000,$B17)</f>
        <v>0</v>
      </c>
    </row>
    <row r="18" customFormat="false" ht="15" hidden="false" customHeight="false" outlineLevel="0" collapsed="false">
      <c r="A18" s="15" t="s">
        <v>20</v>
      </c>
      <c r="B18" s="15" t="s">
        <v>62</v>
      </c>
      <c r="C18" s="16" t="n">
        <f aca="false">COUNTIFS(Parcels!$D$2:$D$3000,$B18)</f>
        <v>13</v>
      </c>
      <c r="D18" s="17" t="n">
        <f aca="false">SUMIFS(Parcels!$P$2:$P$3000,Parcels!$D$2:$D$3000,$B18)</f>
        <v>20.846</v>
      </c>
      <c r="E18" s="16" t="n">
        <f aca="false">SUMIFS(Parcels!$AM$2:$AM$3000,Parcels!$D$2:$D$3000,$B18)</f>
        <v>156</v>
      </c>
      <c r="F18" s="16" t="n">
        <f aca="false">SUMIFS(Parcels!$AI$2:$AI$3000,Parcels!$D$2:$D$3000,$B18)</f>
        <v>68</v>
      </c>
      <c r="G18" s="16" t="n">
        <f aca="false">SUMIFS(Parcels!$AJ$2:$AJ$3000,Parcels!$D$2:$D$3000,$B18)</f>
        <v>74</v>
      </c>
      <c r="H18" s="16" t="n">
        <f aca="false">SUMIFS(Parcels!$AK$2:$AK$3000,Parcels!$D$2:$D$3000,$B18)</f>
        <v>14</v>
      </c>
      <c r="I18" s="16" t="n">
        <f aca="false">SUMIFS(Parcels!$AP$2:$AP$3000,Parcels!$D$2:$D$3000,$B18)</f>
        <v>208</v>
      </c>
      <c r="J18" s="16" t="n">
        <f aca="false">SUMIFS(Parcels!$AQ$2:$AQ$3000,Parcels!$D$2:$D$3000,$B18)</f>
        <v>364</v>
      </c>
      <c r="K18" s="16" t="n">
        <f aca="false">SUMIFS(Parcels!$AS$2:$AS$3000,Parcels!$D$2:$D$3000,$B18)</f>
        <v>296</v>
      </c>
      <c r="L18" s="16" t="n">
        <f aca="false">SUMIFS(Parcels!$AT$2:$AT$3000,Parcels!$D$2:$D$3000,$B18)</f>
        <v>17.2</v>
      </c>
      <c r="M18" s="16" t="n">
        <f aca="false">SUMIFS(Parcels!$AU$2:$AU$3000,Parcels!$D$2:$D$3000,$B18)</f>
        <v>56.8</v>
      </c>
      <c r="N18" s="16" t="n">
        <f aca="false">SUMIFS(Parcels!$AV$2:$AV$3000,Parcels!$D$2:$D$3000,$B18)</f>
        <v>8.2</v>
      </c>
      <c r="O18" s="16" t="n">
        <f aca="false">SUMIFS(Parcels!$AW$2:$AW$3000,Parcels!$D$2:$D$3000,$B18)</f>
        <v>5.8</v>
      </c>
      <c r="P18" s="16" t="n">
        <f aca="false">SUMIFS(Parcels!$AX$2:$AX$3000,Parcels!$D$2:$D$3000,$B18)</f>
        <v>0</v>
      </c>
      <c r="Q18" s="16" t="n">
        <f aca="false">SUMIFS(Parcels!$AY$2:$AY$3000,Parcels!$D$2:$D$3000,$B18)</f>
        <v>0</v>
      </c>
    </row>
    <row r="19" customFormat="false" ht="15" hidden="false" customHeight="false" outlineLevel="0" collapsed="false">
      <c r="A19" s="15" t="s">
        <v>20</v>
      </c>
      <c r="B19" s="15" t="s">
        <v>63</v>
      </c>
      <c r="C19" s="16" t="n">
        <f aca="false">COUNTIFS(Parcels!$D$2:$D$3000,$B19)</f>
        <v>12</v>
      </c>
      <c r="D19" s="17" t="n">
        <f aca="false">SUMIFS(Parcels!$P$2:$P$3000,Parcels!$D$2:$D$3000,$B19)</f>
        <v>18.914</v>
      </c>
      <c r="E19" s="16" t="n">
        <f aca="false">SUMIFS(Parcels!$AM$2:$AM$3000,Parcels!$D$2:$D$3000,$B19)</f>
        <v>75</v>
      </c>
      <c r="F19" s="16" t="n">
        <f aca="false">SUMIFS(Parcels!$AI$2:$AI$3000,Parcels!$D$2:$D$3000,$B19)</f>
        <v>5</v>
      </c>
      <c r="G19" s="16" t="n">
        <f aca="false">SUMIFS(Parcels!$AJ$2:$AJ$3000,Parcels!$D$2:$D$3000,$B19)</f>
        <v>70</v>
      </c>
      <c r="H19" s="16" t="n">
        <f aca="false">SUMIFS(Parcels!$AK$2:$AK$3000,Parcels!$D$2:$D$3000,$B19)</f>
        <v>0</v>
      </c>
      <c r="I19" s="16" t="n">
        <f aca="false">SUMIFS(Parcels!$AP$2:$AP$3000,Parcels!$D$2:$D$3000,$B19)</f>
        <v>355</v>
      </c>
      <c r="J19" s="16" t="n">
        <f aca="false">SUMIFS(Parcels!$AQ$2:$AQ$3000,Parcels!$D$2:$D$3000,$B19)</f>
        <v>430</v>
      </c>
      <c r="K19" s="16" t="n">
        <f aca="false">SUMIFS(Parcels!$AS$2:$AS$3000,Parcels!$D$2:$D$3000,$B19)</f>
        <v>425</v>
      </c>
      <c r="L19" s="16" t="n">
        <f aca="false">SUMIFS(Parcels!$AT$2:$AT$3000,Parcels!$D$2:$D$3000,$B19)</f>
        <v>1.2</v>
      </c>
      <c r="M19" s="16" t="n">
        <f aca="false">SUMIFS(Parcels!$AU$2:$AU$3000,Parcels!$D$2:$D$3000,$B19)</f>
        <v>58.8</v>
      </c>
      <c r="N19" s="16" t="n">
        <f aca="false">SUMIFS(Parcels!$AV$2:$AV$3000,Parcels!$D$2:$D$3000,$B19)</f>
        <v>10</v>
      </c>
      <c r="O19" s="16" t="n">
        <f aca="false">SUMIFS(Parcels!$AW$2:$AW$3000,Parcels!$D$2:$D$3000,$B19)</f>
        <v>0</v>
      </c>
      <c r="P19" s="16" t="n">
        <f aca="false">SUMIFS(Parcels!$AX$2:$AX$3000,Parcels!$D$2:$D$3000,$B19)</f>
        <v>0</v>
      </c>
      <c r="Q19" s="16" t="n">
        <f aca="false">SUMIFS(Parcels!$AY$2:$AY$3000,Parcels!$D$2:$D$3000,$B19)</f>
        <v>0</v>
      </c>
    </row>
    <row r="20" customFormat="false" ht="15" hidden="false" customHeight="false" outlineLevel="0" collapsed="false">
      <c r="A20" s="15" t="s">
        <v>20</v>
      </c>
      <c r="B20" s="15" t="s">
        <v>64</v>
      </c>
      <c r="C20" s="16" t="n">
        <f aca="false">COUNTIFS(Parcels!$D$2:$D$3000,$B20)</f>
        <v>27</v>
      </c>
      <c r="D20" s="17" t="n">
        <f aca="false">SUMIFS(Parcels!$P$2:$P$3000,Parcels!$D$2:$D$3000,$B20)</f>
        <v>58.216</v>
      </c>
      <c r="E20" s="16" t="n">
        <f aca="false">SUMIFS(Parcels!$AM$2:$AM$3000,Parcels!$D$2:$D$3000,$B20)</f>
        <v>280</v>
      </c>
      <c r="F20" s="16" t="n">
        <f aca="false">SUMIFS(Parcels!$AI$2:$AI$3000,Parcels!$D$2:$D$3000,$B20)</f>
        <v>6</v>
      </c>
      <c r="G20" s="16" t="n">
        <f aca="false">SUMIFS(Parcels!$AJ$2:$AJ$3000,Parcels!$D$2:$D$3000,$B20)</f>
        <v>166</v>
      </c>
      <c r="H20" s="16" t="n">
        <f aca="false">SUMIFS(Parcels!$AK$2:$AK$3000,Parcels!$D$2:$D$3000,$B20)</f>
        <v>55</v>
      </c>
      <c r="I20" s="16" t="n">
        <f aca="false">SUMIFS(Parcels!$AP$2:$AP$3000,Parcels!$D$2:$D$3000,$B20)</f>
        <v>1209</v>
      </c>
      <c r="J20" s="16" t="n">
        <f aca="false">SUMIFS(Parcels!$AQ$2:$AQ$3000,Parcels!$D$2:$D$3000,$B20)</f>
        <v>1489</v>
      </c>
      <c r="K20" s="16" t="n">
        <f aca="false">SUMIFS(Parcels!$AS$2:$AS$3000,Parcels!$D$2:$D$3000,$B20)</f>
        <v>1453</v>
      </c>
      <c r="L20" s="16" t="n">
        <f aca="false">SUMIFS(Parcels!$AT$2:$AT$3000,Parcels!$D$2:$D$3000,$B20)</f>
        <v>38.7</v>
      </c>
      <c r="M20" s="16" t="n">
        <f aca="false">SUMIFS(Parcels!$AU$2:$AU$3000,Parcels!$D$2:$D$3000,$B20)</f>
        <v>127.3</v>
      </c>
      <c r="N20" s="16" t="n">
        <f aca="false">SUMIFS(Parcels!$AV$2:$AV$3000,Parcels!$D$2:$D$3000,$B20)</f>
        <v>40.2</v>
      </c>
      <c r="O20" s="16" t="n">
        <f aca="false">SUMIFS(Parcels!$AW$2:$AW$3000,Parcels!$D$2:$D$3000,$B20)</f>
        <v>14.8</v>
      </c>
      <c r="P20" s="16" t="n">
        <f aca="false">SUMIFS(Parcels!$AX$2:$AX$3000,Parcels!$D$2:$D$3000,$B20)</f>
        <v>0</v>
      </c>
      <c r="Q20" s="16" t="n">
        <f aca="false">SUMIFS(Parcels!$AY$2:$AY$3000,Parcels!$D$2:$D$3000,$B20)</f>
        <v>0</v>
      </c>
    </row>
    <row r="21" customFormat="false" ht="15" hidden="false" customHeight="false" outlineLevel="0" collapsed="false">
      <c r="A21" s="15" t="s">
        <v>20</v>
      </c>
      <c r="B21" s="15" t="s">
        <v>65</v>
      </c>
      <c r="C21" s="16" t="n">
        <f aca="false">COUNTIFS(Parcels!$D$2:$D$3000,$B21)</f>
        <v>11</v>
      </c>
      <c r="D21" s="17" t="n">
        <f aca="false">SUMIFS(Parcels!$P$2:$P$3000,Parcels!$D$2:$D$3000,$B21)</f>
        <v>8.243</v>
      </c>
      <c r="E21" s="16" t="n">
        <f aca="false">SUMIFS(Parcels!$AM$2:$AM$3000,Parcels!$D$2:$D$3000,$B21)</f>
        <v>11</v>
      </c>
      <c r="F21" s="16" t="n">
        <f aca="false">SUMIFS(Parcels!$AI$2:$AI$3000,Parcels!$D$2:$D$3000,$B21)</f>
        <v>0</v>
      </c>
      <c r="G21" s="16" t="n">
        <f aca="false">SUMIFS(Parcels!$AJ$2:$AJ$3000,Parcels!$D$2:$D$3000,$B21)</f>
        <v>11</v>
      </c>
      <c r="H21" s="16" t="n">
        <f aca="false">SUMIFS(Parcels!$AK$2:$AK$3000,Parcels!$D$2:$D$3000,$B21)</f>
        <v>0</v>
      </c>
      <c r="I21" s="16" t="n">
        <f aca="false">SUMIFS(Parcels!$AP$2:$AP$3000,Parcels!$D$2:$D$3000,$B21)</f>
        <v>189</v>
      </c>
      <c r="J21" s="16" t="n">
        <f aca="false">SUMIFS(Parcels!$AQ$2:$AQ$3000,Parcels!$D$2:$D$3000,$B21)</f>
        <v>200</v>
      </c>
      <c r="K21" s="16" t="n">
        <f aca="false">SUMIFS(Parcels!$AS$2:$AS$3000,Parcels!$D$2:$D$3000,$B21)</f>
        <v>200</v>
      </c>
      <c r="L21" s="16" t="n">
        <f aca="false">SUMIFS(Parcels!$AT$2:$AT$3000,Parcels!$D$2:$D$3000,$B21)</f>
        <v>2.6</v>
      </c>
      <c r="M21" s="16" t="n">
        <f aca="false">SUMIFS(Parcels!$AU$2:$AU$3000,Parcels!$D$2:$D$3000,$B21)</f>
        <v>8.4</v>
      </c>
      <c r="N21" s="16" t="n">
        <f aca="false">SUMIFS(Parcels!$AV$2:$AV$3000,Parcels!$D$2:$D$3000,$B21)</f>
        <v>0</v>
      </c>
      <c r="O21" s="16" t="n">
        <f aca="false">SUMIFS(Parcels!$AW$2:$AW$3000,Parcels!$D$2:$D$3000,$B21)</f>
        <v>0</v>
      </c>
      <c r="P21" s="16" t="n">
        <f aca="false">SUMIFS(Parcels!$AX$2:$AX$3000,Parcels!$D$2:$D$3000,$B21)</f>
        <v>0</v>
      </c>
      <c r="Q21" s="16" t="n">
        <f aca="false">SUMIFS(Parcels!$AY$2:$AY$3000,Parcels!$D$2:$D$3000,$B21)</f>
        <v>0</v>
      </c>
    </row>
    <row r="22" customFormat="false" ht="15" hidden="false" customHeight="false" outlineLevel="0" collapsed="false">
      <c r="A22" s="18" t="s">
        <v>66</v>
      </c>
      <c r="B22" s="19"/>
      <c r="C22" s="20" t="n">
        <f aca="false">SUM(C16:C21)</f>
        <v>80</v>
      </c>
      <c r="D22" s="20" t="n">
        <f aca="false">SUM(D16:D21)</f>
        <v>125.614</v>
      </c>
      <c r="E22" s="20" t="n">
        <f aca="false">SUM(E16:E21)</f>
        <v>618</v>
      </c>
      <c r="F22" s="20" t="n">
        <f aca="false">SUM(F16:F21)</f>
        <v>88</v>
      </c>
      <c r="G22" s="20" t="n">
        <f aca="false">SUM(G16:G21)</f>
        <v>321</v>
      </c>
      <c r="H22" s="20" t="n">
        <f aca="false">SUM(H16:H21)</f>
        <v>156</v>
      </c>
      <c r="I22" s="20" t="n">
        <f aca="false">SUM(I16:I21)</f>
        <v>2327</v>
      </c>
      <c r="J22" s="20" t="n">
        <f aca="false">SUM(J16:J21)</f>
        <v>2945</v>
      </c>
      <c r="K22" s="20" t="n">
        <f aca="false">SUM(K16:K21)</f>
        <v>2827</v>
      </c>
      <c r="L22" s="20" t="n">
        <f aca="false">SUM(L16:L21)</f>
        <v>59.7</v>
      </c>
      <c r="M22" s="20" t="n">
        <f aca="false">SUM(M16:M21)</f>
        <v>251.3</v>
      </c>
      <c r="N22" s="20" t="n">
        <f aca="false">SUM(N16:N21)</f>
        <v>115.8</v>
      </c>
      <c r="O22" s="20" t="n">
        <f aca="false">SUM(O16:O21)</f>
        <v>49.5</v>
      </c>
      <c r="P22" s="20" t="n">
        <f aca="false">SUM(P16:P21)</f>
        <v>0.7</v>
      </c>
      <c r="Q22" s="20" t="n">
        <f aca="false">SUM(Q16:Q21)</f>
        <v>0</v>
      </c>
    </row>
    <row r="24" customFormat="false" ht="15" hidden="false" customHeight="false" outlineLevel="0" collapsed="false">
      <c r="A24" s="15" t="s">
        <v>21</v>
      </c>
      <c r="B24" s="15" t="s">
        <v>67</v>
      </c>
      <c r="C24" s="16" t="n">
        <f aca="false">COUNTIFS(Parcels!$D$2:$D$3000,$B24)</f>
        <v>13</v>
      </c>
      <c r="D24" s="17" t="n">
        <f aca="false">SUMIFS(Parcels!$P$2:$P$3000,Parcels!$D$2:$D$3000,$B24)</f>
        <v>34.555</v>
      </c>
      <c r="E24" s="16" t="n">
        <f aca="false">SUMIFS(Parcels!$AM$2:$AM$3000,Parcels!$D$2:$D$3000,$B24)</f>
        <v>226</v>
      </c>
      <c r="F24" s="16" t="n">
        <f aca="false">SUMIFS(Parcels!$AI$2:$AI$3000,Parcels!$D$2:$D$3000,$B24)</f>
        <v>0</v>
      </c>
      <c r="G24" s="16" t="n">
        <f aca="false">SUMIFS(Parcels!$AJ$2:$AJ$3000,Parcels!$D$2:$D$3000,$B24)</f>
        <v>15</v>
      </c>
      <c r="H24" s="16" t="n">
        <f aca="false">SUMIFS(Parcels!$AK$2:$AK$3000,Parcels!$D$2:$D$3000,$B24)</f>
        <v>211</v>
      </c>
      <c r="I24" s="16" t="n">
        <f aca="false">SUMIFS(Parcels!$AP$2:$AP$3000,Parcels!$D$2:$D$3000,$B24)</f>
        <v>191</v>
      </c>
      <c r="J24" s="16" t="n">
        <f aca="false">SUMIFS(Parcels!$AQ$2:$AQ$3000,Parcels!$D$2:$D$3000,$B24)</f>
        <v>417</v>
      </c>
      <c r="K24" s="16" t="n">
        <f aca="false">SUMIFS(Parcels!$AS$2:$AS$3000,Parcels!$D$2:$D$3000,$B24)</f>
        <v>415</v>
      </c>
      <c r="L24" s="16" t="n">
        <f aca="false">SUMIFS(Parcels!$AT$2:$AT$3000,Parcels!$D$2:$D$3000,$B24)</f>
        <v>1.2</v>
      </c>
      <c r="M24" s="16" t="n">
        <f aca="false">SUMIFS(Parcels!$AU$2:$AU$3000,Parcels!$D$2:$D$3000,$B24)</f>
        <v>10.7</v>
      </c>
      <c r="N24" s="16" t="n">
        <f aca="false">SUMIFS(Parcels!$AV$2:$AV$3000,Parcels!$D$2:$D$3000,$B24)</f>
        <v>92.1</v>
      </c>
      <c r="O24" s="16" t="n">
        <f aca="false">SUMIFS(Parcels!$AW$2:$AW$3000,Parcels!$D$2:$D$3000,$B24)</f>
        <v>99.8</v>
      </c>
      <c r="P24" s="16" t="n">
        <f aca="false">SUMIFS(Parcels!$AX$2:$AX$3000,Parcels!$D$2:$D$3000,$B24)</f>
        <v>22.2</v>
      </c>
      <c r="Q24" s="16" t="n">
        <f aca="false">SUMIFS(Parcels!$AY$2:$AY$3000,Parcels!$D$2:$D$3000,$B24)</f>
        <v>0</v>
      </c>
    </row>
    <row r="25" customFormat="false" ht="15" hidden="false" customHeight="false" outlineLevel="0" collapsed="false">
      <c r="A25" s="15" t="s">
        <v>21</v>
      </c>
      <c r="B25" s="15" t="s">
        <v>68</v>
      </c>
      <c r="C25" s="16" t="n">
        <f aca="false">COUNTIFS(Parcels!$D$2:$D$3000,$B25)</f>
        <v>8</v>
      </c>
      <c r="D25" s="17" t="n">
        <f aca="false">SUMIFS(Parcels!$P$2:$P$3000,Parcels!$D$2:$D$3000,$B25)</f>
        <v>6.843</v>
      </c>
      <c r="E25" s="16" t="n">
        <f aca="false">SUMIFS(Parcels!$AM$2:$AM$3000,Parcels!$D$2:$D$3000,$B25)</f>
        <v>102</v>
      </c>
      <c r="F25" s="16" t="n">
        <f aca="false">SUMIFS(Parcels!$AI$2:$AI$3000,Parcels!$D$2:$D$3000,$B25)</f>
        <v>2</v>
      </c>
      <c r="G25" s="16" t="n">
        <f aca="false">SUMIFS(Parcels!$AJ$2:$AJ$3000,Parcels!$D$2:$D$3000,$B25)</f>
        <v>18</v>
      </c>
      <c r="H25" s="16" t="n">
        <f aca="false">SUMIFS(Parcels!$AK$2:$AK$3000,Parcels!$D$2:$D$3000,$B25)</f>
        <v>82</v>
      </c>
      <c r="I25" s="16" t="n">
        <f aca="false">SUMIFS(Parcels!$AP$2:$AP$3000,Parcels!$D$2:$D$3000,$B25)</f>
        <v>41</v>
      </c>
      <c r="J25" s="16" t="n">
        <f aca="false">SUMIFS(Parcels!$AQ$2:$AQ$3000,Parcels!$D$2:$D$3000,$B25)</f>
        <v>143</v>
      </c>
      <c r="K25" s="16" t="n">
        <f aca="false">SUMIFS(Parcels!$AS$2:$AS$3000,Parcels!$D$2:$D$3000,$B25)</f>
        <v>141</v>
      </c>
      <c r="L25" s="16" t="n">
        <f aca="false">SUMIFS(Parcels!$AT$2:$AT$3000,Parcels!$D$2:$D$3000,$B25)</f>
        <v>0</v>
      </c>
      <c r="M25" s="16" t="n">
        <f aca="false">SUMIFS(Parcels!$AU$2:$AU$3000,Parcels!$D$2:$D$3000,$B25)</f>
        <v>10.2</v>
      </c>
      <c r="N25" s="16" t="n">
        <f aca="false">SUMIFS(Parcels!$AV$2:$AV$3000,Parcels!$D$2:$D$3000,$B25)</f>
        <v>36.7</v>
      </c>
      <c r="O25" s="16" t="n">
        <f aca="false">SUMIFS(Parcels!$AW$2:$AW$3000,Parcels!$D$2:$D$3000,$B25)</f>
        <v>53.1</v>
      </c>
      <c r="P25" s="16" t="n">
        <f aca="false">SUMIFS(Parcels!$AX$2:$AX$3000,Parcels!$D$2:$D$3000,$B25)</f>
        <v>0</v>
      </c>
      <c r="Q25" s="16" t="n">
        <f aca="false">SUMIFS(Parcels!$AY$2:$AY$3000,Parcels!$D$2:$D$3000,$B25)</f>
        <v>0</v>
      </c>
    </row>
    <row r="26" customFormat="false" ht="15" hidden="false" customHeight="false" outlineLevel="0" collapsed="false">
      <c r="A26" s="15" t="s">
        <v>21</v>
      </c>
      <c r="B26" s="15" t="s">
        <v>69</v>
      </c>
      <c r="C26" s="16" t="n">
        <f aca="false">COUNTIFS(Parcels!$D$2:$D$3000,$B26)</f>
        <v>7</v>
      </c>
      <c r="D26" s="17" t="n">
        <f aca="false">SUMIFS(Parcels!$P$2:$P$3000,Parcels!$D$2:$D$3000,$B26)</f>
        <v>3.724</v>
      </c>
      <c r="E26" s="16" t="n">
        <f aca="false">SUMIFS(Parcels!$AM$2:$AM$3000,Parcels!$D$2:$D$3000,$B26)</f>
        <v>56</v>
      </c>
      <c r="F26" s="16" t="n">
        <f aca="false">SUMIFS(Parcels!$AI$2:$AI$3000,Parcels!$D$2:$D$3000,$B26)</f>
        <v>27</v>
      </c>
      <c r="G26" s="16" t="n">
        <f aca="false">SUMIFS(Parcels!$AJ$2:$AJ$3000,Parcels!$D$2:$D$3000,$B26)</f>
        <v>22</v>
      </c>
      <c r="H26" s="16" t="n">
        <f aca="false">SUMIFS(Parcels!$AK$2:$AK$3000,Parcels!$D$2:$D$3000,$B26)</f>
        <v>7</v>
      </c>
      <c r="I26" s="16" t="n">
        <f aca="false">SUMIFS(Parcels!$AP$2:$AP$3000,Parcels!$D$2:$D$3000,$B26)</f>
        <v>20</v>
      </c>
      <c r="J26" s="16" t="n">
        <f aca="false">SUMIFS(Parcels!$AQ$2:$AQ$3000,Parcels!$D$2:$D$3000,$B26)</f>
        <v>76</v>
      </c>
      <c r="K26" s="16" t="n">
        <f aca="false">SUMIFS(Parcels!$AS$2:$AS$3000,Parcels!$D$2:$D$3000,$B26)</f>
        <v>49</v>
      </c>
      <c r="L26" s="16" t="n">
        <f aca="false">SUMIFS(Parcels!$AT$2:$AT$3000,Parcels!$D$2:$D$3000,$B26)</f>
        <v>3.1</v>
      </c>
      <c r="M26" s="16" t="n">
        <f aca="false">SUMIFS(Parcels!$AU$2:$AU$3000,Parcels!$D$2:$D$3000,$B26)</f>
        <v>13.5</v>
      </c>
      <c r="N26" s="16" t="n">
        <f aca="false">SUMIFS(Parcels!$AV$2:$AV$3000,Parcels!$D$2:$D$3000,$B26)</f>
        <v>9.8</v>
      </c>
      <c r="O26" s="16" t="n">
        <f aca="false">SUMIFS(Parcels!$AW$2:$AW$3000,Parcels!$D$2:$D$3000,$B26)</f>
        <v>2.6</v>
      </c>
      <c r="P26" s="16" t="n">
        <f aca="false">SUMIFS(Parcels!$AX$2:$AX$3000,Parcels!$D$2:$D$3000,$B26)</f>
        <v>0</v>
      </c>
      <c r="Q26" s="16" t="n">
        <f aca="false">SUMIFS(Parcels!$AY$2:$AY$3000,Parcels!$D$2:$D$3000,$B26)</f>
        <v>0</v>
      </c>
    </row>
    <row r="27" customFormat="false" ht="15" hidden="false" customHeight="false" outlineLevel="0" collapsed="false">
      <c r="A27" s="15" t="s">
        <v>21</v>
      </c>
      <c r="B27" s="15" t="s">
        <v>70</v>
      </c>
      <c r="C27" s="16" t="n">
        <f aca="false">COUNTIFS(Parcels!$D$2:$D$3000,$B27)</f>
        <v>13</v>
      </c>
      <c r="D27" s="17" t="n">
        <f aca="false">SUMIFS(Parcels!$P$2:$P$3000,Parcels!$D$2:$D$3000,$B27)</f>
        <v>13.627</v>
      </c>
      <c r="E27" s="16" t="n">
        <f aca="false">SUMIFS(Parcels!$AM$2:$AM$3000,Parcels!$D$2:$D$3000,$B27)</f>
        <v>137</v>
      </c>
      <c r="F27" s="16" t="n">
        <f aca="false">SUMIFS(Parcels!$AI$2:$AI$3000,Parcels!$D$2:$D$3000,$B27)</f>
        <v>16</v>
      </c>
      <c r="G27" s="16" t="n">
        <f aca="false">SUMIFS(Parcels!$AJ$2:$AJ$3000,Parcels!$D$2:$D$3000,$B27)</f>
        <v>0</v>
      </c>
      <c r="H27" s="16" t="n">
        <f aca="false">SUMIFS(Parcels!$AK$2:$AK$3000,Parcels!$D$2:$D$3000,$B27)</f>
        <v>121</v>
      </c>
      <c r="I27" s="16" t="n">
        <f aca="false">SUMIFS(Parcels!$AP$2:$AP$3000,Parcels!$D$2:$D$3000,$B27)</f>
        <v>192</v>
      </c>
      <c r="J27" s="16" t="n">
        <f aca="false">SUMIFS(Parcels!$AQ$2:$AQ$3000,Parcels!$D$2:$D$3000,$B27)</f>
        <v>329</v>
      </c>
      <c r="K27" s="16" t="n">
        <f aca="false">SUMIFS(Parcels!$AS$2:$AS$3000,Parcels!$D$2:$D$3000,$B27)</f>
        <v>313</v>
      </c>
      <c r="L27" s="16" t="n">
        <f aca="false">SUMIFS(Parcels!$AT$2:$AT$3000,Parcels!$D$2:$D$3000,$B27)</f>
        <v>0</v>
      </c>
      <c r="M27" s="16" t="n">
        <f aca="false">SUMIFS(Parcels!$AU$2:$AU$3000,Parcels!$D$2:$D$3000,$B27)</f>
        <v>0</v>
      </c>
      <c r="N27" s="16" t="n">
        <f aca="false">SUMIFS(Parcels!$AV$2:$AV$3000,Parcels!$D$2:$D$3000,$B27)</f>
        <v>85.7</v>
      </c>
      <c r="O27" s="16" t="n">
        <f aca="false">SUMIFS(Parcels!$AW$2:$AW$3000,Parcels!$D$2:$D$3000,$B27)</f>
        <v>35.3</v>
      </c>
      <c r="P27" s="16" t="n">
        <f aca="false">SUMIFS(Parcels!$AX$2:$AX$3000,Parcels!$D$2:$D$3000,$B27)</f>
        <v>0</v>
      </c>
      <c r="Q27" s="16" t="n">
        <f aca="false">SUMIFS(Parcels!$AY$2:$AY$3000,Parcels!$D$2:$D$3000,$B27)</f>
        <v>0</v>
      </c>
    </row>
    <row r="28" customFormat="false" ht="15" hidden="false" customHeight="false" outlineLevel="0" collapsed="false">
      <c r="A28" s="15" t="s">
        <v>21</v>
      </c>
      <c r="B28" s="15" t="s">
        <v>71</v>
      </c>
      <c r="C28" s="16" t="n">
        <f aca="false">COUNTIFS(Parcels!$D$2:$D$3000,$B28)</f>
        <v>6</v>
      </c>
      <c r="D28" s="17" t="n">
        <f aca="false">SUMIFS(Parcels!$P$2:$P$3000,Parcels!$D$2:$D$3000,$B28)</f>
        <v>7.019</v>
      </c>
      <c r="E28" s="16" t="n">
        <f aca="false">SUMIFS(Parcels!$AM$2:$AM$3000,Parcels!$D$2:$D$3000,$B28)</f>
        <v>20</v>
      </c>
      <c r="F28" s="16" t="n">
        <f aca="false">SUMIFS(Parcels!$AI$2:$AI$3000,Parcels!$D$2:$D$3000,$B28)</f>
        <v>20</v>
      </c>
      <c r="G28" s="16" t="n">
        <f aca="false">SUMIFS(Parcels!$AJ$2:$AJ$3000,Parcels!$D$2:$D$3000,$B28)</f>
        <v>0</v>
      </c>
      <c r="H28" s="16" t="n">
        <f aca="false">SUMIFS(Parcels!$AK$2:$AK$3000,Parcels!$D$2:$D$3000,$B28)</f>
        <v>0</v>
      </c>
      <c r="I28" s="16" t="n">
        <f aca="false">SUMIFS(Parcels!$AP$2:$AP$3000,Parcels!$D$2:$D$3000,$B28)</f>
        <v>128</v>
      </c>
      <c r="J28" s="16" t="n">
        <f aca="false">SUMIFS(Parcels!$AQ$2:$AQ$3000,Parcels!$D$2:$D$3000,$B28)</f>
        <v>148</v>
      </c>
      <c r="K28" s="16" t="n">
        <f aca="false">SUMIFS(Parcels!$AS$2:$AS$3000,Parcels!$D$2:$D$3000,$B28)</f>
        <v>128</v>
      </c>
      <c r="L28" s="16" t="n">
        <f aca="false">SUMIFS(Parcels!$AT$2:$AT$3000,Parcels!$D$2:$D$3000,$B28)</f>
        <v>0</v>
      </c>
      <c r="M28" s="16" t="n">
        <f aca="false">SUMIFS(Parcels!$AU$2:$AU$3000,Parcels!$D$2:$D$3000,$B28)</f>
        <v>0</v>
      </c>
      <c r="N28" s="16" t="n">
        <f aca="false">SUMIFS(Parcels!$AV$2:$AV$3000,Parcels!$D$2:$D$3000,$B28)</f>
        <v>0</v>
      </c>
      <c r="O28" s="16" t="n">
        <f aca="false">SUMIFS(Parcels!$AW$2:$AW$3000,Parcels!$D$2:$D$3000,$B28)</f>
        <v>0</v>
      </c>
      <c r="P28" s="16" t="n">
        <f aca="false">SUMIFS(Parcels!$AX$2:$AX$3000,Parcels!$D$2:$D$3000,$B28)</f>
        <v>0</v>
      </c>
      <c r="Q28" s="16" t="n">
        <f aca="false">SUMIFS(Parcels!$AY$2:$AY$3000,Parcels!$D$2:$D$3000,$B28)</f>
        <v>0</v>
      </c>
    </row>
    <row r="29" customFormat="false" ht="15" hidden="false" customHeight="false" outlineLevel="0" collapsed="false">
      <c r="A29" s="15" t="s">
        <v>21</v>
      </c>
      <c r="B29" s="15" t="s">
        <v>72</v>
      </c>
      <c r="C29" s="16" t="n">
        <f aca="false">COUNTIFS(Parcels!$D$2:$D$3000,$B29)</f>
        <v>8</v>
      </c>
      <c r="D29" s="17" t="n">
        <f aca="false">SUMIFS(Parcels!$P$2:$P$3000,Parcels!$D$2:$D$3000,$B29)</f>
        <v>4.521</v>
      </c>
      <c r="E29" s="16" t="n">
        <f aca="false">SUMIFS(Parcels!$AM$2:$AM$3000,Parcels!$D$2:$D$3000,$B29)</f>
        <v>33</v>
      </c>
      <c r="F29" s="16" t="n">
        <f aca="false">SUMIFS(Parcels!$AI$2:$AI$3000,Parcels!$D$2:$D$3000,$B29)</f>
        <v>19</v>
      </c>
      <c r="G29" s="16" t="n">
        <f aca="false">SUMIFS(Parcels!$AJ$2:$AJ$3000,Parcels!$D$2:$D$3000,$B29)</f>
        <v>14</v>
      </c>
      <c r="H29" s="16" t="n">
        <f aca="false">SUMIFS(Parcels!$AK$2:$AK$3000,Parcels!$D$2:$D$3000,$B29)</f>
        <v>0</v>
      </c>
      <c r="I29" s="16" t="n">
        <f aca="false">SUMIFS(Parcels!$AP$2:$AP$3000,Parcels!$D$2:$D$3000,$B29)</f>
        <v>58</v>
      </c>
      <c r="J29" s="16" t="n">
        <f aca="false">SUMIFS(Parcels!$AQ$2:$AQ$3000,Parcels!$D$2:$D$3000,$B29)</f>
        <v>91</v>
      </c>
      <c r="K29" s="16" t="n">
        <f aca="false">SUMIFS(Parcels!$AS$2:$AS$3000,Parcels!$D$2:$D$3000,$B29)</f>
        <v>72</v>
      </c>
      <c r="L29" s="16" t="n">
        <f aca="false">SUMIFS(Parcels!$AT$2:$AT$3000,Parcels!$D$2:$D$3000,$B29)</f>
        <v>3.3</v>
      </c>
      <c r="M29" s="16" t="n">
        <f aca="false">SUMIFS(Parcels!$AU$2:$AU$3000,Parcels!$D$2:$D$3000,$B29)</f>
        <v>10.7</v>
      </c>
      <c r="N29" s="16" t="n">
        <f aca="false">SUMIFS(Parcels!$AV$2:$AV$3000,Parcels!$D$2:$D$3000,$B29)</f>
        <v>0</v>
      </c>
      <c r="O29" s="16" t="n">
        <f aca="false">SUMIFS(Parcels!$AW$2:$AW$3000,Parcels!$D$2:$D$3000,$B29)</f>
        <v>0</v>
      </c>
      <c r="P29" s="16" t="n">
        <f aca="false">SUMIFS(Parcels!$AX$2:$AX$3000,Parcels!$D$2:$D$3000,$B29)</f>
        <v>0</v>
      </c>
      <c r="Q29" s="16" t="n">
        <f aca="false">SUMIFS(Parcels!$AY$2:$AY$3000,Parcels!$D$2:$D$3000,$B29)</f>
        <v>0</v>
      </c>
    </row>
    <row r="30" customFormat="false" ht="15" hidden="false" customHeight="false" outlineLevel="0" collapsed="false">
      <c r="A30" s="15" t="s">
        <v>21</v>
      </c>
      <c r="B30" s="15" t="s">
        <v>73</v>
      </c>
      <c r="C30" s="16" t="n">
        <f aca="false">COUNTIFS(Parcels!$D$2:$D$3000,$B30)</f>
        <v>5</v>
      </c>
      <c r="D30" s="17" t="n">
        <f aca="false">SUMIFS(Parcels!$P$2:$P$3000,Parcels!$D$2:$D$3000,$B30)</f>
        <v>6.409</v>
      </c>
      <c r="E30" s="16" t="n">
        <f aca="false">SUMIFS(Parcels!$AM$2:$AM$3000,Parcels!$D$2:$D$3000,$B30)</f>
        <v>36</v>
      </c>
      <c r="F30" s="16" t="n">
        <f aca="false">SUMIFS(Parcels!$AI$2:$AI$3000,Parcels!$D$2:$D$3000,$B30)</f>
        <v>0</v>
      </c>
      <c r="G30" s="16" t="n">
        <f aca="false">SUMIFS(Parcels!$AJ$2:$AJ$3000,Parcels!$D$2:$D$3000,$B30)</f>
        <v>4</v>
      </c>
      <c r="H30" s="16" t="n">
        <f aca="false">SUMIFS(Parcels!$AK$2:$AK$3000,Parcels!$D$2:$D$3000,$B30)</f>
        <v>0</v>
      </c>
      <c r="I30" s="16" t="n">
        <f aca="false">SUMIFS(Parcels!$AP$2:$AP$3000,Parcels!$D$2:$D$3000,$B30)</f>
        <v>81</v>
      </c>
      <c r="J30" s="16" t="n">
        <f aca="false">SUMIFS(Parcels!$AQ$2:$AQ$3000,Parcels!$D$2:$D$3000,$B30)</f>
        <v>117</v>
      </c>
      <c r="K30" s="16" t="n">
        <f aca="false">SUMIFS(Parcels!$AS$2:$AS$3000,Parcels!$D$2:$D$3000,$B30)</f>
        <v>117</v>
      </c>
      <c r="L30" s="16" t="n">
        <f aca="false">SUMIFS(Parcels!$AT$2:$AT$3000,Parcels!$D$2:$D$3000,$B30)</f>
        <v>0</v>
      </c>
      <c r="M30" s="16" t="n">
        <f aca="false">SUMIFS(Parcels!$AU$2:$AU$3000,Parcels!$D$2:$D$3000,$B30)</f>
        <v>3.7</v>
      </c>
      <c r="N30" s="16" t="n">
        <f aca="false">SUMIFS(Parcels!$AV$2:$AV$3000,Parcels!$D$2:$D$3000,$B30)</f>
        <v>0.3</v>
      </c>
      <c r="O30" s="16" t="n">
        <f aca="false">SUMIFS(Parcels!$AW$2:$AW$3000,Parcels!$D$2:$D$3000,$B30)</f>
        <v>0</v>
      </c>
      <c r="P30" s="16" t="n">
        <f aca="false">SUMIFS(Parcels!$AX$2:$AX$3000,Parcels!$D$2:$D$3000,$B30)</f>
        <v>0</v>
      </c>
      <c r="Q30" s="16" t="n">
        <f aca="false">SUMIFS(Parcels!$AY$2:$AY$3000,Parcels!$D$2:$D$3000,$B30)</f>
        <v>0</v>
      </c>
    </row>
    <row r="31" customFormat="false" ht="15" hidden="false" customHeight="false" outlineLevel="0" collapsed="false">
      <c r="A31" s="15" t="s">
        <v>21</v>
      </c>
      <c r="B31" s="15" t="s">
        <v>74</v>
      </c>
      <c r="C31" s="16" t="n">
        <f aca="false">COUNTIFS(Parcels!$D$2:$D$3000,$B31)</f>
        <v>20</v>
      </c>
      <c r="D31" s="17" t="n">
        <f aca="false">SUMIFS(Parcels!$P$2:$P$3000,Parcels!$D$2:$D$3000,$B31)</f>
        <v>27.786</v>
      </c>
      <c r="E31" s="16" t="n">
        <f aca="false">SUMIFS(Parcels!$AM$2:$AM$3000,Parcels!$D$2:$D$3000,$B31)</f>
        <v>510</v>
      </c>
      <c r="F31" s="16" t="n">
        <f aca="false">SUMIFS(Parcels!$AI$2:$AI$3000,Parcels!$D$2:$D$3000,$B31)</f>
        <v>79</v>
      </c>
      <c r="G31" s="16" t="n">
        <f aca="false">SUMIFS(Parcels!$AJ$2:$AJ$3000,Parcels!$D$2:$D$3000,$B31)</f>
        <v>257</v>
      </c>
      <c r="H31" s="16" t="n">
        <f aca="false">SUMIFS(Parcels!$AK$2:$AK$3000,Parcels!$D$2:$D$3000,$B31)</f>
        <v>134</v>
      </c>
      <c r="I31" s="16" t="n">
        <f aca="false">SUMIFS(Parcels!$AP$2:$AP$3000,Parcels!$D$2:$D$3000,$B31)</f>
        <v>78</v>
      </c>
      <c r="J31" s="16" t="n">
        <f aca="false">SUMIFS(Parcels!$AQ$2:$AQ$3000,Parcels!$D$2:$D$3000,$B31)</f>
        <v>588</v>
      </c>
      <c r="K31" s="16" t="n">
        <f aca="false">SUMIFS(Parcels!$AS$2:$AS$3000,Parcels!$D$2:$D$3000,$B31)</f>
        <v>485</v>
      </c>
      <c r="L31" s="16" t="n">
        <f aca="false">SUMIFS(Parcels!$AT$2:$AT$3000,Parcels!$D$2:$D$3000,$B31)</f>
        <v>36.1</v>
      </c>
      <c r="M31" s="16" t="n">
        <f aca="false">SUMIFS(Parcels!$AU$2:$AU$3000,Parcels!$D$2:$D$3000,$B31)</f>
        <v>149</v>
      </c>
      <c r="N31" s="16" t="n">
        <f aca="false">SUMIFS(Parcels!$AV$2:$AV$3000,Parcels!$D$2:$D$3000,$B31)</f>
        <v>133.4</v>
      </c>
      <c r="O31" s="16" t="n">
        <f aca="false">SUMIFS(Parcels!$AW$2:$AW$3000,Parcels!$D$2:$D$3000,$B31)</f>
        <v>67.5</v>
      </c>
      <c r="P31" s="16" t="n">
        <f aca="false">SUMIFS(Parcels!$AX$2:$AX$3000,Parcels!$D$2:$D$3000,$B31)</f>
        <v>5</v>
      </c>
      <c r="Q31" s="16" t="n">
        <f aca="false">SUMIFS(Parcels!$AY$2:$AY$3000,Parcels!$D$2:$D$3000,$B31)</f>
        <v>0</v>
      </c>
    </row>
    <row r="32" customFormat="false" ht="15" hidden="false" customHeight="false" outlineLevel="0" collapsed="false">
      <c r="A32" s="18" t="s">
        <v>75</v>
      </c>
      <c r="B32" s="19"/>
      <c r="C32" s="20" t="n">
        <f aca="false">SUM(C24:C31)</f>
        <v>80</v>
      </c>
      <c r="D32" s="20" t="n">
        <f aca="false">SUM(D24:D31)</f>
        <v>104.484</v>
      </c>
      <c r="E32" s="20" t="n">
        <f aca="false">SUM(E24:E31)</f>
        <v>1120</v>
      </c>
      <c r="F32" s="20" t="n">
        <f aca="false">SUM(F24:F31)</f>
        <v>163</v>
      </c>
      <c r="G32" s="20" t="n">
        <f aca="false">SUM(G24:G31)</f>
        <v>330</v>
      </c>
      <c r="H32" s="20" t="n">
        <f aca="false">SUM(H24:H31)</f>
        <v>555</v>
      </c>
      <c r="I32" s="20" t="n">
        <f aca="false">SUM(I24:I31)</f>
        <v>789</v>
      </c>
      <c r="J32" s="20" t="n">
        <f aca="false">SUM(J24:J31)</f>
        <v>1909</v>
      </c>
      <c r="K32" s="20" t="n">
        <f aca="false">SUM(K24:K31)</f>
        <v>1720</v>
      </c>
      <c r="L32" s="20" t="n">
        <f aca="false">SUM(L24:L31)</f>
        <v>43.7</v>
      </c>
      <c r="M32" s="20" t="n">
        <f aca="false">SUM(M24:M31)</f>
        <v>197.8</v>
      </c>
      <c r="N32" s="20" t="n">
        <f aca="false">SUM(N24:N31)</f>
        <v>358</v>
      </c>
      <c r="O32" s="20" t="n">
        <f aca="false">SUM(O24:O31)</f>
        <v>258.3</v>
      </c>
      <c r="P32" s="20" t="n">
        <f aca="false">SUM(P24:P31)</f>
        <v>27.2</v>
      </c>
      <c r="Q32" s="20" t="n">
        <f aca="false">SUM(Q24:Q31)</f>
        <v>0</v>
      </c>
    </row>
    <row r="34" customFormat="false" ht="15" hidden="false" customHeight="false" outlineLevel="0" collapsed="false">
      <c r="A34" s="15" t="s">
        <v>22</v>
      </c>
      <c r="B34" s="15" t="s">
        <v>22</v>
      </c>
      <c r="C34" s="16" t="n">
        <f aca="false">COUNTIFS(Parcels!$D$2:$D$3000,$B34)</f>
        <v>46</v>
      </c>
      <c r="D34" s="17" t="n">
        <f aca="false">SUMIFS(Parcels!$P$2:$P$3000,Parcels!$D$2:$D$3000,$B34)</f>
        <v>42.26</v>
      </c>
      <c r="E34" s="16" t="n">
        <f aca="false">SUMIFS(Parcels!$AM$2:$AM$3000,Parcels!$D$2:$D$3000,$B34)</f>
        <v>213</v>
      </c>
      <c r="F34" s="16" t="n">
        <f aca="false">SUMIFS(Parcels!$AI$2:$AI$3000,Parcels!$D$2:$D$3000,$B34)</f>
        <v>44</v>
      </c>
      <c r="G34" s="16" t="n">
        <f aca="false">SUMIFS(Parcels!$AJ$2:$AJ$3000,Parcels!$D$2:$D$3000,$B34)</f>
        <v>106</v>
      </c>
      <c r="H34" s="16" t="n">
        <f aca="false">SUMIFS(Parcels!$AK$2:$AK$3000,Parcels!$D$2:$D$3000,$B34)</f>
        <v>63</v>
      </c>
      <c r="I34" s="16" t="n">
        <f aca="false">SUMIFS(Parcels!$AP$2:$AP$3000,Parcels!$D$2:$D$3000,$B34)</f>
        <v>416</v>
      </c>
      <c r="J34" s="16" t="n">
        <f aca="false">SUMIFS(Parcels!$AQ$2:$AQ$3000,Parcels!$D$2:$D$3000,$B34)</f>
        <v>629</v>
      </c>
      <c r="K34" s="16" t="n">
        <f aca="false">SUMIFS(Parcels!$AS$2:$AS$3000,Parcels!$D$2:$D$3000,$B34)</f>
        <v>582</v>
      </c>
      <c r="L34" s="16" t="n">
        <f aca="false">SUMIFS(Parcels!$AT$2:$AT$3000,Parcels!$D$2:$D$3000,$B34)</f>
        <v>24.1</v>
      </c>
      <c r="M34" s="16" t="n">
        <f aca="false">SUMIFS(Parcels!$AU$2:$AU$3000,Parcels!$D$2:$D$3000,$B34)</f>
        <v>81.9</v>
      </c>
      <c r="N34" s="16" t="n">
        <f aca="false">SUMIFS(Parcels!$AV$2:$AV$3000,Parcels!$D$2:$D$3000,$B34)</f>
        <v>38.3</v>
      </c>
      <c r="O34" s="16" t="n">
        <f aca="false">SUMIFS(Parcels!$AW$2:$AW$3000,Parcels!$D$2:$D$3000,$B34)</f>
        <v>24.7</v>
      </c>
      <c r="P34" s="16" t="n">
        <f aca="false">SUMIFS(Parcels!$AX$2:$AX$3000,Parcels!$D$2:$D$3000,$B34)</f>
        <v>0</v>
      </c>
      <c r="Q34" s="16" t="n">
        <f aca="false">SUMIFS(Parcels!$AY$2:$AY$3000,Parcels!$D$2:$D$3000,$B34)</f>
        <v>0</v>
      </c>
    </row>
    <row r="35" customFormat="false" ht="15" hidden="false" customHeight="false" outlineLevel="0" collapsed="false">
      <c r="A35" s="18" t="s">
        <v>76</v>
      </c>
      <c r="B35" s="19"/>
      <c r="C35" s="20" t="n">
        <f aca="false">SUM(C34:C34)</f>
        <v>46</v>
      </c>
      <c r="D35" s="20" t="n">
        <f aca="false">SUM(D34:D34)</f>
        <v>42.26</v>
      </c>
      <c r="E35" s="20" t="n">
        <f aca="false">SUM(E34:E34)</f>
        <v>213</v>
      </c>
      <c r="F35" s="20" t="n">
        <f aca="false">SUM(F34:F34)</f>
        <v>44</v>
      </c>
      <c r="G35" s="20" t="n">
        <f aca="false">SUM(G34:G34)</f>
        <v>106</v>
      </c>
      <c r="H35" s="20" t="n">
        <f aca="false">SUM(H34:H34)</f>
        <v>63</v>
      </c>
      <c r="I35" s="20" t="n">
        <f aca="false">SUM(I34:I34)</f>
        <v>416</v>
      </c>
      <c r="J35" s="20" t="n">
        <f aca="false">SUM(J34:J34)</f>
        <v>629</v>
      </c>
      <c r="K35" s="20" t="n">
        <f aca="false">SUM(K34:K34)</f>
        <v>582</v>
      </c>
      <c r="L35" s="20" t="n">
        <f aca="false">SUM(L34:L34)</f>
        <v>24.1</v>
      </c>
      <c r="M35" s="20" t="n">
        <f aca="false">SUM(M34:M34)</f>
        <v>81.9</v>
      </c>
      <c r="N35" s="20" t="n">
        <f aca="false">SUM(N34:N34)</f>
        <v>38.3</v>
      </c>
      <c r="O35" s="20" t="n">
        <f aca="false">SUM(O34:O34)</f>
        <v>24.7</v>
      </c>
      <c r="P35" s="20" t="n">
        <f aca="false">SUM(P34:P34)</f>
        <v>0</v>
      </c>
      <c r="Q35" s="20" t="n">
        <f aca="false">SUM(Q34:Q34)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5" hidden="false" customHeight="false" outlineLevel="0" collapsed="false">
      <c r="A1" s="21" t="s">
        <v>77</v>
      </c>
      <c r="B1" s="22" t="s">
        <v>78</v>
      </c>
    </row>
    <row r="2" customFormat="false" ht="15" hidden="false" customHeight="false" outlineLevel="0" collapsed="false">
      <c r="A2" s="21" t="s">
        <v>79</v>
      </c>
      <c r="B2" s="22" t="s">
        <v>80</v>
      </c>
    </row>
    <row r="3" customFormat="false" ht="23.85" hidden="false" customHeight="false" outlineLevel="0" collapsed="false">
      <c r="A3" s="21" t="s">
        <v>81</v>
      </c>
      <c r="B3" s="22" t="s">
        <v>82</v>
      </c>
    </row>
    <row r="4" customFormat="false" ht="23.85" hidden="false" customHeight="false" outlineLevel="0" collapsed="false">
      <c r="A4" s="21" t="s">
        <v>83</v>
      </c>
      <c r="B4" s="22" t="s">
        <v>84</v>
      </c>
    </row>
    <row r="5" customFormat="false" ht="23.85" hidden="false" customHeight="false" outlineLevel="0" collapsed="false">
      <c r="A5" s="21" t="s">
        <v>85</v>
      </c>
      <c r="B5" s="22" t="s">
        <v>86</v>
      </c>
    </row>
    <row r="6" customFormat="false" ht="15" hidden="false" customHeight="false" outlineLevel="0" collapsed="false">
      <c r="A6" s="21" t="s">
        <v>87</v>
      </c>
      <c r="B6" s="22" t="s">
        <v>88</v>
      </c>
    </row>
    <row r="7" customFormat="false" ht="23.85" hidden="false" customHeight="false" outlineLevel="0" collapsed="false">
      <c r="A7" s="21" t="s">
        <v>89</v>
      </c>
      <c r="B7" s="22" t="s">
        <v>90</v>
      </c>
    </row>
    <row r="8" customFormat="false" ht="23.85" hidden="false" customHeight="false" outlineLevel="0" collapsed="false">
      <c r="A8" s="21" t="s">
        <v>91</v>
      </c>
      <c r="B8" s="22" t="s">
        <v>92</v>
      </c>
    </row>
    <row r="9" customFormat="false" ht="23.85" hidden="false" customHeight="false" outlineLevel="0" collapsed="false">
      <c r="A9" s="21" t="s">
        <v>93</v>
      </c>
      <c r="B9" s="22" t="s">
        <v>94</v>
      </c>
    </row>
    <row r="10" customFormat="false" ht="23.85" hidden="false" customHeight="false" outlineLevel="0" collapsed="false">
      <c r="A10" s="21" t="s">
        <v>95</v>
      </c>
      <c r="B10" s="22" t="s">
        <v>96</v>
      </c>
    </row>
    <row r="11" customFormat="false" ht="23.85" hidden="false" customHeight="false" outlineLevel="0" collapsed="false">
      <c r="A11" s="21" t="s">
        <v>97</v>
      </c>
      <c r="B11" s="22" t="s">
        <v>98</v>
      </c>
    </row>
    <row r="12" customFormat="false" ht="15" hidden="false" customHeight="false" outlineLevel="0" collapsed="false">
      <c r="A12" s="21" t="s">
        <v>99</v>
      </c>
      <c r="B12" s="22"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8" min="3" style="0" width="10"/>
    <col collapsed="false" customWidth="true" hidden="false" outlineLevel="0" max="10" min="9" style="0" width="16"/>
    <col collapsed="false" customWidth="true" hidden="false" outlineLevel="0" max="11" min="11" style="0" width="32"/>
    <col collapsed="false" customWidth="true" hidden="false" outlineLevel="0" max="18" min="12" style="0" width="10"/>
    <col collapsed="false" customWidth="true" hidden="false" outlineLevel="0" max="19" min="19" style="0" width="22"/>
    <col collapsed="false" customWidth="true" hidden="false" outlineLevel="0" max="29" min="20" style="0" width="10"/>
    <col collapsed="false" customWidth="true" hidden="false" outlineLevel="0" max="30" min="30" style="0" width="18"/>
    <col collapsed="false" customWidth="true" hidden="false" outlineLevel="0" max="31" min="31" style="0" width="34"/>
    <col collapsed="false" customWidth="true" hidden="false" outlineLevel="0" max="54" min="32" style="0" width="10"/>
    <col collapsed="false" customWidth="true" hidden="false" outlineLevel="0" max="55" min="55" style="0" width="18"/>
    <col collapsed="false" customWidth="true" hidden="false" outlineLevel="0" max="56" min="56" style="0" width="22"/>
  </cols>
  <sheetData>
    <row r="1" customFormat="false" ht="42" hidden="false" customHeight="true" outlineLevel="0" collapsed="false">
      <c r="A1" s="14" t="s">
        <v>101</v>
      </c>
      <c r="B1" s="14" t="s">
        <v>102</v>
      </c>
      <c r="C1" s="14" t="s">
        <v>103</v>
      </c>
      <c r="D1" s="14" t="s">
        <v>104</v>
      </c>
      <c r="E1" s="14" t="s">
        <v>105</v>
      </c>
      <c r="F1" s="14" t="s">
        <v>106</v>
      </c>
      <c r="G1" s="14" t="s">
        <v>107</v>
      </c>
      <c r="H1" s="14" t="s">
        <v>108</v>
      </c>
      <c r="I1" s="14" t="s">
        <v>109</v>
      </c>
      <c r="J1" s="14" t="s">
        <v>110</v>
      </c>
      <c r="K1" s="14" t="s">
        <v>111</v>
      </c>
      <c r="L1" s="14" t="s">
        <v>112</v>
      </c>
      <c r="M1" s="14" t="s">
        <v>113</v>
      </c>
      <c r="N1" s="14" t="s">
        <v>114</v>
      </c>
      <c r="O1" s="14" t="s">
        <v>115</v>
      </c>
      <c r="P1" s="14" t="s">
        <v>116</v>
      </c>
      <c r="Q1" s="14" t="s">
        <v>117</v>
      </c>
      <c r="R1" s="14" t="s">
        <v>118</v>
      </c>
      <c r="S1" s="14" t="s">
        <v>119</v>
      </c>
      <c r="T1" s="14" t="s">
        <v>120</v>
      </c>
      <c r="U1" s="14" t="s">
        <v>121</v>
      </c>
      <c r="V1" s="14" t="s">
        <v>122</v>
      </c>
      <c r="W1" s="14" t="s">
        <v>123</v>
      </c>
      <c r="X1" s="14" t="s">
        <v>124</v>
      </c>
      <c r="Y1" s="14" t="s">
        <v>125</v>
      </c>
      <c r="Z1" s="14" t="s">
        <v>126</v>
      </c>
      <c r="AA1" s="14" t="s">
        <v>127</v>
      </c>
      <c r="AB1" s="14" t="s">
        <v>128</v>
      </c>
      <c r="AC1" s="14" t="s">
        <v>129</v>
      </c>
      <c r="AD1" s="14" t="s">
        <v>130</v>
      </c>
      <c r="AE1" s="14" t="s">
        <v>131</v>
      </c>
      <c r="AF1" s="14" t="s">
        <v>132</v>
      </c>
      <c r="AG1" s="14" t="s">
        <v>133</v>
      </c>
      <c r="AH1" s="23" t="s">
        <v>134</v>
      </c>
      <c r="AI1" s="23" t="s">
        <v>135</v>
      </c>
      <c r="AJ1" s="23" t="s">
        <v>136</v>
      </c>
      <c r="AK1" s="23" t="s">
        <v>137</v>
      </c>
      <c r="AL1" s="23" t="s">
        <v>138</v>
      </c>
      <c r="AM1" s="23" t="s">
        <v>139</v>
      </c>
      <c r="AN1" s="23" t="s">
        <v>140</v>
      </c>
      <c r="AO1" s="23" t="s">
        <v>141</v>
      </c>
      <c r="AP1" s="23" t="s">
        <v>142</v>
      </c>
      <c r="AQ1" s="23" t="s">
        <v>143</v>
      </c>
      <c r="AR1" s="23" t="s">
        <v>144</v>
      </c>
      <c r="AS1" s="23" t="s">
        <v>145</v>
      </c>
      <c r="AT1" s="23" t="s">
        <v>146</v>
      </c>
      <c r="AU1" s="23" t="s">
        <v>147</v>
      </c>
      <c r="AV1" s="23" t="s">
        <v>148</v>
      </c>
      <c r="AW1" s="23" t="s">
        <v>149</v>
      </c>
      <c r="AX1" s="23" t="s">
        <v>150</v>
      </c>
      <c r="AY1" s="23" t="s">
        <v>151</v>
      </c>
      <c r="AZ1" s="23" t="s">
        <v>152</v>
      </c>
      <c r="BA1" s="23" t="s">
        <v>153</v>
      </c>
      <c r="BB1" s="23" t="s">
        <v>154</v>
      </c>
      <c r="BC1" s="23" t="s">
        <v>155</v>
      </c>
      <c r="BD1" s="23" t="s">
        <v>156</v>
      </c>
    </row>
    <row r="2" customFormat="false" ht="15" hidden="false" customHeight="false" outlineLevel="0" collapsed="false">
      <c r="A2" s="15" t="s">
        <v>157</v>
      </c>
      <c r="B2" s="15" t="s">
        <v>10</v>
      </c>
      <c r="C2" s="15" t="s">
        <v>16</v>
      </c>
      <c r="D2" s="15" t="s">
        <v>50</v>
      </c>
      <c r="E2" s="15" t="s">
        <v>19</v>
      </c>
      <c r="F2" s="15" t="n">
        <v>1</v>
      </c>
      <c r="G2" s="15" t="s">
        <v>158</v>
      </c>
      <c r="H2" s="15" t="n">
        <v>129</v>
      </c>
      <c r="I2" s="15" t="s">
        <v>50</v>
      </c>
      <c r="J2" s="15" t="s">
        <v>159</v>
      </c>
      <c r="K2" s="15" t="s">
        <v>53</v>
      </c>
      <c r="L2" s="15" t="s">
        <v>160</v>
      </c>
      <c r="M2" s="15" t="s">
        <v>161</v>
      </c>
      <c r="N2" s="15" t="s">
        <v>162</v>
      </c>
      <c r="O2" s="15" t="s">
        <v>163</v>
      </c>
      <c r="P2" s="15" t="n">
        <v>2.208</v>
      </c>
      <c r="Q2" s="15" t="n">
        <v>2.208</v>
      </c>
      <c r="R2" s="15" t="n">
        <v>99</v>
      </c>
      <c r="S2" s="15" t="s">
        <v>164</v>
      </c>
      <c r="T2" s="15" t="n">
        <v>75</v>
      </c>
      <c r="U2" s="15"/>
      <c r="V2" s="15"/>
      <c r="W2" s="15"/>
      <c r="X2" s="15" t="s">
        <v>165</v>
      </c>
      <c r="Y2" s="15" t="n">
        <v>34</v>
      </c>
      <c r="Z2" s="15" t="s">
        <v>166</v>
      </c>
      <c r="AA2" s="15"/>
      <c r="AB2" s="15" t="n">
        <v>0</v>
      </c>
      <c r="AC2" s="15" t="n">
        <v>0</v>
      </c>
      <c r="AD2" s="15" t="s">
        <v>167</v>
      </c>
      <c r="AE2" s="15" t="s">
        <v>168</v>
      </c>
      <c r="AF2" s="15" t="s">
        <v>169</v>
      </c>
      <c r="AG2" s="15"/>
      <c r="AH2" s="24" t="n">
        <f aca="false">IF(R2="",AM2,R2)</f>
        <v>99</v>
      </c>
      <c r="AI2" s="24" t="n">
        <f aca="false">SUMIFS(Permissions!$G$2:$G$3000,Permissions!$B$2:$B$3000,$A2,Permissions!$I$2:$I$3000,"Complete",Permissions!$R$2:$R$3000,"Yes")</f>
        <v>0</v>
      </c>
      <c r="AJ2" s="24" t="n">
        <f aca="false">SUMIFS(Permissions!$G$2:$G$3000,Permissions!$B$2:$B$3000,$A2,Permissions!$I$2:$I$3000,"Under construction",Permissions!$R$2:$R$3000,"Yes")</f>
        <v>0</v>
      </c>
      <c r="AK2" s="24" t="n">
        <f aca="false">SUMIFS(Permissions!$G$2:$G$3000,Permissions!$B$2:$B$3000,$A2,Permissions!$I$2:$I$3000,"Permitted – not started",Permissions!$R$2:$R$3000,"Yes")</f>
        <v>0</v>
      </c>
      <c r="AL2" s="24" t="n">
        <f aca="false">SUMIFS(Permissions!$G$2:$G$3000,Permissions!$B$2:$B$3000,$A2,Permissions!$I$2:$I$3000,"Stalled",Permissions!$R$2:$R$3000,"Yes")</f>
        <v>0</v>
      </c>
      <c r="AM2" s="24" t="n">
        <f aca="false">AI2+AJ2+AK2+AL2</f>
        <v>0</v>
      </c>
      <c r="AN2" s="24" t="n">
        <f aca="false">SUMIFS(Permissions!$G$2:$G$3000,Permissions!$B$2:$B$3000,$A2,Permissions!$I$2:$I$3000,"Expired – not started",Permissions!$R$2:$R$3000,"Yes")</f>
        <v>0</v>
      </c>
      <c r="AO2" s="24" t="n">
        <f aca="false">SUMIFS(Permissions!$G$2:$G$3000,Permissions!$B$2:$B$3000,$A2,Permissions!$I$2:$I$3000,"In planning",Permissions!$R$2:$R$3000,"Yes")</f>
        <v>0</v>
      </c>
      <c r="AP2" s="24" t="n">
        <f aca="false">IF(R2="",0,MAX(R2-AM2,0))</f>
        <v>99</v>
      </c>
      <c r="AQ2" s="25" t="n">
        <f aca="false">AM2+AP2</f>
        <v>99</v>
      </c>
      <c r="AR2" s="24" t="n">
        <f aca="false">SUMIFS(Permissions!$L$2:$L$3000,Permissions!$B$2:$B$3000,$A2,Permissions!$R$2:$R$3000,"Yes",Permissions!$I$2:$I$3000,"&lt;&gt;Expired – not started",Permissions!$I$2:$I$3000,"&lt;&gt;In planning")</f>
        <v>0</v>
      </c>
      <c r="AS2" s="24" t="n">
        <f aca="false">AQ2-AR2</f>
        <v>99</v>
      </c>
      <c r="AT2" s="26" t="n">
        <f aca="false">SUMIFS(Permissions!$AJ$2:$AJ$3000,Permissions!$B$2:$B$3000,$A2,Permissions!$R$2:$R$3000,"Yes")</f>
        <v>0</v>
      </c>
      <c r="AU2" s="26" t="n">
        <f aca="false">SUMIFS(Permissions!$AK$2:$AK$3000,Permissions!$B$2:$B$3000,$A2,Permissions!$R$2:$R$3000,"Yes")</f>
        <v>0</v>
      </c>
      <c r="AV2" s="26" t="n">
        <f aca="false">SUMIFS(Permissions!$AL$2:$AL$3000,Permissions!$B$2:$B$3000,$A2,Permissions!$R$2:$R$3000,"Yes")</f>
        <v>0</v>
      </c>
      <c r="AW2" s="26" t="n">
        <f aca="false">SUMIFS(Permissions!$AM$2:$AM$3000,Permissions!$B$2:$B$3000,$A2,Permissions!$R$2:$R$3000,"Yes")</f>
        <v>0</v>
      </c>
      <c r="AX2" s="26" t="n">
        <f aca="false">SUMIFS(Permissions!$AN$2:$AN$3000,Permissions!$B$2:$B$3000,$A2,Permissions!$R$2:$R$3000,"Yes")</f>
        <v>0</v>
      </c>
      <c r="AY2" s="26" t="n">
        <f aca="false">SUMIFS(Permissions!$AO$2:$AO$3000,Permissions!$B$2:$B$3000,$A2,Permissions!$R$2:$R$3000,"Yes")</f>
        <v>0</v>
      </c>
      <c r="AZ2" s="24" t="n">
        <f aca="false">COUNTIFS(Permissions!$B$2:$B$3000,$A2,Permissions!$R$2:$R$3000,"Yes")</f>
        <v>0</v>
      </c>
      <c r="BA2" s="24" t="n">
        <f aca="false">SUMIFS(Permissions!$M$2:$M$3000,Permissions!$B$2:$B$3000,$A2,Permissions!$R$2:$R$3000,"Yes")</f>
        <v>0</v>
      </c>
      <c r="BB2" s="24" t="n">
        <f aca="false">SUMIFS(Permissions!$O$2:$O$3000,Permissions!$B$2:$B$3000,$A2,Permissions!$R$2:$R$3000,"Yes")</f>
        <v>0</v>
      </c>
      <c r="BC2" s="27" t="str">
        <f aca="false">IF(AND(AM2&gt;0,AR2&gt;=AM2,AP2=0),"Finished",IF(AR2&gt;0,"Partly built",IF(AM2&gt;0,"Consented – not built","No consent")))</f>
        <v>No consent</v>
      </c>
      <c r="BD2" s="28" t="str">
        <f aca="false">IF(AND(R2&lt;&gt;"",AM2&gt;1.1*R2),"Consented above capacity",IF(AND(LEFT(B2,8)="Planning",AZ2=0),"Consent parcel with no permission",IF(COUNTIF($A$2:$A$3000,$A2)&gt;1,"Duplicate parcel_id","")))</f>
        <v/>
      </c>
    </row>
    <row r="3" customFormat="false" ht="15" hidden="false" customHeight="false" outlineLevel="0" collapsed="false">
      <c r="A3" s="15" t="s">
        <v>170</v>
      </c>
      <c r="B3" s="15" t="s">
        <v>10</v>
      </c>
      <c r="C3" s="15" t="s">
        <v>16</v>
      </c>
      <c r="D3" s="15" t="s">
        <v>50</v>
      </c>
      <c r="E3" s="15" t="s">
        <v>19</v>
      </c>
      <c r="F3" s="15" t="n">
        <v>1</v>
      </c>
      <c r="G3" s="15" t="s">
        <v>158</v>
      </c>
      <c r="H3" s="15" t="n">
        <v>130</v>
      </c>
      <c r="I3" s="15" t="s">
        <v>50</v>
      </c>
      <c r="J3" s="15" t="s">
        <v>159</v>
      </c>
      <c r="K3" s="15" t="s">
        <v>53</v>
      </c>
      <c r="L3" s="15" t="s">
        <v>160</v>
      </c>
      <c r="M3" s="15" t="s">
        <v>171</v>
      </c>
      <c r="N3" s="15" t="s">
        <v>172</v>
      </c>
      <c r="O3" s="15" t="s">
        <v>163</v>
      </c>
      <c r="P3" s="15" t="n">
        <v>0.144</v>
      </c>
      <c r="Q3" s="15" t="n">
        <v>0.144</v>
      </c>
      <c r="R3" s="15" t="n">
        <v>6</v>
      </c>
      <c r="S3" s="15" t="s">
        <v>164</v>
      </c>
      <c r="T3" s="15" t="n">
        <v>5</v>
      </c>
      <c r="U3" s="15"/>
      <c r="V3" s="15"/>
      <c r="W3" s="15"/>
      <c r="X3" s="15" t="s">
        <v>165</v>
      </c>
      <c r="Y3" s="15" t="n">
        <v>34</v>
      </c>
      <c r="Z3" s="15" t="s">
        <v>166</v>
      </c>
      <c r="AA3" s="15"/>
      <c r="AB3" s="15" t="n">
        <v>0</v>
      </c>
      <c r="AC3" s="15" t="n">
        <v>0</v>
      </c>
      <c r="AD3" s="15" t="s">
        <v>167</v>
      </c>
      <c r="AE3" s="15" t="s">
        <v>168</v>
      </c>
      <c r="AF3" s="15" t="s">
        <v>169</v>
      </c>
      <c r="AG3" s="15"/>
      <c r="AH3" s="24" t="n">
        <f aca="false">IF(R3="",AM3,R3)</f>
        <v>6</v>
      </c>
      <c r="AI3" s="24" t="n">
        <f aca="false">SUMIFS(Permissions!$G$2:$G$3000,Permissions!$B$2:$B$3000,$A3,Permissions!$I$2:$I$3000,"Complete",Permissions!$R$2:$R$3000,"Yes")</f>
        <v>0</v>
      </c>
      <c r="AJ3" s="24" t="n">
        <f aca="false">SUMIFS(Permissions!$G$2:$G$3000,Permissions!$B$2:$B$3000,$A3,Permissions!$I$2:$I$3000,"Under construction",Permissions!$R$2:$R$3000,"Yes")</f>
        <v>0</v>
      </c>
      <c r="AK3" s="24" t="n">
        <f aca="false">SUMIFS(Permissions!$G$2:$G$3000,Permissions!$B$2:$B$3000,$A3,Permissions!$I$2:$I$3000,"Permitted – not started",Permissions!$R$2:$R$3000,"Yes")</f>
        <v>0</v>
      </c>
      <c r="AL3" s="24" t="n">
        <f aca="false">SUMIFS(Permissions!$G$2:$G$3000,Permissions!$B$2:$B$3000,$A3,Permissions!$I$2:$I$3000,"Stalled",Permissions!$R$2:$R$3000,"Yes")</f>
        <v>0</v>
      </c>
      <c r="AM3" s="24" t="n">
        <f aca="false">AI3+AJ3+AK3+AL3</f>
        <v>0</v>
      </c>
      <c r="AN3" s="24" t="n">
        <f aca="false">SUMIFS(Permissions!$G$2:$G$3000,Permissions!$B$2:$B$3000,$A3,Permissions!$I$2:$I$3000,"Expired – not started",Permissions!$R$2:$R$3000,"Yes")</f>
        <v>0</v>
      </c>
      <c r="AO3" s="24" t="n">
        <f aca="false">SUMIFS(Permissions!$G$2:$G$3000,Permissions!$B$2:$B$3000,$A3,Permissions!$I$2:$I$3000,"In planning",Permissions!$R$2:$R$3000,"Yes")</f>
        <v>0</v>
      </c>
      <c r="AP3" s="24" t="n">
        <f aca="false">IF(R3="",0,MAX(R3-AM3,0))</f>
        <v>6</v>
      </c>
      <c r="AQ3" s="25" t="n">
        <f aca="false">AM3+AP3</f>
        <v>6</v>
      </c>
      <c r="AR3" s="24" t="n">
        <f aca="false">SUMIFS(Permissions!$L$2:$L$3000,Permissions!$B$2:$B$3000,$A3,Permissions!$R$2:$R$3000,"Yes",Permissions!$I$2:$I$3000,"&lt;&gt;Expired – not started",Permissions!$I$2:$I$3000,"&lt;&gt;In planning")</f>
        <v>0</v>
      </c>
      <c r="AS3" s="24" t="n">
        <f aca="false">AQ3-AR3</f>
        <v>6</v>
      </c>
      <c r="AT3" s="26" t="n">
        <f aca="false">SUMIFS(Permissions!$AJ$2:$AJ$3000,Permissions!$B$2:$B$3000,$A3,Permissions!$R$2:$R$3000,"Yes")</f>
        <v>0</v>
      </c>
      <c r="AU3" s="26" t="n">
        <f aca="false">SUMIFS(Permissions!$AK$2:$AK$3000,Permissions!$B$2:$B$3000,$A3,Permissions!$R$2:$R$3000,"Yes")</f>
        <v>0</v>
      </c>
      <c r="AV3" s="26" t="n">
        <f aca="false">SUMIFS(Permissions!$AL$2:$AL$3000,Permissions!$B$2:$B$3000,$A3,Permissions!$R$2:$R$3000,"Yes")</f>
        <v>0</v>
      </c>
      <c r="AW3" s="26" t="n">
        <f aca="false">SUMIFS(Permissions!$AM$2:$AM$3000,Permissions!$B$2:$B$3000,$A3,Permissions!$R$2:$R$3000,"Yes")</f>
        <v>0</v>
      </c>
      <c r="AX3" s="26" t="n">
        <f aca="false">SUMIFS(Permissions!$AN$2:$AN$3000,Permissions!$B$2:$B$3000,$A3,Permissions!$R$2:$R$3000,"Yes")</f>
        <v>0</v>
      </c>
      <c r="AY3" s="26" t="n">
        <f aca="false">SUMIFS(Permissions!$AO$2:$AO$3000,Permissions!$B$2:$B$3000,$A3,Permissions!$R$2:$R$3000,"Yes")</f>
        <v>0</v>
      </c>
      <c r="AZ3" s="24" t="n">
        <f aca="false">COUNTIFS(Permissions!$B$2:$B$3000,$A3,Permissions!$R$2:$R$3000,"Yes")</f>
        <v>0</v>
      </c>
      <c r="BA3" s="24" t="n">
        <f aca="false">SUMIFS(Permissions!$M$2:$M$3000,Permissions!$B$2:$B$3000,$A3,Permissions!$R$2:$R$3000,"Yes")</f>
        <v>0</v>
      </c>
      <c r="BB3" s="24" t="n">
        <f aca="false">SUMIFS(Permissions!$O$2:$O$3000,Permissions!$B$2:$B$3000,$A3,Permissions!$R$2:$R$3000,"Yes")</f>
        <v>0</v>
      </c>
      <c r="BC3" s="27" t="str">
        <f aca="false">IF(AND(AM3&gt;0,AR3&gt;=AM3,AP3=0),"Finished",IF(AR3&gt;0,"Partly built",IF(AM3&gt;0,"Consented – not built","No consent")))</f>
        <v>No consent</v>
      </c>
      <c r="BD3" s="28" t="str">
        <f aca="false">IF(AND(R3&lt;&gt;"",AM3&gt;1.1*R3),"Consented above capacity",IF(AND(LEFT(B3,8)="Planning",AZ3=0),"Consent parcel with no permission",IF(COUNTIF($A$2:$A$3000,$A3)&gt;1,"Duplicate parcel_id","")))</f>
        <v/>
      </c>
    </row>
    <row r="4" customFormat="false" ht="15" hidden="false" customHeight="false" outlineLevel="0" collapsed="false">
      <c r="A4" s="15" t="s">
        <v>173</v>
      </c>
      <c r="B4" s="15" t="s">
        <v>10</v>
      </c>
      <c r="C4" s="15" t="s">
        <v>16</v>
      </c>
      <c r="D4" s="15" t="s">
        <v>50</v>
      </c>
      <c r="E4" s="15" t="s">
        <v>19</v>
      </c>
      <c r="F4" s="15" t="n">
        <v>1</v>
      </c>
      <c r="G4" s="15" t="s">
        <v>158</v>
      </c>
      <c r="H4" s="15" t="n">
        <v>131</v>
      </c>
      <c r="I4" s="15" t="s">
        <v>50</v>
      </c>
      <c r="J4" s="15" t="s">
        <v>159</v>
      </c>
      <c r="K4" s="15" t="s">
        <v>53</v>
      </c>
      <c r="L4" s="15" t="s">
        <v>160</v>
      </c>
      <c r="M4" s="15" t="s">
        <v>161</v>
      </c>
      <c r="N4" s="15" t="s">
        <v>172</v>
      </c>
      <c r="O4" s="15" t="s">
        <v>163</v>
      </c>
      <c r="P4" s="15" t="n">
        <v>0.252</v>
      </c>
      <c r="Q4" s="15" t="n">
        <v>0.252</v>
      </c>
      <c r="R4" s="15" t="n">
        <v>11</v>
      </c>
      <c r="S4" s="15" t="s">
        <v>164</v>
      </c>
      <c r="T4" s="15" t="n">
        <v>9</v>
      </c>
      <c r="U4" s="15"/>
      <c r="V4" s="15"/>
      <c r="W4" s="15"/>
      <c r="X4" s="15" t="s">
        <v>165</v>
      </c>
      <c r="Y4" s="15" t="n">
        <v>34</v>
      </c>
      <c r="Z4" s="15" t="s">
        <v>166</v>
      </c>
      <c r="AA4" s="15"/>
      <c r="AB4" s="15" t="n">
        <v>0</v>
      </c>
      <c r="AC4" s="15" t="n">
        <v>0</v>
      </c>
      <c r="AD4" s="15" t="s">
        <v>167</v>
      </c>
      <c r="AE4" s="15" t="s">
        <v>168</v>
      </c>
      <c r="AF4" s="15" t="s">
        <v>169</v>
      </c>
      <c r="AG4" s="15"/>
      <c r="AH4" s="24" t="n">
        <f aca="false">IF(R4="",AM4,R4)</f>
        <v>11</v>
      </c>
      <c r="AI4" s="24" t="n">
        <f aca="false">SUMIFS(Permissions!$G$2:$G$3000,Permissions!$B$2:$B$3000,$A4,Permissions!$I$2:$I$3000,"Complete",Permissions!$R$2:$R$3000,"Yes")</f>
        <v>0</v>
      </c>
      <c r="AJ4" s="24" t="n">
        <f aca="false">SUMIFS(Permissions!$G$2:$G$3000,Permissions!$B$2:$B$3000,$A4,Permissions!$I$2:$I$3000,"Under construction",Permissions!$R$2:$R$3000,"Yes")</f>
        <v>0</v>
      </c>
      <c r="AK4" s="24" t="n">
        <f aca="false">SUMIFS(Permissions!$G$2:$G$3000,Permissions!$B$2:$B$3000,$A4,Permissions!$I$2:$I$3000,"Permitted – not started",Permissions!$R$2:$R$3000,"Yes")</f>
        <v>0</v>
      </c>
      <c r="AL4" s="24" t="n">
        <f aca="false">SUMIFS(Permissions!$G$2:$G$3000,Permissions!$B$2:$B$3000,$A4,Permissions!$I$2:$I$3000,"Stalled",Permissions!$R$2:$R$3000,"Yes")</f>
        <v>0</v>
      </c>
      <c r="AM4" s="24" t="n">
        <f aca="false">AI4+AJ4+AK4+AL4</f>
        <v>0</v>
      </c>
      <c r="AN4" s="24" t="n">
        <f aca="false">SUMIFS(Permissions!$G$2:$G$3000,Permissions!$B$2:$B$3000,$A4,Permissions!$I$2:$I$3000,"Expired – not started",Permissions!$R$2:$R$3000,"Yes")</f>
        <v>0</v>
      </c>
      <c r="AO4" s="24" t="n">
        <f aca="false">SUMIFS(Permissions!$G$2:$G$3000,Permissions!$B$2:$B$3000,$A4,Permissions!$I$2:$I$3000,"In planning",Permissions!$R$2:$R$3000,"Yes")</f>
        <v>0</v>
      </c>
      <c r="AP4" s="24" t="n">
        <f aca="false">IF(R4="",0,MAX(R4-AM4,0))</f>
        <v>11</v>
      </c>
      <c r="AQ4" s="25" t="n">
        <f aca="false">AM4+AP4</f>
        <v>11</v>
      </c>
      <c r="AR4" s="24" t="n">
        <f aca="false">SUMIFS(Permissions!$L$2:$L$3000,Permissions!$B$2:$B$3000,$A4,Permissions!$R$2:$R$3000,"Yes",Permissions!$I$2:$I$3000,"&lt;&gt;Expired – not started",Permissions!$I$2:$I$3000,"&lt;&gt;In planning")</f>
        <v>0</v>
      </c>
      <c r="AS4" s="24" t="n">
        <f aca="false">AQ4-AR4</f>
        <v>11</v>
      </c>
      <c r="AT4" s="26" t="n">
        <f aca="false">SUMIFS(Permissions!$AJ$2:$AJ$3000,Permissions!$B$2:$B$3000,$A4,Permissions!$R$2:$R$3000,"Yes")</f>
        <v>0</v>
      </c>
      <c r="AU4" s="26" t="n">
        <f aca="false">SUMIFS(Permissions!$AK$2:$AK$3000,Permissions!$B$2:$B$3000,$A4,Permissions!$R$2:$R$3000,"Yes")</f>
        <v>0</v>
      </c>
      <c r="AV4" s="26" t="n">
        <f aca="false">SUMIFS(Permissions!$AL$2:$AL$3000,Permissions!$B$2:$B$3000,$A4,Permissions!$R$2:$R$3000,"Yes")</f>
        <v>0</v>
      </c>
      <c r="AW4" s="26" t="n">
        <f aca="false">SUMIFS(Permissions!$AM$2:$AM$3000,Permissions!$B$2:$B$3000,$A4,Permissions!$R$2:$R$3000,"Yes")</f>
        <v>0</v>
      </c>
      <c r="AX4" s="26" t="n">
        <f aca="false">SUMIFS(Permissions!$AN$2:$AN$3000,Permissions!$B$2:$B$3000,$A4,Permissions!$R$2:$R$3000,"Yes")</f>
        <v>0</v>
      </c>
      <c r="AY4" s="26" t="n">
        <f aca="false">SUMIFS(Permissions!$AO$2:$AO$3000,Permissions!$B$2:$B$3000,$A4,Permissions!$R$2:$R$3000,"Yes")</f>
        <v>0</v>
      </c>
      <c r="AZ4" s="24" t="n">
        <f aca="false">COUNTIFS(Permissions!$B$2:$B$3000,$A4,Permissions!$R$2:$R$3000,"Yes")</f>
        <v>0</v>
      </c>
      <c r="BA4" s="24" t="n">
        <f aca="false">SUMIFS(Permissions!$M$2:$M$3000,Permissions!$B$2:$B$3000,$A4,Permissions!$R$2:$R$3000,"Yes")</f>
        <v>0</v>
      </c>
      <c r="BB4" s="24" t="n">
        <f aca="false">SUMIFS(Permissions!$O$2:$O$3000,Permissions!$B$2:$B$3000,$A4,Permissions!$R$2:$R$3000,"Yes")</f>
        <v>0</v>
      </c>
      <c r="BC4" s="27" t="str">
        <f aca="false">IF(AND(AM4&gt;0,AR4&gt;=AM4,AP4=0),"Finished",IF(AR4&gt;0,"Partly built",IF(AM4&gt;0,"Consented – not built","No consent")))</f>
        <v>No consent</v>
      </c>
      <c r="BD4" s="28" t="str">
        <f aca="false">IF(AND(R4&lt;&gt;"",AM4&gt;1.1*R4),"Consented above capacity",IF(AND(LEFT(B4,8)="Planning",AZ4=0),"Consent parcel with no permission",IF(COUNTIF($A$2:$A$3000,$A4)&gt;1,"Duplicate parcel_id","")))</f>
        <v/>
      </c>
    </row>
    <row r="5" customFormat="false" ht="15" hidden="false" customHeight="false" outlineLevel="0" collapsed="false">
      <c r="A5" s="15" t="s">
        <v>174</v>
      </c>
      <c r="B5" s="15" t="s">
        <v>10</v>
      </c>
      <c r="C5" s="15" t="s">
        <v>16</v>
      </c>
      <c r="D5" s="15" t="s">
        <v>50</v>
      </c>
      <c r="E5" s="15" t="s">
        <v>19</v>
      </c>
      <c r="F5" s="15" t="n">
        <v>1</v>
      </c>
      <c r="G5" s="15" t="s">
        <v>158</v>
      </c>
      <c r="H5" s="15" t="n">
        <v>132</v>
      </c>
      <c r="I5" s="15" t="s">
        <v>50</v>
      </c>
      <c r="J5" s="15" t="s">
        <v>159</v>
      </c>
      <c r="K5" s="15" t="s">
        <v>175</v>
      </c>
      <c r="L5" s="15" t="s">
        <v>176</v>
      </c>
      <c r="M5" s="15" t="s">
        <v>171</v>
      </c>
      <c r="N5" s="15" t="s">
        <v>162</v>
      </c>
      <c r="O5" s="15" t="s">
        <v>163</v>
      </c>
      <c r="P5" s="15" t="n">
        <v>0.706</v>
      </c>
      <c r="Q5" s="15" t="n">
        <v>0.706</v>
      </c>
      <c r="R5" s="15" t="n">
        <v>32</v>
      </c>
      <c r="S5" s="15" t="s">
        <v>164</v>
      </c>
      <c r="T5" s="15" t="n">
        <v>24</v>
      </c>
      <c r="U5" s="15"/>
      <c r="V5" s="15"/>
      <c r="W5" s="15"/>
      <c r="X5" s="15" t="s">
        <v>165</v>
      </c>
      <c r="Y5" s="15" t="n">
        <v>34</v>
      </c>
      <c r="Z5" s="15" t="s">
        <v>166</v>
      </c>
      <c r="AA5" s="15"/>
      <c r="AB5" s="15" t="n">
        <v>0</v>
      </c>
      <c r="AC5" s="15" t="n">
        <v>0</v>
      </c>
      <c r="AD5" s="15" t="s">
        <v>167</v>
      </c>
      <c r="AE5" s="15" t="s">
        <v>168</v>
      </c>
      <c r="AF5" s="15" t="s">
        <v>169</v>
      </c>
      <c r="AG5" s="15"/>
      <c r="AH5" s="24" t="n">
        <f aca="false">IF(R5="",AM5,R5)</f>
        <v>32</v>
      </c>
      <c r="AI5" s="24" t="n">
        <f aca="false">SUMIFS(Permissions!$G$2:$G$3000,Permissions!$B$2:$B$3000,$A5,Permissions!$I$2:$I$3000,"Complete",Permissions!$R$2:$R$3000,"Yes")</f>
        <v>0</v>
      </c>
      <c r="AJ5" s="24" t="n">
        <f aca="false">SUMIFS(Permissions!$G$2:$G$3000,Permissions!$B$2:$B$3000,$A5,Permissions!$I$2:$I$3000,"Under construction",Permissions!$R$2:$R$3000,"Yes")</f>
        <v>0</v>
      </c>
      <c r="AK5" s="24" t="n">
        <f aca="false">SUMIFS(Permissions!$G$2:$G$3000,Permissions!$B$2:$B$3000,$A5,Permissions!$I$2:$I$3000,"Permitted – not started",Permissions!$R$2:$R$3000,"Yes")</f>
        <v>0</v>
      </c>
      <c r="AL5" s="24" t="n">
        <f aca="false">SUMIFS(Permissions!$G$2:$G$3000,Permissions!$B$2:$B$3000,$A5,Permissions!$I$2:$I$3000,"Stalled",Permissions!$R$2:$R$3000,"Yes")</f>
        <v>0</v>
      </c>
      <c r="AM5" s="24" t="n">
        <f aca="false">AI5+AJ5+AK5+AL5</f>
        <v>0</v>
      </c>
      <c r="AN5" s="24" t="n">
        <f aca="false">SUMIFS(Permissions!$G$2:$G$3000,Permissions!$B$2:$B$3000,$A5,Permissions!$I$2:$I$3000,"Expired – not started",Permissions!$R$2:$R$3000,"Yes")</f>
        <v>0</v>
      </c>
      <c r="AO5" s="24" t="n">
        <f aca="false">SUMIFS(Permissions!$G$2:$G$3000,Permissions!$B$2:$B$3000,$A5,Permissions!$I$2:$I$3000,"In planning",Permissions!$R$2:$R$3000,"Yes")</f>
        <v>0</v>
      </c>
      <c r="AP5" s="24" t="n">
        <f aca="false">IF(R5="",0,MAX(R5-AM5,0))</f>
        <v>32</v>
      </c>
      <c r="AQ5" s="25" t="n">
        <f aca="false">AM5+AP5</f>
        <v>32</v>
      </c>
      <c r="AR5" s="24" t="n">
        <f aca="false">SUMIFS(Permissions!$L$2:$L$3000,Permissions!$B$2:$B$3000,$A5,Permissions!$R$2:$R$3000,"Yes",Permissions!$I$2:$I$3000,"&lt;&gt;Expired – not started",Permissions!$I$2:$I$3000,"&lt;&gt;In planning")</f>
        <v>0</v>
      </c>
      <c r="AS5" s="24" t="n">
        <f aca="false">AQ5-AR5</f>
        <v>32</v>
      </c>
      <c r="AT5" s="26" t="n">
        <f aca="false">SUMIFS(Permissions!$AJ$2:$AJ$3000,Permissions!$B$2:$B$3000,$A5,Permissions!$R$2:$R$3000,"Yes")</f>
        <v>0</v>
      </c>
      <c r="AU5" s="26" t="n">
        <f aca="false">SUMIFS(Permissions!$AK$2:$AK$3000,Permissions!$B$2:$B$3000,$A5,Permissions!$R$2:$R$3000,"Yes")</f>
        <v>0</v>
      </c>
      <c r="AV5" s="26" t="n">
        <f aca="false">SUMIFS(Permissions!$AL$2:$AL$3000,Permissions!$B$2:$B$3000,$A5,Permissions!$R$2:$R$3000,"Yes")</f>
        <v>0</v>
      </c>
      <c r="AW5" s="26" t="n">
        <f aca="false">SUMIFS(Permissions!$AM$2:$AM$3000,Permissions!$B$2:$B$3000,$A5,Permissions!$R$2:$R$3000,"Yes")</f>
        <v>0</v>
      </c>
      <c r="AX5" s="26" t="n">
        <f aca="false">SUMIFS(Permissions!$AN$2:$AN$3000,Permissions!$B$2:$B$3000,$A5,Permissions!$R$2:$R$3000,"Yes")</f>
        <v>0</v>
      </c>
      <c r="AY5" s="26" t="n">
        <f aca="false">SUMIFS(Permissions!$AO$2:$AO$3000,Permissions!$B$2:$B$3000,$A5,Permissions!$R$2:$R$3000,"Yes")</f>
        <v>0</v>
      </c>
      <c r="AZ5" s="24" t="n">
        <f aca="false">COUNTIFS(Permissions!$B$2:$B$3000,$A5,Permissions!$R$2:$R$3000,"Yes")</f>
        <v>0</v>
      </c>
      <c r="BA5" s="24" t="n">
        <f aca="false">SUMIFS(Permissions!$M$2:$M$3000,Permissions!$B$2:$B$3000,$A5,Permissions!$R$2:$R$3000,"Yes")</f>
        <v>0</v>
      </c>
      <c r="BB5" s="24" t="n">
        <f aca="false">SUMIFS(Permissions!$O$2:$O$3000,Permissions!$B$2:$B$3000,$A5,Permissions!$R$2:$R$3000,"Yes")</f>
        <v>0</v>
      </c>
      <c r="BC5" s="27" t="str">
        <f aca="false">IF(AND(AM5&gt;0,AR5&gt;=AM5,AP5=0),"Finished",IF(AR5&gt;0,"Partly built",IF(AM5&gt;0,"Consented – not built","No consent")))</f>
        <v>No consent</v>
      </c>
      <c r="BD5" s="28" t="str">
        <f aca="false">IF(AND(R5&lt;&gt;"",AM5&gt;1.1*R5),"Consented above capacity",IF(AND(LEFT(B5,8)="Planning",AZ5=0),"Consent parcel with no permission",IF(COUNTIF($A$2:$A$3000,$A5)&gt;1,"Duplicate parcel_id","")))</f>
        <v/>
      </c>
    </row>
    <row r="6" customFormat="false" ht="15" hidden="false" customHeight="false" outlineLevel="0" collapsed="false">
      <c r="A6" s="15" t="s">
        <v>177</v>
      </c>
      <c r="B6" s="15" t="s">
        <v>10</v>
      </c>
      <c r="C6" s="15" t="s">
        <v>16</v>
      </c>
      <c r="D6" s="15" t="s">
        <v>50</v>
      </c>
      <c r="E6" s="15" t="s">
        <v>19</v>
      </c>
      <c r="F6" s="15" t="n">
        <v>1</v>
      </c>
      <c r="G6" s="15" t="s">
        <v>158</v>
      </c>
      <c r="H6" s="15" t="n">
        <v>133</v>
      </c>
      <c r="I6" s="15" t="s">
        <v>50</v>
      </c>
      <c r="J6" s="15" t="s">
        <v>159</v>
      </c>
      <c r="K6" s="15" t="s">
        <v>175</v>
      </c>
      <c r="L6" s="15" t="s">
        <v>176</v>
      </c>
      <c r="M6" s="15" t="s">
        <v>161</v>
      </c>
      <c r="N6" s="15" t="s">
        <v>172</v>
      </c>
      <c r="O6" s="15" t="s">
        <v>178</v>
      </c>
      <c r="P6" s="15" t="n">
        <v>1.22</v>
      </c>
      <c r="Q6" s="15" t="n">
        <v>9.479</v>
      </c>
      <c r="R6" s="15" t="n">
        <v>55</v>
      </c>
      <c r="S6" s="15" t="s">
        <v>164</v>
      </c>
      <c r="T6" s="15" t="n">
        <v>41</v>
      </c>
      <c r="U6" s="15"/>
      <c r="V6" s="15"/>
      <c r="W6" s="15"/>
      <c r="X6" s="15" t="s">
        <v>165</v>
      </c>
      <c r="Y6" s="15" t="n">
        <v>34</v>
      </c>
      <c r="Z6" s="15" t="s">
        <v>166</v>
      </c>
      <c r="AA6" s="15"/>
      <c r="AB6" s="15" t="n">
        <v>310</v>
      </c>
      <c r="AC6" s="15" t="n">
        <v>310</v>
      </c>
      <c r="AD6" s="15" t="s">
        <v>179</v>
      </c>
      <c r="AE6" s="15" t="s">
        <v>180</v>
      </c>
      <c r="AF6" s="15" t="s">
        <v>169</v>
      </c>
      <c r="AG6" s="15"/>
      <c r="AH6" s="24" t="n">
        <f aca="false">IF(R6="",AM6,R6)</f>
        <v>55</v>
      </c>
      <c r="AI6" s="24" t="n">
        <f aca="false">SUMIFS(Permissions!$G$2:$G$3000,Permissions!$B$2:$B$3000,$A6,Permissions!$I$2:$I$3000,"Complete",Permissions!$R$2:$R$3000,"Yes")</f>
        <v>0</v>
      </c>
      <c r="AJ6" s="24" t="n">
        <f aca="false">SUMIFS(Permissions!$G$2:$G$3000,Permissions!$B$2:$B$3000,$A6,Permissions!$I$2:$I$3000,"Under construction",Permissions!$R$2:$R$3000,"Yes")</f>
        <v>371</v>
      </c>
      <c r="AK6" s="24" t="n">
        <f aca="false">SUMIFS(Permissions!$G$2:$G$3000,Permissions!$B$2:$B$3000,$A6,Permissions!$I$2:$I$3000,"Permitted – not started",Permissions!$R$2:$R$3000,"Yes")</f>
        <v>0</v>
      </c>
      <c r="AL6" s="24" t="n">
        <f aca="false">SUMIFS(Permissions!$G$2:$G$3000,Permissions!$B$2:$B$3000,$A6,Permissions!$I$2:$I$3000,"Stalled",Permissions!$R$2:$R$3000,"Yes")</f>
        <v>0</v>
      </c>
      <c r="AM6" s="24" t="n">
        <f aca="false">AI6+AJ6+AK6+AL6</f>
        <v>371</v>
      </c>
      <c r="AN6" s="24" t="n">
        <f aca="false">SUMIFS(Permissions!$G$2:$G$3000,Permissions!$B$2:$B$3000,$A6,Permissions!$I$2:$I$3000,"Expired – not started",Permissions!$R$2:$R$3000,"Yes")</f>
        <v>0</v>
      </c>
      <c r="AO6" s="24" t="n">
        <f aca="false">SUMIFS(Permissions!$G$2:$G$3000,Permissions!$B$2:$B$3000,$A6,Permissions!$I$2:$I$3000,"In planning",Permissions!$R$2:$R$3000,"Yes")</f>
        <v>0</v>
      </c>
      <c r="AP6" s="24" t="n">
        <f aca="false">IF(R6="",0,MAX(R6-AM6,0))</f>
        <v>0</v>
      </c>
      <c r="AQ6" s="25" t="n">
        <f aca="false">AM6+AP6</f>
        <v>371</v>
      </c>
      <c r="AR6" s="24" t="n">
        <f aca="false">SUMIFS(Permissions!$L$2:$L$3000,Permissions!$B$2:$B$3000,$A6,Permissions!$R$2:$R$3000,"Yes",Permissions!$I$2:$I$3000,"&lt;&gt;Expired – not started",Permissions!$I$2:$I$3000,"&lt;&gt;In planning")</f>
        <v>121</v>
      </c>
      <c r="AS6" s="24" t="n">
        <f aca="false">AQ6-AR6</f>
        <v>250</v>
      </c>
      <c r="AT6" s="26" t="n">
        <f aca="false">SUMIFS(Permissions!$AJ$2:$AJ$3000,Permissions!$B$2:$B$3000,$A6,Permissions!$R$2:$R$3000,"Yes")</f>
        <v>20.6</v>
      </c>
      <c r="AU6" s="26" t="n">
        <f aca="false">SUMIFS(Permissions!$AK$2:$AK$3000,Permissions!$B$2:$B$3000,$A6,Permissions!$R$2:$R$3000,"Yes")</f>
        <v>88.5</v>
      </c>
      <c r="AV6" s="26" t="n">
        <f aca="false">SUMIFS(Permissions!$AL$2:$AL$3000,Permissions!$B$2:$B$3000,$A6,Permissions!$R$2:$R$3000,"Yes")</f>
        <v>88.5</v>
      </c>
      <c r="AW6" s="26" t="n">
        <f aca="false">SUMIFS(Permissions!$AM$2:$AM$3000,Permissions!$B$2:$B$3000,$A6,Permissions!$R$2:$R$3000,"Yes")</f>
        <v>88.5</v>
      </c>
      <c r="AX6" s="26" t="n">
        <f aca="false">SUMIFS(Permissions!$AN$2:$AN$3000,Permissions!$B$2:$B$3000,$A6,Permissions!$R$2:$R$3000,"Yes")</f>
        <v>84.9</v>
      </c>
      <c r="AY6" s="26" t="n">
        <f aca="false">SUMIFS(Permissions!$AO$2:$AO$3000,Permissions!$B$2:$B$3000,$A6,Permissions!$R$2:$R$3000,"Yes")</f>
        <v>0</v>
      </c>
      <c r="AZ6" s="24" t="n">
        <f aca="false">COUNTIFS(Permissions!$B$2:$B$3000,$A6,Permissions!$R$2:$R$3000,"Yes")</f>
        <v>1</v>
      </c>
      <c r="BA6" s="24" t="n">
        <f aca="false">SUMIFS(Permissions!$M$2:$M$3000,Permissions!$B$2:$B$3000,$A6,Permissions!$R$2:$R$3000,"Yes")</f>
        <v>121</v>
      </c>
      <c r="BB6" s="24" t="n">
        <f aca="false">SUMIFS(Permissions!$O$2:$O$3000,Permissions!$B$2:$B$3000,$A6,Permissions!$R$2:$R$3000,"Yes")</f>
        <v>4</v>
      </c>
      <c r="BC6" s="27" t="str">
        <f aca="false">IF(AND(AM6&gt;0,AR6&gt;=AM6,AP6=0),"Finished",IF(AR6&gt;0,"Partly built",IF(AM6&gt;0,"Consented – not built","No consent")))</f>
        <v>Partly built</v>
      </c>
      <c r="BD6" s="28" t="str">
        <f aca="false">IF(AND(R6&lt;&gt;"",AM6&gt;1.1*R6),"Consented above capacity",IF(AND(LEFT(B6,8)="Planning",AZ6=0),"Consent parcel with no permission",IF(COUNTIF($A$2:$A$3000,$A6)&gt;1,"Duplicate parcel_id","")))</f>
        <v>Consented above capacity</v>
      </c>
    </row>
    <row r="7" customFormat="false" ht="15" hidden="false" customHeight="false" outlineLevel="0" collapsed="false">
      <c r="A7" s="15" t="s">
        <v>181</v>
      </c>
      <c r="B7" s="15" t="s">
        <v>10</v>
      </c>
      <c r="C7" s="15" t="s">
        <v>16</v>
      </c>
      <c r="D7" s="15" t="s">
        <v>51</v>
      </c>
      <c r="E7" s="15" t="s">
        <v>19</v>
      </c>
      <c r="F7" s="15" t="n">
        <v>1</v>
      </c>
      <c r="G7" s="15" t="s">
        <v>158</v>
      </c>
      <c r="H7" s="15" t="n">
        <v>1</v>
      </c>
      <c r="I7" s="15" t="s">
        <v>51</v>
      </c>
      <c r="J7" s="15" t="s">
        <v>182</v>
      </c>
      <c r="K7" s="15" t="s">
        <v>183</v>
      </c>
      <c r="L7" s="15" t="s">
        <v>176</v>
      </c>
      <c r="M7" s="15" t="s">
        <v>161</v>
      </c>
      <c r="N7" s="15" t="s">
        <v>184</v>
      </c>
      <c r="O7" s="15" t="s">
        <v>185</v>
      </c>
      <c r="P7" s="15" t="n">
        <v>2.408</v>
      </c>
      <c r="Q7" s="15" t="n">
        <v>2.4</v>
      </c>
      <c r="R7" s="15" t="n">
        <v>165</v>
      </c>
      <c r="S7" s="15" t="s">
        <v>164</v>
      </c>
      <c r="T7" s="15" t="n">
        <v>82</v>
      </c>
      <c r="U7" s="15"/>
      <c r="V7" s="15"/>
      <c r="W7" s="15"/>
      <c r="X7" s="15" t="s">
        <v>165</v>
      </c>
      <c r="Y7" s="15" t="n">
        <v>34</v>
      </c>
      <c r="Z7" s="15" t="s">
        <v>166</v>
      </c>
      <c r="AA7" s="15"/>
      <c r="AB7" s="15" t="n">
        <v>0</v>
      </c>
      <c r="AC7" s="15" t="n">
        <v>0</v>
      </c>
      <c r="AD7" s="15" t="s">
        <v>186</v>
      </c>
      <c r="AE7" s="15" t="s">
        <v>168</v>
      </c>
      <c r="AF7" s="15" t="s">
        <v>169</v>
      </c>
      <c r="AG7" s="15"/>
      <c r="AH7" s="24" t="n">
        <f aca="false">IF(R7="",AM7,R7)</f>
        <v>165</v>
      </c>
      <c r="AI7" s="24" t="n">
        <f aca="false">SUMIFS(Permissions!$G$2:$G$3000,Permissions!$B$2:$B$3000,$A7,Permissions!$I$2:$I$3000,"Complete",Permissions!$R$2:$R$3000,"Yes")</f>
        <v>0</v>
      </c>
      <c r="AJ7" s="24" t="n">
        <f aca="false">SUMIFS(Permissions!$G$2:$G$3000,Permissions!$B$2:$B$3000,$A7,Permissions!$I$2:$I$3000,"Under construction",Permissions!$R$2:$R$3000,"Yes")</f>
        <v>0</v>
      </c>
      <c r="AK7" s="24" t="n">
        <f aca="false">SUMIFS(Permissions!$G$2:$G$3000,Permissions!$B$2:$B$3000,$A7,Permissions!$I$2:$I$3000,"Permitted – not started",Permissions!$R$2:$R$3000,"Yes")</f>
        <v>165</v>
      </c>
      <c r="AL7" s="24" t="n">
        <f aca="false">SUMIFS(Permissions!$G$2:$G$3000,Permissions!$B$2:$B$3000,$A7,Permissions!$I$2:$I$3000,"Stalled",Permissions!$R$2:$R$3000,"Yes")</f>
        <v>0</v>
      </c>
      <c r="AM7" s="24" t="n">
        <f aca="false">AI7+AJ7+AK7+AL7</f>
        <v>165</v>
      </c>
      <c r="AN7" s="24" t="n">
        <f aca="false">SUMIFS(Permissions!$G$2:$G$3000,Permissions!$B$2:$B$3000,$A7,Permissions!$I$2:$I$3000,"Expired – not started",Permissions!$R$2:$R$3000,"Yes")</f>
        <v>0</v>
      </c>
      <c r="AO7" s="24" t="n">
        <f aca="false">SUMIFS(Permissions!$G$2:$G$3000,Permissions!$B$2:$B$3000,$A7,Permissions!$I$2:$I$3000,"In planning",Permissions!$R$2:$R$3000,"Yes")</f>
        <v>0</v>
      </c>
      <c r="AP7" s="24" t="n">
        <f aca="false">IF(R7="",0,MAX(R7-AM7,0))</f>
        <v>0</v>
      </c>
      <c r="AQ7" s="25" t="n">
        <f aca="false">AM7+AP7</f>
        <v>165</v>
      </c>
      <c r="AR7" s="24" t="n">
        <f aca="false">SUMIFS(Permissions!$L$2:$L$3000,Permissions!$B$2:$B$3000,$A7,Permissions!$R$2:$R$3000,"Yes",Permissions!$I$2:$I$3000,"&lt;&gt;Expired – not started",Permissions!$I$2:$I$3000,"&lt;&gt;In planning")</f>
        <v>0</v>
      </c>
      <c r="AS7" s="24" t="n">
        <f aca="false">AQ7-AR7</f>
        <v>165</v>
      </c>
      <c r="AT7" s="26" t="n">
        <f aca="false">SUMIFS(Permissions!$AJ$2:$AJ$3000,Permissions!$B$2:$B$3000,$A7,Permissions!$R$2:$R$3000,"Yes")</f>
        <v>0</v>
      </c>
      <c r="AU7" s="26" t="n">
        <f aca="false">SUMIFS(Permissions!$AK$2:$AK$3000,Permissions!$B$2:$B$3000,$A7,Permissions!$R$2:$R$3000,"Yes")</f>
        <v>0</v>
      </c>
      <c r="AV7" s="26" t="n">
        <f aca="false">SUMIFS(Permissions!$AL$2:$AL$3000,Permissions!$B$2:$B$3000,$A7,Permissions!$R$2:$R$3000,"Yes")</f>
        <v>34.9</v>
      </c>
      <c r="AW7" s="26" t="n">
        <f aca="false">SUMIFS(Permissions!$AM$2:$AM$3000,Permissions!$B$2:$B$3000,$A7,Permissions!$R$2:$R$3000,"Yes")</f>
        <v>72.3</v>
      </c>
      <c r="AX7" s="26" t="n">
        <f aca="false">SUMIFS(Permissions!$AN$2:$AN$3000,Permissions!$B$2:$B$3000,$A7,Permissions!$R$2:$R$3000,"Yes")</f>
        <v>57.8</v>
      </c>
      <c r="AY7" s="26" t="n">
        <f aca="false">SUMIFS(Permissions!$AO$2:$AO$3000,Permissions!$B$2:$B$3000,$A7,Permissions!$R$2:$R$3000,"Yes")</f>
        <v>0</v>
      </c>
      <c r="AZ7" s="24" t="n">
        <f aca="false">COUNTIFS(Permissions!$B$2:$B$3000,$A7,Permissions!$R$2:$R$3000,"Yes")</f>
        <v>1</v>
      </c>
      <c r="BA7" s="24" t="n">
        <f aca="false">SUMIFS(Permissions!$M$2:$M$3000,Permissions!$B$2:$B$3000,$A7,Permissions!$R$2:$R$3000,"Yes")</f>
        <v>0</v>
      </c>
      <c r="BB7" s="24" t="n">
        <f aca="false">SUMIFS(Permissions!$O$2:$O$3000,Permissions!$B$2:$B$3000,$A7,Permissions!$R$2:$R$3000,"Yes")</f>
        <v>0</v>
      </c>
      <c r="BC7" s="27" t="str">
        <f aca="false">IF(AND(AM7&gt;0,AR7&gt;=AM7,AP7=0),"Finished",IF(AR7&gt;0,"Partly built",IF(AM7&gt;0,"Consented – not built","No consent")))</f>
        <v>Consented – not built</v>
      </c>
      <c r="BD7" s="28" t="str">
        <f aca="false">IF(AND(R7&lt;&gt;"",AM7&gt;1.1*R7),"Consented above capacity",IF(AND(LEFT(B7,8)="Planning",AZ7=0),"Consent parcel with no permission",IF(COUNTIF($A$2:$A$3000,$A7)&gt;1,"Duplicate parcel_id","")))</f>
        <v/>
      </c>
    </row>
    <row r="8" customFormat="false" ht="15" hidden="false" customHeight="false" outlineLevel="0" collapsed="false">
      <c r="A8" s="15" t="s">
        <v>187</v>
      </c>
      <c r="B8" s="15" t="s">
        <v>10</v>
      </c>
      <c r="C8" s="15" t="s">
        <v>16</v>
      </c>
      <c r="D8" s="15" t="s">
        <v>51</v>
      </c>
      <c r="E8" s="15" t="s">
        <v>19</v>
      </c>
      <c r="F8" s="15" t="n">
        <v>1</v>
      </c>
      <c r="G8" s="15" t="s">
        <v>158</v>
      </c>
      <c r="H8" s="15" t="n">
        <v>10</v>
      </c>
      <c r="I8" s="15" t="s">
        <v>51</v>
      </c>
      <c r="J8" s="15" t="s">
        <v>182</v>
      </c>
      <c r="K8" s="15" t="s">
        <v>183</v>
      </c>
      <c r="L8" s="15" t="s">
        <v>160</v>
      </c>
      <c r="M8" s="15" t="s">
        <v>171</v>
      </c>
      <c r="N8" s="15" t="s">
        <v>172</v>
      </c>
      <c r="O8" s="15" t="s">
        <v>163</v>
      </c>
      <c r="P8" s="15" t="n">
        <v>1.991</v>
      </c>
      <c r="Q8" s="15" t="n">
        <v>1.991</v>
      </c>
      <c r="R8" s="15" t="n">
        <v>90</v>
      </c>
      <c r="S8" s="15" t="s">
        <v>164</v>
      </c>
      <c r="T8" s="15" t="n">
        <v>68</v>
      </c>
      <c r="U8" s="15"/>
      <c r="V8" s="15"/>
      <c r="W8" s="15"/>
      <c r="X8" s="15" t="s">
        <v>165</v>
      </c>
      <c r="Y8" s="15" t="n">
        <v>34</v>
      </c>
      <c r="Z8" s="15" t="s">
        <v>166</v>
      </c>
      <c r="AA8" s="15"/>
      <c r="AB8" s="15" t="n">
        <v>0</v>
      </c>
      <c r="AC8" s="15" t="n">
        <v>0</v>
      </c>
      <c r="AD8" s="15" t="s">
        <v>167</v>
      </c>
      <c r="AE8" s="15" t="s">
        <v>168</v>
      </c>
      <c r="AF8" s="15" t="s">
        <v>169</v>
      </c>
      <c r="AG8" s="15"/>
      <c r="AH8" s="24" t="n">
        <f aca="false">IF(R8="",AM8,R8)</f>
        <v>90</v>
      </c>
      <c r="AI8" s="24" t="n">
        <f aca="false">SUMIFS(Permissions!$G$2:$G$3000,Permissions!$B$2:$B$3000,$A8,Permissions!$I$2:$I$3000,"Complete",Permissions!$R$2:$R$3000,"Yes")</f>
        <v>0</v>
      </c>
      <c r="AJ8" s="24" t="n">
        <f aca="false">SUMIFS(Permissions!$G$2:$G$3000,Permissions!$B$2:$B$3000,$A8,Permissions!$I$2:$I$3000,"Under construction",Permissions!$R$2:$R$3000,"Yes")</f>
        <v>0</v>
      </c>
      <c r="AK8" s="24" t="n">
        <f aca="false">SUMIFS(Permissions!$G$2:$G$3000,Permissions!$B$2:$B$3000,$A8,Permissions!$I$2:$I$3000,"Permitted – not started",Permissions!$R$2:$R$3000,"Yes")</f>
        <v>0</v>
      </c>
      <c r="AL8" s="24" t="n">
        <f aca="false">SUMIFS(Permissions!$G$2:$G$3000,Permissions!$B$2:$B$3000,$A8,Permissions!$I$2:$I$3000,"Stalled",Permissions!$R$2:$R$3000,"Yes")</f>
        <v>0</v>
      </c>
      <c r="AM8" s="24" t="n">
        <f aca="false">AI8+AJ8+AK8+AL8</f>
        <v>0</v>
      </c>
      <c r="AN8" s="24" t="n">
        <f aca="false">SUMIFS(Permissions!$G$2:$G$3000,Permissions!$B$2:$B$3000,$A8,Permissions!$I$2:$I$3000,"Expired – not started",Permissions!$R$2:$R$3000,"Yes")</f>
        <v>0</v>
      </c>
      <c r="AO8" s="24" t="n">
        <f aca="false">SUMIFS(Permissions!$G$2:$G$3000,Permissions!$B$2:$B$3000,$A8,Permissions!$I$2:$I$3000,"In planning",Permissions!$R$2:$R$3000,"Yes")</f>
        <v>0</v>
      </c>
      <c r="AP8" s="24" t="n">
        <f aca="false">IF(R8="",0,MAX(R8-AM8,0))</f>
        <v>90</v>
      </c>
      <c r="AQ8" s="25" t="n">
        <f aca="false">AM8+AP8</f>
        <v>90</v>
      </c>
      <c r="AR8" s="24" t="n">
        <f aca="false">SUMIFS(Permissions!$L$2:$L$3000,Permissions!$B$2:$B$3000,$A8,Permissions!$R$2:$R$3000,"Yes",Permissions!$I$2:$I$3000,"&lt;&gt;Expired – not started",Permissions!$I$2:$I$3000,"&lt;&gt;In planning")</f>
        <v>0</v>
      </c>
      <c r="AS8" s="24" t="n">
        <f aca="false">AQ8-AR8</f>
        <v>90</v>
      </c>
      <c r="AT8" s="26" t="n">
        <f aca="false">SUMIFS(Permissions!$AJ$2:$AJ$3000,Permissions!$B$2:$B$3000,$A8,Permissions!$R$2:$R$3000,"Yes")</f>
        <v>0</v>
      </c>
      <c r="AU8" s="26" t="n">
        <f aca="false">SUMIFS(Permissions!$AK$2:$AK$3000,Permissions!$B$2:$B$3000,$A8,Permissions!$R$2:$R$3000,"Yes")</f>
        <v>0</v>
      </c>
      <c r="AV8" s="26" t="n">
        <f aca="false">SUMIFS(Permissions!$AL$2:$AL$3000,Permissions!$B$2:$B$3000,$A8,Permissions!$R$2:$R$3000,"Yes")</f>
        <v>0</v>
      </c>
      <c r="AW8" s="26" t="n">
        <f aca="false">SUMIFS(Permissions!$AM$2:$AM$3000,Permissions!$B$2:$B$3000,$A8,Permissions!$R$2:$R$3000,"Yes")</f>
        <v>0</v>
      </c>
      <c r="AX8" s="26" t="n">
        <f aca="false">SUMIFS(Permissions!$AN$2:$AN$3000,Permissions!$B$2:$B$3000,$A8,Permissions!$R$2:$R$3000,"Yes")</f>
        <v>0</v>
      </c>
      <c r="AY8" s="26" t="n">
        <f aca="false">SUMIFS(Permissions!$AO$2:$AO$3000,Permissions!$B$2:$B$3000,$A8,Permissions!$R$2:$R$3000,"Yes")</f>
        <v>0</v>
      </c>
      <c r="AZ8" s="24" t="n">
        <f aca="false">COUNTIFS(Permissions!$B$2:$B$3000,$A8,Permissions!$R$2:$R$3000,"Yes")</f>
        <v>0</v>
      </c>
      <c r="BA8" s="24" t="n">
        <f aca="false">SUMIFS(Permissions!$M$2:$M$3000,Permissions!$B$2:$B$3000,$A8,Permissions!$R$2:$R$3000,"Yes")</f>
        <v>0</v>
      </c>
      <c r="BB8" s="24" t="n">
        <f aca="false">SUMIFS(Permissions!$O$2:$O$3000,Permissions!$B$2:$B$3000,$A8,Permissions!$R$2:$R$3000,"Yes")</f>
        <v>0</v>
      </c>
      <c r="BC8" s="27" t="str">
        <f aca="false">IF(AND(AM8&gt;0,AR8&gt;=AM8,AP8=0),"Finished",IF(AR8&gt;0,"Partly built",IF(AM8&gt;0,"Consented – not built","No consent")))</f>
        <v>No consent</v>
      </c>
      <c r="BD8" s="28" t="str">
        <f aca="false">IF(AND(R8&lt;&gt;"",AM8&gt;1.1*R8),"Consented above capacity",IF(AND(LEFT(B8,8)="Planning",AZ8=0),"Consent parcel with no permission",IF(COUNTIF($A$2:$A$3000,$A8)&gt;1,"Duplicate parcel_id","")))</f>
        <v/>
      </c>
    </row>
    <row r="9" customFormat="false" ht="15" hidden="false" customHeight="false" outlineLevel="0" collapsed="false">
      <c r="A9" s="15" t="s">
        <v>188</v>
      </c>
      <c r="B9" s="15" t="s">
        <v>10</v>
      </c>
      <c r="C9" s="15" t="s">
        <v>16</v>
      </c>
      <c r="D9" s="15" t="s">
        <v>51</v>
      </c>
      <c r="E9" s="15" t="s">
        <v>19</v>
      </c>
      <c r="F9" s="15" t="n">
        <v>1</v>
      </c>
      <c r="G9" s="15" t="s">
        <v>158</v>
      </c>
      <c r="H9" s="15" t="n">
        <v>12</v>
      </c>
      <c r="I9" s="15" t="s">
        <v>51</v>
      </c>
      <c r="J9" s="15" t="s">
        <v>182</v>
      </c>
      <c r="K9" s="15" t="s">
        <v>183</v>
      </c>
      <c r="L9" s="15" t="s">
        <v>189</v>
      </c>
      <c r="M9" s="15" t="s">
        <v>190</v>
      </c>
      <c r="N9" s="15" t="s">
        <v>184</v>
      </c>
      <c r="O9" s="15" t="s">
        <v>191</v>
      </c>
      <c r="P9" s="15" t="n">
        <v>9.431</v>
      </c>
      <c r="Q9" s="15" t="n">
        <v>9.427</v>
      </c>
      <c r="R9" s="15" t="n">
        <v>73</v>
      </c>
      <c r="S9" s="15" t="s">
        <v>164</v>
      </c>
      <c r="T9" s="15" t="n">
        <v>321</v>
      </c>
      <c r="U9" s="15"/>
      <c r="V9" s="15"/>
      <c r="W9" s="15"/>
      <c r="X9" s="15" t="s">
        <v>165</v>
      </c>
      <c r="Y9" s="15" t="n">
        <v>34</v>
      </c>
      <c r="Z9" s="15" t="s">
        <v>166</v>
      </c>
      <c r="AA9" s="15"/>
      <c r="AB9" s="15" t="n">
        <v>0</v>
      </c>
      <c r="AC9" s="15" t="n">
        <v>0</v>
      </c>
      <c r="AD9" s="15" t="s">
        <v>186</v>
      </c>
      <c r="AE9" s="15" t="s">
        <v>192</v>
      </c>
      <c r="AF9" s="15" t="s">
        <v>169</v>
      </c>
      <c r="AG9" s="15"/>
      <c r="AH9" s="24" t="n">
        <f aca="false">IF(R9="",AM9,R9)</f>
        <v>73</v>
      </c>
      <c r="AI9" s="24" t="n">
        <f aca="false">SUMIFS(Permissions!$G$2:$G$3000,Permissions!$B$2:$B$3000,$A9,Permissions!$I$2:$I$3000,"Complete",Permissions!$R$2:$R$3000,"Yes")</f>
        <v>0</v>
      </c>
      <c r="AJ9" s="24" t="n">
        <f aca="false">SUMIFS(Permissions!$G$2:$G$3000,Permissions!$B$2:$B$3000,$A9,Permissions!$I$2:$I$3000,"Under construction",Permissions!$R$2:$R$3000,"Yes")</f>
        <v>115</v>
      </c>
      <c r="AK9" s="24" t="n">
        <f aca="false">SUMIFS(Permissions!$G$2:$G$3000,Permissions!$B$2:$B$3000,$A9,Permissions!$I$2:$I$3000,"Permitted – not started",Permissions!$R$2:$R$3000,"Yes")</f>
        <v>0</v>
      </c>
      <c r="AL9" s="24" t="n">
        <f aca="false">SUMIFS(Permissions!$G$2:$G$3000,Permissions!$B$2:$B$3000,$A9,Permissions!$I$2:$I$3000,"Stalled",Permissions!$R$2:$R$3000,"Yes")</f>
        <v>0</v>
      </c>
      <c r="AM9" s="24" t="n">
        <f aca="false">AI9+AJ9+AK9+AL9</f>
        <v>115</v>
      </c>
      <c r="AN9" s="24" t="n">
        <f aca="false">SUMIFS(Permissions!$G$2:$G$3000,Permissions!$B$2:$B$3000,$A9,Permissions!$I$2:$I$3000,"Expired – not started",Permissions!$R$2:$R$3000,"Yes")</f>
        <v>0</v>
      </c>
      <c r="AO9" s="24" t="n">
        <f aca="false">SUMIFS(Permissions!$G$2:$G$3000,Permissions!$B$2:$B$3000,$A9,Permissions!$I$2:$I$3000,"In planning",Permissions!$R$2:$R$3000,"Yes")</f>
        <v>0</v>
      </c>
      <c r="AP9" s="24" t="n">
        <f aca="false">IF(R9="",0,MAX(R9-AM9,0))</f>
        <v>0</v>
      </c>
      <c r="AQ9" s="25" t="n">
        <f aca="false">AM9+AP9</f>
        <v>115</v>
      </c>
      <c r="AR9" s="24" t="n">
        <f aca="false">SUMIFS(Permissions!$L$2:$L$3000,Permissions!$B$2:$B$3000,$A9,Permissions!$R$2:$R$3000,"Yes",Permissions!$I$2:$I$3000,"&lt;&gt;Expired – not started",Permissions!$I$2:$I$3000,"&lt;&gt;In planning")</f>
        <v>0</v>
      </c>
      <c r="AS9" s="24" t="n">
        <f aca="false">AQ9-AR9</f>
        <v>115</v>
      </c>
      <c r="AT9" s="26" t="n">
        <f aca="false">SUMIFS(Permissions!$AJ$2:$AJ$3000,Permissions!$B$2:$B$3000,$A9,Permissions!$R$2:$R$3000,"Yes")</f>
        <v>0</v>
      </c>
      <c r="AU9" s="26" t="n">
        <f aca="false">SUMIFS(Permissions!$AK$2:$AK$3000,Permissions!$B$2:$B$3000,$A9,Permissions!$R$2:$R$3000,"Yes")</f>
        <v>51.6</v>
      </c>
      <c r="AV9" s="26" t="n">
        <f aca="false">SUMIFS(Permissions!$AL$2:$AL$3000,Permissions!$B$2:$B$3000,$A9,Permissions!$R$2:$R$3000,"Yes")</f>
        <v>63.4</v>
      </c>
      <c r="AW9" s="26" t="n">
        <f aca="false">SUMIFS(Permissions!$AM$2:$AM$3000,Permissions!$B$2:$B$3000,$A9,Permissions!$R$2:$R$3000,"Yes")</f>
        <v>0</v>
      </c>
      <c r="AX9" s="26" t="n">
        <f aca="false">SUMIFS(Permissions!$AN$2:$AN$3000,Permissions!$B$2:$B$3000,$A9,Permissions!$R$2:$R$3000,"Yes")</f>
        <v>0</v>
      </c>
      <c r="AY9" s="26" t="n">
        <f aca="false">SUMIFS(Permissions!$AO$2:$AO$3000,Permissions!$B$2:$B$3000,$A9,Permissions!$R$2:$R$3000,"Yes")</f>
        <v>0</v>
      </c>
      <c r="AZ9" s="24" t="n">
        <f aca="false">COUNTIFS(Permissions!$B$2:$B$3000,$A9,Permissions!$R$2:$R$3000,"Yes")</f>
        <v>1</v>
      </c>
      <c r="BA9" s="24" t="n">
        <f aca="false">SUMIFS(Permissions!$M$2:$M$3000,Permissions!$B$2:$B$3000,$A9,Permissions!$R$2:$R$3000,"Yes")</f>
        <v>0</v>
      </c>
      <c r="BB9" s="24" t="n">
        <f aca="false">SUMIFS(Permissions!$O$2:$O$3000,Permissions!$B$2:$B$3000,$A9,Permissions!$R$2:$R$3000,"Yes")</f>
        <v>0</v>
      </c>
      <c r="BC9" s="27" t="str">
        <f aca="false">IF(AND(AM9&gt;0,AR9&gt;=AM9,AP9=0),"Finished",IF(AR9&gt;0,"Partly built",IF(AM9&gt;0,"Consented – not built","No consent")))</f>
        <v>Consented – not built</v>
      </c>
      <c r="BD9" s="28" t="str">
        <f aca="false">IF(AND(R9&lt;&gt;"",AM9&gt;1.1*R9),"Consented above capacity",IF(AND(LEFT(B9,8)="Planning",AZ9=0),"Consent parcel with no permission",IF(COUNTIF($A$2:$A$3000,$A9)&gt;1,"Duplicate parcel_id","")))</f>
        <v>Consented above capacity</v>
      </c>
    </row>
    <row r="10" customFormat="false" ht="15" hidden="false" customHeight="false" outlineLevel="0" collapsed="false">
      <c r="A10" s="15" t="s">
        <v>193</v>
      </c>
      <c r="B10" s="15" t="s">
        <v>10</v>
      </c>
      <c r="C10" s="15" t="s">
        <v>16</v>
      </c>
      <c r="D10" s="15" t="s">
        <v>51</v>
      </c>
      <c r="E10" s="15" t="s">
        <v>19</v>
      </c>
      <c r="F10" s="15" t="n">
        <v>1</v>
      </c>
      <c r="G10" s="15" t="s">
        <v>158</v>
      </c>
      <c r="H10" s="15" t="n">
        <v>13</v>
      </c>
      <c r="I10" s="15" t="s">
        <v>51</v>
      </c>
      <c r="J10" s="15" t="s">
        <v>182</v>
      </c>
      <c r="K10" s="15" t="s">
        <v>183</v>
      </c>
      <c r="L10" s="15" t="s">
        <v>160</v>
      </c>
      <c r="M10" s="15" t="s">
        <v>171</v>
      </c>
      <c r="N10" s="15" t="s">
        <v>172</v>
      </c>
      <c r="O10" s="15" t="s">
        <v>163</v>
      </c>
      <c r="P10" s="15" t="n">
        <v>0.899</v>
      </c>
      <c r="Q10" s="15" t="n">
        <v>0.899</v>
      </c>
      <c r="R10" s="15" t="n">
        <v>40</v>
      </c>
      <c r="S10" s="15" t="s">
        <v>164</v>
      </c>
      <c r="T10" s="15" t="n">
        <v>31</v>
      </c>
      <c r="U10" s="15"/>
      <c r="V10" s="15"/>
      <c r="W10" s="15"/>
      <c r="X10" s="15" t="s">
        <v>165</v>
      </c>
      <c r="Y10" s="15" t="n">
        <v>34</v>
      </c>
      <c r="Z10" s="15" t="s">
        <v>166</v>
      </c>
      <c r="AA10" s="15"/>
      <c r="AB10" s="15" t="n">
        <v>0</v>
      </c>
      <c r="AC10" s="15" t="n">
        <v>0</v>
      </c>
      <c r="AD10" s="15" t="s">
        <v>167</v>
      </c>
      <c r="AE10" s="15" t="s">
        <v>168</v>
      </c>
      <c r="AF10" s="15" t="s">
        <v>169</v>
      </c>
      <c r="AG10" s="15"/>
      <c r="AH10" s="24" t="n">
        <f aca="false">IF(R10="",AM10,R10)</f>
        <v>40</v>
      </c>
      <c r="AI10" s="24" t="n">
        <f aca="false">SUMIFS(Permissions!$G$2:$G$3000,Permissions!$B$2:$B$3000,$A10,Permissions!$I$2:$I$3000,"Complete",Permissions!$R$2:$R$3000,"Yes")</f>
        <v>0</v>
      </c>
      <c r="AJ10" s="24" t="n">
        <f aca="false">SUMIFS(Permissions!$G$2:$G$3000,Permissions!$B$2:$B$3000,$A10,Permissions!$I$2:$I$3000,"Under construction",Permissions!$R$2:$R$3000,"Yes")</f>
        <v>0</v>
      </c>
      <c r="AK10" s="24" t="n">
        <f aca="false">SUMIFS(Permissions!$G$2:$G$3000,Permissions!$B$2:$B$3000,$A10,Permissions!$I$2:$I$3000,"Permitted – not started",Permissions!$R$2:$R$3000,"Yes")</f>
        <v>0</v>
      </c>
      <c r="AL10" s="24" t="n">
        <f aca="false">SUMIFS(Permissions!$G$2:$G$3000,Permissions!$B$2:$B$3000,$A10,Permissions!$I$2:$I$3000,"Stalled",Permissions!$R$2:$R$3000,"Yes")</f>
        <v>0</v>
      </c>
      <c r="AM10" s="24" t="n">
        <f aca="false">AI10+AJ10+AK10+AL10</f>
        <v>0</v>
      </c>
      <c r="AN10" s="24" t="n">
        <f aca="false">SUMIFS(Permissions!$G$2:$G$3000,Permissions!$B$2:$B$3000,$A10,Permissions!$I$2:$I$3000,"Expired – not started",Permissions!$R$2:$R$3000,"Yes")</f>
        <v>0</v>
      </c>
      <c r="AO10" s="24" t="n">
        <f aca="false">SUMIFS(Permissions!$G$2:$G$3000,Permissions!$B$2:$B$3000,$A10,Permissions!$I$2:$I$3000,"In planning",Permissions!$R$2:$R$3000,"Yes")</f>
        <v>0</v>
      </c>
      <c r="AP10" s="24" t="n">
        <f aca="false">IF(R10="",0,MAX(R10-AM10,0))</f>
        <v>40</v>
      </c>
      <c r="AQ10" s="25" t="n">
        <f aca="false">AM10+AP10</f>
        <v>40</v>
      </c>
      <c r="AR10" s="24" t="n">
        <f aca="false">SUMIFS(Permissions!$L$2:$L$3000,Permissions!$B$2:$B$3000,$A10,Permissions!$R$2:$R$3000,"Yes",Permissions!$I$2:$I$3000,"&lt;&gt;Expired – not started",Permissions!$I$2:$I$3000,"&lt;&gt;In planning")</f>
        <v>0</v>
      </c>
      <c r="AS10" s="24" t="n">
        <f aca="false">AQ10-AR10</f>
        <v>40</v>
      </c>
      <c r="AT10" s="26" t="n">
        <f aca="false">SUMIFS(Permissions!$AJ$2:$AJ$3000,Permissions!$B$2:$B$3000,$A10,Permissions!$R$2:$R$3000,"Yes")</f>
        <v>0</v>
      </c>
      <c r="AU10" s="26" t="n">
        <f aca="false">SUMIFS(Permissions!$AK$2:$AK$3000,Permissions!$B$2:$B$3000,$A10,Permissions!$R$2:$R$3000,"Yes")</f>
        <v>0</v>
      </c>
      <c r="AV10" s="26" t="n">
        <f aca="false">SUMIFS(Permissions!$AL$2:$AL$3000,Permissions!$B$2:$B$3000,$A10,Permissions!$R$2:$R$3000,"Yes")</f>
        <v>0</v>
      </c>
      <c r="AW10" s="26" t="n">
        <f aca="false">SUMIFS(Permissions!$AM$2:$AM$3000,Permissions!$B$2:$B$3000,$A10,Permissions!$R$2:$R$3000,"Yes")</f>
        <v>0</v>
      </c>
      <c r="AX10" s="26" t="n">
        <f aca="false">SUMIFS(Permissions!$AN$2:$AN$3000,Permissions!$B$2:$B$3000,$A10,Permissions!$R$2:$R$3000,"Yes")</f>
        <v>0</v>
      </c>
      <c r="AY10" s="26" t="n">
        <f aca="false">SUMIFS(Permissions!$AO$2:$AO$3000,Permissions!$B$2:$B$3000,$A10,Permissions!$R$2:$R$3000,"Yes")</f>
        <v>0</v>
      </c>
      <c r="AZ10" s="24" t="n">
        <f aca="false">COUNTIFS(Permissions!$B$2:$B$3000,$A10,Permissions!$R$2:$R$3000,"Yes")</f>
        <v>0</v>
      </c>
      <c r="BA10" s="24" t="n">
        <f aca="false">SUMIFS(Permissions!$M$2:$M$3000,Permissions!$B$2:$B$3000,$A10,Permissions!$R$2:$R$3000,"Yes")</f>
        <v>0</v>
      </c>
      <c r="BB10" s="24" t="n">
        <f aca="false">SUMIFS(Permissions!$O$2:$O$3000,Permissions!$B$2:$B$3000,$A10,Permissions!$R$2:$R$3000,"Yes")</f>
        <v>0</v>
      </c>
      <c r="BC10" s="27" t="str">
        <f aca="false">IF(AND(AM10&gt;0,AR10&gt;=AM10,AP10=0),"Finished",IF(AR10&gt;0,"Partly built",IF(AM10&gt;0,"Consented – not built","No consent")))</f>
        <v>No consent</v>
      </c>
      <c r="BD10" s="28" t="str">
        <f aca="false">IF(AND(R10&lt;&gt;"",AM10&gt;1.1*R10),"Consented above capacity",IF(AND(LEFT(B10,8)="Planning",AZ10=0),"Consent parcel with no permission",IF(COUNTIF($A$2:$A$3000,$A10)&gt;1,"Duplicate parcel_id","")))</f>
        <v/>
      </c>
    </row>
    <row r="11" customFormat="false" ht="15" hidden="false" customHeight="false" outlineLevel="0" collapsed="false">
      <c r="A11" s="15" t="s">
        <v>194</v>
      </c>
      <c r="B11" s="15" t="s">
        <v>10</v>
      </c>
      <c r="C11" s="15" t="s">
        <v>16</v>
      </c>
      <c r="D11" s="15" t="s">
        <v>51</v>
      </c>
      <c r="E11" s="15" t="s">
        <v>19</v>
      </c>
      <c r="F11" s="15" t="n">
        <v>1</v>
      </c>
      <c r="G11" s="15" t="s">
        <v>158</v>
      </c>
      <c r="H11" s="15" t="n">
        <v>14</v>
      </c>
      <c r="I11" s="15" t="s">
        <v>51</v>
      </c>
      <c r="J11" s="15" t="s">
        <v>182</v>
      </c>
      <c r="K11" s="15" t="s">
        <v>183</v>
      </c>
      <c r="L11" s="15" t="s">
        <v>160</v>
      </c>
      <c r="M11" s="15" t="s">
        <v>171</v>
      </c>
      <c r="N11" s="15" t="s">
        <v>172</v>
      </c>
      <c r="O11" s="15" t="s">
        <v>163</v>
      </c>
      <c r="P11" s="15" t="n">
        <v>0.654</v>
      </c>
      <c r="Q11" s="15" t="n">
        <v>2.014</v>
      </c>
      <c r="R11" s="15" t="n">
        <v>30</v>
      </c>
      <c r="S11" s="15" t="s">
        <v>164</v>
      </c>
      <c r="T11" s="15" t="n">
        <v>22</v>
      </c>
      <c r="U11" s="15"/>
      <c r="V11" s="15"/>
      <c r="W11" s="15"/>
      <c r="X11" s="15" t="s">
        <v>165</v>
      </c>
      <c r="Y11" s="15" t="n">
        <v>34</v>
      </c>
      <c r="Z11" s="15" t="s">
        <v>166</v>
      </c>
      <c r="AA11" s="15"/>
      <c r="AB11" s="15" t="n">
        <v>18</v>
      </c>
      <c r="AC11" s="15" t="n">
        <v>18</v>
      </c>
      <c r="AD11" s="15" t="s">
        <v>179</v>
      </c>
      <c r="AE11" s="15" t="s">
        <v>180</v>
      </c>
      <c r="AF11" s="15" t="s">
        <v>169</v>
      </c>
      <c r="AG11" s="15"/>
      <c r="AH11" s="24" t="n">
        <f aca="false">IF(R11="",AM11,R11)</f>
        <v>30</v>
      </c>
      <c r="AI11" s="24" t="n">
        <f aca="false">SUMIFS(Permissions!$G$2:$G$3000,Permissions!$B$2:$B$3000,$A11,Permissions!$I$2:$I$3000,"Complete",Permissions!$R$2:$R$3000,"Yes")</f>
        <v>0</v>
      </c>
      <c r="AJ11" s="24" t="n">
        <f aca="false">SUMIFS(Permissions!$G$2:$G$3000,Permissions!$B$2:$B$3000,$A11,Permissions!$I$2:$I$3000,"Under construction",Permissions!$R$2:$R$3000,"Yes")</f>
        <v>0</v>
      </c>
      <c r="AK11" s="24" t="n">
        <f aca="false">SUMIFS(Permissions!$G$2:$G$3000,Permissions!$B$2:$B$3000,$A11,Permissions!$I$2:$I$3000,"Permitted – not started",Permissions!$R$2:$R$3000,"Yes")</f>
        <v>0</v>
      </c>
      <c r="AL11" s="24" t="n">
        <f aca="false">SUMIFS(Permissions!$G$2:$G$3000,Permissions!$B$2:$B$3000,$A11,Permissions!$I$2:$I$3000,"Stalled",Permissions!$R$2:$R$3000,"Yes")</f>
        <v>0</v>
      </c>
      <c r="AM11" s="24" t="n">
        <f aca="false">AI11+AJ11+AK11+AL11</f>
        <v>0</v>
      </c>
      <c r="AN11" s="24" t="n">
        <f aca="false">SUMIFS(Permissions!$G$2:$G$3000,Permissions!$B$2:$B$3000,$A11,Permissions!$I$2:$I$3000,"Expired – not started",Permissions!$R$2:$R$3000,"Yes")</f>
        <v>0</v>
      </c>
      <c r="AO11" s="24" t="n">
        <f aca="false">SUMIFS(Permissions!$G$2:$G$3000,Permissions!$B$2:$B$3000,$A11,Permissions!$I$2:$I$3000,"In planning",Permissions!$R$2:$R$3000,"Yes")</f>
        <v>0</v>
      </c>
      <c r="AP11" s="24" t="n">
        <f aca="false">IF(R11="",0,MAX(R11-AM11,0))</f>
        <v>30</v>
      </c>
      <c r="AQ11" s="25" t="n">
        <f aca="false">AM11+AP11</f>
        <v>30</v>
      </c>
      <c r="AR11" s="24" t="n">
        <f aca="false">SUMIFS(Permissions!$L$2:$L$3000,Permissions!$B$2:$B$3000,$A11,Permissions!$R$2:$R$3000,"Yes",Permissions!$I$2:$I$3000,"&lt;&gt;Expired – not started",Permissions!$I$2:$I$3000,"&lt;&gt;In planning")</f>
        <v>0</v>
      </c>
      <c r="AS11" s="24" t="n">
        <f aca="false">AQ11-AR11</f>
        <v>30</v>
      </c>
      <c r="AT11" s="26" t="n">
        <f aca="false">SUMIFS(Permissions!$AJ$2:$AJ$3000,Permissions!$B$2:$B$3000,$A11,Permissions!$R$2:$R$3000,"Yes")</f>
        <v>0</v>
      </c>
      <c r="AU11" s="26" t="n">
        <f aca="false">SUMIFS(Permissions!$AK$2:$AK$3000,Permissions!$B$2:$B$3000,$A11,Permissions!$R$2:$R$3000,"Yes")</f>
        <v>0</v>
      </c>
      <c r="AV11" s="26" t="n">
        <f aca="false">SUMIFS(Permissions!$AL$2:$AL$3000,Permissions!$B$2:$B$3000,$A11,Permissions!$R$2:$R$3000,"Yes")</f>
        <v>0</v>
      </c>
      <c r="AW11" s="26" t="n">
        <f aca="false">SUMIFS(Permissions!$AM$2:$AM$3000,Permissions!$B$2:$B$3000,$A11,Permissions!$R$2:$R$3000,"Yes")</f>
        <v>0</v>
      </c>
      <c r="AX11" s="26" t="n">
        <f aca="false">SUMIFS(Permissions!$AN$2:$AN$3000,Permissions!$B$2:$B$3000,$A11,Permissions!$R$2:$R$3000,"Yes")</f>
        <v>0</v>
      </c>
      <c r="AY11" s="26" t="n">
        <f aca="false">SUMIFS(Permissions!$AO$2:$AO$3000,Permissions!$B$2:$B$3000,$A11,Permissions!$R$2:$R$3000,"Yes")</f>
        <v>0</v>
      </c>
      <c r="AZ11" s="24" t="n">
        <f aca="false">COUNTIFS(Permissions!$B$2:$B$3000,$A11,Permissions!$R$2:$R$3000,"Yes")</f>
        <v>0</v>
      </c>
      <c r="BA11" s="24" t="n">
        <f aca="false">SUMIFS(Permissions!$M$2:$M$3000,Permissions!$B$2:$B$3000,$A11,Permissions!$R$2:$R$3000,"Yes")</f>
        <v>0</v>
      </c>
      <c r="BB11" s="24" t="n">
        <f aca="false">SUMIFS(Permissions!$O$2:$O$3000,Permissions!$B$2:$B$3000,$A11,Permissions!$R$2:$R$3000,"Yes")</f>
        <v>0</v>
      </c>
      <c r="BC11" s="27" t="str">
        <f aca="false">IF(AND(AM11&gt;0,AR11&gt;=AM11,AP11=0),"Finished",IF(AR11&gt;0,"Partly built",IF(AM11&gt;0,"Consented – not built","No consent")))</f>
        <v>No consent</v>
      </c>
      <c r="BD11" s="28" t="str">
        <f aca="false">IF(AND(R11&lt;&gt;"",AM11&gt;1.1*R11),"Consented above capacity",IF(AND(LEFT(B11,8)="Planning",AZ11=0),"Consent parcel with no permission",IF(COUNTIF($A$2:$A$3000,$A11)&gt;1,"Duplicate parcel_id","")))</f>
        <v/>
      </c>
    </row>
    <row r="12" customFormat="false" ht="15" hidden="false" customHeight="false" outlineLevel="0" collapsed="false">
      <c r="A12" s="15" t="s">
        <v>195</v>
      </c>
      <c r="B12" s="15" t="s">
        <v>10</v>
      </c>
      <c r="C12" s="15" t="s">
        <v>16</v>
      </c>
      <c r="D12" s="15" t="s">
        <v>51</v>
      </c>
      <c r="E12" s="15" t="s">
        <v>19</v>
      </c>
      <c r="F12" s="15" t="n">
        <v>1</v>
      </c>
      <c r="G12" s="15" t="s">
        <v>158</v>
      </c>
      <c r="H12" s="15" t="n">
        <v>15</v>
      </c>
      <c r="I12" s="15" t="s">
        <v>51</v>
      </c>
      <c r="J12" s="15" t="s">
        <v>182</v>
      </c>
      <c r="K12" s="15" t="s">
        <v>183</v>
      </c>
      <c r="L12" s="15" t="s">
        <v>160</v>
      </c>
      <c r="M12" s="15" t="s">
        <v>161</v>
      </c>
      <c r="N12" s="15" t="s">
        <v>172</v>
      </c>
      <c r="O12" s="15" t="s">
        <v>163</v>
      </c>
      <c r="P12" s="15" t="n">
        <v>3.003</v>
      </c>
      <c r="Q12" s="15" t="n">
        <v>3.003</v>
      </c>
      <c r="R12" s="15" t="n">
        <v>135</v>
      </c>
      <c r="S12" s="15" t="s">
        <v>164</v>
      </c>
      <c r="T12" s="15" t="n">
        <v>102</v>
      </c>
      <c r="U12" s="15"/>
      <c r="V12" s="15"/>
      <c r="W12" s="15"/>
      <c r="X12" s="15" t="s">
        <v>165</v>
      </c>
      <c r="Y12" s="15" t="n">
        <v>34</v>
      </c>
      <c r="Z12" s="15" t="s">
        <v>166</v>
      </c>
      <c r="AA12" s="15"/>
      <c r="AB12" s="15" t="n">
        <v>4</v>
      </c>
      <c r="AC12" s="15" t="n">
        <v>4</v>
      </c>
      <c r="AD12" s="15" t="s">
        <v>167</v>
      </c>
      <c r="AE12" s="15" t="s">
        <v>168</v>
      </c>
      <c r="AF12" s="15" t="s">
        <v>169</v>
      </c>
      <c r="AG12" s="15"/>
      <c r="AH12" s="24" t="n">
        <f aca="false">IF(R12="",AM12,R12)</f>
        <v>135</v>
      </c>
      <c r="AI12" s="24" t="n">
        <f aca="false">SUMIFS(Permissions!$G$2:$G$3000,Permissions!$B$2:$B$3000,$A12,Permissions!$I$2:$I$3000,"Complete",Permissions!$R$2:$R$3000,"Yes")</f>
        <v>0</v>
      </c>
      <c r="AJ12" s="24" t="n">
        <f aca="false">SUMIFS(Permissions!$G$2:$G$3000,Permissions!$B$2:$B$3000,$A12,Permissions!$I$2:$I$3000,"Under construction",Permissions!$R$2:$R$3000,"Yes")</f>
        <v>0</v>
      </c>
      <c r="AK12" s="24" t="n">
        <f aca="false">SUMIFS(Permissions!$G$2:$G$3000,Permissions!$B$2:$B$3000,$A12,Permissions!$I$2:$I$3000,"Permitted – not started",Permissions!$R$2:$R$3000,"Yes")</f>
        <v>0</v>
      </c>
      <c r="AL12" s="24" t="n">
        <f aca="false">SUMIFS(Permissions!$G$2:$G$3000,Permissions!$B$2:$B$3000,$A12,Permissions!$I$2:$I$3000,"Stalled",Permissions!$R$2:$R$3000,"Yes")</f>
        <v>0</v>
      </c>
      <c r="AM12" s="24" t="n">
        <f aca="false">AI12+AJ12+AK12+AL12</f>
        <v>0</v>
      </c>
      <c r="AN12" s="24" t="n">
        <f aca="false">SUMIFS(Permissions!$G$2:$G$3000,Permissions!$B$2:$B$3000,$A12,Permissions!$I$2:$I$3000,"Expired – not started",Permissions!$R$2:$R$3000,"Yes")</f>
        <v>0</v>
      </c>
      <c r="AO12" s="24" t="n">
        <f aca="false">SUMIFS(Permissions!$G$2:$G$3000,Permissions!$B$2:$B$3000,$A12,Permissions!$I$2:$I$3000,"In planning",Permissions!$R$2:$R$3000,"Yes")</f>
        <v>0</v>
      </c>
      <c r="AP12" s="24" t="n">
        <f aca="false">IF(R12="",0,MAX(R12-AM12,0))</f>
        <v>135</v>
      </c>
      <c r="AQ12" s="25" t="n">
        <f aca="false">AM12+AP12</f>
        <v>135</v>
      </c>
      <c r="AR12" s="24" t="n">
        <f aca="false">SUMIFS(Permissions!$L$2:$L$3000,Permissions!$B$2:$B$3000,$A12,Permissions!$R$2:$R$3000,"Yes",Permissions!$I$2:$I$3000,"&lt;&gt;Expired – not started",Permissions!$I$2:$I$3000,"&lt;&gt;In planning")</f>
        <v>0</v>
      </c>
      <c r="AS12" s="24" t="n">
        <f aca="false">AQ12-AR12</f>
        <v>135</v>
      </c>
      <c r="AT12" s="26" t="n">
        <f aca="false">SUMIFS(Permissions!$AJ$2:$AJ$3000,Permissions!$B$2:$B$3000,$A12,Permissions!$R$2:$R$3000,"Yes")</f>
        <v>0</v>
      </c>
      <c r="AU12" s="26" t="n">
        <f aca="false">SUMIFS(Permissions!$AK$2:$AK$3000,Permissions!$B$2:$B$3000,$A12,Permissions!$R$2:$R$3000,"Yes")</f>
        <v>0</v>
      </c>
      <c r="AV12" s="26" t="n">
        <f aca="false">SUMIFS(Permissions!$AL$2:$AL$3000,Permissions!$B$2:$B$3000,$A12,Permissions!$R$2:$R$3000,"Yes")</f>
        <v>0</v>
      </c>
      <c r="AW12" s="26" t="n">
        <f aca="false">SUMIFS(Permissions!$AM$2:$AM$3000,Permissions!$B$2:$B$3000,$A12,Permissions!$R$2:$R$3000,"Yes")</f>
        <v>0</v>
      </c>
      <c r="AX12" s="26" t="n">
        <f aca="false">SUMIFS(Permissions!$AN$2:$AN$3000,Permissions!$B$2:$B$3000,$A12,Permissions!$R$2:$R$3000,"Yes")</f>
        <v>0</v>
      </c>
      <c r="AY12" s="26" t="n">
        <f aca="false">SUMIFS(Permissions!$AO$2:$AO$3000,Permissions!$B$2:$B$3000,$A12,Permissions!$R$2:$R$3000,"Yes")</f>
        <v>0</v>
      </c>
      <c r="AZ12" s="24" t="n">
        <f aca="false">COUNTIFS(Permissions!$B$2:$B$3000,$A12,Permissions!$R$2:$R$3000,"Yes")</f>
        <v>0</v>
      </c>
      <c r="BA12" s="24" t="n">
        <f aca="false">SUMIFS(Permissions!$M$2:$M$3000,Permissions!$B$2:$B$3000,$A12,Permissions!$R$2:$R$3000,"Yes")</f>
        <v>0</v>
      </c>
      <c r="BB12" s="24" t="n">
        <f aca="false">SUMIFS(Permissions!$O$2:$O$3000,Permissions!$B$2:$B$3000,$A12,Permissions!$R$2:$R$3000,"Yes")</f>
        <v>0</v>
      </c>
      <c r="BC12" s="27" t="str">
        <f aca="false">IF(AND(AM12&gt;0,AR12&gt;=AM12,AP12=0),"Finished",IF(AR12&gt;0,"Partly built",IF(AM12&gt;0,"Consented – not built","No consent")))</f>
        <v>No consent</v>
      </c>
      <c r="BD12" s="28" t="str">
        <f aca="false">IF(AND(R12&lt;&gt;"",AM12&gt;1.1*R12),"Consented above capacity",IF(AND(LEFT(B12,8)="Planning",AZ12=0),"Consent parcel with no permission",IF(COUNTIF($A$2:$A$3000,$A12)&gt;1,"Duplicate parcel_id","")))</f>
        <v/>
      </c>
    </row>
    <row r="13" customFormat="false" ht="15" hidden="false" customHeight="false" outlineLevel="0" collapsed="false">
      <c r="A13" s="15" t="s">
        <v>196</v>
      </c>
      <c r="B13" s="15" t="s">
        <v>10</v>
      </c>
      <c r="C13" s="15" t="s">
        <v>16</v>
      </c>
      <c r="D13" s="15" t="s">
        <v>51</v>
      </c>
      <c r="E13" s="15" t="s">
        <v>19</v>
      </c>
      <c r="F13" s="15" t="n">
        <v>1</v>
      </c>
      <c r="G13" s="15" t="s">
        <v>158</v>
      </c>
      <c r="H13" s="15" t="n">
        <v>16</v>
      </c>
      <c r="I13" s="15" t="s">
        <v>51</v>
      </c>
      <c r="J13" s="15" t="s">
        <v>182</v>
      </c>
      <c r="K13" s="15" t="s">
        <v>183</v>
      </c>
      <c r="L13" s="15" t="s">
        <v>160</v>
      </c>
      <c r="M13" s="15" t="s">
        <v>171</v>
      </c>
      <c r="N13" s="15" t="s">
        <v>172</v>
      </c>
      <c r="O13" s="15" t="s">
        <v>163</v>
      </c>
      <c r="P13" s="15" t="n">
        <v>0.436</v>
      </c>
      <c r="Q13" s="15" t="n">
        <v>0.436</v>
      </c>
      <c r="R13" s="15" t="n">
        <v>20</v>
      </c>
      <c r="S13" s="15" t="s">
        <v>164</v>
      </c>
      <c r="T13" s="15" t="n">
        <v>15</v>
      </c>
      <c r="U13" s="15"/>
      <c r="V13" s="15"/>
      <c r="W13" s="15"/>
      <c r="X13" s="15" t="s">
        <v>165</v>
      </c>
      <c r="Y13" s="15" t="n">
        <v>34</v>
      </c>
      <c r="Z13" s="15" t="s">
        <v>166</v>
      </c>
      <c r="AA13" s="15"/>
      <c r="AB13" s="15" t="n">
        <v>0</v>
      </c>
      <c r="AC13" s="15" t="n">
        <v>0</v>
      </c>
      <c r="AD13" s="15" t="s">
        <v>167</v>
      </c>
      <c r="AE13" s="15" t="s">
        <v>168</v>
      </c>
      <c r="AF13" s="15" t="s">
        <v>169</v>
      </c>
      <c r="AG13" s="15"/>
      <c r="AH13" s="24" t="n">
        <f aca="false">IF(R13="",AM13,R13)</f>
        <v>20</v>
      </c>
      <c r="AI13" s="24" t="n">
        <f aca="false">SUMIFS(Permissions!$G$2:$G$3000,Permissions!$B$2:$B$3000,$A13,Permissions!$I$2:$I$3000,"Complete",Permissions!$R$2:$R$3000,"Yes")</f>
        <v>0</v>
      </c>
      <c r="AJ13" s="24" t="n">
        <f aca="false">SUMIFS(Permissions!$G$2:$G$3000,Permissions!$B$2:$B$3000,$A13,Permissions!$I$2:$I$3000,"Under construction",Permissions!$R$2:$R$3000,"Yes")</f>
        <v>0</v>
      </c>
      <c r="AK13" s="24" t="n">
        <f aca="false">SUMIFS(Permissions!$G$2:$G$3000,Permissions!$B$2:$B$3000,$A13,Permissions!$I$2:$I$3000,"Permitted – not started",Permissions!$R$2:$R$3000,"Yes")</f>
        <v>0</v>
      </c>
      <c r="AL13" s="24" t="n">
        <f aca="false">SUMIFS(Permissions!$G$2:$G$3000,Permissions!$B$2:$B$3000,$A13,Permissions!$I$2:$I$3000,"Stalled",Permissions!$R$2:$R$3000,"Yes")</f>
        <v>0</v>
      </c>
      <c r="AM13" s="24" t="n">
        <f aca="false">AI13+AJ13+AK13+AL13</f>
        <v>0</v>
      </c>
      <c r="AN13" s="24" t="n">
        <f aca="false">SUMIFS(Permissions!$G$2:$G$3000,Permissions!$B$2:$B$3000,$A13,Permissions!$I$2:$I$3000,"Expired – not started",Permissions!$R$2:$R$3000,"Yes")</f>
        <v>0</v>
      </c>
      <c r="AO13" s="24" t="n">
        <f aca="false">SUMIFS(Permissions!$G$2:$G$3000,Permissions!$B$2:$B$3000,$A13,Permissions!$I$2:$I$3000,"In planning",Permissions!$R$2:$R$3000,"Yes")</f>
        <v>0</v>
      </c>
      <c r="AP13" s="24" t="n">
        <f aca="false">IF(R13="",0,MAX(R13-AM13,0))</f>
        <v>20</v>
      </c>
      <c r="AQ13" s="25" t="n">
        <f aca="false">AM13+AP13</f>
        <v>20</v>
      </c>
      <c r="AR13" s="24" t="n">
        <f aca="false">SUMIFS(Permissions!$L$2:$L$3000,Permissions!$B$2:$B$3000,$A13,Permissions!$R$2:$R$3000,"Yes",Permissions!$I$2:$I$3000,"&lt;&gt;Expired – not started",Permissions!$I$2:$I$3000,"&lt;&gt;In planning")</f>
        <v>0</v>
      </c>
      <c r="AS13" s="24" t="n">
        <f aca="false">AQ13-AR13</f>
        <v>20</v>
      </c>
      <c r="AT13" s="26" t="n">
        <f aca="false">SUMIFS(Permissions!$AJ$2:$AJ$3000,Permissions!$B$2:$B$3000,$A13,Permissions!$R$2:$R$3000,"Yes")</f>
        <v>0</v>
      </c>
      <c r="AU13" s="26" t="n">
        <f aca="false">SUMIFS(Permissions!$AK$2:$AK$3000,Permissions!$B$2:$B$3000,$A13,Permissions!$R$2:$R$3000,"Yes")</f>
        <v>0</v>
      </c>
      <c r="AV13" s="26" t="n">
        <f aca="false">SUMIFS(Permissions!$AL$2:$AL$3000,Permissions!$B$2:$B$3000,$A13,Permissions!$R$2:$R$3000,"Yes")</f>
        <v>0</v>
      </c>
      <c r="AW13" s="26" t="n">
        <f aca="false">SUMIFS(Permissions!$AM$2:$AM$3000,Permissions!$B$2:$B$3000,$A13,Permissions!$R$2:$R$3000,"Yes")</f>
        <v>0</v>
      </c>
      <c r="AX13" s="26" t="n">
        <f aca="false">SUMIFS(Permissions!$AN$2:$AN$3000,Permissions!$B$2:$B$3000,$A13,Permissions!$R$2:$R$3000,"Yes")</f>
        <v>0</v>
      </c>
      <c r="AY13" s="26" t="n">
        <f aca="false">SUMIFS(Permissions!$AO$2:$AO$3000,Permissions!$B$2:$B$3000,$A13,Permissions!$R$2:$R$3000,"Yes")</f>
        <v>0</v>
      </c>
      <c r="AZ13" s="24" t="n">
        <f aca="false">COUNTIFS(Permissions!$B$2:$B$3000,$A13,Permissions!$R$2:$R$3000,"Yes")</f>
        <v>0</v>
      </c>
      <c r="BA13" s="24" t="n">
        <f aca="false">SUMIFS(Permissions!$M$2:$M$3000,Permissions!$B$2:$B$3000,$A13,Permissions!$R$2:$R$3000,"Yes")</f>
        <v>0</v>
      </c>
      <c r="BB13" s="24" t="n">
        <f aca="false">SUMIFS(Permissions!$O$2:$O$3000,Permissions!$B$2:$B$3000,$A13,Permissions!$R$2:$R$3000,"Yes")</f>
        <v>0</v>
      </c>
      <c r="BC13" s="27" t="str">
        <f aca="false">IF(AND(AM13&gt;0,AR13&gt;=AM13,AP13=0),"Finished",IF(AR13&gt;0,"Partly built",IF(AM13&gt;0,"Consented – not built","No consent")))</f>
        <v>No consent</v>
      </c>
      <c r="BD13" s="28" t="str">
        <f aca="false">IF(AND(R13&lt;&gt;"",AM13&gt;1.1*R13),"Consented above capacity",IF(AND(LEFT(B13,8)="Planning",AZ13=0),"Consent parcel with no permission",IF(COUNTIF($A$2:$A$3000,$A13)&gt;1,"Duplicate parcel_id","")))</f>
        <v/>
      </c>
    </row>
    <row r="14" customFormat="false" ht="15" hidden="false" customHeight="false" outlineLevel="0" collapsed="false">
      <c r="A14" s="15" t="s">
        <v>197</v>
      </c>
      <c r="B14" s="15" t="s">
        <v>10</v>
      </c>
      <c r="C14" s="15" t="s">
        <v>16</v>
      </c>
      <c r="D14" s="15" t="s">
        <v>51</v>
      </c>
      <c r="E14" s="15" t="s">
        <v>19</v>
      </c>
      <c r="F14" s="15" t="n">
        <v>1</v>
      </c>
      <c r="G14" s="15" t="s">
        <v>158</v>
      </c>
      <c r="H14" s="15" t="n">
        <v>164</v>
      </c>
      <c r="I14" s="15" t="s">
        <v>51</v>
      </c>
      <c r="J14" s="15" t="s">
        <v>182</v>
      </c>
      <c r="K14" s="15"/>
      <c r="L14" s="15" t="s">
        <v>189</v>
      </c>
      <c r="M14" s="15"/>
      <c r="N14" s="15"/>
      <c r="O14" s="15"/>
      <c r="P14" s="15" t="n">
        <v>5.112</v>
      </c>
      <c r="Q14" s="15" t="n">
        <v>5.11</v>
      </c>
      <c r="R14" s="15" t="n">
        <v>179</v>
      </c>
      <c r="S14" s="15" t="s">
        <v>164</v>
      </c>
      <c r="T14" s="15" t="n">
        <v>174</v>
      </c>
      <c r="U14" s="15"/>
      <c r="V14" s="15"/>
      <c r="W14" s="15"/>
      <c r="X14" s="15" t="s">
        <v>165</v>
      </c>
      <c r="Y14" s="15" t="n">
        <v>34</v>
      </c>
      <c r="Z14" s="15" t="s">
        <v>166</v>
      </c>
      <c r="AA14" s="15"/>
      <c r="AB14" s="15" t="n">
        <v>0</v>
      </c>
      <c r="AC14" s="15" t="n">
        <v>0</v>
      </c>
      <c r="AD14" s="15"/>
      <c r="AE14" s="15" t="s">
        <v>198</v>
      </c>
      <c r="AF14" s="15" t="s">
        <v>169</v>
      </c>
      <c r="AG14" s="15"/>
      <c r="AH14" s="24" t="n">
        <f aca="false">IF(R14="",AM14,R14)</f>
        <v>179</v>
      </c>
      <c r="AI14" s="24" t="n">
        <f aca="false">SUMIFS(Permissions!$G$2:$G$3000,Permissions!$B$2:$B$3000,$A14,Permissions!$I$2:$I$3000,"Complete",Permissions!$R$2:$R$3000,"Yes")</f>
        <v>0</v>
      </c>
      <c r="AJ14" s="24" t="n">
        <f aca="false">SUMIFS(Permissions!$G$2:$G$3000,Permissions!$B$2:$B$3000,$A14,Permissions!$I$2:$I$3000,"Under construction",Permissions!$R$2:$R$3000,"Yes")</f>
        <v>0</v>
      </c>
      <c r="AK14" s="24" t="n">
        <f aca="false">SUMIFS(Permissions!$G$2:$G$3000,Permissions!$B$2:$B$3000,$A14,Permissions!$I$2:$I$3000,"Permitted – not started",Permissions!$R$2:$R$3000,"Yes")</f>
        <v>0</v>
      </c>
      <c r="AL14" s="24" t="n">
        <f aca="false">SUMIFS(Permissions!$G$2:$G$3000,Permissions!$B$2:$B$3000,$A14,Permissions!$I$2:$I$3000,"Stalled",Permissions!$R$2:$R$3000,"Yes")</f>
        <v>0</v>
      </c>
      <c r="AM14" s="24" t="n">
        <f aca="false">AI14+AJ14+AK14+AL14</f>
        <v>0</v>
      </c>
      <c r="AN14" s="24" t="n">
        <f aca="false">SUMIFS(Permissions!$G$2:$G$3000,Permissions!$B$2:$B$3000,$A14,Permissions!$I$2:$I$3000,"Expired – not started",Permissions!$R$2:$R$3000,"Yes")</f>
        <v>0</v>
      </c>
      <c r="AO14" s="24" t="n">
        <f aca="false">SUMIFS(Permissions!$G$2:$G$3000,Permissions!$B$2:$B$3000,$A14,Permissions!$I$2:$I$3000,"In planning",Permissions!$R$2:$R$3000,"Yes")</f>
        <v>0</v>
      </c>
      <c r="AP14" s="24" t="n">
        <f aca="false">IF(R14="",0,MAX(R14-AM14,0))</f>
        <v>179</v>
      </c>
      <c r="AQ14" s="25" t="n">
        <f aca="false">AM14+AP14</f>
        <v>179</v>
      </c>
      <c r="AR14" s="24" t="n">
        <f aca="false">SUMIFS(Permissions!$L$2:$L$3000,Permissions!$B$2:$B$3000,$A14,Permissions!$R$2:$R$3000,"Yes",Permissions!$I$2:$I$3000,"&lt;&gt;Expired – not started",Permissions!$I$2:$I$3000,"&lt;&gt;In planning")</f>
        <v>0</v>
      </c>
      <c r="AS14" s="24" t="n">
        <f aca="false">AQ14-AR14</f>
        <v>179</v>
      </c>
      <c r="AT14" s="26" t="n">
        <f aca="false">SUMIFS(Permissions!$AJ$2:$AJ$3000,Permissions!$B$2:$B$3000,$A14,Permissions!$R$2:$R$3000,"Yes")</f>
        <v>0</v>
      </c>
      <c r="AU14" s="26" t="n">
        <f aca="false">SUMIFS(Permissions!$AK$2:$AK$3000,Permissions!$B$2:$B$3000,$A14,Permissions!$R$2:$R$3000,"Yes")</f>
        <v>0</v>
      </c>
      <c r="AV14" s="26" t="n">
        <f aca="false">SUMIFS(Permissions!$AL$2:$AL$3000,Permissions!$B$2:$B$3000,$A14,Permissions!$R$2:$R$3000,"Yes")</f>
        <v>0</v>
      </c>
      <c r="AW14" s="26" t="n">
        <f aca="false">SUMIFS(Permissions!$AM$2:$AM$3000,Permissions!$B$2:$B$3000,$A14,Permissions!$R$2:$R$3000,"Yes")</f>
        <v>0</v>
      </c>
      <c r="AX14" s="26" t="n">
        <f aca="false">SUMIFS(Permissions!$AN$2:$AN$3000,Permissions!$B$2:$B$3000,$A14,Permissions!$R$2:$R$3000,"Yes")</f>
        <v>0</v>
      </c>
      <c r="AY14" s="26" t="n">
        <f aca="false">SUMIFS(Permissions!$AO$2:$AO$3000,Permissions!$B$2:$B$3000,$A14,Permissions!$R$2:$R$3000,"Yes")</f>
        <v>0</v>
      </c>
      <c r="AZ14" s="24" t="n">
        <f aca="false">COUNTIFS(Permissions!$B$2:$B$3000,$A14,Permissions!$R$2:$R$3000,"Yes")</f>
        <v>0</v>
      </c>
      <c r="BA14" s="24" t="n">
        <f aca="false">SUMIFS(Permissions!$M$2:$M$3000,Permissions!$B$2:$B$3000,$A14,Permissions!$R$2:$R$3000,"Yes")</f>
        <v>0</v>
      </c>
      <c r="BB14" s="24" t="n">
        <f aca="false">SUMIFS(Permissions!$O$2:$O$3000,Permissions!$B$2:$B$3000,$A14,Permissions!$R$2:$R$3000,"Yes")</f>
        <v>0</v>
      </c>
      <c r="BC14" s="27" t="str">
        <f aca="false">IF(AND(AM14&gt;0,AR14&gt;=AM14,AP14=0),"Finished",IF(AR14&gt;0,"Partly built",IF(AM14&gt;0,"Consented – not built","No consent")))</f>
        <v>No consent</v>
      </c>
      <c r="BD14" s="28" t="str">
        <f aca="false">IF(AND(R14&lt;&gt;"",AM14&gt;1.1*R14),"Consented above capacity",IF(AND(LEFT(B14,8)="Planning",AZ14=0),"Consent parcel with no permission",IF(COUNTIF($A$2:$A$3000,$A14)&gt;1,"Duplicate parcel_id","")))</f>
        <v/>
      </c>
    </row>
    <row r="15" customFormat="false" ht="15" hidden="false" customHeight="false" outlineLevel="0" collapsed="false">
      <c r="A15" s="15" t="s">
        <v>199</v>
      </c>
      <c r="B15" s="15" t="s">
        <v>10</v>
      </c>
      <c r="C15" s="15" t="s">
        <v>16</v>
      </c>
      <c r="D15" s="15" t="s">
        <v>51</v>
      </c>
      <c r="E15" s="15" t="s">
        <v>19</v>
      </c>
      <c r="F15" s="15" t="n">
        <v>1</v>
      </c>
      <c r="G15" s="15" t="s">
        <v>158</v>
      </c>
      <c r="H15" s="15" t="n">
        <v>20</v>
      </c>
      <c r="I15" s="15" t="s">
        <v>51</v>
      </c>
      <c r="J15" s="15" t="s">
        <v>182</v>
      </c>
      <c r="K15" s="15" t="s">
        <v>183</v>
      </c>
      <c r="L15" s="15" t="s">
        <v>176</v>
      </c>
      <c r="M15" s="15" t="s">
        <v>190</v>
      </c>
      <c r="N15" s="15" t="s">
        <v>172</v>
      </c>
      <c r="O15" s="15" t="s">
        <v>163</v>
      </c>
      <c r="P15" s="15" t="n">
        <v>0.641</v>
      </c>
      <c r="Q15" s="15" t="n">
        <v>0.641</v>
      </c>
      <c r="R15" s="15" t="n">
        <v>29</v>
      </c>
      <c r="S15" s="15" t="s">
        <v>164</v>
      </c>
      <c r="T15" s="15" t="n">
        <v>22</v>
      </c>
      <c r="U15" s="15"/>
      <c r="V15" s="15"/>
      <c r="W15" s="15"/>
      <c r="X15" s="15" t="s">
        <v>165</v>
      </c>
      <c r="Y15" s="15" t="n">
        <v>34</v>
      </c>
      <c r="Z15" s="15" t="s">
        <v>166</v>
      </c>
      <c r="AA15" s="15"/>
      <c r="AB15" s="15" t="n">
        <v>0</v>
      </c>
      <c r="AC15" s="15" t="n">
        <v>0</v>
      </c>
      <c r="AD15" s="15" t="s">
        <v>167</v>
      </c>
      <c r="AE15" s="15" t="s">
        <v>168</v>
      </c>
      <c r="AF15" s="15" t="s">
        <v>169</v>
      </c>
      <c r="AG15" s="15"/>
      <c r="AH15" s="24" t="n">
        <f aca="false">IF(R15="",AM15,R15)</f>
        <v>29</v>
      </c>
      <c r="AI15" s="24" t="n">
        <f aca="false">SUMIFS(Permissions!$G$2:$G$3000,Permissions!$B$2:$B$3000,$A15,Permissions!$I$2:$I$3000,"Complete",Permissions!$R$2:$R$3000,"Yes")</f>
        <v>0</v>
      </c>
      <c r="AJ15" s="24" t="n">
        <f aca="false">SUMIFS(Permissions!$G$2:$G$3000,Permissions!$B$2:$B$3000,$A15,Permissions!$I$2:$I$3000,"Under construction",Permissions!$R$2:$R$3000,"Yes")</f>
        <v>0</v>
      </c>
      <c r="AK15" s="24" t="n">
        <f aca="false">SUMIFS(Permissions!$G$2:$G$3000,Permissions!$B$2:$B$3000,$A15,Permissions!$I$2:$I$3000,"Permitted – not started",Permissions!$R$2:$R$3000,"Yes")</f>
        <v>0</v>
      </c>
      <c r="AL15" s="24" t="n">
        <f aca="false">SUMIFS(Permissions!$G$2:$G$3000,Permissions!$B$2:$B$3000,$A15,Permissions!$I$2:$I$3000,"Stalled",Permissions!$R$2:$R$3000,"Yes")</f>
        <v>0</v>
      </c>
      <c r="AM15" s="24" t="n">
        <f aca="false">AI15+AJ15+AK15+AL15</f>
        <v>0</v>
      </c>
      <c r="AN15" s="24" t="n">
        <f aca="false">SUMIFS(Permissions!$G$2:$G$3000,Permissions!$B$2:$B$3000,$A15,Permissions!$I$2:$I$3000,"Expired – not started",Permissions!$R$2:$R$3000,"Yes")</f>
        <v>0</v>
      </c>
      <c r="AO15" s="24" t="n">
        <f aca="false">SUMIFS(Permissions!$G$2:$G$3000,Permissions!$B$2:$B$3000,$A15,Permissions!$I$2:$I$3000,"In planning",Permissions!$R$2:$R$3000,"Yes")</f>
        <v>0</v>
      </c>
      <c r="AP15" s="24" t="n">
        <f aca="false">IF(R15="",0,MAX(R15-AM15,0))</f>
        <v>29</v>
      </c>
      <c r="AQ15" s="25" t="n">
        <f aca="false">AM15+AP15</f>
        <v>29</v>
      </c>
      <c r="AR15" s="24" t="n">
        <f aca="false">SUMIFS(Permissions!$L$2:$L$3000,Permissions!$B$2:$B$3000,$A15,Permissions!$R$2:$R$3000,"Yes",Permissions!$I$2:$I$3000,"&lt;&gt;Expired – not started",Permissions!$I$2:$I$3000,"&lt;&gt;In planning")</f>
        <v>0</v>
      </c>
      <c r="AS15" s="24" t="n">
        <f aca="false">AQ15-AR15</f>
        <v>29</v>
      </c>
      <c r="AT15" s="26" t="n">
        <f aca="false">SUMIFS(Permissions!$AJ$2:$AJ$3000,Permissions!$B$2:$B$3000,$A15,Permissions!$R$2:$R$3000,"Yes")</f>
        <v>0</v>
      </c>
      <c r="AU15" s="26" t="n">
        <f aca="false">SUMIFS(Permissions!$AK$2:$AK$3000,Permissions!$B$2:$B$3000,$A15,Permissions!$R$2:$R$3000,"Yes")</f>
        <v>0</v>
      </c>
      <c r="AV15" s="26" t="n">
        <f aca="false">SUMIFS(Permissions!$AL$2:$AL$3000,Permissions!$B$2:$B$3000,$A15,Permissions!$R$2:$R$3000,"Yes")</f>
        <v>0</v>
      </c>
      <c r="AW15" s="26" t="n">
        <f aca="false">SUMIFS(Permissions!$AM$2:$AM$3000,Permissions!$B$2:$B$3000,$A15,Permissions!$R$2:$R$3000,"Yes")</f>
        <v>0</v>
      </c>
      <c r="AX15" s="26" t="n">
        <f aca="false">SUMIFS(Permissions!$AN$2:$AN$3000,Permissions!$B$2:$B$3000,$A15,Permissions!$R$2:$R$3000,"Yes")</f>
        <v>0</v>
      </c>
      <c r="AY15" s="26" t="n">
        <f aca="false">SUMIFS(Permissions!$AO$2:$AO$3000,Permissions!$B$2:$B$3000,$A15,Permissions!$R$2:$R$3000,"Yes")</f>
        <v>0</v>
      </c>
      <c r="AZ15" s="24" t="n">
        <f aca="false">COUNTIFS(Permissions!$B$2:$B$3000,$A15,Permissions!$R$2:$R$3000,"Yes")</f>
        <v>0</v>
      </c>
      <c r="BA15" s="24" t="n">
        <f aca="false">SUMIFS(Permissions!$M$2:$M$3000,Permissions!$B$2:$B$3000,$A15,Permissions!$R$2:$R$3000,"Yes")</f>
        <v>0</v>
      </c>
      <c r="BB15" s="24" t="n">
        <f aca="false">SUMIFS(Permissions!$O$2:$O$3000,Permissions!$B$2:$B$3000,$A15,Permissions!$R$2:$R$3000,"Yes")</f>
        <v>0</v>
      </c>
      <c r="BC15" s="27" t="str">
        <f aca="false">IF(AND(AM15&gt;0,AR15&gt;=AM15,AP15=0),"Finished",IF(AR15&gt;0,"Partly built",IF(AM15&gt;0,"Consented – not built","No consent")))</f>
        <v>No consent</v>
      </c>
      <c r="BD15" s="28" t="str">
        <f aca="false">IF(AND(R15&lt;&gt;"",AM15&gt;1.1*R15),"Consented above capacity",IF(AND(LEFT(B15,8)="Planning",AZ15=0),"Consent parcel with no permission",IF(COUNTIF($A$2:$A$3000,$A15)&gt;1,"Duplicate parcel_id","")))</f>
        <v/>
      </c>
    </row>
    <row r="16" customFormat="false" ht="15" hidden="false" customHeight="false" outlineLevel="0" collapsed="false">
      <c r="A16" s="15" t="s">
        <v>200</v>
      </c>
      <c r="B16" s="15" t="s">
        <v>10</v>
      </c>
      <c r="C16" s="15" t="s">
        <v>16</v>
      </c>
      <c r="D16" s="15" t="s">
        <v>51</v>
      </c>
      <c r="E16" s="15" t="s">
        <v>19</v>
      </c>
      <c r="F16" s="15" t="n">
        <v>1</v>
      </c>
      <c r="G16" s="15" t="s">
        <v>158</v>
      </c>
      <c r="H16" s="15" t="n">
        <v>21</v>
      </c>
      <c r="I16" s="15" t="s">
        <v>51</v>
      </c>
      <c r="J16" s="15" t="s">
        <v>182</v>
      </c>
      <c r="K16" s="15" t="s">
        <v>183</v>
      </c>
      <c r="L16" s="15" t="s">
        <v>176</v>
      </c>
      <c r="M16" s="15" t="s">
        <v>161</v>
      </c>
      <c r="N16" s="15" t="s">
        <v>162</v>
      </c>
      <c r="O16" s="15" t="s">
        <v>163</v>
      </c>
      <c r="P16" s="15" t="n">
        <v>0.172</v>
      </c>
      <c r="Q16" s="15" t="n">
        <v>0.173</v>
      </c>
      <c r="R16" s="15" t="n">
        <v>31</v>
      </c>
      <c r="S16" s="15" t="s">
        <v>164</v>
      </c>
      <c r="T16" s="15" t="n">
        <v>6</v>
      </c>
      <c r="U16" s="15"/>
      <c r="V16" s="15"/>
      <c r="W16" s="15"/>
      <c r="X16" s="15" t="s">
        <v>165</v>
      </c>
      <c r="Y16" s="15" t="n">
        <v>34</v>
      </c>
      <c r="Z16" s="15" t="s">
        <v>166</v>
      </c>
      <c r="AA16" s="15"/>
      <c r="AB16" s="15" t="n">
        <v>0</v>
      </c>
      <c r="AC16" s="15" t="n">
        <v>0</v>
      </c>
      <c r="AD16" s="15" t="s">
        <v>186</v>
      </c>
      <c r="AE16" s="15" t="s">
        <v>168</v>
      </c>
      <c r="AF16" s="15" t="s">
        <v>169</v>
      </c>
      <c r="AG16" s="15"/>
      <c r="AH16" s="24" t="n">
        <f aca="false">IF(R16="",AM16,R16)</f>
        <v>31</v>
      </c>
      <c r="AI16" s="24" t="n">
        <f aca="false">SUMIFS(Permissions!$G$2:$G$3000,Permissions!$B$2:$B$3000,$A16,Permissions!$I$2:$I$3000,"Complete",Permissions!$R$2:$R$3000,"Yes")</f>
        <v>0</v>
      </c>
      <c r="AJ16" s="24" t="n">
        <f aca="false">SUMIFS(Permissions!$G$2:$G$3000,Permissions!$B$2:$B$3000,$A16,Permissions!$I$2:$I$3000,"Under construction",Permissions!$R$2:$R$3000,"Yes")</f>
        <v>0</v>
      </c>
      <c r="AK16" s="24" t="n">
        <f aca="false">SUMIFS(Permissions!$G$2:$G$3000,Permissions!$B$2:$B$3000,$A16,Permissions!$I$2:$I$3000,"Permitted – not started",Permissions!$R$2:$R$3000,"Yes")</f>
        <v>0</v>
      </c>
      <c r="AL16" s="24" t="n">
        <f aca="false">SUMIFS(Permissions!$G$2:$G$3000,Permissions!$B$2:$B$3000,$A16,Permissions!$I$2:$I$3000,"Stalled",Permissions!$R$2:$R$3000,"Yes")</f>
        <v>31</v>
      </c>
      <c r="AM16" s="24" t="n">
        <f aca="false">AI16+AJ16+AK16+AL16</f>
        <v>31</v>
      </c>
      <c r="AN16" s="24" t="n">
        <f aca="false">SUMIFS(Permissions!$G$2:$G$3000,Permissions!$B$2:$B$3000,$A16,Permissions!$I$2:$I$3000,"Expired – not started",Permissions!$R$2:$R$3000,"Yes")</f>
        <v>0</v>
      </c>
      <c r="AO16" s="24" t="n">
        <f aca="false">SUMIFS(Permissions!$G$2:$G$3000,Permissions!$B$2:$B$3000,$A16,Permissions!$I$2:$I$3000,"In planning",Permissions!$R$2:$R$3000,"Yes")</f>
        <v>0</v>
      </c>
      <c r="AP16" s="24" t="n">
        <f aca="false">IF(R16="",0,MAX(R16-AM16,0))</f>
        <v>0</v>
      </c>
      <c r="AQ16" s="25" t="n">
        <f aca="false">AM16+AP16</f>
        <v>31</v>
      </c>
      <c r="AR16" s="24" t="n">
        <f aca="false">SUMIFS(Permissions!$L$2:$L$3000,Permissions!$B$2:$B$3000,$A16,Permissions!$R$2:$R$3000,"Yes",Permissions!$I$2:$I$3000,"&lt;&gt;Expired – not started",Permissions!$I$2:$I$3000,"&lt;&gt;In planning")</f>
        <v>0</v>
      </c>
      <c r="AS16" s="24" t="n">
        <f aca="false">AQ16-AR16</f>
        <v>31</v>
      </c>
      <c r="AT16" s="26" t="n">
        <f aca="false">SUMIFS(Permissions!$AJ$2:$AJ$3000,Permissions!$B$2:$B$3000,$A16,Permissions!$R$2:$R$3000,"Yes")</f>
        <v>0</v>
      </c>
      <c r="AU16" s="26" t="n">
        <f aca="false">SUMIFS(Permissions!$AK$2:$AK$3000,Permissions!$B$2:$B$3000,$A16,Permissions!$R$2:$R$3000,"Yes")</f>
        <v>0</v>
      </c>
      <c r="AV16" s="26" t="n">
        <f aca="false">SUMIFS(Permissions!$AL$2:$AL$3000,Permissions!$B$2:$B$3000,$A16,Permissions!$R$2:$R$3000,"Yes")</f>
        <v>0</v>
      </c>
      <c r="AW16" s="26" t="n">
        <f aca="false">SUMIFS(Permissions!$AM$2:$AM$3000,Permissions!$B$2:$B$3000,$A16,Permissions!$R$2:$R$3000,"Yes")</f>
        <v>0</v>
      </c>
      <c r="AX16" s="26" t="n">
        <f aca="false">SUMIFS(Permissions!$AN$2:$AN$3000,Permissions!$B$2:$B$3000,$A16,Permissions!$R$2:$R$3000,"Yes")</f>
        <v>0</v>
      </c>
      <c r="AY16" s="26" t="n">
        <f aca="false">SUMIFS(Permissions!$AO$2:$AO$3000,Permissions!$B$2:$B$3000,$A16,Permissions!$R$2:$R$3000,"Yes")</f>
        <v>0</v>
      </c>
      <c r="AZ16" s="24" t="n">
        <f aca="false">COUNTIFS(Permissions!$B$2:$B$3000,$A16,Permissions!$R$2:$R$3000,"Yes")</f>
        <v>1</v>
      </c>
      <c r="BA16" s="24" t="n">
        <f aca="false">SUMIFS(Permissions!$M$2:$M$3000,Permissions!$B$2:$B$3000,$A16,Permissions!$R$2:$R$3000,"Yes")</f>
        <v>0</v>
      </c>
      <c r="BB16" s="24" t="n">
        <f aca="false">SUMIFS(Permissions!$O$2:$O$3000,Permissions!$B$2:$B$3000,$A16,Permissions!$R$2:$R$3000,"Yes")</f>
        <v>0</v>
      </c>
      <c r="BC16" s="27" t="str">
        <f aca="false">IF(AND(AM16&gt;0,AR16&gt;=AM16,AP16=0),"Finished",IF(AR16&gt;0,"Partly built",IF(AM16&gt;0,"Consented – not built","No consent")))</f>
        <v>Consented – not built</v>
      </c>
      <c r="BD16" s="28" t="str">
        <f aca="false">IF(AND(R16&lt;&gt;"",AM16&gt;1.1*R16),"Consented above capacity",IF(AND(LEFT(B16,8)="Planning",AZ16=0),"Consent parcel with no permission",IF(COUNTIF($A$2:$A$3000,$A16)&gt;1,"Duplicate parcel_id","")))</f>
        <v/>
      </c>
    </row>
    <row r="17" customFormat="false" ht="15" hidden="false" customHeight="false" outlineLevel="0" collapsed="false">
      <c r="A17" s="15" t="s">
        <v>201</v>
      </c>
      <c r="B17" s="15" t="s">
        <v>10</v>
      </c>
      <c r="C17" s="15" t="s">
        <v>16</v>
      </c>
      <c r="D17" s="15" t="s">
        <v>51</v>
      </c>
      <c r="E17" s="15" t="s">
        <v>19</v>
      </c>
      <c r="F17" s="15" t="n">
        <v>1</v>
      </c>
      <c r="G17" s="15" t="s">
        <v>158</v>
      </c>
      <c r="H17" s="15" t="n">
        <v>24</v>
      </c>
      <c r="I17" s="15" t="s">
        <v>51</v>
      </c>
      <c r="J17" s="15" t="s">
        <v>182</v>
      </c>
      <c r="K17" s="15" t="s">
        <v>183</v>
      </c>
      <c r="L17" s="15" t="s">
        <v>189</v>
      </c>
      <c r="M17" s="15" t="s">
        <v>161</v>
      </c>
      <c r="N17" s="15" t="s">
        <v>172</v>
      </c>
      <c r="O17" s="15" t="s">
        <v>163</v>
      </c>
      <c r="P17" s="15" t="n">
        <v>0.249</v>
      </c>
      <c r="Q17" s="15" t="n">
        <v>0.249</v>
      </c>
      <c r="R17" s="15" t="n">
        <v>46</v>
      </c>
      <c r="S17" s="15" t="s">
        <v>164</v>
      </c>
      <c r="T17" s="15" t="n">
        <v>8</v>
      </c>
      <c r="U17" s="15"/>
      <c r="V17" s="15"/>
      <c r="W17" s="15"/>
      <c r="X17" s="15" t="s">
        <v>165</v>
      </c>
      <c r="Y17" s="15" t="n">
        <v>34</v>
      </c>
      <c r="Z17" s="15" t="s">
        <v>166</v>
      </c>
      <c r="AA17" s="15"/>
      <c r="AB17" s="15" t="n">
        <v>0</v>
      </c>
      <c r="AC17" s="15" t="n">
        <v>0</v>
      </c>
      <c r="AD17" s="15" t="s">
        <v>186</v>
      </c>
      <c r="AE17" s="15" t="s">
        <v>168</v>
      </c>
      <c r="AF17" s="15" t="s">
        <v>169</v>
      </c>
      <c r="AG17" s="15"/>
      <c r="AH17" s="24" t="n">
        <f aca="false">IF(R17="",AM17,R17)</f>
        <v>46</v>
      </c>
      <c r="AI17" s="24" t="n">
        <f aca="false">SUMIFS(Permissions!$G$2:$G$3000,Permissions!$B$2:$B$3000,$A17,Permissions!$I$2:$I$3000,"Complete",Permissions!$R$2:$R$3000,"Yes")</f>
        <v>0</v>
      </c>
      <c r="AJ17" s="24" t="n">
        <f aca="false">SUMIFS(Permissions!$G$2:$G$3000,Permissions!$B$2:$B$3000,$A17,Permissions!$I$2:$I$3000,"Under construction",Permissions!$R$2:$R$3000,"Yes")</f>
        <v>0</v>
      </c>
      <c r="AK17" s="24" t="n">
        <f aca="false">SUMIFS(Permissions!$G$2:$G$3000,Permissions!$B$2:$B$3000,$A17,Permissions!$I$2:$I$3000,"Permitted – not started",Permissions!$R$2:$R$3000,"Yes")</f>
        <v>46</v>
      </c>
      <c r="AL17" s="24" t="n">
        <f aca="false">SUMIFS(Permissions!$G$2:$G$3000,Permissions!$B$2:$B$3000,$A17,Permissions!$I$2:$I$3000,"Stalled",Permissions!$R$2:$R$3000,"Yes")</f>
        <v>0</v>
      </c>
      <c r="AM17" s="24" t="n">
        <f aca="false">AI17+AJ17+AK17+AL17</f>
        <v>46</v>
      </c>
      <c r="AN17" s="24" t="n">
        <f aca="false">SUMIFS(Permissions!$G$2:$G$3000,Permissions!$B$2:$B$3000,$A17,Permissions!$I$2:$I$3000,"Expired – not started",Permissions!$R$2:$R$3000,"Yes")</f>
        <v>0</v>
      </c>
      <c r="AO17" s="24" t="n">
        <f aca="false">SUMIFS(Permissions!$G$2:$G$3000,Permissions!$B$2:$B$3000,$A17,Permissions!$I$2:$I$3000,"In planning",Permissions!$R$2:$R$3000,"Yes")</f>
        <v>0</v>
      </c>
      <c r="AP17" s="24" t="n">
        <f aca="false">IF(R17="",0,MAX(R17-AM17,0))</f>
        <v>0</v>
      </c>
      <c r="AQ17" s="25" t="n">
        <f aca="false">AM17+AP17</f>
        <v>46</v>
      </c>
      <c r="AR17" s="24" t="n">
        <f aca="false">SUMIFS(Permissions!$L$2:$L$3000,Permissions!$B$2:$B$3000,$A17,Permissions!$R$2:$R$3000,"Yes",Permissions!$I$2:$I$3000,"&lt;&gt;Expired – not started",Permissions!$I$2:$I$3000,"&lt;&gt;In planning")</f>
        <v>0</v>
      </c>
      <c r="AS17" s="24" t="n">
        <f aca="false">AQ17-AR17</f>
        <v>46</v>
      </c>
      <c r="AT17" s="26" t="n">
        <f aca="false">SUMIFS(Permissions!$AJ$2:$AJ$3000,Permissions!$B$2:$B$3000,$A17,Permissions!$R$2:$R$3000,"Yes")</f>
        <v>0</v>
      </c>
      <c r="AU17" s="26" t="n">
        <f aca="false">SUMIFS(Permissions!$AK$2:$AK$3000,Permissions!$B$2:$B$3000,$A17,Permissions!$R$2:$R$3000,"Yes")</f>
        <v>0</v>
      </c>
      <c r="AV17" s="26" t="n">
        <f aca="false">SUMIFS(Permissions!$AL$2:$AL$3000,Permissions!$B$2:$B$3000,$A17,Permissions!$R$2:$R$3000,"Yes")</f>
        <v>19.4</v>
      </c>
      <c r="AW17" s="26" t="n">
        <f aca="false">SUMIFS(Permissions!$AM$2:$AM$3000,Permissions!$B$2:$B$3000,$A17,Permissions!$R$2:$R$3000,"Yes")</f>
        <v>26.6</v>
      </c>
      <c r="AX17" s="26" t="n">
        <f aca="false">SUMIFS(Permissions!$AN$2:$AN$3000,Permissions!$B$2:$B$3000,$A17,Permissions!$R$2:$R$3000,"Yes")</f>
        <v>0</v>
      </c>
      <c r="AY17" s="26" t="n">
        <f aca="false">SUMIFS(Permissions!$AO$2:$AO$3000,Permissions!$B$2:$B$3000,$A17,Permissions!$R$2:$R$3000,"Yes")</f>
        <v>0</v>
      </c>
      <c r="AZ17" s="24" t="n">
        <f aca="false">COUNTIFS(Permissions!$B$2:$B$3000,$A17,Permissions!$R$2:$R$3000,"Yes")</f>
        <v>1</v>
      </c>
      <c r="BA17" s="24" t="n">
        <f aca="false">SUMIFS(Permissions!$M$2:$M$3000,Permissions!$B$2:$B$3000,$A17,Permissions!$R$2:$R$3000,"Yes")</f>
        <v>0</v>
      </c>
      <c r="BB17" s="24" t="n">
        <f aca="false">SUMIFS(Permissions!$O$2:$O$3000,Permissions!$B$2:$B$3000,$A17,Permissions!$R$2:$R$3000,"Yes")</f>
        <v>0</v>
      </c>
      <c r="BC17" s="27" t="str">
        <f aca="false">IF(AND(AM17&gt;0,AR17&gt;=AM17,AP17=0),"Finished",IF(AR17&gt;0,"Partly built",IF(AM17&gt;0,"Consented – not built","No consent")))</f>
        <v>Consented – not built</v>
      </c>
      <c r="BD17" s="28" t="str">
        <f aca="false">IF(AND(R17&lt;&gt;"",AM17&gt;1.1*R17),"Consented above capacity",IF(AND(LEFT(B17,8)="Planning",AZ17=0),"Consent parcel with no permission",IF(COUNTIF($A$2:$A$3000,$A17)&gt;1,"Duplicate parcel_id","")))</f>
        <v/>
      </c>
    </row>
    <row r="18" customFormat="false" ht="15" hidden="false" customHeight="false" outlineLevel="0" collapsed="false">
      <c r="A18" s="15" t="s">
        <v>202</v>
      </c>
      <c r="B18" s="15" t="s">
        <v>10</v>
      </c>
      <c r="C18" s="15" t="s">
        <v>16</v>
      </c>
      <c r="D18" s="15" t="s">
        <v>51</v>
      </c>
      <c r="E18" s="15" t="s">
        <v>19</v>
      </c>
      <c r="F18" s="15" t="n">
        <v>1</v>
      </c>
      <c r="G18" s="15" t="s">
        <v>158</v>
      </c>
      <c r="H18" s="15" t="n">
        <v>25</v>
      </c>
      <c r="I18" s="15" t="s">
        <v>51</v>
      </c>
      <c r="J18" s="15" t="s">
        <v>182</v>
      </c>
      <c r="K18" s="15" t="s">
        <v>183</v>
      </c>
      <c r="L18" s="15" t="s">
        <v>160</v>
      </c>
      <c r="M18" s="15" t="s">
        <v>171</v>
      </c>
      <c r="N18" s="15" t="s">
        <v>172</v>
      </c>
      <c r="O18" s="15" t="s">
        <v>163</v>
      </c>
      <c r="P18" s="15" t="n">
        <v>0.125</v>
      </c>
      <c r="Q18" s="15" t="n">
        <v>0.125</v>
      </c>
      <c r="R18" s="15" t="n">
        <v>6</v>
      </c>
      <c r="S18" s="15" t="s">
        <v>164</v>
      </c>
      <c r="T18" s="15" t="n">
        <v>4</v>
      </c>
      <c r="U18" s="15"/>
      <c r="V18" s="15"/>
      <c r="W18" s="15"/>
      <c r="X18" s="15" t="s">
        <v>165</v>
      </c>
      <c r="Y18" s="15" t="n">
        <v>34</v>
      </c>
      <c r="Z18" s="15" t="s">
        <v>166</v>
      </c>
      <c r="AA18" s="15"/>
      <c r="AB18" s="15" t="n">
        <v>0</v>
      </c>
      <c r="AC18" s="15" t="n">
        <v>0</v>
      </c>
      <c r="AD18" s="15" t="s">
        <v>167</v>
      </c>
      <c r="AE18" s="15" t="s">
        <v>168</v>
      </c>
      <c r="AF18" s="15" t="s">
        <v>169</v>
      </c>
      <c r="AG18" s="15"/>
      <c r="AH18" s="24" t="n">
        <f aca="false">IF(R18="",AM18,R18)</f>
        <v>6</v>
      </c>
      <c r="AI18" s="24" t="n">
        <f aca="false">SUMIFS(Permissions!$G$2:$G$3000,Permissions!$B$2:$B$3000,$A18,Permissions!$I$2:$I$3000,"Complete",Permissions!$R$2:$R$3000,"Yes")</f>
        <v>0</v>
      </c>
      <c r="AJ18" s="24" t="n">
        <f aca="false">SUMIFS(Permissions!$G$2:$G$3000,Permissions!$B$2:$B$3000,$A18,Permissions!$I$2:$I$3000,"Under construction",Permissions!$R$2:$R$3000,"Yes")</f>
        <v>0</v>
      </c>
      <c r="AK18" s="24" t="n">
        <f aca="false">SUMIFS(Permissions!$G$2:$G$3000,Permissions!$B$2:$B$3000,$A18,Permissions!$I$2:$I$3000,"Permitted – not started",Permissions!$R$2:$R$3000,"Yes")</f>
        <v>0</v>
      </c>
      <c r="AL18" s="24" t="n">
        <f aca="false">SUMIFS(Permissions!$G$2:$G$3000,Permissions!$B$2:$B$3000,$A18,Permissions!$I$2:$I$3000,"Stalled",Permissions!$R$2:$R$3000,"Yes")</f>
        <v>0</v>
      </c>
      <c r="AM18" s="24" t="n">
        <f aca="false">AI18+AJ18+AK18+AL18</f>
        <v>0</v>
      </c>
      <c r="AN18" s="24" t="n">
        <f aca="false">SUMIFS(Permissions!$G$2:$G$3000,Permissions!$B$2:$B$3000,$A18,Permissions!$I$2:$I$3000,"Expired – not started",Permissions!$R$2:$R$3000,"Yes")</f>
        <v>0</v>
      </c>
      <c r="AO18" s="24" t="n">
        <f aca="false">SUMIFS(Permissions!$G$2:$G$3000,Permissions!$B$2:$B$3000,$A18,Permissions!$I$2:$I$3000,"In planning",Permissions!$R$2:$R$3000,"Yes")</f>
        <v>6</v>
      </c>
      <c r="AP18" s="24" t="n">
        <f aca="false">IF(R18="",0,MAX(R18-AM18,0))</f>
        <v>6</v>
      </c>
      <c r="AQ18" s="25" t="n">
        <f aca="false">AM18+AP18</f>
        <v>6</v>
      </c>
      <c r="AR18" s="24" t="n">
        <f aca="false">SUMIFS(Permissions!$L$2:$L$3000,Permissions!$B$2:$B$3000,$A18,Permissions!$R$2:$R$3000,"Yes",Permissions!$I$2:$I$3000,"&lt;&gt;Expired – not started",Permissions!$I$2:$I$3000,"&lt;&gt;In planning")</f>
        <v>0</v>
      </c>
      <c r="AS18" s="24" t="n">
        <f aca="false">AQ18-AR18</f>
        <v>6</v>
      </c>
      <c r="AT18" s="26" t="n">
        <f aca="false">SUMIFS(Permissions!$AJ$2:$AJ$3000,Permissions!$B$2:$B$3000,$A18,Permissions!$R$2:$R$3000,"Yes")</f>
        <v>0</v>
      </c>
      <c r="AU18" s="26" t="n">
        <f aca="false">SUMIFS(Permissions!$AK$2:$AK$3000,Permissions!$B$2:$B$3000,$A18,Permissions!$R$2:$R$3000,"Yes")</f>
        <v>0</v>
      </c>
      <c r="AV18" s="26" t="n">
        <f aca="false">SUMIFS(Permissions!$AL$2:$AL$3000,Permissions!$B$2:$B$3000,$A18,Permissions!$R$2:$R$3000,"Yes")</f>
        <v>0</v>
      </c>
      <c r="AW18" s="26" t="n">
        <f aca="false">SUMIFS(Permissions!$AM$2:$AM$3000,Permissions!$B$2:$B$3000,$A18,Permissions!$R$2:$R$3000,"Yes")</f>
        <v>0</v>
      </c>
      <c r="AX18" s="26" t="n">
        <f aca="false">SUMIFS(Permissions!$AN$2:$AN$3000,Permissions!$B$2:$B$3000,$A18,Permissions!$R$2:$R$3000,"Yes")</f>
        <v>0</v>
      </c>
      <c r="AY18" s="26" t="n">
        <f aca="false">SUMIFS(Permissions!$AO$2:$AO$3000,Permissions!$B$2:$B$3000,$A18,Permissions!$R$2:$R$3000,"Yes")</f>
        <v>0</v>
      </c>
      <c r="AZ18" s="24" t="n">
        <f aca="false">COUNTIFS(Permissions!$B$2:$B$3000,$A18,Permissions!$R$2:$R$3000,"Yes")</f>
        <v>1</v>
      </c>
      <c r="BA18" s="24" t="n">
        <f aca="false">SUMIFS(Permissions!$M$2:$M$3000,Permissions!$B$2:$B$3000,$A18,Permissions!$R$2:$R$3000,"Yes")</f>
        <v>0</v>
      </c>
      <c r="BB18" s="24" t="n">
        <f aca="false">SUMIFS(Permissions!$O$2:$O$3000,Permissions!$B$2:$B$3000,$A18,Permissions!$R$2:$R$3000,"Yes")</f>
        <v>0</v>
      </c>
      <c r="BC18" s="27" t="str">
        <f aca="false">IF(AND(AM18&gt;0,AR18&gt;=AM18,AP18=0),"Finished",IF(AR18&gt;0,"Partly built",IF(AM18&gt;0,"Consented – not built","No consent")))</f>
        <v>No consent</v>
      </c>
      <c r="BD18" s="28" t="str">
        <f aca="false">IF(AND(R18&lt;&gt;"",AM18&gt;1.1*R18),"Consented above capacity",IF(AND(LEFT(B18,8)="Planning",AZ18=0),"Consent parcel with no permission",IF(COUNTIF($A$2:$A$3000,$A18)&gt;1,"Duplicate parcel_id","")))</f>
        <v/>
      </c>
    </row>
    <row r="19" customFormat="false" ht="15" hidden="false" customHeight="false" outlineLevel="0" collapsed="false">
      <c r="A19" s="15" t="s">
        <v>203</v>
      </c>
      <c r="B19" s="15" t="s">
        <v>10</v>
      </c>
      <c r="C19" s="15" t="s">
        <v>16</v>
      </c>
      <c r="D19" s="15" t="s">
        <v>51</v>
      </c>
      <c r="E19" s="15" t="s">
        <v>19</v>
      </c>
      <c r="F19" s="15" t="n">
        <v>1</v>
      </c>
      <c r="G19" s="15" t="s">
        <v>158</v>
      </c>
      <c r="H19" s="15" t="n">
        <v>3</v>
      </c>
      <c r="I19" s="15" t="s">
        <v>51</v>
      </c>
      <c r="J19" s="15" t="s">
        <v>182</v>
      </c>
      <c r="K19" s="15" t="s">
        <v>183</v>
      </c>
      <c r="L19" s="15" t="s">
        <v>176</v>
      </c>
      <c r="M19" s="15" t="s">
        <v>161</v>
      </c>
      <c r="N19" s="15" t="s">
        <v>162</v>
      </c>
      <c r="O19" s="15" t="s">
        <v>163</v>
      </c>
      <c r="P19" s="15" t="n">
        <v>2.013</v>
      </c>
      <c r="Q19" s="15" t="n">
        <v>2.012</v>
      </c>
      <c r="R19" s="15" t="n">
        <v>343</v>
      </c>
      <c r="S19" s="15" t="s">
        <v>164</v>
      </c>
      <c r="T19" s="15" t="n">
        <v>68</v>
      </c>
      <c r="U19" s="15"/>
      <c r="V19" s="15"/>
      <c r="W19" s="15"/>
      <c r="X19" s="15" t="s">
        <v>165</v>
      </c>
      <c r="Y19" s="15" t="n">
        <v>34</v>
      </c>
      <c r="Z19" s="15" t="s">
        <v>166</v>
      </c>
      <c r="AA19" s="15"/>
      <c r="AB19" s="15" t="n">
        <v>157</v>
      </c>
      <c r="AC19" s="15" t="n">
        <v>95</v>
      </c>
      <c r="AD19" s="15" t="s">
        <v>186</v>
      </c>
      <c r="AE19" s="15" t="s">
        <v>168</v>
      </c>
      <c r="AF19" s="15" t="s">
        <v>169</v>
      </c>
      <c r="AG19" s="15"/>
      <c r="AH19" s="24" t="n">
        <f aca="false">IF(R19="",AM19,R19)</f>
        <v>343</v>
      </c>
      <c r="AI19" s="24" t="n">
        <f aca="false">SUMIFS(Permissions!$G$2:$G$3000,Permissions!$B$2:$B$3000,$A19,Permissions!$I$2:$I$3000,"Complete",Permissions!$R$2:$R$3000,"Yes")</f>
        <v>65</v>
      </c>
      <c r="AJ19" s="24" t="n">
        <f aca="false">SUMIFS(Permissions!$G$2:$G$3000,Permissions!$B$2:$B$3000,$A19,Permissions!$I$2:$I$3000,"Under construction",Permissions!$R$2:$R$3000,"Yes")</f>
        <v>167</v>
      </c>
      <c r="AK19" s="24" t="n">
        <f aca="false">SUMIFS(Permissions!$G$2:$G$3000,Permissions!$B$2:$B$3000,$A19,Permissions!$I$2:$I$3000,"Permitted – not started",Permissions!$R$2:$R$3000,"Yes")</f>
        <v>0</v>
      </c>
      <c r="AL19" s="24" t="n">
        <f aca="false">SUMIFS(Permissions!$G$2:$G$3000,Permissions!$B$2:$B$3000,$A19,Permissions!$I$2:$I$3000,"Stalled",Permissions!$R$2:$R$3000,"Yes")</f>
        <v>0</v>
      </c>
      <c r="AM19" s="24" t="n">
        <f aca="false">AI19+AJ19+AK19+AL19</f>
        <v>232</v>
      </c>
      <c r="AN19" s="24" t="n">
        <f aca="false">SUMIFS(Permissions!$G$2:$G$3000,Permissions!$B$2:$B$3000,$A19,Permissions!$I$2:$I$3000,"Expired – not started",Permissions!$R$2:$R$3000,"Yes")</f>
        <v>0</v>
      </c>
      <c r="AO19" s="24" t="n">
        <f aca="false">SUMIFS(Permissions!$G$2:$G$3000,Permissions!$B$2:$B$3000,$A19,Permissions!$I$2:$I$3000,"In planning",Permissions!$R$2:$R$3000,"Yes")</f>
        <v>0</v>
      </c>
      <c r="AP19" s="24" t="n">
        <f aca="false">IF(R19="",0,MAX(R19-AM19,0))</f>
        <v>111</v>
      </c>
      <c r="AQ19" s="25" t="n">
        <f aca="false">AM19+AP19</f>
        <v>343</v>
      </c>
      <c r="AR19" s="24" t="n">
        <f aca="false">SUMIFS(Permissions!$L$2:$L$3000,Permissions!$B$2:$B$3000,$A19,Permissions!$R$2:$R$3000,"Yes",Permissions!$I$2:$I$3000,"&lt;&gt;Expired – not started",Permissions!$I$2:$I$3000,"&lt;&gt;In planning")</f>
        <v>65</v>
      </c>
      <c r="AS19" s="24" t="n">
        <f aca="false">AQ19-AR19</f>
        <v>278</v>
      </c>
      <c r="AT19" s="26" t="n">
        <f aca="false">SUMIFS(Permissions!$AJ$2:$AJ$3000,Permissions!$B$2:$B$3000,$A19,Permissions!$R$2:$R$3000,"Yes")</f>
        <v>17.4</v>
      </c>
      <c r="AU19" s="26" t="n">
        <f aca="false">SUMIFS(Permissions!$AK$2:$AK$3000,Permissions!$B$2:$B$3000,$A19,Permissions!$R$2:$R$3000,"Yes")</f>
        <v>74.9</v>
      </c>
      <c r="AV19" s="26" t="n">
        <f aca="false">SUMIFS(Permissions!$AL$2:$AL$3000,Permissions!$B$2:$B$3000,$A19,Permissions!$R$2:$R$3000,"Yes")</f>
        <v>74.6</v>
      </c>
      <c r="AW19" s="26" t="n">
        <f aca="false">SUMIFS(Permissions!$AM$2:$AM$3000,Permissions!$B$2:$B$3000,$A19,Permissions!$R$2:$R$3000,"Yes")</f>
        <v>0</v>
      </c>
      <c r="AX19" s="26" t="n">
        <f aca="false">SUMIFS(Permissions!$AN$2:$AN$3000,Permissions!$B$2:$B$3000,$A19,Permissions!$R$2:$R$3000,"Yes")</f>
        <v>0</v>
      </c>
      <c r="AY19" s="26" t="n">
        <f aca="false">SUMIFS(Permissions!$AO$2:$AO$3000,Permissions!$B$2:$B$3000,$A19,Permissions!$R$2:$R$3000,"Yes")</f>
        <v>0.1</v>
      </c>
      <c r="AZ19" s="24" t="n">
        <f aca="false">COUNTIFS(Permissions!$B$2:$B$3000,$A19,Permissions!$R$2:$R$3000,"Yes")</f>
        <v>2</v>
      </c>
      <c r="BA19" s="24" t="n">
        <f aca="false">SUMIFS(Permissions!$M$2:$M$3000,Permissions!$B$2:$B$3000,$A19,Permissions!$R$2:$R$3000,"Yes")</f>
        <v>0</v>
      </c>
      <c r="BB19" s="24" t="n">
        <f aca="false">SUMIFS(Permissions!$O$2:$O$3000,Permissions!$B$2:$B$3000,$A19,Permissions!$R$2:$R$3000,"Yes")</f>
        <v>0</v>
      </c>
      <c r="BC19" s="27" t="str">
        <f aca="false">IF(AND(AM19&gt;0,AR19&gt;=AM19,AP19=0),"Finished",IF(AR19&gt;0,"Partly built",IF(AM19&gt;0,"Consented – not built","No consent")))</f>
        <v>Partly built</v>
      </c>
      <c r="BD19" s="28" t="str">
        <f aca="false">IF(AND(R19&lt;&gt;"",AM19&gt;1.1*R19),"Consented above capacity",IF(AND(LEFT(B19,8)="Planning",AZ19=0),"Consent parcel with no permission",IF(COUNTIF($A$2:$A$3000,$A19)&gt;1,"Duplicate parcel_id","")))</f>
        <v/>
      </c>
    </row>
    <row r="20" customFormat="false" ht="15" hidden="false" customHeight="false" outlineLevel="0" collapsed="false">
      <c r="A20" s="15" t="s">
        <v>204</v>
      </c>
      <c r="B20" s="15" t="s">
        <v>10</v>
      </c>
      <c r="C20" s="15" t="s">
        <v>16</v>
      </c>
      <c r="D20" s="15" t="s">
        <v>51</v>
      </c>
      <c r="E20" s="15" t="s">
        <v>19</v>
      </c>
      <c r="F20" s="15" t="n">
        <v>1</v>
      </c>
      <c r="G20" s="15" t="s">
        <v>158</v>
      </c>
      <c r="H20" s="15" t="n">
        <v>5</v>
      </c>
      <c r="I20" s="15" t="s">
        <v>51</v>
      </c>
      <c r="J20" s="15" t="s">
        <v>182</v>
      </c>
      <c r="K20" s="15" t="s">
        <v>183</v>
      </c>
      <c r="L20" s="15" t="s">
        <v>189</v>
      </c>
      <c r="M20" s="15" t="s">
        <v>161</v>
      </c>
      <c r="N20" s="15" t="s">
        <v>184</v>
      </c>
      <c r="O20" s="15" t="s">
        <v>185</v>
      </c>
      <c r="P20" s="15" t="n">
        <v>2.729</v>
      </c>
      <c r="Q20" s="15" t="n">
        <v>2.729</v>
      </c>
      <c r="R20" s="15" t="n">
        <v>99</v>
      </c>
      <c r="S20" s="15" t="s">
        <v>164</v>
      </c>
      <c r="T20" s="15" t="n">
        <v>93</v>
      </c>
      <c r="U20" s="15"/>
      <c r="V20" s="15"/>
      <c r="W20" s="15"/>
      <c r="X20" s="15" t="s">
        <v>165</v>
      </c>
      <c r="Y20" s="15" t="n">
        <v>34</v>
      </c>
      <c r="Z20" s="15" t="s">
        <v>166</v>
      </c>
      <c r="AA20" s="15"/>
      <c r="AB20" s="15" t="n">
        <v>0</v>
      </c>
      <c r="AC20" s="15" t="n">
        <v>0</v>
      </c>
      <c r="AD20" s="15" t="s">
        <v>186</v>
      </c>
      <c r="AE20" s="15" t="s">
        <v>168</v>
      </c>
      <c r="AF20" s="15" t="s">
        <v>169</v>
      </c>
      <c r="AG20" s="15"/>
      <c r="AH20" s="24" t="n">
        <f aca="false">IF(R20="",AM20,R20)</f>
        <v>99</v>
      </c>
      <c r="AI20" s="24" t="n">
        <f aca="false">SUMIFS(Permissions!$G$2:$G$3000,Permissions!$B$2:$B$3000,$A20,Permissions!$I$2:$I$3000,"Complete",Permissions!$R$2:$R$3000,"Yes")</f>
        <v>0</v>
      </c>
      <c r="AJ20" s="24" t="n">
        <f aca="false">SUMIFS(Permissions!$G$2:$G$3000,Permissions!$B$2:$B$3000,$A20,Permissions!$I$2:$I$3000,"Under construction",Permissions!$R$2:$R$3000,"Yes")</f>
        <v>99</v>
      </c>
      <c r="AK20" s="24" t="n">
        <f aca="false">SUMIFS(Permissions!$G$2:$G$3000,Permissions!$B$2:$B$3000,$A20,Permissions!$I$2:$I$3000,"Permitted – not started",Permissions!$R$2:$R$3000,"Yes")</f>
        <v>0</v>
      </c>
      <c r="AL20" s="24" t="n">
        <f aca="false">SUMIFS(Permissions!$G$2:$G$3000,Permissions!$B$2:$B$3000,$A20,Permissions!$I$2:$I$3000,"Stalled",Permissions!$R$2:$R$3000,"Yes")</f>
        <v>0</v>
      </c>
      <c r="AM20" s="24" t="n">
        <f aca="false">AI20+AJ20+AK20+AL20</f>
        <v>99</v>
      </c>
      <c r="AN20" s="24" t="n">
        <f aca="false">SUMIFS(Permissions!$G$2:$G$3000,Permissions!$B$2:$B$3000,$A20,Permissions!$I$2:$I$3000,"Expired – not started",Permissions!$R$2:$R$3000,"Yes")</f>
        <v>0</v>
      </c>
      <c r="AO20" s="24" t="n">
        <f aca="false">SUMIFS(Permissions!$G$2:$G$3000,Permissions!$B$2:$B$3000,$A20,Permissions!$I$2:$I$3000,"In planning",Permissions!$R$2:$R$3000,"Yes")</f>
        <v>0</v>
      </c>
      <c r="AP20" s="24" t="n">
        <f aca="false">IF(R20="",0,MAX(R20-AM20,0))</f>
        <v>0</v>
      </c>
      <c r="AQ20" s="25" t="n">
        <f aca="false">AM20+AP20</f>
        <v>99</v>
      </c>
      <c r="AR20" s="24" t="n">
        <f aca="false">SUMIFS(Permissions!$L$2:$L$3000,Permissions!$B$2:$B$3000,$A20,Permissions!$R$2:$R$3000,"Yes",Permissions!$I$2:$I$3000,"&lt;&gt;Expired – not started",Permissions!$I$2:$I$3000,"&lt;&gt;In planning")</f>
        <v>0</v>
      </c>
      <c r="AS20" s="24" t="n">
        <f aca="false">AQ20-AR20</f>
        <v>99</v>
      </c>
      <c r="AT20" s="26" t="n">
        <f aca="false">SUMIFS(Permissions!$AJ$2:$AJ$3000,Permissions!$B$2:$B$3000,$A20,Permissions!$R$2:$R$3000,"Yes")</f>
        <v>13</v>
      </c>
      <c r="AU20" s="26" t="n">
        <f aca="false">SUMIFS(Permissions!$AK$2:$AK$3000,Permissions!$B$2:$B$3000,$A20,Permissions!$R$2:$R$3000,"Yes")</f>
        <v>55.8</v>
      </c>
      <c r="AV20" s="26" t="n">
        <f aca="false">SUMIFS(Permissions!$AL$2:$AL$3000,Permissions!$B$2:$B$3000,$A20,Permissions!$R$2:$R$3000,"Yes")</f>
        <v>30.2</v>
      </c>
      <c r="AW20" s="26" t="n">
        <f aca="false">SUMIFS(Permissions!$AM$2:$AM$3000,Permissions!$B$2:$B$3000,$A20,Permissions!$R$2:$R$3000,"Yes")</f>
        <v>0</v>
      </c>
      <c r="AX20" s="26" t="n">
        <f aca="false">SUMIFS(Permissions!$AN$2:$AN$3000,Permissions!$B$2:$B$3000,$A20,Permissions!$R$2:$R$3000,"Yes")</f>
        <v>0</v>
      </c>
      <c r="AY20" s="26" t="n">
        <f aca="false">SUMIFS(Permissions!$AO$2:$AO$3000,Permissions!$B$2:$B$3000,$A20,Permissions!$R$2:$R$3000,"Yes")</f>
        <v>0</v>
      </c>
      <c r="AZ20" s="24" t="n">
        <f aca="false">COUNTIFS(Permissions!$B$2:$B$3000,$A20,Permissions!$R$2:$R$3000,"Yes")</f>
        <v>1</v>
      </c>
      <c r="BA20" s="24" t="n">
        <f aca="false">SUMIFS(Permissions!$M$2:$M$3000,Permissions!$B$2:$B$3000,$A20,Permissions!$R$2:$R$3000,"Yes")</f>
        <v>0</v>
      </c>
      <c r="BB20" s="24" t="n">
        <f aca="false">SUMIFS(Permissions!$O$2:$O$3000,Permissions!$B$2:$B$3000,$A20,Permissions!$R$2:$R$3000,"Yes")</f>
        <v>0</v>
      </c>
      <c r="BC20" s="27" t="str">
        <f aca="false">IF(AND(AM20&gt;0,AR20&gt;=AM20,AP20=0),"Finished",IF(AR20&gt;0,"Partly built",IF(AM20&gt;0,"Consented – not built","No consent")))</f>
        <v>Consented – not built</v>
      </c>
      <c r="BD20" s="28" t="str">
        <f aca="false">IF(AND(R20&lt;&gt;"",AM20&gt;1.1*R20),"Consented above capacity",IF(AND(LEFT(B20,8)="Planning",AZ20=0),"Consent parcel with no permission",IF(COUNTIF($A$2:$A$3000,$A20)&gt;1,"Duplicate parcel_id","")))</f>
        <v/>
      </c>
    </row>
    <row r="21" customFormat="false" ht="15" hidden="false" customHeight="false" outlineLevel="0" collapsed="false">
      <c r="A21" s="15" t="s">
        <v>205</v>
      </c>
      <c r="B21" s="15" t="s">
        <v>10</v>
      </c>
      <c r="C21" s="15" t="s">
        <v>16</v>
      </c>
      <c r="D21" s="15" t="s">
        <v>51</v>
      </c>
      <c r="E21" s="15" t="s">
        <v>19</v>
      </c>
      <c r="F21" s="15" t="n">
        <v>1</v>
      </c>
      <c r="G21" s="15" t="s">
        <v>158</v>
      </c>
      <c r="H21" s="15" t="n">
        <v>6</v>
      </c>
      <c r="I21" s="15" t="s">
        <v>51</v>
      </c>
      <c r="J21" s="15" t="s">
        <v>182</v>
      </c>
      <c r="K21" s="15" t="s">
        <v>183</v>
      </c>
      <c r="L21" s="15" t="s">
        <v>189</v>
      </c>
      <c r="M21" s="15" t="s">
        <v>206</v>
      </c>
      <c r="N21" s="15" t="s">
        <v>184</v>
      </c>
      <c r="O21" s="15" t="s">
        <v>185</v>
      </c>
      <c r="P21" s="15" t="n">
        <v>0.162</v>
      </c>
      <c r="Q21" s="15" t="n">
        <v>0.651</v>
      </c>
      <c r="R21" s="15" t="n">
        <v>12</v>
      </c>
      <c r="S21" s="15" t="s">
        <v>164</v>
      </c>
      <c r="T21" s="15" t="n">
        <v>6</v>
      </c>
      <c r="U21" s="15"/>
      <c r="V21" s="15"/>
      <c r="W21" s="15"/>
      <c r="X21" s="15" t="s">
        <v>165</v>
      </c>
      <c r="Y21" s="15" t="n">
        <v>34</v>
      </c>
      <c r="Z21" s="15" t="s">
        <v>166</v>
      </c>
      <c r="AA21" s="15"/>
      <c r="AB21" s="15" t="n">
        <v>0</v>
      </c>
      <c r="AC21" s="15" t="n">
        <v>0</v>
      </c>
      <c r="AD21" s="15" t="s">
        <v>186</v>
      </c>
      <c r="AE21" s="15" t="s">
        <v>168</v>
      </c>
      <c r="AF21" s="15" t="s">
        <v>169</v>
      </c>
      <c r="AG21" s="15"/>
      <c r="AH21" s="24" t="n">
        <f aca="false">IF(R21="",AM21,R21)</f>
        <v>12</v>
      </c>
      <c r="AI21" s="24" t="n">
        <f aca="false">SUMIFS(Permissions!$G$2:$G$3000,Permissions!$B$2:$B$3000,$A21,Permissions!$I$2:$I$3000,"Complete",Permissions!$R$2:$R$3000,"Yes")</f>
        <v>0</v>
      </c>
      <c r="AJ21" s="24" t="n">
        <f aca="false">SUMIFS(Permissions!$G$2:$G$3000,Permissions!$B$2:$B$3000,$A21,Permissions!$I$2:$I$3000,"Under construction",Permissions!$R$2:$R$3000,"Yes")</f>
        <v>0</v>
      </c>
      <c r="AK21" s="24" t="n">
        <f aca="false">SUMIFS(Permissions!$G$2:$G$3000,Permissions!$B$2:$B$3000,$A21,Permissions!$I$2:$I$3000,"Permitted – not started",Permissions!$R$2:$R$3000,"Yes")</f>
        <v>12</v>
      </c>
      <c r="AL21" s="24" t="n">
        <f aca="false">SUMIFS(Permissions!$G$2:$G$3000,Permissions!$B$2:$B$3000,$A21,Permissions!$I$2:$I$3000,"Stalled",Permissions!$R$2:$R$3000,"Yes")</f>
        <v>0</v>
      </c>
      <c r="AM21" s="24" t="n">
        <f aca="false">AI21+AJ21+AK21+AL21</f>
        <v>12</v>
      </c>
      <c r="AN21" s="24" t="n">
        <f aca="false">SUMIFS(Permissions!$G$2:$G$3000,Permissions!$B$2:$B$3000,$A21,Permissions!$I$2:$I$3000,"Expired – not started",Permissions!$R$2:$R$3000,"Yes")</f>
        <v>0</v>
      </c>
      <c r="AO21" s="24" t="n">
        <f aca="false">SUMIFS(Permissions!$G$2:$G$3000,Permissions!$B$2:$B$3000,$A21,Permissions!$I$2:$I$3000,"In planning",Permissions!$R$2:$R$3000,"Yes")</f>
        <v>0</v>
      </c>
      <c r="AP21" s="24" t="n">
        <f aca="false">IF(R21="",0,MAX(R21-AM21,0))</f>
        <v>0</v>
      </c>
      <c r="AQ21" s="25" t="n">
        <f aca="false">AM21+AP21</f>
        <v>12</v>
      </c>
      <c r="AR21" s="24" t="n">
        <f aca="false">SUMIFS(Permissions!$L$2:$L$3000,Permissions!$B$2:$B$3000,$A21,Permissions!$R$2:$R$3000,"Yes",Permissions!$I$2:$I$3000,"&lt;&gt;Expired – not started",Permissions!$I$2:$I$3000,"&lt;&gt;In planning")</f>
        <v>0</v>
      </c>
      <c r="AS21" s="24" t="n">
        <f aca="false">AQ21-AR21</f>
        <v>12</v>
      </c>
      <c r="AT21" s="26" t="n">
        <f aca="false">SUMIFS(Permissions!$AJ$2:$AJ$3000,Permissions!$B$2:$B$3000,$A21,Permissions!$R$2:$R$3000,"Yes")</f>
        <v>0</v>
      </c>
      <c r="AU21" s="26" t="n">
        <f aca="false">SUMIFS(Permissions!$AK$2:$AK$3000,Permissions!$B$2:$B$3000,$A21,Permissions!$R$2:$R$3000,"Yes")</f>
        <v>0</v>
      </c>
      <c r="AV21" s="26" t="n">
        <f aca="false">SUMIFS(Permissions!$AL$2:$AL$3000,Permissions!$B$2:$B$3000,$A21,Permissions!$R$2:$R$3000,"Yes")</f>
        <v>7</v>
      </c>
      <c r="AW21" s="26" t="n">
        <f aca="false">SUMIFS(Permissions!$AM$2:$AM$3000,Permissions!$B$2:$B$3000,$A21,Permissions!$R$2:$R$3000,"Yes")</f>
        <v>5</v>
      </c>
      <c r="AX21" s="26" t="n">
        <f aca="false">SUMIFS(Permissions!$AN$2:$AN$3000,Permissions!$B$2:$B$3000,$A21,Permissions!$R$2:$R$3000,"Yes")</f>
        <v>0</v>
      </c>
      <c r="AY21" s="26" t="n">
        <f aca="false">SUMIFS(Permissions!$AO$2:$AO$3000,Permissions!$B$2:$B$3000,$A21,Permissions!$R$2:$R$3000,"Yes")</f>
        <v>0</v>
      </c>
      <c r="AZ21" s="24" t="n">
        <f aca="false">COUNTIFS(Permissions!$B$2:$B$3000,$A21,Permissions!$R$2:$R$3000,"Yes")</f>
        <v>1</v>
      </c>
      <c r="BA21" s="24" t="n">
        <f aca="false">SUMIFS(Permissions!$M$2:$M$3000,Permissions!$B$2:$B$3000,$A21,Permissions!$R$2:$R$3000,"Yes")</f>
        <v>0</v>
      </c>
      <c r="BB21" s="24" t="n">
        <f aca="false">SUMIFS(Permissions!$O$2:$O$3000,Permissions!$B$2:$B$3000,$A21,Permissions!$R$2:$R$3000,"Yes")</f>
        <v>0</v>
      </c>
      <c r="BC21" s="27" t="str">
        <f aca="false">IF(AND(AM21&gt;0,AR21&gt;=AM21,AP21=0),"Finished",IF(AR21&gt;0,"Partly built",IF(AM21&gt;0,"Consented – not built","No consent")))</f>
        <v>Consented – not built</v>
      </c>
      <c r="BD21" s="28" t="str">
        <f aca="false">IF(AND(R21&lt;&gt;"",AM21&gt;1.1*R21),"Consented above capacity",IF(AND(LEFT(B21,8)="Planning",AZ21=0),"Consent parcel with no permission",IF(COUNTIF($A$2:$A$3000,$A21)&gt;1,"Duplicate parcel_id","")))</f>
        <v/>
      </c>
    </row>
    <row r="22" customFormat="false" ht="15" hidden="false" customHeight="false" outlineLevel="0" collapsed="false">
      <c r="A22" s="15" t="s">
        <v>207</v>
      </c>
      <c r="B22" s="15" t="s">
        <v>10</v>
      </c>
      <c r="C22" s="15" t="s">
        <v>16</v>
      </c>
      <c r="D22" s="15" t="s">
        <v>51</v>
      </c>
      <c r="E22" s="15" t="s">
        <v>19</v>
      </c>
      <c r="F22" s="15" t="n">
        <v>1</v>
      </c>
      <c r="G22" s="15" t="s">
        <v>158</v>
      </c>
      <c r="H22" s="15" t="n">
        <v>7</v>
      </c>
      <c r="I22" s="15" t="s">
        <v>51</v>
      </c>
      <c r="J22" s="15" t="s">
        <v>182</v>
      </c>
      <c r="K22" s="15" t="s">
        <v>183</v>
      </c>
      <c r="L22" s="15" t="s">
        <v>189</v>
      </c>
      <c r="M22" s="15" t="s">
        <v>161</v>
      </c>
      <c r="N22" s="15" t="s">
        <v>184</v>
      </c>
      <c r="O22" s="15" t="s">
        <v>185</v>
      </c>
      <c r="P22" s="15" t="n">
        <v>11.8</v>
      </c>
      <c r="Q22" s="15" t="n">
        <v>11.8</v>
      </c>
      <c r="R22" s="15" t="n">
        <v>413</v>
      </c>
      <c r="S22" s="15" t="s">
        <v>164</v>
      </c>
      <c r="T22" s="15" t="n">
        <v>401</v>
      </c>
      <c r="U22" s="15"/>
      <c r="V22" s="15"/>
      <c r="W22" s="15"/>
      <c r="X22" s="15" t="s">
        <v>165</v>
      </c>
      <c r="Y22" s="15" t="n">
        <v>34</v>
      </c>
      <c r="Z22" s="15" t="s">
        <v>166</v>
      </c>
      <c r="AA22" s="15"/>
      <c r="AB22" s="15" t="n">
        <v>0</v>
      </c>
      <c r="AC22" s="15" t="n">
        <v>0</v>
      </c>
      <c r="AD22" s="15" t="s">
        <v>186</v>
      </c>
      <c r="AE22" s="15" t="s">
        <v>168</v>
      </c>
      <c r="AF22" s="15" t="s">
        <v>169</v>
      </c>
      <c r="AG22" s="15"/>
      <c r="AH22" s="24" t="n">
        <f aca="false">IF(R22="",AM22,R22)</f>
        <v>413</v>
      </c>
      <c r="AI22" s="24" t="n">
        <f aca="false">SUMIFS(Permissions!$G$2:$G$3000,Permissions!$B$2:$B$3000,$A22,Permissions!$I$2:$I$3000,"Complete",Permissions!$R$2:$R$3000,"Yes")</f>
        <v>0</v>
      </c>
      <c r="AJ22" s="24" t="n">
        <f aca="false">SUMIFS(Permissions!$G$2:$G$3000,Permissions!$B$2:$B$3000,$A22,Permissions!$I$2:$I$3000,"Under construction",Permissions!$R$2:$R$3000,"Yes")</f>
        <v>0</v>
      </c>
      <c r="AK22" s="24" t="n">
        <f aca="false">SUMIFS(Permissions!$G$2:$G$3000,Permissions!$B$2:$B$3000,$A22,Permissions!$I$2:$I$3000,"Permitted – not started",Permissions!$R$2:$R$3000,"Yes")</f>
        <v>251</v>
      </c>
      <c r="AL22" s="24" t="n">
        <f aca="false">SUMIFS(Permissions!$G$2:$G$3000,Permissions!$B$2:$B$3000,$A22,Permissions!$I$2:$I$3000,"Stalled",Permissions!$R$2:$R$3000,"Yes")</f>
        <v>0</v>
      </c>
      <c r="AM22" s="24" t="n">
        <f aca="false">AI22+AJ22+AK22+AL22</f>
        <v>251</v>
      </c>
      <c r="AN22" s="24" t="n">
        <f aca="false">SUMIFS(Permissions!$G$2:$G$3000,Permissions!$B$2:$B$3000,$A22,Permissions!$I$2:$I$3000,"Expired – not started",Permissions!$R$2:$R$3000,"Yes")</f>
        <v>0</v>
      </c>
      <c r="AO22" s="24" t="n">
        <f aca="false">SUMIFS(Permissions!$G$2:$G$3000,Permissions!$B$2:$B$3000,$A22,Permissions!$I$2:$I$3000,"In planning",Permissions!$R$2:$R$3000,"Yes")</f>
        <v>0</v>
      </c>
      <c r="AP22" s="24" t="n">
        <f aca="false">IF(R22="",0,MAX(R22-AM22,0))</f>
        <v>162</v>
      </c>
      <c r="AQ22" s="25" t="n">
        <f aca="false">AM22+AP22</f>
        <v>413</v>
      </c>
      <c r="AR22" s="24" t="n">
        <f aca="false">SUMIFS(Permissions!$L$2:$L$3000,Permissions!$B$2:$B$3000,$A22,Permissions!$R$2:$R$3000,"Yes",Permissions!$I$2:$I$3000,"&lt;&gt;Expired – not started",Permissions!$I$2:$I$3000,"&lt;&gt;In planning")</f>
        <v>0</v>
      </c>
      <c r="AS22" s="24" t="n">
        <f aca="false">AQ22-AR22</f>
        <v>413</v>
      </c>
      <c r="AT22" s="26" t="n">
        <f aca="false">SUMIFS(Permissions!$AJ$2:$AJ$3000,Permissions!$B$2:$B$3000,$A22,Permissions!$R$2:$R$3000,"Yes")</f>
        <v>0</v>
      </c>
      <c r="AU22" s="26" t="n">
        <f aca="false">SUMIFS(Permissions!$AK$2:$AK$3000,Permissions!$B$2:$B$3000,$A22,Permissions!$R$2:$R$3000,"Yes")</f>
        <v>0</v>
      </c>
      <c r="AV22" s="26" t="n">
        <f aca="false">SUMIFS(Permissions!$AL$2:$AL$3000,Permissions!$B$2:$B$3000,$A22,Permissions!$R$2:$R$3000,"Yes")</f>
        <v>71</v>
      </c>
      <c r="AW22" s="26" t="n">
        <f aca="false">SUMIFS(Permissions!$AM$2:$AM$3000,Permissions!$B$2:$B$3000,$A22,Permissions!$R$2:$R$3000,"Yes")</f>
        <v>137.4</v>
      </c>
      <c r="AX22" s="26" t="n">
        <f aca="false">SUMIFS(Permissions!$AN$2:$AN$3000,Permissions!$B$2:$B$3000,$A22,Permissions!$R$2:$R$3000,"Yes")</f>
        <v>42.6</v>
      </c>
      <c r="AY22" s="26" t="n">
        <f aca="false">SUMIFS(Permissions!$AO$2:$AO$3000,Permissions!$B$2:$B$3000,$A22,Permissions!$R$2:$R$3000,"Yes")</f>
        <v>0</v>
      </c>
      <c r="AZ22" s="24" t="n">
        <f aca="false">COUNTIFS(Permissions!$B$2:$B$3000,$A22,Permissions!$R$2:$R$3000,"Yes")</f>
        <v>3</v>
      </c>
      <c r="BA22" s="24" t="n">
        <f aca="false">SUMIFS(Permissions!$M$2:$M$3000,Permissions!$B$2:$B$3000,$A22,Permissions!$R$2:$R$3000,"Yes")</f>
        <v>0</v>
      </c>
      <c r="BB22" s="24" t="n">
        <f aca="false">SUMIFS(Permissions!$O$2:$O$3000,Permissions!$B$2:$B$3000,$A22,Permissions!$R$2:$R$3000,"Yes")</f>
        <v>0</v>
      </c>
      <c r="BC22" s="27" t="str">
        <f aca="false">IF(AND(AM22&gt;0,AR22&gt;=AM22,AP22=0),"Finished",IF(AR22&gt;0,"Partly built",IF(AM22&gt;0,"Consented – not built","No consent")))</f>
        <v>Consented – not built</v>
      </c>
      <c r="BD22" s="28" t="str">
        <f aca="false">IF(AND(R22&lt;&gt;"",AM22&gt;1.1*R22),"Consented above capacity",IF(AND(LEFT(B22,8)="Planning",AZ22=0),"Consent parcel with no permission",IF(COUNTIF($A$2:$A$3000,$A22)&gt;1,"Duplicate parcel_id","")))</f>
        <v/>
      </c>
    </row>
    <row r="23" customFormat="false" ht="15" hidden="false" customHeight="false" outlineLevel="0" collapsed="false">
      <c r="A23" s="15" t="s">
        <v>208</v>
      </c>
      <c r="B23" s="15" t="s">
        <v>10</v>
      </c>
      <c r="C23" s="15" t="s">
        <v>16</v>
      </c>
      <c r="D23" s="15" t="s">
        <v>51</v>
      </c>
      <c r="E23" s="15" t="s">
        <v>19</v>
      </c>
      <c r="F23" s="15" t="n">
        <v>1</v>
      </c>
      <c r="G23" s="15" t="s">
        <v>158</v>
      </c>
      <c r="H23" s="15" t="n">
        <v>8</v>
      </c>
      <c r="I23" s="15" t="s">
        <v>51</v>
      </c>
      <c r="J23" s="15" t="s">
        <v>182</v>
      </c>
      <c r="K23" s="15" t="s">
        <v>183</v>
      </c>
      <c r="L23" s="15" t="s">
        <v>189</v>
      </c>
      <c r="M23" s="15" t="s">
        <v>161</v>
      </c>
      <c r="N23" s="15" t="s">
        <v>184</v>
      </c>
      <c r="O23" s="15" t="s">
        <v>185</v>
      </c>
      <c r="P23" s="15" t="n">
        <v>2.772</v>
      </c>
      <c r="Q23" s="15" t="n">
        <v>2.771</v>
      </c>
      <c r="R23" s="15" t="n">
        <v>97</v>
      </c>
      <c r="S23" s="15" t="s">
        <v>164</v>
      </c>
      <c r="T23" s="15" t="n">
        <v>94</v>
      </c>
      <c r="U23" s="15"/>
      <c r="V23" s="15"/>
      <c r="W23" s="15"/>
      <c r="X23" s="15" t="s">
        <v>165</v>
      </c>
      <c r="Y23" s="15" t="n">
        <v>34</v>
      </c>
      <c r="Z23" s="15" t="s">
        <v>166</v>
      </c>
      <c r="AA23" s="15"/>
      <c r="AB23" s="15" t="n">
        <v>0</v>
      </c>
      <c r="AC23" s="15" t="n">
        <v>0</v>
      </c>
      <c r="AD23" s="15" t="s">
        <v>186</v>
      </c>
      <c r="AE23" s="15" t="s">
        <v>168</v>
      </c>
      <c r="AF23" s="15" t="s">
        <v>169</v>
      </c>
      <c r="AG23" s="15"/>
      <c r="AH23" s="24" t="n">
        <f aca="false">IF(R23="",AM23,R23)</f>
        <v>97</v>
      </c>
      <c r="AI23" s="24" t="n">
        <f aca="false">SUMIFS(Permissions!$G$2:$G$3000,Permissions!$B$2:$B$3000,$A23,Permissions!$I$2:$I$3000,"Complete",Permissions!$R$2:$R$3000,"Yes")</f>
        <v>0</v>
      </c>
      <c r="AJ23" s="24" t="n">
        <f aca="false">SUMIFS(Permissions!$G$2:$G$3000,Permissions!$B$2:$B$3000,$A23,Permissions!$I$2:$I$3000,"Under construction",Permissions!$R$2:$R$3000,"Yes")</f>
        <v>0</v>
      </c>
      <c r="AK23" s="24" t="n">
        <f aca="false">SUMIFS(Permissions!$G$2:$G$3000,Permissions!$B$2:$B$3000,$A23,Permissions!$I$2:$I$3000,"Permitted – not started",Permissions!$R$2:$R$3000,"Yes")</f>
        <v>86</v>
      </c>
      <c r="AL23" s="24" t="n">
        <f aca="false">SUMIFS(Permissions!$G$2:$G$3000,Permissions!$B$2:$B$3000,$A23,Permissions!$I$2:$I$3000,"Stalled",Permissions!$R$2:$R$3000,"Yes")</f>
        <v>0</v>
      </c>
      <c r="AM23" s="24" t="n">
        <f aca="false">AI23+AJ23+AK23+AL23</f>
        <v>86</v>
      </c>
      <c r="AN23" s="24" t="n">
        <f aca="false">SUMIFS(Permissions!$G$2:$G$3000,Permissions!$B$2:$B$3000,$A23,Permissions!$I$2:$I$3000,"Expired – not started",Permissions!$R$2:$R$3000,"Yes")</f>
        <v>0</v>
      </c>
      <c r="AO23" s="24" t="n">
        <f aca="false">SUMIFS(Permissions!$G$2:$G$3000,Permissions!$B$2:$B$3000,$A23,Permissions!$I$2:$I$3000,"In planning",Permissions!$R$2:$R$3000,"Yes")</f>
        <v>0</v>
      </c>
      <c r="AP23" s="24" t="n">
        <f aca="false">IF(R23="",0,MAX(R23-AM23,0))</f>
        <v>11</v>
      </c>
      <c r="AQ23" s="25" t="n">
        <f aca="false">AM23+AP23</f>
        <v>97</v>
      </c>
      <c r="AR23" s="24" t="n">
        <f aca="false">SUMIFS(Permissions!$L$2:$L$3000,Permissions!$B$2:$B$3000,$A23,Permissions!$R$2:$R$3000,"Yes",Permissions!$I$2:$I$3000,"&lt;&gt;Expired – not started",Permissions!$I$2:$I$3000,"&lt;&gt;In planning")</f>
        <v>0</v>
      </c>
      <c r="AS23" s="24" t="n">
        <f aca="false">AQ23-AR23</f>
        <v>97</v>
      </c>
      <c r="AT23" s="26" t="n">
        <f aca="false">SUMIFS(Permissions!$AJ$2:$AJ$3000,Permissions!$B$2:$B$3000,$A23,Permissions!$R$2:$R$3000,"Yes")</f>
        <v>0</v>
      </c>
      <c r="AU23" s="26" t="n">
        <f aca="false">SUMIFS(Permissions!$AK$2:$AK$3000,Permissions!$B$2:$B$3000,$A23,Permissions!$R$2:$R$3000,"Yes")</f>
        <v>0</v>
      </c>
      <c r="AV23" s="26" t="n">
        <f aca="false">SUMIFS(Permissions!$AL$2:$AL$3000,Permissions!$B$2:$B$3000,$A23,Permissions!$R$2:$R$3000,"Yes")</f>
        <v>27.2</v>
      </c>
      <c r="AW23" s="26" t="n">
        <f aca="false">SUMIFS(Permissions!$AM$2:$AM$3000,Permissions!$B$2:$B$3000,$A23,Permissions!$R$2:$R$3000,"Yes")</f>
        <v>56.4</v>
      </c>
      <c r="AX23" s="26" t="n">
        <f aca="false">SUMIFS(Permissions!$AN$2:$AN$3000,Permissions!$B$2:$B$3000,$A23,Permissions!$R$2:$R$3000,"Yes")</f>
        <v>2.4</v>
      </c>
      <c r="AY23" s="26" t="n">
        <f aca="false">SUMIFS(Permissions!$AO$2:$AO$3000,Permissions!$B$2:$B$3000,$A23,Permissions!$R$2:$R$3000,"Yes")</f>
        <v>0</v>
      </c>
      <c r="AZ23" s="24" t="n">
        <f aca="false">COUNTIFS(Permissions!$B$2:$B$3000,$A23,Permissions!$R$2:$R$3000,"Yes")</f>
        <v>1</v>
      </c>
      <c r="BA23" s="24" t="n">
        <f aca="false">SUMIFS(Permissions!$M$2:$M$3000,Permissions!$B$2:$B$3000,$A23,Permissions!$R$2:$R$3000,"Yes")</f>
        <v>0</v>
      </c>
      <c r="BB23" s="24" t="n">
        <f aca="false">SUMIFS(Permissions!$O$2:$O$3000,Permissions!$B$2:$B$3000,$A23,Permissions!$R$2:$R$3000,"Yes")</f>
        <v>0</v>
      </c>
      <c r="BC23" s="27" t="str">
        <f aca="false">IF(AND(AM23&gt;0,AR23&gt;=AM23,AP23=0),"Finished",IF(AR23&gt;0,"Partly built",IF(AM23&gt;0,"Consented – not built","No consent")))</f>
        <v>Consented – not built</v>
      </c>
      <c r="BD23" s="28" t="str">
        <f aca="false">IF(AND(R23&lt;&gt;"",AM23&gt;1.1*R23),"Consented above capacity",IF(AND(LEFT(B23,8)="Planning",AZ23=0),"Consent parcel with no permission",IF(COUNTIF($A$2:$A$3000,$A23)&gt;1,"Duplicate parcel_id","")))</f>
        <v/>
      </c>
    </row>
    <row r="24" customFormat="false" ht="15" hidden="false" customHeight="false" outlineLevel="0" collapsed="false">
      <c r="A24" s="15" t="s">
        <v>209</v>
      </c>
      <c r="B24" s="15" t="s">
        <v>10</v>
      </c>
      <c r="C24" s="15" t="s">
        <v>16</v>
      </c>
      <c r="D24" s="15" t="s">
        <v>51</v>
      </c>
      <c r="E24" s="15" t="s">
        <v>19</v>
      </c>
      <c r="F24" s="15" t="n">
        <v>1</v>
      </c>
      <c r="G24" s="15" t="s">
        <v>158</v>
      </c>
      <c r="H24" s="15" t="n">
        <v>9</v>
      </c>
      <c r="I24" s="15" t="s">
        <v>51</v>
      </c>
      <c r="J24" s="15" t="s">
        <v>182</v>
      </c>
      <c r="K24" s="15" t="s">
        <v>183</v>
      </c>
      <c r="L24" s="15" t="s">
        <v>160</v>
      </c>
      <c r="M24" s="15" t="s">
        <v>171</v>
      </c>
      <c r="N24" s="15" t="s">
        <v>172</v>
      </c>
      <c r="O24" s="15" t="s">
        <v>163</v>
      </c>
      <c r="P24" s="15" t="n">
        <v>1.07</v>
      </c>
      <c r="Q24" s="15" t="n">
        <v>1.071</v>
      </c>
      <c r="R24" s="15" t="n">
        <v>48</v>
      </c>
      <c r="S24" s="15" t="s">
        <v>164</v>
      </c>
      <c r="T24" s="15" t="n">
        <v>36</v>
      </c>
      <c r="U24" s="15"/>
      <c r="V24" s="15"/>
      <c r="W24" s="15"/>
      <c r="X24" s="15" t="s">
        <v>165</v>
      </c>
      <c r="Y24" s="15" t="n">
        <v>34</v>
      </c>
      <c r="Z24" s="15" t="s">
        <v>166</v>
      </c>
      <c r="AA24" s="15"/>
      <c r="AB24" s="15" t="n">
        <v>0</v>
      </c>
      <c r="AC24" s="15" t="n">
        <v>0</v>
      </c>
      <c r="AD24" s="15" t="s">
        <v>167</v>
      </c>
      <c r="AE24" s="15" t="s">
        <v>168</v>
      </c>
      <c r="AF24" s="15" t="s">
        <v>169</v>
      </c>
      <c r="AG24" s="15"/>
      <c r="AH24" s="24" t="n">
        <f aca="false">IF(R24="",AM24,R24)</f>
        <v>48</v>
      </c>
      <c r="AI24" s="24" t="n">
        <f aca="false">SUMIFS(Permissions!$G$2:$G$3000,Permissions!$B$2:$B$3000,$A24,Permissions!$I$2:$I$3000,"Complete",Permissions!$R$2:$R$3000,"Yes")</f>
        <v>0</v>
      </c>
      <c r="AJ24" s="24" t="n">
        <f aca="false">SUMIFS(Permissions!$G$2:$G$3000,Permissions!$B$2:$B$3000,$A24,Permissions!$I$2:$I$3000,"Under construction",Permissions!$R$2:$R$3000,"Yes")</f>
        <v>0</v>
      </c>
      <c r="AK24" s="24" t="n">
        <f aca="false">SUMIFS(Permissions!$G$2:$G$3000,Permissions!$B$2:$B$3000,$A24,Permissions!$I$2:$I$3000,"Permitted – not started",Permissions!$R$2:$R$3000,"Yes")</f>
        <v>0</v>
      </c>
      <c r="AL24" s="24" t="n">
        <f aca="false">SUMIFS(Permissions!$G$2:$G$3000,Permissions!$B$2:$B$3000,$A24,Permissions!$I$2:$I$3000,"Stalled",Permissions!$R$2:$R$3000,"Yes")</f>
        <v>0</v>
      </c>
      <c r="AM24" s="24" t="n">
        <f aca="false">AI24+AJ24+AK24+AL24</f>
        <v>0</v>
      </c>
      <c r="AN24" s="24" t="n">
        <f aca="false">SUMIFS(Permissions!$G$2:$G$3000,Permissions!$B$2:$B$3000,$A24,Permissions!$I$2:$I$3000,"Expired – not started",Permissions!$R$2:$R$3000,"Yes")</f>
        <v>0</v>
      </c>
      <c r="AO24" s="24" t="n">
        <f aca="false">SUMIFS(Permissions!$G$2:$G$3000,Permissions!$B$2:$B$3000,$A24,Permissions!$I$2:$I$3000,"In planning",Permissions!$R$2:$R$3000,"Yes")</f>
        <v>0</v>
      </c>
      <c r="AP24" s="24" t="n">
        <f aca="false">IF(R24="",0,MAX(R24-AM24,0))</f>
        <v>48</v>
      </c>
      <c r="AQ24" s="25" t="n">
        <f aca="false">AM24+AP24</f>
        <v>48</v>
      </c>
      <c r="AR24" s="24" t="n">
        <f aca="false">SUMIFS(Permissions!$L$2:$L$3000,Permissions!$B$2:$B$3000,$A24,Permissions!$R$2:$R$3000,"Yes",Permissions!$I$2:$I$3000,"&lt;&gt;Expired – not started",Permissions!$I$2:$I$3000,"&lt;&gt;In planning")</f>
        <v>0</v>
      </c>
      <c r="AS24" s="24" t="n">
        <f aca="false">AQ24-AR24</f>
        <v>48</v>
      </c>
      <c r="AT24" s="26" t="n">
        <f aca="false">SUMIFS(Permissions!$AJ$2:$AJ$3000,Permissions!$B$2:$B$3000,$A24,Permissions!$R$2:$R$3000,"Yes")</f>
        <v>0</v>
      </c>
      <c r="AU24" s="26" t="n">
        <f aca="false">SUMIFS(Permissions!$AK$2:$AK$3000,Permissions!$B$2:$B$3000,$A24,Permissions!$R$2:$R$3000,"Yes")</f>
        <v>0</v>
      </c>
      <c r="AV24" s="26" t="n">
        <f aca="false">SUMIFS(Permissions!$AL$2:$AL$3000,Permissions!$B$2:$B$3000,$A24,Permissions!$R$2:$R$3000,"Yes")</f>
        <v>0</v>
      </c>
      <c r="AW24" s="26" t="n">
        <f aca="false">SUMIFS(Permissions!$AM$2:$AM$3000,Permissions!$B$2:$B$3000,$A24,Permissions!$R$2:$R$3000,"Yes")</f>
        <v>0</v>
      </c>
      <c r="AX24" s="26" t="n">
        <f aca="false">SUMIFS(Permissions!$AN$2:$AN$3000,Permissions!$B$2:$B$3000,$A24,Permissions!$R$2:$R$3000,"Yes")</f>
        <v>0</v>
      </c>
      <c r="AY24" s="26" t="n">
        <f aca="false">SUMIFS(Permissions!$AO$2:$AO$3000,Permissions!$B$2:$B$3000,$A24,Permissions!$R$2:$R$3000,"Yes")</f>
        <v>0</v>
      </c>
      <c r="AZ24" s="24" t="n">
        <f aca="false">COUNTIFS(Permissions!$B$2:$B$3000,$A24,Permissions!$R$2:$R$3000,"Yes")</f>
        <v>0</v>
      </c>
      <c r="BA24" s="24" t="n">
        <f aca="false">SUMIFS(Permissions!$M$2:$M$3000,Permissions!$B$2:$B$3000,$A24,Permissions!$R$2:$R$3000,"Yes")</f>
        <v>0</v>
      </c>
      <c r="BB24" s="24" t="n">
        <f aca="false">SUMIFS(Permissions!$O$2:$O$3000,Permissions!$B$2:$B$3000,$A24,Permissions!$R$2:$R$3000,"Yes")</f>
        <v>0</v>
      </c>
      <c r="BC24" s="27" t="str">
        <f aca="false">IF(AND(AM24&gt;0,AR24&gt;=AM24,AP24=0),"Finished",IF(AR24&gt;0,"Partly built",IF(AM24&gt;0,"Consented – not built","No consent")))</f>
        <v>No consent</v>
      </c>
      <c r="BD24" s="28" t="str">
        <f aca="false">IF(AND(R24&lt;&gt;"",AM24&gt;1.1*R24),"Consented above capacity",IF(AND(LEFT(B24,8)="Planning",AZ24=0),"Consent parcel with no permission",IF(COUNTIF($A$2:$A$3000,$A24)&gt;1,"Duplicate parcel_id","")))</f>
        <v/>
      </c>
    </row>
    <row r="25" customFormat="false" ht="15" hidden="false" customHeight="false" outlineLevel="0" collapsed="false">
      <c r="A25" s="15" t="s">
        <v>210</v>
      </c>
      <c r="B25" s="15" t="s">
        <v>10</v>
      </c>
      <c r="C25" s="15" t="s">
        <v>16</v>
      </c>
      <c r="D25" s="15" t="s">
        <v>52</v>
      </c>
      <c r="E25" s="15" t="s">
        <v>19</v>
      </c>
      <c r="F25" s="15" t="n">
        <v>1</v>
      </c>
      <c r="G25" s="15" t="s">
        <v>158</v>
      </c>
      <c r="H25" s="15" t="n">
        <v>159</v>
      </c>
      <c r="I25" s="15" t="s">
        <v>52</v>
      </c>
      <c r="J25" s="15" t="s">
        <v>211</v>
      </c>
      <c r="K25" s="15" t="s">
        <v>212</v>
      </c>
      <c r="L25" s="15" t="s">
        <v>176</v>
      </c>
      <c r="M25" s="15" t="s">
        <v>161</v>
      </c>
      <c r="N25" s="15" t="s">
        <v>184</v>
      </c>
      <c r="O25" s="15" t="s">
        <v>213</v>
      </c>
      <c r="P25" s="15" t="n">
        <v>2.734</v>
      </c>
      <c r="Q25" s="15" t="n">
        <v>2.733</v>
      </c>
      <c r="R25" s="15" t="n">
        <v>97</v>
      </c>
      <c r="S25" s="15" t="s">
        <v>164</v>
      </c>
      <c r="T25" s="15" t="n">
        <v>93</v>
      </c>
      <c r="U25" s="15"/>
      <c r="V25" s="15"/>
      <c r="W25" s="15"/>
      <c r="X25" s="15" t="s">
        <v>165</v>
      </c>
      <c r="Y25" s="15" t="n">
        <v>34</v>
      </c>
      <c r="Z25" s="15" t="s">
        <v>166</v>
      </c>
      <c r="AA25" s="15"/>
      <c r="AB25" s="15" t="n">
        <v>0</v>
      </c>
      <c r="AC25" s="15" t="n">
        <v>0</v>
      </c>
      <c r="AD25" s="15" t="s">
        <v>167</v>
      </c>
      <c r="AE25" s="15" t="s">
        <v>168</v>
      </c>
      <c r="AF25" s="15" t="s">
        <v>169</v>
      </c>
      <c r="AG25" s="15"/>
      <c r="AH25" s="24" t="n">
        <f aca="false">IF(R25="",AM25,R25)</f>
        <v>97</v>
      </c>
      <c r="AI25" s="24" t="n">
        <f aca="false">SUMIFS(Permissions!$G$2:$G$3000,Permissions!$B$2:$B$3000,$A25,Permissions!$I$2:$I$3000,"Complete",Permissions!$R$2:$R$3000,"Yes")</f>
        <v>0</v>
      </c>
      <c r="AJ25" s="24" t="n">
        <f aca="false">SUMIFS(Permissions!$G$2:$G$3000,Permissions!$B$2:$B$3000,$A25,Permissions!$I$2:$I$3000,"Under construction",Permissions!$R$2:$R$3000,"Yes")</f>
        <v>0</v>
      </c>
      <c r="AK25" s="24" t="n">
        <f aca="false">SUMIFS(Permissions!$G$2:$G$3000,Permissions!$B$2:$B$3000,$A25,Permissions!$I$2:$I$3000,"Permitted – not started",Permissions!$R$2:$R$3000,"Yes")</f>
        <v>0</v>
      </c>
      <c r="AL25" s="24" t="n">
        <f aca="false">SUMIFS(Permissions!$G$2:$G$3000,Permissions!$B$2:$B$3000,$A25,Permissions!$I$2:$I$3000,"Stalled",Permissions!$R$2:$R$3000,"Yes")</f>
        <v>0</v>
      </c>
      <c r="AM25" s="24" t="n">
        <f aca="false">AI25+AJ25+AK25+AL25</f>
        <v>0</v>
      </c>
      <c r="AN25" s="24" t="n">
        <f aca="false">SUMIFS(Permissions!$G$2:$G$3000,Permissions!$B$2:$B$3000,$A25,Permissions!$I$2:$I$3000,"Expired – not started",Permissions!$R$2:$R$3000,"Yes")</f>
        <v>0</v>
      </c>
      <c r="AO25" s="24" t="n">
        <f aca="false">SUMIFS(Permissions!$G$2:$G$3000,Permissions!$B$2:$B$3000,$A25,Permissions!$I$2:$I$3000,"In planning",Permissions!$R$2:$R$3000,"Yes")</f>
        <v>0</v>
      </c>
      <c r="AP25" s="24" t="n">
        <f aca="false">IF(R25="",0,MAX(R25-AM25,0))</f>
        <v>97</v>
      </c>
      <c r="AQ25" s="25" t="n">
        <f aca="false">AM25+AP25</f>
        <v>97</v>
      </c>
      <c r="AR25" s="24" t="n">
        <f aca="false">SUMIFS(Permissions!$L$2:$L$3000,Permissions!$B$2:$B$3000,$A25,Permissions!$R$2:$R$3000,"Yes",Permissions!$I$2:$I$3000,"&lt;&gt;Expired – not started",Permissions!$I$2:$I$3000,"&lt;&gt;In planning")</f>
        <v>0</v>
      </c>
      <c r="AS25" s="24" t="n">
        <f aca="false">AQ25-AR25</f>
        <v>97</v>
      </c>
      <c r="AT25" s="26" t="n">
        <f aca="false">SUMIFS(Permissions!$AJ$2:$AJ$3000,Permissions!$B$2:$B$3000,$A25,Permissions!$R$2:$R$3000,"Yes")</f>
        <v>0</v>
      </c>
      <c r="AU25" s="26" t="n">
        <f aca="false">SUMIFS(Permissions!$AK$2:$AK$3000,Permissions!$B$2:$B$3000,$A25,Permissions!$R$2:$R$3000,"Yes")</f>
        <v>0</v>
      </c>
      <c r="AV25" s="26" t="n">
        <f aca="false">SUMIFS(Permissions!$AL$2:$AL$3000,Permissions!$B$2:$B$3000,$A25,Permissions!$R$2:$R$3000,"Yes")</f>
        <v>0</v>
      </c>
      <c r="AW25" s="26" t="n">
        <f aca="false">SUMIFS(Permissions!$AM$2:$AM$3000,Permissions!$B$2:$B$3000,$A25,Permissions!$R$2:$R$3000,"Yes")</f>
        <v>0</v>
      </c>
      <c r="AX25" s="26" t="n">
        <f aca="false">SUMIFS(Permissions!$AN$2:$AN$3000,Permissions!$B$2:$B$3000,$A25,Permissions!$R$2:$R$3000,"Yes")</f>
        <v>0</v>
      </c>
      <c r="AY25" s="26" t="n">
        <f aca="false">SUMIFS(Permissions!$AO$2:$AO$3000,Permissions!$B$2:$B$3000,$A25,Permissions!$R$2:$R$3000,"Yes")</f>
        <v>0</v>
      </c>
      <c r="AZ25" s="24" t="n">
        <f aca="false">COUNTIFS(Permissions!$B$2:$B$3000,$A25,Permissions!$R$2:$R$3000,"Yes")</f>
        <v>0</v>
      </c>
      <c r="BA25" s="24" t="n">
        <f aca="false">SUMIFS(Permissions!$M$2:$M$3000,Permissions!$B$2:$B$3000,$A25,Permissions!$R$2:$R$3000,"Yes")</f>
        <v>0</v>
      </c>
      <c r="BB25" s="24" t="n">
        <f aca="false">SUMIFS(Permissions!$O$2:$O$3000,Permissions!$B$2:$B$3000,$A25,Permissions!$R$2:$R$3000,"Yes")</f>
        <v>0</v>
      </c>
      <c r="BC25" s="27" t="str">
        <f aca="false">IF(AND(AM25&gt;0,AR25&gt;=AM25,AP25=0),"Finished",IF(AR25&gt;0,"Partly built",IF(AM25&gt;0,"Consented – not built","No consent")))</f>
        <v>No consent</v>
      </c>
      <c r="BD25" s="28" t="str">
        <f aca="false">IF(AND(R25&lt;&gt;"",AM25&gt;1.1*R25),"Consented above capacity",IF(AND(LEFT(B25,8)="Planning",AZ25=0),"Consent parcel with no permission",IF(COUNTIF($A$2:$A$3000,$A25)&gt;1,"Duplicate parcel_id","")))</f>
        <v/>
      </c>
    </row>
    <row r="26" customFormat="false" ht="15" hidden="false" customHeight="false" outlineLevel="0" collapsed="false">
      <c r="A26" s="15" t="s">
        <v>214</v>
      </c>
      <c r="B26" s="15" t="s">
        <v>10</v>
      </c>
      <c r="C26" s="15" t="s">
        <v>16</v>
      </c>
      <c r="D26" s="15" t="s">
        <v>52</v>
      </c>
      <c r="E26" s="15" t="s">
        <v>19</v>
      </c>
      <c r="F26" s="15" t="n">
        <v>1</v>
      </c>
      <c r="G26" s="15" t="s">
        <v>158</v>
      </c>
      <c r="H26" s="15" t="n">
        <v>53</v>
      </c>
      <c r="I26" s="15" t="s">
        <v>52</v>
      </c>
      <c r="J26" s="15" t="s">
        <v>211</v>
      </c>
      <c r="K26" s="15" t="s">
        <v>212</v>
      </c>
      <c r="L26" s="15" t="s">
        <v>176</v>
      </c>
      <c r="M26" s="15" t="s">
        <v>161</v>
      </c>
      <c r="N26" s="15" t="s">
        <v>172</v>
      </c>
      <c r="O26" s="15" t="s">
        <v>163</v>
      </c>
      <c r="P26" s="15" t="n">
        <v>2.401</v>
      </c>
      <c r="Q26" s="15" t="n">
        <v>2.401</v>
      </c>
      <c r="R26" s="15" t="n">
        <v>108</v>
      </c>
      <c r="S26" s="15" t="s">
        <v>164</v>
      </c>
      <c r="T26" s="15" t="n">
        <v>82</v>
      </c>
      <c r="U26" s="15"/>
      <c r="V26" s="15"/>
      <c r="W26" s="15"/>
      <c r="X26" s="15" t="s">
        <v>165</v>
      </c>
      <c r="Y26" s="15" t="n">
        <v>34</v>
      </c>
      <c r="Z26" s="15" t="s">
        <v>166</v>
      </c>
      <c r="AA26" s="15"/>
      <c r="AB26" s="15" t="n">
        <v>0</v>
      </c>
      <c r="AC26" s="15" t="n">
        <v>0</v>
      </c>
      <c r="AD26" s="15" t="s">
        <v>186</v>
      </c>
      <c r="AE26" s="15" t="s">
        <v>168</v>
      </c>
      <c r="AF26" s="15" t="s">
        <v>169</v>
      </c>
      <c r="AG26" s="15"/>
      <c r="AH26" s="24" t="n">
        <f aca="false">IF(R26="",AM26,R26)</f>
        <v>108</v>
      </c>
      <c r="AI26" s="24" t="n">
        <f aca="false">SUMIFS(Permissions!$G$2:$G$3000,Permissions!$B$2:$B$3000,$A26,Permissions!$I$2:$I$3000,"Complete",Permissions!$R$2:$R$3000,"Yes")</f>
        <v>0</v>
      </c>
      <c r="AJ26" s="24" t="n">
        <f aca="false">SUMIFS(Permissions!$G$2:$G$3000,Permissions!$B$2:$B$3000,$A26,Permissions!$I$2:$I$3000,"Under construction",Permissions!$R$2:$R$3000,"Yes")</f>
        <v>0</v>
      </c>
      <c r="AK26" s="24" t="n">
        <f aca="false">SUMIFS(Permissions!$G$2:$G$3000,Permissions!$B$2:$B$3000,$A26,Permissions!$I$2:$I$3000,"Permitted – not started",Permissions!$R$2:$R$3000,"Yes")</f>
        <v>196</v>
      </c>
      <c r="AL26" s="24" t="n">
        <f aca="false">SUMIFS(Permissions!$G$2:$G$3000,Permissions!$B$2:$B$3000,$A26,Permissions!$I$2:$I$3000,"Stalled",Permissions!$R$2:$R$3000,"Yes")</f>
        <v>0</v>
      </c>
      <c r="AM26" s="24" t="n">
        <f aca="false">AI26+AJ26+AK26+AL26</f>
        <v>196</v>
      </c>
      <c r="AN26" s="24" t="n">
        <f aca="false">SUMIFS(Permissions!$G$2:$G$3000,Permissions!$B$2:$B$3000,$A26,Permissions!$I$2:$I$3000,"Expired – not started",Permissions!$R$2:$R$3000,"Yes")</f>
        <v>0</v>
      </c>
      <c r="AO26" s="24" t="n">
        <f aca="false">SUMIFS(Permissions!$G$2:$G$3000,Permissions!$B$2:$B$3000,$A26,Permissions!$I$2:$I$3000,"In planning",Permissions!$R$2:$R$3000,"Yes")</f>
        <v>0</v>
      </c>
      <c r="AP26" s="24" t="n">
        <f aca="false">IF(R26="",0,MAX(R26-AM26,0))</f>
        <v>0</v>
      </c>
      <c r="AQ26" s="25" t="n">
        <f aca="false">AM26+AP26</f>
        <v>196</v>
      </c>
      <c r="AR26" s="24" t="n">
        <f aca="false">SUMIFS(Permissions!$L$2:$L$3000,Permissions!$B$2:$B$3000,$A26,Permissions!$R$2:$R$3000,"Yes",Permissions!$I$2:$I$3000,"&lt;&gt;Expired – not started",Permissions!$I$2:$I$3000,"&lt;&gt;In planning")</f>
        <v>0</v>
      </c>
      <c r="AS26" s="24" t="n">
        <f aca="false">AQ26-AR26</f>
        <v>196</v>
      </c>
      <c r="AT26" s="26" t="n">
        <f aca="false">SUMIFS(Permissions!$AJ$2:$AJ$3000,Permissions!$B$2:$B$3000,$A26,Permissions!$R$2:$R$3000,"Yes")</f>
        <v>0</v>
      </c>
      <c r="AU26" s="26" t="n">
        <f aca="false">SUMIFS(Permissions!$AK$2:$AK$3000,Permissions!$B$2:$B$3000,$A26,Permissions!$R$2:$R$3000,"Yes")</f>
        <v>0</v>
      </c>
      <c r="AV26" s="26" t="n">
        <f aca="false">SUMIFS(Permissions!$AL$2:$AL$3000,Permissions!$B$2:$B$3000,$A26,Permissions!$R$2:$R$3000,"Yes")</f>
        <v>0</v>
      </c>
      <c r="AW26" s="26" t="n">
        <f aca="false">SUMIFS(Permissions!$AM$2:$AM$3000,Permissions!$B$2:$B$3000,$A26,Permissions!$R$2:$R$3000,"Yes")</f>
        <v>196</v>
      </c>
      <c r="AX26" s="26" t="n">
        <f aca="false">SUMIFS(Permissions!$AN$2:$AN$3000,Permissions!$B$2:$B$3000,$A26,Permissions!$R$2:$R$3000,"Yes")</f>
        <v>0</v>
      </c>
      <c r="AY26" s="26" t="n">
        <f aca="false">SUMIFS(Permissions!$AO$2:$AO$3000,Permissions!$B$2:$B$3000,$A26,Permissions!$R$2:$R$3000,"Yes")</f>
        <v>0</v>
      </c>
      <c r="AZ26" s="24" t="n">
        <f aca="false">COUNTIFS(Permissions!$B$2:$B$3000,$A26,Permissions!$R$2:$R$3000,"Yes")</f>
        <v>1</v>
      </c>
      <c r="BA26" s="24" t="n">
        <f aca="false">SUMIFS(Permissions!$M$2:$M$3000,Permissions!$B$2:$B$3000,$A26,Permissions!$R$2:$R$3000,"Yes")</f>
        <v>0</v>
      </c>
      <c r="BB26" s="24" t="n">
        <f aca="false">SUMIFS(Permissions!$O$2:$O$3000,Permissions!$B$2:$B$3000,$A26,Permissions!$R$2:$R$3000,"Yes")</f>
        <v>0</v>
      </c>
      <c r="BC26" s="27" t="str">
        <f aca="false">IF(AND(AM26&gt;0,AR26&gt;=AM26,AP26=0),"Finished",IF(AR26&gt;0,"Partly built",IF(AM26&gt;0,"Consented – not built","No consent")))</f>
        <v>Consented – not built</v>
      </c>
      <c r="BD26" s="28" t="str">
        <f aca="false">IF(AND(R26&lt;&gt;"",AM26&gt;1.1*R26),"Consented above capacity",IF(AND(LEFT(B26,8)="Planning",AZ26=0),"Consent parcel with no permission",IF(COUNTIF($A$2:$A$3000,$A26)&gt;1,"Duplicate parcel_id","")))</f>
        <v>Consented above capacity</v>
      </c>
    </row>
    <row r="27" customFormat="false" ht="15" hidden="false" customHeight="false" outlineLevel="0" collapsed="false">
      <c r="A27" s="15" t="s">
        <v>215</v>
      </c>
      <c r="B27" s="15" t="s">
        <v>10</v>
      </c>
      <c r="C27" s="15" t="s">
        <v>16</v>
      </c>
      <c r="D27" s="15" t="s">
        <v>52</v>
      </c>
      <c r="E27" s="15" t="s">
        <v>19</v>
      </c>
      <c r="F27" s="15" t="n">
        <v>1</v>
      </c>
      <c r="G27" s="15" t="s">
        <v>158</v>
      </c>
      <c r="H27" s="15" t="n">
        <v>54</v>
      </c>
      <c r="I27" s="15" t="s">
        <v>52</v>
      </c>
      <c r="J27" s="15" t="s">
        <v>211</v>
      </c>
      <c r="K27" s="15" t="s">
        <v>212</v>
      </c>
      <c r="L27" s="15" t="s">
        <v>176</v>
      </c>
      <c r="M27" s="15" t="s">
        <v>161</v>
      </c>
      <c r="N27" s="15" t="s">
        <v>172</v>
      </c>
      <c r="O27" s="15" t="s">
        <v>163</v>
      </c>
      <c r="P27" s="15" t="n">
        <v>1.435</v>
      </c>
      <c r="Q27" s="15" t="n">
        <v>1.435</v>
      </c>
      <c r="R27" s="15" t="n">
        <v>65</v>
      </c>
      <c r="S27" s="15" t="s">
        <v>164</v>
      </c>
      <c r="T27" s="15" t="n">
        <v>49</v>
      </c>
      <c r="U27" s="15"/>
      <c r="V27" s="15"/>
      <c r="W27" s="15"/>
      <c r="X27" s="15" t="s">
        <v>165</v>
      </c>
      <c r="Y27" s="15" t="n">
        <v>34</v>
      </c>
      <c r="Z27" s="15" t="s">
        <v>166</v>
      </c>
      <c r="AA27" s="15"/>
      <c r="AB27" s="15" t="n">
        <v>0</v>
      </c>
      <c r="AC27" s="15" t="n">
        <v>0</v>
      </c>
      <c r="AD27" s="15" t="s">
        <v>167</v>
      </c>
      <c r="AE27" s="15" t="s">
        <v>168</v>
      </c>
      <c r="AF27" s="15" t="s">
        <v>169</v>
      </c>
      <c r="AG27" s="15"/>
      <c r="AH27" s="24" t="n">
        <f aca="false">IF(R27="",AM27,R27)</f>
        <v>65</v>
      </c>
      <c r="AI27" s="24" t="n">
        <f aca="false">SUMIFS(Permissions!$G$2:$G$3000,Permissions!$B$2:$B$3000,$A27,Permissions!$I$2:$I$3000,"Complete",Permissions!$R$2:$R$3000,"Yes")</f>
        <v>0</v>
      </c>
      <c r="AJ27" s="24" t="n">
        <f aca="false">SUMIFS(Permissions!$G$2:$G$3000,Permissions!$B$2:$B$3000,$A27,Permissions!$I$2:$I$3000,"Under construction",Permissions!$R$2:$R$3000,"Yes")</f>
        <v>0</v>
      </c>
      <c r="AK27" s="24" t="n">
        <f aca="false">SUMIFS(Permissions!$G$2:$G$3000,Permissions!$B$2:$B$3000,$A27,Permissions!$I$2:$I$3000,"Permitted – not started",Permissions!$R$2:$R$3000,"Yes")</f>
        <v>0</v>
      </c>
      <c r="AL27" s="24" t="n">
        <f aca="false">SUMIFS(Permissions!$G$2:$G$3000,Permissions!$B$2:$B$3000,$A27,Permissions!$I$2:$I$3000,"Stalled",Permissions!$R$2:$R$3000,"Yes")</f>
        <v>0</v>
      </c>
      <c r="AM27" s="24" t="n">
        <f aca="false">AI27+AJ27+AK27+AL27</f>
        <v>0</v>
      </c>
      <c r="AN27" s="24" t="n">
        <f aca="false">SUMIFS(Permissions!$G$2:$G$3000,Permissions!$B$2:$B$3000,$A27,Permissions!$I$2:$I$3000,"Expired – not started",Permissions!$R$2:$R$3000,"Yes")</f>
        <v>0</v>
      </c>
      <c r="AO27" s="24" t="n">
        <f aca="false">SUMIFS(Permissions!$G$2:$G$3000,Permissions!$B$2:$B$3000,$A27,Permissions!$I$2:$I$3000,"In planning",Permissions!$R$2:$R$3000,"Yes")</f>
        <v>0</v>
      </c>
      <c r="AP27" s="24" t="n">
        <f aca="false">IF(R27="",0,MAX(R27-AM27,0))</f>
        <v>65</v>
      </c>
      <c r="AQ27" s="25" t="n">
        <f aca="false">AM27+AP27</f>
        <v>65</v>
      </c>
      <c r="AR27" s="24" t="n">
        <f aca="false">SUMIFS(Permissions!$L$2:$L$3000,Permissions!$B$2:$B$3000,$A27,Permissions!$R$2:$R$3000,"Yes",Permissions!$I$2:$I$3000,"&lt;&gt;Expired – not started",Permissions!$I$2:$I$3000,"&lt;&gt;In planning")</f>
        <v>0</v>
      </c>
      <c r="AS27" s="24" t="n">
        <f aca="false">AQ27-AR27</f>
        <v>65</v>
      </c>
      <c r="AT27" s="26" t="n">
        <f aca="false">SUMIFS(Permissions!$AJ$2:$AJ$3000,Permissions!$B$2:$B$3000,$A27,Permissions!$R$2:$R$3000,"Yes")</f>
        <v>0</v>
      </c>
      <c r="AU27" s="26" t="n">
        <f aca="false">SUMIFS(Permissions!$AK$2:$AK$3000,Permissions!$B$2:$B$3000,$A27,Permissions!$R$2:$R$3000,"Yes")</f>
        <v>0</v>
      </c>
      <c r="AV27" s="26" t="n">
        <f aca="false">SUMIFS(Permissions!$AL$2:$AL$3000,Permissions!$B$2:$B$3000,$A27,Permissions!$R$2:$R$3000,"Yes")</f>
        <v>0</v>
      </c>
      <c r="AW27" s="26" t="n">
        <f aca="false">SUMIFS(Permissions!$AM$2:$AM$3000,Permissions!$B$2:$B$3000,$A27,Permissions!$R$2:$R$3000,"Yes")</f>
        <v>0</v>
      </c>
      <c r="AX27" s="26" t="n">
        <f aca="false">SUMIFS(Permissions!$AN$2:$AN$3000,Permissions!$B$2:$B$3000,$A27,Permissions!$R$2:$R$3000,"Yes")</f>
        <v>0</v>
      </c>
      <c r="AY27" s="26" t="n">
        <f aca="false">SUMIFS(Permissions!$AO$2:$AO$3000,Permissions!$B$2:$B$3000,$A27,Permissions!$R$2:$R$3000,"Yes")</f>
        <v>0</v>
      </c>
      <c r="AZ27" s="24" t="n">
        <f aca="false">COUNTIFS(Permissions!$B$2:$B$3000,$A27,Permissions!$R$2:$R$3000,"Yes")</f>
        <v>0</v>
      </c>
      <c r="BA27" s="24" t="n">
        <f aca="false">SUMIFS(Permissions!$M$2:$M$3000,Permissions!$B$2:$B$3000,$A27,Permissions!$R$2:$R$3000,"Yes")</f>
        <v>0</v>
      </c>
      <c r="BB27" s="24" t="n">
        <f aca="false">SUMIFS(Permissions!$O$2:$O$3000,Permissions!$B$2:$B$3000,$A27,Permissions!$R$2:$R$3000,"Yes")</f>
        <v>0</v>
      </c>
      <c r="BC27" s="27" t="str">
        <f aca="false">IF(AND(AM27&gt;0,AR27&gt;=AM27,AP27=0),"Finished",IF(AR27&gt;0,"Partly built",IF(AM27&gt;0,"Consented – not built","No consent")))</f>
        <v>No consent</v>
      </c>
      <c r="BD27" s="28" t="str">
        <f aca="false">IF(AND(R27&lt;&gt;"",AM27&gt;1.1*R27),"Consented above capacity",IF(AND(LEFT(B27,8)="Planning",AZ27=0),"Consent parcel with no permission",IF(COUNTIF($A$2:$A$3000,$A27)&gt;1,"Duplicate parcel_id","")))</f>
        <v/>
      </c>
    </row>
    <row r="28" customFormat="false" ht="15" hidden="false" customHeight="false" outlineLevel="0" collapsed="false">
      <c r="A28" s="15" t="s">
        <v>216</v>
      </c>
      <c r="B28" s="15" t="s">
        <v>10</v>
      </c>
      <c r="C28" s="15" t="s">
        <v>16</v>
      </c>
      <c r="D28" s="15" t="s">
        <v>52</v>
      </c>
      <c r="E28" s="15" t="s">
        <v>19</v>
      </c>
      <c r="F28" s="15" t="n">
        <v>1</v>
      </c>
      <c r="G28" s="15" t="s">
        <v>158</v>
      </c>
      <c r="H28" s="15" t="n">
        <v>56</v>
      </c>
      <c r="I28" s="15" t="s">
        <v>52</v>
      </c>
      <c r="J28" s="15" t="s">
        <v>211</v>
      </c>
      <c r="K28" s="15" t="s">
        <v>212</v>
      </c>
      <c r="L28" s="15" t="s">
        <v>176</v>
      </c>
      <c r="M28" s="15" t="s">
        <v>161</v>
      </c>
      <c r="N28" s="15" t="s">
        <v>172</v>
      </c>
      <c r="O28" s="15" t="s">
        <v>185</v>
      </c>
      <c r="P28" s="15" t="n">
        <v>3.528</v>
      </c>
      <c r="Q28" s="15" t="n">
        <v>4.642</v>
      </c>
      <c r="R28" s="15" t="n">
        <v>123</v>
      </c>
      <c r="S28" s="15" t="s">
        <v>164</v>
      </c>
      <c r="T28" s="15" t="n">
        <v>120</v>
      </c>
      <c r="U28" s="15"/>
      <c r="V28" s="15"/>
      <c r="W28" s="15"/>
      <c r="X28" s="15" t="s">
        <v>165</v>
      </c>
      <c r="Y28" s="15" t="n">
        <v>34</v>
      </c>
      <c r="Z28" s="15" t="s">
        <v>166</v>
      </c>
      <c r="AA28" s="15"/>
      <c r="AB28" s="15" t="n">
        <v>24</v>
      </c>
      <c r="AC28" s="15" t="n">
        <v>19</v>
      </c>
      <c r="AD28" s="15" t="s">
        <v>179</v>
      </c>
      <c r="AE28" s="15" t="s">
        <v>180</v>
      </c>
      <c r="AF28" s="15" t="s">
        <v>169</v>
      </c>
      <c r="AG28" s="15"/>
      <c r="AH28" s="24" t="n">
        <f aca="false">IF(R28="",AM28,R28)</f>
        <v>123</v>
      </c>
      <c r="AI28" s="24" t="n">
        <f aca="false">SUMIFS(Permissions!$G$2:$G$3000,Permissions!$B$2:$B$3000,$A28,Permissions!$I$2:$I$3000,"Complete",Permissions!$R$2:$R$3000,"Yes")</f>
        <v>0</v>
      </c>
      <c r="AJ28" s="24" t="n">
        <f aca="false">SUMIFS(Permissions!$G$2:$G$3000,Permissions!$B$2:$B$3000,$A28,Permissions!$I$2:$I$3000,"Under construction",Permissions!$R$2:$R$3000,"Yes")</f>
        <v>32</v>
      </c>
      <c r="AK28" s="24" t="n">
        <f aca="false">SUMIFS(Permissions!$G$2:$G$3000,Permissions!$B$2:$B$3000,$A28,Permissions!$I$2:$I$3000,"Permitted – not started",Permissions!$R$2:$R$3000,"Yes")</f>
        <v>114</v>
      </c>
      <c r="AL28" s="24" t="n">
        <f aca="false">SUMIFS(Permissions!$G$2:$G$3000,Permissions!$B$2:$B$3000,$A28,Permissions!$I$2:$I$3000,"Stalled",Permissions!$R$2:$R$3000,"Yes")</f>
        <v>0</v>
      </c>
      <c r="AM28" s="24" t="n">
        <f aca="false">AI28+AJ28+AK28+AL28</f>
        <v>146</v>
      </c>
      <c r="AN28" s="24" t="n">
        <f aca="false">SUMIFS(Permissions!$G$2:$G$3000,Permissions!$B$2:$B$3000,$A28,Permissions!$I$2:$I$3000,"Expired – not started",Permissions!$R$2:$R$3000,"Yes")</f>
        <v>0</v>
      </c>
      <c r="AO28" s="24" t="n">
        <f aca="false">SUMIFS(Permissions!$G$2:$G$3000,Permissions!$B$2:$B$3000,$A28,Permissions!$I$2:$I$3000,"In planning",Permissions!$R$2:$R$3000,"Yes")</f>
        <v>0</v>
      </c>
      <c r="AP28" s="24" t="n">
        <f aca="false">IF(R28="",0,MAX(R28-AM28,0))</f>
        <v>0</v>
      </c>
      <c r="AQ28" s="25" t="n">
        <f aca="false">AM28+AP28</f>
        <v>146</v>
      </c>
      <c r="AR28" s="24" t="n">
        <f aca="false">SUMIFS(Permissions!$L$2:$L$3000,Permissions!$B$2:$B$3000,$A28,Permissions!$R$2:$R$3000,"Yes",Permissions!$I$2:$I$3000,"&lt;&gt;Expired – not started",Permissions!$I$2:$I$3000,"&lt;&gt;In planning")</f>
        <v>30</v>
      </c>
      <c r="AS28" s="24" t="n">
        <f aca="false">AQ28-AR28</f>
        <v>116</v>
      </c>
      <c r="AT28" s="26" t="n">
        <f aca="false">SUMIFS(Permissions!$AJ$2:$AJ$3000,Permissions!$B$2:$B$3000,$A28,Permissions!$R$2:$R$3000,"Yes")</f>
        <v>7.5</v>
      </c>
      <c r="AU28" s="26" t="n">
        <f aca="false">SUMIFS(Permissions!$AK$2:$AK$3000,Permissions!$B$2:$B$3000,$A28,Permissions!$R$2:$R$3000,"Yes")</f>
        <v>24.5</v>
      </c>
      <c r="AV28" s="26" t="n">
        <f aca="false">SUMIFS(Permissions!$AL$2:$AL$3000,Permissions!$B$2:$B$3000,$A28,Permissions!$R$2:$R$3000,"Yes")</f>
        <v>0</v>
      </c>
      <c r="AW28" s="26" t="n">
        <f aca="false">SUMIFS(Permissions!$AM$2:$AM$3000,Permissions!$B$2:$B$3000,$A28,Permissions!$R$2:$R$3000,"Yes")</f>
        <v>89.3</v>
      </c>
      <c r="AX28" s="26" t="n">
        <f aca="false">SUMIFS(Permissions!$AN$2:$AN$3000,Permissions!$B$2:$B$3000,$A28,Permissions!$R$2:$R$3000,"Yes")</f>
        <v>24.7</v>
      </c>
      <c r="AY28" s="26" t="n">
        <f aca="false">SUMIFS(Permissions!$AO$2:$AO$3000,Permissions!$B$2:$B$3000,$A28,Permissions!$R$2:$R$3000,"Yes")</f>
        <v>0</v>
      </c>
      <c r="AZ28" s="24" t="n">
        <f aca="false">COUNTIFS(Permissions!$B$2:$B$3000,$A28,Permissions!$R$2:$R$3000,"Yes")</f>
        <v>2</v>
      </c>
      <c r="BA28" s="24" t="n">
        <f aca="false">SUMIFS(Permissions!$M$2:$M$3000,Permissions!$B$2:$B$3000,$A28,Permissions!$R$2:$R$3000,"Yes")</f>
        <v>30</v>
      </c>
      <c r="BB28" s="24" t="n">
        <f aca="false">SUMIFS(Permissions!$O$2:$O$3000,Permissions!$B$2:$B$3000,$A28,Permissions!$R$2:$R$3000,"Yes")</f>
        <v>0</v>
      </c>
      <c r="BC28" s="27" t="str">
        <f aca="false">IF(AND(AM28&gt;0,AR28&gt;=AM28,AP28=0),"Finished",IF(AR28&gt;0,"Partly built",IF(AM28&gt;0,"Consented – not built","No consent")))</f>
        <v>Partly built</v>
      </c>
      <c r="BD28" s="28" t="str">
        <f aca="false">IF(AND(R28&lt;&gt;"",AM28&gt;1.1*R28),"Consented above capacity",IF(AND(LEFT(B28,8)="Planning",AZ28=0),"Consent parcel with no permission",IF(COUNTIF($A$2:$A$3000,$A28)&gt;1,"Duplicate parcel_id","")))</f>
        <v>Consented above capacity</v>
      </c>
    </row>
    <row r="29" customFormat="false" ht="15" hidden="false" customHeight="false" outlineLevel="0" collapsed="false">
      <c r="A29" s="15" t="s">
        <v>217</v>
      </c>
      <c r="B29" s="15" t="s">
        <v>10</v>
      </c>
      <c r="C29" s="15" t="s">
        <v>16</v>
      </c>
      <c r="D29" s="15" t="s">
        <v>52</v>
      </c>
      <c r="E29" s="15" t="s">
        <v>19</v>
      </c>
      <c r="F29" s="15" t="n">
        <v>1</v>
      </c>
      <c r="G29" s="15" t="s">
        <v>158</v>
      </c>
      <c r="H29" s="15" t="n">
        <v>57</v>
      </c>
      <c r="I29" s="15" t="s">
        <v>52</v>
      </c>
      <c r="J29" s="15" t="s">
        <v>211</v>
      </c>
      <c r="K29" s="15" t="s">
        <v>212</v>
      </c>
      <c r="L29" s="15" t="s">
        <v>176</v>
      </c>
      <c r="M29" s="15" t="s">
        <v>161</v>
      </c>
      <c r="N29" s="15" t="s">
        <v>172</v>
      </c>
      <c r="O29" s="15" t="s">
        <v>218</v>
      </c>
      <c r="P29" s="15" t="n">
        <v>12.36</v>
      </c>
      <c r="Q29" s="15" t="n">
        <v>12.356</v>
      </c>
      <c r="R29" s="15" t="n">
        <v>508</v>
      </c>
      <c r="S29" s="15" t="s">
        <v>164</v>
      </c>
      <c r="T29" s="15" t="n">
        <v>420</v>
      </c>
      <c r="U29" s="15"/>
      <c r="V29" s="15"/>
      <c r="W29" s="15"/>
      <c r="X29" s="15" t="s">
        <v>165</v>
      </c>
      <c r="Y29" s="15" t="n">
        <v>34</v>
      </c>
      <c r="Z29" s="15" t="s">
        <v>166</v>
      </c>
      <c r="AA29" s="15"/>
      <c r="AB29" s="15" t="n">
        <v>1</v>
      </c>
      <c r="AC29" s="15" t="n">
        <v>0</v>
      </c>
      <c r="AD29" s="15" t="s">
        <v>167</v>
      </c>
      <c r="AE29" s="15" t="s">
        <v>168</v>
      </c>
      <c r="AF29" s="15" t="s">
        <v>169</v>
      </c>
      <c r="AG29" s="15"/>
      <c r="AH29" s="24" t="n">
        <f aca="false">IF(R29="",AM29,R29)</f>
        <v>508</v>
      </c>
      <c r="AI29" s="24" t="n">
        <f aca="false">SUMIFS(Permissions!$G$2:$G$3000,Permissions!$B$2:$B$3000,$A29,Permissions!$I$2:$I$3000,"Complete",Permissions!$R$2:$R$3000,"Yes")</f>
        <v>0</v>
      </c>
      <c r="AJ29" s="24" t="n">
        <f aca="false">SUMIFS(Permissions!$G$2:$G$3000,Permissions!$B$2:$B$3000,$A29,Permissions!$I$2:$I$3000,"Under construction",Permissions!$R$2:$R$3000,"Yes")</f>
        <v>0</v>
      </c>
      <c r="AK29" s="24" t="n">
        <f aca="false">SUMIFS(Permissions!$G$2:$G$3000,Permissions!$B$2:$B$3000,$A29,Permissions!$I$2:$I$3000,"Permitted – not started",Permissions!$R$2:$R$3000,"Yes")</f>
        <v>523</v>
      </c>
      <c r="AL29" s="24" t="n">
        <f aca="false">SUMIFS(Permissions!$G$2:$G$3000,Permissions!$B$2:$B$3000,$A29,Permissions!$I$2:$I$3000,"Stalled",Permissions!$R$2:$R$3000,"Yes")</f>
        <v>0</v>
      </c>
      <c r="AM29" s="24" t="n">
        <f aca="false">AI29+AJ29+AK29+AL29</f>
        <v>523</v>
      </c>
      <c r="AN29" s="24" t="n">
        <f aca="false">SUMIFS(Permissions!$G$2:$G$3000,Permissions!$B$2:$B$3000,$A29,Permissions!$I$2:$I$3000,"Expired – not started",Permissions!$R$2:$R$3000,"Yes")</f>
        <v>0</v>
      </c>
      <c r="AO29" s="24" t="n">
        <f aca="false">SUMIFS(Permissions!$G$2:$G$3000,Permissions!$B$2:$B$3000,$A29,Permissions!$I$2:$I$3000,"In planning",Permissions!$R$2:$R$3000,"Yes")</f>
        <v>0</v>
      </c>
      <c r="AP29" s="24" t="n">
        <f aca="false">IF(R29="",0,MAX(R29-AM29,0))</f>
        <v>0</v>
      </c>
      <c r="AQ29" s="25" t="n">
        <f aca="false">AM29+AP29</f>
        <v>523</v>
      </c>
      <c r="AR29" s="24" t="n">
        <f aca="false">SUMIFS(Permissions!$L$2:$L$3000,Permissions!$B$2:$B$3000,$A29,Permissions!$R$2:$R$3000,"Yes",Permissions!$I$2:$I$3000,"&lt;&gt;Expired – not started",Permissions!$I$2:$I$3000,"&lt;&gt;In planning")</f>
        <v>0</v>
      </c>
      <c r="AS29" s="24" t="n">
        <f aca="false">AQ29-AR29</f>
        <v>523</v>
      </c>
      <c r="AT29" s="26" t="n">
        <f aca="false">SUMIFS(Permissions!$AJ$2:$AJ$3000,Permissions!$B$2:$B$3000,$A29,Permissions!$R$2:$R$3000,"Yes")</f>
        <v>0</v>
      </c>
      <c r="AU29" s="26" t="n">
        <f aca="false">SUMIFS(Permissions!$AK$2:$AK$3000,Permissions!$B$2:$B$3000,$A29,Permissions!$R$2:$R$3000,"Yes")</f>
        <v>0</v>
      </c>
      <c r="AV29" s="26" t="n">
        <f aca="false">SUMIFS(Permissions!$AL$2:$AL$3000,Permissions!$B$2:$B$3000,$A29,Permissions!$R$2:$R$3000,"Yes")</f>
        <v>0</v>
      </c>
      <c r="AW29" s="26" t="n">
        <f aca="false">SUMIFS(Permissions!$AM$2:$AM$3000,Permissions!$B$2:$B$3000,$A29,Permissions!$R$2:$R$3000,"Yes")</f>
        <v>53.2</v>
      </c>
      <c r="AX29" s="26" t="n">
        <f aca="false">SUMIFS(Permissions!$AN$2:$AN$3000,Permissions!$B$2:$B$3000,$A29,Permissions!$R$2:$R$3000,"Yes")</f>
        <v>55.6</v>
      </c>
      <c r="AY29" s="26" t="n">
        <f aca="false">SUMIFS(Permissions!$AO$2:$AO$3000,Permissions!$B$2:$B$3000,$A29,Permissions!$R$2:$R$3000,"Yes")</f>
        <v>414.2</v>
      </c>
      <c r="AZ29" s="24" t="n">
        <f aca="false">COUNTIFS(Permissions!$B$2:$B$3000,$A29,Permissions!$R$2:$R$3000,"Yes")</f>
        <v>1</v>
      </c>
      <c r="BA29" s="24" t="n">
        <f aca="false">SUMIFS(Permissions!$M$2:$M$3000,Permissions!$B$2:$B$3000,$A29,Permissions!$R$2:$R$3000,"Yes")</f>
        <v>0</v>
      </c>
      <c r="BB29" s="24" t="n">
        <f aca="false">SUMIFS(Permissions!$O$2:$O$3000,Permissions!$B$2:$B$3000,$A29,Permissions!$R$2:$R$3000,"Yes")</f>
        <v>0</v>
      </c>
      <c r="BC29" s="27" t="str">
        <f aca="false">IF(AND(AM29&gt;0,AR29&gt;=AM29,AP29=0),"Finished",IF(AR29&gt;0,"Partly built",IF(AM29&gt;0,"Consented – not built","No consent")))</f>
        <v>Consented – not built</v>
      </c>
      <c r="BD29" s="28" t="str">
        <f aca="false">IF(AND(R29&lt;&gt;"",AM29&gt;1.1*R29),"Consented above capacity",IF(AND(LEFT(B29,8)="Planning",AZ29=0),"Consent parcel with no permission",IF(COUNTIF($A$2:$A$3000,$A29)&gt;1,"Duplicate parcel_id","")))</f>
        <v/>
      </c>
    </row>
    <row r="30" customFormat="false" ht="15" hidden="false" customHeight="false" outlineLevel="0" collapsed="false">
      <c r="A30" s="15" t="s">
        <v>219</v>
      </c>
      <c r="B30" s="15" t="s">
        <v>10</v>
      </c>
      <c r="C30" s="15" t="s">
        <v>16</v>
      </c>
      <c r="D30" s="15" t="s">
        <v>52</v>
      </c>
      <c r="E30" s="15" t="s">
        <v>19</v>
      </c>
      <c r="F30" s="15" t="n">
        <v>1</v>
      </c>
      <c r="G30" s="15" t="s">
        <v>158</v>
      </c>
      <c r="H30" s="15" t="n">
        <v>60</v>
      </c>
      <c r="I30" s="15" t="s">
        <v>52</v>
      </c>
      <c r="J30" s="15" t="s">
        <v>211</v>
      </c>
      <c r="K30" s="15" t="s">
        <v>212</v>
      </c>
      <c r="L30" s="15" t="s">
        <v>176</v>
      </c>
      <c r="M30" s="15" t="s">
        <v>161</v>
      </c>
      <c r="N30" s="15" t="s">
        <v>172</v>
      </c>
      <c r="O30" s="15" t="s">
        <v>163</v>
      </c>
      <c r="P30" s="15" t="n">
        <v>1.133</v>
      </c>
      <c r="Q30" s="15" t="n">
        <v>1.133</v>
      </c>
      <c r="R30" s="15" t="n">
        <v>51</v>
      </c>
      <c r="S30" s="15" t="s">
        <v>164</v>
      </c>
      <c r="T30" s="15" t="n">
        <v>39</v>
      </c>
      <c r="U30" s="15"/>
      <c r="V30" s="15"/>
      <c r="W30" s="15"/>
      <c r="X30" s="15" t="s">
        <v>165</v>
      </c>
      <c r="Y30" s="15" t="n">
        <v>34</v>
      </c>
      <c r="Z30" s="15" t="s">
        <v>166</v>
      </c>
      <c r="AA30" s="15"/>
      <c r="AB30" s="15" t="n">
        <v>0</v>
      </c>
      <c r="AC30" s="15" t="n">
        <v>0</v>
      </c>
      <c r="AD30" s="15" t="s">
        <v>167</v>
      </c>
      <c r="AE30" s="15" t="s">
        <v>168</v>
      </c>
      <c r="AF30" s="15" t="s">
        <v>169</v>
      </c>
      <c r="AG30" s="15"/>
      <c r="AH30" s="24" t="n">
        <f aca="false">IF(R30="",AM30,R30)</f>
        <v>51</v>
      </c>
      <c r="AI30" s="24" t="n">
        <f aca="false">SUMIFS(Permissions!$G$2:$G$3000,Permissions!$B$2:$B$3000,$A30,Permissions!$I$2:$I$3000,"Complete",Permissions!$R$2:$R$3000,"Yes")</f>
        <v>0</v>
      </c>
      <c r="AJ30" s="24" t="n">
        <f aca="false">SUMIFS(Permissions!$G$2:$G$3000,Permissions!$B$2:$B$3000,$A30,Permissions!$I$2:$I$3000,"Under construction",Permissions!$R$2:$R$3000,"Yes")</f>
        <v>0</v>
      </c>
      <c r="AK30" s="24" t="n">
        <f aca="false">SUMIFS(Permissions!$G$2:$G$3000,Permissions!$B$2:$B$3000,$A30,Permissions!$I$2:$I$3000,"Permitted – not started",Permissions!$R$2:$R$3000,"Yes")</f>
        <v>0</v>
      </c>
      <c r="AL30" s="24" t="n">
        <f aca="false">SUMIFS(Permissions!$G$2:$G$3000,Permissions!$B$2:$B$3000,$A30,Permissions!$I$2:$I$3000,"Stalled",Permissions!$R$2:$R$3000,"Yes")</f>
        <v>0</v>
      </c>
      <c r="AM30" s="24" t="n">
        <f aca="false">AI30+AJ30+AK30+AL30</f>
        <v>0</v>
      </c>
      <c r="AN30" s="24" t="n">
        <f aca="false">SUMIFS(Permissions!$G$2:$G$3000,Permissions!$B$2:$B$3000,$A30,Permissions!$I$2:$I$3000,"Expired – not started",Permissions!$R$2:$R$3000,"Yes")</f>
        <v>0</v>
      </c>
      <c r="AO30" s="24" t="n">
        <f aca="false">SUMIFS(Permissions!$G$2:$G$3000,Permissions!$B$2:$B$3000,$A30,Permissions!$I$2:$I$3000,"In planning",Permissions!$R$2:$R$3000,"Yes")</f>
        <v>0</v>
      </c>
      <c r="AP30" s="24" t="n">
        <f aca="false">IF(R30="",0,MAX(R30-AM30,0))</f>
        <v>51</v>
      </c>
      <c r="AQ30" s="25" t="n">
        <f aca="false">AM30+AP30</f>
        <v>51</v>
      </c>
      <c r="AR30" s="24" t="n">
        <f aca="false">SUMIFS(Permissions!$L$2:$L$3000,Permissions!$B$2:$B$3000,$A30,Permissions!$R$2:$R$3000,"Yes",Permissions!$I$2:$I$3000,"&lt;&gt;Expired – not started",Permissions!$I$2:$I$3000,"&lt;&gt;In planning")</f>
        <v>0</v>
      </c>
      <c r="AS30" s="24" t="n">
        <f aca="false">AQ30-AR30</f>
        <v>51</v>
      </c>
      <c r="AT30" s="26" t="n">
        <f aca="false">SUMIFS(Permissions!$AJ$2:$AJ$3000,Permissions!$B$2:$B$3000,$A30,Permissions!$R$2:$R$3000,"Yes")</f>
        <v>0</v>
      </c>
      <c r="AU30" s="26" t="n">
        <f aca="false">SUMIFS(Permissions!$AK$2:$AK$3000,Permissions!$B$2:$B$3000,$A30,Permissions!$R$2:$R$3000,"Yes")</f>
        <v>0</v>
      </c>
      <c r="AV30" s="26" t="n">
        <f aca="false">SUMIFS(Permissions!$AL$2:$AL$3000,Permissions!$B$2:$B$3000,$A30,Permissions!$R$2:$R$3000,"Yes")</f>
        <v>0</v>
      </c>
      <c r="AW30" s="26" t="n">
        <f aca="false">SUMIFS(Permissions!$AM$2:$AM$3000,Permissions!$B$2:$B$3000,$A30,Permissions!$R$2:$R$3000,"Yes")</f>
        <v>0</v>
      </c>
      <c r="AX30" s="26" t="n">
        <f aca="false">SUMIFS(Permissions!$AN$2:$AN$3000,Permissions!$B$2:$B$3000,$A30,Permissions!$R$2:$R$3000,"Yes")</f>
        <v>0</v>
      </c>
      <c r="AY30" s="26" t="n">
        <f aca="false">SUMIFS(Permissions!$AO$2:$AO$3000,Permissions!$B$2:$B$3000,$A30,Permissions!$R$2:$R$3000,"Yes")</f>
        <v>0</v>
      </c>
      <c r="AZ30" s="24" t="n">
        <f aca="false">COUNTIFS(Permissions!$B$2:$B$3000,$A30,Permissions!$R$2:$R$3000,"Yes")</f>
        <v>0</v>
      </c>
      <c r="BA30" s="24" t="n">
        <f aca="false">SUMIFS(Permissions!$M$2:$M$3000,Permissions!$B$2:$B$3000,$A30,Permissions!$R$2:$R$3000,"Yes")</f>
        <v>0</v>
      </c>
      <c r="BB30" s="24" t="n">
        <f aca="false">SUMIFS(Permissions!$O$2:$O$3000,Permissions!$B$2:$B$3000,$A30,Permissions!$R$2:$R$3000,"Yes")</f>
        <v>0</v>
      </c>
      <c r="BC30" s="27" t="str">
        <f aca="false">IF(AND(AM30&gt;0,AR30&gt;=AM30,AP30=0),"Finished",IF(AR30&gt;0,"Partly built",IF(AM30&gt;0,"Consented – not built","No consent")))</f>
        <v>No consent</v>
      </c>
      <c r="BD30" s="28" t="str">
        <f aca="false">IF(AND(R30&lt;&gt;"",AM30&gt;1.1*R30),"Consented above capacity",IF(AND(LEFT(B30,8)="Planning",AZ30=0),"Consent parcel with no permission",IF(COUNTIF($A$2:$A$3000,$A30)&gt;1,"Duplicate parcel_id","")))</f>
        <v/>
      </c>
    </row>
    <row r="31" customFormat="false" ht="15" hidden="false" customHeight="false" outlineLevel="0" collapsed="false">
      <c r="A31" s="15" t="s">
        <v>220</v>
      </c>
      <c r="B31" s="15" t="s">
        <v>10</v>
      </c>
      <c r="C31" s="15" t="s">
        <v>16</v>
      </c>
      <c r="D31" s="15" t="s">
        <v>52</v>
      </c>
      <c r="E31" s="15" t="s">
        <v>19</v>
      </c>
      <c r="F31" s="15" t="n">
        <v>1</v>
      </c>
      <c r="G31" s="15" t="s">
        <v>158</v>
      </c>
      <c r="H31" s="15" t="n">
        <v>61</v>
      </c>
      <c r="I31" s="15" t="s">
        <v>52</v>
      </c>
      <c r="J31" s="15" t="s">
        <v>211</v>
      </c>
      <c r="K31" s="15" t="s">
        <v>212</v>
      </c>
      <c r="L31" s="15" t="s">
        <v>176</v>
      </c>
      <c r="M31" s="15" t="s">
        <v>161</v>
      </c>
      <c r="N31" s="15" t="s">
        <v>172</v>
      </c>
      <c r="O31" s="15" t="s">
        <v>163</v>
      </c>
      <c r="P31" s="15" t="n">
        <v>2.467</v>
      </c>
      <c r="Q31" s="15" t="n">
        <v>2.467</v>
      </c>
      <c r="R31" s="15" t="n">
        <v>137</v>
      </c>
      <c r="S31" s="15" t="s">
        <v>164</v>
      </c>
      <c r="T31" s="15" t="n">
        <v>84</v>
      </c>
      <c r="U31" s="15"/>
      <c r="V31" s="15"/>
      <c r="W31" s="15"/>
      <c r="X31" s="15" t="s">
        <v>165</v>
      </c>
      <c r="Y31" s="15" t="n">
        <v>34</v>
      </c>
      <c r="Z31" s="15" t="s">
        <v>166</v>
      </c>
      <c r="AA31" s="15"/>
      <c r="AB31" s="15" t="n">
        <v>0</v>
      </c>
      <c r="AC31" s="15" t="n">
        <v>0</v>
      </c>
      <c r="AD31" s="15" t="s">
        <v>186</v>
      </c>
      <c r="AE31" s="15" t="s">
        <v>168</v>
      </c>
      <c r="AF31" s="15" t="s">
        <v>169</v>
      </c>
      <c r="AG31" s="15"/>
      <c r="AH31" s="24" t="n">
        <f aca="false">IF(R31="",AM31,R31)</f>
        <v>137</v>
      </c>
      <c r="AI31" s="24" t="n">
        <f aca="false">SUMIFS(Permissions!$G$2:$G$3000,Permissions!$B$2:$B$3000,$A31,Permissions!$I$2:$I$3000,"Complete",Permissions!$R$2:$R$3000,"Yes")</f>
        <v>0</v>
      </c>
      <c r="AJ31" s="24" t="n">
        <f aca="false">SUMIFS(Permissions!$G$2:$G$3000,Permissions!$B$2:$B$3000,$A31,Permissions!$I$2:$I$3000,"Under construction",Permissions!$R$2:$R$3000,"Yes")</f>
        <v>0</v>
      </c>
      <c r="AK31" s="24" t="n">
        <f aca="false">SUMIFS(Permissions!$G$2:$G$3000,Permissions!$B$2:$B$3000,$A31,Permissions!$I$2:$I$3000,"Permitted – not started",Permissions!$R$2:$R$3000,"Yes")</f>
        <v>0</v>
      </c>
      <c r="AL31" s="24" t="n">
        <f aca="false">SUMIFS(Permissions!$G$2:$G$3000,Permissions!$B$2:$B$3000,$A31,Permissions!$I$2:$I$3000,"Stalled",Permissions!$R$2:$R$3000,"Yes")</f>
        <v>0</v>
      </c>
      <c r="AM31" s="24" t="n">
        <f aca="false">AI31+AJ31+AK31+AL31</f>
        <v>0</v>
      </c>
      <c r="AN31" s="24" t="n">
        <f aca="false">SUMIFS(Permissions!$G$2:$G$3000,Permissions!$B$2:$B$3000,$A31,Permissions!$I$2:$I$3000,"Expired – not started",Permissions!$R$2:$R$3000,"Yes")</f>
        <v>137</v>
      </c>
      <c r="AO31" s="24" t="n">
        <f aca="false">SUMIFS(Permissions!$G$2:$G$3000,Permissions!$B$2:$B$3000,$A31,Permissions!$I$2:$I$3000,"In planning",Permissions!$R$2:$R$3000,"Yes")</f>
        <v>0</v>
      </c>
      <c r="AP31" s="24" t="n">
        <f aca="false">IF(R31="",0,MAX(R31-AM31,0))</f>
        <v>137</v>
      </c>
      <c r="AQ31" s="25" t="n">
        <f aca="false">AM31+AP31</f>
        <v>137</v>
      </c>
      <c r="AR31" s="24" t="n">
        <f aca="false">SUMIFS(Permissions!$L$2:$L$3000,Permissions!$B$2:$B$3000,$A31,Permissions!$R$2:$R$3000,"Yes",Permissions!$I$2:$I$3000,"&lt;&gt;Expired – not started",Permissions!$I$2:$I$3000,"&lt;&gt;In planning")</f>
        <v>0</v>
      </c>
      <c r="AS31" s="24" t="n">
        <f aca="false">AQ31-AR31</f>
        <v>137</v>
      </c>
      <c r="AT31" s="26" t="n">
        <f aca="false">SUMIFS(Permissions!$AJ$2:$AJ$3000,Permissions!$B$2:$B$3000,$A31,Permissions!$R$2:$R$3000,"Yes")</f>
        <v>0</v>
      </c>
      <c r="AU31" s="26" t="n">
        <f aca="false">SUMIFS(Permissions!$AK$2:$AK$3000,Permissions!$B$2:$B$3000,$A31,Permissions!$R$2:$R$3000,"Yes")</f>
        <v>0</v>
      </c>
      <c r="AV31" s="26" t="n">
        <f aca="false">SUMIFS(Permissions!$AL$2:$AL$3000,Permissions!$B$2:$B$3000,$A31,Permissions!$R$2:$R$3000,"Yes")</f>
        <v>0</v>
      </c>
      <c r="AW31" s="26" t="n">
        <f aca="false">SUMIFS(Permissions!$AM$2:$AM$3000,Permissions!$B$2:$B$3000,$A31,Permissions!$R$2:$R$3000,"Yes")</f>
        <v>0</v>
      </c>
      <c r="AX31" s="26" t="n">
        <f aca="false">SUMIFS(Permissions!$AN$2:$AN$3000,Permissions!$B$2:$B$3000,$A31,Permissions!$R$2:$R$3000,"Yes")</f>
        <v>0</v>
      </c>
      <c r="AY31" s="26" t="n">
        <f aca="false">SUMIFS(Permissions!$AO$2:$AO$3000,Permissions!$B$2:$B$3000,$A31,Permissions!$R$2:$R$3000,"Yes")</f>
        <v>0</v>
      </c>
      <c r="AZ31" s="24" t="n">
        <f aca="false">COUNTIFS(Permissions!$B$2:$B$3000,$A31,Permissions!$R$2:$R$3000,"Yes")</f>
        <v>1</v>
      </c>
      <c r="BA31" s="24" t="n">
        <f aca="false">SUMIFS(Permissions!$M$2:$M$3000,Permissions!$B$2:$B$3000,$A31,Permissions!$R$2:$R$3000,"Yes")</f>
        <v>0</v>
      </c>
      <c r="BB31" s="24" t="n">
        <f aca="false">SUMIFS(Permissions!$O$2:$O$3000,Permissions!$B$2:$B$3000,$A31,Permissions!$R$2:$R$3000,"Yes")</f>
        <v>0</v>
      </c>
      <c r="BC31" s="27" t="str">
        <f aca="false">IF(AND(AM31&gt;0,AR31&gt;=AM31,AP31=0),"Finished",IF(AR31&gt;0,"Partly built",IF(AM31&gt;0,"Consented – not built","No consent")))</f>
        <v>No consent</v>
      </c>
      <c r="BD31" s="28" t="str">
        <f aca="false">IF(AND(R31&lt;&gt;"",AM31&gt;1.1*R31),"Consented above capacity",IF(AND(LEFT(B31,8)="Planning",AZ31=0),"Consent parcel with no permission",IF(COUNTIF($A$2:$A$3000,$A31)&gt;1,"Duplicate parcel_id","")))</f>
        <v/>
      </c>
    </row>
    <row r="32" customFormat="false" ht="15" hidden="false" customHeight="false" outlineLevel="0" collapsed="false">
      <c r="A32" s="15" t="s">
        <v>221</v>
      </c>
      <c r="B32" s="15" t="s">
        <v>10</v>
      </c>
      <c r="C32" s="15" t="s">
        <v>16</v>
      </c>
      <c r="D32" s="15" t="s">
        <v>52</v>
      </c>
      <c r="E32" s="15" t="s">
        <v>19</v>
      </c>
      <c r="F32" s="15" t="n">
        <v>1</v>
      </c>
      <c r="G32" s="15" t="s">
        <v>158</v>
      </c>
      <c r="H32" s="15" t="n">
        <v>62</v>
      </c>
      <c r="I32" s="15" t="s">
        <v>52</v>
      </c>
      <c r="J32" s="15" t="s">
        <v>211</v>
      </c>
      <c r="K32" s="15" t="s">
        <v>212</v>
      </c>
      <c r="L32" s="15" t="s">
        <v>176</v>
      </c>
      <c r="M32" s="15" t="s">
        <v>171</v>
      </c>
      <c r="N32" s="15" t="s">
        <v>172</v>
      </c>
      <c r="O32" s="15" t="s">
        <v>163</v>
      </c>
      <c r="P32" s="15" t="n">
        <v>1.582</v>
      </c>
      <c r="Q32" s="15" t="n">
        <v>1.582</v>
      </c>
      <c r="R32" s="15" t="n">
        <v>71</v>
      </c>
      <c r="S32" s="15" t="s">
        <v>164</v>
      </c>
      <c r="T32" s="15" t="n">
        <v>54</v>
      </c>
      <c r="U32" s="15"/>
      <c r="V32" s="15"/>
      <c r="W32" s="15"/>
      <c r="X32" s="15" t="s">
        <v>165</v>
      </c>
      <c r="Y32" s="15" t="n">
        <v>34</v>
      </c>
      <c r="Z32" s="15" t="s">
        <v>166</v>
      </c>
      <c r="AA32" s="15"/>
      <c r="AB32" s="15" t="n">
        <v>0</v>
      </c>
      <c r="AC32" s="15" t="n">
        <v>0</v>
      </c>
      <c r="AD32" s="15" t="s">
        <v>167</v>
      </c>
      <c r="AE32" s="15" t="s">
        <v>168</v>
      </c>
      <c r="AF32" s="15" t="s">
        <v>169</v>
      </c>
      <c r="AG32" s="15"/>
      <c r="AH32" s="24" t="n">
        <f aca="false">IF(R32="",AM32,R32)</f>
        <v>71</v>
      </c>
      <c r="AI32" s="24" t="n">
        <f aca="false">SUMIFS(Permissions!$G$2:$G$3000,Permissions!$B$2:$B$3000,$A32,Permissions!$I$2:$I$3000,"Complete",Permissions!$R$2:$R$3000,"Yes")</f>
        <v>0</v>
      </c>
      <c r="AJ32" s="24" t="n">
        <f aca="false">SUMIFS(Permissions!$G$2:$G$3000,Permissions!$B$2:$B$3000,$A32,Permissions!$I$2:$I$3000,"Under construction",Permissions!$R$2:$R$3000,"Yes")</f>
        <v>0</v>
      </c>
      <c r="AK32" s="24" t="n">
        <f aca="false">SUMIFS(Permissions!$G$2:$G$3000,Permissions!$B$2:$B$3000,$A32,Permissions!$I$2:$I$3000,"Permitted – not started",Permissions!$R$2:$R$3000,"Yes")</f>
        <v>76</v>
      </c>
      <c r="AL32" s="24" t="n">
        <f aca="false">SUMIFS(Permissions!$G$2:$G$3000,Permissions!$B$2:$B$3000,$A32,Permissions!$I$2:$I$3000,"Stalled",Permissions!$R$2:$R$3000,"Yes")</f>
        <v>0</v>
      </c>
      <c r="AM32" s="24" t="n">
        <f aca="false">AI32+AJ32+AK32+AL32</f>
        <v>76</v>
      </c>
      <c r="AN32" s="24" t="n">
        <f aca="false">SUMIFS(Permissions!$G$2:$G$3000,Permissions!$B$2:$B$3000,$A32,Permissions!$I$2:$I$3000,"Expired – not started",Permissions!$R$2:$R$3000,"Yes")</f>
        <v>0</v>
      </c>
      <c r="AO32" s="24" t="n">
        <f aca="false">SUMIFS(Permissions!$G$2:$G$3000,Permissions!$B$2:$B$3000,$A32,Permissions!$I$2:$I$3000,"In planning",Permissions!$R$2:$R$3000,"Yes")</f>
        <v>0</v>
      </c>
      <c r="AP32" s="24" t="n">
        <f aca="false">IF(R32="",0,MAX(R32-AM32,0))</f>
        <v>0</v>
      </c>
      <c r="AQ32" s="25" t="n">
        <f aca="false">AM32+AP32</f>
        <v>76</v>
      </c>
      <c r="AR32" s="24" t="n">
        <f aca="false">SUMIFS(Permissions!$L$2:$L$3000,Permissions!$B$2:$B$3000,$A32,Permissions!$R$2:$R$3000,"Yes",Permissions!$I$2:$I$3000,"&lt;&gt;Expired – not started",Permissions!$I$2:$I$3000,"&lt;&gt;In planning")</f>
        <v>0</v>
      </c>
      <c r="AS32" s="24" t="n">
        <f aca="false">AQ32-AR32</f>
        <v>76</v>
      </c>
      <c r="AT32" s="26" t="n">
        <f aca="false">SUMIFS(Permissions!$AJ$2:$AJ$3000,Permissions!$B$2:$B$3000,$A32,Permissions!$R$2:$R$3000,"Yes")</f>
        <v>0</v>
      </c>
      <c r="AU32" s="26" t="n">
        <f aca="false">SUMIFS(Permissions!$AK$2:$AK$3000,Permissions!$B$2:$B$3000,$A32,Permissions!$R$2:$R$3000,"Yes")</f>
        <v>0</v>
      </c>
      <c r="AV32" s="26" t="n">
        <f aca="false">SUMIFS(Permissions!$AL$2:$AL$3000,Permissions!$B$2:$B$3000,$A32,Permissions!$R$2:$R$3000,"Yes")</f>
        <v>20.9</v>
      </c>
      <c r="AW32" s="26" t="n">
        <f aca="false">SUMIFS(Permissions!$AM$2:$AM$3000,Permissions!$B$2:$B$3000,$A32,Permissions!$R$2:$R$3000,"Yes")</f>
        <v>55.1</v>
      </c>
      <c r="AX32" s="26" t="n">
        <f aca="false">SUMIFS(Permissions!$AN$2:$AN$3000,Permissions!$B$2:$B$3000,$A32,Permissions!$R$2:$R$3000,"Yes")</f>
        <v>0</v>
      </c>
      <c r="AY32" s="26" t="n">
        <f aca="false">SUMIFS(Permissions!$AO$2:$AO$3000,Permissions!$B$2:$B$3000,$A32,Permissions!$R$2:$R$3000,"Yes")</f>
        <v>0</v>
      </c>
      <c r="AZ32" s="24" t="n">
        <f aca="false">COUNTIFS(Permissions!$B$2:$B$3000,$A32,Permissions!$R$2:$R$3000,"Yes")</f>
        <v>1</v>
      </c>
      <c r="BA32" s="24" t="n">
        <f aca="false">SUMIFS(Permissions!$M$2:$M$3000,Permissions!$B$2:$B$3000,$A32,Permissions!$R$2:$R$3000,"Yes")</f>
        <v>0</v>
      </c>
      <c r="BB32" s="24" t="n">
        <f aca="false">SUMIFS(Permissions!$O$2:$O$3000,Permissions!$B$2:$B$3000,$A32,Permissions!$R$2:$R$3000,"Yes")</f>
        <v>0</v>
      </c>
      <c r="BC32" s="27" t="str">
        <f aca="false">IF(AND(AM32&gt;0,AR32&gt;=AM32,AP32=0),"Finished",IF(AR32&gt;0,"Partly built",IF(AM32&gt;0,"Consented – not built","No consent")))</f>
        <v>Consented – not built</v>
      </c>
      <c r="BD32" s="28" t="str">
        <f aca="false">IF(AND(R32&lt;&gt;"",AM32&gt;1.1*R32),"Consented above capacity",IF(AND(LEFT(B32,8)="Planning",AZ32=0),"Consent parcel with no permission",IF(COUNTIF($A$2:$A$3000,$A32)&gt;1,"Duplicate parcel_id","")))</f>
        <v/>
      </c>
    </row>
    <row r="33" customFormat="false" ht="15" hidden="false" customHeight="false" outlineLevel="0" collapsed="false">
      <c r="A33" s="15" t="s">
        <v>222</v>
      </c>
      <c r="B33" s="15" t="s">
        <v>10</v>
      </c>
      <c r="C33" s="15" t="s">
        <v>16</v>
      </c>
      <c r="D33" s="15" t="s">
        <v>52</v>
      </c>
      <c r="E33" s="15" t="s">
        <v>19</v>
      </c>
      <c r="F33" s="15" t="n">
        <v>1</v>
      </c>
      <c r="G33" s="15" t="s">
        <v>158</v>
      </c>
      <c r="H33" s="15" t="n">
        <v>63</v>
      </c>
      <c r="I33" s="15" t="s">
        <v>52</v>
      </c>
      <c r="J33" s="15" t="s">
        <v>211</v>
      </c>
      <c r="K33" s="15" t="s">
        <v>212</v>
      </c>
      <c r="L33" s="15" t="s">
        <v>160</v>
      </c>
      <c r="M33" s="15" t="s">
        <v>161</v>
      </c>
      <c r="N33" s="15" t="s">
        <v>162</v>
      </c>
      <c r="O33" s="15" t="s">
        <v>163</v>
      </c>
      <c r="P33" s="15" t="n">
        <v>0.467</v>
      </c>
      <c r="Q33" s="15" t="n">
        <v>0.468</v>
      </c>
      <c r="R33" s="15" t="n">
        <v>21</v>
      </c>
      <c r="S33" s="15" t="s">
        <v>164</v>
      </c>
      <c r="T33" s="15" t="n">
        <v>16</v>
      </c>
      <c r="U33" s="15"/>
      <c r="V33" s="15"/>
      <c r="W33" s="15"/>
      <c r="X33" s="15" t="s">
        <v>165</v>
      </c>
      <c r="Y33" s="15" t="n">
        <v>34</v>
      </c>
      <c r="Z33" s="15" t="s">
        <v>166</v>
      </c>
      <c r="AA33" s="15"/>
      <c r="AB33" s="15" t="n">
        <v>0</v>
      </c>
      <c r="AC33" s="15" t="n">
        <v>0</v>
      </c>
      <c r="AD33" s="15" t="s">
        <v>167</v>
      </c>
      <c r="AE33" s="15" t="s">
        <v>168</v>
      </c>
      <c r="AF33" s="15" t="s">
        <v>169</v>
      </c>
      <c r="AG33" s="15"/>
      <c r="AH33" s="24" t="n">
        <f aca="false">IF(R33="",AM33,R33)</f>
        <v>21</v>
      </c>
      <c r="AI33" s="24" t="n">
        <f aca="false">SUMIFS(Permissions!$G$2:$G$3000,Permissions!$B$2:$B$3000,$A33,Permissions!$I$2:$I$3000,"Complete",Permissions!$R$2:$R$3000,"Yes")</f>
        <v>0</v>
      </c>
      <c r="AJ33" s="24" t="n">
        <f aca="false">SUMIFS(Permissions!$G$2:$G$3000,Permissions!$B$2:$B$3000,$A33,Permissions!$I$2:$I$3000,"Under construction",Permissions!$R$2:$R$3000,"Yes")</f>
        <v>0</v>
      </c>
      <c r="AK33" s="24" t="n">
        <f aca="false">SUMIFS(Permissions!$G$2:$G$3000,Permissions!$B$2:$B$3000,$A33,Permissions!$I$2:$I$3000,"Permitted – not started",Permissions!$R$2:$R$3000,"Yes")</f>
        <v>0</v>
      </c>
      <c r="AL33" s="24" t="n">
        <f aca="false">SUMIFS(Permissions!$G$2:$G$3000,Permissions!$B$2:$B$3000,$A33,Permissions!$I$2:$I$3000,"Stalled",Permissions!$R$2:$R$3000,"Yes")</f>
        <v>0</v>
      </c>
      <c r="AM33" s="24" t="n">
        <f aca="false">AI33+AJ33+AK33+AL33</f>
        <v>0</v>
      </c>
      <c r="AN33" s="24" t="n">
        <f aca="false">SUMIFS(Permissions!$G$2:$G$3000,Permissions!$B$2:$B$3000,$A33,Permissions!$I$2:$I$3000,"Expired – not started",Permissions!$R$2:$R$3000,"Yes")</f>
        <v>0</v>
      </c>
      <c r="AO33" s="24" t="n">
        <f aca="false">SUMIFS(Permissions!$G$2:$G$3000,Permissions!$B$2:$B$3000,$A33,Permissions!$I$2:$I$3000,"In planning",Permissions!$R$2:$R$3000,"Yes")</f>
        <v>0</v>
      </c>
      <c r="AP33" s="24" t="n">
        <f aca="false">IF(R33="",0,MAX(R33-AM33,0))</f>
        <v>21</v>
      </c>
      <c r="AQ33" s="25" t="n">
        <f aca="false">AM33+AP33</f>
        <v>21</v>
      </c>
      <c r="AR33" s="24" t="n">
        <f aca="false">SUMIFS(Permissions!$L$2:$L$3000,Permissions!$B$2:$B$3000,$A33,Permissions!$R$2:$R$3000,"Yes",Permissions!$I$2:$I$3000,"&lt;&gt;Expired – not started",Permissions!$I$2:$I$3000,"&lt;&gt;In planning")</f>
        <v>0</v>
      </c>
      <c r="AS33" s="24" t="n">
        <f aca="false">AQ33-AR33</f>
        <v>21</v>
      </c>
      <c r="AT33" s="26" t="n">
        <f aca="false">SUMIFS(Permissions!$AJ$2:$AJ$3000,Permissions!$B$2:$B$3000,$A33,Permissions!$R$2:$R$3000,"Yes")</f>
        <v>0</v>
      </c>
      <c r="AU33" s="26" t="n">
        <f aca="false">SUMIFS(Permissions!$AK$2:$AK$3000,Permissions!$B$2:$B$3000,$A33,Permissions!$R$2:$R$3000,"Yes")</f>
        <v>0</v>
      </c>
      <c r="AV33" s="26" t="n">
        <f aca="false">SUMIFS(Permissions!$AL$2:$AL$3000,Permissions!$B$2:$B$3000,$A33,Permissions!$R$2:$R$3000,"Yes")</f>
        <v>0</v>
      </c>
      <c r="AW33" s="26" t="n">
        <f aca="false">SUMIFS(Permissions!$AM$2:$AM$3000,Permissions!$B$2:$B$3000,$A33,Permissions!$R$2:$R$3000,"Yes")</f>
        <v>0</v>
      </c>
      <c r="AX33" s="26" t="n">
        <f aca="false">SUMIFS(Permissions!$AN$2:$AN$3000,Permissions!$B$2:$B$3000,$A33,Permissions!$R$2:$R$3000,"Yes")</f>
        <v>0</v>
      </c>
      <c r="AY33" s="26" t="n">
        <f aca="false">SUMIFS(Permissions!$AO$2:$AO$3000,Permissions!$B$2:$B$3000,$A33,Permissions!$R$2:$R$3000,"Yes")</f>
        <v>0</v>
      </c>
      <c r="AZ33" s="24" t="n">
        <f aca="false">COUNTIFS(Permissions!$B$2:$B$3000,$A33,Permissions!$R$2:$R$3000,"Yes")</f>
        <v>0</v>
      </c>
      <c r="BA33" s="24" t="n">
        <f aca="false">SUMIFS(Permissions!$M$2:$M$3000,Permissions!$B$2:$B$3000,$A33,Permissions!$R$2:$R$3000,"Yes")</f>
        <v>0</v>
      </c>
      <c r="BB33" s="24" t="n">
        <f aca="false">SUMIFS(Permissions!$O$2:$O$3000,Permissions!$B$2:$B$3000,$A33,Permissions!$R$2:$R$3000,"Yes")</f>
        <v>0</v>
      </c>
      <c r="BC33" s="27" t="str">
        <f aca="false">IF(AND(AM33&gt;0,AR33&gt;=AM33,AP33=0),"Finished",IF(AR33&gt;0,"Partly built",IF(AM33&gt;0,"Consented – not built","No consent")))</f>
        <v>No consent</v>
      </c>
      <c r="BD33" s="28" t="str">
        <f aca="false">IF(AND(R33&lt;&gt;"",AM33&gt;1.1*R33),"Consented above capacity",IF(AND(LEFT(B33,8)="Planning",AZ33=0),"Consent parcel with no permission",IF(COUNTIF($A$2:$A$3000,$A33)&gt;1,"Duplicate parcel_id","")))</f>
        <v/>
      </c>
    </row>
    <row r="34" customFormat="false" ht="15" hidden="false" customHeight="false" outlineLevel="0" collapsed="false">
      <c r="A34" s="15" t="s">
        <v>223</v>
      </c>
      <c r="B34" s="15" t="s">
        <v>10</v>
      </c>
      <c r="C34" s="15" t="s">
        <v>16</v>
      </c>
      <c r="D34" s="15" t="s">
        <v>52</v>
      </c>
      <c r="E34" s="15" t="s">
        <v>19</v>
      </c>
      <c r="F34" s="15" t="n">
        <v>1</v>
      </c>
      <c r="G34" s="15" t="s">
        <v>158</v>
      </c>
      <c r="H34" s="15" t="n">
        <v>65</v>
      </c>
      <c r="I34" s="15" t="s">
        <v>52</v>
      </c>
      <c r="J34" s="15" t="s">
        <v>211</v>
      </c>
      <c r="K34" s="15" t="s">
        <v>212</v>
      </c>
      <c r="L34" s="15" t="s">
        <v>176</v>
      </c>
      <c r="M34" s="15" t="s">
        <v>161</v>
      </c>
      <c r="N34" s="15" t="s">
        <v>172</v>
      </c>
      <c r="O34" s="15" t="s">
        <v>163</v>
      </c>
      <c r="P34" s="15" t="n">
        <v>1.181</v>
      </c>
      <c r="Q34" s="15" t="n">
        <v>1.181</v>
      </c>
      <c r="R34" s="15" t="n">
        <v>53</v>
      </c>
      <c r="S34" s="15" t="s">
        <v>164</v>
      </c>
      <c r="T34" s="15" t="n">
        <v>40</v>
      </c>
      <c r="U34" s="15"/>
      <c r="V34" s="15"/>
      <c r="W34" s="15"/>
      <c r="X34" s="15" t="s">
        <v>165</v>
      </c>
      <c r="Y34" s="15" t="n">
        <v>34</v>
      </c>
      <c r="Z34" s="15" t="s">
        <v>166</v>
      </c>
      <c r="AA34" s="15"/>
      <c r="AB34" s="15" t="n">
        <v>0</v>
      </c>
      <c r="AC34" s="15" t="n">
        <v>0</v>
      </c>
      <c r="AD34" s="15" t="s">
        <v>167</v>
      </c>
      <c r="AE34" s="15" t="s">
        <v>168</v>
      </c>
      <c r="AF34" s="15" t="s">
        <v>169</v>
      </c>
      <c r="AG34" s="15"/>
      <c r="AH34" s="24" t="n">
        <f aca="false">IF(R34="",AM34,R34)</f>
        <v>53</v>
      </c>
      <c r="AI34" s="24" t="n">
        <f aca="false">SUMIFS(Permissions!$G$2:$G$3000,Permissions!$B$2:$B$3000,$A34,Permissions!$I$2:$I$3000,"Complete",Permissions!$R$2:$R$3000,"Yes")</f>
        <v>0</v>
      </c>
      <c r="AJ34" s="24" t="n">
        <f aca="false">SUMIFS(Permissions!$G$2:$G$3000,Permissions!$B$2:$B$3000,$A34,Permissions!$I$2:$I$3000,"Under construction",Permissions!$R$2:$R$3000,"Yes")</f>
        <v>0</v>
      </c>
      <c r="AK34" s="24" t="n">
        <f aca="false">SUMIFS(Permissions!$G$2:$G$3000,Permissions!$B$2:$B$3000,$A34,Permissions!$I$2:$I$3000,"Permitted – not started",Permissions!$R$2:$R$3000,"Yes")</f>
        <v>0</v>
      </c>
      <c r="AL34" s="24" t="n">
        <f aca="false">SUMIFS(Permissions!$G$2:$G$3000,Permissions!$B$2:$B$3000,$A34,Permissions!$I$2:$I$3000,"Stalled",Permissions!$R$2:$R$3000,"Yes")</f>
        <v>0</v>
      </c>
      <c r="AM34" s="24" t="n">
        <f aca="false">AI34+AJ34+AK34+AL34</f>
        <v>0</v>
      </c>
      <c r="AN34" s="24" t="n">
        <f aca="false">SUMIFS(Permissions!$G$2:$G$3000,Permissions!$B$2:$B$3000,$A34,Permissions!$I$2:$I$3000,"Expired – not started",Permissions!$R$2:$R$3000,"Yes")</f>
        <v>0</v>
      </c>
      <c r="AO34" s="24" t="n">
        <f aca="false">SUMIFS(Permissions!$G$2:$G$3000,Permissions!$B$2:$B$3000,$A34,Permissions!$I$2:$I$3000,"In planning",Permissions!$R$2:$R$3000,"Yes")</f>
        <v>0</v>
      </c>
      <c r="AP34" s="24" t="n">
        <f aca="false">IF(R34="",0,MAX(R34-AM34,0))</f>
        <v>53</v>
      </c>
      <c r="AQ34" s="25" t="n">
        <f aca="false">AM34+AP34</f>
        <v>53</v>
      </c>
      <c r="AR34" s="24" t="n">
        <f aca="false">SUMIFS(Permissions!$L$2:$L$3000,Permissions!$B$2:$B$3000,$A34,Permissions!$R$2:$R$3000,"Yes",Permissions!$I$2:$I$3000,"&lt;&gt;Expired – not started",Permissions!$I$2:$I$3000,"&lt;&gt;In planning")</f>
        <v>0</v>
      </c>
      <c r="AS34" s="24" t="n">
        <f aca="false">AQ34-AR34</f>
        <v>53</v>
      </c>
      <c r="AT34" s="26" t="n">
        <f aca="false">SUMIFS(Permissions!$AJ$2:$AJ$3000,Permissions!$B$2:$B$3000,$A34,Permissions!$R$2:$R$3000,"Yes")</f>
        <v>0</v>
      </c>
      <c r="AU34" s="26" t="n">
        <f aca="false">SUMIFS(Permissions!$AK$2:$AK$3000,Permissions!$B$2:$B$3000,$A34,Permissions!$R$2:$R$3000,"Yes")</f>
        <v>0</v>
      </c>
      <c r="AV34" s="26" t="n">
        <f aca="false">SUMIFS(Permissions!$AL$2:$AL$3000,Permissions!$B$2:$B$3000,$A34,Permissions!$R$2:$R$3000,"Yes")</f>
        <v>0</v>
      </c>
      <c r="AW34" s="26" t="n">
        <f aca="false">SUMIFS(Permissions!$AM$2:$AM$3000,Permissions!$B$2:$B$3000,$A34,Permissions!$R$2:$R$3000,"Yes")</f>
        <v>0</v>
      </c>
      <c r="AX34" s="26" t="n">
        <f aca="false">SUMIFS(Permissions!$AN$2:$AN$3000,Permissions!$B$2:$B$3000,$A34,Permissions!$R$2:$R$3000,"Yes")</f>
        <v>0</v>
      </c>
      <c r="AY34" s="26" t="n">
        <f aca="false">SUMIFS(Permissions!$AO$2:$AO$3000,Permissions!$B$2:$B$3000,$A34,Permissions!$R$2:$R$3000,"Yes")</f>
        <v>0</v>
      </c>
      <c r="AZ34" s="24" t="n">
        <f aca="false">COUNTIFS(Permissions!$B$2:$B$3000,$A34,Permissions!$R$2:$R$3000,"Yes")</f>
        <v>0</v>
      </c>
      <c r="BA34" s="24" t="n">
        <f aca="false">SUMIFS(Permissions!$M$2:$M$3000,Permissions!$B$2:$B$3000,$A34,Permissions!$R$2:$R$3000,"Yes")</f>
        <v>0</v>
      </c>
      <c r="BB34" s="24" t="n">
        <f aca="false">SUMIFS(Permissions!$O$2:$O$3000,Permissions!$B$2:$B$3000,$A34,Permissions!$R$2:$R$3000,"Yes")</f>
        <v>0</v>
      </c>
      <c r="BC34" s="27" t="str">
        <f aca="false">IF(AND(AM34&gt;0,AR34&gt;=AM34,AP34=0),"Finished",IF(AR34&gt;0,"Partly built",IF(AM34&gt;0,"Consented – not built","No consent")))</f>
        <v>No consent</v>
      </c>
      <c r="BD34" s="28" t="str">
        <f aca="false">IF(AND(R34&lt;&gt;"",AM34&gt;1.1*R34),"Consented above capacity",IF(AND(LEFT(B34,8)="Planning",AZ34=0),"Consent parcel with no permission",IF(COUNTIF($A$2:$A$3000,$A34)&gt;1,"Duplicate parcel_id","")))</f>
        <v/>
      </c>
    </row>
    <row r="35" customFormat="false" ht="15" hidden="false" customHeight="false" outlineLevel="0" collapsed="false">
      <c r="A35" s="15" t="s">
        <v>224</v>
      </c>
      <c r="B35" s="15" t="s">
        <v>10</v>
      </c>
      <c r="C35" s="15" t="s">
        <v>16</v>
      </c>
      <c r="D35" s="15" t="s">
        <v>52</v>
      </c>
      <c r="E35" s="15" t="s">
        <v>19</v>
      </c>
      <c r="F35" s="15" t="n">
        <v>1</v>
      </c>
      <c r="G35" s="15" t="s">
        <v>158</v>
      </c>
      <c r="H35" s="15" t="n">
        <v>66</v>
      </c>
      <c r="I35" s="15" t="s">
        <v>52</v>
      </c>
      <c r="J35" s="15" t="s">
        <v>211</v>
      </c>
      <c r="K35" s="15" t="s">
        <v>212</v>
      </c>
      <c r="L35" s="15" t="s">
        <v>176</v>
      </c>
      <c r="M35" s="15" t="s">
        <v>161</v>
      </c>
      <c r="N35" s="15" t="s">
        <v>172</v>
      </c>
      <c r="O35" s="15" t="s">
        <v>185</v>
      </c>
      <c r="P35" s="15" t="n">
        <v>0.191</v>
      </c>
      <c r="Q35" s="15" t="n">
        <v>0.192</v>
      </c>
      <c r="R35" s="15" t="n">
        <v>7</v>
      </c>
      <c r="S35" s="15" t="s">
        <v>164</v>
      </c>
      <c r="T35" s="15" t="n">
        <v>6</v>
      </c>
      <c r="U35" s="15"/>
      <c r="V35" s="15"/>
      <c r="W35" s="15"/>
      <c r="X35" s="15" t="s">
        <v>165</v>
      </c>
      <c r="Y35" s="15" t="n">
        <v>34</v>
      </c>
      <c r="Z35" s="15" t="s">
        <v>166</v>
      </c>
      <c r="AA35" s="15"/>
      <c r="AB35" s="15" t="n">
        <v>0</v>
      </c>
      <c r="AC35" s="15" t="n">
        <v>0</v>
      </c>
      <c r="AD35" s="15" t="s">
        <v>167</v>
      </c>
      <c r="AE35" s="15" t="s">
        <v>168</v>
      </c>
      <c r="AF35" s="15" t="s">
        <v>169</v>
      </c>
      <c r="AG35" s="15"/>
      <c r="AH35" s="24" t="n">
        <f aca="false">IF(R35="",AM35,R35)</f>
        <v>7</v>
      </c>
      <c r="AI35" s="24" t="n">
        <f aca="false">SUMIFS(Permissions!$G$2:$G$3000,Permissions!$B$2:$B$3000,$A35,Permissions!$I$2:$I$3000,"Complete",Permissions!$R$2:$R$3000,"Yes")</f>
        <v>0</v>
      </c>
      <c r="AJ35" s="24" t="n">
        <f aca="false">SUMIFS(Permissions!$G$2:$G$3000,Permissions!$B$2:$B$3000,$A35,Permissions!$I$2:$I$3000,"Under construction",Permissions!$R$2:$R$3000,"Yes")</f>
        <v>0</v>
      </c>
      <c r="AK35" s="24" t="n">
        <f aca="false">SUMIFS(Permissions!$G$2:$G$3000,Permissions!$B$2:$B$3000,$A35,Permissions!$I$2:$I$3000,"Permitted – not started",Permissions!$R$2:$R$3000,"Yes")</f>
        <v>0</v>
      </c>
      <c r="AL35" s="24" t="n">
        <f aca="false">SUMIFS(Permissions!$G$2:$G$3000,Permissions!$B$2:$B$3000,$A35,Permissions!$I$2:$I$3000,"Stalled",Permissions!$R$2:$R$3000,"Yes")</f>
        <v>0</v>
      </c>
      <c r="AM35" s="24" t="n">
        <f aca="false">AI35+AJ35+AK35+AL35</f>
        <v>0</v>
      </c>
      <c r="AN35" s="24" t="n">
        <f aca="false">SUMIFS(Permissions!$G$2:$G$3000,Permissions!$B$2:$B$3000,$A35,Permissions!$I$2:$I$3000,"Expired – not started",Permissions!$R$2:$R$3000,"Yes")</f>
        <v>0</v>
      </c>
      <c r="AO35" s="24" t="n">
        <f aca="false">SUMIFS(Permissions!$G$2:$G$3000,Permissions!$B$2:$B$3000,$A35,Permissions!$I$2:$I$3000,"In planning",Permissions!$R$2:$R$3000,"Yes")</f>
        <v>0</v>
      </c>
      <c r="AP35" s="24" t="n">
        <f aca="false">IF(R35="",0,MAX(R35-AM35,0))</f>
        <v>7</v>
      </c>
      <c r="AQ35" s="25" t="n">
        <f aca="false">AM35+AP35</f>
        <v>7</v>
      </c>
      <c r="AR35" s="24" t="n">
        <f aca="false">SUMIFS(Permissions!$L$2:$L$3000,Permissions!$B$2:$B$3000,$A35,Permissions!$R$2:$R$3000,"Yes",Permissions!$I$2:$I$3000,"&lt;&gt;Expired – not started",Permissions!$I$2:$I$3000,"&lt;&gt;In planning")</f>
        <v>0</v>
      </c>
      <c r="AS35" s="24" t="n">
        <f aca="false">AQ35-AR35</f>
        <v>7</v>
      </c>
      <c r="AT35" s="26" t="n">
        <f aca="false">SUMIFS(Permissions!$AJ$2:$AJ$3000,Permissions!$B$2:$B$3000,$A35,Permissions!$R$2:$R$3000,"Yes")</f>
        <v>0</v>
      </c>
      <c r="AU35" s="26" t="n">
        <f aca="false">SUMIFS(Permissions!$AK$2:$AK$3000,Permissions!$B$2:$B$3000,$A35,Permissions!$R$2:$R$3000,"Yes")</f>
        <v>0</v>
      </c>
      <c r="AV35" s="26" t="n">
        <f aca="false">SUMIFS(Permissions!$AL$2:$AL$3000,Permissions!$B$2:$B$3000,$A35,Permissions!$R$2:$R$3000,"Yes")</f>
        <v>0</v>
      </c>
      <c r="AW35" s="26" t="n">
        <f aca="false">SUMIFS(Permissions!$AM$2:$AM$3000,Permissions!$B$2:$B$3000,$A35,Permissions!$R$2:$R$3000,"Yes")</f>
        <v>0</v>
      </c>
      <c r="AX35" s="26" t="n">
        <f aca="false">SUMIFS(Permissions!$AN$2:$AN$3000,Permissions!$B$2:$B$3000,$A35,Permissions!$R$2:$R$3000,"Yes")</f>
        <v>0</v>
      </c>
      <c r="AY35" s="26" t="n">
        <f aca="false">SUMIFS(Permissions!$AO$2:$AO$3000,Permissions!$B$2:$B$3000,$A35,Permissions!$R$2:$R$3000,"Yes")</f>
        <v>0</v>
      </c>
      <c r="AZ35" s="24" t="n">
        <f aca="false">COUNTIFS(Permissions!$B$2:$B$3000,$A35,Permissions!$R$2:$R$3000,"Yes")</f>
        <v>0</v>
      </c>
      <c r="BA35" s="24" t="n">
        <f aca="false">SUMIFS(Permissions!$M$2:$M$3000,Permissions!$B$2:$B$3000,$A35,Permissions!$R$2:$R$3000,"Yes")</f>
        <v>0</v>
      </c>
      <c r="BB35" s="24" t="n">
        <f aca="false">SUMIFS(Permissions!$O$2:$O$3000,Permissions!$B$2:$B$3000,$A35,Permissions!$R$2:$R$3000,"Yes")</f>
        <v>0</v>
      </c>
      <c r="BC35" s="27" t="str">
        <f aca="false">IF(AND(AM35&gt;0,AR35&gt;=AM35,AP35=0),"Finished",IF(AR35&gt;0,"Partly built",IF(AM35&gt;0,"Consented – not built","No consent")))</f>
        <v>No consent</v>
      </c>
      <c r="BD35" s="28" t="str">
        <f aca="false">IF(AND(R35&lt;&gt;"",AM35&gt;1.1*R35),"Consented above capacity",IF(AND(LEFT(B35,8)="Planning",AZ35=0),"Consent parcel with no permission",IF(COUNTIF($A$2:$A$3000,$A35)&gt;1,"Duplicate parcel_id","")))</f>
        <v/>
      </c>
    </row>
    <row r="36" customFormat="false" ht="15" hidden="false" customHeight="false" outlineLevel="0" collapsed="false">
      <c r="A36" s="15" t="s">
        <v>225</v>
      </c>
      <c r="B36" s="15" t="s">
        <v>10</v>
      </c>
      <c r="C36" s="15" t="s">
        <v>16</v>
      </c>
      <c r="D36" s="15" t="s">
        <v>52</v>
      </c>
      <c r="E36" s="15" t="s">
        <v>19</v>
      </c>
      <c r="F36" s="15" t="n">
        <v>1</v>
      </c>
      <c r="G36" s="15" t="s">
        <v>158</v>
      </c>
      <c r="H36" s="15" t="n">
        <v>67</v>
      </c>
      <c r="I36" s="15" t="s">
        <v>52</v>
      </c>
      <c r="J36" s="15" t="s">
        <v>211</v>
      </c>
      <c r="K36" s="15" t="s">
        <v>212</v>
      </c>
      <c r="L36" s="15" t="s">
        <v>176</v>
      </c>
      <c r="M36" s="15" t="s">
        <v>161</v>
      </c>
      <c r="N36" s="15" t="s">
        <v>172</v>
      </c>
      <c r="O36" s="15" t="s">
        <v>185</v>
      </c>
      <c r="P36" s="15" t="n">
        <v>2.056</v>
      </c>
      <c r="Q36" s="15" t="n">
        <v>2.056</v>
      </c>
      <c r="R36" s="15" t="n">
        <v>72</v>
      </c>
      <c r="S36" s="15" t="s">
        <v>164</v>
      </c>
      <c r="T36" s="15" t="n">
        <v>70</v>
      </c>
      <c r="U36" s="15"/>
      <c r="V36" s="15"/>
      <c r="W36" s="15"/>
      <c r="X36" s="15" t="s">
        <v>165</v>
      </c>
      <c r="Y36" s="15" t="n">
        <v>34</v>
      </c>
      <c r="Z36" s="15" t="s">
        <v>166</v>
      </c>
      <c r="AA36" s="15"/>
      <c r="AB36" s="15" t="n">
        <v>0</v>
      </c>
      <c r="AC36" s="15" t="n">
        <v>0</v>
      </c>
      <c r="AD36" s="15" t="s">
        <v>167</v>
      </c>
      <c r="AE36" s="15" t="s">
        <v>168</v>
      </c>
      <c r="AF36" s="15" t="s">
        <v>169</v>
      </c>
      <c r="AG36" s="15"/>
      <c r="AH36" s="24" t="n">
        <f aca="false">IF(R36="",AM36,R36)</f>
        <v>72</v>
      </c>
      <c r="AI36" s="24" t="n">
        <f aca="false">SUMIFS(Permissions!$G$2:$G$3000,Permissions!$B$2:$B$3000,$A36,Permissions!$I$2:$I$3000,"Complete",Permissions!$R$2:$R$3000,"Yes")</f>
        <v>0</v>
      </c>
      <c r="AJ36" s="24" t="n">
        <f aca="false">SUMIFS(Permissions!$G$2:$G$3000,Permissions!$B$2:$B$3000,$A36,Permissions!$I$2:$I$3000,"Under construction",Permissions!$R$2:$R$3000,"Yes")</f>
        <v>0</v>
      </c>
      <c r="AK36" s="24" t="n">
        <f aca="false">SUMIFS(Permissions!$G$2:$G$3000,Permissions!$B$2:$B$3000,$A36,Permissions!$I$2:$I$3000,"Permitted – not started",Permissions!$R$2:$R$3000,"Yes")</f>
        <v>0</v>
      </c>
      <c r="AL36" s="24" t="n">
        <f aca="false">SUMIFS(Permissions!$G$2:$G$3000,Permissions!$B$2:$B$3000,$A36,Permissions!$I$2:$I$3000,"Stalled",Permissions!$R$2:$R$3000,"Yes")</f>
        <v>0</v>
      </c>
      <c r="AM36" s="24" t="n">
        <f aca="false">AI36+AJ36+AK36+AL36</f>
        <v>0</v>
      </c>
      <c r="AN36" s="24" t="n">
        <f aca="false">SUMIFS(Permissions!$G$2:$G$3000,Permissions!$B$2:$B$3000,$A36,Permissions!$I$2:$I$3000,"Expired – not started",Permissions!$R$2:$R$3000,"Yes")</f>
        <v>0</v>
      </c>
      <c r="AO36" s="24" t="n">
        <f aca="false">SUMIFS(Permissions!$G$2:$G$3000,Permissions!$B$2:$B$3000,$A36,Permissions!$I$2:$I$3000,"In planning",Permissions!$R$2:$R$3000,"Yes")</f>
        <v>0</v>
      </c>
      <c r="AP36" s="24" t="n">
        <f aca="false">IF(R36="",0,MAX(R36-AM36,0))</f>
        <v>72</v>
      </c>
      <c r="AQ36" s="25" t="n">
        <f aca="false">AM36+AP36</f>
        <v>72</v>
      </c>
      <c r="AR36" s="24" t="n">
        <f aca="false">SUMIFS(Permissions!$L$2:$L$3000,Permissions!$B$2:$B$3000,$A36,Permissions!$R$2:$R$3000,"Yes",Permissions!$I$2:$I$3000,"&lt;&gt;Expired – not started",Permissions!$I$2:$I$3000,"&lt;&gt;In planning")</f>
        <v>0</v>
      </c>
      <c r="AS36" s="24" t="n">
        <f aca="false">AQ36-AR36</f>
        <v>72</v>
      </c>
      <c r="AT36" s="26" t="n">
        <f aca="false">SUMIFS(Permissions!$AJ$2:$AJ$3000,Permissions!$B$2:$B$3000,$A36,Permissions!$R$2:$R$3000,"Yes")</f>
        <v>0</v>
      </c>
      <c r="AU36" s="26" t="n">
        <f aca="false">SUMIFS(Permissions!$AK$2:$AK$3000,Permissions!$B$2:$B$3000,$A36,Permissions!$R$2:$R$3000,"Yes")</f>
        <v>0</v>
      </c>
      <c r="AV36" s="26" t="n">
        <f aca="false">SUMIFS(Permissions!$AL$2:$AL$3000,Permissions!$B$2:$B$3000,$A36,Permissions!$R$2:$R$3000,"Yes")</f>
        <v>0</v>
      </c>
      <c r="AW36" s="26" t="n">
        <f aca="false">SUMIFS(Permissions!$AM$2:$AM$3000,Permissions!$B$2:$B$3000,$A36,Permissions!$R$2:$R$3000,"Yes")</f>
        <v>0</v>
      </c>
      <c r="AX36" s="26" t="n">
        <f aca="false">SUMIFS(Permissions!$AN$2:$AN$3000,Permissions!$B$2:$B$3000,$A36,Permissions!$R$2:$R$3000,"Yes")</f>
        <v>0</v>
      </c>
      <c r="AY36" s="26" t="n">
        <f aca="false">SUMIFS(Permissions!$AO$2:$AO$3000,Permissions!$B$2:$B$3000,$A36,Permissions!$R$2:$R$3000,"Yes")</f>
        <v>0</v>
      </c>
      <c r="AZ36" s="24" t="n">
        <f aca="false">COUNTIFS(Permissions!$B$2:$B$3000,$A36,Permissions!$R$2:$R$3000,"Yes")</f>
        <v>0</v>
      </c>
      <c r="BA36" s="24" t="n">
        <f aca="false">SUMIFS(Permissions!$M$2:$M$3000,Permissions!$B$2:$B$3000,$A36,Permissions!$R$2:$R$3000,"Yes")</f>
        <v>0</v>
      </c>
      <c r="BB36" s="24" t="n">
        <f aca="false">SUMIFS(Permissions!$O$2:$O$3000,Permissions!$B$2:$B$3000,$A36,Permissions!$R$2:$R$3000,"Yes")</f>
        <v>0</v>
      </c>
      <c r="BC36" s="27" t="str">
        <f aca="false">IF(AND(AM36&gt;0,AR36&gt;=AM36,AP36=0),"Finished",IF(AR36&gt;0,"Partly built",IF(AM36&gt;0,"Consented – not built","No consent")))</f>
        <v>No consent</v>
      </c>
      <c r="BD36" s="28" t="str">
        <f aca="false">IF(AND(R36&lt;&gt;"",AM36&gt;1.1*R36),"Consented above capacity",IF(AND(LEFT(B36,8)="Planning",AZ36=0),"Consent parcel with no permission",IF(COUNTIF($A$2:$A$3000,$A36)&gt;1,"Duplicate parcel_id","")))</f>
        <v/>
      </c>
    </row>
    <row r="37" customFormat="false" ht="15" hidden="false" customHeight="false" outlineLevel="0" collapsed="false">
      <c r="A37" s="15" t="s">
        <v>226</v>
      </c>
      <c r="B37" s="15" t="s">
        <v>10</v>
      </c>
      <c r="C37" s="15" t="s">
        <v>16</v>
      </c>
      <c r="D37" s="15" t="s">
        <v>52</v>
      </c>
      <c r="E37" s="15" t="s">
        <v>19</v>
      </c>
      <c r="F37" s="15" t="n">
        <v>1</v>
      </c>
      <c r="G37" s="15" t="s">
        <v>158</v>
      </c>
      <c r="H37" s="15" t="n">
        <v>69</v>
      </c>
      <c r="I37" s="15" t="s">
        <v>52</v>
      </c>
      <c r="J37" s="15" t="s">
        <v>211</v>
      </c>
      <c r="K37" s="15" t="s">
        <v>212</v>
      </c>
      <c r="L37" s="15" t="s">
        <v>176</v>
      </c>
      <c r="M37" s="15" t="s">
        <v>161</v>
      </c>
      <c r="N37" s="15" t="s">
        <v>184</v>
      </c>
      <c r="O37" s="15" t="s">
        <v>227</v>
      </c>
      <c r="P37" s="15" t="n">
        <v>8.746</v>
      </c>
      <c r="Q37" s="15" t="n">
        <v>8.743</v>
      </c>
      <c r="R37" s="15" t="n">
        <v>310</v>
      </c>
      <c r="S37" s="15" t="s">
        <v>164</v>
      </c>
      <c r="T37" s="15" t="n">
        <v>297</v>
      </c>
      <c r="U37" s="15"/>
      <c r="V37" s="15"/>
      <c r="W37" s="15"/>
      <c r="X37" s="15" t="s">
        <v>165</v>
      </c>
      <c r="Y37" s="15" t="n">
        <v>34</v>
      </c>
      <c r="Z37" s="15" t="s">
        <v>166</v>
      </c>
      <c r="AA37" s="15"/>
      <c r="AB37" s="15" t="n">
        <v>0</v>
      </c>
      <c r="AC37" s="15" t="n">
        <v>0</v>
      </c>
      <c r="AD37" s="15" t="s">
        <v>167</v>
      </c>
      <c r="AE37" s="15" t="s">
        <v>168</v>
      </c>
      <c r="AF37" s="15" t="s">
        <v>169</v>
      </c>
      <c r="AG37" s="15"/>
      <c r="AH37" s="24" t="n">
        <f aca="false">IF(R37="",AM37,R37)</f>
        <v>310</v>
      </c>
      <c r="AI37" s="24" t="n">
        <f aca="false">SUMIFS(Permissions!$G$2:$G$3000,Permissions!$B$2:$B$3000,$A37,Permissions!$I$2:$I$3000,"Complete",Permissions!$R$2:$R$3000,"Yes")</f>
        <v>0</v>
      </c>
      <c r="AJ37" s="24" t="n">
        <f aca="false">SUMIFS(Permissions!$G$2:$G$3000,Permissions!$B$2:$B$3000,$A37,Permissions!$I$2:$I$3000,"Under construction",Permissions!$R$2:$R$3000,"Yes")</f>
        <v>0</v>
      </c>
      <c r="AK37" s="24" t="n">
        <f aca="false">SUMIFS(Permissions!$G$2:$G$3000,Permissions!$B$2:$B$3000,$A37,Permissions!$I$2:$I$3000,"Permitted – not started",Permissions!$R$2:$R$3000,"Yes")</f>
        <v>0</v>
      </c>
      <c r="AL37" s="24" t="n">
        <f aca="false">SUMIFS(Permissions!$G$2:$G$3000,Permissions!$B$2:$B$3000,$A37,Permissions!$I$2:$I$3000,"Stalled",Permissions!$R$2:$R$3000,"Yes")</f>
        <v>0</v>
      </c>
      <c r="AM37" s="24" t="n">
        <f aca="false">AI37+AJ37+AK37+AL37</f>
        <v>0</v>
      </c>
      <c r="AN37" s="24" t="n">
        <f aca="false">SUMIFS(Permissions!$G$2:$G$3000,Permissions!$B$2:$B$3000,$A37,Permissions!$I$2:$I$3000,"Expired – not started",Permissions!$R$2:$R$3000,"Yes")</f>
        <v>0</v>
      </c>
      <c r="AO37" s="24" t="n">
        <f aca="false">SUMIFS(Permissions!$G$2:$G$3000,Permissions!$B$2:$B$3000,$A37,Permissions!$I$2:$I$3000,"In planning",Permissions!$R$2:$R$3000,"Yes")</f>
        <v>0</v>
      </c>
      <c r="AP37" s="24" t="n">
        <f aca="false">IF(R37="",0,MAX(R37-AM37,0))</f>
        <v>310</v>
      </c>
      <c r="AQ37" s="25" t="n">
        <f aca="false">AM37+AP37</f>
        <v>310</v>
      </c>
      <c r="AR37" s="24" t="n">
        <f aca="false">SUMIFS(Permissions!$L$2:$L$3000,Permissions!$B$2:$B$3000,$A37,Permissions!$R$2:$R$3000,"Yes",Permissions!$I$2:$I$3000,"&lt;&gt;Expired – not started",Permissions!$I$2:$I$3000,"&lt;&gt;In planning")</f>
        <v>0</v>
      </c>
      <c r="AS37" s="24" t="n">
        <f aca="false">AQ37-AR37</f>
        <v>310</v>
      </c>
      <c r="AT37" s="26" t="n">
        <f aca="false">SUMIFS(Permissions!$AJ$2:$AJ$3000,Permissions!$B$2:$B$3000,$A37,Permissions!$R$2:$R$3000,"Yes")</f>
        <v>0</v>
      </c>
      <c r="AU37" s="26" t="n">
        <f aca="false">SUMIFS(Permissions!$AK$2:$AK$3000,Permissions!$B$2:$B$3000,$A37,Permissions!$R$2:$R$3000,"Yes")</f>
        <v>0</v>
      </c>
      <c r="AV37" s="26" t="n">
        <f aca="false">SUMIFS(Permissions!$AL$2:$AL$3000,Permissions!$B$2:$B$3000,$A37,Permissions!$R$2:$R$3000,"Yes")</f>
        <v>0</v>
      </c>
      <c r="AW37" s="26" t="n">
        <f aca="false">SUMIFS(Permissions!$AM$2:$AM$3000,Permissions!$B$2:$B$3000,$A37,Permissions!$R$2:$R$3000,"Yes")</f>
        <v>0</v>
      </c>
      <c r="AX37" s="26" t="n">
        <f aca="false">SUMIFS(Permissions!$AN$2:$AN$3000,Permissions!$B$2:$B$3000,$A37,Permissions!$R$2:$R$3000,"Yes")</f>
        <v>0</v>
      </c>
      <c r="AY37" s="26" t="n">
        <f aca="false">SUMIFS(Permissions!$AO$2:$AO$3000,Permissions!$B$2:$B$3000,$A37,Permissions!$R$2:$R$3000,"Yes")</f>
        <v>0</v>
      </c>
      <c r="AZ37" s="24" t="n">
        <f aca="false">COUNTIFS(Permissions!$B$2:$B$3000,$A37,Permissions!$R$2:$R$3000,"Yes")</f>
        <v>0</v>
      </c>
      <c r="BA37" s="24" t="n">
        <f aca="false">SUMIFS(Permissions!$M$2:$M$3000,Permissions!$B$2:$B$3000,$A37,Permissions!$R$2:$R$3000,"Yes")</f>
        <v>0</v>
      </c>
      <c r="BB37" s="24" t="n">
        <f aca="false">SUMIFS(Permissions!$O$2:$O$3000,Permissions!$B$2:$B$3000,$A37,Permissions!$R$2:$R$3000,"Yes")</f>
        <v>0</v>
      </c>
      <c r="BC37" s="27" t="str">
        <f aca="false">IF(AND(AM37&gt;0,AR37&gt;=AM37,AP37=0),"Finished",IF(AR37&gt;0,"Partly built",IF(AM37&gt;0,"Consented – not built","No consent")))</f>
        <v>No consent</v>
      </c>
      <c r="BD37" s="28" t="str">
        <f aca="false">IF(AND(R37&lt;&gt;"",AM37&gt;1.1*R37),"Consented above capacity",IF(AND(LEFT(B37,8)="Planning",AZ37=0),"Consent parcel with no permission",IF(COUNTIF($A$2:$A$3000,$A37)&gt;1,"Duplicate parcel_id","")))</f>
        <v/>
      </c>
    </row>
    <row r="38" customFormat="false" ht="15" hidden="false" customHeight="false" outlineLevel="0" collapsed="false">
      <c r="A38" s="15" t="s">
        <v>228</v>
      </c>
      <c r="B38" s="15" t="s">
        <v>10</v>
      </c>
      <c r="C38" s="15" t="s">
        <v>16</v>
      </c>
      <c r="D38" s="15" t="s">
        <v>52</v>
      </c>
      <c r="E38" s="15" t="s">
        <v>19</v>
      </c>
      <c r="F38" s="15" t="n">
        <v>1</v>
      </c>
      <c r="G38" s="15" t="s">
        <v>158</v>
      </c>
      <c r="H38" s="15" t="n">
        <v>70</v>
      </c>
      <c r="I38" s="15" t="s">
        <v>52</v>
      </c>
      <c r="J38" s="15" t="s">
        <v>211</v>
      </c>
      <c r="K38" s="15" t="s">
        <v>212</v>
      </c>
      <c r="L38" s="15" t="s">
        <v>176</v>
      </c>
      <c r="M38" s="15" t="s">
        <v>161</v>
      </c>
      <c r="N38" s="15" t="s">
        <v>184</v>
      </c>
      <c r="O38" s="15" t="s">
        <v>229</v>
      </c>
      <c r="P38" s="15" t="n">
        <v>8.56</v>
      </c>
      <c r="Q38" s="15" t="n">
        <v>8.556</v>
      </c>
      <c r="R38" s="15" t="n">
        <v>375</v>
      </c>
      <c r="S38" s="15" t="s">
        <v>164</v>
      </c>
      <c r="T38" s="15" t="n">
        <v>291</v>
      </c>
      <c r="U38" s="15"/>
      <c r="V38" s="15"/>
      <c r="W38" s="15"/>
      <c r="X38" s="15" t="s">
        <v>165</v>
      </c>
      <c r="Y38" s="15" t="n">
        <v>34</v>
      </c>
      <c r="Z38" s="15" t="s">
        <v>166</v>
      </c>
      <c r="AA38" s="15"/>
      <c r="AB38" s="15" t="n">
        <v>0</v>
      </c>
      <c r="AC38" s="15" t="n">
        <v>0</v>
      </c>
      <c r="AD38" s="15" t="s">
        <v>167</v>
      </c>
      <c r="AE38" s="15" t="s">
        <v>168</v>
      </c>
      <c r="AF38" s="15" t="s">
        <v>169</v>
      </c>
      <c r="AG38" s="15"/>
      <c r="AH38" s="24" t="n">
        <f aca="false">IF(R38="",AM38,R38)</f>
        <v>375</v>
      </c>
      <c r="AI38" s="24" t="n">
        <f aca="false">SUMIFS(Permissions!$G$2:$G$3000,Permissions!$B$2:$B$3000,$A38,Permissions!$I$2:$I$3000,"Complete",Permissions!$R$2:$R$3000,"Yes")</f>
        <v>0</v>
      </c>
      <c r="AJ38" s="24" t="n">
        <f aca="false">SUMIFS(Permissions!$G$2:$G$3000,Permissions!$B$2:$B$3000,$A38,Permissions!$I$2:$I$3000,"Under construction",Permissions!$R$2:$R$3000,"Yes")</f>
        <v>0</v>
      </c>
      <c r="AK38" s="24" t="n">
        <f aca="false">SUMIFS(Permissions!$G$2:$G$3000,Permissions!$B$2:$B$3000,$A38,Permissions!$I$2:$I$3000,"Permitted – not started",Permissions!$R$2:$R$3000,"Yes")</f>
        <v>0</v>
      </c>
      <c r="AL38" s="24" t="n">
        <f aca="false">SUMIFS(Permissions!$G$2:$G$3000,Permissions!$B$2:$B$3000,$A38,Permissions!$I$2:$I$3000,"Stalled",Permissions!$R$2:$R$3000,"Yes")</f>
        <v>0</v>
      </c>
      <c r="AM38" s="24" t="n">
        <f aca="false">AI38+AJ38+AK38+AL38</f>
        <v>0</v>
      </c>
      <c r="AN38" s="24" t="n">
        <f aca="false">SUMIFS(Permissions!$G$2:$G$3000,Permissions!$B$2:$B$3000,$A38,Permissions!$I$2:$I$3000,"Expired – not started",Permissions!$R$2:$R$3000,"Yes")</f>
        <v>0</v>
      </c>
      <c r="AO38" s="24" t="n">
        <f aca="false">SUMIFS(Permissions!$G$2:$G$3000,Permissions!$B$2:$B$3000,$A38,Permissions!$I$2:$I$3000,"In planning",Permissions!$R$2:$R$3000,"Yes")</f>
        <v>0</v>
      </c>
      <c r="AP38" s="24" t="n">
        <f aca="false">IF(R38="",0,MAX(R38-AM38,0))</f>
        <v>375</v>
      </c>
      <c r="AQ38" s="25" t="n">
        <f aca="false">AM38+AP38</f>
        <v>375</v>
      </c>
      <c r="AR38" s="24" t="n">
        <f aca="false">SUMIFS(Permissions!$L$2:$L$3000,Permissions!$B$2:$B$3000,$A38,Permissions!$R$2:$R$3000,"Yes",Permissions!$I$2:$I$3000,"&lt;&gt;Expired – not started",Permissions!$I$2:$I$3000,"&lt;&gt;In planning")</f>
        <v>0</v>
      </c>
      <c r="AS38" s="24" t="n">
        <f aca="false">AQ38-AR38</f>
        <v>375</v>
      </c>
      <c r="AT38" s="26" t="n">
        <f aca="false">SUMIFS(Permissions!$AJ$2:$AJ$3000,Permissions!$B$2:$B$3000,$A38,Permissions!$R$2:$R$3000,"Yes")</f>
        <v>0</v>
      </c>
      <c r="AU38" s="26" t="n">
        <f aca="false">SUMIFS(Permissions!$AK$2:$AK$3000,Permissions!$B$2:$B$3000,$A38,Permissions!$R$2:$R$3000,"Yes")</f>
        <v>0</v>
      </c>
      <c r="AV38" s="26" t="n">
        <f aca="false">SUMIFS(Permissions!$AL$2:$AL$3000,Permissions!$B$2:$B$3000,$A38,Permissions!$R$2:$R$3000,"Yes")</f>
        <v>0</v>
      </c>
      <c r="AW38" s="26" t="n">
        <f aca="false">SUMIFS(Permissions!$AM$2:$AM$3000,Permissions!$B$2:$B$3000,$A38,Permissions!$R$2:$R$3000,"Yes")</f>
        <v>0</v>
      </c>
      <c r="AX38" s="26" t="n">
        <f aca="false">SUMIFS(Permissions!$AN$2:$AN$3000,Permissions!$B$2:$B$3000,$A38,Permissions!$R$2:$R$3000,"Yes")</f>
        <v>0</v>
      </c>
      <c r="AY38" s="26" t="n">
        <f aca="false">SUMIFS(Permissions!$AO$2:$AO$3000,Permissions!$B$2:$B$3000,$A38,Permissions!$R$2:$R$3000,"Yes")</f>
        <v>0</v>
      </c>
      <c r="AZ38" s="24" t="n">
        <f aca="false">COUNTIFS(Permissions!$B$2:$B$3000,$A38,Permissions!$R$2:$R$3000,"Yes")</f>
        <v>0</v>
      </c>
      <c r="BA38" s="24" t="n">
        <f aca="false">SUMIFS(Permissions!$M$2:$M$3000,Permissions!$B$2:$B$3000,$A38,Permissions!$R$2:$R$3000,"Yes")</f>
        <v>0</v>
      </c>
      <c r="BB38" s="24" t="n">
        <f aca="false">SUMIFS(Permissions!$O$2:$O$3000,Permissions!$B$2:$B$3000,$A38,Permissions!$R$2:$R$3000,"Yes")</f>
        <v>0</v>
      </c>
      <c r="BC38" s="27" t="str">
        <f aca="false">IF(AND(AM38&gt;0,AR38&gt;=AM38,AP38=0),"Finished",IF(AR38&gt;0,"Partly built",IF(AM38&gt;0,"Consented – not built","No consent")))</f>
        <v>No consent</v>
      </c>
      <c r="BD38" s="28" t="str">
        <f aca="false">IF(AND(R38&lt;&gt;"",AM38&gt;1.1*R38),"Consented above capacity",IF(AND(LEFT(B38,8)="Planning",AZ38=0),"Consent parcel with no permission",IF(COUNTIF($A$2:$A$3000,$A38)&gt;1,"Duplicate parcel_id","")))</f>
        <v/>
      </c>
    </row>
    <row r="39" customFormat="false" ht="15" hidden="false" customHeight="false" outlineLevel="0" collapsed="false">
      <c r="A39" s="15" t="s">
        <v>230</v>
      </c>
      <c r="B39" s="15" t="s">
        <v>10</v>
      </c>
      <c r="C39" s="15" t="s">
        <v>16</v>
      </c>
      <c r="D39" s="15" t="s">
        <v>52</v>
      </c>
      <c r="E39" s="15" t="s">
        <v>19</v>
      </c>
      <c r="F39" s="15" t="n">
        <v>1</v>
      </c>
      <c r="G39" s="15" t="s">
        <v>158</v>
      </c>
      <c r="H39" s="15" t="n">
        <v>71</v>
      </c>
      <c r="I39" s="15" t="s">
        <v>52</v>
      </c>
      <c r="J39" s="15" t="s">
        <v>211</v>
      </c>
      <c r="K39" s="15" t="s">
        <v>212</v>
      </c>
      <c r="L39" s="15" t="s">
        <v>176</v>
      </c>
      <c r="M39" s="15" t="s">
        <v>161</v>
      </c>
      <c r="N39" s="15" t="s">
        <v>172</v>
      </c>
      <c r="O39" s="15" t="s">
        <v>231</v>
      </c>
      <c r="P39" s="15" t="n">
        <v>3.167</v>
      </c>
      <c r="Q39" s="15" t="n">
        <v>3.167</v>
      </c>
      <c r="R39" s="15" t="n">
        <v>141</v>
      </c>
      <c r="S39" s="15" t="s">
        <v>164</v>
      </c>
      <c r="T39" s="15" t="n">
        <v>108</v>
      </c>
      <c r="U39" s="15"/>
      <c r="V39" s="15"/>
      <c r="W39" s="15"/>
      <c r="X39" s="15" t="s">
        <v>165</v>
      </c>
      <c r="Y39" s="15" t="n">
        <v>34</v>
      </c>
      <c r="Z39" s="15" t="s">
        <v>166</v>
      </c>
      <c r="AA39" s="15"/>
      <c r="AB39" s="15" t="n">
        <v>0</v>
      </c>
      <c r="AC39" s="15" t="n">
        <v>0</v>
      </c>
      <c r="AD39" s="15" t="s">
        <v>167</v>
      </c>
      <c r="AE39" s="15" t="s">
        <v>168</v>
      </c>
      <c r="AF39" s="15" t="s">
        <v>169</v>
      </c>
      <c r="AG39" s="15"/>
      <c r="AH39" s="24" t="n">
        <f aca="false">IF(R39="",AM39,R39)</f>
        <v>141</v>
      </c>
      <c r="AI39" s="24" t="n">
        <f aca="false">SUMIFS(Permissions!$G$2:$G$3000,Permissions!$B$2:$B$3000,$A39,Permissions!$I$2:$I$3000,"Complete",Permissions!$R$2:$R$3000,"Yes")</f>
        <v>0</v>
      </c>
      <c r="AJ39" s="24" t="n">
        <f aca="false">SUMIFS(Permissions!$G$2:$G$3000,Permissions!$B$2:$B$3000,$A39,Permissions!$I$2:$I$3000,"Under construction",Permissions!$R$2:$R$3000,"Yes")</f>
        <v>0</v>
      </c>
      <c r="AK39" s="24" t="n">
        <f aca="false">SUMIFS(Permissions!$G$2:$G$3000,Permissions!$B$2:$B$3000,$A39,Permissions!$I$2:$I$3000,"Permitted – not started",Permissions!$R$2:$R$3000,"Yes")</f>
        <v>465</v>
      </c>
      <c r="AL39" s="24" t="n">
        <f aca="false">SUMIFS(Permissions!$G$2:$G$3000,Permissions!$B$2:$B$3000,$A39,Permissions!$I$2:$I$3000,"Stalled",Permissions!$R$2:$R$3000,"Yes")</f>
        <v>0</v>
      </c>
      <c r="AM39" s="24" t="n">
        <f aca="false">AI39+AJ39+AK39+AL39</f>
        <v>465</v>
      </c>
      <c r="AN39" s="24" t="n">
        <f aca="false">SUMIFS(Permissions!$G$2:$G$3000,Permissions!$B$2:$B$3000,$A39,Permissions!$I$2:$I$3000,"Expired – not started",Permissions!$R$2:$R$3000,"Yes")</f>
        <v>0</v>
      </c>
      <c r="AO39" s="24" t="n">
        <f aca="false">SUMIFS(Permissions!$G$2:$G$3000,Permissions!$B$2:$B$3000,$A39,Permissions!$I$2:$I$3000,"In planning",Permissions!$R$2:$R$3000,"Yes")</f>
        <v>0</v>
      </c>
      <c r="AP39" s="24" t="n">
        <f aca="false">IF(R39="",0,MAX(R39-AM39,0))</f>
        <v>0</v>
      </c>
      <c r="AQ39" s="25" t="n">
        <f aca="false">AM39+AP39</f>
        <v>465</v>
      </c>
      <c r="AR39" s="24" t="n">
        <f aca="false">SUMIFS(Permissions!$L$2:$L$3000,Permissions!$B$2:$B$3000,$A39,Permissions!$R$2:$R$3000,"Yes",Permissions!$I$2:$I$3000,"&lt;&gt;Expired – not started",Permissions!$I$2:$I$3000,"&lt;&gt;In planning")</f>
        <v>0</v>
      </c>
      <c r="AS39" s="24" t="n">
        <f aca="false">AQ39-AR39</f>
        <v>465</v>
      </c>
      <c r="AT39" s="26" t="n">
        <f aca="false">SUMIFS(Permissions!$AJ$2:$AJ$3000,Permissions!$B$2:$B$3000,$A39,Permissions!$R$2:$R$3000,"Yes")</f>
        <v>0</v>
      </c>
      <c r="AU39" s="26" t="n">
        <f aca="false">SUMIFS(Permissions!$AK$2:$AK$3000,Permissions!$B$2:$B$3000,$A39,Permissions!$R$2:$R$3000,"Yes")</f>
        <v>0</v>
      </c>
      <c r="AV39" s="26" t="n">
        <f aca="false">SUMIFS(Permissions!$AL$2:$AL$3000,Permissions!$B$2:$B$3000,$A39,Permissions!$R$2:$R$3000,"Yes")</f>
        <v>0</v>
      </c>
      <c r="AW39" s="26" t="n">
        <f aca="false">SUMIFS(Permissions!$AM$2:$AM$3000,Permissions!$B$2:$B$3000,$A39,Permissions!$R$2:$R$3000,"Yes")</f>
        <v>40.8</v>
      </c>
      <c r="AX39" s="26" t="n">
        <f aca="false">SUMIFS(Permissions!$AN$2:$AN$3000,Permissions!$B$2:$B$3000,$A39,Permissions!$R$2:$R$3000,"Yes")</f>
        <v>56.4</v>
      </c>
      <c r="AY39" s="26" t="n">
        <f aca="false">SUMIFS(Permissions!$AO$2:$AO$3000,Permissions!$B$2:$B$3000,$A39,Permissions!$R$2:$R$3000,"Yes")</f>
        <v>367.8</v>
      </c>
      <c r="AZ39" s="24" t="n">
        <f aca="false">COUNTIFS(Permissions!$B$2:$B$3000,$A39,Permissions!$R$2:$R$3000,"Yes")</f>
        <v>1</v>
      </c>
      <c r="BA39" s="24" t="n">
        <f aca="false">SUMIFS(Permissions!$M$2:$M$3000,Permissions!$B$2:$B$3000,$A39,Permissions!$R$2:$R$3000,"Yes")</f>
        <v>0</v>
      </c>
      <c r="BB39" s="24" t="n">
        <f aca="false">SUMIFS(Permissions!$O$2:$O$3000,Permissions!$B$2:$B$3000,$A39,Permissions!$R$2:$R$3000,"Yes")</f>
        <v>0</v>
      </c>
      <c r="BC39" s="27" t="str">
        <f aca="false">IF(AND(AM39&gt;0,AR39&gt;=AM39,AP39=0),"Finished",IF(AR39&gt;0,"Partly built",IF(AM39&gt;0,"Consented – not built","No consent")))</f>
        <v>Consented – not built</v>
      </c>
      <c r="BD39" s="28" t="str">
        <f aca="false">IF(AND(R39&lt;&gt;"",AM39&gt;1.1*R39),"Consented above capacity",IF(AND(LEFT(B39,8)="Planning",AZ39=0),"Consent parcel with no permission",IF(COUNTIF($A$2:$A$3000,$A39)&gt;1,"Duplicate parcel_id","")))</f>
        <v>Consented above capacity</v>
      </c>
    </row>
    <row r="40" customFormat="false" ht="15" hidden="false" customHeight="false" outlineLevel="0" collapsed="false">
      <c r="A40" s="15" t="s">
        <v>232</v>
      </c>
      <c r="B40" s="15" t="s">
        <v>10</v>
      </c>
      <c r="C40" s="15" t="s">
        <v>16</v>
      </c>
      <c r="D40" s="15" t="s">
        <v>52</v>
      </c>
      <c r="E40" s="15" t="s">
        <v>19</v>
      </c>
      <c r="F40" s="15" t="n">
        <v>1</v>
      </c>
      <c r="G40" s="15" t="s">
        <v>158</v>
      </c>
      <c r="H40" s="15" t="n">
        <v>72</v>
      </c>
      <c r="I40" s="15" t="s">
        <v>52</v>
      </c>
      <c r="J40" s="15" t="s">
        <v>211</v>
      </c>
      <c r="K40" s="15" t="s">
        <v>212</v>
      </c>
      <c r="L40" s="15" t="s">
        <v>176</v>
      </c>
      <c r="M40" s="15" t="s">
        <v>190</v>
      </c>
      <c r="N40" s="15" t="s">
        <v>184</v>
      </c>
      <c r="O40" s="15" t="s">
        <v>163</v>
      </c>
      <c r="P40" s="15" t="n">
        <v>4.8</v>
      </c>
      <c r="Q40" s="15" t="n">
        <v>16.047</v>
      </c>
      <c r="R40" s="15" t="n">
        <v>216</v>
      </c>
      <c r="S40" s="15" t="s">
        <v>164</v>
      </c>
      <c r="T40" s="15" t="n">
        <v>163</v>
      </c>
      <c r="U40" s="15"/>
      <c r="V40" s="15"/>
      <c r="W40" s="15"/>
      <c r="X40" s="15" t="s">
        <v>165</v>
      </c>
      <c r="Y40" s="15" t="n">
        <v>34</v>
      </c>
      <c r="Z40" s="15" t="s">
        <v>166</v>
      </c>
      <c r="AA40" s="15"/>
      <c r="AB40" s="15" t="n">
        <v>0</v>
      </c>
      <c r="AC40" s="15" t="n">
        <v>0</v>
      </c>
      <c r="AD40" s="15" t="s">
        <v>186</v>
      </c>
      <c r="AE40" s="15" t="s">
        <v>180</v>
      </c>
      <c r="AF40" s="15" t="s">
        <v>169</v>
      </c>
      <c r="AG40" s="15"/>
      <c r="AH40" s="24" t="n">
        <f aca="false">IF(R40="",AM40,R40)</f>
        <v>216</v>
      </c>
      <c r="AI40" s="24" t="n">
        <f aca="false">SUMIFS(Permissions!$G$2:$G$3000,Permissions!$B$2:$B$3000,$A40,Permissions!$I$2:$I$3000,"Complete",Permissions!$R$2:$R$3000,"Yes")</f>
        <v>0</v>
      </c>
      <c r="AJ40" s="24" t="n">
        <f aca="false">SUMIFS(Permissions!$G$2:$G$3000,Permissions!$B$2:$B$3000,$A40,Permissions!$I$2:$I$3000,"Under construction",Permissions!$R$2:$R$3000,"Yes")</f>
        <v>48</v>
      </c>
      <c r="AK40" s="24" t="n">
        <f aca="false">SUMIFS(Permissions!$G$2:$G$3000,Permissions!$B$2:$B$3000,$A40,Permissions!$I$2:$I$3000,"Permitted – not started",Permissions!$R$2:$R$3000,"Yes")</f>
        <v>212</v>
      </c>
      <c r="AL40" s="24" t="n">
        <f aca="false">SUMIFS(Permissions!$G$2:$G$3000,Permissions!$B$2:$B$3000,$A40,Permissions!$I$2:$I$3000,"Stalled",Permissions!$R$2:$R$3000,"Yes")</f>
        <v>0</v>
      </c>
      <c r="AM40" s="24" t="n">
        <f aca="false">AI40+AJ40+AK40+AL40</f>
        <v>260</v>
      </c>
      <c r="AN40" s="24" t="n">
        <f aca="false">SUMIFS(Permissions!$G$2:$G$3000,Permissions!$B$2:$B$3000,$A40,Permissions!$I$2:$I$3000,"Expired – not started",Permissions!$R$2:$R$3000,"Yes")</f>
        <v>0</v>
      </c>
      <c r="AO40" s="24" t="n">
        <f aca="false">SUMIFS(Permissions!$G$2:$G$3000,Permissions!$B$2:$B$3000,$A40,Permissions!$I$2:$I$3000,"In planning",Permissions!$R$2:$R$3000,"Yes")</f>
        <v>0</v>
      </c>
      <c r="AP40" s="24" t="n">
        <f aca="false">IF(R40="",0,MAX(R40-AM40,0))</f>
        <v>0</v>
      </c>
      <c r="AQ40" s="25" t="n">
        <f aca="false">AM40+AP40</f>
        <v>260</v>
      </c>
      <c r="AR40" s="24" t="n">
        <f aca="false">SUMIFS(Permissions!$L$2:$L$3000,Permissions!$B$2:$B$3000,$A40,Permissions!$R$2:$R$3000,"Yes",Permissions!$I$2:$I$3000,"&lt;&gt;Expired – not started",Permissions!$I$2:$I$3000,"&lt;&gt;In planning")</f>
        <v>0</v>
      </c>
      <c r="AS40" s="24" t="n">
        <f aca="false">AQ40-AR40</f>
        <v>260</v>
      </c>
      <c r="AT40" s="26" t="n">
        <f aca="false">SUMIFS(Permissions!$AJ$2:$AJ$3000,Permissions!$B$2:$B$3000,$A40,Permissions!$R$2:$R$3000,"Yes")</f>
        <v>11.2</v>
      </c>
      <c r="AU40" s="26" t="n">
        <f aca="false">SUMIFS(Permissions!$AK$2:$AK$3000,Permissions!$B$2:$B$3000,$A40,Permissions!$R$2:$R$3000,"Yes")</f>
        <v>36.8</v>
      </c>
      <c r="AV40" s="26" t="n">
        <f aca="false">SUMIFS(Permissions!$AL$2:$AL$3000,Permissions!$B$2:$B$3000,$A40,Permissions!$R$2:$R$3000,"Yes")</f>
        <v>0</v>
      </c>
      <c r="AW40" s="26" t="n">
        <f aca="false">SUMIFS(Permissions!$AM$2:$AM$3000,Permissions!$B$2:$B$3000,$A40,Permissions!$R$2:$R$3000,"Yes")</f>
        <v>36.4</v>
      </c>
      <c r="AX40" s="26" t="n">
        <f aca="false">SUMIFS(Permissions!$AN$2:$AN$3000,Permissions!$B$2:$B$3000,$A40,Permissions!$R$2:$R$3000,"Yes")</f>
        <v>65.9</v>
      </c>
      <c r="AY40" s="26" t="n">
        <f aca="false">SUMIFS(Permissions!$AO$2:$AO$3000,Permissions!$B$2:$B$3000,$A40,Permissions!$R$2:$R$3000,"Yes")</f>
        <v>109.7</v>
      </c>
      <c r="AZ40" s="24" t="n">
        <f aca="false">COUNTIFS(Permissions!$B$2:$B$3000,$A40,Permissions!$R$2:$R$3000,"Yes")</f>
        <v>2</v>
      </c>
      <c r="BA40" s="24" t="n">
        <f aca="false">SUMIFS(Permissions!$M$2:$M$3000,Permissions!$B$2:$B$3000,$A40,Permissions!$R$2:$R$3000,"Yes")</f>
        <v>0</v>
      </c>
      <c r="BB40" s="24" t="n">
        <f aca="false">SUMIFS(Permissions!$O$2:$O$3000,Permissions!$B$2:$B$3000,$A40,Permissions!$R$2:$R$3000,"Yes")</f>
        <v>0</v>
      </c>
      <c r="BC40" s="27" t="str">
        <f aca="false">IF(AND(AM40&gt;0,AR40&gt;=AM40,AP40=0),"Finished",IF(AR40&gt;0,"Partly built",IF(AM40&gt;0,"Consented – not built","No consent")))</f>
        <v>Consented – not built</v>
      </c>
      <c r="BD40" s="28" t="str">
        <f aca="false">IF(AND(R40&lt;&gt;"",AM40&gt;1.1*R40),"Consented above capacity",IF(AND(LEFT(B40,8)="Planning",AZ40=0),"Consent parcel with no permission",IF(COUNTIF($A$2:$A$3000,$A40)&gt;1,"Duplicate parcel_id","")))</f>
        <v>Consented above capacity</v>
      </c>
    </row>
    <row r="41" customFormat="false" ht="15" hidden="false" customHeight="false" outlineLevel="0" collapsed="false">
      <c r="A41" s="15" t="s">
        <v>233</v>
      </c>
      <c r="B41" s="15" t="s">
        <v>10</v>
      </c>
      <c r="C41" s="15" t="s">
        <v>16</v>
      </c>
      <c r="D41" s="15" t="s">
        <v>53</v>
      </c>
      <c r="E41" s="15" t="s">
        <v>19</v>
      </c>
      <c r="F41" s="15" t="n">
        <v>1</v>
      </c>
      <c r="G41" s="15" t="s">
        <v>158</v>
      </c>
      <c r="H41" s="15" t="n">
        <v>101</v>
      </c>
      <c r="I41" s="15" t="s">
        <v>53</v>
      </c>
      <c r="J41" s="15" t="s">
        <v>159</v>
      </c>
      <c r="K41" s="15" t="s">
        <v>53</v>
      </c>
      <c r="L41" s="15" t="s">
        <v>176</v>
      </c>
      <c r="M41" s="15" t="s">
        <v>234</v>
      </c>
      <c r="N41" s="15" t="s">
        <v>162</v>
      </c>
      <c r="O41" s="15" t="s">
        <v>235</v>
      </c>
      <c r="P41" s="15" t="n">
        <v>0.157</v>
      </c>
      <c r="Q41" s="15" t="n">
        <v>0.158</v>
      </c>
      <c r="R41" s="15" t="n">
        <v>16</v>
      </c>
      <c r="S41" s="15" t="s">
        <v>164</v>
      </c>
      <c r="T41" s="15" t="n">
        <v>16</v>
      </c>
      <c r="U41" s="15"/>
      <c r="V41" s="15"/>
      <c r="W41" s="15"/>
      <c r="X41" s="15" t="s">
        <v>236</v>
      </c>
      <c r="Y41" s="15" t="n">
        <v>101</v>
      </c>
      <c r="Z41" s="15" t="s">
        <v>237</v>
      </c>
      <c r="AA41" s="15"/>
      <c r="AB41" s="15" t="n">
        <v>31</v>
      </c>
      <c r="AC41" s="15" t="n">
        <v>0</v>
      </c>
      <c r="AD41" s="15"/>
      <c r="AE41" s="15" t="s">
        <v>168</v>
      </c>
      <c r="AF41" s="15" t="s">
        <v>169</v>
      </c>
      <c r="AG41" s="15"/>
      <c r="AH41" s="24" t="n">
        <f aca="false">IF(R41="",AM41,R41)</f>
        <v>16</v>
      </c>
      <c r="AI41" s="24" t="n">
        <f aca="false">SUMIFS(Permissions!$G$2:$G$3000,Permissions!$B$2:$B$3000,$A41,Permissions!$I$2:$I$3000,"Complete",Permissions!$R$2:$R$3000,"Yes")</f>
        <v>0</v>
      </c>
      <c r="AJ41" s="24" t="n">
        <f aca="false">SUMIFS(Permissions!$G$2:$G$3000,Permissions!$B$2:$B$3000,$A41,Permissions!$I$2:$I$3000,"Under construction",Permissions!$R$2:$R$3000,"Yes")</f>
        <v>0</v>
      </c>
      <c r="AK41" s="24" t="n">
        <f aca="false">SUMIFS(Permissions!$G$2:$G$3000,Permissions!$B$2:$B$3000,$A41,Permissions!$I$2:$I$3000,"Permitted – not started",Permissions!$R$2:$R$3000,"Yes")</f>
        <v>0</v>
      </c>
      <c r="AL41" s="24" t="n">
        <f aca="false">SUMIFS(Permissions!$G$2:$G$3000,Permissions!$B$2:$B$3000,$A41,Permissions!$I$2:$I$3000,"Stalled",Permissions!$R$2:$R$3000,"Yes")</f>
        <v>0</v>
      </c>
      <c r="AM41" s="24" t="n">
        <f aca="false">AI41+AJ41+AK41+AL41</f>
        <v>0</v>
      </c>
      <c r="AN41" s="24" t="n">
        <f aca="false">SUMIFS(Permissions!$G$2:$G$3000,Permissions!$B$2:$B$3000,$A41,Permissions!$I$2:$I$3000,"Expired – not started",Permissions!$R$2:$R$3000,"Yes")</f>
        <v>8</v>
      </c>
      <c r="AO41" s="24" t="n">
        <f aca="false">SUMIFS(Permissions!$G$2:$G$3000,Permissions!$B$2:$B$3000,$A41,Permissions!$I$2:$I$3000,"In planning",Permissions!$R$2:$R$3000,"Yes")</f>
        <v>0</v>
      </c>
      <c r="AP41" s="24" t="n">
        <f aca="false">IF(R41="",0,MAX(R41-AM41,0))</f>
        <v>16</v>
      </c>
      <c r="AQ41" s="25" t="n">
        <f aca="false">AM41+AP41</f>
        <v>16</v>
      </c>
      <c r="AR41" s="24" t="n">
        <f aca="false">SUMIFS(Permissions!$L$2:$L$3000,Permissions!$B$2:$B$3000,$A41,Permissions!$R$2:$R$3000,"Yes",Permissions!$I$2:$I$3000,"&lt;&gt;Expired – not started",Permissions!$I$2:$I$3000,"&lt;&gt;In planning")</f>
        <v>0</v>
      </c>
      <c r="AS41" s="24" t="n">
        <f aca="false">AQ41-AR41</f>
        <v>16</v>
      </c>
      <c r="AT41" s="26" t="n">
        <f aca="false">SUMIFS(Permissions!$AJ$2:$AJ$3000,Permissions!$B$2:$B$3000,$A41,Permissions!$R$2:$R$3000,"Yes")</f>
        <v>0</v>
      </c>
      <c r="AU41" s="26" t="n">
        <f aca="false">SUMIFS(Permissions!$AK$2:$AK$3000,Permissions!$B$2:$B$3000,$A41,Permissions!$R$2:$R$3000,"Yes")</f>
        <v>0</v>
      </c>
      <c r="AV41" s="26" t="n">
        <f aca="false">SUMIFS(Permissions!$AL$2:$AL$3000,Permissions!$B$2:$B$3000,$A41,Permissions!$R$2:$R$3000,"Yes")</f>
        <v>0</v>
      </c>
      <c r="AW41" s="26" t="n">
        <f aca="false">SUMIFS(Permissions!$AM$2:$AM$3000,Permissions!$B$2:$B$3000,$A41,Permissions!$R$2:$R$3000,"Yes")</f>
        <v>0</v>
      </c>
      <c r="AX41" s="26" t="n">
        <f aca="false">SUMIFS(Permissions!$AN$2:$AN$3000,Permissions!$B$2:$B$3000,$A41,Permissions!$R$2:$R$3000,"Yes")</f>
        <v>0</v>
      </c>
      <c r="AY41" s="26" t="n">
        <f aca="false">SUMIFS(Permissions!$AO$2:$AO$3000,Permissions!$B$2:$B$3000,$A41,Permissions!$R$2:$R$3000,"Yes")</f>
        <v>0</v>
      </c>
      <c r="AZ41" s="24" t="n">
        <f aca="false">COUNTIFS(Permissions!$B$2:$B$3000,$A41,Permissions!$R$2:$R$3000,"Yes")</f>
        <v>1</v>
      </c>
      <c r="BA41" s="24" t="n">
        <f aca="false">SUMIFS(Permissions!$M$2:$M$3000,Permissions!$B$2:$B$3000,$A41,Permissions!$R$2:$R$3000,"Yes")</f>
        <v>0</v>
      </c>
      <c r="BB41" s="24" t="n">
        <f aca="false">SUMIFS(Permissions!$O$2:$O$3000,Permissions!$B$2:$B$3000,$A41,Permissions!$R$2:$R$3000,"Yes")</f>
        <v>0</v>
      </c>
      <c r="BC41" s="27" t="str">
        <f aca="false">IF(AND(AM41&gt;0,AR41&gt;=AM41,AP41=0),"Finished",IF(AR41&gt;0,"Partly built",IF(AM41&gt;0,"Consented – not built","No consent")))</f>
        <v>No consent</v>
      </c>
      <c r="BD41" s="28" t="str">
        <f aca="false">IF(AND(R41&lt;&gt;"",AM41&gt;1.1*R41),"Consented above capacity",IF(AND(LEFT(B41,8)="Planning",AZ41=0),"Consent parcel with no permission",IF(COUNTIF($A$2:$A$3000,$A41)&gt;1,"Duplicate parcel_id","")))</f>
        <v/>
      </c>
    </row>
    <row r="42" customFormat="false" ht="15" hidden="false" customHeight="false" outlineLevel="0" collapsed="false">
      <c r="A42" s="15" t="s">
        <v>238</v>
      </c>
      <c r="B42" s="15" t="s">
        <v>10</v>
      </c>
      <c r="C42" s="15" t="s">
        <v>16</v>
      </c>
      <c r="D42" s="15" t="s">
        <v>53</v>
      </c>
      <c r="E42" s="15" t="s">
        <v>19</v>
      </c>
      <c r="F42" s="15" t="n">
        <v>1</v>
      </c>
      <c r="G42" s="15" t="s">
        <v>158</v>
      </c>
      <c r="H42" s="15" t="n">
        <v>102</v>
      </c>
      <c r="I42" s="15" t="s">
        <v>53</v>
      </c>
      <c r="J42" s="15" t="s">
        <v>182</v>
      </c>
      <c r="K42" s="15" t="s">
        <v>53</v>
      </c>
      <c r="L42" s="15" t="s">
        <v>176</v>
      </c>
      <c r="M42" s="15" t="s">
        <v>234</v>
      </c>
      <c r="N42" s="15" t="s">
        <v>172</v>
      </c>
      <c r="O42" s="15" t="s">
        <v>235</v>
      </c>
      <c r="P42" s="15" t="n">
        <v>0.118</v>
      </c>
      <c r="Q42" s="15" t="n">
        <v>0.13</v>
      </c>
      <c r="R42" s="15" t="n">
        <v>12</v>
      </c>
      <c r="S42" s="15" t="s">
        <v>239</v>
      </c>
      <c r="T42" s="15" t="n">
        <v>12</v>
      </c>
      <c r="U42" s="15"/>
      <c r="V42" s="15"/>
      <c r="W42" s="15"/>
      <c r="X42" s="15" t="s">
        <v>236</v>
      </c>
      <c r="Y42" s="15" t="n">
        <v>101</v>
      </c>
      <c r="Z42" s="15" t="s">
        <v>240</v>
      </c>
      <c r="AA42" s="15"/>
      <c r="AB42" s="15" t="n">
        <v>0</v>
      </c>
      <c r="AC42" s="15" t="n">
        <v>0</v>
      </c>
      <c r="AD42" s="15" t="s">
        <v>167</v>
      </c>
      <c r="AE42" s="15" t="s">
        <v>168</v>
      </c>
      <c r="AF42" s="15" t="s">
        <v>169</v>
      </c>
      <c r="AG42" s="15"/>
      <c r="AH42" s="24" t="n">
        <f aca="false">IF(R42="",AM42,R42)</f>
        <v>12</v>
      </c>
      <c r="AI42" s="24" t="n">
        <f aca="false">SUMIFS(Permissions!$G$2:$G$3000,Permissions!$B$2:$B$3000,$A42,Permissions!$I$2:$I$3000,"Complete",Permissions!$R$2:$R$3000,"Yes")</f>
        <v>0</v>
      </c>
      <c r="AJ42" s="24" t="n">
        <f aca="false">SUMIFS(Permissions!$G$2:$G$3000,Permissions!$B$2:$B$3000,$A42,Permissions!$I$2:$I$3000,"Under construction",Permissions!$R$2:$R$3000,"Yes")</f>
        <v>0</v>
      </c>
      <c r="AK42" s="24" t="n">
        <f aca="false">SUMIFS(Permissions!$G$2:$G$3000,Permissions!$B$2:$B$3000,$A42,Permissions!$I$2:$I$3000,"Permitted – not started",Permissions!$R$2:$R$3000,"Yes")</f>
        <v>0</v>
      </c>
      <c r="AL42" s="24" t="n">
        <f aca="false">SUMIFS(Permissions!$G$2:$G$3000,Permissions!$B$2:$B$3000,$A42,Permissions!$I$2:$I$3000,"Stalled",Permissions!$R$2:$R$3000,"Yes")</f>
        <v>0</v>
      </c>
      <c r="AM42" s="24" t="n">
        <f aca="false">AI42+AJ42+AK42+AL42</f>
        <v>0</v>
      </c>
      <c r="AN42" s="24" t="n">
        <f aca="false">SUMIFS(Permissions!$G$2:$G$3000,Permissions!$B$2:$B$3000,$A42,Permissions!$I$2:$I$3000,"Expired – not started",Permissions!$R$2:$R$3000,"Yes")</f>
        <v>0</v>
      </c>
      <c r="AO42" s="24" t="n">
        <f aca="false">SUMIFS(Permissions!$G$2:$G$3000,Permissions!$B$2:$B$3000,$A42,Permissions!$I$2:$I$3000,"In planning",Permissions!$R$2:$R$3000,"Yes")</f>
        <v>0</v>
      </c>
      <c r="AP42" s="24" t="n">
        <f aca="false">IF(R42="",0,MAX(R42-AM42,0))</f>
        <v>12</v>
      </c>
      <c r="AQ42" s="25" t="n">
        <f aca="false">AM42+AP42</f>
        <v>12</v>
      </c>
      <c r="AR42" s="24" t="n">
        <f aca="false">SUMIFS(Permissions!$L$2:$L$3000,Permissions!$B$2:$B$3000,$A42,Permissions!$R$2:$R$3000,"Yes",Permissions!$I$2:$I$3000,"&lt;&gt;Expired – not started",Permissions!$I$2:$I$3000,"&lt;&gt;In planning")</f>
        <v>0</v>
      </c>
      <c r="AS42" s="24" t="n">
        <f aca="false">AQ42-AR42</f>
        <v>12</v>
      </c>
      <c r="AT42" s="26" t="n">
        <f aca="false">SUMIFS(Permissions!$AJ$2:$AJ$3000,Permissions!$B$2:$B$3000,$A42,Permissions!$R$2:$R$3000,"Yes")</f>
        <v>0</v>
      </c>
      <c r="AU42" s="26" t="n">
        <f aca="false">SUMIFS(Permissions!$AK$2:$AK$3000,Permissions!$B$2:$B$3000,$A42,Permissions!$R$2:$R$3000,"Yes")</f>
        <v>0</v>
      </c>
      <c r="AV42" s="26" t="n">
        <f aca="false">SUMIFS(Permissions!$AL$2:$AL$3000,Permissions!$B$2:$B$3000,$A42,Permissions!$R$2:$R$3000,"Yes")</f>
        <v>0</v>
      </c>
      <c r="AW42" s="26" t="n">
        <f aca="false">SUMIFS(Permissions!$AM$2:$AM$3000,Permissions!$B$2:$B$3000,$A42,Permissions!$R$2:$R$3000,"Yes")</f>
        <v>0</v>
      </c>
      <c r="AX42" s="26" t="n">
        <f aca="false">SUMIFS(Permissions!$AN$2:$AN$3000,Permissions!$B$2:$B$3000,$A42,Permissions!$R$2:$R$3000,"Yes")</f>
        <v>0</v>
      </c>
      <c r="AY42" s="26" t="n">
        <f aca="false">SUMIFS(Permissions!$AO$2:$AO$3000,Permissions!$B$2:$B$3000,$A42,Permissions!$R$2:$R$3000,"Yes")</f>
        <v>0</v>
      </c>
      <c r="AZ42" s="24" t="n">
        <f aca="false">COUNTIFS(Permissions!$B$2:$B$3000,$A42,Permissions!$R$2:$R$3000,"Yes")</f>
        <v>0</v>
      </c>
      <c r="BA42" s="24" t="n">
        <f aca="false">SUMIFS(Permissions!$M$2:$M$3000,Permissions!$B$2:$B$3000,$A42,Permissions!$R$2:$R$3000,"Yes")</f>
        <v>0</v>
      </c>
      <c r="BB42" s="24" t="n">
        <f aca="false">SUMIFS(Permissions!$O$2:$O$3000,Permissions!$B$2:$B$3000,$A42,Permissions!$R$2:$R$3000,"Yes")</f>
        <v>0</v>
      </c>
      <c r="BC42" s="27" t="str">
        <f aca="false">IF(AND(AM42&gt;0,AR42&gt;=AM42,AP42=0),"Finished",IF(AR42&gt;0,"Partly built",IF(AM42&gt;0,"Consented – not built","No consent")))</f>
        <v>No consent</v>
      </c>
      <c r="BD42" s="28" t="str">
        <f aca="false">IF(AND(R42&lt;&gt;"",AM42&gt;1.1*R42),"Consented above capacity",IF(AND(LEFT(B42,8)="Planning",AZ42=0),"Consent parcel with no permission",IF(COUNTIF($A$2:$A$3000,$A42)&gt;1,"Duplicate parcel_id","")))</f>
        <v/>
      </c>
    </row>
    <row r="43" customFormat="false" ht="15" hidden="false" customHeight="false" outlineLevel="0" collapsed="false">
      <c r="A43" s="15" t="s">
        <v>241</v>
      </c>
      <c r="B43" s="15" t="s">
        <v>10</v>
      </c>
      <c r="C43" s="15" t="s">
        <v>16</v>
      </c>
      <c r="D43" s="15" t="s">
        <v>53</v>
      </c>
      <c r="E43" s="15" t="s">
        <v>19</v>
      </c>
      <c r="F43" s="15" t="n">
        <v>1</v>
      </c>
      <c r="G43" s="15" t="s">
        <v>158</v>
      </c>
      <c r="H43" s="15" t="n">
        <v>104</v>
      </c>
      <c r="I43" s="15" t="s">
        <v>53</v>
      </c>
      <c r="J43" s="15" t="s">
        <v>182</v>
      </c>
      <c r="K43" s="15" t="s">
        <v>53</v>
      </c>
      <c r="L43" s="15" t="s">
        <v>176</v>
      </c>
      <c r="M43" s="15" t="s">
        <v>234</v>
      </c>
      <c r="N43" s="15" t="s">
        <v>172</v>
      </c>
      <c r="O43" s="15" t="s">
        <v>235</v>
      </c>
      <c r="P43" s="15" t="n">
        <v>0.068</v>
      </c>
      <c r="Q43" s="15" t="n">
        <v>0.075</v>
      </c>
      <c r="R43" s="15" t="n">
        <v>7</v>
      </c>
      <c r="S43" s="15" t="s">
        <v>239</v>
      </c>
      <c r="T43" s="15" t="n">
        <v>7</v>
      </c>
      <c r="U43" s="15"/>
      <c r="V43" s="15"/>
      <c r="W43" s="15"/>
      <c r="X43" s="15" t="s">
        <v>236</v>
      </c>
      <c r="Y43" s="15" t="n">
        <v>101</v>
      </c>
      <c r="Z43" s="15" t="s">
        <v>240</v>
      </c>
      <c r="AA43" s="15"/>
      <c r="AB43" s="15" t="n">
        <v>0</v>
      </c>
      <c r="AC43" s="15" t="n">
        <v>0</v>
      </c>
      <c r="AD43" s="15" t="s">
        <v>167</v>
      </c>
      <c r="AE43" s="15" t="s">
        <v>168</v>
      </c>
      <c r="AF43" s="15" t="s">
        <v>169</v>
      </c>
      <c r="AG43" s="15"/>
      <c r="AH43" s="24" t="n">
        <f aca="false">IF(R43="",AM43,R43)</f>
        <v>7</v>
      </c>
      <c r="AI43" s="24" t="n">
        <f aca="false">SUMIFS(Permissions!$G$2:$G$3000,Permissions!$B$2:$B$3000,$A43,Permissions!$I$2:$I$3000,"Complete",Permissions!$R$2:$R$3000,"Yes")</f>
        <v>0</v>
      </c>
      <c r="AJ43" s="24" t="n">
        <f aca="false">SUMIFS(Permissions!$G$2:$G$3000,Permissions!$B$2:$B$3000,$A43,Permissions!$I$2:$I$3000,"Under construction",Permissions!$R$2:$R$3000,"Yes")</f>
        <v>0</v>
      </c>
      <c r="AK43" s="24" t="n">
        <f aca="false">SUMIFS(Permissions!$G$2:$G$3000,Permissions!$B$2:$B$3000,$A43,Permissions!$I$2:$I$3000,"Permitted – not started",Permissions!$R$2:$R$3000,"Yes")</f>
        <v>0</v>
      </c>
      <c r="AL43" s="24" t="n">
        <f aca="false">SUMIFS(Permissions!$G$2:$G$3000,Permissions!$B$2:$B$3000,$A43,Permissions!$I$2:$I$3000,"Stalled",Permissions!$R$2:$R$3000,"Yes")</f>
        <v>0</v>
      </c>
      <c r="AM43" s="24" t="n">
        <f aca="false">AI43+AJ43+AK43+AL43</f>
        <v>0</v>
      </c>
      <c r="AN43" s="24" t="n">
        <f aca="false">SUMIFS(Permissions!$G$2:$G$3000,Permissions!$B$2:$B$3000,$A43,Permissions!$I$2:$I$3000,"Expired – not started",Permissions!$R$2:$R$3000,"Yes")</f>
        <v>0</v>
      </c>
      <c r="AO43" s="24" t="n">
        <f aca="false">SUMIFS(Permissions!$G$2:$G$3000,Permissions!$B$2:$B$3000,$A43,Permissions!$I$2:$I$3000,"In planning",Permissions!$R$2:$R$3000,"Yes")</f>
        <v>0</v>
      </c>
      <c r="AP43" s="24" t="n">
        <f aca="false">IF(R43="",0,MAX(R43-AM43,0))</f>
        <v>7</v>
      </c>
      <c r="AQ43" s="25" t="n">
        <f aca="false">AM43+AP43</f>
        <v>7</v>
      </c>
      <c r="AR43" s="24" t="n">
        <f aca="false">SUMIFS(Permissions!$L$2:$L$3000,Permissions!$B$2:$B$3000,$A43,Permissions!$R$2:$R$3000,"Yes",Permissions!$I$2:$I$3000,"&lt;&gt;Expired – not started",Permissions!$I$2:$I$3000,"&lt;&gt;In planning")</f>
        <v>0</v>
      </c>
      <c r="AS43" s="24" t="n">
        <f aca="false">AQ43-AR43</f>
        <v>7</v>
      </c>
      <c r="AT43" s="26" t="n">
        <f aca="false">SUMIFS(Permissions!$AJ$2:$AJ$3000,Permissions!$B$2:$B$3000,$A43,Permissions!$R$2:$R$3000,"Yes")</f>
        <v>0</v>
      </c>
      <c r="AU43" s="26" t="n">
        <f aca="false">SUMIFS(Permissions!$AK$2:$AK$3000,Permissions!$B$2:$B$3000,$A43,Permissions!$R$2:$R$3000,"Yes")</f>
        <v>0</v>
      </c>
      <c r="AV43" s="26" t="n">
        <f aca="false">SUMIFS(Permissions!$AL$2:$AL$3000,Permissions!$B$2:$B$3000,$A43,Permissions!$R$2:$R$3000,"Yes")</f>
        <v>0</v>
      </c>
      <c r="AW43" s="26" t="n">
        <f aca="false">SUMIFS(Permissions!$AM$2:$AM$3000,Permissions!$B$2:$B$3000,$A43,Permissions!$R$2:$R$3000,"Yes")</f>
        <v>0</v>
      </c>
      <c r="AX43" s="26" t="n">
        <f aca="false">SUMIFS(Permissions!$AN$2:$AN$3000,Permissions!$B$2:$B$3000,$A43,Permissions!$R$2:$R$3000,"Yes")</f>
        <v>0</v>
      </c>
      <c r="AY43" s="26" t="n">
        <f aca="false">SUMIFS(Permissions!$AO$2:$AO$3000,Permissions!$B$2:$B$3000,$A43,Permissions!$R$2:$R$3000,"Yes")</f>
        <v>0</v>
      </c>
      <c r="AZ43" s="24" t="n">
        <f aca="false">COUNTIFS(Permissions!$B$2:$B$3000,$A43,Permissions!$R$2:$R$3000,"Yes")</f>
        <v>0</v>
      </c>
      <c r="BA43" s="24" t="n">
        <f aca="false">SUMIFS(Permissions!$M$2:$M$3000,Permissions!$B$2:$B$3000,$A43,Permissions!$R$2:$R$3000,"Yes")</f>
        <v>0</v>
      </c>
      <c r="BB43" s="24" t="n">
        <f aca="false">SUMIFS(Permissions!$O$2:$O$3000,Permissions!$B$2:$B$3000,$A43,Permissions!$R$2:$R$3000,"Yes")</f>
        <v>0</v>
      </c>
      <c r="BC43" s="27" t="str">
        <f aca="false">IF(AND(AM43&gt;0,AR43&gt;=AM43,AP43=0),"Finished",IF(AR43&gt;0,"Partly built",IF(AM43&gt;0,"Consented – not built","No consent")))</f>
        <v>No consent</v>
      </c>
      <c r="BD43" s="28" t="str">
        <f aca="false">IF(AND(R43&lt;&gt;"",AM43&gt;1.1*R43),"Consented above capacity",IF(AND(LEFT(B43,8)="Planning",AZ43=0),"Consent parcel with no permission",IF(COUNTIF($A$2:$A$3000,$A43)&gt;1,"Duplicate parcel_id","")))</f>
        <v/>
      </c>
    </row>
    <row r="44" customFormat="false" ht="15" hidden="false" customHeight="false" outlineLevel="0" collapsed="false">
      <c r="A44" s="15" t="s">
        <v>242</v>
      </c>
      <c r="B44" s="15" t="s">
        <v>10</v>
      </c>
      <c r="C44" s="15" t="s">
        <v>16</v>
      </c>
      <c r="D44" s="15" t="s">
        <v>53</v>
      </c>
      <c r="E44" s="15" t="s">
        <v>19</v>
      </c>
      <c r="F44" s="15" t="n">
        <v>1</v>
      </c>
      <c r="G44" s="15" t="s">
        <v>158</v>
      </c>
      <c r="H44" s="15" t="n">
        <v>105</v>
      </c>
      <c r="I44" s="15" t="s">
        <v>53</v>
      </c>
      <c r="J44" s="15" t="s">
        <v>211</v>
      </c>
      <c r="K44" s="15" t="s">
        <v>53</v>
      </c>
      <c r="L44" s="15" t="s">
        <v>176</v>
      </c>
      <c r="M44" s="15" t="s">
        <v>234</v>
      </c>
      <c r="N44" s="15" t="s">
        <v>172</v>
      </c>
      <c r="O44" s="15" t="s">
        <v>235</v>
      </c>
      <c r="P44" s="15" t="n">
        <v>0.192</v>
      </c>
      <c r="Q44" s="15" t="n">
        <v>0.211</v>
      </c>
      <c r="R44" s="15" t="n">
        <v>19</v>
      </c>
      <c r="S44" s="15" t="s">
        <v>239</v>
      </c>
      <c r="T44" s="15" t="n">
        <v>19</v>
      </c>
      <c r="U44" s="15"/>
      <c r="V44" s="15"/>
      <c r="W44" s="15"/>
      <c r="X44" s="15" t="s">
        <v>236</v>
      </c>
      <c r="Y44" s="15" t="n">
        <v>101</v>
      </c>
      <c r="Z44" s="15" t="s">
        <v>240</v>
      </c>
      <c r="AA44" s="15"/>
      <c r="AB44" s="15" t="n">
        <v>0</v>
      </c>
      <c r="AC44" s="15" t="n">
        <v>0</v>
      </c>
      <c r="AD44" s="15" t="s">
        <v>167</v>
      </c>
      <c r="AE44" s="15" t="s">
        <v>168</v>
      </c>
      <c r="AF44" s="15" t="s">
        <v>169</v>
      </c>
      <c r="AG44" s="15"/>
      <c r="AH44" s="24" t="n">
        <f aca="false">IF(R44="",AM44,R44)</f>
        <v>19</v>
      </c>
      <c r="AI44" s="24" t="n">
        <f aca="false">SUMIFS(Permissions!$G$2:$G$3000,Permissions!$B$2:$B$3000,$A44,Permissions!$I$2:$I$3000,"Complete",Permissions!$R$2:$R$3000,"Yes")</f>
        <v>0</v>
      </c>
      <c r="AJ44" s="24" t="n">
        <f aca="false">SUMIFS(Permissions!$G$2:$G$3000,Permissions!$B$2:$B$3000,$A44,Permissions!$I$2:$I$3000,"Under construction",Permissions!$R$2:$R$3000,"Yes")</f>
        <v>0</v>
      </c>
      <c r="AK44" s="24" t="n">
        <f aca="false">SUMIFS(Permissions!$G$2:$G$3000,Permissions!$B$2:$B$3000,$A44,Permissions!$I$2:$I$3000,"Permitted – not started",Permissions!$R$2:$R$3000,"Yes")</f>
        <v>0</v>
      </c>
      <c r="AL44" s="24" t="n">
        <f aca="false">SUMIFS(Permissions!$G$2:$G$3000,Permissions!$B$2:$B$3000,$A44,Permissions!$I$2:$I$3000,"Stalled",Permissions!$R$2:$R$3000,"Yes")</f>
        <v>0</v>
      </c>
      <c r="AM44" s="24" t="n">
        <f aca="false">AI44+AJ44+AK44+AL44</f>
        <v>0</v>
      </c>
      <c r="AN44" s="24" t="n">
        <f aca="false">SUMIFS(Permissions!$G$2:$G$3000,Permissions!$B$2:$B$3000,$A44,Permissions!$I$2:$I$3000,"Expired – not started",Permissions!$R$2:$R$3000,"Yes")</f>
        <v>0</v>
      </c>
      <c r="AO44" s="24" t="n">
        <f aca="false">SUMIFS(Permissions!$G$2:$G$3000,Permissions!$B$2:$B$3000,$A44,Permissions!$I$2:$I$3000,"In planning",Permissions!$R$2:$R$3000,"Yes")</f>
        <v>0</v>
      </c>
      <c r="AP44" s="24" t="n">
        <f aca="false">IF(R44="",0,MAX(R44-AM44,0))</f>
        <v>19</v>
      </c>
      <c r="AQ44" s="25" t="n">
        <f aca="false">AM44+AP44</f>
        <v>19</v>
      </c>
      <c r="AR44" s="24" t="n">
        <f aca="false">SUMIFS(Permissions!$L$2:$L$3000,Permissions!$B$2:$B$3000,$A44,Permissions!$R$2:$R$3000,"Yes",Permissions!$I$2:$I$3000,"&lt;&gt;Expired – not started",Permissions!$I$2:$I$3000,"&lt;&gt;In planning")</f>
        <v>0</v>
      </c>
      <c r="AS44" s="24" t="n">
        <f aca="false">AQ44-AR44</f>
        <v>19</v>
      </c>
      <c r="AT44" s="26" t="n">
        <f aca="false">SUMIFS(Permissions!$AJ$2:$AJ$3000,Permissions!$B$2:$B$3000,$A44,Permissions!$R$2:$R$3000,"Yes")</f>
        <v>0</v>
      </c>
      <c r="AU44" s="26" t="n">
        <f aca="false">SUMIFS(Permissions!$AK$2:$AK$3000,Permissions!$B$2:$B$3000,$A44,Permissions!$R$2:$R$3000,"Yes")</f>
        <v>0</v>
      </c>
      <c r="AV44" s="26" t="n">
        <f aca="false">SUMIFS(Permissions!$AL$2:$AL$3000,Permissions!$B$2:$B$3000,$A44,Permissions!$R$2:$R$3000,"Yes")</f>
        <v>0</v>
      </c>
      <c r="AW44" s="26" t="n">
        <f aca="false">SUMIFS(Permissions!$AM$2:$AM$3000,Permissions!$B$2:$B$3000,$A44,Permissions!$R$2:$R$3000,"Yes")</f>
        <v>0</v>
      </c>
      <c r="AX44" s="26" t="n">
        <f aca="false">SUMIFS(Permissions!$AN$2:$AN$3000,Permissions!$B$2:$B$3000,$A44,Permissions!$R$2:$R$3000,"Yes")</f>
        <v>0</v>
      </c>
      <c r="AY44" s="26" t="n">
        <f aca="false">SUMIFS(Permissions!$AO$2:$AO$3000,Permissions!$B$2:$B$3000,$A44,Permissions!$R$2:$R$3000,"Yes")</f>
        <v>0</v>
      </c>
      <c r="AZ44" s="24" t="n">
        <f aca="false">COUNTIFS(Permissions!$B$2:$B$3000,$A44,Permissions!$R$2:$R$3000,"Yes")</f>
        <v>0</v>
      </c>
      <c r="BA44" s="24" t="n">
        <f aca="false">SUMIFS(Permissions!$M$2:$M$3000,Permissions!$B$2:$B$3000,$A44,Permissions!$R$2:$R$3000,"Yes")</f>
        <v>0</v>
      </c>
      <c r="BB44" s="24" t="n">
        <f aca="false">SUMIFS(Permissions!$O$2:$O$3000,Permissions!$B$2:$B$3000,$A44,Permissions!$R$2:$R$3000,"Yes")</f>
        <v>0</v>
      </c>
      <c r="BC44" s="27" t="str">
        <f aca="false">IF(AND(AM44&gt;0,AR44&gt;=AM44,AP44=0),"Finished",IF(AR44&gt;0,"Partly built",IF(AM44&gt;0,"Consented – not built","No consent")))</f>
        <v>No consent</v>
      </c>
      <c r="BD44" s="28" t="str">
        <f aca="false">IF(AND(R44&lt;&gt;"",AM44&gt;1.1*R44),"Consented above capacity",IF(AND(LEFT(B44,8)="Planning",AZ44=0),"Consent parcel with no permission",IF(COUNTIF($A$2:$A$3000,$A44)&gt;1,"Duplicate parcel_id","")))</f>
        <v/>
      </c>
    </row>
    <row r="45" customFormat="false" ht="15" hidden="false" customHeight="false" outlineLevel="0" collapsed="false">
      <c r="A45" s="15" t="s">
        <v>243</v>
      </c>
      <c r="B45" s="15" t="s">
        <v>10</v>
      </c>
      <c r="C45" s="15" t="s">
        <v>16</v>
      </c>
      <c r="D45" s="15" t="s">
        <v>53</v>
      </c>
      <c r="E45" s="15" t="s">
        <v>19</v>
      </c>
      <c r="F45" s="15" t="n">
        <v>1</v>
      </c>
      <c r="G45" s="15" t="s">
        <v>158</v>
      </c>
      <c r="H45" s="15" t="n">
        <v>106</v>
      </c>
      <c r="I45" s="15" t="s">
        <v>53</v>
      </c>
      <c r="J45" s="15" t="s">
        <v>159</v>
      </c>
      <c r="K45" s="15" t="s">
        <v>53</v>
      </c>
      <c r="L45" s="15" t="s">
        <v>160</v>
      </c>
      <c r="M45" s="15" t="s">
        <v>171</v>
      </c>
      <c r="N45" s="15" t="s">
        <v>162</v>
      </c>
      <c r="O45" s="15" t="s">
        <v>163</v>
      </c>
      <c r="P45" s="15" t="n">
        <v>0.14</v>
      </c>
      <c r="Q45" s="15" t="n">
        <v>0.141</v>
      </c>
      <c r="R45" s="15" t="n">
        <v>36</v>
      </c>
      <c r="S45" s="15" t="s">
        <v>164</v>
      </c>
      <c r="T45" s="15" t="n">
        <v>14</v>
      </c>
      <c r="U45" s="15"/>
      <c r="V45" s="15"/>
      <c r="W45" s="15"/>
      <c r="X45" s="15" t="s">
        <v>236</v>
      </c>
      <c r="Y45" s="15" t="n">
        <v>101</v>
      </c>
      <c r="Z45" s="15" t="s">
        <v>237</v>
      </c>
      <c r="AA45" s="15"/>
      <c r="AB45" s="15" t="n">
        <v>0</v>
      </c>
      <c r="AC45" s="15" t="n">
        <v>0</v>
      </c>
      <c r="AD45" s="15" t="s">
        <v>186</v>
      </c>
      <c r="AE45" s="15" t="s">
        <v>168</v>
      </c>
      <c r="AF45" s="15" t="s">
        <v>169</v>
      </c>
      <c r="AG45" s="15"/>
      <c r="AH45" s="24" t="n">
        <f aca="false">IF(R45="",AM45,R45)</f>
        <v>36</v>
      </c>
      <c r="AI45" s="24" t="n">
        <f aca="false">SUMIFS(Permissions!$G$2:$G$3000,Permissions!$B$2:$B$3000,$A45,Permissions!$I$2:$I$3000,"Complete",Permissions!$R$2:$R$3000,"Yes")</f>
        <v>0</v>
      </c>
      <c r="AJ45" s="24" t="n">
        <f aca="false">SUMIFS(Permissions!$G$2:$G$3000,Permissions!$B$2:$B$3000,$A45,Permissions!$I$2:$I$3000,"Under construction",Permissions!$R$2:$R$3000,"Yes")</f>
        <v>36</v>
      </c>
      <c r="AK45" s="24" t="n">
        <f aca="false">SUMIFS(Permissions!$G$2:$G$3000,Permissions!$B$2:$B$3000,$A45,Permissions!$I$2:$I$3000,"Permitted – not started",Permissions!$R$2:$R$3000,"Yes")</f>
        <v>0</v>
      </c>
      <c r="AL45" s="24" t="n">
        <f aca="false">SUMIFS(Permissions!$G$2:$G$3000,Permissions!$B$2:$B$3000,$A45,Permissions!$I$2:$I$3000,"Stalled",Permissions!$R$2:$R$3000,"Yes")</f>
        <v>0</v>
      </c>
      <c r="AM45" s="24" t="n">
        <f aca="false">AI45+AJ45+AK45+AL45</f>
        <v>36</v>
      </c>
      <c r="AN45" s="24" t="n">
        <f aca="false">SUMIFS(Permissions!$G$2:$G$3000,Permissions!$B$2:$B$3000,$A45,Permissions!$I$2:$I$3000,"Expired – not started",Permissions!$R$2:$R$3000,"Yes")</f>
        <v>0</v>
      </c>
      <c r="AO45" s="24" t="n">
        <f aca="false">SUMIFS(Permissions!$G$2:$G$3000,Permissions!$B$2:$B$3000,$A45,Permissions!$I$2:$I$3000,"In planning",Permissions!$R$2:$R$3000,"Yes")</f>
        <v>0</v>
      </c>
      <c r="AP45" s="24" t="n">
        <f aca="false">IF(R45="",0,MAX(R45-AM45,0))</f>
        <v>0</v>
      </c>
      <c r="AQ45" s="25" t="n">
        <f aca="false">AM45+AP45</f>
        <v>36</v>
      </c>
      <c r="AR45" s="24" t="n">
        <f aca="false">SUMIFS(Permissions!$L$2:$L$3000,Permissions!$B$2:$B$3000,$A45,Permissions!$R$2:$R$3000,"Yes",Permissions!$I$2:$I$3000,"&lt;&gt;Expired – not started",Permissions!$I$2:$I$3000,"&lt;&gt;In planning")</f>
        <v>0</v>
      </c>
      <c r="AS45" s="24" t="n">
        <f aca="false">AQ45-AR45</f>
        <v>36</v>
      </c>
      <c r="AT45" s="26" t="n">
        <f aca="false">SUMIFS(Permissions!$AJ$2:$AJ$3000,Permissions!$B$2:$B$3000,$A45,Permissions!$R$2:$R$3000,"Yes")</f>
        <v>8.4</v>
      </c>
      <c r="AU45" s="26" t="n">
        <f aca="false">SUMIFS(Permissions!$AK$2:$AK$3000,Permissions!$B$2:$B$3000,$A45,Permissions!$R$2:$R$3000,"Yes")</f>
        <v>27.6</v>
      </c>
      <c r="AV45" s="26" t="n">
        <f aca="false">SUMIFS(Permissions!$AL$2:$AL$3000,Permissions!$B$2:$B$3000,$A45,Permissions!$R$2:$R$3000,"Yes")</f>
        <v>0</v>
      </c>
      <c r="AW45" s="26" t="n">
        <f aca="false">SUMIFS(Permissions!$AM$2:$AM$3000,Permissions!$B$2:$B$3000,$A45,Permissions!$R$2:$R$3000,"Yes")</f>
        <v>0</v>
      </c>
      <c r="AX45" s="26" t="n">
        <f aca="false">SUMIFS(Permissions!$AN$2:$AN$3000,Permissions!$B$2:$B$3000,$A45,Permissions!$R$2:$R$3000,"Yes")</f>
        <v>0</v>
      </c>
      <c r="AY45" s="26" t="n">
        <f aca="false">SUMIFS(Permissions!$AO$2:$AO$3000,Permissions!$B$2:$B$3000,$A45,Permissions!$R$2:$R$3000,"Yes")</f>
        <v>0</v>
      </c>
      <c r="AZ45" s="24" t="n">
        <f aca="false">COUNTIFS(Permissions!$B$2:$B$3000,$A45,Permissions!$R$2:$R$3000,"Yes")</f>
        <v>1</v>
      </c>
      <c r="BA45" s="24" t="n">
        <f aca="false">SUMIFS(Permissions!$M$2:$M$3000,Permissions!$B$2:$B$3000,$A45,Permissions!$R$2:$R$3000,"Yes")</f>
        <v>0</v>
      </c>
      <c r="BB45" s="24" t="n">
        <f aca="false">SUMIFS(Permissions!$O$2:$O$3000,Permissions!$B$2:$B$3000,$A45,Permissions!$R$2:$R$3000,"Yes")</f>
        <v>0</v>
      </c>
      <c r="BC45" s="27" t="str">
        <f aca="false">IF(AND(AM45&gt;0,AR45&gt;=AM45,AP45=0),"Finished",IF(AR45&gt;0,"Partly built",IF(AM45&gt;0,"Consented – not built","No consent")))</f>
        <v>Consented – not built</v>
      </c>
      <c r="BD45" s="28" t="str">
        <f aca="false">IF(AND(R45&lt;&gt;"",AM45&gt;1.1*R45),"Consented above capacity",IF(AND(LEFT(B45,8)="Planning",AZ45=0),"Consent parcel with no permission",IF(COUNTIF($A$2:$A$3000,$A45)&gt;1,"Duplicate parcel_id","")))</f>
        <v/>
      </c>
    </row>
    <row r="46" customFormat="false" ht="15" hidden="false" customHeight="false" outlineLevel="0" collapsed="false">
      <c r="A46" s="15" t="s">
        <v>244</v>
      </c>
      <c r="B46" s="15" t="s">
        <v>10</v>
      </c>
      <c r="C46" s="15" t="s">
        <v>16</v>
      </c>
      <c r="D46" s="15" t="s">
        <v>53</v>
      </c>
      <c r="E46" s="15" t="s">
        <v>19</v>
      </c>
      <c r="F46" s="15" t="n">
        <v>0.62</v>
      </c>
      <c r="G46" s="15" t="s">
        <v>158</v>
      </c>
      <c r="H46" s="15" t="n">
        <v>107</v>
      </c>
      <c r="I46" s="15" t="s">
        <v>53</v>
      </c>
      <c r="J46" s="15" t="s">
        <v>211</v>
      </c>
      <c r="K46" s="15" t="s">
        <v>53</v>
      </c>
      <c r="L46" s="15" t="s">
        <v>160</v>
      </c>
      <c r="M46" s="15" t="s">
        <v>234</v>
      </c>
      <c r="N46" s="15" t="s">
        <v>162</v>
      </c>
      <c r="O46" s="15" t="s">
        <v>235</v>
      </c>
      <c r="P46" s="15" t="n">
        <v>68.48</v>
      </c>
      <c r="Q46" s="15" t="n">
        <v>68.509</v>
      </c>
      <c r="R46" s="15" t="n">
        <v>2500</v>
      </c>
      <c r="S46" s="15" t="s">
        <v>164</v>
      </c>
      <c r="T46" s="15" t="n">
        <v>2328</v>
      </c>
      <c r="U46" s="15"/>
      <c r="V46" s="15"/>
      <c r="W46" s="15"/>
      <c r="X46" s="15" t="s">
        <v>165</v>
      </c>
      <c r="Y46" s="15" t="n">
        <v>34</v>
      </c>
      <c r="Z46" s="15" t="s">
        <v>166</v>
      </c>
      <c r="AA46" s="15"/>
      <c r="AB46" s="15" t="n">
        <v>285</v>
      </c>
      <c r="AC46" s="15" t="n">
        <v>19</v>
      </c>
      <c r="AD46" s="15" t="s">
        <v>167</v>
      </c>
      <c r="AE46" s="15" t="s">
        <v>168</v>
      </c>
      <c r="AF46" s="15" t="s">
        <v>169</v>
      </c>
      <c r="AG46" s="15"/>
      <c r="AH46" s="24" t="n">
        <f aca="false">IF(R46="",AM46,R46)</f>
        <v>2500</v>
      </c>
      <c r="AI46" s="24" t="n">
        <f aca="false">SUMIFS(Permissions!$G$2:$G$3000,Permissions!$B$2:$B$3000,$A46,Permissions!$I$2:$I$3000,"Complete",Permissions!$R$2:$R$3000,"Yes")</f>
        <v>11</v>
      </c>
      <c r="AJ46" s="24" t="n">
        <f aca="false">SUMIFS(Permissions!$G$2:$G$3000,Permissions!$B$2:$B$3000,$A46,Permissions!$I$2:$I$3000,"Under construction",Permissions!$R$2:$R$3000,"Yes")</f>
        <v>0</v>
      </c>
      <c r="AK46" s="24" t="n">
        <f aca="false">SUMIFS(Permissions!$G$2:$G$3000,Permissions!$B$2:$B$3000,$A46,Permissions!$I$2:$I$3000,"Permitted – not started",Permissions!$R$2:$R$3000,"Yes")</f>
        <v>0</v>
      </c>
      <c r="AL46" s="24" t="n">
        <f aca="false">SUMIFS(Permissions!$G$2:$G$3000,Permissions!$B$2:$B$3000,$A46,Permissions!$I$2:$I$3000,"Stalled",Permissions!$R$2:$R$3000,"Yes")</f>
        <v>0</v>
      </c>
      <c r="AM46" s="24" t="n">
        <f aca="false">AI46+AJ46+AK46+AL46</f>
        <v>11</v>
      </c>
      <c r="AN46" s="24" t="n">
        <f aca="false">SUMIFS(Permissions!$G$2:$G$3000,Permissions!$B$2:$B$3000,$A46,Permissions!$I$2:$I$3000,"Expired – not started",Permissions!$R$2:$R$3000,"Yes")</f>
        <v>0</v>
      </c>
      <c r="AO46" s="24" t="n">
        <f aca="false">SUMIFS(Permissions!$G$2:$G$3000,Permissions!$B$2:$B$3000,$A46,Permissions!$I$2:$I$3000,"In planning",Permissions!$R$2:$R$3000,"Yes")</f>
        <v>4</v>
      </c>
      <c r="AP46" s="24" t="n">
        <f aca="false">IF(R46="",0,MAX(R46-AM46,0))</f>
        <v>2489</v>
      </c>
      <c r="AQ46" s="25" t="n">
        <f aca="false">AM46+AP46</f>
        <v>2500</v>
      </c>
      <c r="AR46" s="24" t="n">
        <f aca="false">SUMIFS(Permissions!$L$2:$L$3000,Permissions!$B$2:$B$3000,$A46,Permissions!$R$2:$R$3000,"Yes",Permissions!$I$2:$I$3000,"&lt;&gt;Expired – not started",Permissions!$I$2:$I$3000,"&lt;&gt;In planning")</f>
        <v>11</v>
      </c>
      <c r="AS46" s="24" t="n">
        <f aca="false">AQ46-AR46</f>
        <v>2489</v>
      </c>
      <c r="AT46" s="26" t="n">
        <f aca="false">SUMIFS(Permissions!$AJ$2:$AJ$3000,Permissions!$B$2:$B$3000,$A46,Permissions!$R$2:$R$3000,"Yes")</f>
        <v>0</v>
      </c>
      <c r="AU46" s="26" t="n">
        <f aca="false">SUMIFS(Permissions!$AK$2:$AK$3000,Permissions!$B$2:$B$3000,$A46,Permissions!$R$2:$R$3000,"Yes")</f>
        <v>0</v>
      </c>
      <c r="AV46" s="26" t="n">
        <f aca="false">SUMIFS(Permissions!$AL$2:$AL$3000,Permissions!$B$2:$B$3000,$A46,Permissions!$R$2:$R$3000,"Yes")</f>
        <v>0</v>
      </c>
      <c r="AW46" s="26" t="n">
        <f aca="false">SUMIFS(Permissions!$AM$2:$AM$3000,Permissions!$B$2:$B$3000,$A46,Permissions!$R$2:$R$3000,"Yes")</f>
        <v>0</v>
      </c>
      <c r="AX46" s="26" t="n">
        <f aca="false">SUMIFS(Permissions!$AN$2:$AN$3000,Permissions!$B$2:$B$3000,$A46,Permissions!$R$2:$R$3000,"Yes")</f>
        <v>0</v>
      </c>
      <c r="AY46" s="26" t="n">
        <f aca="false">SUMIFS(Permissions!$AO$2:$AO$3000,Permissions!$B$2:$B$3000,$A46,Permissions!$R$2:$R$3000,"Yes")</f>
        <v>0</v>
      </c>
      <c r="AZ46" s="24" t="n">
        <f aca="false">COUNTIFS(Permissions!$B$2:$B$3000,$A46,Permissions!$R$2:$R$3000,"Yes")</f>
        <v>2</v>
      </c>
      <c r="BA46" s="24" t="n">
        <f aca="false">SUMIFS(Permissions!$M$2:$M$3000,Permissions!$B$2:$B$3000,$A46,Permissions!$R$2:$R$3000,"Yes")</f>
        <v>11</v>
      </c>
      <c r="BB46" s="24" t="n">
        <f aca="false">SUMIFS(Permissions!$O$2:$O$3000,Permissions!$B$2:$B$3000,$A46,Permissions!$R$2:$R$3000,"Yes")</f>
        <v>0</v>
      </c>
      <c r="BC46" s="27" t="str">
        <f aca="false">IF(AND(AM46&gt;0,AR46&gt;=AM46,AP46=0),"Finished",IF(AR46&gt;0,"Partly built",IF(AM46&gt;0,"Consented – not built","No consent")))</f>
        <v>Partly built</v>
      </c>
      <c r="BD46" s="28" t="str">
        <f aca="false">IF(AND(R46&lt;&gt;"",AM46&gt;1.1*R46),"Consented above capacity",IF(AND(LEFT(B46,8)="Planning",AZ46=0),"Consent parcel with no permission",IF(COUNTIF($A$2:$A$3000,$A46)&gt;1,"Duplicate parcel_id","")))</f>
        <v/>
      </c>
    </row>
    <row r="47" customFormat="false" ht="15" hidden="false" customHeight="false" outlineLevel="0" collapsed="false">
      <c r="A47" s="15" t="s">
        <v>245</v>
      </c>
      <c r="B47" s="15" t="s">
        <v>10</v>
      </c>
      <c r="C47" s="15" t="s">
        <v>16</v>
      </c>
      <c r="D47" s="15" t="s">
        <v>53</v>
      </c>
      <c r="E47" s="15" t="s">
        <v>19</v>
      </c>
      <c r="F47" s="15" t="n">
        <v>1</v>
      </c>
      <c r="G47" s="15" t="s">
        <v>158</v>
      </c>
      <c r="H47" s="15" t="n">
        <v>108</v>
      </c>
      <c r="I47" s="15" t="s">
        <v>53</v>
      </c>
      <c r="J47" s="15" t="s">
        <v>182</v>
      </c>
      <c r="K47" s="15" t="s">
        <v>53</v>
      </c>
      <c r="L47" s="15" t="s">
        <v>176</v>
      </c>
      <c r="M47" s="15" t="s">
        <v>161</v>
      </c>
      <c r="N47" s="15" t="s">
        <v>172</v>
      </c>
      <c r="O47" s="15" t="s">
        <v>163</v>
      </c>
      <c r="P47" s="15" t="n">
        <v>0.297</v>
      </c>
      <c r="Q47" s="15" t="n">
        <v>0.297</v>
      </c>
      <c r="R47" s="15" t="n">
        <v>13</v>
      </c>
      <c r="S47" s="15" t="s">
        <v>164</v>
      </c>
      <c r="T47" s="15" t="n">
        <v>30</v>
      </c>
      <c r="U47" s="15"/>
      <c r="V47" s="15"/>
      <c r="W47" s="15"/>
      <c r="X47" s="15" t="s">
        <v>236</v>
      </c>
      <c r="Y47" s="15" t="n">
        <v>101</v>
      </c>
      <c r="Z47" s="15" t="s">
        <v>237</v>
      </c>
      <c r="AA47" s="15"/>
      <c r="AB47" s="15" t="n">
        <v>0</v>
      </c>
      <c r="AC47" s="15" t="n">
        <v>0</v>
      </c>
      <c r="AD47" s="15" t="s">
        <v>167</v>
      </c>
      <c r="AE47" s="15" t="s">
        <v>168</v>
      </c>
      <c r="AF47" s="15" t="s">
        <v>169</v>
      </c>
      <c r="AG47" s="15"/>
      <c r="AH47" s="24" t="n">
        <f aca="false">IF(R47="",AM47,R47)</f>
        <v>13</v>
      </c>
      <c r="AI47" s="24" t="n">
        <f aca="false">SUMIFS(Permissions!$G$2:$G$3000,Permissions!$B$2:$B$3000,$A47,Permissions!$I$2:$I$3000,"Complete",Permissions!$R$2:$R$3000,"Yes")</f>
        <v>0</v>
      </c>
      <c r="AJ47" s="24" t="n">
        <f aca="false">SUMIFS(Permissions!$G$2:$G$3000,Permissions!$B$2:$B$3000,$A47,Permissions!$I$2:$I$3000,"Under construction",Permissions!$R$2:$R$3000,"Yes")</f>
        <v>0</v>
      </c>
      <c r="AK47" s="24" t="n">
        <f aca="false">SUMIFS(Permissions!$G$2:$G$3000,Permissions!$B$2:$B$3000,$A47,Permissions!$I$2:$I$3000,"Permitted – not started",Permissions!$R$2:$R$3000,"Yes")</f>
        <v>0</v>
      </c>
      <c r="AL47" s="24" t="n">
        <f aca="false">SUMIFS(Permissions!$G$2:$G$3000,Permissions!$B$2:$B$3000,$A47,Permissions!$I$2:$I$3000,"Stalled",Permissions!$R$2:$R$3000,"Yes")</f>
        <v>0</v>
      </c>
      <c r="AM47" s="24" t="n">
        <f aca="false">AI47+AJ47+AK47+AL47</f>
        <v>0</v>
      </c>
      <c r="AN47" s="24" t="n">
        <f aca="false">SUMIFS(Permissions!$G$2:$G$3000,Permissions!$B$2:$B$3000,$A47,Permissions!$I$2:$I$3000,"Expired – not started",Permissions!$R$2:$R$3000,"Yes")</f>
        <v>0</v>
      </c>
      <c r="AO47" s="24" t="n">
        <f aca="false">SUMIFS(Permissions!$G$2:$G$3000,Permissions!$B$2:$B$3000,$A47,Permissions!$I$2:$I$3000,"In planning",Permissions!$R$2:$R$3000,"Yes")</f>
        <v>0</v>
      </c>
      <c r="AP47" s="24" t="n">
        <f aca="false">IF(R47="",0,MAX(R47-AM47,0))</f>
        <v>13</v>
      </c>
      <c r="AQ47" s="25" t="n">
        <f aca="false">AM47+AP47</f>
        <v>13</v>
      </c>
      <c r="AR47" s="24" t="n">
        <f aca="false">SUMIFS(Permissions!$L$2:$L$3000,Permissions!$B$2:$B$3000,$A47,Permissions!$R$2:$R$3000,"Yes",Permissions!$I$2:$I$3000,"&lt;&gt;Expired – not started",Permissions!$I$2:$I$3000,"&lt;&gt;In planning")</f>
        <v>0</v>
      </c>
      <c r="AS47" s="24" t="n">
        <f aca="false">AQ47-AR47</f>
        <v>13</v>
      </c>
      <c r="AT47" s="26" t="n">
        <f aca="false">SUMIFS(Permissions!$AJ$2:$AJ$3000,Permissions!$B$2:$B$3000,$A47,Permissions!$R$2:$R$3000,"Yes")</f>
        <v>0</v>
      </c>
      <c r="AU47" s="26" t="n">
        <f aca="false">SUMIFS(Permissions!$AK$2:$AK$3000,Permissions!$B$2:$B$3000,$A47,Permissions!$R$2:$R$3000,"Yes")</f>
        <v>0</v>
      </c>
      <c r="AV47" s="26" t="n">
        <f aca="false">SUMIFS(Permissions!$AL$2:$AL$3000,Permissions!$B$2:$B$3000,$A47,Permissions!$R$2:$R$3000,"Yes")</f>
        <v>0</v>
      </c>
      <c r="AW47" s="26" t="n">
        <f aca="false">SUMIFS(Permissions!$AM$2:$AM$3000,Permissions!$B$2:$B$3000,$A47,Permissions!$R$2:$R$3000,"Yes")</f>
        <v>0</v>
      </c>
      <c r="AX47" s="26" t="n">
        <f aca="false">SUMIFS(Permissions!$AN$2:$AN$3000,Permissions!$B$2:$B$3000,$A47,Permissions!$R$2:$R$3000,"Yes")</f>
        <v>0</v>
      </c>
      <c r="AY47" s="26" t="n">
        <f aca="false">SUMIFS(Permissions!$AO$2:$AO$3000,Permissions!$B$2:$B$3000,$A47,Permissions!$R$2:$R$3000,"Yes")</f>
        <v>0</v>
      </c>
      <c r="AZ47" s="24" t="n">
        <f aca="false">COUNTIFS(Permissions!$B$2:$B$3000,$A47,Permissions!$R$2:$R$3000,"Yes")</f>
        <v>0</v>
      </c>
      <c r="BA47" s="24" t="n">
        <f aca="false">SUMIFS(Permissions!$M$2:$M$3000,Permissions!$B$2:$B$3000,$A47,Permissions!$R$2:$R$3000,"Yes")</f>
        <v>0</v>
      </c>
      <c r="BB47" s="24" t="n">
        <f aca="false">SUMIFS(Permissions!$O$2:$O$3000,Permissions!$B$2:$B$3000,$A47,Permissions!$R$2:$R$3000,"Yes")</f>
        <v>0</v>
      </c>
      <c r="BC47" s="27" t="str">
        <f aca="false">IF(AND(AM47&gt;0,AR47&gt;=AM47,AP47=0),"Finished",IF(AR47&gt;0,"Partly built",IF(AM47&gt;0,"Consented – not built","No consent")))</f>
        <v>No consent</v>
      </c>
      <c r="BD47" s="28" t="str">
        <f aca="false">IF(AND(R47&lt;&gt;"",AM47&gt;1.1*R47),"Consented above capacity",IF(AND(LEFT(B47,8)="Planning",AZ47=0),"Consent parcel with no permission",IF(COUNTIF($A$2:$A$3000,$A47)&gt;1,"Duplicate parcel_id","")))</f>
        <v/>
      </c>
    </row>
    <row r="48" customFormat="false" ht="15" hidden="false" customHeight="false" outlineLevel="0" collapsed="false">
      <c r="A48" s="15" t="s">
        <v>246</v>
      </c>
      <c r="B48" s="15" t="s">
        <v>10</v>
      </c>
      <c r="C48" s="15" t="s">
        <v>16</v>
      </c>
      <c r="D48" s="15" t="s">
        <v>53</v>
      </c>
      <c r="E48" s="15" t="s">
        <v>19</v>
      </c>
      <c r="F48" s="15" t="n">
        <v>1</v>
      </c>
      <c r="G48" s="15" t="s">
        <v>158</v>
      </c>
      <c r="H48" s="15" t="n">
        <v>162</v>
      </c>
      <c r="I48" s="15" t="s">
        <v>53</v>
      </c>
      <c r="J48" s="15" t="s">
        <v>159</v>
      </c>
      <c r="K48" s="15"/>
      <c r="L48" s="15" t="s">
        <v>189</v>
      </c>
      <c r="M48" s="15"/>
      <c r="N48" s="15"/>
      <c r="O48" s="15"/>
      <c r="P48" s="15" t="n">
        <v>1.391</v>
      </c>
      <c r="Q48" s="15" t="n">
        <v>1.39</v>
      </c>
      <c r="R48" s="15" t="n">
        <v>139</v>
      </c>
      <c r="S48" s="15" t="s">
        <v>164</v>
      </c>
      <c r="T48" s="15" t="n">
        <v>140</v>
      </c>
      <c r="U48" s="15"/>
      <c r="V48" s="15"/>
      <c r="W48" s="15"/>
      <c r="X48" s="15" t="s">
        <v>236</v>
      </c>
      <c r="Y48" s="15" t="n">
        <v>101</v>
      </c>
      <c r="Z48" s="15" t="s">
        <v>237</v>
      </c>
      <c r="AA48" s="15"/>
      <c r="AB48" s="15" t="n">
        <v>0</v>
      </c>
      <c r="AC48" s="15" t="n">
        <v>0</v>
      </c>
      <c r="AD48" s="15"/>
      <c r="AE48" s="15" t="s">
        <v>198</v>
      </c>
      <c r="AF48" s="15" t="s">
        <v>169</v>
      </c>
      <c r="AG48" s="15"/>
      <c r="AH48" s="24" t="n">
        <f aca="false">IF(R48="",AM48,R48)</f>
        <v>139</v>
      </c>
      <c r="AI48" s="24" t="n">
        <f aca="false">SUMIFS(Permissions!$G$2:$G$3000,Permissions!$B$2:$B$3000,$A48,Permissions!$I$2:$I$3000,"Complete",Permissions!$R$2:$R$3000,"Yes")</f>
        <v>0</v>
      </c>
      <c r="AJ48" s="24" t="n">
        <f aca="false">SUMIFS(Permissions!$G$2:$G$3000,Permissions!$B$2:$B$3000,$A48,Permissions!$I$2:$I$3000,"Under construction",Permissions!$R$2:$R$3000,"Yes")</f>
        <v>0</v>
      </c>
      <c r="AK48" s="24" t="n">
        <f aca="false">SUMIFS(Permissions!$G$2:$G$3000,Permissions!$B$2:$B$3000,$A48,Permissions!$I$2:$I$3000,"Permitted – not started",Permissions!$R$2:$R$3000,"Yes")</f>
        <v>0</v>
      </c>
      <c r="AL48" s="24" t="n">
        <f aca="false">SUMIFS(Permissions!$G$2:$G$3000,Permissions!$B$2:$B$3000,$A48,Permissions!$I$2:$I$3000,"Stalled",Permissions!$R$2:$R$3000,"Yes")</f>
        <v>0</v>
      </c>
      <c r="AM48" s="24" t="n">
        <f aca="false">AI48+AJ48+AK48+AL48</f>
        <v>0</v>
      </c>
      <c r="AN48" s="24" t="n">
        <f aca="false">SUMIFS(Permissions!$G$2:$G$3000,Permissions!$B$2:$B$3000,$A48,Permissions!$I$2:$I$3000,"Expired – not started",Permissions!$R$2:$R$3000,"Yes")</f>
        <v>0</v>
      </c>
      <c r="AO48" s="24" t="n">
        <f aca="false">SUMIFS(Permissions!$G$2:$G$3000,Permissions!$B$2:$B$3000,$A48,Permissions!$I$2:$I$3000,"In planning",Permissions!$R$2:$R$3000,"Yes")</f>
        <v>0</v>
      </c>
      <c r="AP48" s="24" t="n">
        <f aca="false">IF(R48="",0,MAX(R48-AM48,0))</f>
        <v>139</v>
      </c>
      <c r="AQ48" s="25" t="n">
        <f aca="false">AM48+AP48</f>
        <v>139</v>
      </c>
      <c r="AR48" s="24" t="n">
        <f aca="false">SUMIFS(Permissions!$L$2:$L$3000,Permissions!$B$2:$B$3000,$A48,Permissions!$R$2:$R$3000,"Yes",Permissions!$I$2:$I$3000,"&lt;&gt;Expired – not started",Permissions!$I$2:$I$3000,"&lt;&gt;In planning")</f>
        <v>0</v>
      </c>
      <c r="AS48" s="24" t="n">
        <f aca="false">AQ48-AR48</f>
        <v>139</v>
      </c>
      <c r="AT48" s="26" t="n">
        <f aca="false">SUMIFS(Permissions!$AJ$2:$AJ$3000,Permissions!$B$2:$B$3000,$A48,Permissions!$R$2:$R$3000,"Yes")</f>
        <v>0</v>
      </c>
      <c r="AU48" s="26" t="n">
        <f aca="false">SUMIFS(Permissions!$AK$2:$AK$3000,Permissions!$B$2:$B$3000,$A48,Permissions!$R$2:$R$3000,"Yes")</f>
        <v>0</v>
      </c>
      <c r="AV48" s="26" t="n">
        <f aca="false">SUMIFS(Permissions!$AL$2:$AL$3000,Permissions!$B$2:$B$3000,$A48,Permissions!$R$2:$R$3000,"Yes")</f>
        <v>0</v>
      </c>
      <c r="AW48" s="26" t="n">
        <f aca="false">SUMIFS(Permissions!$AM$2:$AM$3000,Permissions!$B$2:$B$3000,$A48,Permissions!$R$2:$R$3000,"Yes")</f>
        <v>0</v>
      </c>
      <c r="AX48" s="26" t="n">
        <f aca="false">SUMIFS(Permissions!$AN$2:$AN$3000,Permissions!$B$2:$B$3000,$A48,Permissions!$R$2:$R$3000,"Yes")</f>
        <v>0</v>
      </c>
      <c r="AY48" s="26" t="n">
        <f aca="false">SUMIFS(Permissions!$AO$2:$AO$3000,Permissions!$B$2:$B$3000,$A48,Permissions!$R$2:$R$3000,"Yes")</f>
        <v>0</v>
      </c>
      <c r="AZ48" s="24" t="n">
        <f aca="false">COUNTIFS(Permissions!$B$2:$B$3000,$A48,Permissions!$R$2:$R$3000,"Yes")</f>
        <v>0</v>
      </c>
      <c r="BA48" s="24" t="n">
        <f aca="false">SUMIFS(Permissions!$M$2:$M$3000,Permissions!$B$2:$B$3000,$A48,Permissions!$R$2:$R$3000,"Yes")</f>
        <v>0</v>
      </c>
      <c r="BB48" s="24" t="n">
        <f aca="false">SUMIFS(Permissions!$O$2:$O$3000,Permissions!$B$2:$B$3000,$A48,Permissions!$R$2:$R$3000,"Yes")</f>
        <v>0</v>
      </c>
      <c r="BC48" s="27" t="str">
        <f aca="false">IF(AND(AM48&gt;0,AR48&gt;=AM48,AP48=0),"Finished",IF(AR48&gt;0,"Partly built",IF(AM48&gt;0,"Consented – not built","No consent")))</f>
        <v>No consent</v>
      </c>
      <c r="BD48" s="28" t="str">
        <f aca="false">IF(AND(R48&lt;&gt;"",AM48&gt;1.1*R48),"Consented above capacity",IF(AND(LEFT(B48,8)="Planning",AZ48=0),"Consent parcel with no permission",IF(COUNTIF($A$2:$A$3000,$A48)&gt;1,"Duplicate parcel_id","")))</f>
        <v/>
      </c>
    </row>
    <row r="49" customFormat="false" ht="15" hidden="false" customHeight="false" outlineLevel="0" collapsed="false">
      <c r="A49" s="15" t="s">
        <v>247</v>
      </c>
      <c r="B49" s="15" t="s">
        <v>10</v>
      </c>
      <c r="C49" s="15" t="s">
        <v>16</v>
      </c>
      <c r="D49" s="15" t="s">
        <v>53</v>
      </c>
      <c r="E49" s="15" t="s">
        <v>19</v>
      </c>
      <c r="F49" s="15" t="n">
        <v>1</v>
      </c>
      <c r="G49" s="15" t="s">
        <v>158</v>
      </c>
      <c r="H49" s="15" t="n">
        <v>163</v>
      </c>
      <c r="I49" s="15" t="s">
        <v>53</v>
      </c>
      <c r="J49" s="15" t="s">
        <v>159</v>
      </c>
      <c r="K49" s="15"/>
      <c r="L49" s="15" t="s">
        <v>189</v>
      </c>
      <c r="M49" s="15"/>
      <c r="N49" s="15"/>
      <c r="O49" s="15"/>
      <c r="P49" s="15" t="n">
        <v>0.567</v>
      </c>
      <c r="Q49" s="15" t="n">
        <v>0.567</v>
      </c>
      <c r="R49" s="15" t="n">
        <v>20</v>
      </c>
      <c r="S49" s="15" t="s">
        <v>164</v>
      </c>
      <c r="T49" s="15" t="n">
        <v>57</v>
      </c>
      <c r="U49" s="15"/>
      <c r="V49" s="15"/>
      <c r="W49" s="15"/>
      <c r="X49" s="15" t="s">
        <v>236</v>
      </c>
      <c r="Y49" s="15" t="n">
        <v>101</v>
      </c>
      <c r="Z49" s="15" t="s">
        <v>237</v>
      </c>
      <c r="AA49" s="15"/>
      <c r="AB49" s="15" t="n">
        <v>1</v>
      </c>
      <c r="AC49" s="15" t="n">
        <v>0</v>
      </c>
      <c r="AD49" s="15"/>
      <c r="AE49" s="15" t="s">
        <v>198</v>
      </c>
      <c r="AF49" s="15" t="s">
        <v>169</v>
      </c>
      <c r="AG49" s="15"/>
      <c r="AH49" s="24" t="n">
        <f aca="false">IF(R49="",AM49,R49)</f>
        <v>20</v>
      </c>
      <c r="AI49" s="24" t="n">
        <f aca="false">SUMIFS(Permissions!$G$2:$G$3000,Permissions!$B$2:$B$3000,$A49,Permissions!$I$2:$I$3000,"Complete",Permissions!$R$2:$R$3000,"Yes")</f>
        <v>0</v>
      </c>
      <c r="AJ49" s="24" t="n">
        <f aca="false">SUMIFS(Permissions!$G$2:$G$3000,Permissions!$B$2:$B$3000,$A49,Permissions!$I$2:$I$3000,"Under construction",Permissions!$R$2:$R$3000,"Yes")</f>
        <v>0</v>
      </c>
      <c r="AK49" s="24" t="n">
        <f aca="false">SUMIFS(Permissions!$G$2:$G$3000,Permissions!$B$2:$B$3000,$A49,Permissions!$I$2:$I$3000,"Permitted – not started",Permissions!$R$2:$R$3000,"Yes")</f>
        <v>0</v>
      </c>
      <c r="AL49" s="24" t="n">
        <f aca="false">SUMIFS(Permissions!$G$2:$G$3000,Permissions!$B$2:$B$3000,$A49,Permissions!$I$2:$I$3000,"Stalled",Permissions!$R$2:$R$3000,"Yes")</f>
        <v>0</v>
      </c>
      <c r="AM49" s="24" t="n">
        <f aca="false">AI49+AJ49+AK49+AL49</f>
        <v>0</v>
      </c>
      <c r="AN49" s="24" t="n">
        <f aca="false">SUMIFS(Permissions!$G$2:$G$3000,Permissions!$B$2:$B$3000,$A49,Permissions!$I$2:$I$3000,"Expired – not started",Permissions!$R$2:$R$3000,"Yes")</f>
        <v>0</v>
      </c>
      <c r="AO49" s="24" t="n">
        <f aca="false">SUMIFS(Permissions!$G$2:$G$3000,Permissions!$B$2:$B$3000,$A49,Permissions!$I$2:$I$3000,"In planning",Permissions!$R$2:$R$3000,"Yes")</f>
        <v>0</v>
      </c>
      <c r="AP49" s="24" t="n">
        <f aca="false">IF(R49="",0,MAX(R49-AM49,0))</f>
        <v>20</v>
      </c>
      <c r="AQ49" s="25" t="n">
        <f aca="false">AM49+AP49</f>
        <v>20</v>
      </c>
      <c r="AR49" s="24" t="n">
        <f aca="false">SUMIFS(Permissions!$L$2:$L$3000,Permissions!$B$2:$B$3000,$A49,Permissions!$R$2:$R$3000,"Yes",Permissions!$I$2:$I$3000,"&lt;&gt;Expired – not started",Permissions!$I$2:$I$3000,"&lt;&gt;In planning")</f>
        <v>0</v>
      </c>
      <c r="AS49" s="24" t="n">
        <f aca="false">AQ49-AR49</f>
        <v>20</v>
      </c>
      <c r="AT49" s="26" t="n">
        <f aca="false">SUMIFS(Permissions!$AJ$2:$AJ$3000,Permissions!$B$2:$B$3000,$A49,Permissions!$R$2:$R$3000,"Yes")</f>
        <v>0</v>
      </c>
      <c r="AU49" s="26" t="n">
        <f aca="false">SUMIFS(Permissions!$AK$2:$AK$3000,Permissions!$B$2:$B$3000,$A49,Permissions!$R$2:$R$3000,"Yes")</f>
        <v>0</v>
      </c>
      <c r="AV49" s="26" t="n">
        <f aca="false">SUMIFS(Permissions!$AL$2:$AL$3000,Permissions!$B$2:$B$3000,$A49,Permissions!$R$2:$R$3000,"Yes")</f>
        <v>0</v>
      </c>
      <c r="AW49" s="26" t="n">
        <f aca="false">SUMIFS(Permissions!$AM$2:$AM$3000,Permissions!$B$2:$B$3000,$A49,Permissions!$R$2:$R$3000,"Yes")</f>
        <v>0</v>
      </c>
      <c r="AX49" s="26" t="n">
        <f aca="false">SUMIFS(Permissions!$AN$2:$AN$3000,Permissions!$B$2:$B$3000,$A49,Permissions!$R$2:$R$3000,"Yes")</f>
        <v>0</v>
      </c>
      <c r="AY49" s="26" t="n">
        <f aca="false">SUMIFS(Permissions!$AO$2:$AO$3000,Permissions!$B$2:$B$3000,$A49,Permissions!$R$2:$R$3000,"Yes")</f>
        <v>0</v>
      </c>
      <c r="AZ49" s="24" t="n">
        <f aca="false">COUNTIFS(Permissions!$B$2:$B$3000,$A49,Permissions!$R$2:$R$3000,"Yes")</f>
        <v>0</v>
      </c>
      <c r="BA49" s="24" t="n">
        <f aca="false">SUMIFS(Permissions!$M$2:$M$3000,Permissions!$B$2:$B$3000,$A49,Permissions!$R$2:$R$3000,"Yes")</f>
        <v>0</v>
      </c>
      <c r="BB49" s="24" t="n">
        <f aca="false">SUMIFS(Permissions!$O$2:$O$3000,Permissions!$B$2:$B$3000,$A49,Permissions!$R$2:$R$3000,"Yes")</f>
        <v>0</v>
      </c>
      <c r="BC49" s="27" t="str">
        <f aca="false">IF(AND(AM49&gt;0,AR49&gt;=AM49,AP49=0),"Finished",IF(AR49&gt;0,"Partly built",IF(AM49&gt;0,"Consented – not built","No consent")))</f>
        <v>No consent</v>
      </c>
      <c r="BD49" s="28" t="str">
        <f aca="false">IF(AND(R49&lt;&gt;"",AM49&gt;1.1*R49),"Consented above capacity",IF(AND(LEFT(B49,8)="Planning",AZ49=0),"Consent parcel with no permission",IF(COUNTIF($A$2:$A$3000,$A49)&gt;1,"Duplicate parcel_id","")))</f>
        <v/>
      </c>
    </row>
    <row r="50" customFormat="false" ht="15" hidden="false" customHeight="false" outlineLevel="0" collapsed="false">
      <c r="A50" s="15" t="s">
        <v>248</v>
      </c>
      <c r="B50" s="15" t="s">
        <v>10</v>
      </c>
      <c r="C50" s="15" t="s">
        <v>16</v>
      </c>
      <c r="D50" s="15" t="s">
        <v>53</v>
      </c>
      <c r="E50" s="15" t="s">
        <v>19</v>
      </c>
      <c r="F50" s="15" t="n">
        <v>1</v>
      </c>
      <c r="G50" s="15" t="s">
        <v>158</v>
      </c>
      <c r="H50" s="15" t="n">
        <v>22</v>
      </c>
      <c r="I50" s="15" t="s">
        <v>53</v>
      </c>
      <c r="J50" s="15" t="s">
        <v>182</v>
      </c>
      <c r="K50" s="15" t="s">
        <v>183</v>
      </c>
      <c r="L50" s="15" t="s">
        <v>160</v>
      </c>
      <c r="M50" s="15" t="s">
        <v>234</v>
      </c>
      <c r="N50" s="15" t="s">
        <v>162</v>
      </c>
      <c r="O50" s="15" t="s">
        <v>235</v>
      </c>
      <c r="P50" s="15" t="n">
        <v>3.919</v>
      </c>
      <c r="Q50" s="15" t="n">
        <v>3.918</v>
      </c>
      <c r="R50" s="15" t="n">
        <v>500</v>
      </c>
      <c r="S50" s="15" t="s">
        <v>164</v>
      </c>
      <c r="T50" s="15" t="n">
        <v>396</v>
      </c>
      <c r="U50" s="15"/>
      <c r="V50" s="15"/>
      <c r="W50" s="15"/>
      <c r="X50" s="15" t="s">
        <v>236</v>
      </c>
      <c r="Y50" s="15" t="n">
        <v>101</v>
      </c>
      <c r="Z50" s="15" t="s">
        <v>237</v>
      </c>
      <c r="AA50" s="15"/>
      <c r="AB50" s="15" t="n">
        <v>2</v>
      </c>
      <c r="AC50" s="15" t="n">
        <v>0</v>
      </c>
      <c r="AD50" s="15" t="s">
        <v>167</v>
      </c>
      <c r="AE50" s="15" t="s">
        <v>168</v>
      </c>
      <c r="AF50" s="15" t="s">
        <v>169</v>
      </c>
      <c r="AG50" s="15"/>
      <c r="AH50" s="24" t="n">
        <f aca="false">IF(R50="",AM50,R50)</f>
        <v>500</v>
      </c>
      <c r="AI50" s="24" t="n">
        <f aca="false">SUMIFS(Permissions!$G$2:$G$3000,Permissions!$B$2:$B$3000,$A50,Permissions!$I$2:$I$3000,"Complete",Permissions!$R$2:$R$3000,"Yes")</f>
        <v>0</v>
      </c>
      <c r="AJ50" s="24" t="n">
        <f aca="false">SUMIFS(Permissions!$G$2:$G$3000,Permissions!$B$2:$B$3000,$A50,Permissions!$I$2:$I$3000,"Under construction",Permissions!$R$2:$R$3000,"Yes")</f>
        <v>0</v>
      </c>
      <c r="AK50" s="24" t="n">
        <f aca="false">SUMIFS(Permissions!$G$2:$G$3000,Permissions!$B$2:$B$3000,$A50,Permissions!$I$2:$I$3000,"Permitted – not started",Permissions!$R$2:$R$3000,"Yes")</f>
        <v>0</v>
      </c>
      <c r="AL50" s="24" t="n">
        <f aca="false">SUMIFS(Permissions!$G$2:$G$3000,Permissions!$B$2:$B$3000,$A50,Permissions!$I$2:$I$3000,"Stalled",Permissions!$R$2:$R$3000,"Yes")</f>
        <v>0</v>
      </c>
      <c r="AM50" s="24" t="n">
        <f aca="false">AI50+AJ50+AK50+AL50</f>
        <v>0</v>
      </c>
      <c r="AN50" s="24" t="n">
        <f aca="false">SUMIFS(Permissions!$G$2:$G$3000,Permissions!$B$2:$B$3000,$A50,Permissions!$I$2:$I$3000,"Expired – not started",Permissions!$R$2:$R$3000,"Yes")</f>
        <v>0</v>
      </c>
      <c r="AO50" s="24" t="n">
        <f aca="false">SUMIFS(Permissions!$G$2:$G$3000,Permissions!$B$2:$B$3000,$A50,Permissions!$I$2:$I$3000,"In planning",Permissions!$R$2:$R$3000,"Yes")</f>
        <v>0</v>
      </c>
      <c r="AP50" s="24" t="n">
        <f aca="false">IF(R50="",0,MAX(R50-AM50,0))</f>
        <v>500</v>
      </c>
      <c r="AQ50" s="25" t="n">
        <f aca="false">AM50+AP50</f>
        <v>500</v>
      </c>
      <c r="AR50" s="24" t="n">
        <f aca="false">SUMIFS(Permissions!$L$2:$L$3000,Permissions!$B$2:$B$3000,$A50,Permissions!$R$2:$R$3000,"Yes",Permissions!$I$2:$I$3000,"&lt;&gt;Expired – not started",Permissions!$I$2:$I$3000,"&lt;&gt;In planning")</f>
        <v>0</v>
      </c>
      <c r="AS50" s="24" t="n">
        <f aca="false">AQ50-AR50</f>
        <v>500</v>
      </c>
      <c r="AT50" s="26" t="n">
        <f aca="false">SUMIFS(Permissions!$AJ$2:$AJ$3000,Permissions!$B$2:$B$3000,$A50,Permissions!$R$2:$R$3000,"Yes")</f>
        <v>0</v>
      </c>
      <c r="AU50" s="26" t="n">
        <f aca="false">SUMIFS(Permissions!$AK$2:$AK$3000,Permissions!$B$2:$B$3000,$A50,Permissions!$R$2:$R$3000,"Yes")</f>
        <v>0</v>
      </c>
      <c r="AV50" s="26" t="n">
        <f aca="false">SUMIFS(Permissions!$AL$2:$AL$3000,Permissions!$B$2:$B$3000,$A50,Permissions!$R$2:$R$3000,"Yes")</f>
        <v>0</v>
      </c>
      <c r="AW50" s="26" t="n">
        <f aca="false">SUMIFS(Permissions!$AM$2:$AM$3000,Permissions!$B$2:$B$3000,$A50,Permissions!$R$2:$R$3000,"Yes")</f>
        <v>0</v>
      </c>
      <c r="AX50" s="26" t="n">
        <f aca="false">SUMIFS(Permissions!$AN$2:$AN$3000,Permissions!$B$2:$B$3000,$A50,Permissions!$R$2:$R$3000,"Yes")</f>
        <v>0</v>
      </c>
      <c r="AY50" s="26" t="n">
        <f aca="false">SUMIFS(Permissions!$AO$2:$AO$3000,Permissions!$B$2:$B$3000,$A50,Permissions!$R$2:$R$3000,"Yes")</f>
        <v>0</v>
      </c>
      <c r="AZ50" s="24" t="n">
        <f aca="false">COUNTIFS(Permissions!$B$2:$B$3000,$A50,Permissions!$R$2:$R$3000,"Yes")</f>
        <v>0</v>
      </c>
      <c r="BA50" s="24" t="n">
        <f aca="false">SUMIFS(Permissions!$M$2:$M$3000,Permissions!$B$2:$B$3000,$A50,Permissions!$R$2:$R$3000,"Yes")</f>
        <v>0</v>
      </c>
      <c r="BB50" s="24" t="n">
        <f aca="false">SUMIFS(Permissions!$O$2:$O$3000,Permissions!$B$2:$B$3000,$A50,Permissions!$R$2:$R$3000,"Yes")</f>
        <v>0</v>
      </c>
      <c r="BC50" s="27" t="str">
        <f aca="false">IF(AND(AM50&gt;0,AR50&gt;=AM50,AP50=0),"Finished",IF(AR50&gt;0,"Partly built",IF(AM50&gt;0,"Consented – not built","No consent")))</f>
        <v>No consent</v>
      </c>
      <c r="BD50" s="28" t="str">
        <f aca="false">IF(AND(R50&lt;&gt;"",AM50&gt;1.1*R50),"Consented above capacity",IF(AND(LEFT(B50,8)="Planning",AZ50=0),"Consent parcel with no permission",IF(COUNTIF($A$2:$A$3000,$A50)&gt;1,"Duplicate parcel_id","")))</f>
        <v/>
      </c>
    </row>
    <row r="51" customFormat="false" ht="15" hidden="false" customHeight="false" outlineLevel="0" collapsed="false">
      <c r="A51" s="15" t="s">
        <v>249</v>
      </c>
      <c r="B51" s="15" t="s">
        <v>10</v>
      </c>
      <c r="C51" s="15" t="s">
        <v>16</v>
      </c>
      <c r="D51" s="15" t="s">
        <v>53</v>
      </c>
      <c r="E51" s="15" t="s">
        <v>19</v>
      </c>
      <c r="F51" s="15" t="n">
        <v>1</v>
      </c>
      <c r="G51" s="15" t="s">
        <v>158</v>
      </c>
      <c r="H51" s="15" t="n">
        <v>23</v>
      </c>
      <c r="I51" s="15" t="s">
        <v>53</v>
      </c>
      <c r="J51" s="15" t="s">
        <v>182</v>
      </c>
      <c r="K51" s="15" t="s">
        <v>183</v>
      </c>
      <c r="L51" s="15" t="s">
        <v>160</v>
      </c>
      <c r="M51" s="15" t="s">
        <v>161</v>
      </c>
      <c r="N51" s="15" t="s">
        <v>172</v>
      </c>
      <c r="O51" s="15" t="s">
        <v>163</v>
      </c>
      <c r="P51" s="15" t="n">
        <v>0.148</v>
      </c>
      <c r="Q51" s="15" t="n">
        <v>0.148</v>
      </c>
      <c r="R51" s="15" t="n">
        <v>7</v>
      </c>
      <c r="S51" s="15" t="s">
        <v>164</v>
      </c>
      <c r="T51" s="15" t="n">
        <v>15</v>
      </c>
      <c r="U51" s="15"/>
      <c r="V51" s="15"/>
      <c r="W51" s="15"/>
      <c r="X51" s="15" t="s">
        <v>236</v>
      </c>
      <c r="Y51" s="15" t="n">
        <v>101</v>
      </c>
      <c r="Z51" s="15" t="s">
        <v>237</v>
      </c>
      <c r="AA51" s="15"/>
      <c r="AB51" s="15" t="n">
        <v>0</v>
      </c>
      <c r="AC51" s="15" t="n">
        <v>0</v>
      </c>
      <c r="AD51" s="15" t="s">
        <v>167</v>
      </c>
      <c r="AE51" s="15" t="s">
        <v>168</v>
      </c>
      <c r="AF51" s="15" t="s">
        <v>169</v>
      </c>
      <c r="AG51" s="15"/>
      <c r="AH51" s="24" t="n">
        <f aca="false">IF(R51="",AM51,R51)</f>
        <v>7</v>
      </c>
      <c r="AI51" s="24" t="n">
        <f aca="false">SUMIFS(Permissions!$G$2:$G$3000,Permissions!$B$2:$B$3000,$A51,Permissions!$I$2:$I$3000,"Complete",Permissions!$R$2:$R$3000,"Yes")</f>
        <v>0</v>
      </c>
      <c r="AJ51" s="24" t="n">
        <f aca="false">SUMIFS(Permissions!$G$2:$G$3000,Permissions!$B$2:$B$3000,$A51,Permissions!$I$2:$I$3000,"Under construction",Permissions!$R$2:$R$3000,"Yes")</f>
        <v>0</v>
      </c>
      <c r="AK51" s="24" t="n">
        <f aca="false">SUMIFS(Permissions!$G$2:$G$3000,Permissions!$B$2:$B$3000,$A51,Permissions!$I$2:$I$3000,"Permitted – not started",Permissions!$R$2:$R$3000,"Yes")</f>
        <v>0</v>
      </c>
      <c r="AL51" s="24" t="n">
        <f aca="false">SUMIFS(Permissions!$G$2:$G$3000,Permissions!$B$2:$B$3000,$A51,Permissions!$I$2:$I$3000,"Stalled",Permissions!$R$2:$R$3000,"Yes")</f>
        <v>0</v>
      </c>
      <c r="AM51" s="24" t="n">
        <f aca="false">AI51+AJ51+AK51+AL51</f>
        <v>0</v>
      </c>
      <c r="AN51" s="24" t="n">
        <f aca="false">SUMIFS(Permissions!$G$2:$G$3000,Permissions!$B$2:$B$3000,$A51,Permissions!$I$2:$I$3000,"Expired – not started",Permissions!$R$2:$R$3000,"Yes")</f>
        <v>0</v>
      </c>
      <c r="AO51" s="24" t="n">
        <f aca="false">SUMIFS(Permissions!$G$2:$G$3000,Permissions!$B$2:$B$3000,$A51,Permissions!$I$2:$I$3000,"In planning",Permissions!$R$2:$R$3000,"Yes")</f>
        <v>0</v>
      </c>
      <c r="AP51" s="24" t="n">
        <f aca="false">IF(R51="",0,MAX(R51-AM51,0))</f>
        <v>7</v>
      </c>
      <c r="AQ51" s="25" t="n">
        <f aca="false">AM51+AP51</f>
        <v>7</v>
      </c>
      <c r="AR51" s="24" t="n">
        <f aca="false">SUMIFS(Permissions!$L$2:$L$3000,Permissions!$B$2:$B$3000,$A51,Permissions!$R$2:$R$3000,"Yes",Permissions!$I$2:$I$3000,"&lt;&gt;Expired – not started",Permissions!$I$2:$I$3000,"&lt;&gt;In planning")</f>
        <v>0</v>
      </c>
      <c r="AS51" s="24" t="n">
        <f aca="false">AQ51-AR51</f>
        <v>7</v>
      </c>
      <c r="AT51" s="26" t="n">
        <f aca="false">SUMIFS(Permissions!$AJ$2:$AJ$3000,Permissions!$B$2:$B$3000,$A51,Permissions!$R$2:$R$3000,"Yes")</f>
        <v>0</v>
      </c>
      <c r="AU51" s="26" t="n">
        <f aca="false">SUMIFS(Permissions!$AK$2:$AK$3000,Permissions!$B$2:$B$3000,$A51,Permissions!$R$2:$R$3000,"Yes")</f>
        <v>0</v>
      </c>
      <c r="AV51" s="26" t="n">
        <f aca="false">SUMIFS(Permissions!$AL$2:$AL$3000,Permissions!$B$2:$B$3000,$A51,Permissions!$R$2:$R$3000,"Yes")</f>
        <v>0</v>
      </c>
      <c r="AW51" s="26" t="n">
        <f aca="false">SUMIFS(Permissions!$AM$2:$AM$3000,Permissions!$B$2:$B$3000,$A51,Permissions!$R$2:$R$3000,"Yes")</f>
        <v>0</v>
      </c>
      <c r="AX51" s="26" t="n">
        <f aca="false">SUMIFS(Permissions!$AN$2:$AN$3000,Permissions!$B$2:$B$3000,$A51,Permissions!$R$2:$R$3000,"Yes")</f>
        <v>0</v>
      </c>
      <c r="AY51" s="26" t="n">
        <f aca="false">SUMIFS(Permissions!$AO$2:$AO$3000,Permissions!$B$2:$B$3000,$A51,Permissions!$R$2:$R$3000,"Yes")</f>
        <v>0</v>
      </c>
      <c r="AZ51" s="24" t="n">
        <f aca="false">COUNTIFS(Permissions!$B$2:$B$3000,$A51,Permissions!$R$2:$R$3000,"Yes")</f>
        <v>0</v>
      </c>
      <c r="BA51" s="24" t="n">
        <f aca="false">SUMIFS(Permissions!$M$2:$M$3000,Permissions!$B$2:$B$3000,$A51,Permissions!$R$2:$R$3000,"Yes")</f>
        <v>0</v>
      </c>
      <c r="BB51" s="24" t="n">
        <f aca="false">SUMIFS(Permissions!$O$2:$O$3000,Permissions!$B$2:$B$3000,$A51,Permissions!$R$2:$R$3000,"Yes")</f>
        <v>0</v>
      </c>
      <c r="BC51" s="27" t="str">
        <f aca="false">IF(AND(AM51&gt;0,AR51&gt;=AM51,AP51=0),"Finished",IF(AR51&gt;0,"Partly built",IF(AM51&gt;0,"Consented – not built","No consent")))</f>
        <v>No consent</v>
      </c>
      <c r="BD51" s="28" t="str">
        <f aca="false">IF(AND(R51&lt;&gt;"",AM51&gt;1.1*R51),"Consented above capacity",IF(AND(LEFT(B51,8)="Planning",AZ51=0),"Consent parcel with no permission",IF(COUNTIF($A$2:$A$3000,$A51)&gt;1,"Duplicate parcel_id","")))</f>
        <v/>
      </c>
    </row>
    <row r="52" customFormat="false" ht="15" hidden="false" customHeight="false" outlineLevel="0" collapsed="false">
      <c r="A52" s="15" t="s">
        <v>250</v>
      </c>
      <c r="B52" s="15" t="s">
        <v>10</v>
      </c>
      <c r="C52" s="15" t="s">
        <v>16</v>
      </c>
      <c r="D52" s="15" t="s">
        <v>53</v>
      </c>
      <c r="E52" s="15" t="s">
        <v>19</v>
      </c>
      <c r="F52" s="15" t="n">
        <v>1</v>
      </c>
      <c r="G52" s="15" t="s">
        <v>158</v>
      </c>
      <c r="H52" s="15" t="n">
        <v>86</v>
      </c>
      <c r="I52" s="15" t="s">
        <v>53</v>
      </c>
      <c r="J52" s="15" t="s">
        <v>159</v>
      </c>
      <c r="K52" s="15" t="s">
        <v>53</v>
      </c>
      <c r="L52" s="15" t="s">
        <v>176</v>
      </c>
      <c r="M52" s="15" t="s">
        <v>234</v>
      </c>
      <c r="N52" s="15" t="s">
        <v>162</v>
      </c>
      <c r="O52" s="15" t="s">
        <v>235</v>
      </c>
      <c r="P52" s="15" t="n">
        <v>0.676</v>
      </c>
      <c r="Q52" s="15" t="n">
        <v>0.676</v>
      </c>
      <c r="R52" s="15" t="n">
        <v>68</v>
      </c>
      <c r="S52" s="15" t="s">
        <v>164</v>
      </c>
      <c r="T52" s="15" t="n">
        <v>68</v>
      </c>
      <c r="U52" s="15"/>
      <c r="V52" s="15"/>
      <c r="W52" s="15"/>
      <c r="X52" s="15" t="s">
        <v>236</v>
      </c>
      <c r="Y52" s="15" t="n">
        <v>101</v>
      </c>
      <c r="Z52" s="15" t="s">
        <v>237</v>
      </c>
      <c r="AA52" s="15"/>
      <c r="AB52" s="15" t="n">
        <v>11</v>
      </c>
      <c r="AC52" s="15" t="n">
        <v>0</v>
      </c>
      <c r="AD52" s="15" t="s">
        <v>167</v>
      </c>
      <c r="AE52" s="15" t="s">
        <v>168</v>
      </c>
      <c r="AF52" s="15" t="s">
        <v>169</v>
      </c>
      <c r="AG52" s="15"/>
      <c r="AH52" s="24" t="n">
        <f aca="false">IF(R52="",AM52,R52)</f>
        <v>68</v>
      </c>
      <c r="AI52" s="24" t="n">
        <f aca="false">SUMIFS(Permissions!$G$2:$G$3000,Permissions!$B$2:$B$3000,$A52,Permissions!$I$2:$I$3000,"Complete",Permissions!$R$2:$R$3000,"Yes")</f>
        <v>0</v>
      </c>
      <c r="AJ52" s="24" t="n">
        <f aca="false">SUMIFS(Permissions!$G$2:$G$3000,Permissions!$B$2:$B$3000,$A52,Permissions!$I$2:$I$3000,"Under construction",Permissions!$R$2:$R$3000,"Yes")</f>
        <v>0</v>
      </c>
      <c r="AK52" s="24" t="n">
        <f aca="false">SUMIFS(Permissions!$G$2:$G$3000,Permissions!$B$2:$B$3000,$A52,Permissions!$I$2:$I$3000,"Permitted – not started",Permissions!$R$2:$R$3000,"Yes")</f>
        <v>0</v>
      </c>
      <c r="AL52" s="24" t="n">
        <f aca="false">SUMIFS(Permissions!$G$2:$G$3000,Permissions!$B$2:$B$3000,$A52,Permissions!$I$2:$I$3000,"Stalled",Permissions!$R$2:$R$3000,"Yes")</f>
        <v>0</v>
      </c>
      <c r="AM52" s="24" t="n">
        <f aca="false">AI52+AJ52+AK52+AL52</f>
        <v>0</v>
      </c>
      <c r="AN52" s="24" t="n">
        <f aca="false">SUMIFS(Permissions!$G$2:$G$3000,Permissions!$B$2:$B$3000,$A52,Permissions!$I$2:$I$3000,"Expired – not started",Permissions!$R$2:$R$3000,"Yes")</f>
        <v>0</v>
      </c>
      <c r="AO52" s="24" t="n">
        <f aca="false">SUMIFS(Permissions!$G$2:$G$3000,Permissions!$B$2:$B$3000,$A52,Permissions!$I$2:$I$3000,"In planning",Permissions!$R$2:$R$3000,"Yes")</f>
        <v>0</v>
      </c>
      <c r="AP52" s="24" t="n">
        <f aca="false">IF(R52="",0,MAX(R52-AM52,0))</f>
        <v>68</v>
      </c>
      <c r="AQ52" s="25" t="n">
        <f aca="false">AM52+AP52</f>
        <v>68</v>
      </c>
      <c r="AR52" s="24" t="n">
        <f aca="false">SUMIFS(Permissions!$L$2:$L$3000,Permissions!$B$2:$B$3000,$A52,Permissions!$R$2:$R$3000,"Yes",Permissions!$I$2:$I$3000,"&lt;&gt;Expired – not started",Permissions!$I$2:$I$3000,"&lt;&gt;In planning")</f>
        <v>0</v>
      </c>
      <c r="AS52" s="24" t="n">
        <f aca="false">AQ52-AR52</f>
        <v>68</v>
      </c>
      <c r="AT52" s="26" t="n">
        <f aca="false">SUMIFS(Permissions!$AJ$2:$AJ$3000,Permissions!$B$2:$B$3000,$A52,Permissions!$R$2:$R$3000,"Yes")</f>
        <v>0</v>
      </c>
      <c r="AU52" s="26" t="n">
        <f aca="false">SUMIFS(Permissions!$AK$2:$AK$3000,Permissions!$B$2:$B$3000,$A52,Permissions!$R$2:$R$3000,"Yes")</f>
        <v>0</v>
      </c>
      <c r="AV52" s="26" t="n">
        <f aca="false">SUMIFS(Permissions!$AL$2:$AL$3000,Permissions!$B$2:$B$3000,$A52,Permissions!$R$2:$R$3000,"Yes")</f>
        <v>0</v>
      </c>
      <c r="AW52" s="26" t="n">
        <f aca="false">SUMIFS(Permissions!$AM$2:$AM$3000,Permissions!$B$2:$B$3000,$A52,Permissions!$R$2:$R$3000,"Yes")</f>
        <v>0</v>
      </c>
      <c r="AX52" s="26" t="n">
        <f aca="false">SUMIFS(Permissions!$AN$2:$AN$3000,Permissions!$B$2:$B$3000,$A52,Permissions!$R$2:$R$3000,"Yes")</f>
        <v>0</v>
      </c>
      <c r="AY52" s="26" t="n">
        <f aca="false">SUMIFS(Permissions!$AO$2:$AO$3000,Permissions!$B$2:$B$3000,$A52,Permissions!$R$2:$R$3000,"Yes")</f>
        <v>0</v>
      </c>
      <c r="AZ52" s="24" t="n">
        <f aca="false">COUNTIFS(Permissions!$B$2:$B$3000,$A52,Permissions!$R$2:$R$3000,"Yes")</f>
        <v>0</v>
      </c>
      <c r="BA52" s="24" t="n">
        <f aca="false">SUMIFS(Permissions!$M$2:$M$3000,Permissions!$B$2:$B$3000,$A52,Permissions!$R$2:$R$3000,"Yes")</f>
        <v>0</v>
      </c>
      <c r="BB52" s="24" t="n">
        <f aca="false">SUMIFS(Permissions!$O$2:$O$3000,Permissions!$B$2:$B$3000,$A52,Permissions!$R$2:$R$3000,"Yes")</f>
        <v>0</v>
      </c>
      <c r="BC52" s="27" t="str">
        <f aca="false">IF(AND(AM52&gt;0,AR52&gt;=AM52,AP52=0),"Finished",IF(AR52&gt;0,"Partly built",IF(AM52&gt;0,"Consented – not built","No consent")))</f>
        <v>No consent</v>
      </c>
      <c r="BD52" s="28" t="str">
        <f aca="false">IF(AND(R52&lt;&gt;"",AM52&gt;1.1*R52),"Consented above capacity",IF(AND(LEFT(B52,8)="Planning",AZ52=0),"Consent parcel with no permission",IF(COUNTIF($A$2:$A$3000,$A52)&gt;1,"Duplicate parcel_id","")))</f>
        <v/>
      </c>
    </row>
    <row r="53" customFormat="false" ht="15" hidden="false" customHeight="false" outlineLevel="0" collapsed="false">
      <c r="A53" s="15" t="s">
        <v>251</v>
      </c>
      <c r="B53" s="15" t="s">
        <v>10</v>
      </c>
      <c r="C53" s="15" t="s">
        <v>16</v>
      </c>
      <c r="D53" s="15" t="s">
        <v>53</v>
      </c>
      <c r="E53" s="15" t="s">
        <v>19</v>
      </c>
      <c r="F53" s="15" t="n">
        <v>1</v>
      </c>
      <c r="G53" s="15" t="s">
        <v>158</v>
      </c>
      <c r="H53" s="15" t="n">
        <v>87</v>
      </c>
      <c r="I53" s="15" t="s">
        <v>53</v>
      </c>
      <c r="J53" s="15" t="s">
        <v>159</v>
      </c>
      <c r="K53" s="15" t="s">
        <v>53</v>
      </c>
      <c r="L53" s="15" t="s">
        <v>176</v>
      </c>
      <c r="M53" s="15" t="s">
        <v>234</v>
      </c>
      <c r="N53" s="15" t="s">
        <v>162</v>
      </c>
      <c r="O53" s="15" t="s">
        <v>235</v>
      </c>
      <c r="P53" s="15" t="n">
        <v>0.136</v>
      </c>
      <c r="Q53" s="15" t="n">
        <v>0.137</v>
      </c>
      <c r="R53" s="15" t="n">
        <v>14</v>
      </c>
      <c r="S53" s="15" t="s">
        <v>164</v>
      </c>
      <c r="T53" s="15" t="n">
        <v>14</v>
      </c>
      <c r="U53" s="15"/>
      <c r="V53" s="15"/>
      <c r="W53" s="15"/>
      <c r="X53" s="15" t="s">
        <v>236</v>
      </c>
      <c r="Y53" s="15" t="n">
        <v>101</v>
      </c>
      <c r="Z53" s="15" t="s">
        <v>237</v>
      </c>
      <c r="AA53" s="15"/>
      <c r="AB53" s="15" t="n">
        <v>0</v>
      </c>
      <c r="AC53" s="15" t="n">
        <v>0</v>
      </c>
      <c r="AD53" s="15" t="s">
        <v>167</v>
      </c>
      <c r="AE53" s="15" t="s">
        <v>168</v>
      </c>
      <c r="AF53" s="15" t="s">
        <v>169</v>
      </c>
      <c r="AG53" s="15"/>
      <c r="AH53" s="24" t="n">
        <f aca="false">IF(R53="",AM53,R53)</f>
        <v>14</v>
      </c>
      <c r="AI53" s="24" t="n">
        <f aca="false">SUMIFS(Permissions!$G$2:$G$3000,Permissions!$B$2:$B$3000,$A53,Permissions!$I$2:$I$3000,"Complete",Permissions!$R$2:$R$3000,"Yes")</f>
        <v>0</v>
      </c>
      <c r="AJ53" s="24" t="n">
        <f aca="false">SUMIFS(Permissions!$G$2:$G$3000,Permissions!$B$2:$B$3000,$A53,Permissions!$I$2:$I$3000,"Under construction",Permissions!$R$2:$R$3000,"Yes")</f>
        <v>0</v>
      </c>
      <c r="AK53" s="24" t="n">
        <f aca="false">SUMIFS(Permissions!$G$2:$G$3000,Permissions!$B$2:$B$3000,$A53,Permissions!$I$2:$I$3000,"Permitted – not started",Permissions!$R$2:$R$3000,"Yes")</f>
        <v>0</v>
      </c>
      <c r="AL53" s="24" t="n">
        <f aca="false">SUMIFS(Permissions!$G$2:$G$3000,Permissions!$B$2:$B$3000,$A53,Permissions!$I$2:$I$3000,"Stalled",Permissions!$R$2:$R$3000,"Yes")</f>
        <v>0</v>
      </c>
      <c r="AM53" s="24" t="n">
        <f aca="false">AI53+AJ53+AK53+AL53</f>
        <v>0</v>
      </c>
      <c r="AN53" s="24" t="n">
        <f aca="false">SUMIFS(Permissions!$G$2:$G$3000,Permissions!$B$2:$B$3000,$A53,Permissions!$I$2:$I$3000,"Expired – not started",Permissions!$R$2:$R$3000,"Yes")</f>
        <v>0</v>
      </c>
      <c r="AO53" s="24" t="n">
        <f aca="false">SUMIFS(Permissions!$G$2:$G$3000,Permissions!$B$2:$B$3000,$A53,Permissions!$I$2:$I$3000,"In planning",Permissions!$R$2:$R$3000,"Yes")</f>
        <v>0</v>
      </c>
      <c r="AP53" s="24" t="n">
        <f aca="false">IF(R53="",0,MAX(R53-AM53,0))</f>
        <v>14</v>
      </c>
      <c r="AQ53" s="25" t="n">
        <f aca="false">AM53+AP53</f>
        <v>14</v>
      </c>
      <c r="AR53" s="24" t="n">
        <f aca="false">SUMIFS(Permissions!$L$2:$L$3000,Permissions!$B$2:$B$3000,$A53,Permissions!$R$2:$R$3000,"Yes",Permissions!$I$2:$I$3000,"&lt;&gt;Expired – not started",Permissions!$I$2:$I$3000,"&lt;&gt;In planning")</f>
        <v>0</v>
      </c>
      <c r="AS53" s="24" t="n">
        <f aca="false">AQ53-AR53</f>
        <v>14</v>
      </c>
      <c r="AT53" s="26" t="n">
        <f aca="false">SUMIFS(Permissions!$AJ$2:$AJ$3000,Permissions!$B$2:$B$3000,$A53,Permissions!$R$2:$R$3000,"Yes")</f>
        <v>0</v>
      </c>
      <c r="AU53" s="26" t="n">
        <f aca="false">SUMIFS(Permissions!$AK$2:$AK$3000,Permissions!$B$2:$B$3000,$A53,Permissions!$R$2:$R$3000,"Yes")</f>
        <v>0</v>
      </c>
      <c r="AV53" s="26" t="n">
        <f aca="false">SUMIFS(Permissions!$AL$2:$AL$3000,Permissions!$B$2:$B$3000,$A53,Permissions!$R$2:$R$3000,"Yes")</f>
        <v>0</v>
      </c>
      <c r="AW53" s="26" t="n">
        <f aca="false">SUMIFS(Permissions!$AM$2:$AM$3000,Permissions!$B$2:$B$3000,$A53,Permissions!$R$2:$R$3000,"Yes")</f>
        <v>0</v>
      </c>
      <c r="AX53" s="26" t="n">
        <f aca="false">SUMIFS(Permissions!$AN$2:$AN$3000,Permissions!$B$2:$B$3000,$A53,Permissions!$R$2:$R$3000,"Yes")</f>
        <v>0</v>
      </c>
      <c r="AY53" s="26" t="n">
        <f aca="false">SUMIFS(Permissions!$AO$2:$AO$3000,Permissions!$B$2:$B$3000,$A53,Permissions!$R$2:$R$3000,"Yes")</f>
        <v>0</v>
      </c>
      <c r="AZ53" s="24" t="n">
        <f aca="false">COUNTIFS(Permissions!$B$2:$B$3000,$A53,Permissions!$R$2:$R$3000,"Yes")</f>
        <v>0</v>
      </c>
      <c r="BA53" s="24" t="n">
        <f aca="false">SUMIFS(Permissions!$M$2:$M$3000,Permissions!$B$2:$B$3000,$A53,Permissions!$R$2:$R$3000,"Yes")</f>
        <v>0</v>
      </c>
      <c r="BB53" s="24" t="n">
        <f aca="false">SUMIFS(Permissions!$O$2:$O$3000,Permissions!$B$2:$B$3000,$A53,Permissions!$R$2:$R$3000,"Yes")</f>
        <v>0</v>
      </c>
      <c r="BC53" s="27" t="str">
        <f aca="false">IF(AND(AM53&gt;0,AR53&gt;=AM53,AP53=0),"Finished",IF(AR53&gt;0,"Partly built",IF(AM53&gt;0,"Consented – not built","No consent")))</f>
        <v>No consent</v>
      </c>
      <c r="BD53" s="28" t="str">
        <f aca="false">IF(AND(R53&lt;&gt;"",AM53&gt;1.1*R53),"Consented above capacity",IF(AND(LEFT(B53,8)="Planning",AZ53=0),"Consent parcel with no permission",IF(COUNTIF($A$2:$A$3000,$A53)&gt;1,"Duplicate parcel_id","")))</f>
        <v/>
      </c>
    </row>
    <row r="54" customFormat="false" ht="15" hidden="false" customHeight="false" outlineLevel="0" collapsed="false">
      <c r="A54" s="15" t="s">
        <v>252</v>
      </c>
      <c r="B54" s="15" t="s">
        <v>10</v>
      </c>
      <c r="C54" s="15" t="s">
        <v>16</v>
      </c>
      <c r="D54" s="15" t="s">
        <v>53</v>
      </c>
      <c r="E54" s="15" t="s">
        <v>19</v>
      </c>
      <c r="F54" s="15" t="n">
        <v>1</v>
      </c>
      <c r="G54" s="15" t="s">
        <v>158</v>
      </c>
      <c r="H54" s="15" t="n">
        <v>88</v>
      </c>
      <c r="I54" s="15" t="s">
        <v>53</v>
      </c>
      <c r="J54" s="15" t="s">
        <v>159</v>
      </c>
      <c r="K54" s="15" t="s">
        <v>53</v>
      </c>
      <c r="L54" s="15" t="s">
        <v>189</v>
      </c>
      <c r="M54" s="15" t="s">
        <v>53</v>
      </c>
      <c r="N54" s="15" t="s">
        <v>162</v>
      </c>
      <c r="O54" s="15" t="s">
        <v>235</v>
      </c>
      <c r="P54" s="15" t="n">
        <v>0.348</v>
      </c>
      <c r="Q54" s="15" t="n">
        <v>0.349</v>
      </c>
      <c r="R54" s="15" t="n">
        <v>35</v>
      </c>
      <c r="S54" s="15" t="s">
        <v>164</v>
      </c>
      <c r="T54" s="15" t="n">
        <v>35</v>
      </c>
      <c r="U54" s="15"/>
      <c r="V54" s="15"/>
      <c r="W54" s="15"/>
      <c r="X54" s="15" t="s">
        <v>236</v>
      </c>
      <c r="Y54" s="15" t="n">
        <v>101</v>
      </c>
      <c r="Z54" s="15" t="s">
        <v>237</v>
      </c>
      <c r="AA54" s="15"/>
      <c r="AB54" s="15" t="n">
        <v>9</v>
      </c>
      <c r="AC54" s="15" t="n">
        <v>0</v>
      </c>
      <c r="AD54" s="15" t="s">
        <v>167</v>
      </c>
      <c r="AE54" s="15" t="s">
        <v>168</v>
      </c>
      <c r="AF54" s="15" t="s">
        <v>169</v>
      </c>
      <c r="AG54" s="15"/>
      <c r="AH54" s="24" t="n">
        <f aca="false">IF(R54="",AM54,R54)</f>
        <v>35</v>
      </c>
      <c r="AI54" s="24" t="n">
        <f aca="false">SUMIFS(Permissions!$G$2:$G$3000,Permissions!$B$2:$B$3000,$A54,Permissions!$I$2:$I$3000,"Complete",Permissions!$R$2:$R$3000,"Yes")</f>
        <v>0</v>
      </c>
      <c r="AJ54" s="24" t="n">
        <f aca="false">SUMIFS(Permissions!$G$2:$G$3000,Permissions!$B$2:$B$3000,$A54,Permissions!$I$2:$I$3000,"Under construction",Permissions!$R$2:$R$3000,"Yes")</f>
        <v>0</v>
      </c>
      <c r="AK54" s="24" t="n">
        <f aca="false">SUMIFS(Permissions!$G$2:$G$3000,Permissions!$B$2:$B$3000,$A54,Permissions!$I$2:$I$3000,"Permitted – not started",Permissions!$R$2:$R$3000,"Yes")</f>
        <v>0</v>
      </c>
      <c r="AL54" s="24" t="n">
        <f aca="false">SUMIFS(Permissions!$G$2:$G$3000,Permissions!$B$2:$B$3000,$A54,Permissions!$I$2:$I$3000,"Stalled",Permissions!$R$2:$R$3000,"Yes")</f>
        <v>0</v>
      </c>
      <c r="AM54" s="24" t="n">
        <f aca="false">AI54+AJ54+AK54+AL54</f>
        <v>0</v>
      </c>
      <c r="AN54" s="24" t="n">
        <f aca="false">SUMIFS(Permissions!$G$2:$G$3000,Permissions!$B$2:$B$3000,$A54,Permissions!$I$2:$I$3000,"Expired – not started",Permissions!$R$2:$R$3000,"Yes")</f>
        <v>0</v>
      </c>
      <c r="AO54" s="24" t="n">
        <f aca="false">SUMIFS(Permissions!$G$2:$G$3000,Permissions!$B$2:$B$3000,$A54,Permissions!$I$2:$I$3000,"In planning",Permissions!$R$2:$R$3000,"Yes")</f>
        <v>0</v>
      </c>
      <c r="AP54" s="24" t="n">
        <f aca="false">IF(R54="",0,MAX(R54-AM54,0))</f>
        <v>35</v>
      </c>
      <c r="AQ54" s="25" t="n">
        <f aca="false">AM54+AP54</f>
        <v>35</v>
      </c>
      <c r="AR54" s="24" t="n">
        <f aca="false">SUMIFS(Permissions!$L$2:$L$3000,Permissions!$B$2:$B$3000,$A54,Permissions!$R$2:$R$3000,"Yes",Permissions!$I$2:$I$3000,"&lt;&gt;Expired – not started",Permissions!$I$2:$I$3000,"&lt;&gt;In planning")</f>
        <v>0</v>
      </c>
      <c r="AS54" s="24" t="n">
        <f aca="false">AQ54-AR54</f>
        <v>35</v>
      </c>
      <c r="AT54" s="26" t="n">
        <f aca="false">SUMIFS(Permissions!$AJ$2:$AJ$3000,Permissions!$B$2:$B$3000,$A54,Permissions!$R$2:$R$3000,"Yes")</f>
        <v>0</v>
      </c>
      <c r="AU54" s="26" t="n">
        <f aca="false">SUMIFS(Permissions!$AK$2:$AK$3000,Permissions!$B$2:$B$3000,$A54,Permissions!$R$2:$R$3000,"Yes")</f>
        <v>0</v>
      </c>
      <c r="AV54" s="26" t="n">
        <f aca="false">SUMIFS(Permissions!$AL$2:$AL$3000,Permissions!$B$2:$B$3000,$A54,Permissions!$R$2:$R$3000,"Yes")</f>
        <v>0</v>
      </c>
      <c r="AW54" s="26" t="n">
        <f aca="false">SUMIFS(Permissions!$AM$2:$AM$3000,Permissions!$B$2:$B$3000,$A54,Permissions!$R$2:$R$3000,"Yes")</f>
        <v>0</v>
      </c>
      <c r="AX54" s="26" t="n">
        <f aca="false">SUMIFS(Permissions!$AN$2:$AN$3000,Permissions!$B$2:$B$3000,$A54,Permissions!$R$2:$R$3000,"Yes")</f>
        <v>0</v>
      </c>
      <c r="AY54" s="26" t="n">
        <f aca="false">SUMIFS(Permissions!$AO$2:$AO$3000,Permissions!$B$2:$B$3000,$A54,Permissions!$R$2:$R$3000,"Yes")</f>
        <v>0</v>
      </c>
      <c r="AZ54" s="24" t="n">
        <f aca="false">COUNTIFS(Permissions!$B$2:$B$3000,$A54,Permissions!$R$2:$R$3000,"Yes")</f>
        <v>0</v>
      </c>
      <c r="BA54" s="24" t="n">
        <f aca="false">SUMIFS(Permissions!$M$2:$M$3000,Permissions!$B$2:$B$3000,$A54,Permissions!$R$2:$R$3000,"Yes")</f>
        <v>0</v>
      </c>
      <c r="BB54" s="24" t="n">
        <f aca="false">SUMIFS(Permissions!$O$2:$O$3000,Permissions!$B$2:$B$3000,$A54,Permissions!$R$2:$R$3000,"Yes")</f>
        <v>0</v>
      </c>
      <c r="BC54" s="27" t="str">
        <f aca="false">IF(AND(AM54&gt;0,AR54&gt;=AM54,AP54=0),"Finished",IF(AR54&gt;0,"Partly built",IF(AM54&gt;0,"Consented – not built","No consent")))</f>
        <v>No consent</v>
      </c>
      <c r="BD54" s="28" t="str">
        <f aca="false">IF(AND(R54&lt;&gt;"",AM54&gt;1.1*R54),"Consented above capacity",IF(AND(LEFT(B54,8)="Planning",AZ54=0),"Consent parcel with no permission",IF(COUNTIF($A$2:$A$3000,$A54)&gt;1,"Duplicate parcel_id","")))</f>
        <v/>
      </c>
    </row>
    <row r="55" customFormat="false" ht="15" hidden="false" customHeight="false" outlineLevel="0" collapsed="false">
      <c r="A55" s="15" t="s">
        <v>253</v>
      </c>
      <c r="B55" s="15" t="s">
        <v>10</v>
      </c>
      <c r="C55" s="15" t="s">
        <v>16</v>
      </c>
      <c r="D55" s="15" t="s">
        <v>53</v>
      </c>
      <c r="E55" s="15" t="s">
        <v>19</v>
      </c>
      <c r="F55" s="15" t="n">
        <v>1</v>
      </c>
      <c r="G55" s="15" t="s">
        <v>158</v>
      </c>
      <c r="H55" s="15" t="n">
        <v>89</v>
      </c>
      <c r="I55" s="15" t="s">
        <v>53</v>
      </c>
      <c r="J55" s="15" t="s">
        <v>159</v>
      </c>
      <c r="K55" s="15" t="s">
        <v>53</v>
      </c>
      <c r="L55" s="15" t="s">
        <v>176</v>
      </c>
      <c r="M55" s="15" t="s">
        <v>234</v>
      </c>
      <c r="N55" s="15" t="s">
        <v>172</v>
      </c>
      <c r="O55" s="15" t="s">
        <v>235</v>
      </c>
      <c r="P55" s="15" t="n">
        <v>0.082</v>
      </c>
      <c r="Q55" s="15" t="n">
        <v>0.09</v>
      </c>
      <c r="R55" s="15" t="n">
        <v>8</v>
      </c>
      <c r="S55" s="15" t="s">
        <v>239</v>
      </c>
      <c r="T55" s="15" t="n">
        <v>8</v>
      </c>
      <c r="U55" s="15"/>
      <c r="V55" s="15"/>
      <c r="W55" s="15"/>
      <c r="X55" s="15" t="s">
        <v>236</v>
      </c>
      <c r="Y55" s="15" t="n">
        <v>101</v>
      </c>
      <c r="Z55" s="15" t="s">
        <v>240</v>
      </c>
      <c r="AA55" s="15"/>
      <c r="AB55" s="15" t="n">
        <v>0</v>
      </c>
      <c r="AC55" s="15" t="n">
        <v>0</v>
      </c>
      <c r="AD55" s="15" t="s">
        <v>167</v>
      </c>
      <c r="AE55" s="15" t="s">
        <v>168</v>
      </c>
      <c r="AF55" s="15" t="s">
        <v>169</v>
      </c>
      <c r="AG55" s="15"/>
      <c r="AH55" s="24" t="n">
        <f aca="false">IF(R55="",AM55,R55)</f>
        <v>8</v>
      </c>
      <c r="AI55" s="24" t="n">
        <f aca="false">SUMIFS(Permissions!$G$2:$G$3000,Permissions!$B$2:$B$3000,$A55,Permissions!$I$2:$I$3000,"Complete",Permissions!$R$2:$R$3000,"Yes")</f>
        <v>0</v>
      </c>
      <c r="AJ55" s="24" t="n">
        <f aca="false">SUMIFS(Permissions!$G$2:$G$3000,Permissions!$B$2:$B$3000,$A55,Permissions!$I$2:$I$3000,"Under construction",Permissions!$R$2:$R$3000,"Yes")</f>
        <v>0</v>
      </c>
      <c r="AK55" s="24" t="n">
        <f aca="false">SUMIFS(Permissions!$G$2:$G$3000,Permissions!$B$2:$B$3000,$A55,Permissions!$I$2:$I$3000,"Permitted – not started",Permissions!$R$2:$R$3000,"Yes")</f>
        <v>0</v>
      </c>
      <c r="AL55" s="24" t="n">
        <f aca="false">SUMIFS(Permissions!$G$2:$G$3000,Permissions!$B$2:$B$3000,$A55,Permissions!$I$2:$I$3000,"Stalled",Permissions!$R$2:$R$3000,"Yes")</f>
        <v>0</v>
      </c>
      <c r="AM55" s="24" t="n">
        <f aca="false">AI55+AJ55+AK55+AL55</f>
        <v>0</v>
      </c>
      <c r="AN55" s="24" t="n">
        <f aca="false">SUMIFS(Permissions!$G$2:$G$3000,Permissions!$B$2:$B$3000,$A55,Permissions!$I$2:$I$3000,"Expired – not started",Permissions!$R$2:$R$3000,"Yes")</f>
        <v>0</v>
      </c>
      <c r="AO55" s="24" t="n">
        <f aca="false">SUMIFS(Permissions!$G$2:$G$3000,Permissions!$B$2:$B$3000,$A55,Permissions!$I$2:$I$3000,"In planning",Permissions!$R$2:$R$3000,"Yes")</f>
        <v>0</v>
      </c>
      <c r="AP55" s="24" t="n">
        <f aca="false">IF(R55="",0,MAX(R55-AM55,0))</f>
        <v>8</v>
      </c>
      <c r="AQ55" s="25" t="n">
        <f aca="false">AM55+AP55</f>
        <v>8</v>
      </c>
      <c r="AR55" s="24" t="n">
        <f aca="false">SUMIFS(Permissions!$L$2:$L$3000,Permissions!$B$2:$B$3000,$A55,Permissions!$R$2:$R$3000,"Yes",Permissions!$I$2:$I$3000,"&lt;&gt;Expired – not started",Permissions!$I$2:$I$3000,"&lt;&gt;In planning")</f>
        <v>0</v>
      </c>
      <c r="AS55" s="24" t="n">
        <f aca="false">AQ55-AR55</f>
        <v>8</v>
      </c>
      <c r="AT55" s="26" t="n">
        <f aca="false">SUMIFS(Permissions!$AJ$2:$AJ$3000,Permissions!$B$2:$B$3000,$A55,Permissions!$R$2:$R$3000,"Yes")</f>
        <v>0</v>
      </c>
      <c r="AU55" s="26" t="n">
        <f aca="false">SUMIFS(Permissions!$AK$2:$AK$3000,Permissions!$B$2:$B$3000,$A55,Permissions!$R$2:$R$3000,"Yes")</f>
        <v>0</v>
      </c>
      <c r="AV55" s="26" t="n">
        <f aca="false">SUMIFS(Permissions!$AL$2:$AL$3000,Permissions!$B$2:$B$3000,$A55,Permissions!$R$2:$R$3000,"Yes")</f>
        <v>0</v>
      </c>
      <c r="AW55" s="26" t="n">
        <f aca="false">SUMIFS(Permissions!$AM$2:$AM$3000,Permissions!$B$2:$B$3000,$A55,Permissions!$R$2:$R$3000,"Yes")</f>
        <v>0</v>
      </c>
      <c r="AX55" s="26" t="n">
        <f aca="false">SUMIFS(Permissions!$AN$2:$AN$3000,Permissions!$B$2:$B$3000,$A55,Permissions!$R$2:$R$3000,"Yes")</f>
        <v>0</v>
      </c>
      <c r="AY55" s="26" t="n">
        <f aca="false">SUMIFS(Permissions!$AO$2:$AO$3000,Permissions!$B$2:$B$3000,$A55,Permissions!$R$2:$R$3000,"Yes")</f>
        <v>0</v>
      </c>
      <c r="AZ55" s="24" t="n">
        <f aca="false">COUNTIFS(Permissions!$B$2:$B$3000,$A55,Permissions!$R$2:$R$3000,"Yes")</f>
        <v>0</v>
      </c>
      <c r="BA55" s="24" t="n">
        <f aca="false">SUMIFS(Permissions!$M$2:$M$3000,Permissions!$B$2:$B$3000,$A55,Permissions!$R$2:$R$3000,"Yes")</f>
        <v>0</v>
      </c>
      <c r="BB55" s="24" t="n">
        <f aca="false">SUMIFS(Permissions!$O$2:$O$3000,Permissions!$B$2:$B$3000,$A55,Permissions!$R$2:$R$3000,"Yes")</f>
        <v>0</v>
      </c>
      <c r="BC55" s="27" t="str">
        <f aca="false">IF(AND(AM55&gt;0,AR55&gt;=AM55,AP55=0),"Finished",IF(AR55&gt;0,"Partly built",IF(AM55&gt;0,"Consented – not built","No consent")))</f>
        <v>No consent</v>
      </c>
      <c r="BD55" s="28" t="str">
        <f aca="false">IF(AND(R55&lt;&gt;"",AM55&gt;1.1*R55),"Consented above capacity",IF(AND(LEFT(B55,8)="Planning",AZ55=0),"Consent parcel with no permission",IF(COUNTIF($A$2:$A$3000,$A55)&gt;1,"Duplicate parcel_id","")))</f>
        <v/>
      </c>
    </row>
    <row r="56" customFormat="false" ht="15" hidden="false" customHeight="false" outlineLevel="0" collapsed="false">
      <c r="A56" s="15" t="s">
        <v>254</v>
      </c>
      <c r="B56" s="15" t="s">
        <v>10</v>
      </c>
      <c r="C56" s="15" t="s">
        <v>16</v>
      </c>
      <c r="D56" s="15" t="s">
        <v>53</v>
      </c>
      <c r="E56" s="15" t="s">
        <v>19</v>
      </c>
      <c r="F56" s="15" t="n">
        <v>1</v>
      </c>
      <c r="G56" s="15" t="s">
        <v>158</v>
      </c>
      <c r="H56" s="15" t="n">
        <v>91</v>
      </c>
      <c r="I56" s="15" t="s">
        <v>53</v>
      </c>
      <c r="J56" s="15" t="s">
        <v>159</v>
      </c>
      <c r="K56" s="15" t="s">
        <v>175</v>
      </c>
      <c r="L56" s="15" t="s">
        <v>160</v>
      </c>
      <c r="M56" s="15" t="s">
        <v>234</v>
      </c>
      <c r="N56" s="15" t="s">
        <v>162</v>
      </c>
      <c r="O56" s="15" t="s">
        <v>235</v>
      </c>
      <c r="P56" s="15" t="n">
        <v>1.38</v>
      </c>
      <c r="Q56" s="15" t="n">
        <v>1.38</v>
      </c>
      <c r="R56" s="15" t="n">
        <v>285</v>
      </c>
      <c r="S56" s="15" t="s">
        <v>164</v>
      </c>
      <c r="T56" s="15" t="n">
        <v>139</v>
      </c>
      <c r="U56" s="15"/>
      <c r="V56" s="15"/>
      <c r="W56" s="15"/>
      <c r="X56" s="15" t="s">
        <v>236</v>
      </c>
      <c r="Y56" s="15" t="n">
        <v>101</v>
      </c>
      <c r="Z56" s="15" t="s">
        <v>237</v>
      </c>
      <c r="AA56" s="15"/>
      <c r="AB56" s="15" t="n">
        <v>0</v>
      </c>
      <c r="AC56" s="15" t="n">
        <v>0</v>
      </c>
      <c r="AD56" s="15" t="s">
        <v>167</v>
      </c>
      <c r="AE56" s="15" t="s">
        <v>168</v>
      </c>
      <c r="AF56" s="15" t="s">
        <v>169</v>
      </c>
      <c r="AG56" s="15"/>
      <c r="AH56" s="24" t="n">
        <f aca="false">IF(R56="",AM56,R56)</f>
        <v>285</v>
      </c>
      <c r="AI56" s="24" t="n">
        <f aca="false">SUMIFS(Permissions!$G$2:$G$3000,Permissions!$B$2:$B$3000,$A56,Permissions!$I$2:$I$3000,"Complete",Permissions!$R$2:$R$3000,"Yes")</f>
        <v>0</v>
      </c>
      <c r="AJ56" s="24" t="n">
        <f aca="false">SUMIFS(Permissions!$G$2:$G$3000,Permissions!$B$2:$B$3000,$A56,Permissions!$I$2:$I$3000,"Under construction",Permissions!$R$2:$R$3000,"Yes")</f>
        <v>0</v>
      </c>
      <c r="AK56" s="24" t="n">
        <f aca="false">SUMIFS(Permissions!$G$2:$G$3000,Permissions!$B$2:$B$3000,$A56,Permissions!$I$2:$I$3000,"Permitted – not started",Permissions!$R$2:$R$3000,"Yes")</f>
        <v>285</v>
      </c>
      <c r="AL56" s="24" t="n">
        <f aca="false">SUMIFS(Permissions!$G$2:$G$3000,Permissions!$B$2:$B$3000,$A56,Permissions!$I$2:$I$3000,"Stalled",Permissions!$R$2:$R$3000,"Yes")</f>
        <v>0</v>
      </c>
      <c r="AM56" s="24" t="n">
        <f aca="false">AI56+AJ56+AK56+AL56</f>
        <v>285</v>
      </c>
      <c r="AN56" s="24" t="n">
        <f aca="false">SUMIFS(Permissions!$G$2:$G$3000,Permissions!$B$2:$B$3000,$A56,Permissions!$I$2:$I$3000,"Expired – not started",Permissions!$R$2:$R$3000,"Yes")</f>
        <v>0</v>
      </c>
      <c r="AO56" s="24" t="n">
        <f aca="false">SUMIFS(Permissions!$G$2:$G$3000,Permissions!$B$2:$B$3000,$A56,Permissions!$I$2:$I$3000,"In planning",Permissions!$R$2:$R$3000,"Yes")</f>
        <v>0</v>
      </c>
      <c r="AP56" s="24" t="n">
        <f aca="false">IF(R56="",0,MAX(R56-AM56,0))</f>
        <v>0</v>
      </c>
      <c r="AQ56" s="25" t="n">
        <f aca="false">AM56+AP56</f>
        <v>285</v>
      </c>
      <c r="AR56" s="24" t="n">
        <f aca="false">SUMIFS(Permissions!$L$2:$L$3000,Permissions!$B$2:$B$3000,$A56,Permissions!$R$2:$R$3000,"Yes",Permissions!$I$2:$I$3000,"&lt;&gt;Expired – not started",Permissions!$I$2:$I$3000,"&lt;&gt;In planning")</f>
        <v>0</v>
      </c>
      <c r="AS56" s="24" t="n">
        <f aca="false">AQ56-AR56</f>
        <v>285</v>
      </c>
      <c r="AT56" s="26" t="n">
        <f aca="false">SUMIFS(Permissions!$AJ$2:$AJ$3000,Permissions!$B$2:$B$3000,$A56,Permissions!$R$2:$R$3000,"Yes")</f>
        <v>0</v>
      </c>
      <c r="AU56" s="26" t="n">
        <f aca="false">SUMIFS(Permissions!$AK$2:$AK$3000,Permissions!$B$2:$B$3000,$A56,Permissions!$R$2:$R$3000,"Yes")</f>
        <v>0</v>
      </c>
      <c r="AV56" s="26" t="n">
        <f aca="false">SUMIFS(Permissions!$AL$2:$AL$3000,Permissions!$B$2:$B$3000,$A56,Permissions!$R$2:$R$3000,"Yes")</f>
        <v>10.1</v>
      </c>
      <c r="AW56" s="26" t="n">
        <f aca="false">SUMIFS(Permissions!$AM$2:$AM$3000,Permissions!$B$2:$B$3000,$A56,Permissions!$R$2:$R$3000,"Yes")</f>
        <v>61</v>
      </c>
      <c r="AX56" s="26" t="n">
        <f aca="false">SUMIFS(Permissions!$AN$2:$AN$3000,Permissions!$B$2:$B$3000,$A56,Permissions!$R$2:$R$3000,"Yes")</f>
        <v>61</v>
      </c>
      <c r="AY56" s="26" t="n">
        <f aca="false">SUMIFS(Permissions!$AO$2:$AO$3000,Permissions!$B$2:$B$3000,$A56,Permissions!$R$2:$R$3000,"Yes")</f>
        <v>152.9</v>
      </c>
      <c r="AZ56" s="24" t="n">
        <f aca="false">COUNTIFS(Permissions!$B$2:$B$3000,$A56,Permissions!$R$2:$R$3000,"Yes")</f>
        <v>1</v>
      </c>
      <c r="BA56" s="24" t="n">
        <f aca="false">SUMIFS(Permissions!$M$2:$M$3000,Permissions!$B$2:$B$3000,$A56,Permissions!$R$2:$R$3000,"Yes")</f>
        <v>0</v>
      </c>
      <c r="BB56" s="24" t="n">
        <f aca="false">SUMIFS(Permissions!$O$2:$O$3000,Permissions!$B$2:$B$3000,$A56,Permissions!$R$2:$R$3000,"Yes")</f>
        <v>0</v>
      </c>
      <c r="BC56" s="27" t="str">
        <f aca="false">IF(AND(AM56&gt;0,AR56&gt;=AM56,AP56=0),"Finished",IF(AR56&gt;0,"Partly built",IF(AM56&gt;0,"Consented – not built","No consent")))</f>
        <v>Consented – not built</v>
      </c>
      <c r="BD56" s="28" t="str">
        <f aca="false">IF(AND(R56&lt;&gt;"",AM56&gt;1.1*R56),"Consented above capacity",IF(AND(LEFT(B56,8)="Planning",AZ56=0),"Consent parcel with no permission",IF(COUNTIF($A$2:$A$3000,$A56)&gt;1,"Duplicate parcel_id","")))</f>
        <v/>
      </c>
    </row>
    <row r="57" customFormat="false" ht="15" hidden="false" customHeight="false" outlineLevel="0" collapsed="false">
      <c r="A57" s="15" t="s">
        <v>255</v>
      </c>
      <c r="B57" s="15" t="s">
        <v>10</v>
      </c>
      <c r="C57" s="15" t="s">
        <v>16</v>
      </c>
      <c r="D57" s="15" t="s">
        <v>53</v>
      </c>
      <c r="E57" s="15" t="s">
        <v>19</v>
      </c>
      <c r="F57" s="15" t="n">
        <v>1</v>
      </c>
      <c r="G57" s="15" t="s">
        <v>158</v>
      </c>
      <c r="H57" s="15" t="n">
        <v>92</v>
      </c>
      <c r="I57" s="15" t="s">
        <v>53</v>
      </c>
      <c r="J57" s="15" t="s">
        <v>159</v>
      </c>
      <c r="K57" s="15" t="s">
        <v>53</v>
      </c>
      <c r="L57" s="15" t="s">
        <v>176</v>
      </c>
      <c r="M57" s="15" t="s">
        <v>234</v>
      </c>
      <c r="N57" s="15" t="s">
        <v>172</v>
      </c>
      <c r="O57" s="15" t="s">
        <v>235</v>
      </c>
      <c r="P57" s="15" t="n">
        <v>0.072</v>
      </c>
      <c r="Q57" s="15" t="n">
        <v>0.079</v>
      </c>
      <c r="R57" s="15" t="n">
        <v>7</v>
      </c>
      <c r="S57" s="15" t="s">
        <v>239</v>
      </c>
      <c r="T57" s="15" t="n">
        <v>7</v>
      </c>
      <c r="U57" s="15"/>
      <c r="V57" s="15"/>
      <c r="W57" s="15"/>
      <c r="X57" s="15" t="s">
        <v>236</v>
      </c>
      <c r="Y57" s="15" t="n">
        <v>101</v>
      </c>
      <c r="Z57" s="15" t="s">
        <v>240</v>
      </c>
      <c r="AA57" s="15"/>
      <c r="AB57" s="15" t="n">
        <v>0</v>
      </c>
      <c r="AC57" s="15" t="n">
        <v>0</v>
      </c>
      <c r="AD57" s="15" t="s">
        <v>167</v>
      </c>
      <c r="AE57" s="15" t="s">
        <v>168</v>
      </c>
      <c r="AF57" s="15" t="s">
        <v>169</v>
      </c>
      <c r="AG57" s="15"/>
      <c r="AH57" s="24" t="n">
        <f aca="false">IF(R57="",AM57,R57)</f>
        <v>7</v>
      </c>
      <c r="AI57" s="24" t="n">
        <f aca="false">SUMIFS(Permissions!$G$2:$G$3000,Permissions!$B$2:$B$3000,$A57,Permissions!$I$2:$I$3000,"Complete",Permissions!$R$2:$R$3000,"Yes")</f>
        <v>0</v>
      </c>
      <c r="AJ57" s="24" t="n">
        <f aca="false">SUMIFS(Permissions!$G$2:$G$3000,Permissions!$B$2:$B$3000,$A57,Permissions!$I$2:$I$3000,"Under construction",Permissions!$R$2:$R$3000,"Yes")</f>
        <v>0</v>
      </c>
      <c r="AK57" s="24" t="n">
        <f aca="false">SUMIFS(Permissions!$G$2:$G$3000,Permissions!$B$2:$B$3000,$A57,Permissions!$I$2:$I$3000,"Permitted – not started",Permissions!$R$2:$R$3000,"Yes")</f>
        <v>0</v>
      </c>
      <c r="AL57" s="24" t="n">
        <f aca="false">SUMIFS(Permissions!$G$2:$G$3000,Permissions!$B$2:$B$3000,$A57,Permissions!$I$2:$I$3000,"Stalled",Permissions!$R$2:$R$3000,"Yes")</f>
        <v>0</v>
      </c>
      <c r="AM57" s="24" t="n">
        <f aca="false">AI57+AJ57+AK57+AL57</f>
        <v>0</v>
      </c>
      <c r="AN57" s="24" t="n">
        <f aca="false">SUMIFS(Permissions!$G$2:$G$3000,Permissions!$B$2:$B$3000,$A57,Permissions!$I$2:$I$3000,"Expired – not started",Permissions!$R$2:$R$3000,"Yes")</f>
        <v>0</v>
      </c>
      <c r="AO57" s="24" t="n">
        <f aca="false">SUMIFS(Permissions!$G$2:$G$3000,Permissions!$B$2:$B$3000,$A57,Permissions!$I$2:$I$3000,"In planning",Permissions!$R$2:$R$3000,"Yes")</f>
        <v>0</v>
      </c>
      <c r="AP57" s="24" t="n">
        <f aca="false">IF(R57="",0,MAX(R57-AM57,0))</f>
        <v>7</v>
      </c>
      <c r="AQ57" s="25" t="n">
        <f aca="false">AM57+AP57</f>
        <v>7</v>
      </c>
      <c r="AR57" s="24" t="n">
        <f aca="false">SUMIFS(Permissions!$L$2:$L$3000,Permissions!$B$2:$B$3000,$A57,Permissions!$R$2:$R$3000,"Yes",Permissions!$I$2:$I$3000,"&lt;&gt;Expired – not started",Permissions!$I$2:$I$3000,"&lt;&gt;In planning")</f>
        <v>0</v>
      </c>
      <c r="AS57" s="24" t="n">
        <f aca="false">AQ57-AR57</f>
        <v>7</v>
      </c>
      <c r="AT57" s="26" t="n">
        <f aca="false">SUMIFS(Permissions!$AJ$2:$AJ$3000,Permissions!$B$2:$B$3000,$A57,Permissions!$R$2:$R$3000,"Yes")</f>
        <v>0</v>
      </c>
      <c r="AU57" s="26" t="n">
        <f aca="false">SUMIFS(Permissions!$AK$2:$AK$3000,Permissions!$B$2:$B$3000,$A57,Permissions!$R$2:$R$3000,"Yes")</f>
        <v>0</v>
      </c>
      <c r="AV57" s="26" t="n">
        <f aca="false">SUMIFS(Permissions!$AL$2:$AL$3000,Permissions!$B$2:$B$3000,$A57,Permissions!$R$2:$R$3000,"Yes")</f>
        <v>0</v>
      </c>
      <c r="AW57" s="26" t="n">
        <f aca="false">SUMIFS(Permissions!$AM$2:$AM$3000,Permissions!$B$2:$B$3000,$A57,Permissions!$R$2:$R$3000,"Yes")</f>
        <v>0</v>
      </c>
      <c r="AX57" s="26" t="n">
        <f aca="false">SUMIFS(Permissions!$AN$2:$AN$3000,Permissions!$B$2:$B$3000,$A57,Permissions!$R$2:$R$3000,"Yes")</f>
        <v>0</v>
      </c>
      <c r="AY57" s="26" t="n">
        <f aca="false">SUMIFS(Permissions!$AO$2:$AO$3000,Permissions!$B$2:$B$3000,$A57,Permissions!$R$2:$R$3000,"Yes")</f>
        <v>0</v>
      </c>
      <c r="AZ57" s="24" t="n">
        <f aca="false">COUNTIFS(Permissions!$B$2:$B$3000,$A57,Permissions!$R$2:$R$3000,"Yes")</f>
        <v>0</v>
      </c>
      <c r="BA57" s="24" t="n">
        <f aca="false">SUMIFS(Permissions!$M$2:$M$3000,Permissions!$B$2:$B$3000,$A57,Permissions!$R$2:$R$3000,"Yes")</f>
        <v>0</v>
      </c>
      <c r="BB57" s="24" t="n">
        <f aca="false">SUMIFS(Permissions!$O$2:$O$3000,Permissions!$B$2:$B$3000,$A57,Permissions!$R$2:$R$3000,"Yes")</f>
        <v>0</v>
      </c>
      <c r="BC57" s="27" t="str">
        <f aca="false">IF(AND(AM57&gt;0,AR57&gt;=AM57,AP57=0),"Finished",IF(AR57&gt;0,"Partly built",IF(AM57&gt;0,"Consented – not built","No consent")))</f>
        <v>No consent</v>
      </c>
      <c r="BD57" s="28" t="str">
        <f aca="false">IF(AND(R57&lt;&gt;"",AM57&gt;1.1*R57),"Consented above capacity",IF(AND(LEFT(B57,8)="Planning",AZ57=0),"Consent parcel with no permission",IF(COUNTIF($A$2:$A$3000,$A57)&gt;1,"Duplicate parcel_id","")))</f>
        <v/>
      </c>
    </row>
    <row r="58" customFormat="false" ht="15" hidden="false" customHeight="false" outlineLevel="0" collapsed="false">
      <c r="A58" s="15" t="s">
        <v>256</v>
      </c>
      <c r="B58" s="15" t="s">
        <v>10</v>
      </c>
      <c r="C58" s="15" t="s">
        <v>16</v>
      </c>
      <c r="D58" s="15" t="s">
        <v>53</v>
      </c>
      <c r="E58" s="15" t="s">
        <v>19</v>
      </c>
      <c r="F58" s="15" t="n">
        <v>1</v>
      </c>
      <c r="G58" s="15" t="s">
        <v>158</v>
      </c>
      <c r="H58" s="15" t="n">
        <v>93</v>
      </c>
      <c r="I58" s="15" t="s">
        <v>53</v>
      </c>
      <c r="J58" s="15" t="s">
        <v>159</v>
      </c>
      <c r="K58" s="15" t="s">
        <v>53</v>
      </c>
      <c r="L58" s="15" t="s">
        <v>176</v>
      </c>
      <c r="M58" s="15" t="s">
        <v>234</v>
      </c>
      <c r="N58" s="15" t="s">
        <v>172</v>
      </c>
      <c r="O58" s="15" t="s">
        <v>235</v>
      </c>
      <c r="P58" s="15" t="n">
        <v>0.052</v>
      </c>
      <c r="Q58" s="15" t="n">
        <v>0.057</v>
      </c>
      <c r="R58" s="15" t="n">
        <v>5</v>
      </c>
      <c r="S58" s="15" t="s">
        <v>239</v>
      </c>
      <c r="T58" s="15" t="n">
        <v>5</v>
      </c>
      <c r="U58" s="15"/>
      <c r="V58" s="15"/>
      <c r="W58" s="15"/>
      <c r="X58" s="15" t="s">
        <v>236</v>
      </c>
      <c r="Y58" s="15" t="n">
        <v>101</v>
      </c>
      <c r="Z58" s="15" t="s">
        <v>240</v>
      </c>
      <c r="AA58" s="15"/>
      <c r="AB58" s="15" t="n">
        <v>0</v>
      </c>
      <c r="AC58" s="15" t="n">
        <v>0</v>
      </c>
      <c r="AD58" s="15" t="s">
        <v>167</v>
      </c>
      <c r="AE58" s="15" t="s">
        <v>168</v>
      </c>
      <c r="AF58" s="15" t="s">
        <v>169</v>
      </c>
      <c r="AG58" s="15"/>
      <c r="AH58" s="24" t="n">
        <f aca="false">IF(R58="",AM58,R58)</f>
        <v>5</v>
      </c>
      <c r="AI58" s="24" t="n">
        <f aca="false">SUMIFS(Permissions!$G$2:$G$3000,Permissions!$B$2:$B$3000,$A58,Permissions!$I$2:$I$3000,"Complete",Permissions!$R$2:$R$3000,"Yes")</f>
        <v>0</v>
      </c>
      <c r="AJ58" s="24" t="n">
        <f aca="false">SUMIFS(Permissions!$G$2:$G$3000,Permissions!$B$2:$B$3000,$A58,Permissions!$I$2:$I$3000,"Under construction",Permissions!$R$2:$R$3000,"Yes")</f>
        <v>0</v>
      </c>
      <c r="AK58" s="24" t="n">
        <f aca="false">SUMIFS(Permissions!$G$2:$G$3000,Permissions!$B$2:$B$3000,$A58,Permissions!$I$2:$I$3000,"Permitted – not started",Permissions!$R$2:$R$3000,"Yes")</f>
        <v>0</v>
      </c>
      <c r="AL58" s="24" t="n">
        <f aca="false">SUMIFS(Permissions!$G$2:$G$3000,Permissions!$B$2:$B$3000,$A58,Permissions!$I$2:$I$3000,"Stalled",Permissions!$R$2:$R$3000,"Yes")</f>
        <v>0</v>
      </c>
      <c r="AM58" s="24" t="n">
        <f aca="false">AI58+AJ58+AK58+AL58</f>
        <v>0</v>
      </c>
      <c r="AN58" s="24" t="n">
        <f aca="false">SUMIFS(Permissions!$G$2:$G$3000,Permissions!$B$2:$B$3000,$A58,Permissions!$I$2:$I$3000,"Expired – not started",Permissions!$R$2:$R$3000,"Yes")</f>
        <v>0</v>
      </c>
      <c r="AO58" s="24" t="n">
        <f aca="false">SUMIFS(Permissions!$G$2:$G$3000,Permissions!$B$2:$B$3000,$A58,Permissions!$I$2:$I$3000,"In planning",Permissions!$R$2:$R$3000,"Yes")</f>
        <v>0</v>
      </c>
      <c r="AP58" s="24" t="n">
        <f aca="false">IF(R58="",0,MAX(R58-AM58,0))</f>
        <v>5</v>
      </c>
      <c r="AQ58" s="25" t="n">
        <f aca="false">AM58+AP58</f>
        <v>5</v>
      </c>
      <c r="AR58" s="24" t="n">
        <f aca="false">SUMIFS(Permissions!$L$2:$L$3000,Permissions!$B$2:$B$3000,$A58,Permissions!$R$2:$R$3000,"Yes",Permissions!$I$2:$I$3000,"&lt;&gt;Expired – not started",Permissions!$I$2:$I$3000,"&lt;&gt;In planning")</f>
        <v>0</v>
      </c>
      <c r="AS58" s="24" t="n">
        <f aca="false">AQ58-AR58</f>
        <v>5</v>
      </c>
      <c r="AT58" s="26" t="n">
        <f aca="false">SUMIFS(Permissions!$AJ$2:$AJ$3000,Permissions!$B$2:$B$3000,$A58,Permissions!$R$2:$R$3000,"Yes")</f>
        <v>0</v>
      </c>
      <c r="AU58" s="26" t="n">
        <f aca="false">SUMIFS(Permissions!$AK$2:$AK$3000,Permissions!$B$2:$B$3000,$A58,Permissions!$R$2:$R$3000,"Yes")</f>
        <v>0</v>
      </c>
      <c r="AV58" s="26" t="n">
        <f aca="false">SUMIFS(Permissions!$AL$2:$AL$3000,Permissions!$B$2:$B$3000,$A58,Permissions!$R$2:$R$3000,"Yes")</f>
        <v>0</v>
      </c>
      <c r="AW58" s="26" t="n">
        <f aca="false">SUMIFS(Permissions!$AM$2:$AM$3000,Permissions!$B$2:$B$3000,$A58,Permissions!$R$2:$R$3000,"Yes")</f>
        <v>0</v>
      </c>
      <c r="AX58" s="26" t="n">
        <f aca="false">SUMIFS(Permissions!$AN$2:$AN$3000,Permissions!$B$2:$B$3000,$A58,Permissions!$R$2:$R$3000,"Yes")</f>
        <v>0</v>
      </c>
      <c r="AY58" s="26" t="n">
        <f aca="false">SUMIFS(Permissions!$AO$2:$AO$3000,Permissions!$B$2:$B$3000,$A58,Permissions!$R$2:$R$3000,"Yes")</f>
        <v>0</v>
      </c>
      <c r="AZ58" s="24" t="n">
        <f aca="false">COUNTIFS(Permissions!$B$2:$B$3000,$A58,Permissions!$R$2:$R$3000,"Yes")</f>
        <v>0</v>
      </c>
      <c r="BA58" s="24" t="n">
        <f aca="false">SUMIFS(Permissions!$M$2:$M$3000,Permissions!$B$2:$B$3000,$A58,Permissions!$R$2:$R$3000,"Yes")</f>
        <v>0</v>
      </c>
      <c r="BB58" s="24" t="n">
        <f aca="false">SUMIFS(Permissions!$O$2:$O$3000,Permissions!$B$2:$B$3000,$A58,Permissions!$R$2:$R$3000,"Yes")</f>
        <v>0</v>
      </c>
      <c r="BC58" s="27" t="str">
        <f aca="false">IF(AND(AM58&gt;0,AR58&gt;=AM58,AP58=0),"Finished",IF(AR58&gt;0,"Partly built",IF(AM58&gt;0,"Consented – not built","No consent")))</f>
        <v>No consent</v>
      </c>
      <c r="BD58" s="28" t="str">
        <f aca="false">IF(AND(R58&lt;&gt;"",AM58&gt;1.1*R58),"Consented above capacity",IF(AND(LEFT(B58,8)="Planning",AZ58=0),"Consent parcel with no permission",IF(COUNTIF($A$2:$A$3000,$A58)&gt;1,"Duplicate parcel_id","")))</f>
        <v/>
      </c>
    </row>
    <row r="59" customFormat="false" ht="15" hidden="false" customHeight="false" outlineLevel="0" collapsed="false">
      <c r="A59" s="15" t="s">
        <v>257</v>
      </c>
      <c r="B59" s="15" t="s">
        <v>10</v>
      </c>
      <c r="C59" s="15" t="s">
        <v>16</v>
      </c>
      <c r="D59" s="15" t="s">
        <v>53</v>
      </c>
      <c r="E59" s="15" t="s">
        <v>19</v>
      </c>
      <c r="F59" s="15" t="n">
        <v>1</v>
      </c>
      <c r="G59" s="15" t="s">
        <v>158</v>
      </c>
      <c r="H59" s="15" t="n">
        <v>95</v>
      </c>
      <c r="I59" s="15" t="s">
        <v>53</v>
      </c>
      <c r="J59" s="15" t="s">
        <v>159</v>
      </c>
      <c r="K59" s="15" t="s">
        <v>53</v>
      </c>
      <c r="L59" s="15" t="s">
        <v>176</v>
      </c>
      <c r="M59" s="15" t="s">
        <v>234</v>
      </c>
      <c r="N59" s="15" t="s">
        <v>172</v>
      </c>
      <c r="O59" s="15" t="s">
        <v>235</v>
      </c>
      <c r="P59" s="15" t="n">
        <v>0.095</v>
      </c>
      <c r="Q59" s="15" t="n">
        <v>0.104</v>
      </c>
      <c r="R59" s="15" t="n">
        <v>10</v>
      </c>
      <c r="S59" s="15" t="s">
        <v>239</v>
      </c>
      <c r="T59" s="15" t="n">
        <v>10</v>
      </c>
      <c r="U59" s="15"/>
      <c r="V59" s="15"/>
      <c r="W59" s="15"/>
      <c r="X59" s="15" t="s">
        <v>236</v>
      </c>
      <c r="Y59" s="15" t="n">
        <v>101</v>
      </c>
      <c r="Z59" s="15" t="s">
        <v>240</v>
      </c>
      <c r="AA59" s="15"/>
      <c r="AB59" s="15" t="n">
        <v>0</v>
      </c>
      <c r="AC59" s="15" t="n">
        <v>0</v>
      </c>
      <c r="AD59" s="15" t="s">
        <v>167</v>
      </c>
      <c r="AE59" s="15" t="s">
        <v>168</v>
      </c>
      <c r="AF59" s="15" t="s">
        <v>169</v>
      </c>
      <c r="AG59" s="15"/>
      <c r="AH59" s="24" t="n">
        <f aca="false">IF(R59="",AM59,R59)</f>
        <v>10</v>
      </c>
      <c r="AI59" s="24" t="n">
        <f aca="false">SUMIFS(Permissions!$G$2:$G$3000,Permissions!$B$2:$B$3000,$A59,Permissions!$I$2:$I$3000,"Complete",Permissions!$R$2:$R$3000,"Yes")</f>
        <v>0</v>
      </c>
      <c r="AJ59" s="24" t="n">
        <f aca="false">SUMIFS(Permissions!$G$2:$G$3000,Permissions!$B$2:$B$3000,$A59,Permissions!$I$2:$I$3000,"Under construction",Permissions!$R$2:$R$3000,"Yes")</f>
        <v>0</v>
      </c>
      <c r="AK59" s="24" t="n">
        <f aca="false">SUMIFS(Permissions!$G$2:$G$3000,Permissions!$B$2:$B$3000,$A59,Permissions!$I$2:$I$3000,"Permitted – not started",Permissions!$R$2:$R$3000,"Yes")</f>
        <v>0</v>
      </c>
      <c r="AL59" s="24" t="n">
        <f aca="false">SUMIFS(Permissions!$G$2:$G$3000,Permissions!$B$2:$B$3000,$A59,Permissions!$I$2:$I$3000,"Stalled",Permissions!$R$2:$R$3000,"Yes")</f>
        <v>0</v>
      </c>
      <c r="AM59" s="24" t="n">
        <f aca="false">AI59+AJ59+AK59+AL59</f>
        <v>0</v>
      </c>
      <c r="AN59" s="24" t="n">
        <f aca="false">SUMIFS(Permissions!$G$2:$G$3000,Permissions!$B$2:$B$3000,$A59,Permissions!$I$2:$I$3000,"Expired – not started",Permissions!$R$2:$R$3000,"Yes")</f>
        <v>0</v>
      </c>
      <c r="AO59" s="24" t="n">
        <f aca="false">SUMIFS(Permissions!$G$2:$G$3000,Permissions!$B$2:$B$3000,$A59,Permissions!$I$2:$I$3000,"In planning",Permissions!$R$2:$R$3000,"Yes")</f>
        <v>0</v>
      </c>
      <c r="AP59" s="24" t="n">
        <f aca="false">IF(R59="",0,MAX(R59-AM59,0))</f>
        <v>10</v>
      </c>
      <c r="AQ59" s="25" t="n">
        <f aca="false">AM59+AP59</f>
        <v>10</v>
      </c>
      <c r="AR59" s="24" t="n">
        <f aca="false">SUMIFS(Permissions!$L$2:$L$3000,Permissions!$B$2:$B$3000,$A59,Permissions!$R$2:$R$3000,"Yes",Permissions!$I$2:$I$3000,"&lt;&gt;Expired – not started",Permissions!$I$2:$I$3000,"&lt;&gt;In planning")</f>
        <v>0</v>
      </c>
      <c r="AS59" s="24" t="n">
        <f aca="false">AQ59-AR59</f>
        <v>10</v>
      </c>
      <c r="AT59" s="26" t="n">
        <f aca="false">SUMIFS(Permissions!$AJ$2:$AJ$3000,Permissions!$B$2:$B$3000,$A59,Permissions!$R$2:$R$3000,"Yes")</f>
        <v>0</v>
      </c>
      <c r="AU59" s="26" t="n">
        <f aca="false">SUMIFS(Permissions!$AK$2:$AK$3000,Permissions!$B$2:$B$3000,$A59,Permissions!$R$2:$R$3000,"Yes")</f>
        <v>0</v>
      </c>
      <c r="AV59" s="26" t="n">
        <f aca="false">SUMIFS(Permissions!$AL$2:$AL$3000,Permissions!$B$2:$B$3000,$A59,Permissions!$R$2:$R$3000,"Yes")</f>
        <v>0</v>
      </c>
      <c r="AW59" s="26" t="n">
        <f aca="false">SUMIFS(Permissions!$AM$2:$AM$3000,Permissions!$B$2:$B$3000,$A59,Permissions!$R$2:$R$3000,"Yes")</f>
        <v>0</v>
      </c>
      <c r="AX59" s="26" t="n">
        <f aca="false">SUMIFS(Permissions!$AN$2:$AN$3000,Permissions!$B$2:$B$3000,$A59,Permissions!$R$2:$R$3000,"Yes")</f>
        <v>0</v>
      </c>
      <c r="AY59" s="26" t="n">
        <f aca="false">SUMIFS(Permissions!$AO$2:$AO$3000,Permissions!$B$2:$B$3000,$A59,Permissions!$R$2:$R$3000,"Yes")</f>
        <v>0</v>
      </c>
      <c r="AZ59" s="24" t="n">
        <f aca="false">COUNTIFS(Permissions!$B$2:$B$3000,$A59,Permissions!$R$2:$R$3000,"Yes")</f>
        <v>0</v>
      </c>
      <c r="BA59" s="24" t="n">
        <f aca="false">SUMIFS(Permissions!$M$2:$M$3000,Permissions!$B$2:$B$3000,$A59,Permissions!$R$2:$R$3000,"Yes")</f>
        <v>0</v>
      </c>
      <c r="BB59" s="24" t="n">
        <f aca="false">SUMIFS(Permissions!$O$2:$O$3000,Permissions!$B$2:$B$3000,$A59,Permissions!$R$2:$R$3000,"Yes")</f>
        <v>0</v>
      </c>
      <c r="BC59" s="27" t="str">
        <f aca="false">IF(AND(AM59&gt;0,AR59&gt;=AM59,AP59=0),"Finished",IF(AR59&gt;0,"Partly built",IF(AM59&gt;0,"Consented – not built","No consent")))</f>
        <v>No consent</v>
      </c>
      <c r="BD59" s="28" t="str">
        <f aca="false">IF(AND(R59&lt;&gt;"",AM59&gt;1.1*R59),"Consented above capacity",IF(AND(LEFT(B59,8)="Planning",AZ59=0),"Consent parcel with no permission",IF(COUNTIF($A$2:$A$3000,$A59)&gt;1,"Duplicate parcel_id","")))</f>
        <v/>
      </c>
    </row>
    <row r="60" customFormat="false" ht="15" hidden="false" customHeight="false" outlineLevel="0" collapsed="false">
      <c r="A60" s="15" t="s">
        <v>258</v>
      </c>
      <c r="B60" s="15" t="s">
        <v>10</v>
      </c>
      <c r="C60" s="15" t="s">
        <v>16</v>
      </c>
      <c r="D60" s="15" t="s">
        <v>53</v>
      </c>
      <c r="E60" s="15" t="s">
        <v>19</v>
      </c>
      <c r="F60" s="15" t="n">
        <v>1</v>
      </c>
      <c r="G60" s="15" t="s">
        <v>158</v>
      </c>
      <c r="H60" s="15" t="n">
        <v>97</v>
      </c>
      <c r="I60" s="15" t="s">
        <v>53</v>
      </c>
      <c r="J60" s="15" t="s">
        <v>159</v>
      </c>
      <c r="K60" s="15" t="s">
        <v>53</v>
      </c>
      <c r="L60" s="15" t="s">
        <v>176</v>
      </c>
      <c r="M60" s="15" t="s">
        <v>234</v>
      </c>
      <c r="N60" s="15" t="s">
        <v>172</v>
      </c>
      <c r="O60" s="15" t="s">
        <v>235</v>
      </c>
      <c r="P60" s="15" t="n">
        <v>0.056</v>
      </c>
      <c r="Q60" s="15" t="n">
        <v>0.061</v>
      </c>
      <c r="R60" s="15" t="n">
        <v>6</v>
      </c>
      <c r="S60" s="15" t="s">
        <v>239</v>
      </c>
      <c r="T60" s="15" t="n">
        <v>6</v>
      </c>
      <c r="U60" s="15"/>
      <c r="V60" s="15"/>
      <c r="W60" s="15"/>
      <c r="X60" s="15" t="s">
        <v>236</v>
      </c>
      <c r="Y60" s="15" t="n">
        <v>101</v>
      </c>
      <c r="Z60" s="15" t="s">
        <v>240</v>
      </c>
      <c r="AA60" s="15"/>
      <c r="AB60" s="15" t="n">
        <v>0</v>
      </c>
      <c r="AC60" s="15" t="n">
        <v>0</v>
      </c>
      <c r="AD60" s="15" t="s">
        <v>167</v>
      </c>
      <c r="AE60" s="15" t="s">
        <v>168</v>
      </c>
      <c r="AF60" s="15" t="s">
        <v>169</v>
      </c>
      <c r="AG60" s="15"/>
      <c r="AH60" s="24" t="n">
        <f aca="false">IF(R60="",AM60,R60)</f>
        <v>6</v>
      </c>
      <c r="AI60" s="24" t="n">
        <f aca="false">SUMIFS(Permissions!$G$2:$G$3000,Permissions!$B$2:$B$3000,$A60,Permissions!$I$2:$I$3000,"Complete",Permissions!$R$2:$R$3000,"Yes")</f>
        <v>0</v>
      </c>
      <c r="AJ60" s="24" t="n">
        <f aca="false">SUMIFS(Permissions!$G$2:$G$3000,Permissions!$B$2:$B$3000,$A60,Permissions!$I$2:$I$3000,"Under construction",Permissions!$R$2:$R$3000,"Yes")</f>
        <v>0</v>
      </c>
      <c r="AK60" s="24" t="n">
        <f aca="false">SUMIFS(Permissions!$G$2:$G$3000,Permissions!$B$2:$B$3000,$A60,Permissions!$I$2:$I$3000,"Permitted – not started",Permissions!$R$2:$R$3000,"Yes")</f>
        <v>0</v>
      </c>
      <c r="AL60" s="24" t="n">
        <f aca="false">SUMIFS(Permissions!$G$2:$G$3000,Permissions!$B$2:$B$3000,$A60,Permissions!$I$2:$I$3000,"Stalled",Permissions!$R$2:$R$3000,"Yes")</f>
        <v>0</v>
      </c>
      <c r="AM60" s="24" t="n">
        <f aca="false">AI60+AJ60+AK60+AL60</f>
        <v>0</v>
      </c>
      <c r="AN60" s="24" t="n">
        <f aca="false">SUMIFS(Permissions!$G$2:$G$3000,Permissions!$B$2:$B$3000,$A60,Permissions!$I$2:$I$3000,"Expired – not started",Permissions!$R$2:$R$3000,"Yes")</f>
        <v>0</v>
      </c>
      <c r="AO60" s="24" t="n">
        <f aca="false">SUMIFS(Permissions!$G$2:$G$3000,Permissions!$B$2:$B$3000,$A60,Permissions!$I$2:$I$3000,"In planning",Permissions!$R$2:$R$3000,"Yes")</f>
        <v>0</v>
      </c>
      <c r="AP60" s="24" t="n">
        <f aca="false">IF(R60="",0,MAX(R60-AM60,0))</f>
        <v>6</v>
      </c>
      <c r="AQ60" s="25" t="n">
        <f aca="false">AM60+AP60</f>
        <v>6</v>
      </c>
      <c r="AR60" s="24" t="n">
        <f aca="false">SUMIFS(Permissions!$L$2:$L$3000,Permissions!$B$2:$B$3000,$A60,Permissions!$R$2:$R$3000,"Yes",Permissions!$I$2:$I$3000,"&lt;&gt;Expired – not started",Permissions!$I$2:$I$3000,"&lt;&gt;In planning")</f>
        <v>0</v>
      </c>
      <c r="AS60" s="24" t="n">
        <f aca="false">AQ60-AR60</f>
        <v>6</v>
      </c>
      <c r="AT60" s="26" t="n">
        <f aca="false">SUMIFS(Permissions!$AJ$2:$AJ$3000,Permissions!$B$2:$B$3000,$A60,Permissions!$R$2:$R$3000,"Yes")</f>
        <v>0</v>
      </c>
      <c r="AU60" s="26" t="n">
        <f aca="false">SUMIFS(Permissions!$AK$2:$AK$3000,Permissions!$B$2:$B$3000,$A60,Permissions!$R$2:$R$3000,"Yes")</f>
        <v>0</v>
      </c>
      <c r="AV60" s="26" t="n">
        <f aca="false">SUMIFS(Permissions!$AL$2:$AL$3000,Permissions!$B$2:$B$3000,$A60,Permissions!$R$2:$R$3000,"Yes")</f>
        <v>0</v>
      </c>
      <c r="AW60" s="26" t="n">
        <f aca="false">SUMIFS(Permissions!$AM$2:$AM$3000,Permissions!$B$2:$B$3000,$A60,Permissions!$R$2:$R$3000,"Yes")</f>
        <v>0</v>
      </c>
      <c r="AX60" s="26" t="n">
        <f aca="false">SUMIFS(Permissions!$AN$2:$AN$3000,Permissions!$B$2:$B$3000,$A60,Permissions!$R$2:$R$3000,"Yes")</f>
        <v>0</v>
      </c>
      <c r="AY60" s="26" t="n">
        <f aca="false">SUMIFS(Permissions!$AO$2:$AO$3000,Permissions!$B$2:$B$3000,$A60,Permissions!$R$2:$R$3000,"Yes")</f>
        <v>0</v>
      </c>
      <c r="AZ60" s="24" t="n">
        <f aca="false">COUNTIFS(Permissions!$B$2:$B$3000,$A60,Permissions!$R$2:$R$3000,"Yes")</f>
        <v>0</v>
      </c>
      <c r="BA60" s="24" t="n">
        <f aca="false">SUMIFS(Permissions!$M$2:$M$3000,Permissions!$B$2:$B$3000,$A60,Permissions!$R$2:$R$3000,"Yes")</f>
        <v>0</v>
      </c>
      <c r="BB60" s="24" t="n">
        <f aca="false">SUMIFS(Permissions!$O$2:$O$3000,Permissions!$B$2:$B$3000,$A60,Permissions!$R$2:$R$3000,"Yes")</f>
        <v>0</v>
      </c>
      <c r="BC60" s="27" t="str">
        <f aca="false">IF(AND(AM60&gt;0,AR60&gt;=AM60,AP60=0),"Finished",IF(AR60&gt;0,"Partly built",IF(AM60&gt;0,"Consented – not built","No consent")))</f>
        <v>No consent</v>
      </c>
      <c r="BD60" s="28" t="str">
        <f aca="false">IF(AND(R60&lt;&gt;"",AM60&gt;1.1*R60),"Consented above capacity",IF(AND(LEFT(B60,8)="Planning",AZ60=0),"Consent parcel with no permission",IF(COUNTIF($A$2:$A$3000,$A60)&gt;1,"Duplicate parcel_id","")))</f>
        <v/>
      </c>
    </row>
    <row r="61" customFormat="false" ht="15" hidden="false" customHeight="false" outlineLevel="0" collapsed="false">
      <c r="A61" s="15" t="s">
        <v>259</v>
      </c>
      <c r="B61" s="15" t="s">
        <v>10</v>
      </c>
      <c r="C61" s="15" t="s">
        <v>16</v>
      </c>
      <c r="D61" s="15" t="s">
        <v>53</v>
      </c>
      <c r="E61" s="15" t="s">
        <v>19</v>
      </c>
      <c r="F61" s="15" t="n">
        <v>1</v>
      </c>
      <c r="G61" s="15" t="s">
        <v>158</v>
      </c>
      <c r="H61" s="15" t="n">
        <v>99</v>
      </c>
      <c r="I61" s="15" t="s">
        <v>53</v>
      </c>
      <c r="J61" s="15" t="s">
        <v>159</v>
      </c>
      <c r="K61" s="15" t="s">
        <v>53</v>
      </c>
      <c r="L61" s="15" t="s">
        <v>176</v>
      </c>
      <c r="M61" s="15" t="s">
        <v>234</v>
      </c>
      <c r="N61" s="15" t="s">
        <v>172</v>
      </c>
      <c r="O61" s="15" t="s">
        <v>235</v>
      </c>
      <c r="P61" s="15" t="n">
        <v>0.059</v>
      </c>
      <c r="Q61" s="15" t="n">
        <v>0.065</v>
      </c>
      <c r="R61" s="15" t="n">
        <v>6</v>
      </c>
      <c r="S61" s="15" t="s">
        <v>239</v>
      </c>
      <c r="T61" s="15" t="n">
        <v>6</v>
      </c>
      <c r="U61" s="15"/>
      <c r="V61" s="15"/>
      <c r="W61" s="15"/>
      <c r="X61" s="15" t="s">
        <v>236</v>
      </c>
      <c r="Y61" s="15" t="n">
        <v>101</v>
      </c>
      <c r="Z61" s="15" t="s">
        <v>240</v>
      </c>
      <c r="AA61" s="15"/>
      <c r="AB61" s="15" t="n">
        <v>0</v>
      </c>
      <c r="AC61" s="15" t="n">
        <v>0</v>
      </c>
      <c r="AD61" s="15" t="s">
        <v>167</v>
      </c>
      <c r="AE61" s="15" t="s">
        <v>168</v>
      </c>
      <c r="AF61" s="15" t="s">
        <v>169</v>
      </c>
      <c r="AG61" s="15"/>
      <c r="AH61" s="24" t="n">
        <f aca="false">IF(R61="",AM61,R61)</f>
        <v>6</v>
      </c>
      <c r="AI61" s="24" t="n">
        <f aca="false">SUMIFS(Permissions!$G$2:$G$3000,Permissions!$B$2:$B$3000,$A61,Permissions!$I$2:$I$3000,"Complete",Permissions!$R$2:$R$3000,"Yes")</f>
        <v>0</v>
      </c>
      <c r="AJ61" s="24" t="n">
        <f aca="false">SUMIFS(Permissions!$G$2:$G$3000,Permissions!$B$2:$B$3000,$A61,Permissions!$I$2:$I$3000,"Under construction",Permissions!$R$2:$R$3000,"Yes")</f>
        <v>0</v>
      </c>
      <c r="AK61" s="24" t="n">
        <f aca="false">SUMIFS(Permissions!$G$2:$G$3000,Permissions!$B$2:$B$3000,$A61,Permissions!$I$2:$I$3000,"Permitted – not started",Permissions!$R$2:$R$3000,"Yes")</f>
        <v>0</v>
      </c>
      <c r="AL61" s="24" t="n">
        <f aca="false">SUMIFS(Permissions!$G$2:$G$3000,Permissions!$B$2:$B$3000,$A61,Permissions!$I$2:$I$3000,"Stalled",Permissions!$R$2:$R$3000,"Yes")</f>
        <v>0</v>
      </c>
      <c r="AM61" s="24" t="n">
        <f aca="false">AI61+AJ61+AK61+AL61</f>
        <v>0</v>
      </c>
      <c r="AN61" s="24" t="n">
        <f aca="false">SUMIFS(Permissions!$G$2:$G$3000,Permissions!$B$2:$B$3000,$A61,Permissions!$I$2:$I$3000,"Expired – not started",Permissions!$R$2:$R$3000,"Yes")</f>
        <v>0</v>
      </c>
      <c r="AO61" s="24" t="n">
        <f aca="false">SUMIFS(Permissions!$G$2:$G$3000,Permissions!$B$2:$B$3000,$A61,Permissions!$I$2:$I$3000,"In planning",Permissions!$R$2:$R$3000,"Yes")</f>
        <v>0</v>
      </c>
      <c r="AP61" s="24" t="n">
        <f aca="false">IF(R61="",0,MAX(R61-AM61,0))</f>
        <v>6</v>
      </c>
      <c r="AQ61" s="25" t="n">
        <f aca="false">AM61+AP61</f>
        <v>6</v>
      </c>
      <c r="AR61" s="24" t="n">
        <f aca="false">SUMIFS(Permissions!$L$2:$L$3000,Permissions!$B$2:$B$3000,$A61,Permissions!$R$2:$R$3000,"Yes",Permissions!$I$2:$I$3000,"&lt;&gt;Expired – not started",Permissions!$I$2:$I$3000,"&lt;&gt;In planning")</f>
        <v>0</v>
      </c>
      <c r="AS61" s="24" t="n">
        <f aca="false">AQ61-AR61</f>
        <v>6</v>
      </c>
      <c r="AT61" s="26" t="n">
        <f aca="false">SUMIFS(Permissions!$AJ$2:$AJ$3000,Permissions!$B$2:$B$3000,$A61,Permissions!$R$2:$R$3000,"Yes")</f>
        <v>0</v>
      </c>
      <c r="AU61" s="26" t="n">
        <f aca="false">SUMIFS(Permissions!$AK$2:$AK$3000,Permissions!$B$2:$B$3000,$A61,Permissions!$R$2:$R$3000,"Yes")</f>
        <v>0</v>
      </c>
      <c r="AV61" s="26" t="n">
        <f aca="false">SUMIFS(Permissions!$AL$2:$AL$3000,Permissions!$B$2:$B$3000,$A61,Permissions!$R$2:$R$3000,"Yes")</f>
        <v>0</v>
      </c>
      <c r="AW61" s="26" t="n">
        <f aca="false">SUMIFS(Permissions!$AM$2:$AM$3000,Permissions!$B$2:$B$3000,$A61,Permissions!$R$2:$R$3000,"Yes")</f>
        <v>0</v>
      </c>
      <c r="AX61" s="26" t="n">
        <f aca="false">SUMIFS(Permissions!$AN$2:$AN$3000,Permissions!$B$2:$B$3000,$A61,Permissions!$R$2:$R$3000,"Yes")</f>
        <v>0</v>
      </c>
      <c r="AY61" s="26" t="n">
        <f aca="false">SUMIFS(Permissions!$AO$2:$AO$3000,Permissions!$B$2:$B$3000,$A61,Permissions!$R$2:$R$3000,"Yes")</f>
        <v>0</v>
      </c>
      <c r="AZ61" s="24" t="n">
        <f aca="false">COUNTIFS(Permissions!$B$2:$B$3000,$A61,Permissions!$R$2:$R$3000,"Yes")</f>
        <v>0</v>
      </c>
      <c r="BA61" s="24" t="n">
        <f aca="false">SUMIFS(Permissions!$M$2:$M$3000,Permissions!$B$2:$B$3000,$A61,Permissions!$R$2:$R$3000,"Yes")</f>
        <v>0</v>
      </c>
      <c r="BB61" s="24" t="n">
        <f aca="false">SUMIFS(Permissions!$O$2:$O$3000,Permissions!$B$2:$B$3000,$A61,Permissions!$R$2:$R$3000,"Yes")</f>
        <v>0</v>
      </c>
      <c r="BC61" s="27" t="str">
        <f aca="false">IF(AND(AM61&gt;0,AR61&gt;=AM61,AP61=0),"Finished",IF(AR61&gt;0,"Partly built",IF(AM61&gt;0,"Consented – not built","No consent")))</f>
        <v>No consent</v>
      </c>
      <c r="BD61" s="28" t="str">
        <f aca="false">IF(AND(R61&lt;&gt;"",AM61&gt;1.1*R61),"Consented above capacity",IF(AND(LEFT(B61,8)="Planning",AZ61=0),"Consent parcel with no permission",IF(COUNTIF($A$2:$A$3000,$A61)&gt;1,"Duplicate parcel_id","")))</f>
        <v/>
      </c>
    </row>
    <row r="62" customFormat="false" ht="15" hidden="false" customHeight="false" outlineLevel="0" collapsed="false">
      <c r="A62" s="15" t="s">
        <v>260</v>
      </c>
      <c r="B62" s="15" t="s">
        <v>10</v>
      </c>
      <c r="C62" s="15" t="s">
        <v>16</v>
      </c>
      <c r="D62" s="15" t="s">
        <v>54</v>
      </c>
      <c r="E62" s="15" t="s">
        <v>19</v>
      </c>
      <c r="F62" s="15" t="n">
        <v>1</v>
      </c>
      <c r="G62" s="15" t="s">
        <v>158</v>
      </c>
      <c r="H62" s="15" t="n">
        <v>26</v>
      </c>
      <c r="I62" s="15" t="s">
        <v>54</v>
      </c>
      <c r="J62" s="15" t="s">
        <v>182</v>
      </c>
      <c r="K62" s="15" t="s">
        <v>261</v>
      </c>
      <c r="L62" s="15" t="s">
        <v>176</v>
      </c>
      <c r="M62" s="15" t="s">
        <v>161</v>
      </c>
      <c r="N62" s="15" t="s">
        <v>172</v>
      </c>
      <c r="O62" s="15" t="s">
        <v>185</v>
      </c>
      <c r="P62" s="15" t="n">
        <v>2.196</v>
      </c>
      <c r="Q62" s="15" t="n">
        <v>2.196</v>
      </c>
      <c r="R62" s="15" t="n">
        <v>77</v>
      </c>
      <c r="S62" s="15" t="s">
        <v>164</v>
      </c>
      <c r="T62" s="15" t="n">
        <v>75</v>
      </c>
      <c r="U62" s="15"/>
      <c r="V62" s="15"/>
      <c r="W62" s="15"/>
      <c r="X62" s="15" t="s">
        <v>165</v>
      </c>
      <c r="Y62" s="15" t="n">
        <v>34</v>
      </c>
      <c r="Z62" s="15" t="s">
        <v>166</v>
      </c>
      <c r="AA62" s="15"/>
      <c r="AB62" s="15" t="n">
        <v>0</v>
      </c>
      <c r="AC62" s="15" t="n">
        <v>0</v>
      </c>
      <c r="AD62" s="15" t="s">
        <v>167</v>
      </c>
      <c r="AE62" s="15" t="s">
        <v>168</v>
      </c>
      <c r="AF62" s="15" t="s">
        <v>169</v>
      </c>
      <c r="AG62" s="15"/>
      <c r="AH62" s="24" t="n">
        <f aca="false">IF(R62="",AM62,R62)</f>
        <v>77</v>
      </c>
      <c r="AI62" s="24" t="n">
        <f aca="false">SUMIFS(Permissions!$G$2:$G$3000,Permissions!$B$2:$B$3000,$A62,Permissions!$I$2:$I$3000,"Complete",Permissions!$R$2:$R$3000,"Yes")</f>
        <v>0</v>
      </c>
      <c r="AJ62" s="24" t="n">
        <f aca="false">SUMIFS(Permissions!$G$2:$G$3000,Permissions!$B$2:$B$3000,$A62,Permissions!$I$2:$I$3000,"Under construction",Permissions!$R$2:$R$3000,"Yes")</f>
        <v>0</v>
      </c>
      <c r="AK62" s="24" t="n">
        <f aca="false">SUMIFS(Permissions!$G$2:$G$3000,Permissions!$B$2:$B$3000,$A62,Permissions!$I$2:$I$3000,"Permitted – not started",Permissions!$R$2:$R$3000,"Yes")</f>
        <v>0</v>
      </c>
      <c r="AL62" s="24" t="n">
        <f aca="false">SUMIFS(Permissions!$G$2:$G$3000,Permissions!$B$2:$B$3000,$A62,Permissions!$I$2:$I$3000,"Stalled",Permissions!$R$2:$R$3000,"Yes")</f>
        <v>0</v>
      </c>
      <c r="AM62" s="24" t="n">
        <f aca="false">AI62+AJ62+AK62+AL62</f>
        <v>0</v>
      </c>
      <c r="AN62" s="24" t="n">
        <f aca="false">SUMIFS(Permissions!$G$2:$G$3000,Permissions!$B$2:$B$3000,$A62,Permissions!$I$2:$I$3000,"Expired – not started",Permissions!$R$2:$R$3000,"Yes")</f>
        <v>0</v>
      </c>
      <c r="AO62" s="24" t="n">
        <f aca="false">SUMIFS(Permissions!$G$2:$G$3000,Permissions!$B$2:$B$3000,$A62,Permissions!$I$2:$I$3000,"In planning",Permissions!$R$2:$R$3000,"Yes")</f>
        <v>0</v>
      </c>
      <c r="AP62" s="24" t="n">
        <f aca="false">IF(R62="",0,MAX(R62-AM62,0))</f>
        <v>77</v>
      </c>
      <c r="AQ62" s="25" t="n">
        <f aca="false">AM62+AP62</f>
        <v>77</v>
      </c>
      <c r="AR62" s="24" t="n">
        <f aca="false">SUMIFS(Permissions!$L$2:$L$3000,Permissions!$B$2:$B$3000,$A62,Permissions!$R$2:$R$3000,"Yes",Permissions!$I$2:$I$3000,"&lt;&gt;Expired – not started",Permissions!$I$2:$I$3000,"&lt;&gt;In planning")</f>
        <v>0</v>
      </c>
      <c r="AS62" s="24" t="n">
        <f aca="false">AQ62-AR62</f>
        <v>77</v>
      </c>
      <c r="AT62" s="26" t="n">
        <f aca="false">SUMIFS(Permissions!$AJ$2:$AJ$3000,Permissions!$B$2:$B$3000,$A62,Permissions!$R$2:$R$3000,"Yes")</f>
        <v>0</v>
      </c>
      <c r="AU62" s="26" t="n">
        <f aca="false">SUMIFS(Permissions!$AK$2:$AK$3000,Permissions!$B$2:$B$3000,$A62,Permissions!$R$2:$R$3000,"Yes")</f>
        <v>0</v>
      </c>
      <c r="AV62" s="26" t="n">
        <f aca="false">SUMIFS(Permissions!$AL$2:$AL$3000,Permissions!$B$2:$B$3000,$A62,Permissions!$R$2:$R$3000,"Yes")</f>
        <v>0</v>
      </c>
      <c r="AW62" s="26" t="n">
        <f aca="false">SUMIFS(Permissions!$AM$2:$AM$3000,Permissions!$B$2:$B$3000,$A62,Permissions!$R$2:$R$3000,"Yes")</f>
        <v>0</v>
      </c>
      <c r="AX62" s="26" t="n">
        <f aca="false">SUMIFS(Permissions!$AN$2:$AN$3000,Permissions!$B$2:$B$3000,$A62,Permissions!$R$2:$R$3000,"Yes")</f>
        <v>0</v>
      </c>
      <c r="AY62" s="26" t="n">
        <f aca="false">SUMIFS(Permissions!$AO$2:$AO$3000,Permissions!$B$2:$B$3000,$A62,Permissions!$R$2:$R$3000,"Yes")</f>
        <v>0</v>
      </c>
      <c r="AZ62" s="24" t="n">
        <f aca="false">COUNTIFS(Permissions!$B$2:$B$3000,$A62,Permissions!$R$2:$R$3000,"Yes")</f>
        <v>0</v>
      </c>
      <c r="BA62" s="24" t="n">
        <f aca="false">SUMIFS(Permissions!$M$2:$M$3000,Permissions!$B$2:$B$3000,$A62,Permissions!$R$2:$R$3000,"Yes")</f>
        <v>0</v>
      </c>
      <c r="BB62" s="24" t="n">
        <f aca="false">SUMIFS(Permissions!$O$2:$O$3000,Permissions!$B$2:$B$3000,$A62,Permissions!$R$2:$R$3000,"Yes")</f>
        <v>0</v>
      </c>
      <c r="BC62" s="27" t="str">
        <f aca="false">IF(AND(AM62&gt;0,AR62&gt;=AM62,AP62=0),"Finished",IF(AR62&gt;0,"Partly built",IF(AM62&gt;0,"Consented – not built","No consent")))</f>
        <v>No consent</v>
      </c>
      <c r="BD62" s="28" t="str">
        <f aca="false">IF(AND(R62&lt;&gt;"",AM62&gt;1.1*R62),"Consented above capacity",IF(AND(LEFT(B62,8)="Planning",AZ62=0),"Consent parcel with no permission",IF(COUNTIF($A$2:$A$3000,$A62)&gt;1,"Duplicate parcel_id","")))</f>
        <v/>
      </c>
    </row>
    <row r="63" customFormat="false" ht="15" hidden="false" customHeight="false" outlineLevel="0" collapsed="false">
      <c r="A63" s="15" t="s">
        <v>262</v>
      </c>
      <c r="B63" s="15" t="s">
        <v>10</v>
      </c>
      <c r="C63" s="15" t="s">
        <v>16</v>
      </c>
      <c r="D63" s="15" t="s">
        <v>54</v>
      </c>
      <c r="E63" s="15" t="s">
        <v>19</v>
      </c>
      <c r="F63" s="15" t="n">
        <v>1</v>
      </c>
      <c r="G63" s="15" t="s">
        <v>158</v>
      </c>
      <c r="H63" s="15" t="n">
        <v>27</v>
      </c>
      <c r="I63" s="15" t="s">
        <v>54</v>
      </c>
      <c r="J63" s="15" t="s">
        <v>182</v>
      </c>
      <c r="K63" s="15" t="s">
        <v>261</v>
      </c>
      <c r="L63" s="15" t="s">
        <v>176</v>
      </c>
      <c r="M63" s="15" t="s">
        <v>161</v>
      </c>
      <c r="N63" s="15" t="s">
        <v>172</v>
      </c>
      <c r="O63" s="15" t="s">
        <v>263</v>
      </c>
      <c r="P63" s="15" t="n">
        <v>2.326</v>
      </c>
      <c r="Q63" s="15" t="n">
        <v>2.326</v>
      </c>
      <c r="R63" s="15" t="n">
        <v>86</v>
      </c>
      <c r="S63" s="15" t="s">
        <v>164</v>
      </c>
      <c r="T63" s="15" t="n">
        <v>79</v>
      </c>
      <c r="U63" s="15"/>
      <c r="V63" s="15"/>
      <c r="W63" s="15"/>
      <c r="X63" s="15" t="s">
        <v>165</v>
      </c>
      <c r="Y63" s="15" t="n">
        <v>34</v>
      </c>
      <c r="Z63" s="15" t="s">
        <v>166</v>
      </c>
      <c r="AA63" s="15"/>
      <c r="AB63" s="15" t="n">
        <v>0</v>
      </c>
      <c r="AC63" s="15" t="n">
        <v>0</v>
      </c>
      <c r="AD63" s="15" t="s">
        <v>167</v>
      </c>
      <c r="AE63" s="15" t="s">
        <v>168</v>
      </c>
      <c r="AF63" s="15" t="s">
        <v>169</v>
      </c>
      <c r="AG63" s="15"/>
      <c r="AH63" s="24" t="n">
        <f aca="false">IF(R63="",AM63,R63)</f>
        <v>86</v>
      </c>
      <c r="AI63" s="24" t="n">
        <f aca="false">SUMIFS(Permissions!$G$2:$G$3000,Permissions!$B$2:$B$3000,$A63,Permissions!$I$2:$I$3000,"Complete",Permissions!$R$2:$R$3000,"Yes")</f>
        <v>0</v>
      </c>
      <c r="AJ63" s="24" t="n">
        <f aca="false">SUMIFS(Permissions!$G$2:$G$3000,Permissions!$B$2:$B$3000,$A63,Permissions!$I$2:$I$3000,"Under construction",Permissions!$R$2:$R$3000,"Yes")</f>
        <v>0</v>
      </c>
      <c r="AK63" s="24" t="n">
        <f aca="false">SUMIFS(Permissions!$G$2:$G$3000,Permissions!$B$2:$B$3000,$A63,Permissions!$I$2:$I$3000,"Permitted – not started",Permissions!$R$2:$R$3000,"Yes")</f>
        <v>0</v>
      </c>
      <c r="AL63" s="24" t="n">
        <f aca="false">SUMIFS(Permissions!$G$2:$G$3000,Permissions!$B$2:$B$3000,$A63,Permissions!$I$2:$I$3000,"Stalled",Permissions!$R$2:$R$3000,"Yes")</f>
        <v>0</v>
      </c>
      <c r="AM63" s="24" t="n">
        <f aca="false">AI63+AJ63+AK63+AL63</f>
        <v>0</v>
      </c>
      <c r="AN63" s="24" t="n">
        <f aca="false">SUMIFS(Permissions!$G$2:$G$3000,Permissions!$B$2:$B$3000,$A63,Permissions!$I$2:$I$3000,"Expired – not started",Permissions!$R$2:$R$3000,"Yes")</f>
        <v>0</v>
      </c>
      <c r="AO63" s="24" t="n">
        <f aca="false">SUMIFS(Permissions!$G$2:$G$3000,Permissions!$B$2:$B$3000,$A63,Permissions!$I$2:$I$3000,"In planning",Permissions!$R$2:$R$3000,"Yes")</f>
        <v>0</v>
      </c>
      <c r="AP63" s="24" t="n">
        <f aca="false">IF(R63="",0,MAX(R63-AM63,0))</f>
        <v>86</v>
      </c>
      <c r="AQ63" s="25" t="n">
        <f aca="false">AM63+AP63</f>
        <v>86</v>
      </c>
      <c r="AR63" s="24" t="n">
        <f aca="false">SUMIFS(Permissions!$L$2:$L$3000,Permissions!$B$2:$B$3000,$A63,Permissions!$R$2:$R$3000,"Yes",Permissions!$I$2:$I$3000,"&lt;&gt;Expired – not started",Permissions!$I$2:$I$3000,"&lt;&gt;In planning")</f>
        <v>0</v>
      </c>
      <c r="AS63" s="24" t="n">
        <f aca="false">AQ63-AR63</f>
        <v>86</v>
      </c>
      <c r="AT63" s="26" t="n">
        <f aca="false">SUMIFS(Permissions!$AJ$2:$AJ$3000,Permissions!$B$2:$B$3000,$A63,Permissions!$R$2:$R$3000,"Yes")</f>
        <v>0</v>
      </c>
      <c r="AU63" s="26" t="n">
        <f aca="false">SUMIFS(Permissions!$AK$2:$AK$3000,Permissions!$B$2:$B$3000,$A63,Permissions!$R$2:$R$3000,"Yes")</f>
        <v>0</v>
      </c>
      <c r="AV63" s="26" t="n">
        <f aca="false">SUMIFS(Permissions!$AL$2:$AL$3000,Permissions!$B$2:$B$3000,$A63,Permissions!$R$2:$R$3000,"Yes")</f>
        <v>0</v>
      </c>
      <c r="AW63" s="26" t="n">
        <f aca="false">SUMIFS(Permissions!$AM$2:$AM$3000,Permissions!$B$2:$B$3000,$A63,Permissions!$R$2:$R$3000,"Yes")</f>
        <v>0</v>
      </c>
      <c r="AX63" s="26" t="n">
        <f aca="false">SUMIFS(Permissions!$AN$2:$AN$3000,Permissions!$B$2:$B$3000,$A63,Permissions!$R$2:$R$3000,"Yes")</f>
        <v>0</v>
      </c>
      <c r="AY63" s="26" t="n">
        <f aca="false">SUMIFS(Permissions!$AO$2:$AO$3000,Permissions!$B$2:$B$3000,$A63,Permissions!$R$2:$R$3000,"Yes")</f>
        <v>0</v>
      </c>
      <c r="AZ63" s="24" t="n">
        <f aca="false">COUNTIFS(Permissions!$B$2:$B$3000,$A63,Permissions!$R$2:$R$3000,"Yes")</f>
        <v>0</v>
      </c>
      <c r="BA63" s="24" t="n">
        <f aca="false">SUMIFS(Permissions!$M$2:$M$3000,Permissions!$B$2:$B$3000,$A63,Permissions!$R$2:$R$3000,"Yes")</f>
        <v>0</v>
      </c>
      <c r="BB63" s="24" t="n">
        <f aca="false">SUMIFS(Permissions!$O$2:$O$3000,Permissions!$B$2:$B$3000,$A63,Permissions!$R$2:$R$3000,"Yes")</f>
        <v>0</v>
      </c>
      <c r="BC63" s="27" t="str">
        <f aca="false">IF(AND(AM63&gt;0,AR63&gt;=AM63,AP63=0),"Finished",IF(AR63&gt;0,"Partly built",IF(AM63&gt;0,"Consented – not built","No consent")))</f>
        <v>No consent</v>
      </c>
      <c r="BD63" s="28" t="str">
        <f aca="false">IF(AND(R63&lt;&gt;"",AM63&gt;1.1*R63),"Consented above capacity",IF(AND(LEFT(B63,8)="Planning",AZ63=0),"Consent parcel with no permission",IF(COUNTIF($A$2:$A$3000,$A63)&gt;1,"Duplicate parcel_id","")))</f>
        <v/>
      </c>
    </row>
    <row r="64" customFormat="false" ht="15" hidden="false" customHeight="false" outlineLevel="0" collapsed="false">
      <c r="A64" s="15" t="s">
        <v>264</v>
      </c>
      <c r="B64" s="15" t="s">
        <v>10</v>
      </c>
      <c r="C64" s="15" t="s">
        <v>16</v>
      </c>
      <c r="D64" s="15" t="s">
        <v>54</v>
      </c>
      <c r="E64" s="15" t="s">
        <v>19</v>
      </c>
      <c r="F64" s="15" t="n">
        <v>1</v>
      </c>
      <c r="G64" s="15" t="s">
        <v>158</v>
      </c>
      <c r="H64" s="15" t="n">
        <v>28</v>
      </c>
      <c r="I64" s="15" t="s">
        <v>54</v>
      </c>
      <c r="J64" s="15" t="s">
        <v>182</v>
      </c>
      <c r="K64" s="15" t="s">
        <v>261</v>
      </c>
      <c r="L64" s="15" t="s">
        <v>176</v>
      </c>
      <c r="M64" s="15" t="s">
        <v>161</v>
      </c>
      <c r="N64" s="15" t="s">
        <v>172</v>
      </c>
      <c r="O64" s="15" t="s">
        <v>265</v>
      </c>
      <c r="P64" s="15" t="n">
        <v>0.586</v>
      </c>
      <c r="Q64" s="15" t="n">
        <v>0.586</v>
      </c>
      <c r="R64" s="15" t="n">
        <v>25</v>
      </c>
      <c r="S64" s="15" t="s">
        <v>164</v>
      </c>
      <c r="T64" s="15" t="n">
        <v>20</v>
      </c>
      <c r="U64" s="15"/>
      <c r="V64" s="15"/>
      <c r="W64" s="15"/>
      <c r="X64" s="15" t="s">
        <v>165</v>
      </c>
      <c r="Y64" s="15" t="n">
        <v>34</v>
      </c>
      <c r="Z64" s="15" t="s">
        <v>166</v>
      </c>
      <c r="AA64" s="15"/>
      <c r="AB64" s="15" t="n">
        <v>0</v>
      </c>
      <c r="AC64" s="15" t="n">
        <v>0</v>
      </c>
      <c r="AD64" s="15" t="s">
        <v>167</v>
      </c>
      <c r="AE64" s="15" t="s">
        <v>168</v>
      </c>
      <c r="AF64" s="15" t="s">
        <v>169</v>
      </c>
      <c r="AG64" s="15"/>
      <c r="AH64" s="24" t="n">
        <f aca="false">IF(R64="",AM64,R64)</f>
        <v>25</v>
      </c>
      <c r="AI64" s="24" t="n">
        <f aca="false">SUMIFS(Permissions!$G$2:$G$3000,Permissions!$B$2:$B$3000,$A64,Permissions!$I$2:$I$3000,"Complete",Permissions!$R$2:$R$3000,"Yes")</f>
        <v>0</v>
      </c>
      <c r="AJ64" s="24" t="n">
        <f aca="false">SUMIFS(Permissions!$G$2:$G$3000,Permissions!$B$2:$B$3000,$A64,Permissions!$I$2:$I$3000,"Under construction",Permissions!$R$2:$R$3000,"Yes")</f>
        <v>0</v>
      </c>
      <c r="AK64" s="24" t="n">
        <f aca="false">SUMIFS(Permissions!$G$2:$G$3000,Permissions!$B$2:$B$3000,$A64,Permissions!$I$2:$I$3000,"Permitted – not started",Permissions!$R$2:$R$3000,"Yes")</f>
        <v>0</v>
      </c>
      <c r="AL64" s="24" t="n">
        <f aca="false">SUMIFS(Permissions!$G$2:$G$3000,Permissions!$B$2:$B$3000,$A64,Permissions!$I$2:$I$3000,"Stalled",Permissions!$R$2:$R$3000,"Yes")</f>
        <v>0</v>
      </c>
      <c r="AM64" s="24" t="n">
        <f aca="false">AI64+AJ64+AK64+AL64</f>
        <v>0</v>
      </c>
      <c r="AN64" s="24" t="n">
        <f aca="false">SUMIFS(Permissions!$G$2:$G$3000,Permissions!$B$2:$B$3000,$A64,Permissions!$I$2:$I$3000,"Expired – not started",Permissions!$R$2:$R$3000,"Yes")</f>
        <v>0</v>
      </c>
      <c r="AO64" s="24" t="n">
        <f aca="false">SUMIFS(Permissions!$G$2:$G$3000,Permissions!$B$2:$B$3000,$A64,Permissions!$I$2:$I$3000,"In planning",Permissions!$R$2:$R$3000,"Yes")</f>
        <v>0</v>
      </c>
      <c r="AP64" s="24" t="n">
        <f aca="false">IF(R64="",0,MAX(R64-AM64,0))</f>
        <v>25</v>
      </c>
      <c r="AQ64" s="25" t="n">
        <f aca="false">AM64+AP64</f>
        <v>25</v>
      </c>
      <c r="AR64" s="24" t="n">
        <f aca="false">SUMIFS(Permissions!$L$2:$L$3000,Permissions!$B$2:$B$3000,$A64,Permissions!$R$2:$R$3000,"Yes",Permissions!$I$2:$I$3000,"&lt;&gt;Expired – not started",Permissions!$I$2:$I$3000,"&lt;&gt;In planning")</f>
        <v>0</v>
      </c>
      <c r="AS64" s="24" t="n">
        <f aca="false">AQ64-AR64</f>
        <v>25</v>
      </c>
      <c r="AT64" s="26" t="n">
        <f aca="false">SUMIFS(Permissions!$AJ$2:$AJ$3000,Permissions!$B$2:$B$3000,$A64,Permissions!$R$2:$R$3000,"Yes")</f>
        <v>0</v>
      </c>
      <c r="AU64" s="26" t="n">
        <f aca="false">SUMIFS(Permissions!$AK$2:$AK$3000,Permissions!$B$2:$B$3000,$A64,Permissions!$R$2:$R$3000,"Yes")</f>
        <v>0</v>
      </c>
      <c r="AV64" s="26" t="n">
        <f aca="false">SUMIFS(Permissions!$AL$2:$AL$3000,Permissions!$B$2:$B$3000,$A64,Permissions!$R$2:$R$3000,"Yes")</f>
        <v>0</v>
      </c>
      <c r="AW64" s="26" t="n">
        <f aca="false">SUMIFS(Permissions!$AM$2:$AM$3000,Permissions!$B$2:$B$3000,$A64,Permissions!$R$2:$R$3000,"Yes")</f>
        <v>0</v>
      </c>
      <c r="AX64" s="26" t="n">
        <f aca="false">SUMIFS(Permissions!$AN$2:$AN$3000,Permissions!$B$2:$B$3000,$A64,Permissions!$R$2:$R$3000,"Yes")</f>
        <v>0</v>
      </c>
      <c r="AY64" s="26" t="n">
        <f aca="false">SUMIFS(Permissions!$AO$2:$AO$3000,Permissions!$B$2:$B$3000,$A64,Permissions!$R$2:$R$3000,"Yes")</f>
        <v>0</v>
      </c>
      <c r="AZ64" s="24" t="n">
        <f aca="false">COUNTIFS(Permissions!$B$2:$B$3000,$A64,Permissions!$R$2:$R$3000,"Yes")</f>
        <v>0</v>
      </c>
      <c r="BA64" s="24" t="n">
        <f aca="false">SUMIFS(Permissions!$M$2:$M$3000,Permissions!$B$2:$B$3000,$A64,Permissions!$R$2:$R$3000,"Yes")</f>
        <v>0</v>
      </c>
      <c r="BB64" s="24" t="n">
        <f aca="false">SUMIFS(Permissions!$O$2:$O$3000,Permissions!$B$2:$B$3000,$A64,Permissions!$R$2:$R$3000,"Yes")</f>
        <v>0</v>
      </c>
      <c r="BC64" s="27" t="str">
        <f aca="false">IF(AND(AM64&gt;0,AR64&gt;=AM64,AP64=0),"Finished",IF(AR64&gt;0,"Partly built",IF(AM64&gt;0,"Consented – not built","No consent")))</f>
        <v>No consent</v>
      </c>
      <c r="BD64" s="28" t="str">
        <f aca="false">IF(AND(R64&lt;&gt;"",AM64&gt;1.1*R64),"Consented above capacity",IF(AND(LEFT(B64,8)="Planning",AZ64=0),"Consent parcel with no permission",IF(COUNTIF($A$2:$A$3000,$A64)&gt;1,"Duplicate parcel_id","")))</f>
        <v/>
      </c>
    </row>
    <row r="65" customFormat="false" ht="15" hidden="false" customHeight="false" outlineLevel="0" collapsed="false">
      <c r="A65" s="15" t="s">
        <v>266</v>
      </c>
      <c r="B65" s="15" t="s">
        <v>10</v>
      </c>
      <c r="C65" s="15" t="s">
        <v>16</v>
      </c>
      <c r="D65" s="15" t="s">
        <v>54</v>
      </c>
      <c r="E65" s="15" t="s">
        <v>19</v>
      </c>
      <c r="F65" s="15" t="n">
        <v>1</v>
      </c>
      <c r="G65" s="15" t="s">
        <v>158</v>
      </c>
      <c r="H65" s="15" t="n">
        <v>29</v>
      </c>
      <c r="I65" s="15" t="s">
        <v>54</v>
      </c>
      <c r="J65" s="15" t="s">
        <v>182</v>
      </c>
      <c r="K65" s="15" t="s">
        <v>261</v>
      </c>
      <c r="L65" s="15" t="s">
        <v>189</v>
      </c>
      <c r="M65" s="15" t="s">
        <v>161</v>
      </c>
      <c r="N65" s="15" t="s">
        <v>172</v>
      </c>
      <c r="O65" s="15" t="s">
        <v>163</v>
      </c>
      <c r="P65" s="15" t="n">
        <v>1.889</v>
      </c>
      <c r="Q65" s="15" t="n">
        <v>1.888</v>
      </c>
      <c r="R65" s="15" t="n">
        <v>85</v>
      </c>
      <c r="S65" s="15" t="s">
        <v>164</v>
      </c>
      <c r="T65" s="15" t="n">
        <v>64</v>
      </c>
      <c r="U65" s="15"/>
      <c r="V65" s="15"/>
      <c r="W65" s="15"/>
      <c r="X65" s="15" t="s">
        <v>165</v>
      </c>
      <c r="Y65" s="15" t="n">
        <v>34</v>
      </c>
      <c r="Z65" s="15" t="s">
        <v>166</v>
      </c>
      <c r="AA65" s="15"/>
      <c r="AB65" s="15" t="n">
        <v>0</v>
      </c>
      <c r="AC65" s="15" t="n">
        <v>0</v>
      </c>
      <c r="AD65" s="15" t="s">
        <v>167</v>
      </c>
      <c r="AE65" s="15" t="s">
        <v>168</v>
      </c>
      <c r="AF65" s="15" t="s">
        <v>169</v>
      </c>
      <c r="AG65" s="15"/>
      <c r="AH65" s="24" t="n">
        <f aca="false">IF(R65="",AM65,R65)</f>
        <v>85</v>
      </c>
      <c r="AI65" s="24" t="n">
        <f aca="false">SUMIFS(Permissions!$G$2:$G$3000,Permissions!$B$2:$B$3000,$A65,Permissions!$I$2:$I$3000,"Complete",Permissions!$R$2:$R$3000,"Yes")</f>
        <v>0</v>
      </c>
      <c r="AJ65" s="24" t="n">
        <f aca="false">SUMIFS(Permissions!$G$2:$G$3000,Permissions!$B$2:$B$3000,$A65,Permissions!$I$2:$I$3000,"Under construction",Permissions!$R$2:$R$3000,"Yes")</f>
        <v>0</v>
      </c>
      <c r="AK65" s="24" t="n">
        <f aca="false">SUMIFS(Permissions!$G$2:$G$3000,Permissions!$B$2:$B$3000,$A65,Permissions!$I$2:$I$3000,"Permitted – not started",Permissions!$R$2:$R$3000,"Yes")</f>
        <v>0</v>
      </c>
      <c r="AL65" s="24" t="n">
        <f aca="false">SUMIFS(Permissions!$G$2:$G$3000,Permissions!$B$2:$B$3000,$A65,Permissions!$I$2:$I$3000,"Stalled",Permissions!$R$2:$R$3000,"Yes")</f>
        <v>0</v>
      </c>
      <c r="AM65" s="24" t="n">
        <f aca="false">AI65+AJ65+AK65+AL65</f>
        <v>0</v>
      </c>
      <c r="AN65" s="24" t="n">
        <f aca="false">SUMIFS(Permissions!$G$2:$G$3000,Permissions!$B$2:$B$3000,$A65,Permissions!$I$2:$I$3000,"Expired – not started",Permissions!$R$2:$R$3000,"Yes")</f>
        <v>0</v>
      </c>
      <c r="AO65" s="24" t="n">
        <f aca="false">SUMIFS(Permissions!$G$2:$G$3000,Permissions!$B$2:$B$3000,$A65,Permissions!$I$2:$I$3000,"In planning",Permissions!$R$2:$R$3000,"Yes")</f>
        <v>0</v>
      </c>
      <c r="AP65" s="24" t="n">
        <f aca="false">IF(R65="",0,MAX(R65-AM65,0))</f>
        <v>85</v>
      </c>
      <c r="AQ65" s="25" t="n">
        <f aca="false">AM65+AP65</f>
        <v>85</v>
      </c>
      <c r="AR65" s="24" t="n">
        <f aca="false">SUMIFS(Permissions!$L$2:$L$3000,Permissions!$B$2:$B$3000,$A65,Permissions!$R$2:$R$3000,"Yes",Permissions!$I$2:$I$3000,"&lt;&gt;Expired – not started",Permissions!$I$2:$I$3000,"&lt;&gt;In planning")</f>
        <v>0</v>
      </c>
      <c r="AS65" s="24" t="n">
        <f aca="false">AQ65-AR65</f>
        <v>85</v>
      </c>
      <c r="AT65" s="26" t="n">
        <f aca="false">SUMIFS(Permissions!$AJ$2:$AJ$3000,Permissions!$B$2:$B$3000,$A65,Permissions!$R$2:$R$3000,"Yes")</f>
        <v>0</v>
      </c>
      <c r="AU65" s="26" t="n">
        <f aca="false">SUMIFS(Permissions!$AK$2:$AK$3000,Permissions!$B$2:$B$3000,$A65,Permissions!$R$2:$R$3000,"Yes")</f>
        <v>0</v>
      </c>
      <c r="AV65" s="26" t="n">
        <f aca="false">SUMIFS(Permissions!$AL$2:$AL$3000,Permissions!$B$2:$B$3000,$A65,Permissions!$R$2:$R$3000,"Yes")</f>
        <v>0</v>
      </c>
      <c r="AW65" s="26" t="n">
        <f aca="false">SUMIFS(Permissions!$AM$2:$AM$3000,Permissions!$B$2:$B$3000,$A65,Permissions!$R$2:$R$3000,"Yes")</f>
        <v>0</v>
      </c>
      <c r="AX65" s="26" t="n">
        <f aca="false">SUMIFS(Permissions!$AN$2:$AN$3000,Permissions!$B$2:$B$3000,$A65,Permissions!$R$2:$R$3000,"Yes")</f>
        <v>0</v>
      </c>
      <c r="AY65" s="26" t="n">
        <f aca="false">SUMIFS(Permissions!$AO$2:$AO$3000,Permissions!$B$2:$B$3000,$A65,Permissions!$R$2:$R$3000,"Yes")</f>
        <v>0</v>
      </c>
      <c r="AZ65" s="24" t="n">
        <f aca="false">COUNTIFS(Permissions!$B$2:$B$3000,$A65,Permissions!$R$2:$R$3000,"Yes")</f>
        <v>0</v>
      </c>
      <c r="BA65" s="24" t="n">
        <f aca="false">SUMIFS(Permissions!$M$2:$M$3000,Permissions!$B$2:$B$3000,$A65,Permissions!$R$2:$R$3000,"Yes")</f>
        <v>0</v>
      </c>
      <c r="BB65" s="24" t="n">
        <f aca="false">SUMIFS(Permissions!$O$2:$O$3000,Permissions!$B$2:$B$3000,$A65,Permissions!$R$2:$R$3000,"Yes")</f>
        <v>0</v>
      </c>
      <c r="BC65" s="27" t="str">
        <f aca="false">IF(AND(AM65&gt;0,AR65&gt;=AM65,AP65=0),"Finished",IF(AR65&gt;0,"Partly built",IF(AM65&gt;0,"Consented – not built","No consent")))</f>
        <v>No consent</v>
      </c>
      <c r="BD65" s="28" t="str">
        <f aca="false">IF(AND(R65&lt;&gt;"",AM65&gt;1.1*R65),"Consented above capacity",IF(AND(LEFT(B65,8)="Planning",AZ65=0),"Consent parcel with no permission",IF(COUNTIF($A$2:$A$3000,$A65)&gt;1,"Duplicate parcel_id","")))</f>
        <v/>
      </c>
    </row>
    <row r="66" customFormat="false" ht="15" hidden="false" customHeight="false" outlineLevel="0" collapsed="false">
      <c r="A66" s="15" t="s">
        <v>267</v>
      </c>
      <c r="B66" s="15" t="s">
        <v>10</v>
      </c>
      <c r="C66" s="15" t="s">
        <v>16</v>
      </c>
      <c r="D66" s="15" t="s">
        <v>54</v>
      </c>
      <c r="E66" s="15" t="s">
        <v>19</v>
      </c>
      <c r="F66" s="15" t="n">
        <v>1</v>
      </c>
      <c r="G66" s="15" t="s">
        <v>158</v>
      </c>
      <c r="H66" s="15" t="n">
        <v>30</v>
      </c>
      <c r="I66" s="15" t="s">
        <v>54</v>
      </c>
      <c r="J66" s="15" t="s">
        <v>182</v>
      </c>
      <c r="K66" s="15" t="s">
        <v>261</v>
      </c>
      <c r="L66" s="15" t="s">
        <v>189</v>
      </c>
      <c r="M66" s="15" t="s">
        <v>161</v>
      </c>
      <c r="N66" s="15" t="s">
        <v>172</v>
      </c>
      <c r="O66" s="15" t="s">
        <v>163</v>
      </c>
      <c r="P66" s="15" t="n">
        <v>0.476</v>
      </c>
      <c r="Q66" s="15" t="n">
        <v>0.475</v>
      </c>
      <c r="R66" s="15" t="n">
        <v>21</v>
      </c>
      <c r="S66" s="15" t="s">
        <v>164</v>
      </c>
      <c r="T66" s="15" t="n">
        <v>16</v>
      </c>
      <c r="U66" s="15"/>
      <c r="V66" s="15"/>
      <c r="W66" s="15"/>
      <c r="X66" s="15" t="s">
        <v>165</v>
      </c>
      <c r="Y66" s="15" t="n">
        <v>34</v>
      </c>
      <c r="Z66" s="15" t="s">
        <v>166</v>
      </c>
      <c r="AA66" s="15"/>
      <c r="AB66" s="15" t="n">
        <v>0</v>
      </c>
      <c r="AC66" s="15" t="n">
        <v>0</v>
      </c>
      <c r="AD66" s="15" t="s">
        <v>167</v>
      </c>
      <c r="AE66" s="15" t="s">
        <v>168</v>
      </c>
      <c r="AF66" s="15" t="s">
        <v>169</v>
      </c>
      <c r="AG66" s="15"/>
      <c r="AH66" s="24" t="n">
        <f aca="false">IF(R66="",AM66,R66)</f>
        <v>21</v>
      </c>
      <c r="AI66" s="24" t="n">
        <f aca="false">SUMIFS(Permissions!$G$2:$G$3000,Permissions!$B$2:$B$3000,$A66,Permissions!$I$2:$I$3000,"Complete",Permissions!$R$2:$R$3000,"Yes")</f>
        <v>0</v>
      </c>
      <c r="AJ66" s="24" t="n">
        <f aca="false">SUMIFS(Permissions!$G$2:$G$3000,Permissions!$B$2:$B$3000,$A66,Permissions!$I$2:$I$3000,"Under construction",Permissions!$R$2:$R$3000,"Yes")</f>
        <v>0</v>
      </c>
      <c r="AK66" s="24" t="n">
        <f aca="false">SUMIFS(Permissions!$G$2:$G$3000,Permissions!$B$2:$B$3000,$A66,Permissions!$I$2:$I$3000,"Permitted – not started",Permissions!$R$2:$R$3000,"Yes")</f>
        <v>25</v>
      </c>
      <c r="AL66" s="24" t="n">
        <f aca="false">SUMIFS(Permissions!$G$2:$G$3000,Permissions!$B$2:$B$3000,$A66,Permissions!$I$2:$I$3000,"Stalled",Permissions!$R$2:$R$3000,"Yes")</f>
        <v>0</v>
      </c>
      <c r="AM66" s="24" t="n">
        <f aca="false">AI66+AJ66+AK66+AL66</f>
        <v>25</v>
      </c>
      <c r="AN66" s="24" t="n">
        <f aca="false">SUMIFS(Permissions!$G$2:$G$3000,Permissions!$B$2:$B$3000,$A66,Permissions!$I$2:$I$3000,"Expired – not started",Permissions!$R$2:$R$3000,"Yes")</f>
        <v>0</v>
      </c>
      <c r="AO66" s="24" t="n">
        <f aca="false">SUMIFS(Permissions!$G$2:$G$3000,Permissions!$B$2:$B$3000,$A66,Permissions!$I$2:$I$3000,"In planning",Permissions!$R$2:$R$3000,"Yes")</f>
        <v>0</v>
      </c>
      <c r="AP66" s="24" t="n">
        <f aca="false">IF(R66="",0,MAX(R66-AM66,0))</f>
        <v>0</v>
      </c>
      <c r="AQ66" s="25" t="n">
        <f aca="false">AM66+AP66</f>
        <v>25</v>
      </c>
      <c r="AR66" s="24" t="n">
        <f aca="false">SUMIFS(Permissions!$L$2:$L$3000,Permissions!$B$2:$B$3000,$A66,Permissions!$R$2:$R$3000,"Yes",Permissions!$I$2:$I$3000,"&lt;&gt;Expired – not started",Permissions!$I$2:$I$3000,"&lt;&gt;In planning")</f>
        <v>0</v>
      </c>
      <c r="AS66" s="24" t="n">
        <f aca="false">AQ66-AR66</f>
        <v>25</v>
      </c>
      <c r="AT66" s="26" t="n">
        <f aca="false">SUMIFS(Permissions!$AJ$2:$AJ$3000,Permissions!$B$2:$B$3000,$A66,Permissions!$R$2:$R$3000,"Yes")</f>
        <v>0</v>
      </c>
      <c r="AU66" s="26" t="n">
        <f aca="false">SUMIFS(Permissions!$AK$2:$AK$3000,Permissions!$B$2:$B$3000,$A66,Permissions!$R$2:$R$3000,"Yes")</f>
        <v>0</v>
      </c>
      <c r="AV66" s="26" t="n">
        <f aca="false">SUMIFS(Permissions!$AL$2:$AL$3000,Permissions!$B$2:$B$3000,$A66,Permissions!$R$2:$R$3000,"Yes")</f>
        <v>8.5</v>
      </c>
      <c r="AW66" s="26" t="n">
        <f aca="false">SUMIFS(Permissions!$AM$2:$AM$3000,Permissions!$B$2:$B$3000,$A66,Permissions!$R$2:$R$3000,"Yes")</f>
        <v>16.5</v>
      </c>
      <c r="AX66" s="26" t="n">
        <f aca="false">SUMIFS(Permissions!$AN$2:$AN$3000,Permissions!$B$2:$B$3000,$A66,Permissions!$R$2:$R$3000,"Yes")</f>
        <v>0</v>
      </c>
      <c r="AY66" s="26" t="n">
        <f aca="false">SUMIFS(Permissions!$AO$2:$AO$3000,Permissions!$B$2:$B$3000,$A66,Permissions!$R$2:$R$3000,"Yes")</f>
        <v>0</v>
      </c>
      <c r="AZ66" s="24" t="n">
        <f aca="false">COUNTIFS(Permissions!$B$2:$B$3000,$A66,Permissions!$R$2:$R$3000,"Yes")</f>
        <v>1</v>
      </c>
      <c r="BA66" s="24" t="n">
        <f aca="false">SUMIFS(Permissions!$M$2:$M$3000,Permissions!$B$2:$B$3000,$A66,Permissions!$R$2:$R$3000,"Yes")</f>
        <v>0</v>
      </c>
      <c r="BB66" s="24" t="n">
        <f aca="false">SUMIFS(Permissions!$O$2:$O$3000,Permissions!$B$2:$B$3000,$A66,Permissions!$R$2:$R$3000,"Yes")</f>
        <v>0</v>
      </c>
      <c r="BC66" s="27" t="str">
        <f aca="false">IF(AND(AM66&gt;0,AR66&gt;=AM66,AP66=0),"Finished",IF(AR66&gt;0,"Partly built",IF(AM66&gt;0,"Consented – not built","No consent")))</f>
        <v>Consented – not built</v>
      </c>
      <c r="BD66" s="28" t="str">
        <f aca="false">IF(AND(R66&lt;&gt;"",AM66&gt;1.1*R66),"Consented above capacity",IF(AND(LEFT(B66,8)="Planning",AZ66=0),"Consent parcel with no permission",IF(COUNTIF($A$2:$A$3000,$A66)&gt;1,"Duplicate parcel_id","")))</f>
        <v>Consented above capacity</v>
      </c>
    </row>
    <row r="67" customFormat="false" ht="15" hidden="false" customHeight="false" outlineLevel="0" collapsed="false">
      <c r="A67" s="15" t="s">
        <v>268</v>
      </c>
      <c r="B67" s="15" t="s">
        <v>10</v>
      </c>
      <c r="C67" s="15" t="s">
        <v>16</v>
      </c>
      <c r="D67" s="15" t="s">
        <v>54</v>
      </c>
      <c r="E67" s="15" t="s">
        <v>19</v>
      </c>
      <c r="F67" s="15" t="n">
        <v>1</v>
      </c>
      <c r="G67" s="15" t="s">
        <v>158</v>
      </c>
      <c r="H67" s="15" t="n">
        <v>31</v>
      </c>
      <c r="I67" s="15" t="s">
        <v>54</v>
      </c>
      <c r="J67" s="15" t="s">
        <v>182</v>
      </c>
      <c r="K67" s="15" t="s">
        <v>261</v>
      </c>
      <c r="L67" s="15" t="s">
        <v>176</v>
      </c>
      <c r="M67" s="15" t="s">
        <v>161</v>
      </c>
      <c r="N67" s="15" t="s">
        <v>172</v>
      </c>
      <c r="O67" s="15" t="s">
        <v>269</v>
      </c>
      <c r="P67" s="15" t="n">
        <v>1.061</v>
      </c>
      <c r="Q67" s="15" t="n">
        <v>1.061</v>
      </c>
      <c r="R67" s="15" t="n">
        <v>37</v>
      </c>
      <c r="S67" s="15" t="s">
        <v>164</v>
      </c>
      <c r="T67" s="15" t="n">
        <v>36</v>
      </c>
      <c r="U67" s="15"/>
      <c r="V67" s="15"/>
      <c r="W67" s="15"/>
      <c r="X67" s="15" t="s">
        <v>165</v>
      </c>
      <c r="Y67" s="15" t="n">
        <v>34</v>
      </c>
      <c r="Z67" s="15" t="s">
        <v>166</v>
      </c>
      <c r="AA67" s="15"/>
      <c r="AB67" s="15" t="n">
        <v>0</v>
      </c>
      <c r="AC67" s="15" t="n">
        <v>0</v>
      </c>
      <c r="AD67" s="15" t="s">
        <v>186</v>
      </c>
      <c r="AE67" s="15" t="s">
        <v>168</v>
      </c>
      <c r="AF67" s="15" t="s">
        <v>169</v>
      </c>
      <c r="AG67" s="15"/>
      <c r="AH67" s="24" t="n">
        <f aca="false">IF(R67="",AM67,R67)</f>
        <v>37</v>
      </c>
      <c r="AI67" s="24" t="n">
        <f aca="false">SUMIFS(Permissions!$G$2:$G$3000,Permissions!$B$2:$B$3000,$A67,Permissions!$I$2:$I$3000,"Complete",Permissions!$R$2:$R$3000,"Yes")</f>
        <v>0</v>
      </c>
      <c r="AJ67" s="24" t="n">
        <f aca="false">SUMIFS(Permissions!$G$2:$G$3000,Permissions!$B$2:$B$3000,$A67,Permissions!$I$2:$I$3000,"Under construction",Permissions!$R$2:$R$3000,"Yes")</f>
        <v>26</v>
      </c>
      <c r="AK67" s="24" t="n">
        <f aca="false">SUMIFS(Permissions!$G$2:$G$3000,Permissions!$B$2:$B$3000,$A67,Permissions!$I$2:$I$3000,"Permitted – not started",Permissions!$R$2:$R$3000,"Yes")</f>
        <v>0</v>
      </c>
      <c r="AL67" s="24" t="n">
        <f aca="false">SUMIFS(Permissions!$G$2:$G$3000,Permissions!$B$2:$B$3000,$A67,Permissions!$I$2:$I$3000,"Stalled",Permissions!$R$2:$R$3000,"Yes")</f>
        <v>0</v>
      </c>
      <c r="AM67" s="24" t="n">
        <f aca="false">AI67+AJ67+AK67+AL67</f>
        <v>26</v>
      </c>
      <c r="AN67" s="24" t="n">
        <f aca="false">SUMIFS(Permissions!$G$2:$G$3000,Permissions!$B$2:$B$3000,$A67,Permissions!$I$2:$I$3000,"Expired – not started",Permissions!$R$2:$R$3000,"Yes")</f>
        <v>0</v>
      </c>
      <c r="AO67" s="24" t="n">
        <f aca="false">SUMIFS(Permissions!$G$2:$G$3000,Permissions!$B$2:$B$3000,$A67,Permissions!$I$2:$I$3000,"In planning",Permissions!$R$2:$R$3000,"Yes")</f>
        <v>0</v>
      </c>
      <c r="AP67" s="24" t="n">
        <f aca="false">IF(R67="",0,MAX(R67-AM67,0))</f>
        <v>11</v>
      </c>
      <c r="AQ67" s="25" t="n">
        <f aca="false">AM67+AP67</f>
        <v>37</v>
      </c>
      <c r="AR67" s="24" t="n">
        <f aca="false">SUMIFS(Permissions!$L$2:$L$3000,Permissions!$B$2:$B$3000,$A67,Permissions!$R$2:$R$3000,"Yes",Permissions!$I$2:$I$3000,"&lt;&gt;Expired – not started",Permissions!$I$2:$I$3000,"&lt;&gt;In planning")</f>
        <v>0</v>
      </c>
      <c r="AS67" s="24" t="n">
        <f aca="false">AQ67-AR67</f>
        <v>37</v>
      </c>
      <c r="AT67" s="26" t="n">
        <f aca="false">SUMIFS(Permissions!$AJ$2:$AJ$3000,Permissions!$B$2:$B$3000,$A67,Permissions!$R$2:$R$3000,"Yes")</f>
        <v>6.1</v>
      </c>
      <c r="AU67" s="26" t="n">
        <f aca="false">SUMIFS(Permissions!$AK$2:$AK$3000,Permissions!$B$2:$B$3000,$A67,Permissions!$R$2:$R$3000,"Yes")</f>
        <v>19.9</v>
      </c>
      <c r="AV67" s="26" t="n">
        <f aca="false">SUMIFS(Permissions!$AL$2:$AL$3000,Permissions!$B$2:$B$3000,$A67,Permissions!$R$2:$R$3000,"Yes")</f>
        <v>0</v>
      </c>
      <c r="AW67" s="26" t="n">
        <f aca="false">SUMIFS(Permissions!$AM$2:$AM$3000,Permissions!$B$2:$B$3000,$A67,Permissions!$R$2:$R$3000,"Yes")</f>
        <v>0</v>
      </c>
      <c r="AX67" s="26" t="n">
        <f aca="false">SUMIFS(Permissions!$AN$2:$AN$3000,Permissions!$B$2:$B$3000,$A67,Permissions!$R$2:$R$3000,"Yes")</f>
        <v>0</v>
      </c>
      <c r="AY67" s="26" t="n">
        <f aca="false">SUMIFS(Permissions!$AO$2:$AO$3000,Permissions!$B$2:$B$3000,$A67,Permissions!$R$2:$R$3000,"Yes")</f>
        <v>0</v>
      </c>
      <c r="AZ67" s="24" t="n">
        <f aca="false">COUNTIFS(Permissions!$B$2:$B$3000,$A67,Permissions!$R$2:$R$3000,"Yes")</f>
        <v>1</v>
      </c>
      <c r="BA67" s="24" t="n">
        <f aca="false">SUMIFS(Permissions!$M$2:$M$3000,Permissions!$B$2:$B$3000,$A67,Permissions!$R$2:$R$3000,"Yes")</f>
        <v>0</v>
      </c>
      <c r="BB67" s="24" t="n">
        <f aca="false">SUMIFS(Permissions!$O$2:$O$3000,Permissions!$B$2:$B$3000,$A67,Permissions!$R$2:$R$3000,"Yes")</f>
        <v>0</v>
      </c>
      <c r="BC67" s="27" t="str">
        <f aca="false">IF(AND(AM67&gt;0,AR67&gt;=AM67,AP67=0),"Finished",IF(AR67&gt;0,"Partly built",IF(AM67&gt;0,"Consented – not built","No consent")))</f>
        <v>Consented – not built</v>
      </c>
      <c r="BD67" s="28" t="str">
        <f aca="false">IF(AND(R67&lt;&gt;"",AM67&gt;1.1*R67),"Consented above capacity",IF(AND(LEFT(B67,8)="Planning",AZ67=0),"Consent parcel with no permission",IF(COUNTIF($A$2:$A$3000,$A67)&gt;1,"Duplicate parcel_id","")))</f>
        <v/>
      </c>
    </row>
    <row r="68" customFormat="false" ht="15" hidden="false" customHeight="false" outlineLevel="0" collapsed="false">
      <c r="A68" s="15" t="s">
        <v>270</v>
      </c>
      <c r="B68" s="15" t="s">
        <v>10</v>
      </c>
      <c r="C68" s="15" t="s">
        <v>16</v>
      </c>
      <c r="D68" s="15" t="s">
        <v>54</v>
      </c>
      <c r="E68" s="15" t="s">
        <v>19</v>
      </c>
      <c r="F68" s="15" t="n">
        <v>1</v>
      </c>
      <c r="G68" s="15" t="s">
        <v>158</v>
      </c>
      <c r="H68" s="15" t="n">
        <v>32</v>
      </c>
      <c r="I68" s="15" t="s">
        <v>54</v>
      </c>
      <c r="J68" s="15" t="s">
        <v>182</v>
      </c>
      <c r="K68" s="15" t="s">
        <v>261</v>
      </c>
      <c r="L68" s="15" t="s">
        <v>176</v>
      </c>
      <c r="M68" s="15" t="s">
        <v>161</v>
      </c>
      <c r="N68" s="15" t="s">
        <v>172</v>
      </c>
      <c r="O68" s="15" t="s">
        <v>271</v>
      </c>
      <c r="P68" s="15" t="n">
        <v>4.273</v>
      </c>
      <c r="Q68" s="15" t="n">
        <v>4.272</v>
      </c>
      <c r="R68" s="15" t="n">
        <v>178</v>
      </c>
      <c r="S68" s="15" t="s">
        <v>164</v>
      </c>
      <c r="T68" s="15" t="n">
        <v>145</v>
      </c>
      <c r="U68" s="15"/>
      <c r="V68" s="15"/>
      <c r="W68" s="15"/>
      <c r="X68" s="15" t="s">
        <v>165</v>
      </c>
      <c r="Y68" s="15" t="n">
        <v>34</v>
      </c>
      <c r="Z68" s="15" t="s">
        <v>166</v>
      </c>
      <c r="AA68" s="15"/>
      <c r="AB68" s="15" t="n">
        <v>0</v>
      </c>
      <c r="AC68" s="15" t="n">
        <v>0</v>
      </c>
      <c r="AD68" s="15" t="s">
        <v>167</v>
      </c>
      <c r="AE68" s="15" t="s">
        <v>168</v>
      </c>
      <c r="AF68" s="15" t="s">
        <v>169</v>
      </c>
      <c r="AG68" s="15"/>
      <c r="AH68" s="24" t="n">
        <f aca="false">IF(R68="",AM68,R68)</f>
        <v>178</v>
      </c>
      <c r="AI68" s="24" t="n">
        <f aca="false">SUMIFS(Permissions!$G$2:$G$3000,Permissions!$B$2:$B$3000,$A68,Permissions!$I$2:$I$3000,"Complete",Permissions!$R$2:$R$3000,"Yes")</f>
        <v>0</v>
      </c>
      <c r="AJ68" s="24" t="n">
        <f aca="false">SUMIFS(Permissions!$G$2:$G$3000,Permissions!$B$2:$B$3000,$A68,Permissions!$I$2:$I$3000,"Under construction",Permissions!$R$2:$R$3000,"Yes")</f>
        <v>0</v>
      </c>
      <c r="AK68" s="24" t="n">
        <f aca="false">SUMIFS(Permissions!$G$2:$G$3000,Permissions!$B$2:$B$3000,$A68,Permissions!$I$2:$I$3000,"Permitted – not started",Permissions!$R$2:$R$3000,"Yes")</f>
        <v>0</v>
      </c>
      <c r="AL68" s="24" t="n">
        <f aca="false">SUMIFS(Permissions!$G$2:$G$3000,Permissions!$B$2:$B$3000,$A68,Permissions!$I$2:$I$3000,"Stalled",Permissions!$R$2:$R$3000,"Yes")</f>
        <v>0</v>
      </c>
      <c r="AM68" s="24" t="n">
        <f aca="false">AI68+AJ68+AK68+AL68</f>
        <v>0</v>
      </c>
      <c r="AN68" s="24" t="n">
        <f aca="false">SUMIFS(Permissions!$G$2:$G$3000,Permissions!$B$2:$B$3000,$A68,Permissions!$I$2:$I$3000,"Expired – not started",Permissions!$R$2:$R$3000,"Yes")</f>
        <v>0</v>
      </c>
      <c r="AO68" s="24" t="n">
        <f aca="false">SUMIFS(Permissions!$G$2:$G$3000,Permissions!$B$2:$B$3000,$A68,Permissions!$I$2:$I$3000,"In planning",Permissions!$R$2:$R$3000,"Yes")</f>
        <v>0</v>
      </c>
      <c r="AP68" s="24" t="n">
        <f aca="false">IF(R68="",0,MAX(R68-AM68,0))</f>
        <v>178</v>
      </c>
      <c r="AQ68" s="25" t="n">
        <f aca="false">AM68+AP68</f>
        <v>178</v>
      </c>
      <c r="AR68" s="24" t="n">
        <f aca="false">SUMIFS(Permissions!$L$2:$L$3000,Permissions!$B$2:$B$3000,$A68,Permissions!$R$2:$R$3000,"Yes",Permissions!$I$2:$I$3000,"&lt;&gt;Expired – not started",Permissions!$I$2:$I$3000,"&lt;&gt;In planning")</f>
        <v>0</v>
      </c>
      <c r="AS68" s="24" t="n">
        <f aca="false">AQ68-AR68</f>
        <v>178</v>
      </c>
      <c r="AT68" s="26" t="n">
        <f aca="false">SUMIFS(Permissions!$AJ$2:$AJ$3000,Permissions!$B$2:$B$3000,$A68,Permissions!$R$2:$R$3000,"Yes")</f>
        <v>0</v>
      </c>
      <c r="AU68" s="26" t="n">
        <f aca="false">SUMIFS(Permissions!$AK$2:$AK$3000,Permissions!$B$2:$B$3000,$A68,Permissions!$R$2:$R$3000,"Yes")</f>
        <v>0</v>
      </c>
      <c r="AV68" s="26" t="n">
        <f aca="false">SUMIFS(Permissions!$AL$2:$AL$3000,Permissions!$B$2:$B$3000,$A68,Permissions!$R$2:$R$3000,"Yes")</f>
        <v>0</v>
      </c>
      <c r="AW68" s="26" t="n">
        <f aca="false">SUMIFS(Permissions!$AM$2:$AM$3000,Permissions!$B$2:$B$3000,$A68,Permissions!$R$2:$R$3000,"Yes")</f>
        <v>0</v>
      </c>
      <c r="AX68" s="26" t="n">
        <f aca="false">SUMIFS(Permissions!$AN$2:$AN$3000,Permissions!$B$2:$B$3000,$A68,Permissions!$R$2:$R$3000,"Yes")</f>
        <v>0</v>
      </c>
      <c r="AY68" s="26" t="n">
        <f aca="false">SUMIFS(Permissions!$AO$2:$AO$3000,Permissions!$B$2:$B$3000,$A68,Permissions!$R$2:$R$3000,"Yes")</f>
        <v>0</v>
      </c>
      <c r="AZ68" s="24" t="n">
        <f aca="false">COUNTIFS(Permissions!$B$2:$B$3000,$A68,Permissions!$R$2:$R$3000,"Yes")</f>
        <v>0</v>
      </c>
      <c r="BA68" s="24" t="n">
        <f aca="false">SUMIFS(Permissions!$M$2:$M$3000,Permissions!$B$2:$B$3000,$A68,Permissions!$R$2:$R$3000,"Yes")</f>
        <v>0</v>
      </c>
      <c r="BB68" s="24" t="n">
        <f aca="false">SUMIFS(Permissions!$O$2:$O$3000,Permissions!$B$2:$B$3000,$A68,Permissions!$R$2:$R$3000,"Yes")</f>
        <v>0</v>
      </c>
      <c r="BC68" s="27" t="str">
        <f aca="false">IF(AND(AM68&gt;0,AR68&gt;=AM68,AP68=0),"Finished",IF(AR68&gt;0,"Partly built",IF(AM68&gt;0,"Consented – not built","No consent")))</f>
        <v>No consent</v>
      </c>
      <c r="BD68" s="28" t="str">
        <f aca="false">IF(AND(R68&lt;&gt;"",AM68&gt;1.1*R68),"Consented above capacity",IF(AND(LEFT(B68,8)="Planning",AZ68=0),"Consent parcel with no permission",IF(COUNTIF($A$2:$A$3000,$A68)&gt;1,"Duplicate parcel_id","")))</f>
        <v/>
      </c>
    </row>
    <row r="69" customFormat="false" ht="15" hidden="false" customHeight="false" outlineLevel="0" collapsed="false">
      <c r="A69" s="15" t="s">
        <v>272</v>
      </c>
      <c r="B69" s="15" t="s">
        <v>10</v>
      </c>
      <c r="C69" s="15" t="s">
        <v>16</v>
      </c>
      <c r="D69" s="15" t="s">
        <v>54</v>
      </c>
      <c r="E69" s="15" t="s">
        <v>19</v>
      </c>
      <c r="F69" s="15" t="n">
        <v>1</v>
      </c>
      <c r="G69" s="15" t="s">
        <v>158</v>
      </c>
      <c r="H69" s="15" t="n">
        <v>33</v>
      </c>
      <c r="I69" s="15" t="s">
        <v>54</v>
      </c>
      <c r="J69" s="15" t="s">
        <v>182</v>
      </c>
      <c r="K69" s="15" t="s">
        <v>261</v>
      </c>
      <c r="L69" s="15" t="s">
        <v>176</v>
      </c>
      <c r="M69" s="15" t="s">
        <v>161</v>
      </c>
      <c r="N69" s="15" t="s">
        <v>172</v>
      </c>
      <c r="O69" s="15" t="s">
        <v>185</v>
      </c>
      <c r="P69" s="15" t="n">
        <v>2.57</v>
      </c>
      <c r="Q69" s="15" t="n">
        <v>2.569</v>
      </c>
      <c r="R69" s="15" t="n">
        <v>90</v>
      </c>
      <c r="S69" s="15" t="s">
        <v>164</v>
      </c>
      <c r="T69" s="15" t="n">
        <v>87</v>
      </c>
      <c r="U69" s="15"/>
      <c r="V69" s="15"/>
      <c r="W69" s="15"/>
      <c r="X69" s="15" t="s">
        <v>165</v>
      </c>
      <c r="Y69" s="15" t="n">
        <v>34</v>
      </c>
      <c r="Z69" s="15" t="s">
        <v>166</v>
      </c>
      <c r="AA69" s="15"/>
      <c r="AB69" s="15" t="n">
        <v>0</v>
      </c>
      <c r="AC69" s="15" t="n">
        <v>0</v>
      </c>
      <c r="AD69" s="15" t="s">
        <v>167</v>
      </c>
      <c r="AE69" s="15" t="s">
        <v>168</v>
      </c>
      <c r="AF69" s="15" t="s">
        <v>169</v>
      </c>
      <c r="AG69" s="15"/>
      <c r="AH69" s="24" t="n">
        <f aca="false">IF(R69="",AM69,R69)</f>
        <v>90</v>
      </c>
      <c r="AI69" s="24" t="n">
        <f aca="false">SUMIFS(Permissions!$G$2:$G$3000,Permissions!$B$2:$B$3000,$A69,Permissions!$I$2:$I$3000,"Complete",Permissions!$R$2:$R$3000,"Yes")</f>
        <v>0</v>
      </c>
      <c r="AJ69" s="24" t="n">
        <f aca="false">SUMIFS(Permissions!$G$2:$G$3000,Permissions!$B$2:$B$3000,$A69,Permissions!$I$2:$I$3000,"Under construction",Permissions!$R$2:$R$3000,"Yes")</f>
        <v>0</v>
      </c>
      <c r="AK69" s="24" t="n">
        <f aca="false">SUMIFS(Permissions!$G$2:$G$3000,Permissions!$B$2:$B$3000,$A69,Permissions!$I$2:$I$3000,"Permitted – not started",Permissions!$R$2:$R$3000,"Yes")</f>
        <v>0</v>
      </c>
      <c r="AL69" s="24" t="n">
        <f aca="false">SUMIFS(Permissions!$G$2:$G$3000,Permissions!$B$2:$B$3000,$A69,Permissions!$I$2:$I$3000,"Stalled",Permissions!$R$2:$R$3000,"Yes")</f>
        <v>0</v>
      </c>
      <c r="AM69" s="24" t="n">
        <f aca="false">AI69+AJ69+AK69+AL69</f>
        <v>0</v>
      </c>
      <c r="AN69" s="24" t="n">
        <f aca="false">SUMIFS(Permissions!$G$2:$G$3000,Permissions!$B$2:$B$3000,$A69,Permissions!$I$2:$I$3000,"Expired – not started",Permissions!$R$2:$R$3000,"Yes")</f>
        <v>0</v>
      </c>
      <c r="AO69" s="24" t="n">
        <f aca="false">SUMIFS(Permissions!$G$2:$G$3000,Permissions!$B$2:$B$3000,$A69,Permissions!$I$2:$I$3000,"In planning",Permissions!$R$2:$R$3000,"Yes")</f>
        <v>0</v>
      </c>
      <c r="AP69" s="24" t="n">
        <f aca="false">IF(R69="",0,MAX(R69-AM69,0))</f>
        <v>90</v>
      </c>
      <c r="AQ69" s="25" t="n">
        <f aca="false">AM69+AP69</f>
        <v>90</v>
      </c>
      <c r="AR69" s="24" t="n">
        <f aca="false">SUMIFS(Permissions!$L$2:$L$3000,Permissions!$B$2:$B$3000,$A69,Permissions!$R$2:$R$3000,"Yes",Permissions!$I$2:$I$3000,"&lt;&gt;Expired – not started",Permissions!$I$2:$I$3000,"&lt;&gt;In planning")</f>
        <v>0</v>
      </c>
      <c r="AS69" s="24" t="n">
        <f aca="false">AQ69-AR69</f>
        <v>90</v>
      </c>
      <c r="AT69" s="26" t="n">
        <f aca="false">SUMIFS(Permissions!$AJ$2:$AJ$3000,Permissions!$B$2:$B$3000,$A69,Permissions!$R$2:$R$3000,"Yes")</f>
        <v>0</v>
      </c>
      <c r="AU69" s="26" t="n">
        <f aca="false">SUMIFS(Permissions!$AK$2:$AK$3000,Permissions!$B$2:$B$3000,$A69,Permissions!$R$2:$R$3000,"Yes")</f>
        <v>0</v>
      </c>
      <c r="AV69" s="26" t="n">
        <f aca="false">SUMIFS(Permissions!$AL$2:$AL$3000,Permissions!$B$2:$B$3000,$A69,Permissions!$R$2:$R$3000,"Yes")</f>
        <v>0</v>
      </c>
      <c r="AW69" s="26" t="n">
        <f aca="false">SUMIFS(Permissions!$AM$2:$AM$3000,Permissions!$B$2:$B$3000,$A69,Permissions!$R$2:$R$3000,"Yes")</f>
        <v>0</v>
      </c>
      <c r="AX69" s="26" t="n">
        <f aca="false">SUMIFS(Permissions!$AN$2:$AN$3000,Permissions!$B$2:$B$3000,$A69,Permissions!$R$2:$R$3000,"Yes")</f>
        <v>0</v>
      </c>
      <c r="AY69" s="26" t="n">
        <f aca="false">SUMIFS(Permissions!$AO$2:$AO$3000,Permissions!$B$2:$B$3000,$A69,Permissions!$R$2:$R$3000,"Yes")</f>
        <v>0</v>
      </c>
      <c r="AZ69" s="24" t="n">
        <f aca="false">COUNTIFS(Permissions!$B$2:$B$3000,$A69,Permissions!$R$2:$R$3000,"Yes")</f>
        <v>0</v>
      </c>
      <c r="BA69" s="24" t="n">
        <f aca="false">SUMIFS(Permissions!$M$2:$M$3000,Permissions!$B$2:$B$3000,$A69,Permissions!$R$2:$R$3000,"Yes")</f>
        <v>0</v>
      </c>
      <c r="BB69" s="24" t="n">
        <f aca="false">SUMIFS(Permissions!$O$2:$O$3000,Permissions!$B$2:$B$3000,$A69,Permissions!$R$2:$R$3000,"Yes")</f>
        <v>0</v>
      </c>
      <c r="BC69" s="27" t="str">
        <f aca="false">IF(AND(AM69&gt;0,AR69&gt;=AM69,AP69=0),"Finished",IF(AR69&gt;0,"Partly built",IF(AM69&gt;0,"Consented – not built","No consent")))</f>
        <v>No consent</v>
      </c>
      <c r="BD69" s="28" t="str">
        <f aca="false">IF(AND(R69&lt;&gt;"",AM69&gt;1.1*R69),"Consented above capacity",IF(AND(LEFT(B69,8)="Planning",AZ69=0),"Consent parcel with no permission",IF(COUNTIF($A$2:$A$3000,$A69)&gt;1,"Duplicate parcel_id","")))</f>
        <v/>
      </c>
    </row>
    <row r="70" customFormat="false" ht="15" hidden="false" customHeight="false" outlineLevel="0" collapsed="false">
      <c r="A70" s="15" t="s">
        <v>273</v>
      </c>
      <c r="B70" s="15" t="s">
        <v>10</v>
      </c>
      <c r="C70" s="15" t="s">
        <v>16</v>
      </c>
      <c r="D70" s="15" t="s">
        <v>54</v>
      </c>
      <c r="E70" s="15" t="s">
        <v>19</v>
      </c>
      <c r="F70" s="15" t="n">
        <v>1</v>
      </c>
      <c r="G70" s="15" t="s">
        <v>158</v>
      </c>
      <c r="H70" s="15" t="n">
        <v>34</v>
      </c>
      <c r="I70" s="15" t="s">
        <v>54</v>
      </c>
      <c r="J70" s="15" t="s">
        <v>182</v>
      </c>
      <c r="K70" s="15" t="s">
        <v>261</v>
      </c>
      <c r="L70" s="15" t="s">
        <v>176</v>
      </c>
      <c r="M70" s="15" t="s">
        <v>161</v>
      </c>
      <c r="N70" s="15" t="s">
        <v>172</v>
      </c>
      <c r="O70" s="15" t="s">
        <v>185</v>
      </c>
      <c r="P70" s="15" t="n">
        <v>1.33</v>
      </c>
      <c r="Q70" s="15" t="n">
        <v>1.33</v>
      </c>
      <c r="R70" s="15" t="n">
        <v>47</v>
      </c>
      <c r="S70" s="15" t="s">
        <v>164</v>
      </c>
      <c r="T70" s="15" t="n">
        <v>45</v>
      </c>
      <c r="U70" s="15"/>
      <c r="V70" s="15"/>
      <c r="W70" s="15"/>
      <c r="X70" s="15" t="s">
        <v>165</v>
      </c>
      <c r="Y70" s="15" t="n">
        <v>34</v>
      </c>
      <c r="Z70" s="15" t="s">
        <v>166</v>
      </c>
      <c r="AA70" s="15"/>
      <c r="AB70" s="15" t="n">
        <v>0</v>
      </c>
      <c r="AC70" s="15" t="n">
        <v>0</v>
      </c>
      <c r="AD70" s="15" t="s">
        <v>186</v>
      </c>
      <c r="AE70" s="15" t="s">
        <v>168</v>
      </c>
      <c r="AF70" s="15" t="s">
        <v>169</v>
      </c>
      <c r="AG70" s="15"/>
      <c r="AH70" s="24" t="n">
        <f aca="false">IF(R70="",AM70,R70)</f>
        <v>47</v>
      </c>
      <c r="AI70" s="24" t="n">
        <f aca="false">SUMIFS(Permissions!$G$2:$G$3000,Permissions!$B$2:$B$3000,$A70,Permissions!$I$2:$I$3000,"Complete",Permissions!$R$2:$R$3000,"Yes")</f>
        <v>0</v>
      </c>
      <c r="AJ70" s="24" t="n">
        <f aca="false">SUMIFS(Permissions!$G$2:$G$3000,Permissions!$B$2:$B$3000,$A70,Permissions!$I$2:$I$3000,"Under construction",Permissions!$R$2:$R$3000,"Yes")</f>
        <v>0</v>
      </c>
      <c r="AK70" s="24" t="n">
        <f aca="false">SUMIFS(Permissions!$G$2:$G$3000,Permissions!$B$2:$B$3000,$A70,Permissions!$I$2:$I$3000,"Permitted – not started",Permissions!$R$2:$R$3000,"Yes")</f>
        <v>0</v>
      </c>
      <c r="AL70" s="24" t="n">
        <f aca="false">SUMIFS(Permissions!$G$2:$G$3000,Permissions!$B$2:$B$3000,$A70,Permissions!$I$2:$I$3000,"Stalled",Permissions!$R$2:$R$3000,"Yes")</f>
        <v>0</v>
      </c>
      <c r="AM70" s="24" t="n">
        <f aca="false">AI70+AJ70+AK70+AL70</f>
        <v>0</v>
      </c>
      <c r="AN70" s="24" t="n">
        <f aca="false">SUMIFS(Permissions!$G$2:$G$3000,Permissions!$B$2:$B$3000,$A70,Permissions!$I$2:$I$3000,"Expired – not started",Permissions!$R$2:$R$3000,"Yes")</f>
        <v>0</v>
      </c>
      <c r="AO70" s="24" t="n">
        <f aca="false">SUMIFS(Permissions!$G$2:$G$3000,Permissions!$B$2:$B$3000,$A70,Permissions!$I$2:$I$3000,"In planning",Permissions!$R$2:$R$3000,"Yes")</f>
        <v>0</v>
      </c>
      <c r="AP70" s="24" t="n">
        <f aca="false">IF(R70="",0,MAX(R70-AM70,0))</f>
        <v>47</v>
      </c>
      <c r="AQ70" s="25" t="n">
        <f aca="false">AM70+AP70</f>
        <v>47</v>
      </c>
      <c r="AR70" s="24" t="n">
        <f aca="false">SUMIFS(Permissions!$L$2:$L$3000,Permissions!$B$2:$B$3000,$A70,Permissions!$R$2:$R$3000,"Yes",Permissions!$I$2:$I$3000,"&lt;&gt;Expired – not started",Permissions!$I$2:$I$3000,"&lt;&gt;In planning")</f>
        <v>0</v>
      </c>
      <c r="AS70" s="24" t="n">
        <f aca="false">AQ70-AR70</f>
        <v>47</v>
      </c>
      <c r="AT70" s="26" t="n">
        <f aca="false">SUMIFS(Permissions!$AJ$2:$AJ$3000,Permissions!$B$2:$B$3000,$A70,Permissions!$R$2:$R$3000,"Yes")</f>
        <v>0</v>
      </c>
      <c r="AU70" s="26" t="n">
        <f aca="false">SUMIFS(Permissions!$AK$2:$AK$3000,Permissions!$B$2:$B$3000,$A70,Permissions!$R$2:$R$3000,"Yes")</f>
        <v>0</v>
      </c>
      <c r="AV70" s="26" t="n">
        <f aca="false">SUMIFS(Permissions!$AL$2:$AL$3000,Permissions!$B$2:$B$3000,$A70,Permissions!$R$2:$R$3000,"Yes")</f>
        <v>0</v>
      </c>
      <c r="AW70" s="26" t="n">
        <f aca="false">SUMIFS(Permissions!$AM$2:$AM$3000,Permissions!$B$2:$B$3000,$A70,Permissions!$R$2:$R$3000,"Yes")</f>
        <v>0</v>
      </c>
      <c r="AX70" s="26" t="n">
        <f aca="false">SUMIFS(Permissions!$AN$2:$AN$3000,Permissions!$B$2:$B$3000,$A70,Permissions!$R$2:$R$3000,"Yes")</f>
        <v>0</v>
      </c>
      <c r="AY70" s="26" t="n">
        <f aca="false">SUMIFS(Permissions!$AO$2:$AO$3000,Permissions!$B$2:$B$3000,$A70,Permissions!$R$2:$R$3000,"Yes")</f>
        <v>0</v>
      </c>
      <c r="AZ70" s="24" t="n">
        <f aca="false">COUNTIFS(Permissions!$B$2:$B$3000,$A70,Permissions!$R$2:$R$3000,"Yes")</f>
        <v>0</v>
      </c>
      <c r="BA70" s="24" t="n">
        <f aca="false">SUMIFS(Permissions!$M$2:$M$3000,Permissions!$B$2:$B$3000,$A70,Permissions!$R$2:$R$3000,"Yes")</f>
        <v>0</v>
      </c>
      <c r="BB70" s="24" t="n">
        <f aca="false">SUMIFS(Permissions!$O$2:$O$3000,Permissions!$B$2:$B$3000,$A70,Permissions!$R$2:$R$3000,"Yes")</f>
        <v>0</v>
      </c>
      <c r="BC70" s="27" t="str">
        <f aca="false">IF(AND(AM70&gt;0,AR70&gt;=AM70,AP70=0),"Finished",IF(AR70&gt;0,"Partly built",IF(AM70&gt;0,"Consented – not built","No consent")))</f>
        <v>No consent</v>
      </c>
      <c r="BD70" s="28" t="str">
        <f aca="false">IF(AND(R70&lt;&gt;"",AM70&gt;1.1*R70),"Consented above capacity",IF(AND(LEFT(B70,8)="Planning",AZ70=0),"Consent parcel with no permission",IF(COUNTIF($A$2:$A$3000,$A70)&gt;1,"Duplicate parcel_id","")))</f>
        <v/>
      </c>
    </row>
    <row r="71" customFormat="false" ht="15" hidden="false" customHeight="false" outlineLevel="0" collapsed="false">
      <c r="A71" s="15" t="s">
        <v>274</v>
      </c>
      <c r="B71" s="15" t="s">
        <v>10</v>
      </c>
      <c r="C71" s="15" t="s">
        <v>16</v>
      </c>
      <c r="D71" s="15" t="s">
        <v>55</v>
      </c>
      <c r="E71" s="15" t="s">
        <v>19</v>
      </c>
      <c r="F71" s="15" t="n">
        <v>1</v>
      </c>
      <c r="G71" s="15" t="s">
        <v>158</v>
      </c>
      <c r="H71" s="15" t="n">
        <v>134</v>
      </c>
      <c r="I71" s="15" t="s">
        <v>55</v>
      </c>
      <c r="J71" s="15" t="s">
        <v>159</v>
      </c>
      <c r="K71" s="15" t="s">
        <v>55</v>
      </c>
      <c r="L71" s="15" t="s">
        <v>176</v>
      </c>
      <c r="M71" s="15" t="s">
        <v>171</v>
      </c>
      <c r="N71" s="15" t="s">
        <v>172</v>
      </c>
      <c r="O71" s="15" t="s">
        <v>275</v>
      </c>
      <c r="P71" s="15" t="n">
        <v>0.606</v>
      </c>
      <c r="Q71" s="15" t="n">
        <v>0.607</v>
      </c>
      <c r="R71" s="15" t="n">
        <v>23</v>
      </c>
      <c r="S71" s="15" t="s">
        <v>164</v>
      </c>
      <c r="T71" s="15" t="n">
        <v>21</v>
      </c>
      <c r="U71" s="15"/>
      <c r="V71" s="15"/>
      <c r="W71" s="15"/>
      <c r="X71" s="15" t="s">
        <v>165</v>
      </c>
      <c r="Y71" s="15" t="n">
        <v>34</v>
      </c>
      <c r="Z71" s="15" t="s">
        <v>166</v>
      </c>
      <c r="AA71" s="15"/>
      <c r="AB71" s="15" t="n">
        <v>0</v>
      </c>
      <c r="AC71" s="15" t="n">
        <v>0</v>
      </c>
      <c r="AD71" s="15" t="s">
        <v>167</v>
      </c>
      <c r="AE71" s="15" t="s">
        <v>168</v>
      </c>
      <c r="AF71" s="15" t="s">
        <v>169</v>
      </c>
      <c r="AG71" s="15"/>
      <c r="AH71" s="24" t="n">
        <f aca="false">IF(R71="",AM71,R71)</f>
        <v>23</v>
      </c>
      <c r="AI71" s="24" t="n">
        <f aca="false">SUMIFS(Permissions!$G$2:$G$3000,Permissions!$B$2:$B$3000,$A71,Permissions!$I$2:$I$3000,"Complete",Permissions!$R$2:$R$3000,"Yes")</f>
        <v>0</v>
      </c>
      <c r="AJ71" s="24" t="n">
        <f aca="false">SUMIFS(Permissions!$G$2:$G$3000,Permissions!$B$2:$B$3000,$A71,Permissions!$I$2:$I$3000,"Under construction",Permissions!$R$2:$R$3000,"Yes")</f>
        <v>0</v>
      </c>
      <c r="AK71" s="24" t="n">
        <f aca="false">SUMIFS(Permissions!$G$2:$G$3000,Permissions!$B$2:$B$3000,$A71,Permissions!$I$2:$I$3000,"Permitted – not started",Permissions!$R$2:$R$3000,"Yes")</f>
        <v>0</v>
      </c>
      <c r="AL71" s="24" t="n">
        <f aca="false">SUMIFS(Permissions!$G$2:$G$3000,Permissions!$B$2:$B$3000,$A71,Permissions!$I$2:$I$3000,"Stalled",Permissions!$R$2:$R$3000,"Yes")</f>
        <v>0</v>
      </c>
      <c r="AM71" s="24" t="n">
        <f aca="false">AI71+AJ71+AK71+AL71</f>
        <v>0</v>
      </c>
      <c r="AN71" s="24" t="n">
        <f aca="false">SUMIFS(Permissions!$G$2:$G$3000,Permissions!$B$2:$B$3000,$A71,Permissions!$I$2:$I$3000,"Expired – not started",Permissions!$R$2:$R$3000,"Yes")</f>
        <v>0</v>
      </c>
      <c r="AO71" s="24" t="n">
        <f aca="false">SUMIFS(Permissions!$G$2:$G$3000,Permissions!$B$2:$B$3000,$A71,Permissions!$I$2:$I$3000,"In planning",Permissions!$R$2:$R$3000,"Yes")</f>
        <v>0</v>
      </c>
      <c r="AP71" s="24" t="n">
        <f aca="false">IF(R71="",0,MAX(R71-AM71,0))</f>
        <v>23</v>
      </c>
      <c r="AQ71" s="25" t="n">
        <f aca="false">AM71+AP71</f>
        <v>23</v>
      </c>
      <c r="AR71" s="24" t="n">
        <f aca="false">SUMIFS(Permissions!$L$2:$L$3000,Permissions!$B$2:$B$3000,$A71,Permissions!$R$2:$R$3000,"Yes",Permissions!$I$2:$I$3000,"&lt;&gt;Expired – not started",Permissions!$I$2:$I$3000,"&lt;&gt;In planning")</f>
        <v>0</v>
      </c>
      <c r="AS71" s="24" t="n">
        <f aca="false">AQ71-AR71</f>
        <v>23</v>
      </c>
      <c r="AT71" s="26" t="n">
        <f aca="false">SUMIFS(Permissions!$AJ$2:$AJ$3000,Permissions!$B$2:$B$3000,$A71,Permissions!$R$2:$R$3000,"Yes")</f>
        <v>0</v>
      </c>
      <c r="AU71" s="26" t="n">
        <f aca="false">SUMIFS(Permissions!$AK$2:$AK$3000,Permissions!$B$2:$B$3000,$A71,Permissions!$R$2:$R$3000,"Yes")</f>
        <v>0</v>
      </c>
      <c r="AV71" s="26" t="n">
        <f aca="false">SUMIFS(Permissions!$AL$2:$AL$3000,Permissions!$B$2:$B$3000,$A71,Permissions!$R$2:$R$3000,"Yes")</f>
        <v>0</v>
      </c>
      <c r="AW71" s="26" t="n">
        <f aca="false">SUMIFS(Permissions!$AM$2:$AM$3000,Permissions!$B$2:$B$3000,$A71,Permissions!$R$2:$R$3000,"Yes")</f>
        <v>0</v>
      </c>
      <c r="AX71" s="26" t="n">
        <f aca="false">SUMIFS(Permissions!$AN$2:$AN$3000,Permissions!$B$2:$B$3000,$A71,Permissions!$R$2:$R$3000,"Yes")</f>
        <v>0</v>
      </c>
      <c r="AY71" s="26" t="n">
        <f aca="false">SUMIFS(Permissions!$AO$2:$AO$3000,Permissions!$B$2:$B$3000,$A71,Permissions!$R$2:$R$3000,"Yes")</f>
        <v>0</v>
      </c>
      <c r="AZ71" s="24" t="n">
        <f aca="false">COUNTIFS(Permissions!$B$2:$B$3000,$A71,Permissions!$R$2:$R$3000,"Yes")</f>
        <v>0</v>
      </c>
      <c r="BA71" s="24" t="n">
        <f aca="false">SUMIFS(Permissions!$M$2:$M$3000,Permissions!$B$2:$B$3000,$A71,Permissions!$R$2:$R$3000,"Yes")</f>
        <v>0</v>
      </c>
      <c r="BB71" s="24" t="n">
        <f aca="false">SUMIFS(Permissions!$O$2:$O$3000,Permissions!$B$2:$B$3000,$A71,Permissions!$R$2:$R$3000,"Yes")</f>
        <v>0</v>
      </c>
      <c r="BC71" s="27" t="str">
        <f aca="false">IF(AND(AM71&gt;0,AR71&gt;=AM71,AP71=0),"Finished",IF(AR71&gt;0,"Partly built",IF(AM71&gt;0,"Consented – not built","No consent")))</f>
        <v>No consent</v>
      </c>
      <c r="BD71" s="28" t="str">
        <f aca="false">IF(AND(R71&lt;&gt;"",AM71&gt;1.1*R71),"Consented above capacity",IF(AND(LEFT(B71,8)="Planning",AZ71=0),"Consent parcel with no permission",IF(COUNTIF($A$2:$A$3000,$A71)&gt;1,"Duplicate parcel_id","")))</f>
        <v/>
      </c>
    </row>
    <row r="72" customFormat="false" ht="15" hidden="false" customHeight="false" outlineLevel="0" collapsed="false">
      <c r="A72" s="15" t="s">
        <v>276</v>
      </c>
      <c r="B72" s="15" t="s">
        <v>10</v>
      </c>
      <c r="C72" s="15" t="s">
        <v>16</v>
      </c>
      <c r="D72" s="15" t="s">
        <v>55</v>
      </c>
      <c r="E72" s="15" t="s">
        <v>19</v>
      </c>
      <c r="F72" s="15" t="n">
        <v>1</v>
      </c>
      <c r="G72" s="15" t="s">
        <v>158</v>
      </c>
      <c r="H72" s="15" t="n">
        <v>135</v>
      </c>
      <c r="I72" s="15" t="s">
        <v>55</v>
      </c>
      <c r="J72" s="15" t="s">
        <v>159</v>
      </c>
      <c r="K72" s="15" t="s">
        <v>55</v>
      </c>
      <c r="L72" s="15" t="s">
        <v>176</v>
      </c>
      <c r="M72" s="15" t="s">
        <v>171</v>
      </c>
      <c r="N72" s="15" t="s">
        <v>172</v>
      </c>
      <c r="O72" s="15" t="s">
        <v>185</v>
      </c>
      <c r="P72" s="15" t="n">
        <v>0.182</v>
      </c>
      <c r="Q72" s="15" t="n">
        <v>0.183</v>
      </c>
      <c r="R72" s="15" t="n">
        <v>6</v>
      </c>
      <c r="S72" s="15" t="s">
        <v>164</v>
      </c>
      <c r="T72" s="15" t="n">
        <v>6</v>
      </c>
      <c r="U72" s="15"/>
      <c r="V72" s="15"/>
      <c r="W72" s="15"/>
      <c r="X72" s="15" t="s">
        <v>165</v>
      </c>
      <c r="Y72" s="15" t="n">
        <v>34</v>
      </c>
      <c r="Z72" s="15" t="s">
        <v>166</v>
      </c>
      <c r="AA72" s="15"/>
      <c r="AB72" s="15" t="n">
        <v>0</v>
      </c>
      <c r="AC72" s="15" t="n">
        <v>0</v>
      </c>
      <c r="AD72" s="15" t="s">
        <v>167</v>
      </c>
      <c r="AE72" s="15" t="s">
        <v>168</v>
      </c>
      <c r="AF72" s="15" t="s">
        <v>169</v>
      </c>
      <c r="AG72" s="15"/>
      <c r="AH72" s="24" t="n">
        <f aca="false">IF(R72="",AM72,R72)</f>
        <v>6</v>
      </c>
      <c r="AI72" s="24" t="n">
        <f aca="false">SUMIFS(Permissions!$G$2:$G$3000,Permissions!$B$2:$B$3000,$A72,Permissions!$I$2:$I$3000,"Complete",Permissions!$R$2:$R$3000,"Yes")</f>
        <v>0</v>
      </c>
      <c r="AJ72" s="24" t="n">
        <f aca="false">SUMIFS(Permissions!$G$2:$G$3000,Permissions!$B$2:$B$3000,$A72,Permissions!$I$2:$I$3000,"Under construction",Permissions!$R$2:$R$3000,"Yes")</f>
        <v>0</v>
      </c>
      <c r="AK72" s="24" t="n">
        <f aca="false">SUMIFS(Permissions!$G$2:$G$3000,Permissions!$B$2:$B$3000,$A72,Permissions!$I$2:$I$3000,"Permitted – not started",Permissions!$R$2:$R$3000,"Yes")</f>
        <v>0</v>
      </c>
      <c r="AL72" s="24" t="n">
        <f aca="false">SUMIFS(Permissions!$G$2:$G$3000,Permissions!$B$2:$B$3000,$A72,Permissions!$I$2:$I$3000,"Stalled",Permissions!$R$2:$R$3000,"Yes")</f>
        <v>0</v>
      </c>
      <c r="AM72" s="24" t="n">
        <f aca="false">AI72+AJ72+AK72+AL72</f>
        <v>0</v>
      </c>
      <c r="AN72" s="24" t="n">
        <f aca="false">SUMIFS(Permissions!$G$2:$G$3000,Permissions!$B$2:$B$3000,$A72,Permissions!$I$2:$I$3000,"Expired – not started",Permissions!$R$2:$R$3000,"Yes")</f>
        <v>0</v>
      </c>
      <c r="AO72" s="24" t="n">
        <f aca="false">SUMIFS(Permissions!$G$2:$G$3000,Permissions!$B$2:$B$3000,$A72,Permissions!$I$2:$I$3000,"In planning",Permissions!$R$2:$R$3000,"Yes")</f>
        <v>0</v>
      </c>
      <c r="AP72" s="24" t="n">
        <f aca="false">IF(R72="",0,MAX(R72-AM72,0))</f>
        <v>6</v>
      </c>
      <c r="AQ72" s="25" t="n">
        <f aca="false">AM72+AP72</f>
        <v>6</v>
      </c>
      <c r="AR72" s="24" t="n">
        <f aca="false">SUMIFS(Permissions!$L$2:$L$3000,Permissions!$B$2:$B$3000,$A72,Permissions!$R$2:$R$3000,"Yes",Permissions!$I$2:$I$3000,"&lt;&gt;Expired – not started",Permissions!$I$2:$I$3000,"&lt;&gt;In planning")</f>
        <v>0</v>
      </c>
      <c r="AS72" s="24" t="n">
        <f aca="false">AQ72-AR72</f>
        <v>6</v>
      </c>
      <c r="AT72" s="26" t="n">
        <f aca="false">SUMIFS(Permissions!$AJ$2:$AJ$3000,Permissions!$B$2:$B$3000,$A72,Permissions!$R$2:$R$3000,"Yes")</f>
        <v>0</v>
      </c>
      <c r="AU72" s="26" t="n">
        <f aca="false">SUMIFS(Permissions!$AK$2:$AK$3000,Permissions!$B$2:$B$3000,$A72,Permissions!$R$2:$R$3000,"Yes")</f>
        <v>0</v>
      </c>
      <c r="AV72" s="26" t="n">
        <f aca="false">SUMIFS(Permissions!$AL$2:$AL$3000,Permissions!$B$2:$B$3000,$A72,Permissions!$R$2:$R$3000,"Yes")</f>
        <v>0</v>
      </c>
      <c r="AW72" s="26" t="n">
        <f aca="false">SUMIFS(Permissions!$AM$2:$AM$3000,Permissions!$B$2:$B$3000,$A72,Permissions!$R$2:$R$3000,"Yes")</f>
        <v>0</v>
      </c>
      <c r="AX72" s="26" t="n">
        <f aca="false">SUMIFS(Permissions!$AN$2:$AN$3000,Permissions!$B$2:$B$3000,$A72,Permissions!$R$2:$R$3000,"Yes")</f>
        <v>0</v>
      </c>
      <c r="AY72" s="26" t="n">
        <f aca="false">SUMIFS(Permissions!$AO$2:$AO$3000,Permissions!$B$2:$B$3000,$A72,Permissions!$R$2:$R$3000,"Yes")</f>
        <v>0</v>
      </c>
      <c r="AZ72" s="24" t="n">
        <f aca="false">COUNTIFS(Permissions!$B$2:$B$3000,$A72,Permissions!$R$2:$R$3000,"Yes")</f>
        <v>0</v>
      </c>
      <c r="BA72" s="24" t="n">
        <f aca="false">SUMIFS(Permissions!$M$2:$M$3000,Permissions!$B$2:$B$3000,$A72,Permissions!$R$2:$R$3000,"Yes")</f>
        <v>0</v>
      </c>
      <c r="BB72" s="24" t="n">
        <f aca="false">SUMIFS(Permissions!$O$2:$O$3000,Permissions!$B$2:$B$3000,$A72,Permissions!$R$2:$R$3000,"Yes")</f>
        <v>0</v>
      </c>
      <c r="BC72" s="27" t="str">
        <f aca="false">IF(AND(AM72&gt;0,AR72&gt;=AM72,AP72=0),"Finished",IF(AR72&gt;0,"Partly built",IF(AM72&gt;0,"Consented – not built","No consent")))</f>
        <v>No consent</v>
      </c>
      <c r="BD72" s="28" t="str">
        <f aca="false">IF(AND(R72&lt;&gt;"",AM72&gt;1.1*R72),"Consented above capacity",IF(AND(LEFT(B72,8)="Planning",AZ72=0),"Consent parcel with no permission",IF(COUNTIF($A$2:$A$3000,$A72)&gt;1,"Duplicate parcel_id","")))</f>
        <v/>
      </c>
    </row>
    <row r="73" customFormat="false" ht="15" hidden="false" customHeight="false" outlineLevel="0" collapsed="false">
      <c r="A73" s="15" t="s">
        <v>277</v>
      </c>
      <c r="B73" s="15" t="s">
        <v>10</v>
      </c>
      <c r="C73" s="15" t="s">
        <v>16</v>
      </c>
      <c r="D73" s="15" t="s">
        <v>55</v>
      </c>
      <c r="E73" s="15" t="s">
        <v>19</v>
      </c>
      <c r="F73" s="15" t="n">
        <v>1</v>
      </c>
      <c r="G73" s="15" t="s">
        <v>158</v>
      </c>
      <c r="H73" s="15" t="n">
        <v>136</v>
      </c>
      <c r="I73" s="15" t="s">
        <v>55</v>
      </c>
      <c r="J73" s="15" t="s">
        <v>159</v>
      </c>
      <c r="K73" s="15" t="s">
        <v>55</v>
      </c>
      <c r="L73" s="15" t="s">
        <v>176</v>
      </c>
      <c r="M73" s="15" t="s">
        <v>161</v>
      </c>
      <c r="N73" s="15" t="s">
        <v>184</v>
      </c>
      <c r="O73" s="15" t="s">
        <v>185</v>
      </c>
      <c r="P73" s="15" t="n">
        <v>8.559</v>
      </c>
      <c r="Q73" s="15" t="n">
        <v>8.556</v>
      </c>
      <c r="R73" s="15" t="n">
        <v>384</v>
      </c>
      <c r="S73" s="15" t="s">
        <v>164</v>
      </c>
      <c r="T73" s="15" t="n">
        <v>291</v>
      </c>
      <c r="U73" s="15"/>
      <c r="V73" s="15"/>
      <c r="W73" s="15"/>
      <c r="X73" s="15" t="s">
        <v>165</v>
      </c>
      <c r="Y73" s="15" t="n">
        <v>34</v>
      </c>
      <c r="Z73" s="15" t="s">
        <v>166</v>
      </c>
      <c r="AA73" s="15"/>
      <c r="AB73" s="15" t="n">
        <v>0</v>
      </c>
      <c r="AC73" s="15" t="n">
        <v>0</v>
      </c>
      <c r="AD73" s="15" t="s">
        <v>186</v>
      </c>
      <c r="AE73" s="15" t="s">
        <v>168</v>
      </c>
      <c r="AF73" s="15" t="s">
        <v>169</v>
      </c>
      <c r="AG73" s="15"/>
      <c r="AH73" s="24" t="n">
        <f aca="false">IF(R73="",AM73,R73)</f>
        <v>384</v>
      </c>
      <c r="AI73" s="24" t="n">
        <f aca="false">SUMIFS(Permissions!$G$2:$G$3000,Permissions!$B$2:$B$3000,$A73,Permissions!$I$2:$I$3000,"Complete",Permissions!$R$2:$R$3000,"Yes")</f>
        <v>0</v>
      </c>
      <c r="AJ73" s="24" t="n">
        <f aca="false">SUMIFS(Permissions!$G$2:$G$3000,Permissions!$B$2:$B$3000,$A73,Permissions!$I$2:$I$3000,"Under construction",Permissions!$R$2:$R$3000,"Yes")</f>
        <v>384</v>
      </c>
      <c r="AK73" s="24" t="n">
        <f aca="false">SUMIFS(Permissions!$G$2:$G$3000,Permissions!$B$2:$B$3000,$A73,Permissions!$I$2:$I$3000,"Permitted – not started",Permissions!$R$2:$R$3000,"Yes")</f>
        <v>0</v>
      </c>
      <c r="AL73" s="24" t="n">
        <f aca="false">SUMIFS(Permissions!$G$2:$G$3000,Permissions!$B$2:$B$3000,$A73,Permissions!$I$2:$I$3000,"Stalled",Permissions!$R$2:$R$3000,"Yes")</f>
        <v>0</v>
      </c>
      <c r="AM73" s="24" t="n">
        <f aca="false">AI73+AJ73+AK73+AL73</f>
        <v>384</v>
      </c>
      <c r="AN73" s="24" t="n">
        <f aca="false">SUMIFS(Permissions!$G$2:$G$3000,Permissions!$B$2:$B$3000,$A73,Permissions!$I$2:$I$3000,"Expired – not started",Permissions!$R$2:$R$3000,"Yes")</f>
        <v>0</v>
      </c>
      <c r="AO73" s="24" t="n">
        <f aca="false">SUMIFS(Permissions!$G$2:$G$3000,Permissions!$B$2:$B$3000,$A73,Permissions!$I$2:$I$3000,"In planning",Permissions!$R$2:$R$3000,"Yes")</f>
        <v>0</v>
      </c>
      <c r="AP73" s="24" t="n">
        <f aca="false">IF(R73="",0,MAX(R73-AM73,0))</f>
        <v>0</v>
      </c>
      <c r="AQ73" s="25" t="n">
        <f aca="false">AM73+AP73</f>
        <v>384</v>
      </c>
      <c r="AR73" s="24" t="n">
        <f aca="false">SUMIFS(Permissions!$L$2:$L$3000,Permissions!$B$2:$B$3000,$A73,Permissions!$R$2:$R$3000,"Yes",Permissions!$I$2:$I$3000,"&lt;&gt;Expired – not started",Permissions!$I$2:$I$3000,"&lt;&gt;In planning")</f>
        <v>0</v>
      </c>
      <c r="AS73" s="24" t="n">
        <f aca="false">AQ73-AR73</f>
        <v>384</v>
      </c>
      <c r="AT73" s="26" t="n">
        <f aca="false">SUMIFS(Permissions!$AJ$2:$AJ$3000,Permissions!$B$2:$B$3000,$A73,Permissions!$R$2:$R$3000,"Yes")</f>
        <v>17.2</v>
      </c>
      <c r="AU73" s="26" t="n">
        <f aca="false">SUMIFS(Permissions!$AK$2:$AK$3000,Permissions!$B$2:$B$3000,$A73,Permissions!$R$2:$R$3000,"Yes")</f>
        <v>74.1</v>
      </c>
      <c r="AV73" s="26" t="n">
        <f aca="false">SUMIFS(Permissions!$AL$2:$AL$3000,Permissions!$B$2:$B$3000,$A73,Permissions!$R$2:$R$3000,"Yes")</f>
        <v>74.1</v>
      </c>
      <c r="AW73" s="26" t="n">
        <f aca="false">SUMIFS(Permissions!$AM$2:$AM$3000,Permissions!$B$2:$B$3000,$A73,Permissions!$R$2:$R$3000,"Yes")</f>
        <v>74.1</v>
      </c>
      <c r="AX73" s="26" t="n">
        <f aca="false">SUMIFS(Permissions!$AN$2:$AN$3000,Permissions!$B$2:$B$3000,$A73,Permissions!$R$2:$R$3000,"Yes")</f>
        <v>74.1</v>
      </c>
      <c r="AY73" s="26" t="n">
        <f aca="false">SUMIFS(Permissions!$AO$2:$AO$3000,Permissions!$B$2:$B$3000,$A73,Permissions!$R$2:$R$3000,"Yes")</f>
        <v>70.4</v>
      </c>
      <c r="AZ73" s="24" t="n">
        <f aca="false">COUNTIFS(Permissions!$B$2:$B$3000,$A73,Permissions!$R$2:$R$3000,"Yes")</f>
        <v>1</v>
      </c>
      <c r="BA73" s="24" t="n">
        <f aca="false">SUMIFS(Permissions!$M$2:$M$3000,Permissions!$B$2:$B$3000,$A73,Permissions!$R$2:$R$3000,"Yes")</f>
        <v>0</v>
      </c>
      <c r="BB73" s="24" t="n">
        <f aca="false">SUMIFS(Permissions!$O$2:$O$3000,Permissions!$B$2:$B$3000,$A73,Permissions!$R$2:$R$3000,"Yes")</f>
        <v>0</v>
      </c>
      <c r="BC73" s="27" t="str">
        <f aca="false">IF(AND(AM73&gt;0,AR73&gt;=AM73,AP73=0),"Finished",IF(AR73&gt;0,"Partly built",IF(AM73&gt;0,"Consented – not built","No consent")))</f>
        <v>Consented – not built</v>
      </c>
      <c r="BD73" s="28" t="str">
        <f aca="false">IF(AND(R73&lt;&gt;"",AM73&gt;1.1*R73),"Consented above capacity",IF(AND(LEFT(B73,8)="Planning",AZ73=0),"Consent parcel with no permission",IF(COUNTIF($A$2:$A$3000,$A73)&gt;1,"Duplicate parcel_id","")))</f>
        <v/>
      </c>
    </row>
    <row r="74" customFormat="false" ht="15" hidden="false" customHeight="false" outlineLevel="0" collapsed="false">
      <c r="A74" s="15" t="s">
        <v>278</v>
      </c>
      <c r="B74" s="15" t="s">
        <v>10</v>
      </c>
      <c r="C74" s="15" t="s">
        <v>16</v>
      </c>
      <c r="D74" s="15" t="s">
        <v>55</v>
      </c>
      <c r="E74" s="15" t="s">
        <v>19</v>
      </c>
      <c r="F74" s="15" t="n">
        <v>1</v>
      </c>
      <c r="G74" s="15" t="s">
        <v>158</v>
      </c>
      <c r="H74" s="15" t="n">
        <v>137</v>
      </c>
      <c r="I74" s="15" t="s">
        <v>55</v>
      </c>
      <c r="J74" s="15" t="s">
        <v>159</v>
      </c>
      <c r="K74" s="15" t="s">
        <v>55</v>
      </c>
      <c r="L74" s="15" t="s">
        <v>176</v>
      </c>
      <c r="M74" s="15" t="s">
        <v>161</v>
      </c>
      <c r="N74" s="15" t="s">
        <v>172</v>
      </c>
      <c r="O74" s="15" t="s">
        <v>185</v>
      </c>
      <c r="P74" s="15" t="n">
        <v>2.42</v>
      </c>
      <c r="Q74" s="15" t="n">
        <v>2.42</v>
      </c>
      <c r="R74" s="15" t="n">
        <v>85</v>
      </c>
      <c r="S74" s="15" t="s">
        <v>164</v>
      </c>
      <c r="T74" s="15" t="n">
        <v>82</v>
      </c>
      <c r="U74" s="15"/>
      <c r="V74" s="15"/>
      <c r="W74" s="15"/>
      <c r="X74" s="15" t="s">
        <v>165</v>
      </c>
      <c r="Y74" s="15" t="n">
        <v>34</v>
      </c>
      <c r="Z74" s="15" t="s">
        <v>166</v>
      </c>
      <c r="AA74" s="15"/>
      <c r="AB74" s="15" t="n">
        <v>0</v>
      </c>
      <c r="AC74" s="15" t="n">
        <v>0</v>
      </c>
      <c r="AD74" s="15" t="s">
        <v>167</v>
      </c>
      <c r="AE74" s="15" t="s">
        <v>168</v>
      </c>
      <c r="AF74" s="15" t="s">
        <v>169</v>
      </c>
      <c r="AG74" s="15"/>
      <c r="AH74" s="24" t="n">
        <f aca="false">IF(R74="",AM74,R74)</f>
        <v>85</v>
      </c>
      <c r="AI74" s="24" t="n">
        <f aca="false">SUMIFS(Permissions!$G$2:$G$3000,Permissions!$B$2:$B$3000,$A74,Permissions!$I$2:$I$3000,"Complete",Permissions!$R$2:$R$3000,"Yes")</f>
        <v>0</v>
      </c>
      <c r="AJ74" s="24" t="n">
        <f aca="false">SUMIFS(Permissions!$G$2:$G$3000,Permissions!$B$2:$B$3000,$A74,Permissions!$I$2:$I$3000,"Under construction",Permissions!$R$2:$R$3000,"Yes")</f>
        <v>0</v>
      </c>
      <c r="AK74" s="24" t="n">
        <f aca="false">SUMIFS(Permissions!$G$2:$G$3000,Permissions!$B$2:$B$3000,$A74,Permissions!$I$2:$I$3000,"Permitted – not started",Permissions!$R$2:$R$3000,"Yes")</f>
        <v>0</v>
      </c>
      <c r="AL74" s="24" t="n">
        <f aca="false">SUMIFS(Permissions!$G$2:$G$3000,Permissions!$B$2:$B$3000,$A74,Permissions!$I$2:$I$3000,"Stalled",Permissions!$R$2:$R$3000,"Yes")</f>
        <v>0</v>
      </c>
      <c r="AM74" s="24" t="n">
        <f aca="false">AI74+AJ74+AK74+AL74</f>
        <v>0</v>
      </c>
      <c r="AN74" s="24" t="n">
        <f aca="false">SUMIFS(Permissions!$G$2:$G$3000,Permissions!$B$2:$B$3000,$A74,Permissions!$I$2:$I$3000,"Expired – not started",Permissions!$R$2:$R$3000,"Yes")</f>
        <v>0</v>
      </c>
      <c r="AO74" s="24" t="n">
        <f aca="false">SUMIFS(Permissions!$G$2:$G$3000,Permissions!$B$2:$B$3000,$A74,Permissions!$I$2:$I$3000,"In planning",Permissions!$R$2:$R$3000,"Yes")</f>
        <v>0</v>
      </c>
      <c r="AP74" s="24" t="n">
        <f aca="false">IF(R74="",0,MAX(R74-AM74,0))</f>
        <v>85</v>
      </c>
      <c r="AQ74" s="25" t="n">
        <f aca="false">AM74+AP74</f>
        <v>85</v>
      </c>
      <c r="AR74" s="24" t="n">
        <f aca="false">SUMIFS(Permissions!$L$2:$L$3000,Permissions!$B$2:$B$3000,$A74,Permissions!$R$2:$R$3000,"Yes",Permissions!$I$2:$I$3000,"&lt;&gt;Expired – not started",Permissions!$I$2:$I$3000,"&lt;&gt;In planning")</f>
        <v>0</v>
      </c>
      <c r="AS74" s="24" t="n">
        <f aca="false">AQ74-AR74</f>
        <v>85</v>
      </c>
      <c r="AT74" s="26" t="n">
        <f aca="false">SUMIFS(Permissions!$AJ$2:$AJ$3000,Permissions!$B$2:$B$3000,$A74,Permissions!$R$2:$R$3000,"Yes")</f>
        <v>0</v>
      </c>
      <c r="AU74" s="26" t="n">
        <f aca="false">SUMIFS(Permissions!$AK$2:$AK$3000,Permissions!$B$2:$B$3000,$A74,Permissions!$R$2:$R$3000,"Yes")</f>
        <v>0</v>
      </c>
      <c r="AV74" s="26" t="n">
        <f aca="false">SUMIFS(Permissions!$AL$2:$AL$3000,Permissions!$B$2:$B$3000,$A74,Permissions!$R$2:$R$3000,"Yes")</f>
        <v>0</v>
      </c>
      <c r="AW74" s="26" t="n">
        <f aca="false">SUMIFS(Permissions!$AM$2:$AM$3000,Permissions!$B$2:$B$3000,$A74,Permissions!$R$2:$R$3000,"Yes")</f>
        <v>0</v>
      </c>
      <c r="AX74" s="26" t="n">
        <f aca="false">SUMIFS(Permissions!$AN$2:$AN$3000,Permissions!$B$2:$B$3000,$A74,Permissions!$R$2:$R$3000,"Yes")</f>
        <v>0</v>
      </c>
      <c r="AY74" s="26" t="n">
        <f aca="false">SUMIFS(Permissions!$AO$2:$AO$3000,Permissions!$B$2:$B$3000,$A74,Permissions!$R$2:$R$3000,"Yes")</f>
        <v>0</v>
      </c>
      <c r="AZ74" s="24" t="n">
        <f aca="false">COUNTIFS(Permissions!$B$2:$B$3000,$A74,Permissions!$R$2:$R$3000,"Yes")</f>
        <v>0</v>
      </c>
      <c r="BA74" s="24" t="n">
        <f aca="false">SUMIFS(Permissions!$M$2:$M$3000,Permissions!$B$2:$B$3000,$A74,Permissions!$R$2:$R$3000,"Yes")</f>
        <v>0</v>
      </c>
      <c r="BB74" s="24" t="n">
        <f aca="false">SUMIFS(Permissions!$O$2:$O$3000,Permissions!$B$2:$B$3000,$A74,Permissions!$R$2:$R$3000,"Yes")</f>
        <v>0</v>
      </c>
      <c r="BC74" s="27" t="str">
        <f aca="false">IF(AND(AM74&gt;0,AR74&gt;=AM74,AP74=0),"Finished",IF(AR74&gt;0,"Partly built",IF(AM74&gt;0,"Consented – not built","No consent")))</f>
        <v>No consent</v>
      </c>
      <c r="BD74" s="28" t="str">
        <f aca="false">IF(AND(R74&lt;&gt;"",AM74&gt;1.1*R74),"Consented above capacity",IF(AND(LEFT(B74,8)="Planning",AZ74=0),"Consent parcel with no permission",IF(COUNTIF($A$2:$A$3000,$A74)&gt;1,"Duplicate parcel_id","")))</f>
        <v/>
      </c>
    </row>
    <row r="75" customFormat="false" ht="15" hidden="false" customHeight="false" outlineLevel="0" collapsed="false">
      <c r="A75" s="15" t="s">
        <v>279</v>
      </c>
      <c r="B75" s="15" t="s">
        <v>10</v>
      </c>
      <c r="C75" s="15" t="s">
        <v>16</v>
      </c>
      <c r="D75" s="15" t="s">
        <v>55</v>
      </c>
      <c r="E75" s="15" t="s">
        <v>19</v>
      </c>
      <c r="F75" s="15" t="n">
        <v>1</v>
      </c>
      <c r="G75" s="15" t="s">
        <v>158</v>
      </c>
      <c r="H75" s="15" t="n">
        <v>139</v>
      </c>
      <c r="I75" s="15" t="s">
        <v>55</v>
      </c>
      <c r="J75" s="15" t="s">
        <v>159</v>
      </c>
      <c r="K75" s="15" t="s">
        <v>55</v>
      </c>
      <c r="L75" s="15" t="s">
        <v>160</v>
      </c>
      <c r="M75" s="15" t="s">
        <v>161</v>
      </c>
      <c r="N75" s="15" t="s">
        <v>162</v>
      </c>
      <c r="O75" s="15" t="s">
        <v>185</v>
      </c>
      <c r="P75" s="15" t="n">
        <v>0.285</v>
      </c>
      <c r="Q75" s="15" t="n">
        <v>0.285</v>
      </c>
      <c r="R75" s="15" t="n">
        <v>10</v>
      </c>
      <c r="S75" s="15" t="s">
        <v>164</v>
      </c>
      <c r="T75" s="15" t="n">
        <v>10</v>
      </c>
      <c r="U75" s="15"/>
      <c r="V75" s="15"/>
      <c r="W75" s="15"/>
      <c r="X75" s="15" t="s">
        <v>165</v>
      </c>
      <c r="Y75" s="15" t="n">
        <v>34</v>
      </c>
      <c r="Z75" s="15" t="s">
        <v>166</v>
      </c>
      <c r="AA75" s="15"/>
      <c r="AB75" s="15" t="n">
        <v>0</v>
      </c>
      <c r="AC75" s="15" t="n">
        <v>0</v>
      </c>
      <c r="AD75" s="15" t="s">
        <v>167</v>
      </c>
      <c r="AE75" s="15" t="s">
        <v>168</v>
      </c>
      <c r="AF75" s="15" t="s">
        <v>169</v>
      </c>
      <c r="AG75" s="15"/>
      <c r="AH75" s="24" t="n">
        <f aca="false">IF(R75="",AM75,R75)</f>
        <v>10</v>
      </c>
      <c r="AI75" s="24" t="n">
        <f aca="false">SUMIFS(Permissions!$G$2:$G$3000,Permissions!$B$2:$B$3000,$A75,Permissions!$I$2:$I$3000,"Complete",Permissions!$R$2:$R$3000,"Yes")</f>
        <v>0</v>
      </c>
      <c r="AJ75" s="24" t="n">
        <f aca="false">SUMIFS(Permissions!$G$2:$G$3000,Permissions!$B$2:$B$3000,$A75,Permissions!$I$2:$I$3000,"Under construction",Permissions!$R$2:$R$3000,"Yes")</f>
        <v>0</v>
      </c>
      <c r="AK75" s="24" t="n">
        <f aca="false">SUMIFS(Permissions!$G$2:$G$3000,Permissions!$B$2:$B$3000,$A75,Permissions!$I$2:$I$3000,"Permitted – not started",Permissions!$R$2:$R$3000,"Yes")</f>
        <v>0</v>
      </c>
      <c r="AL75" s="24" t="n">
        <f aca="false">SUMIFS(Permissions!$G$2:$G$3000,Permissions!$B$2:$B$3000,$A75,Permissions!$I$2:$I$3000,"Stalled",Permissions!$R$2:$R$3000,"Yes")</f>
        <v>0</v>
      </c>
      <c r="AM75" s="24" t="n">
        <f aca="false">AI75+AJ75+AK75+AL75</f>
        <v>0</v>
      </c>
      <c r="AN75" s="24" t="n">
        <f aca="false">SUMIFS(Permissions!$G$2:$G$3000,Permissions!$B$2:$B$3000,$A75,Permissions!$I$2:$I$3000,"Expired – not started",Permissions!$R$2:$R$3000,"Yes")</f>
        <v>0</v>
      </c>
      <c r="AO75" s="24" t="n">
        <f aca="false">SUMIFS(Permissions!$G$2:$G$3000,Permissions!$B$2:$B$3000,$A75,Permissions!$I$2:$I$3000,"In planning",Permissions!$R$2:$R$3000,"Yes")</f>
        <v>0</v>
      </c>
      <c r="AP75" s="24" t="n">
        <f aca="false">IF(R75="",0,MAX(R75-AM75,0))</f>
        <v>10</v>
      </c>
      <c r="AQ75" s="25" t="n">
        <f aca="false">AM75+AP75</f>
        <v>10</v>
      </c>
      <c r="AR75" s="24" t="n">
        <f aca="false">SUMIFS(Permissions!$L$2:$L$3000,Permissions!$B$2:$B$3000,$A75,Permissions!$R$2:$R$3000,"Yes",Permissions!$I$2:$I$3000,"&lt;&gt;Expired – not started",Permissions!$I$2:$I$3000,"&lt;&gt;In planning")</f>
        <v>0</v>
      </c>
      <c r="AS75" s="24" t="n">
        <f aca="false">AQ75-AR75</f>
        <v>10</v>
      </c>
      <c r="AT75" s="26" t="n">
        <f aca="false">SUMIFS(Permissions!$AJ$2:$AJ$3000,Permissions!$B$2:$B$3000,$A75,Permissions!$R$2:$R$3000,"Yes")</f>
        <v>0</v>
      </c>
      <c r="AU75" s="26" t="n">
        <f aca="false">SUMIFS(Permissions!$AK$2:$AK$3000,Permissions!$B$2:$B$3000,$A75,Permissions!$R$2:$R$3000,"Yes")</f>
        <v>0</v>
      </c>
      <c r="AV75" s="26" t="n">
        <f aca="false">SUMIFS(Permissions!$AL$2:$AL$3000,Permissions!$B$2:$B$3000,$A75,Permissions!$R$2:$R$3000,"Yes")</f>
        <v>0</v>
      </c>
      <c r="AW75" s="26" t="n">
        <f aca="false">SUMIFS(Permissions!$AM$2:$AM$3000,Permissions!$B$2:$B$3000,$A75,Permissions!$R$2:$R$3000,"Yes")</f>
        <v>0</v>
      </c>
      <c r="AX75" s="26" t="n">
        <f aca="false">SUMIFS(Permissions!$AN$2:$AN$3000,Permissions!$B$2:$B$3000,$A75,Permissions!$R$2:$R$3000,"Yes")</f>
        <v>0</v>
      </c>
      <c r="AY75" s="26" t="n">
        <f aca="false">SUMIFS(Permissions!$AO$2:$AO$3000,Permissions!$B$2:$B$3000,$A75,Permissions!$R$2:$R$3000,"Yes")</f>
        <v>0</v>
      </c>
      <c r="AZ75" s="24" t="n">
        <f aca="false">COUNTIFS(Permissions!$B$2:$B$3000,$A75,Permissions!$R$2:$R$3000,"Yes")</f>
        <v>0</v>
      </c>
      <c r="BA75" s="24" t="n">
        <f aca="false">SUMIFS(Permissions!$M$2:$M$3000,Permissions!$B$2:$B$3000,$A75,Permissions!$R$2:$R$3000,"Yes")</f>
        <v>0</v>
      </c>
      <c r="BB75" s="24" t="n">
        <f aca="false">SUMIFS(Permissions!$O$2:$O$3000,Permissions!$B$2:$B$3000,$A75,Permissions!$R$2:$R$3000,"Yes")</f>
        <v>0</v>
      </c>
      <c r="BC75" s="27" t="str">
        <f aca="false">IF(AND(AM75&gt;0,AR75&gt;=AM75,AP75=0),"Finished",IF(AR75&gt;0,"Partly built",IF(AM75&gt;0,"Consented – not built","No consent")))</f>
        <v>No consent</v>
      </c>
      <c r="BD75" s="28" t="str">
        <f aca="false">IF(AND(R75&lt;&gt;"",AM75&gt;1.1*R75),"Consented above capacity",IF(AND(LEFT(B75,8)="Planning",AZ75=0),"Consent parcel with no permission",IF(COUNTIF($A$2:$A$3000,$A75)&gt;1,"Duplicate parcel_id","")))</f>
        <v/>
      </c>
    </row>
    <row r="76" customFormat="false" ht="15" hidden="false" customHeight="false" outlineLevel="0" collapsed="false">
      <c r="A76" s="15" t="s">
        <v>280</v>
      </c>
      <c r="B76" s="15" t="s">
        <v>10</v>
      </c>
      <c r="C76" s="15" t="s">
        <v>16</v>
      </c>
      <c r="D76" s="15" t="s">
        <v>55</v>
      </c>
      <c r="E76" s="15" t="s">
        <v>19</v>
      </c>
      <c r="F76" s="15" t="n">
        <v>1</v>
      </c>
      <c r="G76" s="15" t="s">
        <v>158</v>
      </c>
      <c r="H76" s="15" t="n">
        <v>141</v>
      </c>
      <c r="I76" s="15" t="s">
        <v>55</v>
      </c>
      <c r="J76" s="15" t="s">
        <v>159</v>
      </c>
      <c r="K76" s="15" t="s">
        <v>55</v>
      </c>
      <c r="L76" s="15" t="s">
        <v>176</v>
      </c>
      <c r="M76" s="15" t="s">
        <v>161</v>
      </c>
      <c r="N76" s="15" t="s">
        <v>184</v>
      </c>
      <c r="O76" s="15" t="s">
        <v>185</v>
      </c>
      <c r="P76" s="15" t="n">
        <v>0.516</v>
      </c>
      <c r="Q76" s="15" t="n">
        <v>0.517</v>
      </c>
      <c r="R76" s="15" t="n">
        <v>18</v>
      </c>
      <c r="S76" s="15" t="s">
        <v>164</v>
      </c>
      <c r="T76" s="15" t="n">
        <v>18</v>
      </c>
      <c r="U76" s="15"/>
      <c r="V76" s="15"/>
      <c r="W76" s="15"/>
      <c r="X76" s="15" t="s">
        <v>165</v>
      </c>
      <c r="Y76" s="15" t="n">
        <v>34</v>
      </c>
      <c r="Z76" s="15" t="s">
        <v>166</v>
      </c>
      <c r="AA76" s="15"/>
      <c r="AB76" s="15" t="n">
        <v>0</v>
      </c>
      <c r="AC76" s="15" t="n">
        <v>0</v>
      </c>
      <c r="AD76" s="15" t="s">
        <v>167</v>
      </c>
      <c r="AE76" s="15" t="s">
        <v>168</v>
      </c>
      <c r="AF76" s="15" t="s">
        <v>169</v>
      </c>
      <c r="AG76" s="15"/>
      <c r="AH76" s="24" t="n">
        <f aca="false">IF(R76="",AM76,R76)</f>
        <v>18</v>
      </c>
      <c r="AI76" s="24" t="n">
        <f aca="false">SUMIFS(Permissions!$G$2:$G$3000,Permissions!$B$2:$B$3000,$A76,Permissions!$I$2:$I$3000,"Complete",Permissions!$R$2:$R$3000,"Yes")</f>
        <v>0</v>
      </c>
      <c r="AJ76" s="24" t="n">
        <f aca="false">SUMIFS(Permissions!$G$2:$G$3000,Permissions!$B$2:$B$3000,$A76,Permissions!$I$2:$I$3000,"Under construction",Permissions!$R$2:$R$3000,"Yes")</f>
        <v>0</v>
      </c>
      <c r="AK76" s="24" t="n">
        <f aca="false">SUMIFS(Permissions!$G$2:$G$3000,Permissions!$B$2:$B$3000,$A76,Permissions!$I$2:$I$3000,"Permitted – not started",Permissions!$R$2:$R$3000,"Yes")</f>
        <v>0</v>
      </c>
      <c r="AL76" s="24" t="n">
        <f aca="false">SUMIFS(Permissions!$G$2:$G$3000,Permissions!$B$2:$B$3000,$A76,Permissions!$I$2:$I$3000,"Stalled",Permissions!$R$2:$R$3000,"Yes")</f>
        <v>0</v>
      </c>
      <c r="AM76" s="24" t="n">
        <f aca="false">AI76+AJ76+AK76+AL76</f>
        <v>0</v>
      </c>
      <c r="AN76" s="24" t="n">
        <f aca="false">SUMIFS(Permissions!$G$2:$G$3000,Permissions!$B$2:$B$3000,$A76,Permissions!$I$2:$I$3000,"Expired – not started",Permissions!$R$2:$R$3000,"Yes")</f>
        <v>0</v>
      </c>
      <c r="AO76" s="24" t="n">
        <f aca="false">SUMIFS(Permissions!$G$2:$G$3000,Permissions!$B$2:$B$3000,$A76,Permissions!$I$2:$I$3000,"In planning",Permissions!$R$2:$R$3000,"Yes")</f>
        <v>0</v>
      </c>
      <c r="AP76" s="24" t="n">
        <f aca="false">IF(R76="",0,MAX(R76-AM76,0))</f>
        <v>18</v>
      </c>
      <c r="AQ76" s="25" t="n">
        <f aca="false">AM76+AP76</f>
        <v>18</v>
      </c>
      <c r="AR76" s="24" t="n">
        <f aca="false">SUMIFS(Permissions!$L$2:$L$3000,Permissions!$B$2:$B$3000,$A76,Permissions!$R$2:$R$3000,"Yes",Permissions!$I$2:$I$3000,"&lt;&gt;Expired – not started",Permissions!$I$2:$I$3000,"&lt;&gt;In planning")</f>
        <v>0</v>
      </c>
      <c r="AS76" s="24" t="n">
        <f aca="false">AQ76-AR76</f>
        <v>18</v>
      </c>
      <c r="AT76" s="26" t="n">
        <f aca="false">SUMIFS(Permissions!$AJ$2:$AJ$3000,Permissions!$B$2:$B$3000,$A76,Permissions!$R$2:$R$3000,"Yes")</f>
        <v>0</v>
      </c>
      <c r="AU76" s="26" t="n">
        <f aca="false">SUMIFS(Permissions!$AK$2:$AK$3000,Permissions!$B$2:$B$3000,$A76,Permissions!$R$2:$R$3000,"Yes")</f>
        <v>0</v>
      </c>
      <c r="AV76" s="26" t="n">
        <f aca="false">SUMIFS(Permissions!$AL$2:$AL$3000,Permissions!$B$2:$B$3000,$A76,Permissions!$R$2:$R$3000,"Yes")</f>
        <v>0</v>
      </c>
      <c r="AW76" s="26" t="n">
        <f aca="false">SUMIFS(Permissions!$AM$2:$AM$3000,Permissions!$B$2:$B$3000,$A76,Permissions!$R$2:$R$3000,"Yes")</f>
        <v>0</v>
      </c>
      <c r="AX76" s="26" t="n">
        <f aca="false">SUMIFS(Permissions!$AN$2:$AN$3000,Permissions!$B$2:$B$3000,$A76,Permissions!$R$2:$R$3000,"Yes")</f>
        <v>0</v>
      </c>
      <c r="AY76" s="26" t="n">
        <f aca="false">SUMIFS(Permissions!$AO$2:$AO$3000,Permissions!$B$2:$B$3000,$A76,Permissions!$R$2:$R$3000,"Yes")</f>
        <v>0</v>
      </c>
      <c r="AZ76" s="24" t="n">
        <f aca="false">COUNTIFS(Permissions!$B$2:$B$3000,$A76,Permissions!$R$2:$R$3000,"Yes")</f>
        <v>0</v>
      </c>
      <c r="BA76" s="24" t="n">
        <f aca="false">SUMIFS(Permissions!$M$2:$M$3000,Permissions!$B$2:$B$3000,$A76,Permissions!$R$2:$R$3000,"Yes")</f>
        <v>0</v>
      </c>
      <c r="BB76" s="24" t="n">
        <f aca="false">SUMIFS(Permissions!$O$2:$O$3000,Permissions!$B$2:$B$3000,$A76,Permissions!$R$2:$R$3000,"Yes")</f>
        <v>0</v>
      </c>
      <c r="BC76" s="27" t="str">
        <f aca="false">IF(AND(AM76&gt;0,AR76&gt;=AM76,AP76=0),"Finished",IF(AR76&gt;0,"Partly built",IF(AM76&gt;0,"Consented – not built","No consent")))</f>
        <v>No consent</v>
      </c>
      <c r="BD76" s="28" t="str">
        <f aca="false">IF(AND(R76&lt;&gt;"",AM76&gt;1.1*R76),"Consented above capacity",IF(AND(LEFT(B76,8)="Planning",AZ76=0),"Consent parcel with no permission",IF(COUNTIF($A$2:$A$3000,$A76)&gt;1,"Duplicate parcel_id","")))</f>
        <v/>
      </c>
    </row>
    <row r="77" customFormat="false" ht="15" hidden="false" customHeight="false" outlineLevel="0" collapsed="false">
      <c r="A77" s="15" t="s">
        <v>281</v>
      </c>
      <c r="B77" s="15" t="s">
        <v>10</v>
      </c>
      <c r="C77" s="15" t="s">
        <v>16</v>
      </c>
      <c r="D77" s="15" t="s">
        <v>55</v>
      </c>
      <c r="E77" s="15" t="s">
        <v>19</v>
      </c>
      <c r="F77" s="15" t="n">
        <v>1</v>
      </c>
      <c r="G77" s="15" t="s">
        <v>158</v>
      </c>
      <c r="H77" s="15" t="n">
        <v>142</v>
      </c>
      <c r="I77" s="15" t="s">
        <v>55</v>
      </c>
      <c r="J77" s="15" t="s">
        <v>159</v>
      </c>
      <c r="K77" s="15" t="s">
        <v>55</v>
      </c>
      <c r="L77" s="15" t="s">
        <v>176</v>
      </c>
      <c r="M77" s="15" t="s">
        <v>161</v>
      </c>
      <c r="N77" s="15" t="s">
        <v>172</v>
      </c>
      <c r="O77" s="15" t="s">
        <v>185</v>
      </c>
      <c r="P77" s="15" t="n">
        <v>4.121</v>
      </c>
      <c r="Q77" s="15" t="n">
        <v>4.12</v>
      </c>
      <c r="R77" s="15" t="n">
        <v>144</v>
      </c>
      <c r="S77" s="15" t="s">
        <v>164</v>
      </c>
      <c r="T77" s="15" t="n">
        <v>140</v>
      </c>
      <c r="U77" s="15"/>
      <c r="V77" s="15"/>
      <c r="W77" s="15"/>
      <c r="X77" s="15" t="s">
        <v>165</v>
      </c>
      <c r="Y77" s="15" t="n">
        <v>34</v>
      </c>
      <c r="Z77" s="15" t="s">
        <v>166</v>
      </c>
      <c r="AA77" s="15"/>
      <c r="AB77" s="15" t="n">
        <v>0</v>
      </c>
      <c r="AC77" s="15" t="n">
        <v>0</v>
      </c>
      <c r="AD77" s="15" t="s">
        <v>167</v>
      </c>
      <c r="AE77" s="15" t="s">
        <v>168</v>
      </c>
      <c r="AF77" s="15" t="s">
        <v>169</v>
      </c>
      <c r="AG77" s="15"/>
      <c r="AH77" s="24" t="n">
        <f aca="false">IF(R77="",AM77,R77)</f>
        <v>144</v>
      </c>
      <c r="AI77" s="24" t="n">
        <f aca="false">SUMIFS(Permissions!$G$2:$G$3000,Permissions!$B$2:$B$3000,$A77,Permissions!$I$2:$I$3000,"Complete",Permissions!$R$2:$R$3000,"Yes")</f>
        <v>0</v>
      </c>
      <c r="AJ77" s="24" t="n">
        <f aca="false">SUMIFS(Permissions!$G$2:$G$3000,Permissions!$B$2:$B$3000,$A77,Permissions!$I$2:$I$3000,"Under construction",Permissions!$R$2:$R$3000,"Yes")</f>
        <v>0</v>
      </c>
      <c r="AK77" s="24" t="n">
        <f aca="false">SUMIFS(Permissions!$G$2:$G$3000,Permissions!$B$2:$B$3000,$A77,Permissions!$I$2:$I$3000,"Permitted – not started",Permissions!$R$2:$R$3000,"Yes")</f>
        <v>0</v>
      </c>
      <c r="AL77" s="24" t="n">
        <f aca="false">SUMIFS(Permissions!$G$2:$G$3000,Permissions!$B$2:$B$3000,$A77,Permissions!$I$2:$I$3000,"Stalled",Permissions!$R$2:$R$3000,"Yes")</f>
        <v>0</v>
      </c>
      <c r="AM77" s="24" t="n">
        <f aca="false">AI77+AJ77+AK77+AL77</f>
        <v>0</v>
      </c>
      <c r="AN77" s="24" t="n">
        <f aca="false">SUMIFS(Permissions!$G$2:$G$3000,Permissions!$B$2:$B$3000,$A77,Permissions!$I$2:$I$3000,"Expired – not started",Permissions!$R$2:$R$3000,"Yes")</f>
        <v>0</v>
      </c>
      <c r="AO77" s="24" t="n">
        <f aca="false">SUMIFS(Permissions!$G$2:$G$3000,Permissions!$B$2:$B$3000,$A77,Permissions!$I$2:$I$3000,"In planning",Permissions!$R$2:$R$3000,"Yes")</f>
        <v>0</v>
      </c>
      <c r="AP77" s="24" t="n">
        <f aca="false">IF(R77="",0,MAX(R77-AM77,0))</f>
        <v>144</v>
      </c>
      <c r="AQ77" s="25" t="n">
        <f aca="false">AM77+AP77</f>
        <v>144</v>
      </c>
      <c r="AR77" s="24" t="n">
        <f aca="false">SUMIFS(Permissions!$L$2:$L$3000,Permissions!$B$2:$B$3000,$A77,Permissions!$R$2:$R$3000,"Yes",Permissions!$I$2:$I$3000,"&lt;&gt;Expired – not started",Permissions!$I$2:$I$3000,"&lt;&gt;In planning")</f>
        <v>0</v>
      </c>
      <c r="AS77" s="24" t="n">
        <f aca="false">AQ77-AR77</f>
        <v>144</v>
      </c>
      <c r="AT77" s="26" t="n">
        <f aca="false">SUMIFS(Permissions!$AJ$2:$AJ$3000,Permissions!$B$2:$B$3000,$A77,Permissions!$R$2:$R$3000,"Yes")</f>
        <v>0</v>
      </c>
      <c r="AU77" s="26" t="n">
        <f aca="false">SUMIFS(Permissions!$AK$2:$AK$3000,Permissions!$B$2:$B$3000,$A77,Permissions!$R$2:$R$3000,"Yes")</f>
        <v>0</v>
      </c>
      <c r="AV77" s="26" t="n">
        <f aca="false">SUMIFS(Permissions!$AL$2:$AL$3000,Permissions!$B$2:$B$3000,$A77,Permissions!$R$2:$R$3000,"Yes")</f>
        <v>0</v>
      </c>
      <c r="AW77" s="26" t="n">
        <f aca="false">SUMIFS(Permissions!$AM$2:$AM$3000,Permissions!$B$2:$B$3000,$A77,Permissions!$R$2:$R$3000,"Yes")</f>
        <v>0</v>
      </c>
      <c r="AX77" s="26" t="n">
        <f aca="false">SUMIFS(Permissions!$AN$2:$AN$3000,Permissions!$B$2:$B$3000,$A77,Permissions!$R$2:$R$3000,"Yes")</f>
        <v>0</v>
      </c>
      <c r="AY77" s="26" t="n">
        <f aca="false">SUMIFS(Permissions!$AO$2:$AO$3000,Permissions!$B$2:$B$3000,$A77,Permissions!$R$2:$R$3000,"Yes")</f>
        <v>0</v>
      </c>
      <c r="AZ77" s="24" t="n">
        <f aca="false">COUNTIFS(Permissions!$B$2:$B$3000,$A77,Permissions!$R$2:$R$3000,"Yes")</f>
        <v>0</v>
      </c>
      <c r="BA77" s="24" t="n">
        <f aca="false">SUMIFS(Permissions!$M$2:$M$3000,Permissions!$B$2:$B$3000,$A77,Permissions!$R$2:$R$3000,"Yes")</f>
        <v>0</v>
      </c>
      <c r="BB77" s="24" t="n">
        <f aca="false">SUMIFS(Permissions!$O$2:$O$3000,Permissions!$B$2:$B$3000,$A77,Permissions!$R$2:$R$3000,"Yes")</f>
        <v>0</v>
      </c>
      <c r="BC77" s="27" t="str">
        <f aca="false">IF(AND(AM77&gt;0,AR77&gt;=AM77,AP77=0),"Finished",IF(AR77&gt;0,"Partly built",IF(AM77&gt;0,"Consented – not built","No consent")))</f>
        <v>No consent</v>
      </c>
      <c r="BD77" s="28" t="str">
        <f aca="false">IF(AND(R77&lt;&gt;"",AM77&gt;1.1*R77),"Consented above capacity",IF(AND(LEFT(B77,8)="Planning",AZ77=0),"Consent parcel with no permission",IF(COUNTIF($A$2:$A$3000,$A77)&gt;1,"Duplicate parcel_id","")))</f>
        <v/>
      </c>
    </row>
    <row r="78" customFormat="false" ht="15" hidden="false" customHeight="false" outlineLevel="0" collapsed="false">
      <c r="A78" s="15" t="s">
        <v>282</v>
      </c>
      <c r="B78" s="15" t="s">
        <v>10</v>
      </c>
      <c r="C78" s="15" t="s">
        <v>16</v>
      </c>
      <c r="D78" s="15" t="s">
        <v>55</v>
      </c>
      <c r="E78" s="15" t="s">
        <v>19</v>
      </c>
      <c r="F78" s="15" t="n">
        <v>1</v>
      </c>
      <c r="G78" s="15" t="s">
        <v>158</v>
      </c>
      <c r="H78" s="15" t="n">
        <v>143</v>
      </c>
      <c r="I78" s="15" t="s">
        <v>55</v>
      </c>
      <c r="J78" s="15" t="s">
        <v>159</v>
      </c>
      <c r="K78" s="15" t="s">
        <v>55</v>
      </c>
      <c r="L78" s="15" t="s">
        <v>176</v>
      </c>
      <c r="M78" s="15" t="s">
        <v>161</v>
      </c>
      <c r="N78" s="15" t="s">
        <v>172</v>
      </c>
      <c r="O78" s="15" t="s">
        <v>185</v>
      </c>
      <c r="P78" s="15" t="n">
        <v>4.38</v>
      </c>
      <c r="Q78" s="15" t="n">
        <v>4.441</v>
      </c>
      <c r="R78" s="15" t="n">
        <v>153</v>
      </c>
      <c r="S78" s="15" t="s">
        <v>164</v>
      </c>
      <c r="T78" s="15" t="n">
        <v>149</v>
      </c>
      <c r="U78" s="15"/>
      <c r="V78" s="15"/>
      <c r="W78" s="15"/>
      <c r="X78" s="15" t="s">
        <v>165</v>
      </c>
      <c r="Y78" s="15" t="n">
        <v>34</v>
      </c>
      <c r="Z78" s="15" t="s">
        <v>166</v>
      </c>
      <c r="AA78" s="15"/>
      <c r="AB78" s="15" t="n">
        <v>0</v>
      </c>
      <c r="AC78" s="15" t="n">
        <v>0</v>
      </c>
      <c r="AD78" s="15" t="s">
        <v>186</v>
      </c>
      <c r="AE78" s="15" t="s">
        <v>168</v>
      </c>
      <c r="AF78" s="15" t="s">
        <v>169</v>
      </c>
      <c r="AG78" s="15"/>
      <c r="AH78" s="24" t="n">
        <f aca="false">IF(R78="",AM78,R78)</f>
        <v>153</v>
      </c>
      <c r="AI78" s="24" t="n">
        <f aca="false">SUMIFS(Permissions!$G$2:$G$3000,Permissions!$B$2:$B$3000,$A78,Permissions!$I$2:$I$3000,"Complete",Permissions!$R$2:$R$3000,"Yes")</f>
        <v>0</v>
      </c>
      <c r="AJ78" s="24" t="n">
        <f aca="false">SUMIFS(Permissions!$G$2:$G$3000,Permissions!$B$2:$B$3000,$A78,Permissions!$I$2:$I$3000,"Under construction",Permissions!$R$2:$R$3000,"Yes")</f>
        <v>0</v>
      </c>
      <c r="AK78" s="24" t="n">
        <f aca="false">SUMIFS(Permissions!$G$2:$G$3000,Permissions!$B$2:$B$3000,$A78,Permissions!$I$2:$I$3000,"Permitted – not started",Permissions!$R$2:$R$3000,"Yes")</f>
        <v>139</v>
      </c>
      <c r="AL78" s="24" t="n">
        <f aca="false">SUMIFS(Permissions!$G$2:$G$3000,Permissions!$B$2:$B$3000,$A78,Permissions!$I$2:$I$3000,"Stalled",Permissions!$R$2:$R$3000,"Yes")</f>
        <v>0</v>
      </c>
      <c r="AM78" s="24" t="n">
        <f aca="false">AI78+AJ78+AK78+AL78</f>
        <v>139</v>
      </c>
      <c r="AN78" s="24" t="n">
        <f aca="false">SUMIFS(Permissions!$G$2:$G$3000,Permissions!$B$2:$B$3000,$A78,Permissions!$I$2:$I$3000,"Expired – not started",Permissions!$R$2:$R$3000,"Yes")</f>
        <v>0</v>
      </c>
      <c r="AO78" s="24" t="n">
        <f aca="false">SUMIFS(Permissions!$G$2:$G$3000,Permissions!$B$2:$B$3000,$A78,Permissions!$I$2:$I$3000,"In planning",Permissions!$R$2:$R$3000,"Yes")</f>
        <v>0</v>
      </c>
      <c r="AP78" s="24" t="n">
        <f aca="false">IF(R78="",0,MAX(R78-AM78,0))</f>
        <v>14</v>
      </c>
      <c r="AQ78" s="25" t="n">
        <f aca="false">AM78+AP78</f>
        <v>153</v>
      </c>
      <c r="AR78" s="24" t="n">
        <f aca="false">SUMIFS(Permissions!$L$2:$L$3000,Permissions!$B$2:$B$3000,$A78,Permissions!$R$2:$R$3000,"Yes",Permissions!$I$2:$I$3000,"&lt;&gt;Expired – not started",Permissions!$I$2:$I$3000,"&lt;&gt;In planning")</f>
        <v>0</v>
      </c>
      <c r="AS78" s="24" t="n">
        <f aca="false">AQ78-AR78</f>
        <v>153</v>
      </c>
      <c r="AT78" s="26" t="n">
        <f aca="false">SUMIFS(Permissions!$AJ$2:$AJ$3000,Permissions!$B$2:$B$3000,$A78,Permissions!$R$2:$R$3000,"Yes")</f>
        <v>0</v>
      </c>
      <c r="AU78" s="26" t="n">
        <f aca="false">SUMIFS(Permissions!$AK$2:$AK$3000,Permissions!$B$2:$B$3000,$A78,Permissions!$R$2:$R$3000,"Yes")</f>
        <v>0</v>
      </c>
      <c r="AV78" s="26" t="n">
        <f aca="false">SUMIFS(Permissions!$AL$2:$AL$3000,Permissions!$B$2:$B$3000,$A78,Permissions!$R$2:$R$3000,"Yes")</f>
        <v>43.2</v>
      </c>
      <c r="AW78" s="26" t="n">
        <f aca="false">SUMIFS(Permissions!$AM$2:$AM$3000,Permissions!$B$2:$B$3000,$A78,Permissions!$R$2:$R$3000,"Yes")</f>
        <v>78.7</v>
      </c>
      <c r="AX78" s="26" t="n">
        <f aca="false">SUMIFS(Permissions!$AN$2:$AN$3000,Permissions!$B$2:$B$3000,$A78,Permissions!$R$2:$R$3000,"Yes")</f>
        <v>17</v>
      </c>
      <c r="AY78" s="26" t="n">
        <f aca="false">SUMIFS(Permissions!$AO$2:$AO$3000,Permissions!$B$2:$B$3000,$A78,Permissions!$R$2:$R$3000,"Yes")</f>
        <v>0.1</v>
      </c>
      <c r="AZ78" s="24" t="n">
        <f aca="false">COUNTIFS(Permissions!$B$2:$B$3000,$A78,Permissions!$R$2:$R$3000,"Yes")</f>
        <v>1</v>
      </c>
      <c r="BA78" s="24" t="n">
        <f aca="false">SUMIFS(Permissions!$M$2:$M$3000,Permissions!$B$2:$B$3000,$A78,Permissions!$R$2:$R$3000,"Yes")</f>
        <v>0</v>
      </c>
      <c r="BB78" s="24" t="n">
        <f aca="false">SUMIFS(Permissions!$O$2:$O$3000,Permissions!$B$2:$B$3000,$A78,Permissions!$R$2:$R$3000,"Yes")</f>
        <v>0</v>
      </c>
      <c r="BC78" s="27" t="str">
        <f aca="false">IF(AND(AM78&gt;0,AR78&gt;=AM78,AP78=0),"Finished",IF(AR78&gt;0,"Partly built",IF(AM78&gt;0,"Consented – not built","No consent")))</f>
        <v>Consented – not built</v>
      </c>
      <c r="BD78" s="28" t="str">
        <f aca="false">IF(AND(R78&lt;&gt;"",AM78&gt;1.1*R78),"Consented above capacity",IF(AND(LEFT(B78,8)="Planning",AZ78=0),"Consent parcel with no permission",IF(COUNTIF($A$2:$A$3000,$A78)&gt;1,"Duplicate parcel_id","")))</f>
        <v/>
      </c>
    </row>
    <row r="79" customFormat="false" ht="15" hidden="false" customHeight="false" outlineLevel="0" collapsed="false">
      <c r="A79" s="15" t="s">
        <v>283</v>
      </c>
      <c r="B79" s="15" t="s">
        <v>10</v>
      </c>
      <c r="C79" s="15" t="s">
        <v>16</v>
      </c>
      <c r="D79" s="15" t="s">
        <v>55</v>
      </c>
      <c r="E79" s="15" t="s">
        <v>19</v>
      </c>
      <c r="F79" s="15" t="n">
        <v>1</v>
      </c>
      <c r="G79" s="15" t="s">
        <v>158</v>
      </c>
      <c r="H79" s="15" t="n">
        <v>144</v>
      </c>
      <c r="I79" s="15" t="s">
        <v>55</v>
      </c>
      <c r="J79" s="15" t="s">
        <v>159</v>
      </c>
      <c r="K79" s="15" t="s">
        <v>55</v>
      </c>
      <c r="L79" s="15" t="s">
        <v>160</v>
      </c>
      <c r="M79" s="15" t="s">
        <v>161</v>
      </c>
      <c r="N79" s="15" t="s">
        <v>184</v>
      </c>
      <c r="O79" s="15" t="s">
        <v>185</v>
      </c>
      <c r="P79" s="15" t="n">
        <v>31.95</v>
      </c>
      <c r="Q79" s="15" t="n">
        <v>32.358</v>
      </c>
      <c r="R79" s="15" t="n">
        <v>1747</v>
      </c>
      <c r="S79" s="15" t="s">
        <v>164</v>
      </c>
      <c r="T79" s="15" t="n">
        <v>1086</v>
      </c>
      <c r="U79" s="15"/>
      <c r="V79" s="15"/>
      <c r="W79" s="15"/>
      <c r="X79" s="15" t="s">
        <v>165</v>
      </c>
      <c r="Y79" s="15" t="n">
        <v>34</v>
      </c>
      <c r="Z79" s="15" t="s">
        <v>166</v>
      </c>
      <c r="AA79" s="15"/>
      <c r="AB79" s="15" t="n">
        <v>0</v>
      </c>
      <c r="AC79" s="15" t="n">
        <v>0</v>
      </c>
      <c r="AD79" s="15" t="s">
        <v>167</v>
      </c>
      <c r="AE79" s="15" t="s">
        <v>168</v>
      </c>
      <c r="AF79" s="15" t="s">
        <v>169</v>
      </c>
      <c r="AG79" s="15"/>
      <c r="AH79" s="24" t="n">
        <f aca="false">IF(R79="",AM79,R79)</f>
        <v>1747</v>
      </c>
      <c r="AI79" s="24" t="n">
        <f aca="false">SUMIFS(Permissions!$G$2:$G$3000,Permissions!$B$2:$B$3000,$A79,Permissions!$I$2:$I$3000,"Complete",Permissions!$R$2:$R$3000,"Yes")</f>
        <v>0</v>
      </c>
      <c r="AJ79" s="24" t="n">
        <f aca="false">SUMIFS(Permissions!$G$2:$G$3000,Permissions!$B$2:$B$3000,$A79,Permissions!$I$2:$I$3000,"Under construction",Permissions!$R$2:$R$3000,"Yes")</f>
        <v>0</v>
      </c>
      <c r="AK79" s="24" t="n">
        <f aca="false">SUMIFS(Permissions!$G$2:$G$3000,Permissions!$B$2:$B$3000,$A79,Permissions!$I$2:$I$3000,"Permitted – not started",Permissions!$R$2:$R$3000,"Yes")</f>
        <v>351</v>
      </c>
      <c r="AL79" s="24" t="n">
        <f aca="false">SUMIFS(Permissions!$G$2:$G$3000,Permissions!$B$2:$B$3000,$A79,Permissions!$I$2:$I$3000,"Stalled",Permissions!$R$2:$R$3000,"Yes")</f>
        <v>0</v>
      </c>
      <c r="AM79" s="24" t="n">
        <f aca="false">AI79+AJ79+AK79+AL79</f>
        <v>351</v>
      </c>
      <c r="AN79" s="24" t="n">
        <f aca="false">SUMIFS(Permissions!$G$2:$G$3000,Permissions!$B$2:$B$3000,$A79,Permissions!$I$2:$I$3000,"Expired – not started",Permissions!$R$2:$R$3000,"Yes")</f>
        <v>0</v>
      </c>
      <c r="AO79" s="24" t="n">
        <f aca="false">SUMIFS(Permissions!$G$2:$G$3000,Permissions!$B$2:$B$3000,$A79,Permissions!$I$2:$I$3000,"In planning",Permissions!$R$2:$R$3000,"Yes")</f>
        <v>0</v>
      </c>
      <c r="AP79" s="24" t="n">
        <f aca="false">IF(R79="",0,MAX(R79-AM79,0))</f>
        <v>1396</v>
      </c>
      <c r="AQ79" s="25" t="n">
        <f aca="false">AM79+AP79</f>
        <v>1747</v>
      </c>
      <c r="AR79" s="24" t="n">
        <f aca="false">SUMIFS(Permissions!$L$2:$L$3000,Permissions!$B$2:$B$3000,$A79,Permissions!$R$2:$R$3000,"Yes",Permissions!$I$2:$I$3000,"&lt;&gt;Expired – not started",Permissions!$I$2:$I$3000,"&lt;&gt;In planning")</f>
        <v>0</v>
      </c>
      <c r="AS79" s="24" t="n">
        <f aca="false">AQ79-AR79</f>
        <v>1747</v>
      </c>
      <c r="AT79" s="26" t="n">
        <f aca="false">SUMIFS(Permissions!$AJ$2:$AJ$3000,Permissions!$B$2:$B$3000,$A79,Permissions!$R$2:$R$3000,"Yes")</f>
        <v>0</v>
      </c>
      <c r="AU79" s="26" t="n">
        <f aca="false">SUMIFS(Permissions!$AK$2:$AK$3000,Permissions!$B$2:$B$3000,$A79,Permissions!$R$2:$R$3000,"Yes")</f>
        <v>0</v>
      </c>
      <c r="AV79" s="26" t="n">
        <f aca="false">SUMIFS(Permissions!$AL$2:$AL$3000,Permissions!$B$2:$B$3000,$A79,Permissions!$R$2:$R$3000,"Yes")</f>
        <v>0</v>
      </c>
      <c r="AW79" s="26" t="n">
        <f aca="false">SUMIFS(Permissions!$AM$2:$AM$3000,Permissions!$B$2:$B$3000,$A79,Permissions!$R$2:$R$3000,"Yes")</f>
        <v>90.1</v>
      </c>
      <c r="AX79" s="26" t="n">
        <f aca="false">SUMIFS(Permissions!$AN$2:$AN$3000,Permissions!$B$2:$B$3000,$A79,Permissions!$R$2:$R$3000,"Yes")</f>
        <v>140.9</v>
      </c>
      <c r="AY79" s="26" t="n">
        <f aca="false">SUMIFS(Permissions!$AO$2:$AO$3000,Permissions!$B$2:$B$3000,$A79,Permissions!$R$2:$R$3000,"Yes")</f>
        <v>120</v>
      </c>
      <c r="AZ79" s="24" t="n">
        <f aca="false">COUNTIFS(Permissions!$B$2:$B$3000,$A79,Permissions!$R$2:$R$3000,"Yes")</f>
        <v>2</v>
      </c>
      <c r="BA79" s="24" t="n">
        <f aca="false">SUMIFS(Permissions!$M$2:$M$3000,Permissions!$B$2:$B$3000,$A79,Permissions!$R$2:$R$3000,"Yes")</f>
        <v>0</v>
      </c>
      <c r="BB79" s="24" t="n">
        <f aca="false">SUMIFS(Permissions!$O$2:$O$3000,Permissions!$B$2:$B$3000,$A79,Permissions!$R$2:$R$3000,"Yes")</f>
        <v>0</v>
      </c>
      <c r="BC79" s="27" t="str">
        <f aca="false">IF(AND(AM79&gt;0,AR79&gt;=AM79,AP79=0),"Finished",IF(AR79&gt;0,"Partly built",IF(AM79&gt;0,"Consented – not built","No consent")))</f>
        <v>Consented – not built</v>
      </c>
      <c r="BD79" s="28" t="str">
        <f aca="false">IF(AND(R79&lt;&gt;"",AM79&gt;1.1*R79),"Consented above capacity",IF(AND(LEFT(B79,8)="Planning",AZ79=0),"Consent parcel with no permission",IF(COUNTIF($A$2:$A$3000,$A79)&gt;1,"Duplicate parcel_id","")))</f>
        <v/>
      </c>
    </row>
    <row r="80" customFormat="false" ht="15" hidden="false" customHeight="false" outlineLevel="0" collapsed="false">
      <c r="A80" s="15" t="s">
        <v>284</v>
      </c>
      <c r="B80" s="15" t="s">
        <v>10</v>
      </c>
      <c r="C80" s="15" t="s">
        <v>16</v>
      </c>
      <c r="D80" s="15" t="s">
        <v>55</v>
      </c>
      <c r="E80" s="15" t="s">
        <v>19</v>
      </c>
      <c r="F80" s="15" t="n">
        <v>1</v>
      </c>
      <c r="G80" s="15" t="s">
        <v>158</v>
      </c>
      <c r="H80" s="15" t="n">
        <v>145</v>
      </c>
      <c r="I80" s="15" t="s">
        <v>55</v>
      </c>
      <c r="J80" s="15" t="s">
        <v>159</v>
      </c>
      <c r="K80" s="15" t="s">
        <v>55</v>
      </c>
      <c r="L80" s="15" t="s">
        <v>160</v>
      </c>
      <c r="M80" s="15" t="s">
        <v>161</v>
      </c>
      <c r="N80" s="15" t="s">
        <v>184</v>
      </c>
      <c r="O80" s="15" t="s">
        <v>185</v>
      </c>
      <c r="P80" s="15" t="n">
        <v>1.326</v>
      </c>
      <c r="Q80" s="15" t="n">
        <v>1.326</v>
      </c>
      <c r="R80" s="15" t="n">
        <v>46</v>
      </c>
      <c r="S80" s="15" t="s">
        <v>164</v>
      </c>
      <c r="T80" s="15" t="n">
        <v>45</v>
      </c>
      <c r="U80" s="15"/>
      <c r="V80" s="15"/>
      <c r="W80" s="15"/>
      <c r="X80" s="15" t="s">
        <v>165</v>
      </c>
      <c r="Y80" s="15" t="n">
        <v>34</v>
      </c>
      <c r="Z80" s="15" t="s">
        <v>166</v>
      </c>
      <c r="AA80" s="15"/>
      <c r="AB80" s="15" t="n">
        <v>0</v>
      </c>
      <c r="AC80" s="15" t="n">
        <v>0</v>
      </c>
      <c r="AD80" s="15" t="s">
        <v>167</v>
      </c>
      <c r="AE80" s="15" t="s">
        <v>168</v>
      </c>
      <c r="AF80" s="15" t="s">
        <v>169</v>
      </c>
      <c r="AG80" s="15"/>
      <c r="AH80" s="24" t="n">
        <f aca="false">IF(R80="",AM80,R80)</f>
        <v>46</v>
      </c>
      <c r="AI80" s="24" t="n">
        <f aca="false">SUMIFS(Permissions!$G$2:$G$3000,Permissions!$B$2:$B$3000,$A80,Permissions!$I$2:$I$3000,"Complete",Permissions!$R$2:$R$3000,"Yes")</f>
        <v>0</v>
      </c>
      <c r="AJ80" s="24" t="n">
        <f aca="false">SUMIFS(Permissions!$G$2:$G$3000,Permissions!$B$2:$B$3000,$A80,Permissions!$I$2:$I$3000,"Under construction",Permissions!$R$2:$R$3000,"Yes")</f>
        <v>0</v>
      </c>
      <c r="AK80" s="24" t="n">
        <f aca="false">SUMIFS(Permissions!$G$2:$G$3000,Permissions!$B$2:$B$3000,$A80,Permissions!$I$2:$I$3000,"Permitted – not started",Permissions!$R$2:$R$3000,"Yes")</f>
        <v>0</v>
      </c>
      <c r="AL80" s="24" t="n">
        <f aca="false">SUMIFS(Permissions!$G$2:$G$3000,Permissions!$B$2:$B$3000,$A80,Permissions!$I$2:$I$3000,"Stalled",Permissions!$R$2:$R$3000,"Yes")</f>
        <v>0</v>
      </c>
      <c r="AM80" s="24" t="n">
        <f aca="false">AI80+AJ80+AK80+AL80</f>
        <v>0</v>
      </c>
      <c r="AN80" s="24" t="n">
        <f aca="false">SUMIFS(Permissions!$G$2:$G$3000,Permissions!$B$2:$B$3000,$A80,Permissions!$I$2:$I$3000,"Expired – not started",Permissions!$R$2:$R$3000,"Yes")</f>
        <v>0</v>
      </c>
      <c r="AO80" s="24" t="n">
        <f aca="false">SUMIFS(Permissions!$G$2:$G$3000,Permissions!$B$2:$B$3000,$A80,Permissions!$I$2:$I$3000,"In planning",Permissions!$R$2:$R$3000,"Yes")</f>
        <v>0</v>
      </c>
      <c r="AP80" s="24" t="n">
        <f aca="false">IF(R80="",0,MAX(R80-AM80,0))</f>
        <v>46</v>
      </c>
      <c r="AQ80" s="25" t="n">
        <f aca="false">AM80+AP80</f>
        <v>46</v>
      </c>
      <c r="AR80" s="24" t="n">
        <f aca="false">SUMIFS(Permissions!$L$2:$L$3000,Permissions!$B$2:$B$3000,$A80,Permissions!$R$2:$R$3000,"Yes",Permissions!$I$2:$I$3000,"&lt;&gt;Expired – not started",Permissions!$I$2:$I$3000,"&lt;&gt;In planning")</f>
        <v>0</v>
      </c>
      <c r="AS80" s="24" t="n">
        <f aca="false">AQ80-AR80</f>
        <v>46</v>
      </c>
      <c r="AT80" s="26" t="n">
        <f aca="false">SUMIFS(Permissions!$AJ$2:$AJ$3000,Permissions!$B$2:$B$3000,$A80,Permissions!$R$2:$R$3000,"Yes")</f>
        <v>0</v>
      </c>
      <c r="AU80" s="26" t="n">
        <f aca="false">SUMIFS(Permissions!$AK$2:$AK$3000,Permissions!$B$2:$B$3000,$A80,Permissions!$R$2:$R$3000,"Yes")</f>
        <v>0</v>
      </c>
      <c r="AV80" s="26" t="n">
        <f aca="false">SUMIFS(Permissions!$AL$2:$AL$3000,Permissions!$B$2:$B$3000,$A80,Permissions!$R$2:$R$3000,"Yes")</f>
        <v>0</v>
      </c>
      <c r="AW80" s="26" t="n">
        <f aca="false">SUMIFS(Permissions!$AM$2:$AM$3000,Permissions!$B$2:$B$3000,$A80,Permissions!$R$2:$R$3000,"Yes")</f>
        <v>0</v>
      </c>
      <c r="AX80" s="26" t="n">
        <f aca="false">SUMIFS(Permissions!$AN$2:$AN$3000,Permissions!$B$2:$B$3000,$A80,Permissions!$R$2:$R$3000,"Yes")</f>
        <v>0</v>
      </c>
      <c r="AY80" s="26" t="n">
        <f aca="false">SUMIFS(Permissions!$AO$2:$AO$3000,Permissions!$B$2:$B$3000,$A80,Permissions!$R$2:$R$3000,"Yes")</f>
        <v>0</v>
      </c>
      <c r="AZ80" s="24" t="n">
        <f aca="false">COUNTIFS(Permissions!$B$2:$B$3000,$A80,Permissions!$R$2:$R$3000,"Yes")</f>
        <v>0</v>
      </c>
      <c r="BA80" s="24" t="n">
        <f aca="false">SUMIFS(Permissions!$M$2:$M$3000,Permissions!$B$2:$B$3000,$A80,Permissions!$R$2:$R$3000,"Yes")</f>
        <v>0</v>
      </c>
      <c r="BB80" s="24" t="n">
        <f aca="false">SUMIFS(Permissions!$O$2:$O$3000,Permissions!$B$2:$B$3000,$A80,Permissions!$R$2:$R$3000,"Yes")</f>
        <v>0</v>
      </c>
      <c r="BC80" s="27" t="str">
        <f aca="false">IF(AND(AM80&gt;0,AR80&gt;=AM80,AP80=0),"Finished",IF(AR80&gt;0,"Partly built",IF(AM80&gt;0,"Consented – not built","No consent")))</f>
        <v>No consent</v>
      </c>
      <c r="BD80" s="28" t="str">
        <f aca="false">IF(AND(R80&lt;&gt;"",AM80&gt;1.1*R80),"Consented above capacity",IF(AND(LEFT(B80,8)="Planning",AZ80=0),"Consent parcel with no permission",IF(COUNTIF($A$2:$A$3000,$A80)&gt;1,"Duplicate parcel_id","")))</f>
        <v/>
      </c>
    </row>
    <row r="81" customFormat="false" ht="15" hidden="false" customHeight="false" outlineLevel="0" collapsed="false">
      <c r="A81" s="15" t="s">
        <v>285</v>
      </c>
      <c r="B81" s="15" t="s">
        <v>10</v>
      </c>
      <c r="C81" s="15" t="s">
        <v>16</v>
      </c>
      <c r="D81" s="15" t="s">
        <v>55</v>
      </c>
      <c r="E81" s="15" t="s">
        <v>19</v>
      </c>
      <c r="F81" s="15" t="n">
        <v>1</v>
      </c>
      <c r="G81" s="15" t="s">
        <v>158</v>
      </c>
      <c r="H81" s="15" t="n">
        <v>146</v>
      </c>
      <c r="I81" s="15" t="s">
        <v>55</v>
      </c>
      <c r="J81" s="15" t="s">
        <v>159</v>
      </c>
      <c r="K81" s="15" t="s">
        <v>55</v>
      </c>
      <c r="L81" s="15" t="s">
        <v>160</v>
      </c>
      <c r="M81" s="15" t="s">
        <v>161</v>
      </c>
      <c r="N81" s="15" t="s">
        <v>184</v>
      </c>
      <c r="O81" s="15" t="s">
        <v>185</v>
      </c>
      <c r="P81" s="15" t="n">
        <v>0.632</v>
      </c>
      <c r="Q81" s="15" t="n">
        <v>0.632</v>
      </c>
      <c r="R81" s="15" t="n">
        <v>22</v>
      </c>
      <c r="S81" s="15" t="s">
        <v>164</v>
      </c>
      <c r="T81" s="15" t="n">
        <v>21</v>
      </c>
      <c r="U81" s="15"/>
      <c r="V81" s="15"/>
      <c r="W81" s="15"/>
      <c r="X81" s="15" t="s">
        <v>165</v>
      </c>
      <c r="Y81" s="15" t="n">
        <v>34</v>
      </c>
      <c r="Z81" s="15" t="s">
        <v>166</v>
      </c>
      <c r="AA81" s="15"/>
      <c r="AB81" s="15" t="n">
        <v>0</v>
      </c>
      <c r="AC81" s="15" t="n">
        <v>0</v>
      </c>
      <c r="AD81" s="15" t="s">
        <v>167</v>
      </c>
      <c r="AE81" s="15" t="s">
        <v>168</v>
      </c>
      <c r="AF81" s="15" t="s">
        <v>169</v>
      </c>
      <c r="AG81" s="15"/>
      <c r="AH81" s="24" t="n">
        <f aca="false">IF(R81="",AM81,R81)</f>
        <v>22</v>
      </c>
      <c r="AI81" s="24" t="n">
        <f aca="false">SUMIFS(Permissions!$G$2:$G$3000,Permissions!$B$2:$B$3000,$A81,Permissions!$I$2:$I$3000,"Complete",Permissions!$R$2:$R$3000,"Yes")</f>
        <v>0</v>
      </c>
      <c r="AJ81" s="24" t="n">
        <f aca="false">SUMIFS(Permissions!$G$2:$G$3000,Permissions!$B$2:$B$3000,$A81,Permissions!$I$2:$I$3000,"Under construction",Permissions!$R$2:$R$3000,"Yes")</f>
        <v>0</v>
      </c>
      <c r="AK81" s="24" t="n">
        <f aca="false">SUMIFS(Permissions!$G$2:$G$3000,Permissions!$B$2:$B$3000,$A81,Permissions!$I$2:$I$3000,"Permitted – not started",Permissions!$R$2:$R$3000,"Yes")</f>
        <v>0</v>
      </c>
      <c r="AL81" s="24" t="n">
        <f aca="false">SUMIFS(Permissions!$G$2:$G$3000,Permissions!$B$2:$B$3000,$A81,Permissions!$I$2:$I$3000,"Stalled",Permissions!$R$2:$R$3000,"Yes")</f>
        <v>0</v>
      </c>
      <c r="AM81" s="24" t="n">
        <f aca="false">AI81+AJ81+AK81+AL81</f>
        <v>0</v>
      </c>
      <c r="AN81" s="24" t="n">
        <f aca="false">SUMIFS(Permissions!$G$2:$G$3000,Permissions!$B$2:$B$3000,$A81,Permissions!$I$2:$I$3000,"Expired – not started",Permissions!$R$2:$R$3000,"Yes")</f>
        <v>0</v>
      </c>
      <c r="AO81" s="24" t="n">
        <f aca="false">SUMIFS(Permissions!$G$2:$G$3000,Permissions!$B$2:$B$3000,$A81,Permissions!$I$2:$I$3000,"In planning",Permissions!$R$2:$R$3000,"Yes")</f>
        <v>0</v>
      </c>
      <c r="AP81" s="24" t="n">
        <f aca="false">IF(R81="",0,MAX(R81-AM81,0))</f>
        <v>22</v>
      </c>
      <c r="AQ81" s="25" t="n">
        <f aca="false">AM81+AP81</f>
        <v>22</v>
      </c>
      <c r="AR81" s="24" t="n">
        <f aca="false">SUMIFS(Permissions!$L$2:$L$3000,Permissions!$B$2:$B$3000,$A81,Permissions!$R$2:$R$3000,"Yes",Permissions!$I$2:$I$3000,"&lt;&gt;Expired – not started",Permissions!$I$2:$I$3000,"&lt;&gt;In planning")</f>
        <v>0</v>
      </c>
      <c r="AS81" s="24" t="n">
        <f aca="false">AQ81-AR81</f>
        <v>22</v>
      </c>
      <c r="AT81" s="26" t="n">
        <f aca="false">SUMIFS(Permissions!$AJ$2:$AJ$3000,Permissions!$B$2:$B$3000,$A81,Permissions!$R$2:$R$3000,"Yes")</f>
        <v>0</v>
      </c>
      <c r="AU81" s="26" t="n">
        <f aca="false">SUMIFS(Permissions!$AK$2:$AK$3000,Permissions!$B$2:$B$3000,$A81,Permissions!$R$2:$R$3000,"Yes")</f>
        <v>0</v>
      </c>
      <c r="AV81" s="26" t="n">
        <f aca="false">SUMIFS(Permissions!$AL$2:$AL$3000,Permissions!$B$2:$B$3000,$A81,Permissions!$R$2:$R$3000,"Yes")</f>
        <v>0</v>
      </c>
      <c r="AW81" s="26" t="n">
        <f aca="false">SUMIFS(Permissions!$AM$2:$AM$3000,Permissions!$B$2:$B$3000,$A81,Permissions!$R$2:$R$3000,"Yes")</f>
        <v>0</v>
      </c>
      <c r="AX81" s="26" t="n">
        <f aca="false">SUMIFS(Permissions!$AN$2:$AN$3000,Permissions!$B$2:$B$3000,$A81,Permissions!$R$2:$R$3000,"Yes")</f>
        <v>0</v>
      </c>
      <c r="AY81" s="26" t="n">
        <f aca="false">SUMIFS(Permissions!$AO$2:$AO$3000,Permissions!$B$2:$B$3000,$A81,Permissions!$R$2:$R$3000,"Yes")</f>
        <v>0</v>
      </c>
      <c r="AZ81" s="24" t="n">
        <f aca="false">COUNTIFS(Permissions!$B$2:$B$3000,$A81,Permissions!$R$2:$R$3000,"Yes")</f>
        <v>0</v>
      </c>
      <c r="BA81" s="24" t="n">
        <f aca="false">SUMIFS(Permissions!$M$2:$M$3000,Permissions!$B$2:$B$3000,$A81,Permissions!$R$2:$R$3000,"Yes")</f>
        <v>0</v>
      </c>
      <c r="BB81" s="24" t="n">
        <f aca="false">SUMIFS(Permissions!$O$2:$O$3000,Permissions!$B$2:$B$3000,$A81,Permissions!$R$2:$R$3000,"Yes")</f>
        <v>0</v>
      </c>
      <c r="BC81" s="27" t="str">
        <f aca="false">IF(AND(AM81&gt;0,AR81&gt;=AM81,AP81=0),"Finished",IF(AR81&gt;0,"Partly built",IF(AM81&gt;0,"Consented – not built","No consent")))</f>
        <v>No consent</v>
      </c>
      <c r="BD81" s="28" t="str">
        <f aca="false">IF(AND(R81&lt;&gt;"",AM81&gt;1.1*R81),"Consented above capacity",IF(AND(LEFT(B81,8)="Planning",AZ81=0),"Consent parcel with no permission",IF(COUNTIF($A$2:$A$3000,$A81)&gt;1,"Duplicate parcel_id","")))</f>
        <v/>
      </c>
    </row>
    <row r="82" customFormat="false" ht="15" hidden="false" customHeight="false" outlineLevel="0" collapsed="false">
      <c r="A82" s="15" t="s">
        <v>286</v>
      </c>
      <c r="B82" s="15" t="s">
        <v>10</v>
      </c>
      <c r="C82" s="15" t="s">
        <v>16</v>
      </c>
      <c r="D82" s="15" t="s">
        <v>55</v>
      </c>
      <c r="E82" s="15" t="s">
        <v>19</v>
      </c>
      <c r="F82" s="15" t="n">
        <v>1</v>
      </c>
      <c r="G82" s="15" t="s">
        <v>158</v>
      </c>
      <c r="H82" s="15" t="n">
        <v>147</v>
      </c>
      <c r="I82" s="15" t="s">
        <v>55</v>
      </c>
      <c r="J82" s="15" t="s">
        <v>159</v>
      </c>
      <c r="K82" s="15" t="s">
        <v>55</v>
      </c>
      <c r="L82" s="15" t="s">
        <v>189</v>
      </c>
      <c r="M82" s="15" t="s">
        <v>206</v>
      </c>
      <c r="N82" s="15" t="s">
        <v>172</v>
      </c>
      <c r="O82" s="15" t="s">
        <v>185</v>
      </c>
      <c r="P82" s="15" t="n">
        <v>0.26</v>
      </c>
      <c r="Q82" s="15" t="n">
        <v>1.038</v>
      </c>
      <c r="R82" s="15" t="n">
        <v>9</v>
      </c>
      <c r="S82" s="15" t="s">
        <v>164</v>
      </c>
      <c r="T82" s="15" t="n">
        <v>9</v>
      </c>
      <c r="U82" s="15"/>
      <c r="V82" s="15"/>
      <c r="W82" s="15"/>
      <c r="X82" s="15" t="s">
        <v>165</v>
      </c>
      <c r="Y82" s="15" t="n">
        <v>34</v>
      </c>
      <c r="Z82" s="15" t="s">
        <v>166</v>
      </c>
      <c r="AA82" s="15"/>
      <c r="AB82" s="15" t="n">
        <v>0</v>
      </c>
      <c r="AC82" s="15" t="n">
        <v>0</v>
      </c>
      <c r="AD82" s="15" t="s">
        <v>186</v>
      </c>
      <c r="AE82" s="15" t="s">
        <v>168</v>
      </c>
      <c r="AF82" s="15" t="s">
        <v>169</v>
      </c>
      <c r="AG82" s="15"/>
      <c r="AH82" s="24" t="n">
        <f aca="false">IF(R82="",AM82,R82)</f>
        <v>9</v>
      </c>
      <c r="AI82" s="24" t="n">
        <f aca="false">SUMIFS(Permissions!$G$2:$G$3000,Permissions!$B$2:$B$3000,$A82,Permissions!$I$2:$I$3000,"Complete",Permissions!$R$2:$R$3000,"Yes")</f>
        <v>0</v>
      </c>
      <c r="AJ82" s="24" t="n">
        <f aca="false">SUMIFS(Permissions!$G$2:$G$3000,Permissions!$B$2:$B$3000,$A82,Permissions!$I$2:$I$3000,"Under construction",Permissions!$R$2:$R$3000,"Yes")</f>
        <v>0</v>
      </c>
      <c r="AK82" s="24" t="n">
        <f aca="false">SUMIFS(Permissions!$G$2:$G$3000,Permissions!$B$2:$B$3000,$A82,Permissions!$I$2:$I$3000,"Permitted – not started",Permissions!$R$2:$R$3000,"Yes")</f>
        <v>0</v>
      </c>
      <c r="AL82" s="24" t="n">
        <f aca="false">SUMIFS(Permissions!$G$2:$G$3000,Permissions!$B$2:$B$3000,$A82,Permissions!$I$2:$I$3000,"Stalled",Permissions!$R$2:$R$3000,"Yes")</f>
        <v>0</v>
      </c>
      <c r="AM82" s="24" t="n">
        <f aca="false">AI82+AJ82+AK82+AL82</f>
        <v>0</v>
      </c>
      <c r="AN82" s="24" t="n">
        <f aca="false">SUMIFS(Permissions!$G$2:$G$3000,Permissions!$B$2:$B$3000,$A82,Permissions!$I$2:$I$3000,"Expired – not started",Permissions!$R$2:$R$3000,"Yes")</f>
        <v>0</v>
      </c>
      <c r="AO82" s="24" t="n">
        <f aca="false">SUMIFS(Permissions!$G$2:$G$3000,Permissions!$B$2:$B$3000,$A82,Permissions!$I$2:$I$3000,"In planning",Permissions!$R$2:$R$3000,"Yes")</f>
        <v>0</v>
      </c>
      <c r="AP82" s="24" t="n">
        <f aca="false">IF(R82="",0,MAX(R82-AM82,0))</f>
        <v>9</v>
      </c>
      <c r="AQ82" s="25" t="n">
        <f aca="false">AM82+AP82</f>
        <v>9</v>
      </c>
      <c r="AR82" s="24" t="n">
        <f aca="false">SUMIFS(Permissions!$L$2:$L$3000,Permissions!$B$2:$B$3000,$A82,Permissions!$R$2:$R$3000,"Yes",Permissions!$I$2:$I$3000,"&lt;&gt;Expired – not started",Permissions!$I$2:$I$3000,"&lt;&gt;In planning")</f>
        <v>0</v>
      </c>
      <c r="AS82" s="24" t="n">
        <f aca="false">AQ82-AR82</f>
        <v>9</v>
      </c>
      <c r="AT82" s="26" t="n">
        <f aca="false">SUMIFS(Permissions!$AJ$2:$AJ$3000,Permissions!$B$2:$B$3000,$A82,Permissions!$R$2:$R$3000,"Yes")</f>
        <v>0</v>
      </c>
      <c r="AU82" s="26" t="n">
        <f aca="false">SUMIFS(Permissions!$AK$2:$AK$3000,Permissions!$B$2:$B$3000,$A82,Permissions!$R$2:$R$3000,"Yes")</f>
        <v>0</v>
      </c>
      <c r="AV82" s="26" t="n">
        <f aca="false">SUMIFS(Permissions!$AL$2:$AL$3000,Permissions!$B$2:$B$3000,$A82,Permissions!$R$2:$R$3000,"Yes")</f>
        <v>0</v>
      </c>
      <c r="AW82" s="26" t="n">
        <f aca="false">SUMIFS(Permissions!$AM$2:$AM$3000,Permissions!$B$2:$B$3000,$A82,Permissions!$R$2:$R$3000,"Yes")</f>
        <v>0</v>
      </c>
      <c r="AX82" s="26" t="n">
        <f aca="false">SUMIFS(Permissions!$AN$2:$AN$3000,Permissions!$B$2:$B$3000,$A82,Permissions!$R$2:$R$3000,"Yes")</f>
        <v>0</v>
      </c>
      <c r="AY82" s="26" t="n">
        <f aca="false">SUMIFS(Permissions!$AO$2:$AO$3000,Permissions!$B$2:$B$3000,$A82,Permissions!$R$2:$R$3000,"Yes")</f>
        <v>0</v>
      </c>
      <c r="AZ82" s="24" t="n">
        <f aca="false">COUNTIFS(Permissions!$B$2:$B$3000,$A82,Permissions!$R$2:$R$3000,"Yes")</f>
        <v>0</v>
      </c>
      <c r="BA82" s="24" t="n">
        <f aca="false">SUMIFS(Permissions!$M$2:$M$3000,Permissions!$B$2:$B$3000,$A82,Permissions!$R$2:$R$3000,"Yes")</f>
        <v>0</v>
      </c>
      <c r="BB82" s="24" t="n">
        <f aca="false">SUMIFS(Permissions!$O$2:$O$3000,Permissions!$B$2:$B$3000,$A82,Permissions!$R$2:$R$3000,"Yes")</f>
        <v>0</v>
      </c>
      <c r="BC82" s="27" t="str">
        <f aca="false">IF(AND(AM82&gt;0,AR82&gt;=AM82,AP82=0),"Finished",IF(AR82&gt;0,"Partly built",IF(AM82&gt;0,"Consented – not built","No consent")))</f>
        <v>No consent</v>
      </c>
      <c r="BD82" s="28" t="str">
        <f aca="false">IF(AND(R82&lt;&gt;"",AM82&gt;1.1*R82),"Consented above capacity",IF(AND(LEFT(B82,8)="Planning",AZ82=0),"Consent parcel with no permission",IF(COUNTIF($A$2:$A$3000,$A82)&gt;1,"Duplicate parcel_id","")))</f>
        <v/>
      </c>
    </row>
    <row r="83" customFormat="false" ht="15" hidden="false" customHeight="false" outlineLevel="0" collapsed="false">
      <c r="A83" s="15" t="s">
        <v>287</v>
      </c>
      <c r="B83" s="15" t="s">
        <v>10</v>
      </c>
      <c r="C83" s="15" t="s">
        <v>16</v>
      </c>
      <c r="D83" s="15" t="s">
        <v>55</v>
      </c>
      <c r="E83" s="15" t="s">
        <v>19</v>
      </c>
      <c r="F83" s="15" t="n">
        <v>1</v>
      </c>
      <c r="G83" s="15" t="s">
        <v>158</v>
      </c>
      <c r="H83" s="15" t="n">
        <v>148</v>
      </c>
      <c r="I83" s="15" t="s">
        <v>55</v>
      </c>
      <c r="J83" s="15" t="s">
        <v>159</v>
      </c>
      <c r="K83" s="15" t="s">
        <v>55</v>
      </c>
      <c r="L83" s="15" t="s">
        <v>160</v>
      </c>
      <c r="M83" s="15" t="s">
        <v>161</v>
      </c>
      <c r="N83" s="15" t="s">
        <v>184</v>
      </c>
      <c r="O83" s="15" t="s">
        <v>185</v>
      </c>
      <c r="P83" s="15" t="n">
        <v>5.065</v>
      </c>
      <c r="Q83" s="15" t="n">
        <v>5.063</v>
      </c>
      <c r="R83" s="15" t="n">
        <v>253</v>
      </c>
      <c r="S83" s="15" t="s">
        <v>164</v>
      </c>
      <c r="T83" s="15" t="n">
        <v>172</v>
      </c>
      <c r="U83" s="15"/>
      <c r="V83" s="15"/>
      <c r="W83" s="15"/>
      <c r="X83" s="15" t="s">
        <v>165</v>
      </c>
      <c r="Y83" s="15" t="n">
        <v>34</v>
      </c>
      <c r="Z83" s="15" t="s">
        <v>166</v>
      </c>
      <c r="AA83" s="15"/>
      <c r="AB83" s="15" t="n">
        <v>0</v>
      </c>
      <c r="AC83" s="15" t="n">
        <v>0</v>
      </c>
      <c r="AD83" s="15" t="s">
        <v>186</v>
      </c>
      <c r="AE83" s="15" t="s">
        <v>168</v>
      </c>
      <c r="AF83" s="15" t="s">
        <v>169</v>
      </c>
      <c r="AG83" s="15"/>
      <c r="AH83" s="24" t="n">
        <f aca="false">IF(R83="",AM83,R83)</f>
        <v>253</v>
      </c>
      <c r="AI83" s="24" t="n">
        <f aca="false">SUMIFS(Permissions!$G$2:$G$3000,Permissions!$B$2:$B$3000,$A83,Permissions!$I$2:$I$3000,"Complete",Permissions!$R$2:$R$3000,"Yes")</f>
        <v>0</v>
      </c>
      <c r="AJ83" s="24" t="n">
        <f aca="false">SUMIFS(Permissions!$G$2:$G$3000,Permissions!$B$2:$B$3000,$A83,Permissions!$I$2:$I$3000,"Under construction",Permissions!$R$2:$R$3000,"Yes")</f>
        <v>0</v>
      </c>
      <c r="AK83" s="24" t="n">
        <f aca="false">SUMIFS(Permissions!$G$2:$G$3000,Permissions!$B$2:$B$3000,$A83,Permissions!$I$2:$I$3000,"Permitted – not started",Permissions!$R$2:$R$3000,"Yes")</f>
        <v>0</v>
      </c>
      <c r="AL83" s="24" t="n">
        <f aca="false">SUMIFS(Permissions!$G$2:$G$3000,Permissions!$B$2:$B$3000,$A83,Permissions!$I$2:$I$3000,"Stalled",Permissions!$R$2:$R$3000,"Yes")</f>
        <v>0</v>
      </c>
      <c r="AM83" s="24" t="n">
        <f aca="false">AI83+AJ83+AK83+AL83</f>
        <v>0</v>
      </c>
      <c r="AN83" s="24" t="n">
        <f aca="false">SUMIFS(Permissions!$G$2:$G$3000,Permissions!$B$2:$B$3000,$A83,Permissions!$I$2:$I$3000,"Expired – not started",Permissions!$R$2:$R$3000,"Yes")</f>
        <v>0</v>
      </c>
      <c r="AO83" s="24" t="n">
        <f aca="false">SUMIFS(Permissions!$G$2:$G$3000,Permissions!$B$2:$B$3000,$A83,Permissions!$I$2:$I$3000,"In planning",Permissions!$R$2:$R$3000,"Yes")</f>
        <v>0</v>
      </c>
      <c r="AP83" s="24" t="n">
        <f aca="false">IF(R83="",0,MAX(R83-AM83,0))</f>
        <v>253</v>
      </c>
      <c r="AQ83" s="25" t="n">
        <f aca="false">AM83+AP83</f>
        <v>253</v>
      </c>
      <c r="AR83" s="24" t="n">
        <f aca="false">SUMIFS(Permissions!$L$2:$L$3000,Permissions!$B$2:$B$3000,$A83,Permissions!$R$2:$R$3000,"Yes",Permissions!$I$2:$I$3000,"&lt;&gt;Expired – not started",Permissions!$I$2:$I$3000,"&lt;&gt;In planning")</f>
        <v>0</v>
      </c>
      <c r="AS83" s="24" t="n">
        <f aca="false">AQ83-AR83</f>
        <v>253</v>
      </c>
      <c r="AT83" s="26" t="n">
        <f aca="false">SUMIFS(Permissions!$AJ$2:$AJ$3000,Permissions!$B$2:$B$3000,$A83,Permissions!$R$2:$R$3000,"Yes")</f>
        <v>0</v>
      </c>
      <c r="AU83" s="26" t="n">
        <f aca="false">SUMIFS(Permissions!$AK$2:$AK$3000,Permissions!$B$2:$B$3000,$A83,Permissions!$R$2:$R$3000,"Yes")</f>
        <v>0</v>
      </c>
      <c r="AV83" s="26" t="n">
        <f aca="false">SUMIFS(Permissions!$AL$2:$AL$3000,Permissions!$B$2:$B$3000,$A83,Permissions!$R$2:$R$3000,"Yes")</f>
        <v>0</v>
      </c>
      <c r="AW83" s="26" t="n">
        <f aca="false">SUMIFS(Permissions!$AM$2:$AM$3000,Permissions!$B$2:$B$3000,$A83,Permissions!$R$2:$R$3000,"Yes")</f>
        <v>0</v>
      </c>
      <c r="AX83" s="26" t="n">
        <f aca="false">SUMIFS(Permissions!$AN$2:$AN$3000,Permissions!$B$2:$B$3000,$A83,Permissions!$R$2:$R$3000,"Yes")</f>
        <v>0</v>
      </c>
      <c r="AY83" s="26" t="n">
        <f aca="false">SUMIFS(Permissions!$AO$2:$AO$3000,Permissions!$B$2:$B$3000,$A83,Permissions!$R$2:$R$3000,"Yes")</f>
        <v>0</v>
      </c>
      <c r="AZ83" s="24" t="n">
        <f aca="false">COUNTIFS(Permissions!$B$2:$B$3000,$A83,Permissions!$R$2:$R$3000,"Yes")</f>
        <v>0</v>
      </c>
      <c r="BA83" s="24" t="n">
        <f aca="false">SUMIFS(Permissions!$M$2:$M$3000,Permissions!$B$2:$B$3000,$A83,Permissions!$R$2:$R$3000,"Yes")</f>
        <v>0</v>
      </c>
      <c r="BB83" s="24" t="n">
        <f aca="false">SUMIFS(Permissions!$O$2:$O$3000,Permissions!$B$2:$B$3000,$A83,Permissions!$R$2:$R$3000,"Yes")</f>
        <v>0</v>
      </c>
      <c r="BC83" s="27" t="str">
        <f aca="false">IF(AND(AM83&gt;0,AR83&gt;=AM83,AP83=0),"Finished",IF(AR83&gt;0,"Partly built",IF(AM83&gt;0,"Consented – not built","No consent")))</f>
        <v>No consent</v>
      </c>
      <c r="BD83" s="28" t="str">
        <f aca="false">IF(AND(R83&lt;&gt;"",AM83&gt;1.1*R83),"Consented above capacity",IF(AND(LEFT(B83,8)="Planning",AZ83=0),"Consent parcel with no permission",IF(COUNTIF($A$2:$A$3000,$A83)&gt;1,"Duplicate parcel_id","")))</f>
        <v/>
      </c>
    </row>
    <row r="84" customFormat="false" ht="15" hidden="false" customHeight="false" outlineLevel="0" collapsed="false">
      <c r="A84" s="15" t="s">
        <v>288</v>
      </c>
      <c r="B84" s="15" t="s">
        <v>10</v>
      </c>
      <c r="C84" s="15" t="s">
        <v>16</v>
      </c>
      <c r="D84" s="15" t="s">
        <v>55</v>
      </c>
      <c r="E84" s="15" t="s">
        <v>19</v>
      </c>
      <c r="F84" s="15" t="n">
        <v>1</v>
      </c>
      <c r="G84" s="15" t="s">
        <v>158</v>
      </c>
      <c r="H84" s="15" t="n">
        <v>149</v>
      </c>
      <c r="I84" s="15" t="s">
        <v>55</v>
      </c>
      <c r="J84" s="15" t="s">
        <v>159</v>
      </c>
      <c r="K84" s="15" t="s">
        <v>55</v>
      </c>
      <c r="L84" s="15" t="s">
        <v>176</v>
      </c>
      <c r="M84" s="15" t="s">
        <v>171</v>
      </c>
      <c r="N84" s="15" t="s">
        <v>172</v>
      </c>
      <c r="O84" s="15" t="s">
        <v>185</v>
      </c>
      <c r="P84" s="15" t="n">
        <v>0.939</v>
      </c>
      <c r="Q84" s="15" t="n">
        <v>0.939</v>
      </c>
      <c r="R84" s="15" t="n">
        <v>33</v>
      </c>
      <c r="S84" s="15" t="s">
        <v>164</v>
      </c>
      <c r="T84" s="15" t="n">
        <v>32</v>
      </c>
      <c r="U84" s="15"/>
      <c r="V84" s="15"/>
      <c r="W84" s="15"/>
      <c r="X84" s="15" t="s">
        <v>165</v>
      </c>
      <c r="Y84" s="15" t="n">
        <v>34</v>
      </c>
      <c r="Z84" s="15" t="s">
        <v>166</v>
      </c>
      <c r="AA84" s="15"/>
      <c r="AB84" s="15" t="n">
        <v>0</v>
      </c>
      <c r="AC84" s="15" t="n">
        <v>0</v>
      </c>
      <c r="AD84" s="15" t="s">
        <v>186</v>
      </c>
      <c r="AE84" s="15" t="s">
        <v>168</v>
      </c>
      <c r="AF84" s="15" t="s">
        <v>169</v>
      </c>
      <c r="AG84" s="15"/>
      <c r="AH84" s="24" t="n">
        <f aca="false">IF(R84="",AM84,R84)</f>
        <v>33</v>
      </c>
      <c r="AI84" s="24" t="n">
        <f aca="false">SUMIFS(Permissions!$G$2:$G$3000,Permissions!$B$2:$B$3000,$A84,Permissions!$I$2:$I$3000,"Complete",Permissions!$R$2:$R$3000,"Yes")</f>
        <v>0</v>
      </c>
      <c r="AJ84" s="24" t="n">
        <f aca="false">SUMIFS(Permissions!$G$2:$G$3000,Permissions!$B$2:$B$3000,$A84,Permissions!$I$2:$I$3000,"Under construction",Permissions!$R$2:$R$3000,"Yes")</f>
        <v>250</v>
      </c>
      <c r="AK84" s="24" t="n">
        <f aca="false">SUMIFS(Permissions!$G$2:$G$3000,Permissions!$B$2:$B$3000,$A84,Permissions!$I$2:$I$3000,"Permitted – not started",Permissions!$R$2:$R$3000,"Yes")</f>
        <v>0</v>
      </c>
      <c r="AL84" s="24" t="n">
        <f aca="false">SUMIFS(Permissions!$G$2:$G$3000,Permissions!$B$2:$B$3000,$A84,Permissions!$I$2:$I$3000,"Stalled",Permissions!$R$2:$R$3000,"Yes")</f>
        <v>0</v>
      </c>
      <c r="AM84" s="24" t="n">
        <f aca="false">AI84+AJ84+AK84+AL84</f>
        <v>250</v>
      </c>
      <c r="AN84" s="24" t="n">
        <f aca="false">SUMIFS(Permissions!$G$2:$G$3000,Permissions!$B$2:$B$3000,$A84,Permissions!$I$2:$I$3000,"Expired – not started",Permissions!$R$2:$R$3000,"Yes")</f>
        <v>0</v>
      </c>
      <c r="AO84" s="24" t="n">
        <f aca="false">SUMIFS(Permissions!$G$2:$G$3000,Permissions!$B$2:$B$3000,$A84,Permissions!$I$2:$I$3000,"In planning",Permissions!$R$2:$R$3000,"Yes")</f>
        <v>0</v>
      </c>
      <c r="AP84" s="24" t="n">
        <f aca="false">IF(R84="",0,MAX(R84-AM84,0))</f>
        <v>0</v>
      </c>
      <c r="AQ84" s="25" t="n">
        <f aca="false">AM84+AP84</f>
        <v>250</v>
      </c>
      <c r="AR84" s="24" t="n">
        <f aca="false">SUMIFS(Permissions!$L$2:$L$3000,Permissions!$B$2:$B$3000,$A84,Permissions!$R$2:$R$3000,"Yes",Permissions!$I$2:$I$3000,"&lt;&gt;Expired – not started",Permissions!$I$2:$I$3000,"&lt;&gt;In planning")</f>
        <v>0</v>
      </c>
      <c r="AS84" s="24" t="n">
        <f aca="false">AQ84-AR84</f>
        <v>250</v>
      </c>
      <c r="AT84" s="26" t="n">
        <f aca="false">SUMIFS(Permissions!$AJ$2:$AJ$3000,Permissions!$B$2:$B$3000,$A84,Permissions!$R$2:$R$3000,"Yes")</f>
        <v>0</v>
      </c>
      <c r="AU84" s="26" t="n">
        <f aca="false">SUMIFS(Permissions!$AK$2:$AK$3000,Permissions!$B$2:$B$3000,$A84,Permissions!$R$2:$R$3000,"Yes")</f>
        <v>26.9</v>
      </c>
      <c r="AV84" s="26" t="n">
        <f aca="false">SUMIFS(Permissions!$AL$2:$AL$3000,Permissions!$B$2:$B$3000,$A84,Permissions!$R$2:$R$3000,"Yes")</f>
        <v>62.9</v>
      </c>
      <c r="AW84" s="26" t="n">
        <f aca="false">SUMIFS(Permissions!$AM$2:$AM$3000,Permissions!$B$2:$B$3000,$A84,Permissions!$R$2:$R$3000,"Yes")</f>
        <v>62.9</v>
      </c>
      <c r="AX84" s="26" t="n">
        <f aca="false">SUMIFS(Permissions!$AN$2:$AN$3000,Permissions!$B$2:$B$3000,$A84,Permissions!$R$2:$R$3000,"Yes")</f>
        <v>62.9</v>
      </c>
      <c r="AY84" s="26" t="n">
        <f aca="false">SUMIFS(Permissions!$AO$2:$AO$3000,Permissions!$B$2:$B$3000,$A84,Permissions!$R$2:$R$3000,"Yes")</f>
        <v>34.4</v>
      </c>
      <c r="AZ84" s="24" t="n">
        <f aca="false">COUNTIFS(Permissions!$B$2:$B$3000,$A84,Permissions!$R$2:$R$3000,"Yes")</f>
        <v>1</v>
      </c>
      <c r="BA84" s="24" t="n">
        <f aca="false">SUMIFS(Permissions!$M$2:$M$3000,Permissions!$B$2:$B$3000,$A84,Permissions!$R$2:$R$3000,"Yes")</f>
        <v>0</v>
      </c>
      <c r="BB84" s="24" t="n">
        <f aca="false">SUMIFS(Permissions!$O$2:$O$3000,Permissions!$B$2:$B$3000,$A84,Permissions!$R$2:$R$3000,"Yes")</f>
        <v>0</v>
      </c>
      <c r="BC84" s="27" t="str">
        <f aca="false">IF(AND(AM84&gt;0,AR84&gt;=AM84,AP84=0),"Finished",IF(AR84&gt;0,"Partly built",IF(AM84&gt;0,"Consented – not built","No consent")))</f>
        <v>Consented – not built</v>
      </c>
      <c r="BD84" s="28" t="str">
        <f aca="false">IF(AND(R84&lt;&gt;"",AM84&gt;1.1*R84),"Consented above capacity",IF(AND(LEFT(B84,8)="Planning",AZ84=0),"Consent parcel with no permission",IF(COUNTIF($A$2:$A$3000,$A84)&gt;1,"Duplicate parcel_id","")))</f>
        <v>Consented above capacity</v>
      </c>
    </row>
    <row r="85" customFormat="false" ht="15" hidden="false" customHeight="false" outlineLevel="0" collapsed="false">
      <c r="A85" s="15" t="s">
        <v>289</v>
      </c>
      <c r="B85" s="15" t="s">
        <v>10</v>
      </c>
      <c r="C85" s="15" t="s">
        <v>16</v>
      </c>
      <c r="D85" s="15" t="s">
        <v>55</v>
      </c>
      <c r="E85" s="15" t="s">
        <v>19</v>
      </c>
      <c r="F85" s="15" t="n">
        <v>1</v>
      </c>
      <c r="G85" s="15" t="s">
        <v>158</v>
      </c>
      <c r="H85" s="15" t="n">
        <v>151</v>
      </c>
      <c r="I85" s="15" t="s">
        <v>55</v>
      </c>
      <c r="J85" s="15" t="s">
        <v>159</v>
      </c>
      <c r="K85" s="15" t="s">
        <v>55</v>
      </c>
      <c r="L85" s="15" t="s">
        <v>176</v>
      </c>
      <c r="M85" s="15" t="s">
        <v>161</v>
      </c>
      <c r="N85" s="15" t="s">
        <v>184</v>
      </c>
      <c r="O85" s="15" t="s">
        <v>290</v>
      </c>
      <c r="P85" s="15" t="n">
        <v>10.98</v>
      </c>
      <c r="Q85" s="15" t="n">
        <v>11.051</v>
      </c>
      <c r="R85" s="15" t="n">
        <v>462</v>
      </c>
      <c r="S85" s="15" t="s">
        <v>164</v>
      </c>
      <c r="T85" s="15" t="n">
        <v>373</v>
      </c>
      <c r="U85" s="15"/>
      <c r="V85" s="15"/>
      <c r="W85" s="15"/>
      <c r="X85" s="15" t="s">
        <v>165</v>
      </c>
      <c r="Y85" s="15" t="n">
        <v>34</v>
      </c>
      <c r="Z85" s="15" t="s">
        <v>166</v>
      </c>
      <c r="AA85" s="15"/>
      <c r="AB85" s="15" t="n">
        <v>1</v>
      </c>
      <c r="AC85" s="15" t="n">
        <v>0</v>
      </c>
      <c r="AD85" s="15" t="s">
        <v>179</v>
      </c>
      <c r="AE85" s="15" t="s">
        <v>180</v>
      </c>
      <c r="AF85" s="15" t="s">
        <v>169</v>
      </c>
      <c r="AG85" s="15"/>
      <c r="AH85" s="24" t="n">
        <f aca="false">IF(R85="",AM85,R85)</f>
        <v>462</v>
      </c>
      <c r="AI85" s="24" t="n">
        <f aca="false">SUMIFS(Permissions!$G$2:$G$3000,Permissions!$B$2:$B$3000,$A85,Permissions!$I$2:$I$3000,"Complete",Permissions!$R$2:$R$3000,"Yes")</f>
        <v>0</v>
      </c>
      <c r="AJ85" s="24" t="n">
        <f aca="false">SUMIFS(Permissions!$G$2:$G$3000,Permissions!$B$2:$B$3000,$A85,Permissions!$I$2:$I$3000,"Under construction",Permissions!$R$2:$R$3000,"Yes")</f>
        <v>0</v>
      </c>
      <c r="AK85" s="24" t="n">
        <f aca="false">SUMIFS(Permissions!$G$2:$G$3000,Permissions!$B$2:$B$3000,$A85,Permissions!$I$2:$I$3000,"Permitted – not started",Permissions!$R$2:$R$3000,"Yes")</f>
        <v>0</v>
      </c>
      <c r="AL85" s="24" t="n">
        <f aca="false">SUMIFS(Permissions!$G$2:$G$3000,Permissions!$B$2:$B$3000,$A85,Permissions!$I$2:$I$3000,"Stalled",Permissions!$R$2:$R$3000,"Yes")</f>
        <v>0</v>
      </c>
      <c r="AM85" s="24" t="n">
        <f aca="false">AI85+AJ85+AK85+AL85</f>
        <v>0</v>
      </c>
      <c r="AN85" s="24" t="n">
        <f aca="false">SUMIFS(Permissions!$G$2:$G$3000,Permissions!$B$2:$B$3000,$A85,Permissions!$I$2:$I$3000,"Expired – not started",Permissions!$R$2:$R$3000,"Yes")</f>
        <v>0</v>
      </c>
      <c r="AO85" s="24" t="n">
        <f aca="false">SUMIFS(Permissions!$G$2:$G$3000,Permissions!$B$2:$B$3000,$A85,Permissions!$I$2:$I$3000,"In planning",Permissions!$R$2:$R$3000,"Yes")</f>
        <v>0</v>
      </c>
      <c r="AP85" s="24" t="n">
        <f aca="false">IF(R85="",0,MAX(R85-AM85,0))</f>
        <v>462</v>
      </c>
      <c r="AQ85" s="25" t="n">
        <f aca="false">AM85+AP85</f>
        <v>462</v>
      </c>
      <c r="AR85" s="24" t="n">
        <f aca="false">SUMIFS(Permissions!$L$2:$L$3000,Permissions!$B$2:$B$3000,$A85,Permissions!$R$2:$R$3000,"Yes",Permissions!$I$2:$I$3000,"&lt;&gt;Expired – not started",Permissions!$I$2:$I$3000,"&lt;&gt;In planning")</f>
        <v>0</v>
      </c>
      <c r="AS85" s="24" t="n">
        <f aca="false">AQ85-AR85</f>
        <v>462</v>
      </c>
      <c r="AT85" s="26" t="n">
        <f aca="false">SUMIFS(Permissions!$AJ$2:$AJ$3000,Permissions!$B$2:$B$3000,$A85,Permissions!$R$2:$R$3000,"Yes")</f>
        <v>0</v>
      </c>
      <c r="AU85" s="26" t="n">
        <f aca="false">SUMIFS(Permissions!$AK$2:$AK$3000,Permissions!$B$2:$B$3000,$A85,Permissions!$R$2:$R$3000,"Yes")</f>
        <v>0</v>
      </c>
      <c r="AV85" s="26" t="n">
        <f aca="false">SUMIFS(Permissions!$AL$2:$AL$3000,Permissions!$B$2:$B$3000,$A85,Permissions!$R$2:$R$3000,"Yes")</f>
        <v>0</v>
      </c>
      <c r="AW85" s="26" t="n">
        <f aca="false">SUMIFS(Permissions!$AM$2:$AM$3000,Permissions!$B$2:$B$3000,$A85,Permissions!$R$2:$R$3000,"Yes")</f>
        <v>0</v>
      </c>
      <c r="AX85" s="26" t="n">
        <f aca="false">SUMIFS(Permissions!$AN$2:$AN$3000,Permissions!$B$2:$B$3000,$A85,Permissions!$R$2:$R$3000,"Yes")</f>
        <v>0</v>
      </c>
      <c r="AY85" s="26" t="n">
        <f aca="false">SUMIFS(Permissions!$AO$2:$AO$3000,Permissions!$B$2:$B$3000,$A85,Permissions!$R$2:$R$3000,"Yes")</f>
        <v>0</v>
      </c>
      <c r="AZ85" s="24" t="n">
        <f aca="false">COUNTIFS(Permissions!$B$2:$B$3000,$A85,Permissions!$R$2:$R$3000,"Yes")</f>
        <v>0</v>
      </c>
      <c r="BA85" s="24" t="n">
        <f aca="false">SUMIFS(Permissions!$M$2:$M$3000,Permissions!$B$2:$B$3000,$A85,Permissions!$R$2:$R$3000,"Yes")</f>
        <v>0</v>
      </c>
      <c r="BB85" s="24" t="n">
        <f aca="false">SUMIFS(Permissions!$O$2:$O$3000,Permissions!$B$2:$B$3000,$A85,Permissions!$R$2:$R$3000,"Yes")</f>
        <v>0</v>
      </c>
      <c r="BC85" s="27" t="str">
        <f aca="false">IF(AND(AM85&gt;0,AR85&gt;=AM85,AP85=0),"Finished",IF(AR85&gt;0,"Partly built",IF(AM85&gt;0,"Consented – not built","No consent")))</f>
        <v>No consent</v>
      </c>
      <c r="BD85" s="28" t="str">
        <f aca="false">IF(AND(R85&lt;&gt;"",AM85&gt;1.1*R85),"Consented above capacity",IF(AND(LEFT(B85,8)="Planning",AZ85=0),"Consent parcel with no permission",IF(COUNTIF($A$2:$A$3000,$A85)&gt;1,"Duplicate parcel_id","")))</f>
        <v/>
      </c>
    </row>
    <row r="86" customFormat="false" ht="15" hidden="false" customHeight="false" outlineLevel="0" collapsed="false">
      <c r="A86" s="15" t="s">
        <v>291</v>
      </c>
      <c r="B86" s="15" t="s">
        <v>10</v>
      </c>
      <c r="C86" s="15" t="s">
        <v>16</v>
      </c>
      <c r="D86" s="15" t="s">
        <v>55</v>
      </c>
      <c r="E86" s="15" t="s">
        <v>19</v>
      </c>
      <c r="F86" s="15" t="n">
        <v>1</v>
      </c>
      <c r="G86" s="15" t="s">
        <v>158</v>
      </c>
      <c r="H86" s="15" t="n">
        <v>152</v>
      </c>
      <c r="I86" s="15" t="s">
        <v>55</v>
      </c>
      <c r="J86" s="15" t="s">
        <v>159</v>
      </c>
      <c r="K86" s="15" t="s">
        <v>55</v>
      </c>
      <c r="L86" s="15" t="s">
        <v>176</v>
      </c>
      <c r="M86" s="15" t="s">
        <v>161</v>
      </c>
      <c r="N86" s="15" t="s">
        <v>184</v>
      </c>
      <c r="O86" s="15" t="s">
        <v>292</v>
      </c>
      <c r="P86" s="15" t="n">
        <v>4.12</v>
      </c>
      <c r="Q86" s="15" t="n">
        <v>4.119</v>
      </c>
      <c r="R86" s="15" t="n">
        <v>152</v>
      </c>
      <c r="S86" s="15" t="s">
        <v>164</v>
      </c>
      <c r="T86" s="15" t="n">
        <v>140</v>
      </c>
      <c r="U86" s="15"/>
      <c r="V86" s="15"/>
      <c r="W86" s="15"/>
      <c r="X86" s="15" t="s">
        <v>165</v>
      </c>
      <c r="Y86" s="15" t="n">
        <v>34</v>
      </c>
      <c r="Z86" s="15" t="s">
        <v>166</v>
      </c>
      <c r="AA86" s="15"/>
      <c r="AB86" s="15" t="n">
        <v>0</v>
      </c>
      <c r="AC86" s="15" t="n">
        <v>0</v>
      </c>
      <c r="AD86" s="15" t="s">
        <v>167</v>
      </c>
      <c r="AE86" s="15" t="s">
        <v>180</v>
      </c>
      <c r="AF86" s="15" t="s">
        <v>169</v>
      </c>
      <c r="AG86" s="15"/>
      <c r="AH86" s="24" t="n">
        <f aca="false">IF(R86="",AM86,R86)</f>
        <v>152</v>
      </c>
      <c r="AI86" s="24" t="n">
        <f aca="false">SUMIFS(Permissions!$G$2:$G$3000,Permissions!$B$2:$B$3000,$A86,Permissions!$I$2:$I$3000,"Complete",Permissions!$R$2:$R$3000,"Yes")</f>
        <v>0</v>
      </c>
      <c r="AJ86" s="24" t="n">
        <f aca="false">SUMIFS(Permissions!$G$2:$G$3000,Permissions!$B$2:$B$3000,$A86,Permissions!$I$2:$I$3000,"Under construction",Permissions!$R$2:$R$3000,"Yes")</f>
        <v>0</v>
      </c>
      <c r="AK86" s="24" t="n">
        <f aca="false">SUMIFS(Permissions!$G$2:$G$3000,Permissions!$B$2:$B$3000,$A86,Permissions!$I$2:$I$3000,"Permitted – not started",Permissions!$R$2:$R$3000,"Yes")</f>
        <v>0</v>
      </c>
      <c r="AL86" s="24" t="n">
        <f aca="false">SUMIFS(Permissions!$G$2:$G$3000,Permissions!$B$2:$B$3000,$A86,Permissions!$I$2:$I$3000,"Stalled",Permissions!$R$2:$R$3000,"Yes")</f>
        <v>0</v>
      </c>
      <c r="AM86" s="24" t="n">
        <f aca="false">AI86+AJ86+AK86+AL86</f>
        <v>0</v>
      </c>
      <c r="AN86" s="24" t="n">
        <f aca="false">SUMIFS(Permissions!$G$2:$G$3000,Permissions!$B$2:$B$3000,$A86,Permissions!$I$2:$I$3000,"Expired – not started",Permissions!$R$2:$R$3000,"Yes")</f>
        <v>0</v>
      </c>
      <c r="AO86" s="24" t="n">
        <f aca="false">SUMIFS(Permissions!$G$2:$G$3000,Permissions!$B$2:$B$3000,$A86,Permissions!$I$2:$I$3000,"In planning",Permissions!$R$2:$R$3000,"Yes")</f>
        <v>0</v>
      </c>
      <c r="AP86" s="24" t="n">
        <f aca="false">IF(R86="",0,MAX(R86-AM86,0))</f>
        <v>152</v>
      </c>
      <c r="AQ86" s="25" t="n">
        <f aca="false">AM86+AP86</f>
        <v>152</v>
      </c>
      <c r="AR86" s="24" t="n">
        <f aca="false">SUMIFS(Permissions!$L$2:$L$3000,Permissions!$B$2:$B$3000,$A86,Permissions!$R$2:$R$3000,"Yes",Permissions!$I$2:$I$3000,"&lt;&gt;Expired – not started",Permissions!$I$2:$I$3000,"&lt;&gt;In planning")</f>
        <v>0</v>
      </c>
      <c r="AS86" s="24" t="n">
        <f aca="false">AQ86-AR86</f>
        <v>152</v>
      </c>
      <c r="AT86" s="26" t="n">
        <f aca="false">SUMIFS(Permissions!$AJ$2:$AJ$3000,Permissions!$B$2:$B$3000,$A86,Permissions!$R$2:$R$3000,"Yes")</f>
        <v>0</v>
      </c>
      <c r="AU86" s="26" t="n">
        <f aca="false">SUMIFS(Permissions!$AK$2:$AK$3000,Permissions!$B$2:$B$3000,$A86,Permissions!$R$2:$R$3000,"Yes")</f>
        <v>0</v>
      </c>
      <c r="AV86" s="26" t="n">
        <f aca="false">SUMIFS(Permissions!$AL$2:$AL$3000,Permissions!$B$2:$B$3000,$A86,Permissions!$R$2:$R$3000,"Yes")</f>
        <v>0</v>
      </c>
      <c r="AW86" s="26" t="n">
        <f aca="false">SUMIFS(Permissions!$AM$2:$AM$3000,Permissions!$B$2:$B$3000,$A86,Permissions!$R$2:$R$3000,"Yes")</f>
        <v>0</v>
      </c>
      <c r="AX86" s="26" t="n">
        <f aca="false">SUMIFS(Permissions!$AN$2:$AN$3000,Permissions!$B$2:$B$3000,$A86,Permissions!$R$2:$R$3000,"Yes")</f>
        <v>0</v>
      </c>
      <c r="AY86" s="26" t="n">
        <f aca="false">SUMIFS(Permissions!$AO$2:$AO$3000,Permissions!$B$2:$B$3000,$A86,Permissions!$R$2:$R$3000,"Yes")</f>
        <v>0</v>
      </c>
      <c r="AZ86" s="24" t="n">
        <f aca="false">COUNTIFS(Permissions!$B$2:$B$3000,$A86,Permissions!$R$2:$R$3000,"Yes")</f>
        <v>0</v>
      </c>
      <c r="BA86" s="24" t="n">
        <f aca="false">SUMIFS(Permissions!$M$2:$M$3000,Permissions!$B$2:$B$3000,$A86,Permissions!$R$2:$R$3000,"Yes")</f>
        <v>0</v>
      </c>
      <c r="BB86" s="24" t="n">
        <f aca="false">SUMIFS(Permissions!$O$2:$O$3000,Permissions!$B$2:$B$3000,$A86,Permissions!$R$2:$R$3000,"Yes")</f>
        <v>0</v>
      </c>
      <c r="BC86" s="27" t="str">
        <f aca="false">IF(AND(AM86&gt;0,AR86&gt;=AM86,AP86=0),"Finished",IF(AR86&gt;0,"Partly built",IF(AM86&gt;0,"Consented – not built","No consent")))</f>
        <v>No consent</v>
      </c>
      <c r="BD86" s="28" t="str">
        <f aca="false">IF(AND(R86&lt;&gt;"",AM86&gt;1.1*R86),"Consented above capacity",IF(AND(LEFT(B86,8)="Planning",AZ86=0),"Consent parcel with no permission",IF(COUNTIF($A$2:$A$3000,$A86)&gt;1,"Duplicate parcel_id","")))</f>
        <v/>
      </c>
    </row>
    <row r="87" customFormat="false" ht="15" hidden="false" customHeight="false" outlineLevel="0" collapsed="false">
      <c r="A87" s="15" t="s">
        <v>293</v>
      </c>
      <c r="B87" s="15" t="s">
        <v>10</v>
      </c>
      <c r="C87" s="15" t="s">
        <v>16</v>
      </c>
      <c r="D87" s="15" t="s">
        <v>55</v>
      </c>
      <c r="E87" s="15" t="s">
        <v>19</v>
      </c>
      <c r="F87" s="15" t="n">
        <v>1</v>
      </c>
      <c r="G87" s="15" t="s">
        <v>158</v>
      </c>
      <c r="H87" s="15" t="n">
        <v>153</v>
      </c>
      <c r="I87" s="15" t="s">
        <v>55</v>
      </c>
      <c r="J87" s="15" t="s">
        <v>159</v>
      </c>
      <c r="K87" s="15" t="s">
        <v>55</v>
      </c>
      <c r="L87" s="15" t="s">
        <v>176</v>
      </c>
      <c r="M87" s="15" t="s">
        <v>161</v>
      </c>
      <c r="N87" s="15" t="s">
        <v>184</v>
      </c>
      <c r="O87" s="15" t="s">
        <v>185</v>
      </c>
      <c r="P87" s="15" t="n">
        <v>1.081</v>
      </c>
      <c r="Q87" s="15" t="n">
        <v>1.161</v>
      </c>
      <c r="R87" s="15" t="n">
        <v>37</v>
      </c>
      <c r="S87" s="15" t="s">
        <v>164</v>
      </c>
      <c r="T87" s="15" t="n">
        <v>37</v>
      </c>
      <c r="U87" s="15"/>
      <c r="V87" s="15"/>
      <c r="W87" s="15"/>
      <c r="X87" s="15" t="s">
        <v>165</v>
      </c>
      <c r="Y87" s="15" t="n">
        <v>34</v>
      </c>
      <c r="Z87" s="15" t="s">
        <v>166</v>
      </c>
      <c r="AA87" s="15"/>
      <c r="AB87" s="15" t="n">
        <v>0</v>
      </c>
      <c r="AC87" s="15" t="n">
        <v>0</v>
      </c>
      <c r="AD87" s="15" t="s">
        <v>179</v>
      </c>
      <c r="AE87" s="15" t="s">
        <v>180</v>
      </c>
      <c r="AF87" s="15" t="s">
        <v>169</v>
      </c>
      <c r="AG87" s="15"/>
      <c r="AH87" s="24" t="n">
        <f aca="false">IF(R87="",AM87,R87)</f>
        <v>37</v>
      </c>
      <c r="AI87" s="24" t="n">
        <f aca="false">SUMIFS(Permissions!$G$2:$G$3000,Permissions!$B$2:$B$3000,$A87,Permissions!$I$2:$I$3000,"Complete",Permissions!$R$2:$R$3000,"Yes")</f>
        <v>0</v>
      </c>
      <c r="AJ87" s="24" t="n">
        <f aca="false">SUMIFS(Permissions!$G$2:$G$3000,Permissions!$B$2:$B$3000,$A87,Permissions!$I$2:$I$3000,"Under construction",Permissions!$R$2:$R$3000,"Yes")</f>
        <v>0</v>
      </c>
      <c r="AK87" s="24" t="n">
        <f aca="false">SUMIFS(Permissions!$G$2:$G$3000,Permissions!$B$2:$B$3000,$A87,Permissions!$I$2:$I$3000,"Permitted – not started",Permissions!$R$2:$R$3000,"Yes")</f>
        <v>0</v>
      </c>
      <c r="AL87" s="24" t="n">
        <f aca="false">SUMIFS(Permissions!$G$2:$G$3000,Permissions!$B$2:$B$3000,$A87,Permissions!$I$2:$I$3000,"Stalled",Permissions!$R$2:$R$3000,"Yes")</f>
        <v>0</v>
      </c>
      <c r="AM87" s="24" t="n">
        <f aca="false">AI87+AJ87+AK87+AL87</f>
        <v>0</v>
      </c>
      <c r="AN87" s="24" t="n">
        <f aca="false">SUMIFS(Permissions!$G$2:$G$3000,Permissions!$B$2:$B$3000,$A87,Permissions!$I$2:$I$3000,"Expired – not started",Permissions!$R$2:$R$3000,"Yes")</f>
        <v>0</v>
      </c>
      <c r="AO87" s="24" t="n">
        <f aca="false">SUMIFS(Permissions!$G$2:$G$3000,Permissions!$B$2:$B$3000,$A87,Permissions!$I$2:$I$3000,"In planning",Permissions!$R$2:$R$3000,"Yes")</f>
        <v>0</v>
      </c>
      <c r="AP87" s="24" t="n">
        <f aca="false">IF(R87="",0,MAX(R87-AM87,0))</f>
        <v>37</v>
      </c>
      <c r="AQ87" s="25" t="n">
        <f aca="false">AM87+AP87</f>
        <v>37</v>
      </c>
      <c r="AR87" s="24" t="n">
        <f aca="false">SUMIFS(Permissions!$L$2:$L$3000,Permissions!$B$2:$B$3000,$A87,Permissions!$R$2:$R$3000,"Yes",Permissions!$I$2:$I$3000,"&lt;&gt;Expired – not started",Permissions!$I$2:$I$3000,"&lt;&gt;In planning")</f>
        <v>0</v>
      </c>
      <c r="AS87" s="24" t="n">
        <f aca="false">AQ87-AR87</f>
        <v>37</v>
      </c>
      <c r="AT87" s="26" t="n">
        <f aca="false">SUMIFS(Permissions!$AJ$2:$AJ$3000,Permissions!$B$2:$B$3000,$A87,Permissions!$R$2:$R$3000,"Yes")</f>
        <v>0</v>
      </c>
      <c r="AU87" s="26" t="n">
        <f aca="false">SUMIFS(Permissions!$AK$2:$AK$3000,Permissions!$B$2:$B$3000,$A87,Permissions!$R$2:$R$3000,"Yes")</f>
        <v>0</v>
      </c>
      <c r="AV87" s="26" t="n">
        <f aca="false">SUMIFS(Permissions!$AL$2:$AL$3000,Permissions!$B$2:$B$3000,$A87,Permissions!$R$2:$R$3000,"Yes")</f>
        <v>0</v>
      </c>
      <c r="AW87" s="26" t="n">
        <f aca="false">SUMIFS(Permissions!$AM$2:$AM$3000,Permissions!$B$2:$B$3000,$A87,Permissions!$R$2:$R$3000,"Yes")</f>
        <v>0</v>
      </c>
      <c r="AX87" s="26" t="n">
        <f aca="false">SUMIFS(Permissions!$AN$2:$AN$3000,Permissions!$B$2:$B$3000,$A87,Permissions!$R$2:$R$3000,"Yes")</f>
        <v>0</v>
      </c>
      <c r="AY87" s="26" t="n">
        <f aca="false">SUMIFS(Permissions!$AO$2:$AO$3000,Permissions!$B$2:$B$3000,$A87,Permissions!$R$2:$R$3000,"Yes")</f>
        <v>0</v>
      </c>
      <c r="AZ87" s="24" t="n">
        <f aca="false">COUNTIFS(Permissions!$B$2:$B$3000,$A87,Permissions!$R$2:$R$3000,"Yes")</f>
        <v>0</v>
      </c>
      <c r="BA87" s="24" t="n">
        <f aca="false">SUMIFS(Permissions!$M$2:$M$3000,Permissions!$B$2:$B$3000,$A87,Permissions!$R$2:$R$3000,"Yes")</f>
        <v>0</v>
      </c>
      <c r="BB87" s="24" t="n">
        <f aca="false">SUMIFS(Permissions!$O$2:$O$3000,Permissions!$B$2:$B$3000,$A87,Permissions!$R$2:$R$3000,"Yes")</f>
        <v>0</v>
      </c>
      <c r="BC87" s="27" t="str">
        <f aca="false">IF(AND(AM87&gt;0,AR87&gt;=AM87,AP87=0),"Finished",IF(AR87&gt;0,"Partly built",IF(AM87&gt;0,"Consented – not built","No consent")))</f>
        <v>No consent</v>
      </c>
      <c r="BD87" s="28" t="str">
        <f aca="false">IF(AND(R87&lt;&gt;"",AM87&gt;1.1*R87),"Consented above capacity",IF(AND(LEFT(B87,8)="Planning",AZ87=0),"Consent parcel with no permission",IF(COUNTIF($A$2:$A$3000,$A87)&gt;1,"Duplicate parcel_id","")))</f>
        <v/>
      </c>
    </row>
    <row r="88" customFormat="false" ht="15" hidden="false" customHeight="false" outlineLevel="0" collapsed="false">
      <c r="A88" s="15" t="s">
        <v>294</v>
      </c>
      <c r="B88" s="15" t="s">
        <v>10</v>
      </c>
      <c r="C88" s="15" t="s">
        <v>16</v>
      </c>
      <c r="D88" s="15" t="s">
        <v>55</v>
      </c>
      <c r="E88" s="15" t="s">
        <v>19</v>
      </c>
      <c r="F88" s="15" t="n">
        <v>1</v>
      </c>
      <c r="G88" s="15" t="s">
        <v>158</v>
      </c>
      <c r="H88" s="15" t="n">
        <v>154</v>
      </c>
      <c r="I88" s="15" t="s">
        <v>55</v>
      </c>
      <c r="J88" s="15" t="s">
        <v>159</v>
      </c>
      <c r="K88" s="15" t="s">
        <v>55</v>
      </c>
      <c r="L88" s="15" t="s">
        <v>176</v>
      </c>
      <c r="M88" s="15" t="s">
        <v>171</v>
      </c>
      <c r="N88" s="15" t="s">
        <v>172</v>
      </c>
      <c r="O88" s="15" t="s">
        <v>163</v>
      </c>
      <c r="P88" s="15" t="n">
        <v>0.743</v>
      </c>
      <c r="Q88" s="15" t="n">
        <v>0.743</v>
      </c>
      <c r="R88" s="15" t="n">
        <v>33</v>
      </c>
      <c r="S88" s="15" t="s">
        <v>164</v>
      </c>
      <c r="T88" s="15" t="n">
        <v>25</v>
      </c>
      <c r="U88" s="15"/>
      <c r="V88" s="15"/>
      <c r="W88" s="15"/>
      <c r="X88" s="15" t="s">
        <v>165</v>
      </c>
      <c r="Y88" s="15" t="n">
        <v>34</v>
      </c>
      <c r="Z88" s="15" t="s">
        <v>166</v>
      </c>
      <c r="AA88" s="15"/>
      <c r="AB88" s="15" t="n">
        <v>1</v>
      </c>
      <c r="AC88" s="15" t="n">
        <v>0</v>
      </c>
      <c r="AD88" s="15" t="s">
        <v>167</v>
      </c>
      <c r="AE88" s="15" t="s">
        <v>168</v>
      </c>
      <c r="AF88" s="15" t="s">
        <v>169</v>
      </c>
      <c r="AG88" s="15"/>
      <c r="AH88" s="24" t="n">
        <f aca="false">IF(R88="",AM88,R88)</f>
        <v>33</v>
      </c>
      <c r="AI88" s="24" t="n">
        <f aca="false">SUMIFS(Permissions!$G$2:$G$3000,Permissions!$B$2:$B$3000,$A88,Permissions!$I$2:$I$3000,"Complete",Permissions!$R$2:$R$3000,"Yes")</f>
        <v>0</v>
      </c>
      <c r="AJ88" s="24" t="n">
        <f aca="false">SUMIFS(Permissions!$G$2:$G$3000,Permissions!$B$2:$B$3000,$A88,Permissions!$I$2:$I$3000,"Under construction",Permissions!$R$2:$R$3000,"Yes")</f>
        <v>0</v>
      </c>
      <c r="AK88" s="24" t="n">
        <f aca="false">SUMIFS(Permissions!$G$2:$G$3000,Permissions!$B$2:$B$3000,$A88,Permissions!$I$2:$I$3000,"Permitted – not started",Permissions!$R$2:$R$3000,"Yes")</f>
        <v>0</v>
      </c>
      <c r="AL88" s="24" t="n">
        <f aca="false">SUMIFS(Permissions!$G$2:$G$3000,Permissions!$B$2:$B$3000,$A88,Permissions!$I$2:$I$3000,"Stalled",Permissions!$R$2:$R$3000,"Yes")</f>
        <v>0</v>
      </c>
      <c r="AM88" s="24" t="n">
        <f aca="false">AI88+AJ88+AK88+AL88</f>
        <v>0</v>
      </c>
      <c r="AN88" s="24" t="n">
        <f aca="false">SUMIFS(Permissions!$G$2:$G$3000,Permissions!$B$2:$B$3000,$A88,Permissions!$I$2:$I$3000,"Expired – not started",Permissions!$R$2:$R$3000,"Yes")</f>
        <v>0</v>
      </c>
      <c r="AO88" s="24" t="n">
        <f aca="false">SUMIFS(Permissions!$G$2:$G$3000,Permissions!$B$2:$B$3000,$A88,Permissions!$I$2:$I$3000,"In planning",Permissions!$R$2:$R$3000,"Yes")</f>
        <v>0</v>
      </c>
      <c r="AP88" s="24" t="n">
        <f aca="false">IF(R88="",0,MAX(R88-AM88,0))</f>
        <v>33</v>
      </c>
      <c r="AQ88" s="25" t="n">
        <f aca="false">AM88+AP88</f>
        <v>33</v>
      </c>
      <c r="AR88" s="24" t="n">
        <f aca="false">SUMIFS(Permissions!$L$2:$L$3000,Permissions!$B$2:$B$3000,$A88,Permissions!$R$2:$R$3000,"Yes",Permissions!$I$2:$I$3000,"&lt;&gt;Expired – not started",Permissions!$I$2:$I$3000,"&lt;&gt;In planning")</f>
        <v>0</v>
      </c>
      <c r="AS88" s="24" t="n">
        <f aca="false">AQ88-AR88</f>
        <v>33</v>
      </c>
      <c r="AT88" s="26" t="n">
        <f aca="false">SUMIFS(Permissions!$AJ$2:$AJ$3000,Permissions!$B$2:$B$3000,$A88,Permissions!$R$2:$R$3000,"Yes")</f>
        <v>0</v>
      </c>
      <c r="AU88" s="26" t="n">
        <f aca="false">SUMIFS(Permissions!$AK$2:$AK$3000,Permissions!$B$2:$B$3000,$A88,Permissions!$R$2:$R$3000,"Yes")</f>
        <v>0</v>
      </c>
      <c r="AV88" s="26" t="n">
        <f aca="false">SUMIFS(Permissions!$AL$2:$AL$3000,Permissions!$B$2:$B$3000,$A88,Permissions!$R$2:$R$3000,"Yes")</f>
        <v>0</v>
      </c>
      <c r="AW88" s="26" t="n">
        <f aca="false">SUMIFS(Permissions!$AM$2:$AM$3000,Permissions!$B$2:$B$3000,$A88,Permissions!$R$2:$R$3000,"Yes")</f>
        <v>0</v>
      </c>
      <c r="AX88" s="26" t="n">
        <f aca="false">SUMIFS(Permissions!$AN$2:$AN$3000,Permissions!$B$2:$B$3000,$A88,Permissions!$R$2:$R$3000,"Yes")</f>
        <v>0</v>
      </c>
      <c r="AY88" s="26" t="n">
        <f aca="false">SUMIFS(Permissions!$AO$2:$AO$3000,Permissions!$B$2:$B$3000,$A88,Permissions!$R$2:$R$3000,"Yes")</f>
        <v>0</v>
      </c>
      <c r="AZ88" s="24" t="n">
        <f aca="false">COUNTIFS(Permissions!$B$2:$B$3000,$A88,Permissions!$R$2:$R$3000,"Yes")</f>
        <v>0</v>
      </c>
      <c r="BA88" s="24" t="n">
        <f aca="false">SUMIFS(Permissions!$M$2:$M$3000,Permissions!$B$2:$B$3000,$A88,Permissions!$R$2:$R$3000,"Yes")</f>
        <v>0</v>
      </c>
      <c r="BB88" s="24" t="n">
        <f aca="false">SUMIFS(Permissions!$O$2:$O$3000,Permissions!$B$2:$B$3000,$A88,Permissions!$R$2:$R$3000,"Yes")</f>
        <v>0</v>
      </c>
      <c r="BC88" s="27" t="str">
        <f aca="false">IF(AND(AM88&gt;0,AR88&gt;=AM88,AP88=0),"Finished",IF(AR88&gt;0,"Partly built",IF(AM88&gt;0,"Consented – not built","No consent")))</f>
        <v>No consent</v>
      </c>
      <c r="BD88" s="28" t="str">
        <f aca="false">IF(AND(R88&lt;&gt;"",AM88&gt;1.1*R88),"Consented above capacity",IF(AND(LEFT(B88,8)="Planning",AZ88=0),"Consent parcel with no permission",IF(COUNTIF($A$2:$A$3000,$A88)&gt;1,"Duplicate parcel_id","")))</f>
        <v/>
      </c>
    </row>
    <row r="89" customFormat="false" ht="15" hidden="false" customHeight="false" outlineLevel="0" collapsed="false">
      <c r="A89" s="15" t="s">
        <v>295</v>
      </c>
      <c r="B89" s="15" t="s">
        <v>10</v>
      </c>
      <c r="C89" s="15" t="s">
        <v>16</v>
      </c>
      <c r="D89" s="15" t="s">
        <v>55</v>
      </c>
      <c r="E89" s="15" t="s">
        <v>19</v>
      </c>
      <c r="F89" s="15" t="n">
        <v>1</v>
      </c>
      <c r="G89" s="15" t="s">
        <v>158</v>
      </c>
      <c r="H89" s="15" t="n">
        <v>155</v>
      </c>
      <c r="I89" s="15" t="s">
        <v>55</v>
      </c>
      <c r="J89" s="15" t="s">
        <v>159</v>
      </c>
      <c r="K89" s="15" t="s">
        <v>55</v>
      </c>
      <c r="L89" s="15" t="s">
        <v>160</v>
      </c>
      <c r="M89" s="15" t="s">
        <v>161</v>
      </c>
      <c r="N89" s="15" t="s">
        <v>172</v>
      </c>
      <c r="O89" s="15" t="s">
        <v>163</v>
      </c>
      <c r="P89" s="15" t="n">
        <v>0.34</v>
      </c>
      <c r="Q89" s="15" t="n">
        <v>0.341</v>
      </c>
      <c r="R89" s="15" t="n">
        <v>15</v>
      </c>
      <c r="S89" s="15" t="s">
        <v>164</v>
      </c>
      <c r="T89" s="15" t="n">
        <v>12</v>
      </c>
      <c r="U89" s="15"/>
      <c r="V89" s="15"/>
      <c r="W89" s="15"/>
      <c r="X89" s="15" t="s">
        <v>165</v>
      </c>
      <c r="Y89" s="15" t="n">
        <v>34</v>
      </c>
      <c r="Z89" s="15" t="s">
        <v>166</v>
      </c>
      <c r="AA89" s="15"/>
      <c r="AB89" s="15" t="n">
        <v>0</v>
      </c>
      <c r="AC89" s="15" t="n">
        <v>0</v>
      </c>
      <c r="AD89" s="15" t="s">
        <v>167</v>
      </c>
      <c r="AE89" s="15" t="s">
        <v>168</v>
      </c>
      <c r="AF89" s="15" t="s">
        <v>169</v>
      </c>
      <c r="AG89" s="15"/>
      <c r="AH89" s="24" t="n">
        <f aca="false">IF(R89="",AM89,R89)</f>
        <v>15</v>
      </c>
      <c r="AI89" s="24" t="n">
        <f aca="false">SUMIFS(Permissions!$G$2:$G$3000,Permissions!$B$2:$B$3000,$A89,Permissions!$I$2:$I$3000,"Complete",Permissions!$R$2:$R$3000,"Yes")</f>
        <v>0</v>
      </c>
      <c r="AJ89" s="24" t="n">
        <f aca="false">SUMIFS(Permissions!$G$2:$G$3000,Permissions!$B$2:$B$3000,$A89,Permissions!$I$2:$I$3000,"Under construction",Permissions!$R$2:$R$3000,"Yes")</f>
        <v>0</v>
      </c>
      <c r="AK89" s="24" t="n">
        <f aca="false">SUMIFS(Permissions!$G$2:$G$3000,Permissions!$B$2:$B$3000,$A89,Permissions!$I$2:$I$3000,"Permitted – not started",Permissions!$R$2:$R$3000,"Yes")</f>
        <v>0</v>
      </c>
      <c r="AL89" s="24" t="n">
        <f aca="false">SUMIFS(Permissions!$G$2:$G$3000,Permissions!$B$2:$B$3000,$A89,Permissions!$I$2:$I$3000,"Stalled",Permissions!$R$2:$R$3000,"Yes")</f>
        <v>0</v>
      </c>
      <c r="AM89" s="24" t="n">
        <f aca="false">AI89+AJ89+AK89+AL89</f>
        <v>0</v>
      </c>
      <c r="AN89" s="24" t="n">
        <f aca="false">SUMIFS(Permissions!$G$2:$G$3000,Permissions!$B$2:$B$3000,$A89,Permissions!$I$2:$I$3000,"Expired – not started",Permissions!$R$2:$R$3000,"Yes")</f>
        <v>0</v>
      </c>
      <c r="AO89" s="24" t="n">
        <f aca="false">SUMIFS(Permissions!$G$2:$G$3000,Permissions!$B$2:$B$3000,$A89,Permissions!$I$2:$I$3000,"In planning",Permissions!$R$2:$R$3000,"Yes")</f>
        <v>0</v>
      </c>
      <c r="AP89" s="24" t="n">
        <f aca="false">IF(R89="",0,MAX(R89-AM89,0))</f>
        <v>15</v>
      </c>
      <c r="AQ89" s="25" t="n">
        <f aca="false">AM89+AP89</f>
        <v>15</v>
      </c>
      <c r="AR89" s="24" t="n">
        <f aca="false">SUMIFS(Permissions!$L$2:$L$3000,Permissions!$B$2:$B$3000,$A89,Permissions!$R$2:$R$3000,"Yes",Permissions!$I$2:$I$3000,"&lt;&gt;Expired – not started",Permissions!$I$2:$I$3000,"&lt;&gt;In planning")</f>
        <v>0</v>
      </c>
      <c r="AS89" s="24" t="n">
        <f aca="false">AQ89-AR89</f>
        <v>15</v>
      </c>
      <c r="AT89" s="26" t="n">
        <f aca="false">SUMIFS(Permissions!$AJ$2:$AJ$3000,Permissions!$B$2:$B$3000,$A89,Permissions!$R$2:$R$3000,"Yes")</f>
        <v>0</v>
      </c>
      <c r="AU89" s="26" t="n">
        <f aca="false">SUMIFS(Permissions!$AK$2:$AK$3000,Permissions!$B$2:$B$3000,$A89,Permissions!$R$2:$R$3000,"Yes")</f>
        <v>0</v>
      </c>
      <c r="AV89" s="26" t="n">
        <f aca="false">SUMIFS(Permissions!$AL$2:$AL$3000,Permissions!$B$2:$B$3000,$A89,Permissions!$R$2:$R$3000,"Yes")</f>
        <v>0</v>
      </c>
      <c r="AW89" s="26" t="n">
        <f aca="false">SUMIFS(Permissions!$AM$2:$AM$3000,Permissions!$B$2:$B$3000,$A89,Permissions!$R$2:$R$3000,"Yes")</f>
        <v>0</v>
      </c>
      <c r="AX89" s="26" t="n">
        <f aca="false">SUMIFS(Permissions!$AN$2:$AN$3000,Permissions!$B$2:$B$3000,$A89,Permissions!$R$2:$R$3000,"Yes")</f>
        <v>0</v>
      </c>
      <c r="AY89" s="26" t="n">
        <f aca="false">SUMIFS(Permissions!$AO$2:$AO$3000,Permissions!$B$2:$B$3000,$A89,Permissions!$R$2:$R$3000,"Yes")</f>
        <v>0</v>
      </c>
      <c r="AZ89" s="24" t="n">
        <f aca="false">COUNTIFS(Permissions!$B$2:$B$3000,$A89,Permissions!$R$2:$R$3000,"Yes")</f>
        <v>0</v>
      </c>
      <c r="BA89" s="24" t="n">
        <f aca="false">SUMIFS(Permissions!$M$2:$M$3000,Permissions!$B$2:$B$3000,$A89,Permissions!$R$2:$R$3000,"Yes")</f>
        <v>0</v>
      </c>
      <c r="BB89" s="24" t="n">
        <f aca="false">SUMIFS(Permissions!$O$2:$O$3000,Permissions!$B$2:$B$3000,$A89,Permissions!$R$2:$R$3000,"Yes")</f>
        <v>0</v>
      </c>
      <c r="BC89" s="27" t="str">
        <f aca="false">IF(AND(AM89&gt;0,AR89&gt;=AM89,AP89=0),"Finished",IF(AR89&gt;0,"Partly built",IF(AM89&gt;0,"Consented – not built","No consent")))</f>
        <v>No consent</v>
      </c>
      <c r="BD89" s="28" t="str">
        <f aca="false">IF(AND(R89&lt;&gt;"",AM89&gt;1.1*R89),"Consented above capacity",IF(AND(LEFT(B89,8)="Planning",AZ89=0),"Consent parcel with no permission",IF(COUNTIF($A$2:$A$3000,$A89)&gt;1,"Duplicate parcel_id","")))</f>
        <v/>
      </c>
    </row>
    <row r="90" customFormat="false" ht="15" hidden="false" customHeight="false" outlineLevel="0" collapsed="false">
      <c r="A90" s="15" t="s">
        <v>296</v>
      </c>
      <c r="B90" s="15" t="s">
        <v>10</v>
      </c>
      <c r="C90" s="15" t="s">
        <v>16</v>
      </c>
      <c r="D90" s="15" t="s">
        <v>55</v>
      </c>
      <c r="E90" s="15" t="s">
        <v>19</v>
      </c>
      <c r="F90" s="15" t="n">
        <v>1</v>
      </c>
      <c r="G90" s="15" t="s">
        <v>158</v>
      </c>
      <c r="H90" s="15" t="n">
        <v>156</v>
      </c>
      <c r="I90" s="15" t="s">
        <v>55</v>
      </c>
      <c r="J90" s="15" t="s">
        <v>159</v>
      </c>
      <c r="K90" s="15" t="s">
        <v>55</v>
      </c>
      <c r="L90" s="15" t="s">
        <v>176</v>
      </c>
      <c r="M90" s="15" t="s">
        <v>171</v>
      </c>
      <c r="N90" s="15" t="s">
        <v>172</v>
      </c>
      <c r="O90" s="15" t="s">
        <v>163</v>
      </c>
      <c r="P90" s="15" t="n">
        <v>0.584</v>
      </c>
      <c r="Q90" s="15" t="n">
        <v>0.584</v>
      </c>
      <c r="R90" s="15" t="n">
        <v>26</v>
      </c>
      <c r="S90" s="15" t="s">
        <v>164</v>
      </c>
      <c r="T90" s="15" t="n">
        <v>20</v>
      </c>
      <c r="U90" s="15"/>
      <c r="V90" s="15"/>
      <c r="W90" s="15"/>
      <c r="X90" s="15" t="s">
        <v>165</v>
      </c>
      <c r="Y90" s="15" t="n">
        <v>34</v>
      </c>
      <c r="Z90" s="15" t="s">
        <v>166</v>
      </c>
      <c r="AA90" s="15"/>
      <c r="AB90" s="15" t="n">
        <v>0</v>
      </c>
      <c r="AC90" s="15" t="n">
        <v>0</v>
      </c>
      <c r="AD90" s="15" t="s">
        <v>167</v>
      </c>
      <c r="AE90" s="15" t="s">
        <v>168</v>
      </c>
      <c r="AF90" s="15" t="s">
        <v>169</v>
      </c>
      <c r="AG90" s="15"/>
      <c r="AH90" s="24" t="n">
        <f aca="false">IF(R90="",AM90,R90)</f>
        <v>26</v>
      </c>
      <c r="AI90" s="24" t="n">
        <f aca="false">SUMIFS(Permissions!$G$2:$G$3000,Permissions!$B$2:$B$3000,$A90,Permissions!$I$2:$I$3000,"Complete",Permissions!$R$2:$R$3000,"Yes")</f>
        <v>0</v>
      </c>
      <c r="AJ90" s="24" t="n">
        <f aca="false">SUMIFS(Permissions!$G$2:$G$3000,Permissions!$B$2:$B$3000,$A90,Permissions!$I$2:$I$3000,"Under construction",Permissions!$R$2:$R$3000,"Yes")</f>
        <v>0</v>
      </c>
      <c r="AK90" s="24" t="n">
        <f aca="false">SUMIFS(Permissions!$G$2:$G$3000,Permissions!$B$2:$B$3000,$A90,Permissions!$I$2:$I$3000,"Permitted – not started",Permissions!$R$2:$R$3000,"Yes")</f>
        <v>0</v>
      </c>
      <c r="AL90" s="24" t="n">
        <f aca="false">SUMIFS(Permissions!$G$2:$G$3000,Permissions!$B$2:$B$3000,$A90,Permissions!$I$2:$I$3000,"Stalled",Permissions!$R$2:$R$3000,"Yes")</f>
        <v>0</v>
      </c>
      <c r="AM90" s="24" t="n">
        <f aca="false">AI90+AJ90+AK90+AL90</f>
        <v>0</v>
      </c>
      <c r="AN90" s="24" t="n">
        <f aca="false">SUMIFS(Permissions!$G$2:$G$3000,Permissions!$B$2:$B$3000,$A90,Permissions!$I$2:$I$3000,"Expired – not started",Permissions!$R$2:$R$3000,"Yes")</f>
        <v>0</v>
      </c>
      <c r="AO90" s="24" t="n">
        <f aca="false">SUMIFS(Permissions!$G$2:$G$3000,Permissions!$B$2:$B$3000,$A90,Permissions!$I$2:$I$3000,"In planning",Permissions!$R$2:$R$3000,"Yes")</f>
        <v>0</v>
      </c>
      <c r="AP90" s="24" t="n">
        <f aca="false">IF(R90="",0,MAX(R90-AM90,0))</f>
        <v>26</v>
      </c>
      <c r="AQ90" s="25" t="n">
        <f aca="false">AM90+AP90</f>
        <v>26</v>
      </c>
      <c r="AR90" s="24" t="n">
        <f aca="false">SUMIFS(Permissions!$L$2:$L$3000,Permissions!$B$2:$B$3000,$A90,Permissions!$R$2:$R$3000,"Yes",Permissions!$I$2:$I$3000,"&lt;&gt;Expired – not started",Permissions!$I$2:$I$3000,"&lt;&gt;In planning")</f>
        <v>0</v>
      </c>
      <c r="AS90" s="24" t="n">
        <f aca="false">AQ90-AR90</f>
        <v>26</v>
      </c>
      <c r="AT90" s="26" t="n">
        <f aca="false">SUMIFS(Permissions!$AJ$2:$AJ$3000,Permissions!$B$2:$B$3000,$A90,Permissions!$R$2:$R$3000,"Yes")</f>
        <v>0</v>
      </c>
      <c r="AU90" s="26" t="n">
        <f aca="false">SUMIFS(Permissions!$AK$2:$AK$3000,Permissions!$B$2:$B$3000,$A90,Permissions!$R$2:$R$3000,"Yes")</f>
        <v>0</v>
      </c>
      <c r="AV90" s="26" t="n">
        <f aca="false">SUMIFS(Permissions!$AL$2:$AL$3000,Permissions!$B$2:$B$3000,$A90,Permissions!$R$2:$R$3000,"Yes")</f>
        <v>0</v>
      </c>
      <c r="AW90" s="26" t="n">
        <f aca="false">SUMIFS(Permissions!$AM$2:$AM$3000,Permissions!$B$2:$B$3000,$A90,Permissions!$R$2:$R$3000,"Yes")</f>
        <v>0</v>
      </c>
      <c r="AX90" s="26" t="n">
        <f aca="false">SUMIFS(Permissions!$AN$2:$AN$3000,Permissions!$B$2:$B$3000,$A90,Permissions!$R$2:$R$3000,"Yes")</f>
        <v>0</v>
      </c>
      <c r="AY90" s="26" t="n">
        <f aca="false">SUMIFS(Permissions!$AO$2:$AO$3000,Permissions!$B$2:$B$3000,$A90,Permissions!$R$2:$R$3000,"Yes")</f>
        <v>0</v>
      </c>
      <c r="AZ90" s="24" t="n">
        <f aca="false">COUNTIFS(Permissions!$B$2:$B$3000,$A90,Permissions!$R$2:$R$3000,"Yes")</f>
        <v>0</v>
      </c>
      <c r="BA90" s="24" t="n">
        <f aca="false">SUMIFS(Permissions!$M$2:$M$3000,Permissions!$B$2:$B$3000,$A90,Permissions!$R$2:$R$3000,"Yes")</f>
        <v>0</v>
      </c>
      <c r="BB90" s="24" t="n">
        <f aca="false">SUMIFS(Permissions!$O$2:$O$3000,Permissions!$B$2:$B$3000,$A90,Permissions!$R$2:$R$3000,"Yes")</f>
        <v>0</v>
      </c>
      <c r="BC90" s="27" t="str">
        <f aca="false">IF(AND(AM90&gt;0,AR90&gt;=AM90,AP90=0),"Finished",IF(AR90&gt;0,"Partly built",IF(AM90&gt;0,"Consented – not built","No consent")))</f>
        <v>No consent</v>
      </c>
      <c r="BD90" s="28" t="str">
        <f aca="false">IF(AND(R90&lt;&gt;"",AM90&gt;1.1*R90),"Consented above capacity",IF(AND(LEFT(B90,8)="Planning",AZ90=0),"Consent parcel with no permission",IF(COUNTIF($A$2:$A$3000,$A90)&gt;1,"Duplicate parcel_id","")))</f>
        <v/>
      </c>
    </row>
    <row r="91" customFormat="false" ht="15" hidden="false" customHeight="false" outlineLevel="0" collapsed="false">
      <c r="A91" s="15" t="s">
        <v>297</v>
      </c>
      <c r="B91" s="15" t="s">
        <v>10</v>
      </c>
      <c r="C91" s="15" t="s">
        <v>16</v>
      </c>
      <c r="D91" s="15" t="s">
        <v>55</v>
      </c>
      <c r="E91" s="15" t="s">
        <v>19</v>
      </c>
      <c r="F91" s="15" t="n">
        <v>1</v>
      </c>
      <c r="G91" s="15" t="s">
        <v>158</v>
      </c>
      <c r="H91" s="15" t="n">
        <v>160</v>
      </c>
      <c r="I91" s="15" t="s">
        <v>55</v>
      </c>
      <c r="J91" s="15" t="s">
        <v>159</v>
      </c>
      <c r="K91" s="15" t="s">
        <v>55</v>
      </c>
      <c r="L91" s="15" t="s">
        <v>176</v>
      </c>
      <c r="M91" s="15" t="s">
        <v>161</v>
      </c>
      <c r="N91" s="15" t="s">
        <v>184</v>
      </c>
      <c r="O91" s="15" t="s">
        <v>185</v>
      </c>
      <c r="P91" s="15" t="n">
        <v>1.168</v>
      </c>
      <c r="Q91" s="15" t="n">
        <v>1.278</v>
      </c>
      <c r="R91" s="15" t="n">
        <v>41</v>
      </c>
      <c r="S91" s="15" t="s">
        <v>164</v>
      </c>
      <c r="T91" s="15" t="n">
        <v>40</v>
      </c>
      <c r="U91" s="15"/>
      <c r="V91" s="15"/>
      <c r="W91" s="15"/>
      <c r="X91" s="15" t="s">
        <v>165</v>
      </c>
      <c r="Y91" s="15" t="n">
        <v>34</v>
      </c>
      <c r="Z91" s="15" t="s">
        <v>166</v>
      </c>
      <c r="AA91" s="15"/>
      <c r="AB91" s="15" t="n">
        <v>0</v>
      </c>
      <c r="AC91" s="15" t="n">
        <v>0</v>
      </c>
      <c r="AD91" s="15" t="s">
        <v>167</v>
      </c>
      <c r="AE91" s="15" t="s">
        <v>168</v>
      </c>
      <c r="AF91" s="15" t="s">
        <v>169</v>
      </c>
      <c r="AG91" s="15"/>
      <c r="AH91" s="24" t="n">
        <f aca="false">IF(R91="",AM91,R91)</f>
        <v>41</v>
      </c>
      <c r="AI91" s="24" t="n">
        <f aca="false">SUMIFS(Permissions!$G$2:$G$3000,Permissions!$B$2:$B$3000,$A91,Permissions!$I$2:$I$3000,"Complete",Permissions!$R$2:$R$3000,"Yes")</f>
        <v>0</v>
      </c>
      <c r="AJ91" s="24" t="n">
        <f aca="false">SUMIFS(Permissions!$G$2:$G$3000,Permissions!$B$2:$B$3000,$A91,Permissions!$I$2:$I$3000,"Under construction",Permissions!$R$2:$R$3000,"Yes")</f>
        <v>0</v>
      </c>
      <c r="AK91" s="24" t="n">
        <f aca="false">SUMIFS(Permissions!$G$2:$G$3000,Permissions!$B$2:$B$3000,$A91,Permissions!$I$2:$I$3000,"Permitted – not started",Permissions!$R$2:$R$3000,"Yes")</f>
        <v>0</v>
      </c>
      <c r="AL91" s="24" t="n">
        <f aca="false">SUMIFS(Permissions!$G$2:$G$3000,Permissions!$B$2:$B$3000,$A91,Permissions!$I$2:$I$3000,"Stalled",Permissions!$R$2:$R$3000,"Yes")</f>
        <v>0</v>
      </c>
      <c r="AM91" s="24" t="n">
        <f aca="false">AI91+AJ91+AK91+AL91</f>
        <v>0</v>
      </c>
      <c r="AN91" s="24" t="n">
        <f aca="false">SUMIFS(Permissions!$G$2:$G$3000,Permissions!$B$2:$B$3000,$A91,Permissions!$I$2:$I$3000,"Expired – not started",Permissions!$R$2:$R$3000,"Yes")</f>
        <v>0</v>
      </c>
      <c r="AO91" s="24" t="n">
        <f aca="false">SUMIFS(Permissions!$G$2:$G$3000,Permissions!$B$2:$B$3000,$A91,Permissions!$I$2:$I$3000,"In planning",Permissions!$R$2:$R$3000,"Yes")</f>
        <v>0</v>
      </c>
      <c r="AP91" s="24" t="n">
        <f aca="false">IF(R91="",0,MAX(R91-AM91,0))</f>
        <v>41</v>
      </c>
      <c r="AQ91" s="25" t="n">
        <f aca="false">AM91+AP91</f>
        <v>41</v>
      </c>
      <c r="AR91" s="24" t="n">
        <f aca="false">SUMIFS(Permissions!$L$2:$L$3000,Permissions!$B$2:$B$3000,$A91,Permissions!$R$2:$R$3000,"Yes",Permissions!$I$2:$I$3000,"&lt;&gt;Expired – not started",Permissions!$I$2:$I$3000,"&lt;&gt;In planning")</f>
        <v>0</v>
      </c>
      <c r="AS91" s="24" t="n">
        <f aca="false">AQ91-AR91</f>
        <v>41</v>
      </c>
      <c r="AT91" s="26" t="n">
        <f aca="false">SUMIFS(Permissions!$AJ$2:$AJ$3000,Permissions!$B$2:$B$3000,$A91,Permissions!$R$2:$R$3000,"Yes")</f>
        <v>0</v>
      </c>
      <c r="AU91" s="26" t="n">
        <f aca="false">SUMIFS(Permissions!$AK$2:$AK$3000,Permissions!$B$2:$B$3000,$A91,Permissions!$R$2:$R$3000,"Yes")</f>
        <v>0</v>
      </c>
      <c r="AV91" s="26" t="n">
        <f aca="false">SUMIFS(Permissions!$AL$2:$AL$3000,Permissions!$B$2:$B$3000,$A91,Permissions!$R$2:$R$3000,"Yes")</f>
        <v>0</v>
      </c>
      <c r="AW91" s="26" t="n">
        <f aca="false">SUMIFS(Permissions!$AM$2:$AM$3000,Permissions!$B$2:$B$3000,$A91,Permissions!$R$2:$R$3000,"Yes")</f>
        <v>0</v>
      </c>
      <c r="AX91" s="26" t="n">
        <f aca="false">SUMIFS(Permissions!$AN$2:$AN$3000,Permissions!$B$2:$B$3000,$A91,Permissions!$R$2:$R$3000,"Yes")</f>
        <v>0</v>
      </c>
      <c r="AY91" s="26" t="n">
        <f aca="false">SUMIFS(Permissions!$AO$2:$AO$3000,Permissions!$B$2:$B$3000,$A91,Permissions!$R$2:$R$3000,"Yes")</f>
        <v>0</v>
      </c>
      <c r="AZ91" s="24" t="n">
        <f aca="false">COUNTIFS(Permissions!$B$2:$B$3000,$A91,Permissions!$R$2:$R$3000,"Yes")</f>
        <v>0</v>
      </c>
      <c r="BA91" s="24" t="n">
        <f aca="false">SUMIFS(Permissions!$M$2:$M$3000,Permissions!$B$2:$B$3000,$A91,Permissions!$R$2:$R$3000,"Yes")</f>
        <v>0</v>
      </c>
      <c r="BB91" s="24" t="n">
        <f aca="false">SUMIFS(Permissions!$O$2:$O$3000,Permissions!$B$2:$B$3000,$A91,Permissions!$R$2:$R$3000,"Yes")</f>
        <v>0</v>
      </c>
      <c r="BC91" s="27" t="str">
        <f aca="false">IF(AND(AM91&gt;0,AR91&gt;=AM91,AP91=0),"Finished",IF(AR91&gt;0,"Partly built",IF(AM91&gt;0,"Consented – not built","No consent")))</f>
        <v>No consent</v>
      </c>
      <c r="BD91" s="28" t="str">
        <f aca="false">IF(AND(R91&lt;&gt;"",AM91&gt;1.1*R91),"Consented above capacity",IF(AND(LEFT(B91,8)="Planning",AZ91=0),"Consent parcel with no permission",IF(COUNTIF($A$2:$A$3000,$A91)&gt;1,"Duplicate parcel_id","")))</f>
        <v/>
      </c>
    </row>
    <row r="92" customFormat="false" ht="15" hidden="false" customHeight="false" outlineLevel="0" collapsed="false">
      <c r="A92" s="15" t="s">
        <v>298</v>
      </c>
      <c r="B92" s="15" t="s">
        <v>10</v>
      </c>
      <c r="C92" s="15" t="s">
        <v>16</v>
      </c>
      <c r="D92" s="15" t="s">
        <v>56</v>
      </c>
      <c r="E92" s="15" t="s">
        <v>19</v>
      </c>
      <c r="F92" s="15" t="n">
        <v>1</v>
      </c>
      <c r="G92" s="15" t="s">
        <v>158</v>
      </c>
      <c r="H92" s="15" t="n">
        <v>168</v>
      </c>
      <c r="I92" s="15" t="s">
        <v>56</v>
      </c>
      <c r="J92" s="15" t="s">
        <v>182</v>
      </c>
      <c r="K92" s="15"/>
      <c r="L92" s="15" t="s">
        <v>189</v>
      </c>
      <c r="M92" s="15"/>
      <c r="N92" s="15"/>
      <c r="O92" s="15"/>
      <c r="P92" s="15" t="n">
        <v>0.042</v>
      </c>
      <c r="Q92" s="15" t="n">
        <v>0.042</v>
      </c>
      <c r="R92" s="15" t="n">
        <v>1</v>
      </c>
      <c r="S92" s="15" t="s">
        <v>164</v>
      </c>
      <c r="T92" s="15" t="n">
        <v>1</v>
      </c>
      <c r="U92" s="15"/>
      <c r="V92" s="15"/>
      <c r="W92" s="15"/>
      <c r="X92" s="15" t="s">
        <v>165</v>
      </c>
      <c r="Y92" s="15" t="n">
        <v>34</v>
      </c>
      <c r="Z92" s="15" t="s">
        <v>166</v>
      </c>
      <c r="AA92" s="15"/>
      <c r="AB92" s="15" t="n">
        <v>0</v>
      </c>
      <c r="AC92" s="15" t="n">
        <v>0</v>
      </c>
      <c r="AD92" s="15"/>
      <c r="AE92" s="15" t="s">
        <v>198</v>
      </c>
      <c r="AF92" s="15" t="s">
        <v>169</v>
      </c>
      <c r="AG92" s="15"/>
      <c r="AH92" s="24" t="n">
        <f aca="false">IF(R92="",AM92,R92)</f>
        <v>1</v>
      </c>
      <c r="AI92" s="24" t="n">
        <f aca="false">SUMIFS(Permissions!$G$2:$G$3000,Permissions!$B$2:$B$3000,$A92,Permissions!$I$2:$I$3000,"Complete",Permissions!$R$2:$R$3000,"Yes")</f>
        <v>0</v>
      </c>
      <c r="AJ92" s="24" t="n">
        <f aca="false">SUMIFS(Permissions!$G$2:$G$3000,Permissions!$B$2:$B$3000,$A92,Permissions!$I$2:$I$3000,"Under construction",Permissions!$R$2:$R$3000,"Yes")</f>
        <v>0</v>
      </c>
      <c r="AK92" s="24" t="n">
        <f aca="false">SUMIFS(Permissions!$G$2:$G$3000,Permissions!$B$2:$B$3000,$A92,Permissions!$I$2:$I$3000,"Permitted – not started",Permissions!$R$2:$R$3000,"Yes")</f>
        <v>0</v>
      </c>
      <c r="AL92" s="24" t="n">
        <f aca="false">SUMIFS(Permissions!$G$2:$G$3000,Permissions!$B$2:$B$3000,$A92,Permissions!$I$2:$I$3000,"Stalled",Permissions!$R$2:$R$3000,"Yes")</f>
        <v>0</v>
      </c>
      <c r="AM92" s="24" t="n">
        <f aca="false">AI92+AJ92+AK92+AL92</f>
        <v>0</v>
      </c>
      <c r="AN92" s="24" t="n">
        <f aca="false">SUMIFS(Permissions!$G$2:$G$3000,Permissions!$B$2:$B$3000,$A92,Permissions!$I$2:$I$3000,"Expired – not started",Permissions!$R$2:$R$3000,"Yes")</f>
        <v>0</v>
      </c>
      <c r="AO92" s="24" t="n">
        <f aca="false">SUMIFS(Permissions!$G$2:$G$3000,Permissions!$B$2:$B$3000,$A92,Permissions!$I$2:$I$3000,"In planning",Permissions!$R$2:$R$3000,"Yes")</f>
        <v>0</v>
      </c>
      <c r="AP92" s="24" t="n">
        <f aca="false">IF(R92="",0,MAX(R92-AM92,0))</f>
        <v>1</v>
      </c>
      <c r="AQ92" s="25" t="n">
        <f aca="false">AM92+AP92</f>
        <v>1</v>
      </c>
      <c r="AR92" s="24" t="n">
        <f aca="false">SUMIFS(Permissions!$L$2:$L$3000,Permissions!$B$2:$B$3000,$A92,Permissions!$R$2:$R$3000,"Yes",Permissions!$I$2:$I$3000,"&lt;&gt;Expired – not started",Permissions!$I$2:$I$3000,"&lt;&gt;In planning")</f>
        <v>0</v>
      </c>
      <c r="AS92" s="24" t="n">
        <f aca="false">AQ92-AR92</f>
        <v>1</v>
      </c>
      <c r="AT92" s="26" t="n">
        <f aca="false">SUMIFS(Permissions!$AJ$2:$AJ$3000,Permissions!$B$2:$B$3000,$A92,Permissions!$R$2:$R$3000,"Yes")</f>
        <v>0</v>
      </c>
      <c r="AU92" s="26" t="n">
        <f aca="false">SUMIFS(Permissions!$AK$2:$AK$3000,Permissions!$B$2:$B$3000,$A92,Permissions!$R$2:$R$3000,"Yes")</f>
        <v>0</v>
      </c>
      <c r="AV92" s="26" t="n">
        <f aca="false">SUMIFS(Permissions!$AL$2:$AL$3000,Permissions!$B$2:$B$3000,$A92,Permissions!$R$2:$R$3000,"Yes")</f>
        <v>0</v>
      </c>
      <c r="AW92" s="26" t="n">
        <f aca="false">SUMIFS(Permissions!$AM$2:$AM$3000,Permissions!$B$2:$B$3000,$A92,Permissions!$R$2:$R$3000,"Yes")</f>
        <v>0</v>
      </c>
      <c r="AX92" s="26" t="n">
        <f aca="false">SUMIFS(Permissions!$AN$2:$AN$3000,Permissions!$B$2:$B$3000,$A92,Permissions!$R$2:$R$3000,"Yes")</f>
        <v>0</v>
      </c>
      <c r="AY92" s="26" t="n">
        <f aca="false">SUMIFS(Permissions!$AO$2:$AO$3000,Permissions!$B$2:$B$3000,$A92,Permissions!$R$2:$R$3000,"Yes")</f>
        <v>0</v>
      </c>
      <c r="AZ92" s="24" t="n">
        <f aca="false">COUNTIFS(Permissions!$B$2:$B$3000,$A92,Permissions!$R$2:$R$3000,"Yes")</f>
        <v>0</v>
      </c>
      <c r="BA92" s="24" t="n">
        <f aca="false">SUMIFS(Permissions!$M$2:$M$3000,Permissions!$B$2:$B$3000,$A92,Permissions!$R$2:$R$3000,"Yes")</f>
        <v>0</v>
      </c>
      <c r="BB92" s="24" t="n">
        <f aca="false">SUMIFS(Permissions!$O$2:$O$3000,Permissions!$B$2:$B$3000,$A92,Permissions!$R$2:$R$3000,"Yes")</f>
        <v>0</v>
      </c>
      <c r="BC92" s="27" t="str">
        <f aca="false">IF(AND(AM92&gt;0,AR92&gt;=AM92,AP92=0),"Finished",IF(AR92&gt;0,"Partly built",IF(AM92&gt;0,"Consented – not built","No consent")))</f>
        <v>No consent</v>
      </c>
      <c r="BD92" s="28" t="str">
        <f aca="false">IF(AND(R92&lt;&gt;"",AM92&gt;1.1*R92),"Consented above capacity",IF(AND(LEFT(B92,8)="Planning",AZ92=0),"Consent parcel with no permission",IF(COUNTIF($A$2:$A$3000,$A92)&gt;1,"Duplicate parcel_id","")))</f>
        <v/>
      </c>
    </row>
    <row r="93" customFormat="false" ht="15" hidden="false" customHeight="false" outlineLevel="0" collapsed="false">
      <c r="A93" s="15" t="s">
        <v>299</v>
      </c>
      <c r="B93" s="15" t="s">
        <v>10</v>
      </c>
      <c r="C93" s="15" t="s">
        <v>16</v>
      </c>
      <c r="D93" s="15" t="s">
        <v>56</v>
      </c>
      <c r="E93" s="15" t="s">
        <v>19</v>
      </c>
      <c r="F93" s="15" t="n">
        <v>1</v>
      </c>
      <c r="G93" s="15" t="s">
        <v>158</v>
      </c>
      <c r="H93" s="15" t="n">
        <v>40</v>
      </c>
      <c r="I93" s="15" t="s">
        <v>56</v>
      </c>
      <c r="J93" s="15" t="s">
        <v>182</v>
      </c>
      <c r="K93" s="15" t="s">
        <v>261</v>
      </c>
      <c r="L93" s="15" t="s">
        <v>160</v>
      </c>
      <c r="M93" s="15" t="s">
        <v>234</v>
      </c>
      <c r="N93" s="15" t="s">
        <v>162</v>
      </c>
      <c r="O93" s="15" t="s">
        <v>235</v>
      </c>
      <c r="P93" s="15" t="n">
        <v>0.132</v>
      </c>
      <c r="Q93" s="15" t="n">
        <v>0.132</v>
      </c>
      <c r="R93" s="15" t="n">
        <v>13</v>
      </c>
      <c r="S93" s="15" t="s">
        <v>164</v>
      </c>
      <c r="T93" s="15" t="n">
        <v>4</v>
      </c>
      <c r="U93" s="15"/>
      <c r="V93" s="15"/>
      <c r="W93" s="15"/>
      <c r="X93" s="15" t="s">
        <v>165</v>
      </c>
      <c r="Y93" s="15" t="n">
        <v>34</v>
      </c>
      <c r="Z93" s="15" t="s">
        <v>166</v>
      </c>
      <c r="AA93" s="15"/>
      <c r="AB93" s="15" t="n">
        <v>3</v>
      </c>
      <c r="AC93" s="15" t="n">
        <v>0</v>
      </c>
      <c r="AD93" s="15" t="s">
        <v>167</v>
      </c>
      <c r="AE93" s="15" t="s">
        <v>168</v>
      </c>
      <c r="AF93" s="15" t="s">
        <v>169</v>
      </c>
      <c r="AG93" s="15"/>
      <c r="AH93" s="24" t="n">
        <f aca="false">IF(R93="",AM93,R93)</f>
        <v>13</v>
      </c>
      <c r="AI93" s="24" t="n">
        <f aca="false">SUMIFS(Permissions!$G$2:$G$3000,Permissions!$B$2:$B$3000,$A93,Permissions!$I$2:$I$3000,"Complete",Permissions!$R$2:$R$3000,"Yes")</f>
        <v>0</v>
      </c>
      <c r="AJ93" s="24" t="n">
        <f aca="false">SUMIFS(Permissions!$G$2:$G$3000,Permissions!$B$2:$B$3000,$A93,Permissions!$I$2:$I$3000,"Under construction",Permissions!$R$2:$R$3000,"Yes")</f>
        <v>0</v>
      </c>
      <c r="AK93" s="24" t="n">
        <f aca="false">SUMIFS(Permissions!$G$2:$G$3000,Permissions!$B$2:$B$3000,$A93,Permissions!$I$2:$I$3000,"Permitted – not started",Permissions!$R$2:$R$3000,"Yes")</f>
        <v>0</v>
      </c>
      <c r="AL93" s="24" t="n">
        <f aca="false">SUMIFS(Permissions!$G$2:$G$3000,Permissions!$B$2:$B$3000,$A93,Permissions!$I$2:$I$3000,"Stalled",Permissions!$R$2:$R$3000,"Yes")</f>
        <v>0</v>
      </c>
      <c r="AM93" s="24" t="n">
        <f aca="false">AI93+AJ93+AK93+AL93</f>
        <v>0</v>
      </c>
      <c r="AN93" s="24" t="n">
        <f aca="false">SUMIFS(Permissions!$G$2:$G$3000,Permissions!$B$2:$B$3000,$A93,Permissions!$I$2:$I$3000,"Expired – not started",Permissions!$R$2:$R$3000,"Yes")</f>
        <v>0</v>
      </c>
      <c r="AO93" s="24" t="n">
        <f aca="false">SUMIFS(Permissions!$G$2:$G$3000,Permissions!$B$2:$B$3000,$A93,Permissions!$I$2:$I$3000,"In planning",Permissions!$R$2:$R$3000,"Yes")</f>
        <v>0</v>
      </c>
      <c r="AP93" s="24" t="n">
        <f aca="false">IF(R93="",0,MAX(R93-AM93,0))</f>
        <v>13</v>
      </c>
      <c r="AQ93" s="25" t="n">
        <f aca="false">AM93+AP93</f>
        <v>13</v>
      </c>
      <c r="AR93" s="24" t="n">
        <f aca="false">SUMIFS(Permissions!$L$2:$L$3000,Permissions!$B$2:$B$3000,$A93,Permissions!$R$2:$R$3000,"Yes",Permissions!$I$2:$I$3000,"&lt;&gt;Expired – not started",Permissions!$I$2:$I$3000,"&lt;&gt;In planning")</f>
        <v>0</v>
      </c>
      <c r="AS93" s="24" t="n">
        <f aca="false">AQ93-AR93</f>
        <v>13</v>
      </c>
      <c r="AT93" s="26" t="n">
        <f aca="false">SUMIFS(Permissions!$AJ$2:$AJ$3000,Permissions!$B$2:$B$3000,$A93,Permissions!$R$2:$R$3000,"Yes")</f>
        <v>0</v>
      </c>
      <c r="AU93" s="26" t="n">
        <f aca="false">SUMIFS(Permissions!$AK$2:$AK$3000,Permissions!$B$2:$B$3000,$A93,Permissions!$R$2:$R$3000,"Yes")</f>
        <v>0</v>
      </c>
      <c r="AV93" s="26" t="n">
        <f aca="false">SUMIFS(Permissions!$AL$2:$AL$3000,Permissions!$B$2:$B$3000,$A93,Permissions!$R$2:$R$3000,"Yes")</f>
        <v>0</v>
      </c>
      <c r="AW93" s="26" t="n">
        <f aca="false">SUMIFS(Permissions!$AM$2:$AM$3000,Permissions!$B$2:$B$3000,$A93,Permissions!$R$2:$R$3000,"Yes")</f>
        <v>0</v>
      </c>
      <c r="AX93" s="26" t="n">
        <f aca="false">SUMIFS(Permissions!$AN$2:$AN$3000,Permissions!$B$2:$B$3000,$A93,Permissions!$R$2:$R$3000,"Yes")</f>
        <v>0</v>
      </c>
      <c r="AY93" s="26" t="n">
        <f aca="false">SUMIFS(Permissions!$AO$2:$AO$3000,Permissions!$B$2:$B$3000,$A93,Permissions!$R$2:$R$3000,"Yes")</f>
        <v>0</v>
      </c>
      <c r="AZ93" s="24" t="n">
        <f aca="false">COUNTIFS(Permissions!$B$2:$B$3000,$A93,Permissions!$R$2:$R$3000,"Yes")</f>
        <v>0</v>
      </c>
      <c r="BA93" s="24" t="n">
        <f aca="false">SUMIFS(Permissions!$M$2:$M$3000,Permissions!$B$2:$B$3000,$A93,Permissions!$R$2:$R$3000,"Yes")</f>
        <v>0</v>
      </c>
      <c r="BB93" s="24" t="n">
        <f aca="false">SUMIFS(Permissions!$O$2:$O$3000,Permissions!$B$2:$B$3000,$A93,Permissions!$R$2:$R$3000,"Yes")</f>
        <v>0</v>
      </c>
      <c r="BC93" s="27" t="str">
        <f aca="false">IF(AND(AM93&gt;0,AR93&gt;=AM93,AP93=0),"Finished",IF(AR93&gt;0,"Partly built",IF(AM93&gt;0,"Consented – not built","No consent")))</f>
        <v>No consent</v>
      </c>
      <c r="BD93" s="28" t="str">
        <f aca="false">IF(AND(R93&lt;&gt;"",AM93&gt;1.1*R93),"Consented above capacity",IF(AND(LEFT(B93,8)="Planning",AZ93=0),"Consent parcel with no permission",IF(COUNTIF($A$2:$A$3000,$A93)&gt;1,"Duplicate parcel_id","")))</f>
        <v/>
      </c>
    </row>
    <row r="94" customFormat="false" ht="15" hidden="false" customHeight="false" outlineLevel="0" collapsed="false">
      <c r="A94" s="15" t="s">
        <v>300</v>
      </c>
      <c r="B94" s="15" t="s">
        <v>10</v>
      </c>
      <c r="C94" s="15" t="s">
        <v>16</v>
      </c>
      <c r="D94" s="15" t="s">
        <v>56</v>
      </c>
      <c r="E94" s="15" t="s">
        <v>19</v>
      </c>
      <c r="F94" s="15" t="n">
        <v>1</v>
      </c>
      <c r="G94" s="15" t="s">
        <v>158</v>
      </c>
      <c r="H94" s="15" t="n">
        <v>41</v>
      </c>
      <c r="I94" s="15" t="s">
        <v>56</v>
      </c>
      <c r="J94" s="15" t="s">
        <v>182</v>
      </c>
      <c r="K94" s="15" t="s">
        <v>261</v>
      </c>
      <c r="L94" s="15" t="s">
        <v>160</v>
      </c>
      <c r="M94" s="15" t="s">
        <v>234</v>
      </c>
      <c r="N94" s="15" t="s">
        <v>162</v>
      </c>
      <c r="O94" s="15" t="s">
        <v>235</v>
      </c>
      <c r="P94" s="15" t="n">
        <v>0.106</v>
      </c>
      <c r="Q94" s="15" t="n">
        <v>0.107</v>
      </c>
      <c r="R94" s="15" t="n">
        <v>11</v>
      </c>
      <c r="S94" s="15" t="s">
        <v>164</v>
      </c>
      <c r="T94" s="15" t="n">
        <v>4</v>
      </c>
      <c r="U94" s="15"/>
      <c r="V94" s="15"/>
      <c r="W94" s="15"/>
      <c r="X94" s="15" t="s">
        <v>165</v>
      </c>
      <c r="Y94" s="15" t="n">
        <v>34</v>
      </c>
      <c r="Z94" s="15" t="s">
        <v>166</v>
      </c>
      <c r="AA94" s="15"/>
      <c r="AB94" s="15" t="n">
        <v>0</v>
      </c>
      <c r="AC94" s="15" t="n">
        <v>0</v>
      </c>
      <c r="AD94" s="15" t="s">
        <v>167</v>
      </c>
      <c r="AE94" s="15" t="s">
        <v>168</v>
      </c>
      <c r="AF94" s="15" t="s">
        <v>169</v>
      </c>
      <c r="AG94" s="15"/>
      <c r="AH94" s="24" t="n">
        <f aca="false">IF(R94="",AM94,R94)</f>
        <v>11</v>
      </c>
      <c r="AI94" s="24" t="n">
        <f aca="false">SUMIFS(Permissions!$G$2:$G$3000,Permissions!$B$2:$B$3000,$A94,Permissions!$I$2:$I$3000,"Complete",Permissions!$R$2:$R$3000,"Yes")</f>
        <v>0</v>
      </c>
      <c r="AJ94" s="24" t="n">
        <f aca="false">SUMIFS(Permissions!$G$2:$G$3000,Permissions!$B$2:$B$3000,$A94,Permissions!$I$2:$I$3000,"Under construction",Permissions!$R$2:$R$3000,"Yes")</f>
        <v>0</v>
      </c>
      <c r="AK94" s="24" t="n">
        <f aca="false">SUMIFS(Permissions!$G$2:$G$3000,Permissions!$B$2:$B$3000,$A94,Permissions!$I$2:$I$3000,"Permitted – not started",Permissions!$R$2:$R$3000,"Yes")</f>
        <v>0</v>
      </c>
      <c r="AL94" s="24" t="n">
        <f aca="false">SUMIFS(Permissions!$G$2:$G$3000,Permissions!$B$2:$B$3000,$A94,Permissions!$I$2:$I$3000,"Stalled",Permissions!$R$2:$R$3000,"Yes")</f>
        <v>0</v>
      </c>
      <c r="AM94" s="24" t="n">
        <f aca="false">AI94+AJ94+AK94+AL94</f>
        <v>0</v>
      </c>
      <c r="AN94" s="24" t="n">
        <f aca="false">SUMIFS(Permissions!$G$2:$G$3000,Permissions!$B$2:$B$3000,$A94,Permissions!$I$2:$I$3000,"Expired – not started",Permissions!$R$2:$R$3000,"Yes")</f>
        <v>0</v>
      </c>
      <c r="AO94" s="24" t="n">
        <f aca="false">SUMIFS(Permissions!$G$2:$G$3000,Permissions!$B$2:$B$3000,$A94,Permissions!$I$2:$I$3000,"In planning",Permissions!$R$2:$R$3000,"Yes")</f>
        <v>30</v>
      </c>
      <c r="AP94" s="24" t="n">
        <f aca="false">IF(R94="",0,MAX(R94-AM94,0))</f>
        <v>11</v>
      </c>
      <c r="AQ94" s="25" t="n">
        <f aca="false">AM94+AP94</f>
        <v>11</v>
      </c>
      <c r="AR94" s="24" t="n">
        <f aca="false">SUMIFS(Permissions!$L$2:$L$3000,Permissions!$B$2:$B$3000,$A94,Permissions!$R$2:$R$3000,"Yes",Permissions!$I$2:$I$3000,"&lt;&gt;Expired – not started",Permissions!$I$2:$I$3000,"&lt;&gt;In planning")</f>
        <v>0</v>
      </c>
      <c r="AS94" s="24" t="n">
        <f aca="false">AQ94-AR94</f>
        <v>11</v>
      </c>
      <c r="AT94" s="26" t="n">
        <f aca="false">SUMIFS(Permissions!$AJ$2:$AJ$3000,Permissions!$B$2:$B$3000,$A94,Permissions!$R$2:$R$3000,"Yes")</f>
        <v>0</v>
      </c>
      <c r="AU94" s="26" t="n">
        <f aca="false">SUMIFS(Permissions!$AK$2:$AK$3000,Permissions!$B$2:$B$3000,$A94,Permissions!$R$2:$R$3000,"Yes")</f>
        <v>0</v>
      </c>
      <c r="AV94" s="26" t="n">
        <f aca="false">SUMIFS(Permissions!$AL$2:$AL$3000,Permissions!$B$2:$B$3000,$A94,Permissions!$R$2:$R$3000,"Yes")</f>
        <v>0</v>
      </c>
      <c r="AW94" s="26" t="n">
        <f aca="false">SUMIFS(Permissions!$AM$2:$AM$3000,Permissions!$B$2:$B$3000,$A94,Permissions!$R$2:$R$3000,"Yes")</f>
        <v>0</v>
      </c>
      <c r="AX94" s="26" t="n">
        <f aca="false">SUMIFS(Permissions!$AN$2:$AN$3000,Permissions!$B$2:$B$3000,$A94,Permissions!$R$2:$R$3000,"Yes")</f>
        <v>0</v>
      </c>
      <c r="AY94" s="26" t="n">
        <f aca="false">SUMIFS(Permissions!$AO$2:$AO$3000,Permissions!$B$2:$B$3000,$A94,Permissions!$R$2:$R$3000,"Yes")</f>
        <v>0</v>
      </c>
      <c r="AZ94" s="24" t="n">
        <f aca="false">COUNTIFS(Permissions!$B$2:$B$3000,$A94,Permissions!$R$2:$R$3000,"Yes")</f>
        <v>1</v>
      </c>
      <c r="BA94" s="24" t="n">
        <f aca="false">SUMIFS(Permissions!$M$2:$M$3000,Permissions!$B$2:$B$3000,$A94,Permissions!$R$2:$R$3000,"Yes")</f>
        <v>0</v>
      </c>
      <c r="BB94" s="24" t="n">
        <f aca="false">SUMIFS(Permissions!$O$2:$O$3000,Permissions!$B$2:$B$3000,$A94,Permissions!$R$2:$R$3000,"Yes")</f>
        <v>0</v>
      </c>
      <c r="BC94" s="27" t="str">
        <f aca="false">IF(AND(AM94&gt;0,AR94&gt;=AM94,AP94=0),"Finished",IF(AR94&gt;0,"Partly built",IF(AM94&gt;0,"Consented – not built","No consent")))</f>
        <v>No consent</v>
      </c>
      <c r="BD94" s="28" t="str">
        <f aca="false">IF(AND(R94&lt;&gt;"",AM94&gt;1.1*R94),"Consented above capacity",IF(AND(LEFT(B94,8)="Planning",AZ94=0),"Consent parcel with no permission",IF(COUNTIF($A$2:$A$3000,$A94)&gt;1,"Duplicate parcel_id","")))</f>
        <v/>
      </c>
    </row>
    <row r="95" customFormat="false" ht="15" hidden="false" customHeight="false" outlineLevel="0" collapsed="false">
      <c r="A95" s="15" t="s">
        <v>301</v>
      </c>
      <c r="B95" s="15" t="s">
        <v>10</v>
      </c>
      <c r="C95" s="15" t="s">
        <v>16</v>
      </c>
      <c r="D95" s="15" t="s">
        <v>57</v>
      </c>
      <c r="E95" s="15" t="s">
        <v>19</v>
      </c>
      <c r="F95" s="15" t="n">
        <v>1</v>
      </c>
      <c r="G95" s="15" t="s">
        <v>158</v>
      </c>
      <c r="H95" s="15" t="n">
        <v>109</v>
      </c>
      <c r="I95" s="15" t="s">
        <v>57</v>
      </c>
      <c r="J95" s="15" t="s">
        <v>182</v>
      </c>
      <c r="K95" s="15" t="s">
        <v>302</v>
      </c>
      <c r="L95" s="15" t="s">
        <v>160</v>
      </c>
      <c r="M95" s="15" t="s">
        <v>161</v>
      </c>
      <c r="N95" s="15" t="s">
        <v>172</v>
      </c>
      <c r="O95" s="15" t="s">
        <v>163</v>
      </c>
      <c r="P95" s="15" t="n">
        <v>0.26</v>
      </c>
      <c r="Q95" s="15" t="n">
        <v>0.261</v>
      </c>
      <c r="R95" s="15" t="n">
        <v>12</v>
      </c>
      <c r="S95" s="15" t="s">
        <v>164</v>
      </c>
      <c r="T95" s="15" t="n">
        <v>9</v>
      </c>
      <c r="U95" s="15"/>
      <c r="V95" s="15"/>
      <c r="W95" s="15"/>
      <c r="X95" s="15" t="s">
        <v>165</v>
      </c>
      <c r="Y95" s="15" t="n">
        <v>34</v>
      </c>
      <c r="Z95" s="15" t="s">
        <v>166</v>
      </c>
      <c r="AA95" s="15"/>
      <c r="AB95" s="15" t="n">
        <v>0</v>
      </c>
      <c r="AC95" s="15" t="n">
        <v>0</v>
      </c>
      <c r="AD95" s="15" t="s">
        <v>167</v>
      </c>
      <c r="AE95" s="15" t="s">
        <v>168</v>
      </c>
      <c r="AF95" s="15" t="s">
        <v>169</v>
      </c>
      <c r="AG95" s="15"/>
      <c r="AH95" s="24" t="n">
        <f aca="false">IF(R95="",AM95,R95)</f>
        <v>12</v>
      </c>
      <c r="AI95" s="24" t="n">
        <f aca="false">SUMIFS(Permissions!$G$2:$G$3000,Permissions!$B$2:$B$3000,$A95,Permissions!$I$2:$I$3000,"Complete",Permissions!$R$2:$R$3000,"Yes")</f>
        <v>0</v>
      </c>
      <c r="AJ95" s="24" t="n">
        <f aca="false">SUMIFS(Permissions!$G$2:$G$3000,Permissions!$B$2:$B$3000,$A95,Permissions!$I$2:$I$3000,"Under construction",Permissions!$R$2:$R$3000,"Yes")</f>
        <v>0</v>
      </c>
      <c r="AK95" s="24" t="n">
        <f aca="false">SUMIFS(Permissions!$G$2:$G$3000,Permissions!$B$2:$B$3000,$A95,Permissions!$I$2:$I$3000,"Permitted – not started",Permissions!$R$2:$R$3000,"Yes")</f>
        <v>0</v>
      </c>
      <c r="AL95" s="24" t="n">
        <f aca="false">SUMIFS(Permissions!$G$2:$G$3000,Permissions!$B$2:$B$3000,$A95,Permissions!$I$2:$I$3000,"Stalled",Permissions!$R$2:$R$3000,"Yes")</f>
        <v>0</v>
      </c>
      <c r="AM95" s="24" t="n">
        <f aca="false">AI95+AJ95+AK95+AL95</f>
        <v>0</v>
      </c>
      <c r="AN95" s="24" t="n">
        <f aca="false">SUMIFS(Permissions!$G$2:$G$3000,Permissions!$B$2:$B$3000,$A95,Permissions!$I$2:$I$3000,"Expired – not started",Permissions!$R$2:$R$3000,"Yes")</f>
        <v>0</v>
      </c>
      <c r="AO95" s="24" t="n">
        <f aca="false">SUMIFS(Permissions!$G$2:$G$3000,Permissions!$B$2:$B$3000,$A95,Permissions!$I$2:$I$3000,"In planning",Permissions!$R$2:$R$3000,"Yes")</f>
        <v>0</v>
      </c>
      <c r="AP95" s="24" t="n">
        <f aca="false">IF(R95="",0,MAX(R95-AM95,0))</f>
        <v>12</v>
      </c>
      <c r="AQ95" s="25" t="n">
        <f aca="false">AM95+AP95</f>
        <v>12</v>
      </c>
      <c r="AR95" s="24" t="n">
        <f aca="false">SUMIFS(Permissions!$L$2:$L$3000,Permissions!$B$2:$B$3000,$A95,Permissions!$R$2:$R$3000,"Yes",Permissions!$I$2:$I$3000,"&lt;&gt;Expired – not started",Permissions!$I$2:$I$3000,"&lt;&gt;In planning")</f>
        <v>0</v>
      </c>
      <c r="AS95" s="24" t="n">
        <f aca="false">AQ95-AR95</f>
        <v>12</v>
      </c>
      <c r="AT95" s="26" t="n">
        <f aca="false">SUMIFS(Permissions!$AJ$2:$AJ$3000,Permissions!$B$2:$B$3000,$A95,Permissions!$R$2:$R$3000,"Yes")</f>
        <v>0</v>
      </c>
      <c r="AU95" s="26" t="n">
        <f aca="false">SUMIFS(Permissions!$AK$2:$AK$3000,Permissions!$B$2:$B$3000,$A95,Permissions!$R$2:$R$3000,"Yes")</f>
        <v>0</v>
      </c>
      <c r="AV95" s="26" t="n">
        <f aca="false">SUMIFS(Permissions!$AL$2:$AL$3000,Permissions!$B$2:$B$3000,$A95,Permissions!$R$2:$R$3000,"Yes")</f>
        <v>0</v>
      </c>
      <c r="AW95" s="26" t="n">
        <f aca="false">SUMIFS(Permissions!$AM$2:$AM$3000,Permissions!$B$2:$B$3000,$A95,Permissions!$R$2:$R$3000,"Yes")</f>
        <v>0</v>
      </c>
      <c r="AX95" s="26" t="n">
        <f aca="false">SUMIFS(Permissions!$AN$2:$AN$3000,Permissions!$B$2:$B$3000,$A95,Permissions!$R$2:$R$3000,"Yes")</f>
        <v>0</v>
      </c>
      <c r="AY95" s="26" t="n">
        <f aca="false">SUMIFS(Permissions!$AO$2:$AO$3000,Permissions!$B$2:$B$3000,$A95,Permissions!$R$2:$R$3000,"Yes")</f>
        <v>0</v>
      </c>
      <c r="AZ95" s="24" t="n">
        <f aca="false">COUNTIFS(Permissions!$B$2:$B$3000,$A95,Permissions!$R$2:$R$3000,"Yes")</f>
        <v>0</v>
      </c>
      <c r="BA95" s="24" t="n">
        <f aca="false">SUMIFS(Permissions!$M$2:$M$3000,Permissions!$B$2:$B$3000,$A95,Permissions!$R$2:$R$3000,"Yes")</f>
        <v>0</v>
      </c>
      <c r="BB95" s="24" t="n">
        <f aca="false">SUMIFS(Permissions!$O$2:$O$3000,Permissions!$B$2:$B$3000,$A95,Permissions!$R$2:$R$3000,"Yes")</f>
        <v>0</v>
      </c>
      <c r="BC95" s="27" t="str">
        <f aca="false">IF(AND(AM95&gt;0,AR95&gt;=AM95,AP95=0),"Finished",IF(AR95&gt;0,"Partly built",IF(AM95&gt;0,"Consented – not built","No consent")))</f>
        <v>No consent</v>
      </c>
      <c r="BD95" s="28" t="str">
        <f aca="false">IF(AND(R95&lt;&gt;"",AM95&gt;1.1*R95),"Consented above capacity",IF(AND(LEFT(B95,8)="Planning",AZ95=0),"Consent parcel with no permission",IF(COUNTIF($A$2:$A$3000,$A95)&gt;1,"Duplicate parcel_id","")))</f>
        <v/>
      </c>
    </row>
    <row r="96" customFormat="false" ht="15" hidden="false" customHeight="false" outlineLevel="0" collapsed="false">
      <c r="A96" s="15" t="s">
        <v>303</v>
      </c>
      <c r="B96" s="15" t="s">
        <v>10</v>
      </c>
      <c r="C96" s="15" t="s">
        <v>16</v>
      </c>
      <c r="D96" s="15" t="s">
        <v>57</v>
      </c>
      <c r="E96" s="15" t="s">
        <v>19</v>
      </c>
      <c r="F96" s="15" t="n">
        <v>1</v>
      </c>
      <c r="G96" s="15" t="s">
        <v>158</v>
      </c>
      <c r="H96" s="15" t="n">
        <v>169</v>
      </c>
      <c r="I96" s="15" t="s">
        <v>57</v>
      </c>
      <c r="J96" s="15" t="s">
        <v>182</v>
      </c>
      <c r="K96" s="15"/>
      <c r="L96" s="15" t="s">
        <v>189</v>
      </c>
      <c r="M96" s="15"/>
      <c r="N96" s="15"/>
      <c r="O96" s="15"/>
      <c r="P96" s="15" t="n">
        <v>0.424</v>
      </c>
      <c r="Q96" s="15" t="n">
        <v>0.423</v>
      </c>
      <c r="R96" s="15" t="n">
        <v>14</v>
      </c>
      <c r="S96" s="15" t="s">
        <v>239</v>
      </c>
      <c r="T96" s="15" t="n">
        <v>14</v>
      </c>
      <c r="U96" s="15"/>
      <c r="V96" s="15"/>
      <c r="W96" s="15"/>
      <c r="X96" s="15" t="s">
        <v>165</v>
      </c>
      <c r="Y96" s="15" t="n">
        <v>34</v>
      </c>
      <c r="Z96" s="15" t="s">
        <v>304</v>
      </c>
      <c r="AA96" s="15"/>
      <c r="AB96" s="15" t="n">
        <v>0</v>
      </c>
      <c r="AC96" s="15" t="n">
        <v>0</v>
      </c>
      <c r="AD96" s="15"/>
      <c r="AE96" s="15"/>
      <c r="AF96" s="15" t="s">
        <v>169</v>
      </c>
      <c r="AG96" s="15"/>
      <c r="AH96" s="24" t="n">
        <f aca="false">IF(R96="",AM96,R96)</f>
        <v>14</v>
      </c>
      <c r="AI96" s="24" t="n">
        <f aca="false">SUMIFS(Permissions!$G$2:$G$3000,Permissions!$B$2:$B$3000,$A96,Permissions!$I$2:$I$3000,"Complete",Permissions!$R$2:$R$3000,"Yes")</f>
        <v>0</v>
      </c>
      <c r="AJ96" s="24" t="n">
        <f aca="false">SUMIFS(Permissions!$G$2:$G$3000,Permissions!$B$2:$B$3000,$A96,Permissions!$I$2:$I$3000,"Under construction",Permissions!$R$2:$R$3000,"Yes")</f>
        <v>0</v>
      </c>
      <c r="AK96" s="24" t="n">
        <f aca="false">SUMIFS(Permissions!$G$2:$G$3000,Permissions!$B$2:$B$3000,$A96,Permissions!$I$2:$I$3000,"Permitted – not started",Permissions!$R$2:$R$3000,"Yes")</f>
        <v>0</v>
      </c>
      <c r="AL96" s="24" t="n">
        <f aca="false">SUMIFS(Permissions!$G$2:$G$3000,Permissions!$B$2:$B$3000,$A96,Permissions!$I$2:$I$3000,"Stalled",Permissions!$R$2:$R$3000,"Yes")</f>
        <v>0</v>
      </c>
      <c r="AM96" s="24" t="n">
        <f aca="false">AI96+AJ96+AK96+AL96</f>
        <v>0</v>
      </c>
      <c r="AN96" s="24" t="n">
        <f aca="false">SUMIFS(Permissions!$G$2:$G$3000,Permissions!$B$2:$B$3000,$A96,Permissions!$I$2:$I$3000,"Expired – not started",Permissions!$R$2:$R$3000,"Yes")</f>
        <v>0</v>
      </c>
      <c r="AO96" s="24" t="n">
        <f aca="false">SUMIFS(Permissions!$G$2:$G$3000,Permissions!$B$2:$B$3000,$A96,Permissions!$I$2:$I$3000,"In planning",Permissions!$R$2:$R$3000,"Yes")</f>
        <v>0</v>
      </c>
      <c r="AP96" s="24" t="n">
        <f aca="false">IF(R96="",0,MAX(R96-AM96,0))</f>
        <v>14</v>
      </c>
      <c r="AQ96" s="25" t="n">
        <f aca="false">AM96+AP96</f>
        <v>14</v>
      </c>
      <c r="AR96" s="24" t="n">
        <f aca="false">SUMIFS(Permissions!$L$2:$L$3000,Permissions!$B$2:$B$3000,$A96,Permissions!$R$2:$R$3000,"Yes",Permissions!$I$2:$I$3000,"&lt;&gt;Expired – not started",Permissions!$I$2:$I$3000,"&lt;&gt;In planning")</f>
        <v>0</v>
      </c>
      <c r="AS96" s="24" t="n">
        <f aca="false">AQ96-AR96</f>
        <v>14</v>
      </c>
      <c r="AT96" s="26" t="n">
        <f aca="false">SUMIFS(Permissions!$AJ$2:$AJ$3000,Permissions!$B$2:$B$3000,$A96,Permissions!$R$2:$R$3000,"Yes")</f>
        <v>0</v>
      </c>
      <c r="AU96" s="26" t="n">
        <f aca="false">SUMIFS(Permissions!$AK$2:$AK$3000,Permissions!$B$2:$B$3000,$A96,Permissions!$R$2:$R$3000,"Yes")</f>
        <v>0</v>
      </c>
      <c r="AV96" s="26" t="n">
        <f aca="false">SUMIFS(Permissions!$AL$2:$AL$3000,Permissions!$B$2:$B$3000,$A96,Permissions!$R$2:$R$3000,"Yes")</f>
        <v>0</v>
      </c>
      <c r="AW96" s="26" t="n">
        <f aca="false">SUMIFS(Permissions!$AM$2:$AM$3000,Permissions!$B$2:$B$3000,$A96,Permissions!$R$2:$R$3000,"Yes")</f>
        <v>0</v>
      </c>
      <c r="AX96" s="26" t="n">
        <f aca="false">SUMIFS(Permissions!$AN$2:$AN$3000,Permissions!$B$2:$B$3000,$A96,Permissions!$R$2:$R$3000,"Yes")</f>
        <v>0</v>
      </c>
      <c r="AY96" s="26" t="n">
        <f aca="false">SUMIFS(Permissions!$AO$2:$AO$3000,Permissions!$B$2:$B$3000,$A96,Permissions!$R$2:$R$3000,"Yes")</f>
        <v>0</v>
      </c>
      <c r="AZ96" s="24" t="n">
        <f aca="false">COUNTIFS(Permissions!$B$2:$B$3000,$A96,Permissions!$R$2:$R$3000,"Yes")</f>
        <v>0</v>
      </c>
      <c r="BA96" s="24" t="n">
        <f aca="false">SUMIFS(Permissions!$M$2:$M$3000,Permissions!$B$2:$B$3000,$A96,Permissions!$R$2:$R$3000,"Yes")</f>
        <v>0</v>
      </c>
      <c r="BB96" s="24" t="n">
        <f aca="false">SUMIFS(Permissions!$O$2:$O$3000,Permissions!$B$2:$B$3000,$A96,Permissions!$R$2:$R$3000,"Yes")</f>
        <v>0</v>
      </c>
      <c r="BC96" s="27" t="str">
        <f aca="false">IF(AND(AM96&gt;0,AR96&gt;=AM96,AP96=0),"Finished",IF(AR96&gt;0,"Partly built",IF(AM96&gt;0,"Consented – not built","No consent")))</f>
        <v>No consent</v>
      </c>
      <c r="BD96" s="28" t="str">
        <f aca="false">IF(AND(R96&lt;&gt;"",AM96&gt;1.1*R96),"Consented above capacity",IF(AND(LEFT(B96,8)="Planning",AZ96=0),"Consent parcel with no permission",IF(COUNTIF($A$2:$A$3000,$A96)&gt;1,"Duplicate parcel_id","")))</f>
        <v/>
      </c>
    </row>
    <row r="97" customFormat="false" ht="15" hidden="false" customHeight="false" outlineLevel="0" collapsed="false">
      <c r="A97" s="15" t="s">
        <v>305</v>
      </c>
      <c r="B97" s="15" t="s">
        <v>10</v>
      </c>
      <c r="C97" s="15" t="s">
        <v>16</v>
      </c>
      <c r="D97" s="15" t="s">
        <v>57</v>
      </c>
      <c r="E97" s="15" t="s">
        <v>19</v>
      </c>
      <c r="F97" s="15" t="n">
        <v>1</v>
      </c>
      <c r="G97" s="15" t="s">
        <v>158</v>
      </c>
      <c r="H97" s="15" t="n">
        <v>43</v>
      </c>
      <c r="I97" s="15" t="s">
        <v>57</v>
      </c>
      <c r="J97" s="15" t="s">
        <v>182</v>
      </c>
      <c r="K97" s="15" t="s">
        <v>302</v>
      </c>
      <c r="L97" s="15" t="s">
        <v>176</v>
      </c>
      <c r="M97" s="15" t="s">
        <v>161</v>
      </c>
      <c r="N97" s="15" t="s">
        <v>162</v>
      </c>
      <c r="O97" s="15" t="s">
        <v>163</v>
      </c>
      <c r="P97" s="15" t="n">
        <v>4.191</v>
      </c>
      <c r="Q97" s="15" t="n">
        <v>4.19</v>
      </c>
      <c r="R97" s="15" t="n">
        <v>188</v>
      </c>
      <c r="S97" s="15" t="s">
        <v>164</v>
      </c>
      <c r="T97" s="15" t="n">
        <v>142</v>
      </c>
      <c r="U97" s="15"/>
      <c r="V97" s="15"/>
      <c r="W97" s="15"/>
      <c r="X97" s="15" t="s">
        <v>165</v>
      </c>
      <c r="Y97" s="15" t="n">
        <v>34</v>
      </c>
      <c r="Z97" s="15" t="s">
        <v>166</v>
      </c>
      <c r="AA97" s="15"/>
      <c r="AB97" s="15" t="n">
        <v>0</v>
      </c>
      <c r="AC97" s="15" t="n">
        <v>0</v>
      </c>
      <c r="AD97" s="15" t="s">
        <v>167</v>
      </c>
      <c r="AE97" s="15" t="s">
        <v>168</v>
      </c>
      <c r="AF97" s="15" t="s">
        <v>169</v>
      </c>
      <c r="AG97" s="15"/>
      <c r="AH97" s="24" t="n">
        <f aca="false">IF(R97="",AM97,R97)</f>
        <v>188</v>
      </c>
      <c r="AI97" s="24" t="n">
        <f aca="false">SUMIFS(Permissions!$G$2:$G$3000,Permissions!$B$2:$B$3000,$A97,Permissions!$I$2:$I$3000,"Complete",Permissions!$R$2:$R$3000,"Yes")</f>
        <v>0</v>
      </c>
      <c r="AJ97" s="24" t="n">
        <f aca="false">SUMIFS(Permissions!$G$2:$G$3000,Permissions!$B$2:$B$3000,$A97,Permissions!$I$2:$I$3000,"Under construction",Permissions!$R$2:$R$3000,"Yes")</f>
        <v>0</v>
      </c>
      <c r="AK97" s="24" t="n">
        <f aca="false">SUMIFS(Permissions!$G$2:$G$3000,Permissions!$B$2:$B$3000,$A97,Permissions!$I$2:$I$3000,"Permitted – not started",Permissions!$R$2:$R$3000,"Yes")</f>
        <v>0</v>
      </c>
      <c r="AL97" s="24" t="n">
        <f aca="false">SUMIFS(Permissions!$G$2:$G$3000,Permissions!$B$2:$B$3000,$A97,Permissions!$I$2:$I$3000,"Stalled",Permissions!$R$2:$R$3000,"Yes")</f>
        <v>0</v>
      </c>
      <c r="AM97" s="24" t="n">
        <f aca="false">AI97+AJ97+AK97+AL97</f>
        <v>0</v>
      </c>
      <c r="AN97" s="24" t="n">
        <f aca="false">SUMIFS(Permissions!$G$2:$G$3000,Permissions!$B$2:$B$3000,$A97,Permissions!$I$2:$I$3000,"Expired – not started",Permissions!$R$2:$R$3000,"Yes")</f>
        <v>0</v>
      </c>
      <c r="AO97" s="24" t="n">
        <f aca="false">SUMIFS(Permissions!$G$2:$G$3000,Permissions!$B$2:$B$3000,$A97,Permissions!$I$2:$I$3000,"In planning",Permissions!$R$2:$R$3000,"Yes")</f>
        <v>0</v>
      </c>
      <c r="AP97" s="24" t="n">
        <f aca="false">IF(R97="",0,MAX(R97-AM97,0))</f>
        <v>188</v>
      </c>
      <c r="AQ97" s="25" t="n">
        <f aca="false">AM97+AP97</f>
        <v>188</v>
      </c>
      <c r="AR97" s="24" t="n">
        <f aca="false">SUMIFS(Permissions!$L$2:$L$3000,Permissions!$B$2:$B$3000,$A97,Permissions!$R$2:$R$3000,"Yes",Permissions!$I$2:$I$3000,"&lt;&gt;Expired – not started",Permissions!$I$2:$I$3000,"&lt;&gt;In planning")</f>
        <v>0</v>
      </c>
      <c r="AS97" s="24" t="n">
        <f aca="false">AQ97-AR97</f>
        <v>188</v>
      </c>
      <c r="AT97" s="26" t="n">
        <f aca="false">SUMIFS(Permissions!$AJ$2:$AJ$3000,Permissions!$B$2:$B$3000,$A97,Permissions!$R$2:$R$3000,"Yes")</f>
        <v>0</v>
      </c>
      <c r="AU97" s="26" t="n">
        <f aca="false">SUMIFS(Permissions!$AK$2:$AK$3000,Permissions!$B$2:$B$3000,$A97,Permissions!$R$2:$R$3000,"Yes")</f>
        <v>0</v>
      </c>
      <c r="AV97" s="26" t="n">
        <f aca="false">SUMIFS(Permissions!$AL$2:$AL$3000,Permissions!$B$2:$B$3000,$A97,Permissions!$R$2:$R$3000,"Yes")</f>
        <v>0</v>
      </c>
      <c r="AW97" s="26" t="n">
        <f aca="false">SUMIFS(Permissions!$AM$2:$AM$3000,Permissions!$B$2:$B$3000,$A97,Permissions!$R$2:$R$3000,"Yes")</f>
        <v>0</v>
      </c>
      <c r="AX97" s="26" t="n">
        <f aca="false">SUMIFS(Permissions!$AN$2:$AN$3000,Permissions!$B$2:$B$3000,$A97,Permissions!$R$2:$R$3000,"Yes")</f>
        <v>0</v>
      </c>
      <c r="AY97" s="26" t="n">
        <f aca="false">SUMIFS(Permissions!$AO$2:$AO$3000,Permissions!$B$2:$B$3000,$A97,Permissions!$R$2:$R$3000,"Yes")</f>
        <v>0</v>
      </c>
      <c r="AZ97" s="24" t="n">
        <f aca="false">COUNTIFS(Permissions!$B$2:$B$3000,$A97,Permissions!$R$2:$R$3000,"Yes")</f>
        <v>0</v>
      </c>
      <c r="BA97" s="24" t="n">
        <f aca="false">SUMIFS(Permissions!$M$2:$M$3000,Permissions!$B$2:$B$3000,$A97,Permissions!$R$2:$R$3000,"Yes")</f>
        <v>0</v>
      </c>
      <c r="BB97" s="24" t="n">
        <f aca="false">SUMIFS(Permissions!$O$2:$O$3000,Permissions!$B$2:$B$3000,$A97,Permissions!$R$2:$R$3000,"Yes")</f>
        <v>0</v>
      </c>
      <c r="BC97" s="27" t="str">
        <f aca="false">IF(AND(AM97&gt;0,AR97&gt;=AM97,AP97=0),"Finished",IF(AR97&gt;0,"Partly built",IF(AM97&gt;0,"Consented – not built","No consent")))</f>
        <v>No consent</v>
      </c>
      <c r="BD97" s="28" t="str">
        <f aca="false">IF(AND(R97&lt;&gt;"",AM97&gt;1.1*R97),"Consented above capacity",IF(AND(LEFT(B97,8)="Planning",AZ97=0),"Consent parcel with no permission",IF(COUNTIF($A$2:$A$3000,$A97)&gt;1,"Duplicate parcel_id","")))</f>
        <v/>
      </c>
    </row>
    <row r="98" customFormat="false" ht="15" hidden="false" customHeight="false" outlineLevel="0" collapsed="false">
      <c r="A98" s="15" t="s">
        <v>306</v>
      </c>
      <c r="B98" s="15" t="s">
        <v>10</v>
      </c>
      <c r="C98" s="15" t="s">
        <v>16</v>
      </c>
      <c r="D98" s="15" t="s">
        <v>57</v>
      </c>
      <c r="E98" s="15" t="s">
        <v>19</v>
      </c>
      <c r="F98" s="15" t="n">
        <v>1</v>
      </c>
      <c r="G98" s="15" t="s">
        <v>158</v>
      </c>
      <c r="H98" s="15" t="n">
        <v>45</v>
      </c>
      <c r="I98" s="15" t="s">
        <v>57</v>
      </c>
      <c r="J98" s="15" t="s">
        <v>182</v>
      </c>
      <c r="K98" s="15" t="s">
        <v>302</v>
      </c>
      <c r="L98" s="15" t="s">
        <v>176</v>
      </c>
      <c r="M98" s="15" t="s">
        <v>161</v>
      </c>
      <c r="N98" s="15" t="s">
        <v>172</v>
      </c>
      <c r="O98" s="15" t="s">
        <v>163</v>
      </c>
      <c r="P98" s="15" t="n">
        <v>0.452</v>
      </c>
      <c r="Q98" s="15" t="n">
        <v>0.452</v>
      </c>
      <c r="R98" s="15" t="n">
        <v>20</v>
      </c>
      <c r="S98" s="15" t="s">
        <v>164</v>
      </c>
      <c r="T98" s="15" t="n">
        <v>15</v>
      </c>
      <c r="U98" s="15"/>
      <c r="V98" s="15"/>
      <c r="W98" s="15"/>
      <c r="X98" s="15" t="s">
        <v>165</v>
      </c>
      <c r="Y98" s="15" t="n">
        <v>34</v>
      </c>
      <c r="Z98" s="15" t="s">
        <v>166</v>
      </c>
      <c r="AA98" s="15"/>
      <c r="AB98" s="15" t="n">
        <v>0</v>
      </c>
      <c r="AC98" s="15" t="n">
        <v>0</v>
      </c>
      <c r="AD98" s="15" t="s">
        <v>167</v>
      </c>
      <c r="AE98" s="15" t="s">
        <v>168</v>
      </c>
      <c r="AF98" s="15" t="s">
        <v>169</v>
      </c>
      <c r="AG98" s="15"/>
      <c r="AH98" s="24" t="n">
        <f aca="false">IF(R98="",AM98,R98)</f>
        <v>20</v>
      </c>
      <c r="AI98" s="24" t="n">
        <f aca="false">SUMIFS(Permissions!$G$2:$G$3000,Permissions!$B$2:$B$3000,$A98,Permissions!$I$2:$I$3000,"Complete",Permissions!$R$2:$R$3000,"Yes")</f>
        <v>0</v>
      </c>
      <c r="AJ98" s="24" t="n">
        <f aca="false">SUMIFS(Permissions!$G$2:$G$3000,Permissions!$B$2:$B$3000,$A98,Permissions!$I$2:$I$3000,"Under construction",Permissions!$R$2:$R$3000,"Yes")</f>
        <v>0</v>
      </c>
      <c r="AK98" s="24" t="n">
        <f aca="false">SUMIFS(Permissions!$G$2:$G$3000,Permissions!$B$2:$B$3000,$A98,Permissions!$I$2:$I$3000,"Permitted – not started",Permissions!$R$2:$R$3000,"Yes")</f>
        <v>0</v>
      </c>
      <c r="AL98" s="24" t="n">
        <f aca="false">SUMIFS(Permissions!$G$2:$G$3000,Permissions!$B$2:$B$3000,$A98,Permissions!$I$2:$I$3000,"Stalled",Permissions!$R$2:$R$3000,"Yes")</f>
        <v>0</v>
      </c>
      <c r="AM98" s="24" t="n">
        <f aca="false">AI98+AJ98+AK98+AL98</f>
        <v>0</v>
      </c>
      <c r="AN98" s="24" t="n">
        <f aca="false">SUMIFS(Permissions!$G$2:$G$3000,Permissions!$B$2:$B$3000,$A98,Permissions!$I$2:$I$3000,"Expired – not started",Permissions!$R$2:$R$3000,"Yes")</f>
        <v>0</v>
      </c>
      <c r="AO98" s="24" t="n">
        <f aca="false">SUMIFS(Permissions!$G$2:$G$3000,Permissions!$B$2:$B$3000,$A98,Permissions!$I$2:$I$3000,"In planning",Permissions!$R$2:$R$3000,"Yes")</f>
        <v>0</v>
      </c>
      <c r="AP98" s="24" t="n">
        <f aca="false">IF(R98="",0,MAX(R98-AM98,0))</f>
        <v>20</v>
      </c>
      <c r="AQ98" s="25" t="n">
        <f aca="false">AM98+AP98</f>
        <v>20</v>
      </c>
      <c r="AR98" s="24" t="n">
        <f aca="false">SUMIFS(Permissions!$L$2:$L$3000,Permissions!$B$2:$B$3000,$A98,Permissions!$R$2:$R$3000,"Yes",Permissions!$I$2:$I$3000,"&lt;&gt;Expired – not started",Permissions!$I$2:$I$3000,"&lt;&gt;In planning")</f>
        <v>0</v>
      </c>
      <c r="AS98" s="24" t="n">
        <f aca="false">AQ98-AR98</f>
        <v>20</v>
      </c>
      <c r="AT98" s="26" t="n">
        <f aca="false">SUMIFS(Permissions!$AJ$2:$AJ$3000,Permissions!$B$2:$B$3000,$A98,Permissions!$R$2:$R$3000,"Yes")</f>
        <v>0</v>
      </c>
      <c r="AU98" s="26" t="n">
        <f aca="false">SUMIFS(Permissions!$AK$2:$AK$3000,Permissions!$B$2:$B$3000,$A98,Permissions!$R$2:$R$3000,"Yes")</f>
        <v>0</v>
      </c>
      <c r="AV98" s="26" t="n">
        <f aca="false">SUMIFS(Permissions!$AL$2:$AL$3000,Permissions!$B$2:$B$3000,$A98,Permissions!$R$2:$R$3000,"Yes")</f>
        <v>0</v>
      </c>
      <c r="AW98" s="26" t="n">
        <f aca="false">SUMIFS(Permissions!$AM$2:$AM$3000,Permissions!$B$2:$B$3000,$A98,Permissions!$R$2:$R$3000,"Yes")</f>
        <v>0</v>
      </c>
      <c r="AX98" s="26" t="n">
        <f aca="false">SUMIFS(Permissions!$AN$2:$AN$3000,Permissions!$B$2:$B$3000,$A98,Permissions!$R$2:$R$3000,"Yes")</f>
        <v>0</v>
      </c>
      <c r="AY98" s="26" t="n">
        <f aca="false">SUMIFS(Permissions!$AO$2:$AO$3000,Permissions!$B$2:$B$3000,$A98,Permissions!$R$2:$R$3000,"Yes")</f>
        <v>0</v>
      </c>
      <c r="AZ98" s="24" t="n">
        <f aca="false">COUNTIFS(Permissions!$B$2:$B$3000,$A98,Permissions!$R$2:$R$3000,"Yes")</f>
        <v>0</v>
      </c>
      <c r="BA98" s="24" t="n">
        <f aca="false">SUMIFS(Permissions!$M$2:$M$3000,Permissions!$B$2:$B$3000,$A98,Permissions!$R$2:$R$3000,"Yes")</f>
        <v>0</v>
      </c>
      <c r="BB98" s="24" t="n">
        <f aca="false">SUMIFS(Permissions!$O$2:$O$3000,Permissions!$B$2:$B$3000,$A98,Permissions!$R$2:$R$3000,"Yes")</f>
        <v>0</v>
      </c>
      <c r="BC98" s="27" t="str">
        <f aca="false">IF(AND(AM98&gt;0,AR98&gt;=AM98,AP98=0),"Finished",IF(AR98&gt;0,"Partly built",IF(AM98&gt;0,"Consented – not built","No consent")))</f>
        <v>No consent</v>
      </c>
      <c r="BD98" s="28" t="str">
        <f aca="false">IF(AND(R98&lt;&gt;"",AM98&gt;1.1*R98),"Consented above capacity",IF(AND(LEFT(B98,8)="Planning",AZ98=0),"Consent parcel with no permission",IF(COUNTIF($A$2:$A$3000,$A98)&gt;1,"Duplicate parcel_id","")))</f>
        <v/>
      </c>
    </row>
    <row r="99" customFormat="false" ht="15" hidden="false" customHeight="false" outlineLevel="0" collapsed="false">
      <c r="A99" s="15" t="s">
        <v>307</v>
      </c>
      <c r="B99" s="15" t="s">
        <v>10</v>
      </c>
      <c r="C99" s="15" t="s">
        <v>16</v>
      </c>
      <c r="D99" s="15" t="s">
        <v>57</v>
      </c>
      <c r="E99" s="15" t="s">
        <v>19</v>
      </c>
      <c r="F99" s="15" t="n">
        <v>1</v>
      </c>
      <c r="G99" s="15" t="s">
        <v>158</v>
      </c>
      <c r="H99" s="15" t="n">
        <v>46</v>
      </c>
      <c r="I99" s="15" t="s">
        <v>57</v>
      </c>
      <c r="J99" s="15" t="s">
        <v>182</v>
      </c>
      <c r="K99" s="15" t="s">
        <v>302</v>
      </c>
      <c r="L99" s="15" t="s">
        <v>176</v>
      </c>
      <c r="M99" s="15" t="s">
        <v>161</v>
      </c>
      <c r="N99" s="15" t="s">
        <v>172</v>
      </c>
      <c r="O99" s="15" t="s">
        <v>163</v>
      </c>
      <c r="P99" s="15" t="n">
        <v>0.912</v>
      </c>
      <c r="Q99" s="15" t="n">
        <v>0.912</v>
      </c>
      <c r="R99" s="15" t="n">
        <v>41</v>
      </c>
      <c r="S99" s="15" t="s">
        <v>164</v>
      </c>
      <c r="T99" s="15" t="n">
        <v>31</v>
      </c>
      <c r="U99" s="15"/>
      <c r="V99" s="15"/>
      <c r="W99" s="15"/>
      <c r="X99" s="15" t="s">
        <v>165</v>
      </c>
      <c r="Y99" s="15" t="n">
        <v>34</v>
      </c>
      <c r="Z99" s="15" t="s">
        <v>166</v>
      </c>
      <c r="AA99" s="15"/>
      <c r="AB99" s="15" t="n">
        <v>0</v>
      </c>
      <c r="AC99" s="15" t="n">
        <v>0</v>
      </c>
      <c r="AD99" s="15" t="s">
        <v>167</v>
      </c>
      <c r="AE99" s="15" t="s">
        <v>168</v>
      </c>
      <c r="AF99" s="15" t="s">
        <v>169</v>
      </c>
      <c r="AG99" s="15"/>
      <c r="AH99" s="24" t="n">
        <f aca="false">IF(R99="",AM99,R99)</f>
        <v>41</v>
      </c>
      <c r="AI99" s="24" t="n">
        <f aca="false">SUMIFS(Permissions!$G$2:$G$3000,Permissions!$B$2:$B$3000,$A99,Permissions!$I$2:$I$3000,"Complete",Permissions!$R$2:$R$3000,"Yes")</f>
        <v>0</v>
      </c>
      <c r="AJ99" s="24" t="n">
        <f aca="false">SUMIFS(Permissions!$G$2:$G$3000,Permissions!$B$2:$B$3000,$A99,Permissions!$I$2:$I$3000,"Under construction",Permissions!$R$2:$R$3000,"Yes")</f>
        <v>0</v>
      </c>
      <c r="AK99" s="24" t="n">
        <f aca="false">SUMIFS(Permissions!$G$2:$G$3000,Permissions!$B$2:$B$3000,$A99,Permissions!$I$2:$I$3000,"Permitted – not started",Permissions!$R$2:$R$3000,"Yes")</f>
        <v>0</v>
      </c>
      <c r="AL99" s="24" t="n">
        <f aca="false">SUMIFS(Permissions!$G$2:$G$3000,Permissions!$B$2:$B$3000,$A99,Permissions!$I$2:$I$3000,"Stalled",Permissions!$R$2:$R$3000,"Yes")</f>
        <v>0</v>
      </c>
      <c r="AM99" s="24" t="n">
        <f aca="false">AI99+AJ99+AK99+AL99</f>
        <v>0</v>
      </c>
      <c r="AN99" s="24" t="n">
        <f aca="false">SUMIFS(Permissions!$G$2:$G$3000,Permissions!$B$2:$B$3000,$A99,Permissions!$I$2:$I$3000,"Expired – not started",Permissions!$R$2:$R$3000,"Yes")</f>
        <v>0</v>
      </c>
      <c r="AO99" s="24" t="n">
        <f aca="false">SUMIFS(Permissions!$G$2:$G$3000,Permissions!$B$2:$B$3000,$A99,Permissions!$I$2:$I$3000,"In planning",Permissions!$R$2:$R$3000,"Yes")</f>
        <v>0</v>
      </c>
      <c r="AP99" s="24" t="n">
        <f aca="false">IF(R99="",0,MAX(R99-AM99,0))</f>
        <v>41</v>
      </c>
      <c r="AQ99" s="25" t="n">
        <f aca="false">AM99+AP99</f>
        <v>41</v>
      </c>
      <c r="AR99" s="24" t="n">
        <f aca="false">SUMIFS(Permissions!$L$2:$L$3000,Permissions!$B$2:$B$3000,$A99,Permissions!$R$2:$R$3000,"Yes",Permissions!$I$2:$I$3000,"&lt;&gt;Expired – not started",Permissions!$I$2:$I$3000,"&lt;&gt;In planning")</f>
        <v>0</v>
      </c>
      <c r="AS99" s="24" t="n">
        <f aca="false">AQ99-AR99</f>
        <v>41</v>
      </c>
      <c r="AT99" s="26" t="n">
        <f aca="false">SUMIFS(Permissions!$AJ$2:$AJ$3000,Permissions!$B$2:$B$3000,$A99,Permissions!$R$2:$R$3000,"Yes")</f>
        <v>0</v>
      </c>
      <c r="AU99" s="26" t="n">
        <f aca="false">SUMIFS(Permissions!$AK$2:$AK$3000,Permissions!$B$2:$B$3000,$A99,Permissions!$R$2:$R$3000,"Yes")</f>
        <v>0</v>
      </c>
      <c r="AV99" s="26" t="n">
        <f aca="false">SUMIFS(Permissions!$AL$2:$AL$3000,Permissions!$B$2:$B$3000,$A99,Permissions!$R$2:$R$3000,"Yes")</f>
        <v>0</v>
      </c>
      <c r="AW99" s="26" t="n">
        <f aca="false">SUMIFS(Permissions!$AM$2:$AM$3000,Permissions!$B$2:$B$3000,$A99,Permissions!$R$2:$R$3000,"Yes")</f>
        <v>0</v>
      </c>
      <c r="AX99" s="26" t="n">
        <f aca="false">SUMIFS(Permissions!$AN$2:$AN$3000,Permissions!$B$2:$B$3000,$A99,Permissions!$R$2:$R$3000,"Yes")</f>
        <v>0</v>
      </c>
      <c r="AY99" s="26" t="n">
        <f aca="false">SUMIFS(Permissions!$AO$2:$AO$3000,Permissions!$B$2:$B$3000,$A99,Permissions!$R$2:$R$3000,"Yes")</f>
        <v>0</v>
      </c>
      <c r="AZ99" s="24" t="n">
        <f aca="false">COUNTIFS(Permissions!$B$2:$B$3000,$A99,Permissions!$R$2:$R$3000,"Yes")</f>
        <v>0</v>
      </c>
      <c r="BA99" s="24" t="n">
        <f aca="false">SUMIFS(Permissions!$M$2:$M$3000,Permissions!$B$2:$B$3000,$A99,Permissions!$R$2:$R$3000,"Yes")</f>
        <v>0</v>
      </c>
      <c r="BB99" s="24" t="n">
        <f aca="false">SUMIFS(Permissions!$O$2:$O$3000,Permissions!$B$2:$B$3000,$A99,Permissions!$R$2:$R$3000,"Yes")</f>
        <v>0</v>
      </c>
      <c r="BC99" s="27" t="str">
        <f aca="false">IF(AND(AM99&gt;0,AR99&gt;=AM99,AP99=0),"Finished",IF(AR99&gt;0,"Partly built",IF(AM99&gt;0,"Consented – not built","No consent")))</f>
        <v>No consent</v>
      </c>
      <c r="BD99" s="28" t="str">
        <f aca="false">IF(AND(R99&lt;&gt;"",AM99&gt;1.1*R99),"Consented above capacity",IF(AND(LEFT(B99,8)="Planning",AZ99=0),"Consent parcel with no permission",IF(COUNTIF($A$2:$A$3000,$A99)&gt;1,"Duplicate parcel_id","")))</f>
        <v/>
      </c>
    </row>
    <row r="100" customFormat="false" ht="15" hidden="false" customHeight="false" outlineLevel="0" collapsed="false">
      <c r="A100" s="15" t="s">
        <v>308</v>
      </c>
      <c r="B100" s="15" t="s">
        <v>10</v>
      </c>
      <c r="C100" s="15" t="s">
        <v>16</v>
      </c>
      <c r="D100" s="15" t="s">
        <v>57</v>
      </c>
      <c r="E100" s="15" t="s">
        <v>19</v>
      </c>
      <c r="F100" s="15" t="n">
        <v>1</v>
      </c>
      <c r="G100" s="15" t="s">
        <v>158</v>
      </c>
      <c r="H100" s="15" t="n">
        <v>47</v>
      </c>
      <c r="I100" s="15" t="s">
        <v>57</v>
      </c>
      <c r="J100" s="15" t="s">
        <v>182</v>
      </c>
      <c r="K100" s="15" t="s">
        <v>302</v>
      </c>
      <c r="L100" s="15" t="s">
        <v>176</v>
      </c>
      <c r="M100" s="15" t="s">
        <v>161</v>
      </c>
      <c r="N100" s="15" t="s">
        <v>172</v>
      </c>
      <c r="O100" s="15" t="s">
        <v>163</v>
      </c>
      <c r="P100" s="15" t="n">
        <v>0.373</v>
      </c>
      <c r="Q100" s="15" t="n">
        <v>0.374</v>
      </c>
      <c r="R100" s="15" t="n">
        <v>17</v>
      </c>
      <c r="S100" s="15" t="s">
        <v>164</v>
      </c>
      <c r="T100" s="15" t="n">
        <v>13</v>
      </c>
      <c r="U100" s="15"/>
      <c r="V100" s="15"/>
      <c r="W100" s="15"/>
      <c r="X100" s="15" t="s">
        <v>165</v>
      </c>
      <c r="Y100" s="15" t="n">
        <v>34</v>
      </c>
      <c r="Z100" s="15" t="s">
        <v>166</v>
      </c>
      <c r="AA100" s="15"/>
      <c r="AB100" s="15" t="n">
        <v>0</v>
      </c>
      <c r="AC100" s="15" t="n">
        <v>0</v>
      </c>
      <c r="AD100" s="15" t="s">
        <v>167</v>
      </c>
      <c r="AE100" s="15" t="s">
        <v>168</v>
      </c>
      <c r="AF100" s="15" t="s">
        <v>169</v>
      </c>
      <c r="AG100" s="15"/>
      <c r="AH100" s="24" t="n">
        <f aca="false">IF(R100="",AM100,R100)</f>
        <v>17</v>
      </c>
      <c r="AI100" s="24" t="n">
        <f aca="false">SUMIFS(Permissions!$G$2:$G$3000,Permissions!$B$2:$B$3000,$A100,Permissions!$I$2:$I$3000,"Complete",Permissions!$R$2:$R$3000,"Yes")</f>
        <v>0</v>
      </c>
      <c r="AJ100" s="24" t="n">
        <f aca="false">SUMIFS(Permissions!$G$2:$G$3000,Permissions!$B$2:$B$3000,$A100,Permissions!$I$2:$I$3000,"Under construction",Permissions!$R$2:$R$3000,"Yes")</f>
        <v>0</v>
      </c>
      <c r="AK100" s="24" t="n">
        <f aca="false">SUMIFS(Permissions!$G$2:$G$3000,Permissions!$B$2:$B$3000,$A100,Permissions!$I$2:$I$3000,"Permitted – not started",Permissions!$R$2:$R$3000,"Yes")</f>
        <v>0</v>
      </c>
      <c r="AL100" s="24" t="n">
        <f aca="false">SUMIFS(Permissions!$G$2:$G$3000,Permissions!$B$2:$B$3000,$A100,Permissions!$I$2:$I$3000,"Stalled",Permissions!$R$2:$R$3000,"Yes")</f>
        <v>0</v>
      </c>
      <c r="AM100" s="24" t="n">
        <f aca="false">AI100+AJ100+AK100+AL100</f>
        <v>0</v>
      </c>
      <c r="AN100" s="24" t="n">
        <f aca="false">SUMIFS(Permissions!$G$2:$G$3000,Permissions!$B$2:$B$3000,$A100,Permissions!$I$2:$I$3000,"Expired – not started",Permissions!$R$2:$R$3000,"Yes")</f>
        <v>0</v>
      </c>
      <c r="AO100" s="24" t="n">
        <f aca="false">SUMIFS(Permissions!$G$2:$G$3000,Permissions!$B$2:$B$3000,$A100,Permissions!$I$2:$I$3000,"In planning",Permissions!$R$2:$R$3000,"Yes")</f>
        <v>0</v>
      </c>
      <c r="AP100" s="24" t="n">
        <f aca="false">IF(R100="",0,MAX(R100-AM100,0))</f>
        <v>17</v>
      </c>
      <c r="AQ100" s="25" t="n">
        <f aca="false">AM100+AP100</f>
        <v>17</v>
      </c>
      <c r="AR100" s="24" t="n">
        <f aca="false">SUMIFS(Permissions!$L$2:$L$3000,Permissions!$B$2:$B$3000,$A100,Permissions!$R$2:$R$3000,"Yes",Permissions!$I$2:$I$3000,"&lt;&gt;Expired – not started",Permissions!$I$2:$I$3000,"&lt;&gt;In planning")</f>
        <v>0</v>
      </c>
      <c r="AS100" s="24" t="n">
        <f aca="false">AQ100-AR100</f>
        <v>17</v>
      </c>
      <c r="AT100" s="26" t="n">
        <f aca="false">SUMIFS(Permissions!$AJ$2:$AJ$3000,Permissions!$B$2:$B$3000,$A100,Permissions!$R$2:$R$3000,"Yes")</f>
        <v>0</v>
      </c>
      <c r="AU100" s="26" t="n">
        <f aca="false">SUMIFS(Permissions!$AK$2:$AK$3000,Permissions!$B$2:$B$3000,$A100,Permissions!$R$2:$R$3000,"Yes")</f>
        <v>0</v>
      </c>
      <c r="AV100" s="26" t="n">
        <f aca="false">SUMIFS(Permissions!$AL$2:$AL$3000,Permissions!$B$2:$B$3000,$A100,Permissions!$R$2:$R$3000,"Yes")</f>
        <v>0</v>
      </c>
      <c r="AW100" s="26" t="n">
        <f aca="false">SUMIFS(Permissions!$AM$2:$AM$3000,Permissions!$B$2:$B$3000,$A100,Permissions!$R$2:$R$3000,"Yes")</f>
        <v>0</v>
      </c>
      <c r="AX100" s="26" t="n">
        <f aca="false">SUMIFS(Permissions!$AN$2:$AN$3000,Permissions!$B$2:$B$3000,$A100,Permissions!$R$2:$R$3000,"Yes")</f>
        <v>0</v>
      </c>
      <c r="AY100" s="26" t="n">
        <f aca="false">SUMIFS(Permissions!$AO$2:$AO$3000,Permissions!$B$2:$B$3000,$A100,Permissions!$R$2:$R$3000,"Yes")</f>
        <v>0</v>
      </c>
      <c r="AZ100" s="24" t="n">
        <f aca="false">COUNTIFS(Permissions!$B$2:$B$3000,$A100,Permissions!$R$2:$R$3000,"Yes")</f>
        <v>0</v>
      </c>
      <c r="BA100" s="24" t="n">
        <f aca="false">SUMIFS(Permissions!$M$2:$M$3000,Permissions!$B$2:$B$3000,$A100,Permissions!$R$2:$R$3000,"Yes")</f>
        <v>0</v>
      </c>
      <c r="BB100" s="24" t="n">
        <f aca="false">SUMIFS(Permissions!$O$2:$O$3000,Permissions!$B$2:$B$3000,$A100,Permissions!$R$2:$R$3000,"Yes")</f>
        <v>0</v>
      </c>
      <c r="BC100" s="27" t="str">
        <f aca="false">IF(AND(AM100&gt;0,AR100&gt;=AM100,AP100=0),"Finished",IF(AR100&gt;0,"Partly built",IF(AM100&gt;0,"Consented – not built","No consent")))</f>
        <v>No consent</v>
      </c>
      <c r="BD100" s="28" t="str">
        <f aca="false">IF(AND(R100&lt;&gt;"",AM100&gt;1.1*R100),"Consented above capacity",IF(AND(LEFT(B100,8)="Planning",AZ100=0),"Consent parcel with no permission",IF(COUNTIF($A$2:$A$3000,$A100)&gt;1,"Duplicate parcel_id","")))</f>
        <v/>
      </c>
    </row>
    <row r="101" customFormat="false" ht="15" hidden="false" customHeight="false" outlineLevel="0" collapsed="false">
      <c r="A101" s="15" t="s">
        <v>309</v>
      </c>
      <c r="B101" s="15" t="s">
        <v>10</v>
      </c>
      <c r="C101" s="15" t="s">
        <v>16</v>
      </c>
      <c r="D101" s="15" t="s">
        <v>57</v>
      </c>
      <c r="E101" s="15" t="s">
        <v>19</v>
      </c>
      <c r="F101" s="15" t="n">
        <v>1</v>
      </c>
      <c r="G101" s="15" t="s">
        <v>158</v>
      </c>
      <c r="H101" s="15" t="n">
        <v>49</v>
      </c>
      <c r="I101" s="15" t="s">
        <v>57</v>
      </c>
      <c r="J101" s="15" t="s">
        <v>182</v>
      </c>
      <c r="K101" s="15" t="s">
        <v>302</v>
      </c>
      <c r="L101" s="15" t="s">
        <v>176</v>
      </c>
      <c r="M101" s="15" t="s">
        <v>161</v>
      </c>
      <c r="N101" s="15" t="s">
        <v>172</v>
      </c>
      <c r="O101" s="15" t="s">
        <v>163</v>
      </c>
      <c r="P101" s="15" t="n">
        <v>0.243</v>
      </c>
      <c r="Q101" s="15" t="n">
        <v>0.922</v>
      </c>
      <c r="R101" s="15" t="n">
        <v>11</v>
      </c>
      <c r="S101" s="15" t="s">
        <v>164</v>
      </c>
      <c r="T101" s="15" t="n">
        <v>8</v>
      </c>
      <c r="U101" s="15"/>
      <c r="V101" s="15"/>
      <c r="W101" s="15"/>
      <c r="X101" s="15" t="s">
        <v>165</v>
      </c>
      <c r="Y101" s="15" t="n">
        <v>34</v>
      </c>
      <c r="Z101" s="15" t="s">
        <v>166</v>
      </c>
      <c r="AA101" s="15"/>
      <c r="AB101" s="15" t="n">
        <v>20</v>
      </c>
      <c r="AC101" s="15" t="n">
        <v>20</v>
      </c>
      <c r="AD101" s="15" t="s">
        <v>179</v>
      </c>
      <c r="AE101" s="15" t="s">
        <v>180</v>
      </c>
      <c r="AF101" s="15" t="s">
        <v>169</v>
      </c>
      <c r="AG101" s="15"/>
      <c r="AH101" s="24" t="n">
        <f aca="false">IF(R101="",AM101,R101)</f>
        <v>11</v>
      </c>
      <c r="AI101" s="24" t="n">
        <f aca="false">SUMIFS(Permissions!$G$2:$G$3000,Permissions!$B$2:$B$3000,$A101,Permissions!$I$2:$I$3000,"Complete",Permissions!$R$2:$R$3000,"Yes")</f>
        <v>0</v>
      </c>
      <c r="AJ101" s="24" t="n">
        <f aca="false">SUMIFS(Permissions!$G$2:$G$3000,Permissions!$B$2:$B$3000,$A101,Permissions!$I$2:$I$3000,"Under construction",Permissions!$R$2:$R$3000,"Yes")</f>
        <v>0</v>
      </c>
      <c r="AK101" s="24" t="n">
        <f aca="false">SUMIFS(Permissions!$G$2:$G$3000,Permissions!$B$2:$B$3000,$A101,Permissions!$I$2:$I$3000,"Permitted – not started",Permissions!$R$2:$R$3000,"Yes")</f>
        <v>25</v>
      </c>
      <c r="AL101" s="24" t="n">
        <f aca="false">SUMIFS(Permissions!$G$2:$G$3000,Permissions!$B$2:$B$3000,$A101,Permissions!$I$2:$I$3000,"Stalled",Permissions!$R$2:$R$3000,"Yes")</f>
        <v>0</v>
      </c>
      <c r="AM101" s="24" t="n">
        <f aca="false">AI101+AJ101+AK101+AL101</f>
        <v>25</v>
      </c>
      <c r="AN101" s="24" t="n">
        <f aca="false">SUMIFS(Permissions!$G$2:$G$3000,Permissions!$B$2:$B$3000,$A101,Permissions!$I$2:$I$3000,"Expired – not started",Permissions!$R$2:$R$3000,"Yes")</f>
        <v>0</v>
      </c>
      <c r="AO101" s="24" t="n">
        <f aca="false">SUMIFS(Permissions!$G$2:$G$3000,Permissions!$B$2:$B$3000,$A101,Permissions!$I$2:$I$3000,"In planning",Permissions!$R$2:$R$3000,"Yes")</f>
        <v>0</v>
      </c>
      <c r="AP101" s="24" t="n">
        <f aca="false">IF(R101="",0,MAX(R101-AM101,0))</f>
        <v>0</v>
      </c>
      <c r="AQ101" s="25" t="n">
        <f aca="false">AM101+AP101</f>
        <v>25</v>
      </c>
      <c r="AR101" s="24" t="n">
        <f aca="false">SUMIFS(Permissions!$L$2:$L$3000,Permissions!$B$2:$B$3000,$A101,Permissions!$R$2:$R$3000,"Yes",Permissions!$I$2:$I$3000,"&lt;&gt;Expired – not started",Permissions!$I$2:$I$3000,"&lt;&gt;In planning")</f>
        <v>0</v>
      </c>
      <c r="AS101" s="24" t="n">
        <f aca="false">AQ101-AR101</f>
        <v>25</v>
      </c>
      <c r="AT101" s="26" t="n">
        <f aca="false">SUMIFS(Permissions!$AJ$2:$AJ$3000,Permissions!$B$2:$B$3000,$A101,Permissions!$R$2:$R$3000,"Yes")</f>
        <v>0</v>
      </c>
      <c r="AU101" s="26" t="n">
        <f aca="false">SUMIFS(Permissions!$AK$2:$AK$3000,Permissions!$B$2:$B$3000,$A101,Permissions!$R$2:$R$3000,"Yes")</f>
        <v>0</v>
      </c>
      <c r="AV101" s="26" t="n">
        <f aca="false">SUMIFS(Permissions!$AL$2:$AL$3000,Permissions!$B$2:$B$3000,$A101,Permissions!$R$2:$R$3000,"Yes")</f>
        <v>20.8</v>
      </c>
      <c r="AW101" s="26" t="n">
        <f aca="false">SUMIFS(Permissions!$AM$2:$AM$3000,Permissions!$B$2:$B$3000,$A101,Permissions!$R$2:$R$3000,"Yes")</f>
        <v>4.2</v>
      </c>
      <c r="AX101" s="26" t="n">
        <f aca="false">SUMIFS(Permissions!$AN$2:$AN$3000,Permissions!$B$2:$B$3000,$A101,Permissions!$R$2:$R$3000,"Yes")</f>
        <v>0</v>
      </c>
      <c r="AY101" s="26" t="n">
        <f aca="false">SUMIFS(Permissions!$AO$2:$AO$3000,Permissions!$B$2:$B$3000,$A101,Permissions!$R$2:$R$3000,"Yes")</f>
        <v>0</v>
      </c>
      <c r="AZ101" s="24" t="n">
        <f aca="false">COUNTIFS(Permissions!$B$2:$B$3000,$A101,Permissions!$R$2:$R$3000,"Yes")</f>
        <v>1</v>
      </c>
      <c r="BA101" s="24" t="n">
        <f aca="false">SUMIFS(Permissions!$M$2:$M$3000,Permissions!$B$2:$B$3000,$A101,Permissions!$R$2:$R$3000,"Yes")</f>
        <v>0</v>
      </c>
      <c r="BB101" s="24" t="n">
        <f aca="false">SUMIFS(Permissions!$O$2:$O$3000,Permissions!$B$2:$B$3000,$A101,Permissions!$R$2:$R$3000,"Yes")</f>
        <v>0</v>
      </c>
      <c r="BC101" s="27" t="str">
        <f aca="false">IF(AND(AM101&gt;0,AR101&gt;=AM101,AP101=0),"Finished",IF(AR101&gt;0,"Partly built",IF(AM101&gt;0,"Consented – not built","No consent")))</f>
        <v>Consented – not built</v>
      </c>
      <c r="BD101" s="28" t="str">
        <f aca="false">IF(AND(R101&lt;&gt;"",AM101&gt;1.1*R101),"Consented above capacity",IF(AND(LEFT(B101,8)="Planning",AZ101=0),"Consent parcel with no permission",IF(COUNTIF($A$2:$A$3000,$A101)&gt;1,"Duplicate parcel_id","")))</f>
        <v>Consented above capacity</v>
      </c>
    </row>
    <row r="102" customFormat="false" ht="15" hidden="false" customHeight="false" outlineLevel="0" collapsed="false">
      <c r="A102" s="15" t="s">
        <v>310</v>
      </c>
      <c r="B102" s="15" t="s">
        <v>10</v>
      </c>
      <c r="C102" s="15" t="s">
        <v>16</v>
      </c>
      <c r="D102" s="15" t="s">
        <v>57</v>
      </c>
      <c r="E102" s="15" t="s">
        <v>19</v>
      </c>
      <c r="F102" s="15" t="n">
        <v>1</v>
      </c>
      <c r="G102" s="15" t="s">
        <v>158</v>
      </c>
      <c r="H102" s="15" t="n">
        <v>50</v>
      </c>
      <c r="I102" s="15" t="s">
        <v>57</v>
      </c>
      <c r="J102" s="15" t="s">
        <v>182</v>
      </c>
      <c r="K102" s="15" t="s">
        <v>302</v>
      </c>
      <c r="L102" s="15" t="s">
        <v>176</v>
      </c>
      <c r="M102" s="15" t="s">
        <v>161</v>
      </c>
      <c r="N102" s="15" t="s">
        <v>184</v>
      </c>
      <c r="O102" s="15" t="s">
        <v>163</v>
      </c>
      <c r="P102" s="15" t="n">
        <v>0.704</v>
      </c>
      <c r="Q102" s="15" t="n">
        <v>0.704</v>
      </c>
      <c r="R102" s="15" t="n">
        <v>31</v>
      </c>
      <c r="S102" s="15" t="s">
        <v>164</v>
      </c>
      <c r="T102" s="15" t="n">
        <v>24</v>
      </c>
      <c r="U102" s="15"/>
      <c r="V102" s="15"/>
      <c r="W102" s="15"/>
      <c r="X102" s="15" t="s">
        <v>165</v>
      </c>
      <c r="Y102" s="15" t="n">
        <v>34</v>
      </c>
      <c r="Z102" s="15" t="s">
        <v>166</v>
      </c>
      <c r="AA102" s="15"/>
      <c r="AB102" s="15" t="n">
        <v>0</v>
      </c>
      <c r="AC102" s="15" t="n">
        <v>0</v>
      </c>
      <c r="AD102" s="15" t="s">
        <v>186</v>
      </c>
      <c r="AE102" s="15" t="s">
        <v>168</v>
      </c>
      <c r="AF102" s="15" t="s">
        <v>169</v>
      </c>
      <c r="AG102" s="15"/>
      <c r="AH102" s="24" t="n">
        <f aca="false">IF(R102="",AM102,R102)</f>
        <v>31</v>
      </c>
      <c r="AI102" s="24" t="n">
        <f aca="false">SUMIFS(Permissions!$G$2:$G$3000,Permissions!$B$2:$B$3000,$A102,Permissions!$I$2:$I$3000,"Complete",Permissions!$R$2:$R$3000,"Yes")</f>
        <v>0</v>
      </c>
      <c r="AJ102" s="24" t="n">
        <f aca="false">SUMIFS(Permissions!$G$2:$G$3000,Permissions!$B$2:$B$3000,$A102,Permissions!$I$2:$I$3000,"Under construction",Permissions!$R$2:$R$3000,"Yes")</f>
        <v>0</v>
      </c>
      <c r="AK102" s="24" t="n">
        <f aca="false">SUMIFS(Permissions!$G$2:$G$3000,Permissions!$B$2:$B$3000,$A102,Permissions!$I$2:$I$3000,"Permitted – not started",Permissions!$R$2:$R$3000,"Yes")</f>
        <v>0</v>
      </c>
      <c r="AL102" s="24" t="n">
        <f aca="false">SUMIFS(Permissions!$G$2:$G$3000,Permissions!$B$2:$B$3000,$A102,Permissions!$I$2:$I$3000,"Stalled",Permissions!$R$2:$R$3000,"Yes")</f>
        <v>0</v>
      </c>
      <c r="AM102" s="24" t="n">
        <f aca="false">AI102+AJ102+AK102+AL102</f>
        <v>0</v>
      </c>
      <c r="AN102" s="24" t="n">
        <f aca="false">SUMIFS(Permissions!$G$2:$G$3000,Permissions!$B$2:$B$3000,$A102,Permissions!$I$2:$I$3000,"Expired – not started",Permissions!$R$2:$R$3000,"Yes")</f>
        <v>4</v>
      </c>
      <c r="AO102" s="24" t="n">
        <f aca="false">SUMIFS(Permissions!$G$2:$G$3000,Permissions!$B$2:$B$3000,$A102,Permissions!$I$2:$I$3000,"In planning",Permissions!$R$2:$R$3000,"Yes")</f>
        <v>0</v>
      </c>
      <c r="AP102" s="24" t="n">
        <f aca="false">IF(R102="",0,MAX(R102-AM102,0))</f>
        <v>31</v>
      </c>
      <c r="AQ102" s="25" t="n">
        <f aca="false">AM102+AP102</f>
        <v>31</v>
      </c>
      <c r="AR102" s="24" t="n">
        <f aca="false">SUMIFS(Permissions!$L$2:$L$3000,Permissions!$B$2:$B$3000,$A102,Permissions!$R$2:$R$3000,"Yes",Permissions!$I$2:$I$3000,"&lt;&gt;Expired – not started",Permissions!$I$2:$I$3000,"&lt;&gt;In planning")</f>
        <v>0</v>
      </c>
      <c r="AS102" s="24" t="n">
        <f aca="false">AQ102-AR102</f>
        <v>31</v>
      </c>
      <c r="AT102" s="26" t="n">
        <f aca="false">SUMIFS(Permissions!$AJ$2:$AJ$3000,Permissions!$B$2:$B$3000,$A102,Permissions!$R$2:$R$3000,"Yes")</f>
        <v>0</v>
      </c>
      <c r="AU102" s="26" t="n">
        <f aca="false">SUMIFS(Permissions!$AK$2:$AK$3000,Permissions!$B$2:$B$3000,$A102,Permissions!$R$2:$R$3000,"Yes")</f>
        <v>0</v>
      </c>
      <c r="AV102" s="26" t="n">
        <f aca="false">SUMIFS(Permissions!$AL$2:$AL$3000,Permissions!$B$2:$B$3000,$A102,Permissions!$R$2:$R$3000,"Yes")</f>
        <v>0</v>
      </c>
      <c r="AW102" s="26" t="n">
        <f aca="false">SUMIFS(Permissions!$AM$2:$AM$3000,Permissions!$B$2:$B$3000,$A102,Permissions!$R$2:$R$3000,"Yes")</f>
        <v>0</v>
      </c>
      <c r="AX102" s="26" t="n">
        <f aca="false">SUMIFS(Permissions!$AN$2:$AN$3000,Permissions!$B$2:$B$3000,$A102,Permissions!$R$2:$R$3000,"Yes")</f>
        <v>0</v>
      </c>
      <c r="AY102" s="26" t="n">
        <f aca="false">SUMIFS(Permissions!$AO$2:$AO$3000,Permissions!$B$2:$B$3000,$A102,Permissions!$R$2:$R$3000,"Yes")</f>
        <v>0</v>
      </c>
      <c r="AZ102" s="24" t="n">
        <f aca="false">COUNTIFS(Permissions!$B$2:$B$3000,$A102,Permissions!$R$2:$R$3000,"Yes")</f>
        <v>1</v>
      </c>
      <c r="BA102" s="24" t="n">
        <f aca="false">SUMIFS(Permissions!$M$2:$M$3000,Permissions!$B$2:$B$3000,$A102,Permissions!$R$2:$R$3000,"Yes")</f>
        <v>0</v>
      </c>
      <c r="BB102" s="24" t="n">
        <f aca="false">SUMIFS(Permissions!$O$2:$O$3000,Permissions!$B$2:$B$3000,$A102,Permissions!$R$2:$R$3000,"Yes")</f>
        <v>0</v>
      </c>
      <c r="BC102" s="27" t="str">
        <f aca="false">IF(AND(AM102&gt;0,AR102&gt;=AM102,AP102=0),"Finished",IF(AR102&gt;0,"Partly built",IF(AM102&gt;0,"Consented – not built","No consent")))</f>
        <v>No consent</v>
      </c>
      <c r="BD102" s="28" t="str">
        <f aca="false">IF(AND(R102&lt;&gt;"",AM102&gt;1.1*R102),"Consented above capacity",IF(AND(LEFT(B102,8)="Planning",AZ102=0),"Consent parcel with no permission",IF(COUNTIF($A$2:$A$3000,$A102)&gt;1,"Duplicate parcel_id","")))</f>
        <v/>
      </c>
    </row>
    <row r="103" customFormat="false" ht="15" hidden="false" customHeight="false" outlineLevel="0" collapsed="false">
      <c r="A103" s="15" t="s">
        <v>311</v>
      </c>
      <c r="B103" s="15" t="s">
        <v>10</v>
      </c>
      <c r="C103" s="15" t="s">
        <v>16</v>
      </c>
      <c r="D103" s="15" t="s">
        <v>57</v>
      </c>
      <c r="E103" s="15" t="s">
        <v>19</v>
      </c>
      <c r="F103" s="15" t="n">
        <v>1</v>
      </c>
      <c r="G103" s="15" t="s">
        <v>158</v>
      </c>
      <c r="H103" s="15" t="n">
        <v>51</v>
      </c>
      <c r="I103" s="15" t="s">
        <v>57</v>
      </c>
      <c r="J103" s="15" t="s">
        <v>182</v>
      </c>
      <c r="K103" s="15" t="s">
        <v>302</v>
      </c>
      <c r="L103" s="15" t="s">
        <v>176</v>
      </c>
      <c r="M103" s="15" t="s">
        <v>171</v>
      </c>
      <c r="N103" s="15" t="s">
        <v>172</v>
      </c>
      <c r="O103" s="15" t="s">
        <v>163</v>
      </c>
      <c r="P103" s="15" t="n">
        <v>0.272</v>
      </c>
      <c r="Q103" s="15" t="n">
        <v>0.273</v>
      </c>
      <c r="R103" s="15" t="n">
        <v>12</v>
      </c>
      <c r="S103" s="15" t="s">
        <v>164</v>
      </c>
      <c r="T103" s="15" t="n">
        <v>9</v>
      </c>
      <c r="U103" s="15"/>
      <c r="V103" s="15"/>
      <c r="W103" s="15"/>
      <c r="X103" s="15" t="s">
        <v>165</v>
      </c>
      <c r="Y103" s="15" t="n">
        <v>34</v>
      </c>
      <c r="Z103" s="15" t="s">
        <v>166</v>
      </c>
      <c r="AA103" s="15"/>
      <c r="AB103" s="15" t="n">
        <v>0</v>
      </c>
      <c r="AC103" s="15" t="n">
        <v>0</v>
      </c>
      <c r="AD103" s="15" t="s">
        <v>167</v>
      </c>
      <c r="AE103" s="15" t="s">
        <v>168</v>
      </c>
      <c r="AF103" s="15" t="s">
        <v>169</v>
      </c>
      <c r="AG103" s="15"/>
      <c r="AH103" s="24" t="n">
        <f aca="false">IF(R103="",AM103,R103)</f>
        <v>12</v>
      </c>
      <c r="AI103" s="24" t="n">
        <f aca="false">SUMIFS(Permissions!$G$2:$G$3000,Permissions!$B$2:$B$3000,$A103,Permissions!$I$2:$I$3000,"Complete",Permissions!$R$2:$R$3000,"Yes")</f>
        <v>0</v>
      </c>
      <c r="AJ103" s="24" t="n">
        <f aca="false">SUMIFS(Permissions!$G$2:$G$3000,Permissions!$B$2:$B$3000,$A103,Permissions!$I$2:$I$3000,"Under construction",Permissions!$R$2:$R$3000,"Yes")</f>
        <v>0</v>
      </c>
      <c r="AK103" s="24" t="n">
        <f aca="false">SUMIFS(Permissions!$G$2:$G$3000,Permissions!$B$2:$B$3000,$A103,Permissions!$I$2:$I$3000,"Permitted – not started",Permissions!$R$2:$R$3000,"Yes")</f>
        <v>0</v>
      </c>
      <c r="AL103" s="24" t="n">
        <f aca="false">SUMIFS(Permissions!$G$2:$G$3000,Permissions!$B$2:$B$3000,$A103,Permissions!$I$2:$I$3000,"Stalled",Permissions!$R$2:$R$3000,"Yes")</f>
        <v>0</v>
      </c>
      <c r="AM103" s="24" t="n">
        <f aca="false">AI103+AJ103+AK103+AL103</f>
        <v>0</v>
      </c>
      <c r="AN103" s="24" t="n">
        <f aca="false">SUMIFS(Permissions!$G$2:$G$3000,Permissions!$B$2:$B$3000,$A103,Permissions!$I$2:$I$3000,"Expired – not started",Permissions!$R$2:$R$3000,"Yes")</f>
        <v>0</v>
      </c>
      <c r="AO103" s="24" t="n">
        <f aca="false">SUMIFS(Permissions!$G$2:$G$3000,Permissions!$B$2:$B$3000,$A103,Permissions!$I$2:$I$3000,"In planning",Permissions!$R$2:$R$3000,"Yes")</f>
        <v>0</v>
      </c>
      <c r="AP103" s="24" t="n">
        <f aca="false">IF(R103="",0,MAX(R103-AM103,0))</f>
        <v>12</v>
      </c>
      <c r="AQ103" s="25" t="n">
        <f aca="false">AM103+AP103</f>
        <v>12</v>
      </c>
      <c r="AR103" s="24" t="n">
        <f aca="false">SUMIFS(Permissions!$L$2:$L$3000,Permissions!$B$2:$B$3000,$A103,Permissions!$R$2:$R$3000,"Yes",Permissions!$I$2:$I$3000,"&lt;&gt;Expired – not started",Permissions!$I$2:$I$3000,"&lt;&gt;In planning")</f>
        <v>0</v>
      </c>
      <c r="AS103" s="24" t="n">
        <f aca="false">AQ103-AR103</f>
        <v>12</v>
      </c>
      <c r="AT103" s="26" t="n">
        <f aca="false">SUMIFS(Permissions!$AJ$2:$AJ$3000,Permissions!$B$2:$B$3000,$A103,Permissions!$R$2:$R$3000,"Yes")</f>
        <v>0</v>
      </c>
      <c r="AU103" s="26" t="n">
        <f aca="false">SUMIFS(Permissions!$AK$2:$AK$3000,Permissions!$B$2:$B$3000,$A103,Permissions!$R$2:$R$3000,"Yes")</f>
        <v>0</v>
      </c>
      <c r="AV103" s="26" t="n">
        <f aca="false">SUMIFS(Permissions!$AL$2:$AL$3000,Permissions!$B$2:$B$3000,$A103,Permissions!$R$2:$R$3000,"Yes")</f>
        <v>0</v>
      </c>
      <c r="AW103" s="26" t="n">
        <f aca="false">SUMIFS(Permissions!$AM$2:$AM$3000,Permissions!$B$2:$B$3000,$A103,Permissions!$R$2:$R$3000,"Yes")</f>
        <v>0</v>
      </c>
      <c r="AX103" s="26" t="n">
        <f aca="false">SUMIFS(Permissions!$AN$2:$AN$3000,Permissions!$B$2:$B$3000,$A103,Permissions!$R$2:$R$3000,"Yes")</f>
        <v>0</v>
      </c>
      <c r="AY103" s="26" t="n">
        <f aca="false">SUMIFS(Permissions!$AO$2:$AO$3000,Permissions!$B$2:$B$3000,$A103,Permissions!$R$2:$R$3000,"Yes")</f>
        <v>0</v>
      </c>
      <c r="AZ103" s="24" t="n">
        <f aca="false">COUNTIFS(Permissions!$B$2:$B$3000,$A103,Permissions!$R$2:$R$3000,"Yes")</f>
        <v>0</v>
      </c>
      <c r="BA103" s="24" t="n">
        <f aca="false">SUMIFS(Permissions!$M$2:$M$3000,Permissions!$B$2:$B$3000,$A103,Permissions!$R$2:$R$3000,"Yes")</f>
        <v>0</v>
      </c>
      <c r="BB103" s="24" t="n">
        <f aca="false">SUMIFS(Permissions!$O$2:$O$3000,Permissions!$B$2:$B$3000,$A103,Permissions!$R$2:$R$3000,"Yes")</f>
        <v>0</v>
      </c>
      <c r="BC103" s="27" t="str">
        <f aca="false">IF(AND(AM103&gt;0,AR103&gt;=AM103,AP103=0),"Finished",IF(AR103&gt;0,"Partly built",IF(AM103&gt;0,"Consented – not built","No consent")))</f>
        <v>No consent</v>
      </c>
      <c r="BD103" s="28" t="str">
        <f aca="false">IF(AND(R103&lt;&gt;"",AM103&gt;1.1*R103),"Consented above capacity",IF(AND(LEFT(B103,8)="Planning",AZ103=0),"Consent parcel with no permission",IF(COUNTIF($A$2:$A$3000,$A103)&gt;1,"Duplicate parcel_id","")))</f>
        <v/>
      </c>
    </row>
    <row r="104" customFormat="false" ht="15" hidden="false" customHeight="false" outlineLevel="0" collapsed="false">
      <c r="A104" s="15" t="s">
        <v>312</v>
      </c>
      <c r="B104" s="15" t="s">
        <v>10</v>
      </c>
      <c r="C104" s="15" t="s">
        <v>16</v>
      </c>
      <c r="D104" s="15" t="s">
        <v>57</v>
      </c>
      <c r="E104" s="15" t="s">
        <v>19</v>
      </c>
      <c r="F104" s="15" t="n">
        <v>1</v>
      </c>
      <c r="G104" s="15" t="s">
        <v>158</v>
      </c>
      <c r="H104" s="15" t="n">
        <v>52</v>
      </c>
      <c r="I104" s="15" t="s">
        <v>57</v>
      </c>
      <c r="J104" s="15" t="s">
        <v>182</v>
      </c>
      <c r="K104" s="15" t="s">
        <v>302</v>
      </c>
      <c r="L104" s="15" t="s">
        <v>189</v>
      </c>
      <c r="M104" s="15" t="s">
        <v>161</v>
      </c>
      <c r="N104" s="15" t="s">
        <v>172</v>
      </c>
      <c r="O104" s="15" t="s">
        <v>163</v>
      </c>
      <c r="P104" s="15" t="n">
        <v>0.548</v>
      </c>
      <c r="Q104" s="15" t="n">
        <v>0.548</v>
      </c>
      <c r="R104" s="15" t="n">
        <v>26</v>
      </c>
      <c r="S104" s="15" t="s">
        <v>164</v>
      </c>
      <c r="T104" s="15" t="n">
        <v>19</v>
      </c>
      <c r="U104" s="15"/>
      <c r="V104" s="15"/>
      <c r="W104" s="15"/>
      <c r="X104" s="15" t="s">
        <v>165</v>
      </c>
      <c r="Y104" s="15" t="n">
        <v>34</v>
      </c>
      <c r="Z104" s="15" t="s">
        <v>166</v>
      </c>
      <c r="AA104" s="15"/>
      <c r="AB104" s="15" t="n">
        <v>0</v>
      </c>
      <c r="AC104" s="15" t="n">
        <v>0</v>
      </c>
      <c r="AD104" s="15" t="s">
        <v>186</v>
      </c>
      <c r="AE104" s="15" t="s">
        <v>168</v>
      </c>
      <c r="AF104" s="15" t="s">
        <v>169</v>
      </c>
      <c r="AG104" s="15"/>
      <c r="AH104" s="24" t="n">
        <f aca="false">IF(R104="",AM104,R104)</f>
        <v>26</v>
      </c>
      <c r="AI104" s="24" t="n">
        <f aca="false">SUMIFS(Permissions!$G$2:$G$3000,Permissions!$B$2:$B$3000,$A104,Permissions!$I$2:$I$3000,"Complete",Permissions!$R$2:$R$3000,"Yes")</f>
        <v>0</v>
      </c>
      <c r="AJ104" s="24" t="n">
        <f aca="false">SUMIFS(Permissions!$G$2:$G$3000,Permissions!$B$2:$B$3000,$A104,Permissions!$I$2:$I$3000,"Under construction",Permissions!$R$2:$R$3000,"Yes")</f>
        <v>26</v>
      </c>
      <c r="AK104" s="24" t="n">
        <f aca="false">SUMIFS(Permissions!$G$2:$G$3000,Permissions!$B$2:$B$3000,$A104,Permissions!$I$2:$I$3000,"Permitted – not started",Permissions!$R$2:$R$3000,"Yes")</f>
        <v>0</v>
      </c>
      <c r="AL104" s="24" t="n">
        <f aca="false">SUMIFS(Permissions!$G$2:$G$3000,Permissions!$B$2:$B$3000,$A104,Permissions!$I$2:$I$3000,"Stalled",Permissions!$R$2:$R$3000,"Yes")</f>
        <v>0</v>
      </c>
      <c r="AM104" s="24" t="n">
        <f aca="false">AI104+AJ104+AK104+AL104</f>
        <v>26</v>
      </c>
      <c r="AN104" s="24" t="n">
        <f aca="false">SUMIFS(Permissions!$G$2:$G$3000,Permissions!$B$2:$B$3000,$A104,Permissions!$I$2:$I$3000,"Expired – not started",Permissions!$R$2:$R$3000,"Yes")</f>
        <v>0</v>
      </c>
      <c r="AO104" s="24" t="n">
        <f aca="false">SUMIFS(Permissions!$G$2:$G$3000,Permissions!$B$2:$B$3000,$A104,Permissions!$I$2:$I$3000,"In planning",Permissions!$R$2:$R$3000,"Yes")</f>
        <v>0</v>
      </c>
      <c r="AP104" s="24" t="n">
        <f aca="false">IF(R104="",0,MAX(R104-AM104,0))</f>
        <v>0</v>
      </c>
      <c r="AQ104" s="25" t="n">
        <f aca="false">AM104+AP104</f>
        <v>26</v>
      </c>
      <c r="AR104" s="24" t="n">
        <f aca="false">SUMIFS(Permissions!$L$2:$L$3000,Permissions!$B$2:$B$3000,$A104,Permissions!$R$2:$R$3000,"Yes",Permissions!$I$2:$I$3000,"&lt;&gt;Expired – not started",Permissions!$I$2:$I$3000,"&lt;&gt;In planning")</f>
        <v>0</v>
      </c>
      <c r="AS104" s="24" t="n">
        <f aca="false">AQ104-AR104</f>
        <v>26</v>
      </c>
      <c r="AT104" s="26" t="n">
        <f aca="false">SUMIFS(Permissions!$AJ$2:$AJ$3000,Permissions!$B$2:$B$3000,$A104,Permissions!$R$2:$R$3000,"Yes")</f>
        <v>0</v>
      </c>
      <c r="AU104" s="26" t="n">
        <f aca="false">SUMIFS(Permissions!$AK$2:$AK$3000,Permissions!$B$2:$B$3000,$A104,Permissions!$R$2:$R$3000,"Yes")</f>
        <v>26</v>
      </c>
      <c r="AV104" s="26" t="n">
        <f aca="false">SUMIFS(Permissions!$AL$2:$AL$3000,Permissions!$B$2:$B$3000,$A104,Permissions!$R$2:$R$3000,"Yes")</f>
        <v>0</v>
      </c>
      <c r="AW104" s="26" t="n">
        <f aca="false">SUMIFS(Permissions!$AM$2:$AM$3000,Permissions!$B$2:$B$3000,$A104,Permissions!$R$2:$R$3000,"Yes")</f>
        <v>0</v>
      </c>
      <c r="AX104" s="26" t="n">
        <f aca="false">SUMIFS(Permissions!$AN$2:$AN$3000,Permissions!$B$2:$B$3000,$A104,Permissions!$R$2:$R$3000,"Yes")</f>
        <v>0</v>
      </c>
      <c r="AY104" s="26" t="n">
        <f aca="false">SUMIFS(Permissions!$AO$2:$AO$3000,Permissions!$B$2:$B$3000,$A104,Permissions!$R$2:$R$3000,"Yes")</f>
        <v>0</v>
      </c>
      <c r="AZ104" s="24" t="n">
        <f aca="false">COUNTIFS(Permissions!$B$2:$B$3000,$A104,Permissions!$R$2:$R$3000,"Yes")</f>
        <v>1</v>
      </c>
      <c r="BA104" s="24" t="n">
        <f aca="false">SUMIFS(Permissions!$M$2:$M$3000,Permissions!$B$2:$B$3000,$A104,Permissions!$R$2:$R$3000,"Yes")</f>
        <v>0</v>
      </c>
      <c r="BB104" s="24" t="n">
        <f aca="false">SUMIFS(Permissions!$O$2:$O$3000,Permissions!$B$2:$B$3000,$A104,Permissions!$R$2:$R$3000,"Yes")</f>
        <v>0</v>
      </c>
      <c r="BC104" s="27" t="str">
        <f aca="false">IF(AND(AM104&gt;0,AR104&gt;=AM104,AP104=0),"Finished",IF(AR104&gt;0,"Partly built",IF(AM104&gt;0,"Consented – not built","No consent")))</f>
        <v>Consented – not built</v>
      </c>
      <c r="BD104" s="28" t="str">
        <f aca="false">IF(AND(R104&lt;&gt;"",AM104&gt;1.1*R104),"Consented above capacity",IF(AND(LEFT(B104,8)="Planning",AZ104=0),"Consent parcel with no permission",IF(COUNTIF($A$2:$A$3000,$A104)&gt;1,"Duplicate parcel_id","")))</f>
        <v/>
      </c>
    </row>
    <row r="105" customFormat="false" ht="15" hidden="false" customHeight="false" outlineLevel="0" collapsed="false">
      <c r="A105" s="15" t="s">
        <v>313</v>
      </c>
      <c r="B105" s="15" t="s">
        <v>10</v>
      </c>
      <c r="C105" s="15" t="s">
        <v>16</v>
      </c>
      <c r="D105" s="15" t="s">
        <v>57</v>
      </c>
      <c r="E105" s="15" t="s">
        <v>19</v>
      </c>
      <c r="F105" s="15" t="n">
        <v>1</v>
      </c>
      <c r="G105" s="15" t="s">
        <v>158</v>
      </c>
      <c r="H105" s="15" t="n">
        <v>75</v>
      </c>
      <c r="I105" s="15" t="s">
        <v>57</v>
      </c>
      <c r="J105" s="15" t="s">
        <v>211</v>
      </c>
      <c r="K105" s="15" t="s">
        <v>302</v>
      </c>
      <c r="L105" s="15" t="s">
        <v>176</v>
      </c>
      <c r="M105" s="15" t="s">
        <v>161</v>
      </c>
      <c r="N105" s="15" t="s">
        <v>172</v>
      </c>
      <c r="O105" s="15" t="s">
        <v>314</v>
      </c>
      <c r="P105" s="15" t="n">
        <v>0.227</v>
      </c>
      <c r="Q105" s="15" t="n">
        <v>0.228</v>
      </c>
      <c r="R105" s="15" t="n">
        <v>7</v>
      </c>
      <c r="S105" s="15" t="s">
        <v>164</v>
      </c>
      <c r="T105" s="15" t="n">
        <v>8</v>
      </c>
      <c r="U105" s="15"/>
      <c r="V105" s="15"/>
      <c r="W105" s="15"/>
      <c r="X105" s="15" t="s">
        <v>165</v>
      </c>
      <c r="Y105" s="15" t="n">
        <v>34</v>
      </c>
      <c r="Z105" s="15" t="s">
        <v>166</v>
      </c>
      <c r="AA105" s="15"/>
      <c r="AB105" s="15" t="n">
        <v>0</v>
      </c>
      <c r="AC105" s="15" t="n">
        <v>0</v>
      </c>
      <c r="AD105" s="15" t="s">
        <v>186</v>
      </c>
      <c r="AE105" s="15" t="s">
        <v>168</v>
      </c>
      <c r="AF105" s="15" t="s">
        <v>169</v>
      </c>
      <c r="AG105" s="15"/>
      <c r="AH105" s="24" t="n">
        <f aca="false">IF(R105="",AM105,R105)</f>
        <v>7</v>
      </c>
      <c r="AI105" s="24" t="n">
        <f aca="false">SUMIFS(Permissions!$G$2:$G$3000,Permissions!$B$2:$B$3000,$A105,Permissions!$I$2:$I$3000,"Complete",Permissions!$R$2:$R$3000,"Yes")</f>
        <v>0</v>
      </c>
      <c r="AJ105" s="24" t="n">
        <f aca="false">SUMIFS(Permissions!$G$2:$G$3000,Permissions!$B$2:$B$3000,$A105,Permissions!$I$2:$I$3000,"Under construction",Permissions!$R$2:$R$3000,"Yes")</f>
        <v>0</v>
      </c>
      <c r="AK105" s="24" t="n">
        <f aca="false">SUMIFS(Permissions!$G$2:$G$3000,Permissions!$B$2:$B$3000,$A105,Permissions!$I$2:$I$3000,"Permitted – not started",Permissions!$R$2:$R$3000,"Yes")</f>
        <v>0</v>
      </c>
      <c r="AL105" s="24" t="n">
        <f aca="false">SUMIFS(Permissions!$G$2:$G$3000,Permissions!$B$2:$B$3000,$A105,Permissions!$I$2:$I$3000,"Stalled",Permissions!$R$2:$R$3000,"Yes")</f>
        <v>0</v>
      </c>
      <c r="AM105" s="24" t="n">
        <f aca="false">AI105+AJ105+AK105+AL105</f>
        <v>0</v>
      </c>
      <c r="AN105" s="24" t="n">
        <f aca="false">SUMIFS(Permissions!$G$2:$G$3000,Permissions!$B$2:$B$3000,$A105,Permissions!$I$2:$I$3000,"Expired – not started",Permissions!$R$2:$R$3000,"Yes")</f>
        <v>0</v>
      </c>
      <c r="AO105" s="24" t="n">
        <f aca="false">SUMIFS(Permissions!$G$2:$G$3000,Permissions!$B$2:$B$3000,$A105,Permissions!$I$2:$I$3000,"In planning",Permissions!$R$2:$R$3000,"Yes")</f>
        <v>0</v>
      </c>
      <c r="AP105" s="24" t="n">
        <f aca="false">IF(R105="",0,MAX(R105-AM105,0))</f>
        <v>7</v>
      </c>
      <c r="AQ105" s="25" t="n">
        <f aca="false">AM105+AP105</f>
        <v>7</v>
      </c>
      <c r="AR105" s="24" t="n">
        <f aca="false">SUMIFS(Permissions!$L$2:$L$3000,Permissions!$B$2:$B$3000,$A105,Permissions!$R$2:$R$3000,"Yes",Permissions!$I$2:$I$3000,"&lt;&gt;Expired – not started",Permissions!$I$2:$I$3000,"&lt;&gt;In planning")</f>
        <v>0</v>
      </c>
      <c r="AS105" s="24" t="n">
        <f aca="false">AQ105-AR105</f>
        <v>7</v>
      </c>
      <c r="AT105" s="26" t="n">
        <f aca="false">SUMIFS(Permissions!$AJ$2:$AJ$3000,Permissions!$B$2:$B$3000,$A105,Permissions!$R$2:$R$3000,"Yes")</f>
        <v>0</v>
      </c>
      <c r="AU105" s="26" t="n">
        <f aca="false">SUMIFS(Permissions!$AK$2:$AK$3000,Permissions!$B$2:$B$3000,$A105,Permissions!$R$2:$R$3000,"Yes")</f>
        <v>0</v>
      </c>
      <c r="AV105" s="26" t="n">
        <f aca="false">SUMIFS(Permissions!$AL$2:$AL$3000,Permissions!$B$2:$B$3000,$A105,Permissions!$R$2:$R$3000,"Yes")</f>
        <v>0</v>
      </c>
      <c r="AW105" s="26" t="n">
        <f aca="false">SUMIFS(Permissions!$AM$2:$AM$3000,Permissions!$B$2:$B$3000,$A105,Permissions!$R$2:$R$3000,"Yes")</f>
        <v>0</v>
      </c>
      <c r="AX105" s="26" t="n">
        <f aca="false">SUMIFS(Permissions!$AN$2:$AN$3000,Permissions!$B$2:$B$3000,$A105,Permissions!$R$2:$R$3000,"Yes")</f>
        <v>0</v>
      </c>
      <c r="AY105" s="26" t="n">
        <f aca="false">SUMIFS(Permissions!$AO$2:$AO$3000,Permissions!$B$2:$B$3000,$A105,Permissions!$R$2:$R$3000,"Yes")</f>
        <v>0</v>
      </c>
      <c r="AZ105" s="24" t="n">
        <f aca="false">COUNTIFS(Permissions!$B$2:$B$3000,$A105,Permissions!$R$2:$R$3000,"Yes")</f>
        <v>0</v>
      </c>
      <c r="BA105" s="24" t="n">
        <f aca="false">SUMIFS(Permissions!$M$2:$M$3000,Permissions!$B$2:$B$3000,$A105,Permissions!$R$2:$R$3000,"Yes")</f>
        <v>0</v>
      </c>
      <c r="BB105" s="24" t="n">
        <f aca="false">SUMIFS(Permissions!$O$2:$O$3000,Permissions!$B$2:$B$3000,$A105,Permissions!$R$2:$R$3000,"Yes")</f>
        <v>0</v>
      </c>
      <c r="BC105" s="27" t="str">
        <f aca="false">IF(AND(AM105&gt;0,AR105&gt;=AM105,AP105=0),"Finished",IF(AR105&gt;0,"Partly built",IF(AM105&gt;0,"Consented – not built","No consent")))</f>
        <v>No consent</v>
      </c>
      <c r="BD105" s="28" t="str">
        <f aca="false">IF(AND(R105&lt;&gt;"",AM105&gt;1.1*R105),"Consented above capacity",IF(AND(LEFT(B105,8)="Planning",AZ105=0),"Consent parcel with no permission",IF(COUNTIF($A$2:$A$3000,$A105)&gt;1,"Duplicate parcel_id","")))</f>
        <v/>
      </c>
    </row>
    <row r="106" customFormat="false" ht="15" hidden="false" customHeight="false" outlineLevel="0" collapsed="false">
      <c r="A106" s="15" t="s">
        <v>315</v>
      </c>
      <c r="B106" s="15" t="s">
        <v>10</v>
      </c>
      <c r="C106" s="15" t="s">
        <v>16</v>
      </c>
      <c r="D106" s="15" t="s">
        <v>57</v>
      </c>
      <c r="E106" s="15" t="s">
        <v>19</v>
      </c>
      <c r="F106" s="15" t="n">
        <v>1</v>
      </c>
      <c r="G106" s="15" t="s">
        <v>158</v>
      </c>
      <c r="H106" s="15" t="n">
        <v>77</v>
      </c>
      <c r="I106" s="15" t="s">
        <v>57</v>
      </c>
      <c r="J106" s="15" t="s">
        <v>211</v>
      </c>
      <c r="K106" s="15" t="s">
        <v>302</v>
      </c>
      <c r="L106" s="15" t="s">
        <v>176</v>
      </c>
      <c r="M106" s="15" t="s">
        <v>161</v>
      </c>
      <c r="N106" s="15" t="s">
        <v>172</v>
      </c>
      <c r="O106" s="15" t="s">
        <v>163</v>
      </c>
      <c r="P106" s="15" t="n">
        <v>0.727</v>
      </c>
      <c r="Q106" s="15" t="n">
        <v>0.728</v>
      </c>
      <c r="R106" s="15" t="n">
        <v>33</v>
      </c>
      <c r="S106" s="15" t="s">
        <v>164</v>
      </c>
      <c r="T106" s="15" t="n">
        <v>25</v>
      </c>
      <c r="U106" s="15"/>
      <c r="V106" s="15"/>
      <c r="W106" s="15"/>
      <c r="X106" s="15" t="s">
        <v>165</v>
      </c>
      <c r="Y106" s="15" t="n">
        <v>34</v>
      </c>
      <c r="Z106" s="15" t="s">
        <v>166</v>
      </c>
      <c r="AA106" s="15"/>
      <c r="AB106" s="15" t="n">
        <v>0</v>
      </c>
      <c r="AC106" s="15" t="n">
        <v>0</v>
      </c>
      <c r="AD106" s="15" t="s">
        <v>167</v>
      </c>
      <c r="AE106" s="15" t="s">
        <v>168</v>
      </c>
      <c r="AF106" s="15" t="s">
        <v>169</v>
      </c>
      <c r="AG106" s="15"/>
      <c r="AH106" s="24" t="n">
        <f aca="false">IF(R106="",AM106,R106)</f>
        <v>33</v>
      </c>
      <c r="AI106" s="24" t="n">
        <f aca="false">SUMIFS(Permissions!$G$2:$G$3000,Permissions!$B$2:$B$3000,$A106,Permissions!$I$2:$I$3000,"Complete",Permissions!$R$2:$R$3000,"Yes")</f>
        <v>0</v>
      </c>
      <c r="AJ106" s="24" t="n">
        <f aca="false">SUMIFS(Permissions!$G$2:$G$3000,Permissions!$B$2:$B$3000,$A106,Permissions!$I$2:$I$3000,"Under construction",Permissions!$R$2:$R$3000,"Yes")</f>
        <v>0</v>
      </c>
      <c r="AK106" s="24" t="n">
        <f aca="false">SUMIFS(Permissions!$G$2:$G$3000,Permissions!$B$2:$B$3000,$A106,Permissions!$I$2:$I$3000,"Permitted – not started",Permissions!$R$2:$R$3000,"Yes")</f>
        <v>0</v>
      </c>
      <c r="AL106" s="24" t="n">
        <f aca="false">SUMIFS(Permissions!$G$2:$G$3000,Permissions!$B$2:$B$3000,$A106,Permissions!$I$2:$I$3000,"Stalled",Permissions!$R$2:$R$3000,"Yes")</f>
        <v>0</v>
      </c>
      <c r="AM106" s="24" t="n">
        <f aca="false">AI106+AJ106+AK106+AL106</f>
        <v>0</v>
      </c>
      <c r="AN106" s="24" t="n">
        <f aca="false">SUMIFS(Permissions!$G$2:$G$3000,Permissions!$B$2:$B$3000,$A106,Permissions!$I$2:$I$3000,"Expired – not started",Permissions!$R$2:$R$3000,"Yes")</f>
        <v>0</v>
      </c>
      <c r="AO106" s="24" t="n">
        <f aca="false">SUMIFS(Permissions!$G$2:$G$3000,Permissions!$B$2:$B$3000,$A106,Permissions!$I$2:$I$3000,"In planning",Permissions!$R$2:$R$3000,"Yes")</f>
        <v>0</v>
      </c>
      <c r="AP106" s="24" t="n">
        <f aca="false">IF(R106="",0,MAX(R106-AM106,0))</f>
        <v>33</v>
      </c>
      <c r="AQ106" s="25" t="n">
        <f aca="false">AM106+AP106</f>
        <v>33</v>
      </c>
      <c r="AR106" s="24" t="n">
        <f aca="false">SUMIFS(Permissions!$L$2:$L$3000,Permissions!$B$2:$B$3000,$A106,Permissions!$R$2:$R$3000,"Yes",Permissions!$I$2:$I$3000,"&lt;&gt;Expired – not started",Permissions!$I$2:$I$3000,"&lt;&gt;In planning")</f>
        <v>0</v>
      </c>
      <c r="AS106" s="24" t="n">
        <f aca="false">AQ106-AR106</f>
        <v>33</v>
      </c>
      <c r="AT106" s="26" t="n">
        <f aca="false">SUMIFS(Permissions!$AJ$2:$AJ$3000,Permissions!$B$2:$B$3000,$A106,Permissions!$R$2:$R$3000,"Yes")</f>
        <v>0</v>
      </c>
      <c r="AU106" s="26" t="n">
        <f aca="false">SUMIFS(Permissions!$AK$2:$AK$3000,Permissions!$B$2:$B$3000,$A106,Permissions!$R$2:$R$3000,"Yes")</f>
        <v>0</v>
      </c>
      <c r="AV106" s="26" t="n">
        <f aca="false">SUMIFS(Permissions!$AL$2:$AL$3000,Permissions!$B$2:$B$3000,$A106,Permissions!$R$2:$R$3000,"Yes")</f>
        <v>0</v>
      </c>
      <c r="AW106" s="26" t="n">
        <f aca="false">SUMIFS(Permissions!$AM$2:$AM$3000,Permissions!$B$2:$B$3000,$A106,Permissions!$R$2:$R$3000,"Yes")</f>
        <v>0</v>
      </c>
      <c r="AX106" s="26" t="n">
        <f aca="false">SUMIFS(Permissions!$AN$2:$AN$3000,Permissions!$B$2:$B$3000,$A106,Permissions!$R$2:$R$3000,"Yes")</f>
        <v>0</v>
      </c>
      <c r="AY106" s="26" t="n">
        <f aca="false">SUMIFS(Permissions!$AO$2:$AO$3000,Permissions!$B$2:$B$3000,$A106,Permissions!$R$2:$R$3000,"Yes")</f>
        <v>0</v>
      </c>
      <c r="AZ106" s="24" t="n">
        <f aca="false">COUNTIFS(Permissions!$B$2:$B$3000,$A106,Permissions!$R$2:$R$3000,"Yes")</f>
        <v>0</v>
      </c>
      <c r="BA106" s="24" t="n">
        <f aca="false">SUMIFS(Permissions!$M$2:$M$3000,Permissions!$B$2:$B$3000,$A106,Permissions!$R$2:$R$3000,"Yes")</f>
        <v>0</v>
      </c>
      <c r="BB106" s="24" t="n">
        <f aca="false">SUMIFS(Permissions!$O$2:$O$3000,Permissions!$B$2:$B$3000,$A106,Permissions!$R$2:$R$3000,"Yes")</f>
        <v>0</v>
      </c>
      <c r="BC106" s="27" t="str">
        <f aca="false">IF(AND(AM106&gt;0,AR106&gt;=AM106,AP106=0),"Finished",IF(AR106&gt;0,"Partly built",IF(AM106&gt;0,"Consented – not built","No consent")))</f>
        <v>No consent</v>
      </c>
      <c r="BD106" s="28" t="str">
        <f aca="false">IF(AND(R106&lt;&gt;"",AM106&gt;1.1*R106),"Consented above capacity",IF(AND(LEFT(B106,8)="Planning",AZ106=0),"Consent parcel with no permission",IF(COUNTIF($A$2:$A$3000,$A106)&gt;1,"Duplicate parcel_id","")))</f>
        <v/>
      </c>
    </row>
    <row r="107" customFormat="false" ht="15" hidden="false" customHeight="false" outlineLevel="0" collapsed="false">
      <c r="A107" s="15" t="s">
        <v>316</v>
      </c>
      <c r="B107" s="15" t="s">
        <v>10</v>
      </c>
      <c r="C107" s="15" t="s">
        <v>16</v>
      </c>
      <c r="D107" s="15" t="s">
        <v>57</v>
      </c>
      <c r="E107" s="15" t="s">
        <v>19</v>
      </c>
      <c r="F107" s="15" t="n">
        <v>1</v>
      </c>
      <c r="G107" s="15" t="s">
        <v>158</v>
      </c>
      <c r="H107" s="15" t="n">
        <v>78</v>
      </c>
      <c r="I107" s="15" t="s">
        <v>57</v>
      </c>
      <c r="J107" s="15" t="s">
        <v>211</v>
      </c>
      <c r="K107" s="15" t="s">
        <v>302</v>
      </c>
      <c r="L107" s="15" t="s">
        <v>176</v>
      </c>
      <c r="M107" s="15" t="s">
        <v>161</v>
      </c>
      <c r="N107" s="15" t="s">
        <v>172</v>
      </c>
      <c r="O107" s="15" t="s">
        <v>163</v>
      </c>
      <c r="P107" s="15" t="n">
        <v>0.919</v>
      </c>
      <c r="Q107" s="15" t="n">
        <v>0.919</v>
      </c>
      <c r="R107" s="15" t="n">
        <v>41</v>
      </c>
      <c r="S107" s="15" t="s">
        <v>164</v>
      </c>
      <c r="T107" s="15" t="n">
        <v>31</v>
      </c>
      <c r="U107" s="15"/>
      <c r="V107" s="15"/>
      <c r="W107" s="15"/>
      <c r="X107" s="15" t="s">
        <v>165</v>
      </c>
      <c r="Y107" s="15" t="n">
        <v>34</v>
      </c>
      <c r="Z107" s="15" t="s">
        <v>166</v>
      </c>
      <c r="AA107" s="15"/>
      <c r="AB107" s="15" t="n">
        <v>1</v>
      </c>
      <c r="AC107" s="15" t="n">
        <v>0</v>
      </c>
      <c r="AD107" s="15" t="s">
        <v>167</v>
      </c>
      <c r="AE107" s="15" t="s">
        <v>168</v>
      </c>
      <c r="AF107" s="15" t="s">
        <v>169</v>
      </c>
      <c r="AG107" s="15"/>
      <c r="AH107" s="24" t="n">
        <f aca="false">IF(R107="",AM107,R107)</f>
        <v>41</v>
      </c>
      <c r="AI107" s="24" t="n">
        <f aca="false">SUMIFS(Permissions!$G$2:$G$3000,Permissions!$B$2:$B$3000,$A107,Permissions!$I$2:$I$3000,"Complete",Permissions!$R$2:$R$3000,"Yes")</f>
        <v>0</v>
      </c>
      <c r="AJ107" s="24" t="n">
        <f aca="false">SUMIFS(Permissions!$G$2:$G$3000,Permissions!$B$2:$B$3000,$A107,Permissions!$I$2:$I$3000,"Under construction",Permissions!$R$2:$R$3000,"Yes")</f>
        <v>0</v>
      </c>
      <c r="AK107" s="24" t="n">
        <f aca="false">SUMIFS(Permissions!$G$2:$G$3000,Permissions!$B$2:$B$3000,$A107,Permissions!$I$2:$I$3000,"Permitted – not started",Permissions!$R$2:$R$3000,"Yes")</f>
        <v>0</v>
      </c>
      <c r="AL107" s="24" t="n">
        <f aca="false">SUMIFS(Permissions!$G$2:$G$3000,Permissions!$B$2:$B$3000,$A107,Permissions!$I$2:$I$3000,"Stalled",Permissions!$R$2:$R$3000,"Yes")</f>
        <v>0</v>
      </c>
      <c r="AM107" s="24" t="n">
        <f aca="false">AI107+AJ107+AK107+AL107</f>
        <v>0</v>
      </c>
      <c r="AN107" s="24" t="n">
        <f aca="false">SUMIFS(Permissions!$G$2:$G$3000,Permissions!$B$2:$B$3000,$A107,Permissions!$I$2:$I$3000,"Expired – not started",Permissions!$R$2:$R$3000,"Yes")</f>
        <v>0</v>
      </c>
      <c r="AO107" s="24" t="n">
        <f aca="false">SUMIFS(Permissions!$G$2:$G$3000,Permissions!$B$2:$B$3000,$A107,Permissions!$I$2:$I$3000,"In planning",Permissions!$R$2:$R$3000,"Yes")</f>
        <v>0</v>
      </c>
      <c r="AP107" s="24" t="n">
        <f aca="false">IF(R107="",0,MAX(R107-AM107,0))</f>
        <v>41</v>
      </c>
      <c r="AQ107" s="25" t="n">
        <f aca="false">AM107+AP107</f>
        <v>41</v>
      </c>
      <c r="AR107" s="24" t="n">
        <f aca="false">SUMIFS(Permissions!$L$2:$L$3000,Permissions!$B$2:$B$3000,$A107,Permissions!$R$2:$R$3000,"Yes",Permissions!$I$2:$I$3000,"&lt;&gt;Expired – not started",Permissions!$I$2:$I$3000,"&lt;&gt;In planning")</f>
        <v>0</v>
      </c>
      <c r="AS107" s="24" t="n">
        <f aca="false">AQ107-AR107</f>
        <v>41</v>
      </c>
      <c r="AT107" s="26" t="n">
        <f aca="false">SUMIFS(Permissions!$AJ$2:$AJ$3000,Permissions!$B$2:$B$3000,$A107,Permissions!$R$2:$R$3000,"Yes")</f>
        <v>0</v>
      </c>
      <c r="AU107" s="26" t="n">
        <f aca="false">SUMIFS(Permissions!$AK$2:$AK$3000,Permissions!$B$2:$B$3000,$A107,Permissions!$R$2:$R$3000,"Yes")</f>
        <v>0</v>
      </c>
      <c r="AV107" s="26" t="n">
        <f aca="false">SUMIFS(Permissions!$AL$2:$AL$3000,Permissions!$B$2:$B$3000,$A107,Permissions!$R$2:$R$3000,"Yes")</f>
        <v>0</v>
      </c>
      <c r="AW107" s="26" t="n">
        <f aca="false">SUMIFS(Permissions!$AM$2:$AM$3000,Permissions!$B$2:$B$3000,$A107,Permissions!$R$2:$R$3000,"Yes")</f>
        <v>0</v>
      </c>
      <c r="AX107" s="26" t="n">
        <f aca="false">SUMIFS(Permissions!$AN$2:$AN$3000,Permissions!$B$2:$B$3000,$A107,Permissions!$R$2:$R$3000,"Yes")</f>
        <v>0</v>
      </c>
      <c r="AY107" s="26" t="n">
        <f aca="false">SUMIFS(Permissions!$AO$2:$AO$3000,Permissions!$B$2:$B$3000,$A107,Permissions!$R$2:$R$3000,"Yes")</f>
        <v>0</v>
      </c>
      <c r="AZ107" s="24" t="n">
        <f aca="false">COUNTIFS(Permissions!$B$2:$B$3000,$A107,Permissions!$R$2:$R$3000,"Yes")</f>
        <v>0</v>
      </c>
      <c r="BA107" s="24" t="n">
        <f aca="false">SUMIFS(Permissions!$M$2:$M$3000,Permissions!$B$2:$B$3000,$A107,Permissions!$R$2:$R$3000,"Yes")</f>
        <v>0</v>
      </c>
      <c r="BB107" s="24" t="n">
        <f aca="false">SUMIFS(Permissions!$O$2:$O$3000,Permissions!$B$2:$B$3000,$A107,Permissions!$R$2:$R$3000,"Yes")</f>
        <v>0</v>
      </c>
      <c r="BC107" s="27" t="str">
        <f aca="false">IF(AND(AM107&gt;0,AR107&gt;=AM107,AP107=0),"Finished",IF(AR107&gt;0,"Partly built",IF(AM107&gt;0,"Consented – not built","No consent")))</f>
        <v>No consent</v>
      </c>
      <c r="BD107" s="28" t="str">
        <f aca="false">IF(AND(R107&lt;&gt;"",AM107&gt;1.1*R107),"Consented above capacity",IF(AND(LEFT(B107,8)="Planning",AZ107=0),"Consent parcel with no permission",IF(COUNTIF($A$2:$A$3000,$A107)&gt;1,"Duplicate parcel_id","")))</f>
        <v/>
      </c>
    </row>
    <row r="108" customFormat="false" ht="15" hidden="false" customHeight="false" outlineLevel="0" collapsed="false">
      <c r="A108" s="15" t="s">
        <v>317</v>
      </c>
      <c r="B108" s="15" t="s">
        <v>10</v>
      </c>
      <c r="C108" s="15" t="s">
        <v>16</v>
      </c>
      <c r="D108" s="15" t="s">
        <v>57</v>
      </c>
      <c r="E108" s="15" t="s">
        <v>19</v>
      </c>
      <c r="F108" s="15" t="n">
        <v>1</v>
      </c>
      <c r="G108" s="15" t="s">
        <v>158</v>
      </c>
      <c r="H108" s="15" t="n">
        <v>79</v>
      </c>
      <c r="I108" s="15" t="s">
        <v>57</v>
      </c>
      <c r="J108" s="15" t="s">
        <v>211</v>
      </c>
      <c r="K108" s="15" t="s">
        <v>302</v>
      </c>
      <c r="L108" s="15" t="s">
        <v>176</v>
      </c>
      <c r="M108" s="15" t="s">
        <v>161</v>
      </c>
      <c r="N108" s="15" t="s">
        <v>172</v>
      </c>
      <c r="O108" s="15" t="s">
        <v>163</v>
      </c>
      <c r="P108" s="15" t="n">
        <v>2.384</v>
      </c>
      <c r="Q108" s="15" t="n">
        <v>2.383</v>
      </c>
      <c r="R108" s="15" t="n">
        <v>107</v>
      </c>
      <c r="S108" s="15" t="s">
        <v>164</v>
      </c>
      <c r="T108" s="15" t="n">
        <v>81</v>
      </c>
      <c r="U108" s="15"/>
      <c r="V108" s="15"/>
      <c r="W108" s="15"/>
      <c r="X108" s="15" t="s">
        <v>165</v>
      </c>
      <c r="Y108" s="15" t="n">
        <v>34</v>
      </c>
      <c r="Z108" s="15" t="s">
        <v>166</v>
      </c>
      <c r="AA108" s="15"/>
      <c r="AB108" s="15" t="n">
        <v>0</v>
      </c>
      <c r="AC108" s="15" t="n">
        <v>0</v>
      </c>
      <c r="AD108" s="15" t="s">
        <v>167</v>
      </c>
      <c r="AE108" s="15" t="s">
        <v>168</v>
      </c>
      <c r="AF108" s="15" t="s">
        <v>169</v>
      </c>
      <c r="AG108" s="15"/>
      <c r="AH108" s="24" t="n">
        <f aca="false">IF(R108="",AM108,R108)</f>
        <v>107</v>
      </c>
      <c r="AI108" s="24" t="n">
        <f aca="false">SUMIFS(Permissions!$G$2:$G$3000,Permissions!$B$2:$B$3000,$A108,Permissions!$I$2:$I$3000,"Complete",Permissions!$R$2:$R$3000,"Yes")</f>
        <v>0</v>
      </c>
      <c r="AJ108" s="24" t="n">
        <f aca="false">SUMIFS(Permissions!$G$2:$G$3000,Permissions!$B$2:$B$3000,$A108,Permissions!$I$2:$I$3000,"Under construction",Permissions!$R$2:$R$3000,"Yes")</f>
        <v>0</v>
      </c>
      <c r="AK108" s="24" t="n">
        <f aca="false">SUMIFS(Permissions!$G$2:$G$3000,Permissions!$B$2:$B$3000,$A108,Permissions!$I$2:$I$3000,"Permitted – not started",Permissions!$R$2:$R$3000,"Yes")</f>
        <v>55</v>
      </c>
      <c r="AL108" s="24" t="n">
        <f aca="false">SUMIFS(Permissions!$G$2:$G$3000,Permissions!$B$2:$B$3000,$A108,Permissions!$I$2:$I$3000,"Stalled",Permissions!$R$2:$R$3000,"Yes")</f>
        <v>0</v>
      </c>
      <c r="AM108" s="24" t="n">
        <f aca="false">AI108+AJ108+AK108+AL108</f>
        <v>55</v>
      </c>
      <c r="AN108" s="24" t="n">
        <f aca="false">SUMIFS(Permissions!$G$2:$G$3000,Permissions!$B$2:$B$3000,$A108,Permissions!$I$2:$I$3000,"Expired – not started",Permissions!$R$2:$R$3000,"Yes")</f>
        <v>0</v>
      </c>
      <c r="AO108" s="24" t="n">
        <f aca="false">SUMIFS(Permissions!$G$2:$G$3000,Permissions!$B$2:$B$3000,$A108,Permissions!$I$2:$I$3000,"In planning",Permissions!$R$2:$R$3000,"Yes")</f>
        <v>0</v>
      </c>
      <c r="AP108" s="24" t="n">
        <f aca="false">IF(R108="",0,MAX(R108-AM108,0))</f>
        <v>52</v>
      </c>
      <c r="AQ108" s="25" t="n">
        <f aca="false">AM108+AP108</f>
        <v>107</v>
      </c>
      <c r="AR108" s="24" t="n">
        <f aca="false">SUMIFS(Permissions!$L$2:$L$3000,Permissions!$B$2:$B$3000,$A108,Permissions!$R$2:$R$3000,"Yes",Permissions!$I$2:$I$3000,"&lt;&gt;Expired – not started",Permissions!$I$2:$I$3000,"&lt;&gt;In planning")</f>
        <v>0</v>
      </c>
      <c r="AS108" s="24" t="n">
        <f aca="false">AQ108-AR108</f>
        <v>107</v>
      </c>
      <c r="AT108" s="26" t="n">
        <f aca="false">SUMIFS(Permissions!$AJ$2:$AJ$3000,Permissions!$B$2:$B$3000,$A108,Permissions!$R$2:$R$3000,"Yes")</f>
        <v>0</v>
      </c>
      <c r="AU108" s="26" t="n">
        <f aca="false">SUMIFS(Permissions!$AK$2:$AK$3000,Permissions!$B$2:$B$3000,$A108,Permissions!$R$2:$R$3000,"Yes")</f>
        <v>0</v>
      </c>
      <c r="AV108" s="26" t="n">
        <f aca="false">SUMIFS(Permissions!$AL$2:$AL$3000,Permissions!$B$2:$B$3000,$A108,Permissions!$R$2:$R$3000,"Yes")</f>
        <v>42.9</v>
      </c>
      <c r="AW108" s="26" t="n">
        <f aca="false">SUMIFS(Permissions!$AM$2:$AM$3000,Permissions!$B$2:$B$3000,$A108,Permissions!$R$2:$R$3000,"Yes")</f>
        <v>12.1</v>
      </c>
      <c r="AX108" s="26" t="n">
        <f aca="false">SUMIFS(Permissions!$AN$2:$AN$3000,Permissions!$B$2:$B$3000,$A108,Permissions!$R$2:$R$3000,"Yes")</f>
        <v>0</v>
      </c>
      <c r="AY108" s="26" t="n">
        <f aca="false">SUMIFS(Permissions!$AO$2:$AO$3000,Permissions!$B$2:$B$3000,$A108,Permissions!$R$2:$R$3000,"Yes")</f>
        <v>0</v>
      </c>
      <c r="AZ108" s="24" t="n">
        <f aca="false">COUNTIFS(Permissions!$B$2:$B$3000,$A108,Permissions!$R$2:$R$3000,"Yes")</f>
        <v>1</v>
      </c>
      <c r="BA108" s="24" t="n">
        <f aca="false">SUMIFS(Permissions!$M$2:$M$3000,Permissions!$B$2:$B$3000,$A108,Permissions!$R$2:$R$3000,"Yes")</f>
        <v>0</v>
      </c>
      <c r="BB108" s="24" t="n">
        <f aca="false">SUMIFS(Permissions!$O$2:$O$3000,Permissions!$B$2:$B$3000,$A108,Permissions!$R$2:$R$3000,"Yes")</f>
        <v>0</v>
      </c>
      <c r="BC108" s="27" t="str">
        <f aca="false">IF(AND(AM108&gt;0,AR108&gt;=AM108,AP108=0),"Finished",IF(AR108&gt;0,"Partly built",IF(AM108&gt;0,"Consented – not built","No consent")))</f>
        <v>Consented – not built</v>
      </c>
      <c r="BD108" s="28" t="str">
        <f aca="false">IF(AND(R108&lt;&gt;"",AM108&gt;1.1*R108),"Consented above capacity",IF(AND(LEFT(B108,8)="Planning",AZ108=0),"Consent parcel with no permission",IF(COUNTIF($A$2:$A$3000,$A108)&gt;1,"Duplicate parcel_id","")))</f>
        <v/>
      </c>
    </row>
    <row r="109" customFormat="false" ht="15" hidden="false" customHeight="false" outlineLevel="0" collapsed="false">
      <c r="A109" s="15" t="s">
        <v>318</v>
      </c>
      <c r="B109" s="15" t="s">
        <v>10</v>
      </c>
      <c r="C109" s="15" t="s">
        <v>16</v>
      </c>
      <c r="D109" s="15" t="s">
        <v>57</v>
      </c>
      <c r="E109" s="15" t="s">
        <v>19</v>
      </c>
      <c r="F109" s="15" t="n">
        <v>1</v>
      </c>
      <c r="G109" s="15" t="s">
        <v>158</v>
      </c>
      <c r="H109" s="15" t="n">
        <v>80</v>
      </c>
      <c r="I109" s="15" t="s">
        <v>57</v>
      </c>
      <c r="J109" s="15" t="s">
        <v>182</v>
      </c>
      <c r="K109" s="15" t="s">
        <v>302</v>
      </c>
      <c r="L109" s="15" t="s">
        <v>176</v>
      </c>
      <c r="M109" s="15" t="s">
        <v>171</v>
      </c>
      <c r="N109" s="15" t="s">
        <v>162</v>
      </c>
      <c r="O109" s="15" t="s">
        <v>163</v>
      </c>
      <c r="P109" s="15" t="n">
        <v>0.077</v>
      </c>
      <c r="Q109" s="15" t="n">
        <v>0.077</v>
      </c>
      <c r="R109" s="15" t="n">
        <v>3</v>
      </c>
      <c r="S109" s="15" t="s">
        <v>164</v>
      </c>
      <c r="T109" s="15" t="n">
        <v>3</v>
      </c>
      <c r="U109" s="15"/>
      <c r="V109" s="15"/>
      <c r="W109" s="15"/>
      <c r="X109" s="15" t="s">
        <v>165</v>
      </c>
      <c r="Y109" s="15" t="n">
        <v>34</v>
      </c>
      <c r="Z109" s="15" t="s">
        <v>166</v>
      </c>
      <c r="AA109" s="15"/>
      <c r="AB109" s="15" t="n">
        <v>2</v>
      </c>
      <c r="AC109" s="15" t="n">
        <v>0</v>
      </c>
      <c r="AD109" s="15" t="s">
        <v>167</v>
      </c>
      <c r="AE109" s="15" t="s">
        <v>168</v>
      </c>
      <c r="AF109" s="15" t="s">
        <v>169</v>
      </c>
      <c r="AG109" s="15"/>
      <c r="AH109" s="24" t="n">
        <f aca="false">IF(R109="",AM109,R109)</f>
        <v>3</v>
      </c>
      <c r="AI109" s="24" t="n">
        <f aca="false">SUMIFS(Permissions!$G$2:$G$3000,Permissions!$B$2:$B$3000,$A109,Permissions!$I$2:$I$3000,"Complete",Permissions!$R$2:$R$3000,"Yes")</f>
        <v>0</v>
      </c>
      <c r="AJ109" s="24" t="n">
        <f aca="false">SUMIFS(Permissions!$G$2:$G$3000,Permissions!$B$2:$B$3000,$A109,Permissions!$I$2:$I$3000,"Under construction",Permissions!$R$2:$R$3000,"Yes")</f>
        <v>0</v>
      </c>
      <c r="AK109" s="24" t="n">
        <f aca="false">SUMIFS(Permissions!$G$2:$G$3000,Permissions!$B$2:$B$3000,$A109,Permissions!$I$2:$I$3000,"Permitted – not started",Permissions!$R$2:$R$3000,"Yes")</f>
        <v>0</v>
      </c>
      <c r="AL109" s="24" t="n">
        <f aca="false">SUMIFS(Permissions!$G$2:$G$3000,Permissions!$B$2:$B$3000,$A109,Permissions!$I$2:$I$3000,"Stalled",Permissions!$R$2:$R$3000,"Yes")</f>
        <v>0</v>
      </c>
      <c r="AM109" s="24" t="n">
        <f aca="false">AI109+AJ109+AK109+AL109</f>
        <v>0</v>
      </c>
      <c r="AN109" s="24" t="n">
        <f aca="false">SUMIFS(Permissions!$G$2:$G$3000,Permissions!$B$2:$B$3000,$A109,Permissions!$I$2:$I$3000,"Expired – not started",Permissions!$R$2:$R$3000,"Yes")</f>
        <v>0</v>
      </c>
      <c r="AO109" s="24" t="n">
        <f aca="false">SUMIFS(Permissions!$G$2:$G$3000,Permissions!$B$2:$B$3000,$A109,Permissions!$I$2:$I$3000,"In planning",Permissions!$R$2:$R$3000,"Yes")</f>
        <v>0</v>
      </c>
      <c r="AP109" s="24" t="n">
        <f aca="false">IF(R109="",0,MAX(R109-AM109,0))</f>
        <v>3</v>
      </c>
      <c r="AQ109" s="25" t="n">
        <f aca="false">AM109+AP109</f>
        <v>3</v>
      </c>
      <c r="AR109" s="24" t="n">
        <f aca="false">SUMIFS(Permissions!$L$2:$L$3000,Permissions!$B$2:$B$3000,$A109,Permissions!$R$2:$R$3000,"Yes",Permissions!$I$2:$I$3000,"&lt;&gt;Expired – not started",Permissions!$I$2:$I$3000,"&lt;&gt;In planning")</f>
        <v>0</v>
      </c>
      <c r="AS109" s="24" t="n">
        <f aca="false">AQ109-AR109</f>
        <v>3</v>
      </c>
      <c r="AT109" s="26" t="n">
        <f aca="false">SUMIFS(Permissions!$AJ$2:$AJ$3000,Permissions!$B$2:$B$3000,$A109,Permissions!$R$2:$R$3000,"Yes")</f>
        <v>0</v>
      </c>
      <c r="AU109" s="26" t="n">
        <f aca="false">SUMIFS(Permissions!$AK$2:$AK$3000,Permissions!$B$2:$B$3000,$A109,Permissions!$R$2:$R$3000,"Yes")</f>
        <v>0</v>
      </c>
      <c r="AV109" s="26" t="n">
        <f aca="false">SUMIFS(Permissions!$AL$2:$AL$3000,Permissions!$B$2:$B$3000,$A109,Permissions!$R$2:$R$3000,"Yes")</f>
        <v>0</v>
      </c>
      <c r="AW109" s="26" t="n">
        <f aca="false">SUMIFS(Permissions!$AM$2:$AM$3000,Permissions!$B$2:$B$3000,$A109,Permissions!$R$2:$R$3000,"Yes")</f>
        <v>0</v>
      </c>
      <c r="AX109" s="26" t="n">
        <f aca="false">SUMIFS(Permissions!$AN$2:$AN$3000,Permissions!$B$2:$B$3000,$A109,Permissions!$R$2:$R$3000,"Yes")</f>
        <v>0</v>
      </c>
      <c r="AY109" s="26" t="n">
        <f aca="false">SUMIFS(Permissions!$AO$2:$AO$3000,Permissions!$B$2:$B$3000,$A109,Permissions!$R$2:$R$3000,"Yes")</f>
        <v>0</v>
      </c>
      <c r="AZ109" s="24" t="n">
        <f aca="false">COUNTIFS(Permissions!$B$2:$B$3000,$A109,Permissions!$R$2:$R$3000,"Yes")</f>
        <v>0</v>
      </c>
      <c r="BA109" s="24" t="n">
        <f aca="false">SUMIFS(Permissions!$M$2:$M$3000,Permissions!$B$2:$B$3000,$A109,Permissions!$R$2:$R$3000,"Yes")</f>
        <v>0</v>
      </c>
      <c r="BB109" s="24" t="n">
        <f aca="false">SUMIFS(Permissions!$O$2:$O$3000,Permissions!$B$2:$B$3000,$A109,Permissions!$R$2:$R$3000,"Yes")</f>
        <v>0</v>
      </c>
      <c r="BC109" s="27" t="str">
        <f aca="false">IF(AND(AM109&gt;0,AR109&gt;=AM109,AP109=0),"Finished",IF(AR109&gt;0,"Partly built",IF(AM109&gt;0,"Consented – not built","No consent")))</f>
        <v>No consent</v>
      </c>
      <c r="BD109" s="28" t="str">
        <f aca="false">IF(AND(R109&lt;&gt;"",AM109&gt;1.1*R109),"Consented above capacity",IF(AND(LEFT(B109,8)="Planning",AZ109=0),"Consent parcel with no permission",IF(COUNTIF($A$2:$A$3000,$A109)&gt;1,"Duplicate parcel_id","")))</f>
        <v/>
      </c>
    </row>
    <row r="110" customFormat="false" ht="15" hidden="false" customHeight="false" outlineLevel="0" collapsed="false">
      <c r="A110" s="15" t="s">
        <v>319</v>
      </c>
      <c r="B110" s="15" t="s">
        <v>10</v>
      </c>
      <c r="C110" s="15" t="s">
        <v>16</v>
      </c>
      <c r="D110" s="15" t="s">
        <v>57</v>
      </c>
      <c r="E110" s="15" t="s">
        <v>19</v>
      </c>
      <c r="F110" s="15" t="n">
        <v>1</v>
      </c>
      <c r="G110" s="15" t="s">
        <v>158</v>
      </c>
      <c r="H110" s="15" t="n">
        <v>81</v>
      </c>
      <c r="I110" s="15" t="s">
        <v>57</v>
      </c>
      <c r="J110" s="15" t="s">
        <v>182</v>
      </c>
      <c r="K110" s="15" t="s">
        <v>302</v>
      </c>
      <c r="L110" s="15" t="s">
        <v>176</v>
      </c>
      <c r="M110" s="15" t="s">
        <v>161</v>
      </c>
      <c r="N110" s="15" t="s">
        <v>162</v>
      </c>
      <c r="O110" s="15" t="s">
        <v>163</v>
      </c>
      <c r="P110" s="15" t="n">
        <v>0.156</v>
      </c>
      <c r="Q110" s="15" t="n">
        <v>0.156</v>
      </c>
      <c r="R110" s="15" t="n">
        <v>32</v>
      </c>
      <c r="S110" s="15" t="s">
        <v>164</v>
      </c>
      <c r="T110" s="15" t="n">
        <v>5</v>
      </c>
      <c r="U110" s="15"/>
      <c r="V110" s="15"/>
      <c r="W110" s="15"/>
      <c r="X110" s="15" t="s">
        <v>165</v>
      </c>
      <c r="Y110" s="15" t="n">
        <v>34</v>
      </c>
      <c r="Z110" s="15" t="s">
        <v>166</v>
      </c>
      <c r="AA110" s="15"/>
      <c r="AB110" s="15" t="n">
        <v>0</v>
      </c>
      <c r="AC110" s="15" t="n">
        <v>0</v>
      </c>
      <c r="AD110" s="15" t="s">
        <v>186</v>
      </c>
      <c r="AE110" s="15" t="s">
        <v>168</v>
      </c>
      <c r="AF110" s="15" t="s">
        <v>169</v>
      </c>
      <c r="AG110" s="15"/>
      <c r="AH110" s="24" t="n">
        <f aca="false">IF(R110="",AM110,R110)</f>
        <v>32</v>
      </c>
      <c r="AI110" s="24" t="n">
        <f aca="false">SUMIFS(Permissions!$G$2:$G$3000,Permissions!$B$2:$B$3000,$A110,Permissions!$I$2:$I$3000,"Complete",Permissions!$R$2:$R$3000,"Yes")</f>
        <v>0</v>
      </c>
      <c r="AJ110" s="24" t="n">
        <f aca="false">SUMIFS(Permissions!$G$2:$G$3000,Permissions!$B$2:$B$3000,$A110,Permissions!$I$2:$I$3000,"Under construction",Permissions!$R$2:$R$3000,"Yes")</f>
        <v>20</v>
      </c>
      <c r="AK110" s="24" t="n">
        <f aca="false">SUMIFS(Permissions!$G$2:$G$3000,Permissions!$B$2:$B$3000,$A110,Permissions!$I$2:$I$3000,"Permitted – not started",Permissions!$R$2:$R$3000,"Yes")</f>
        <v>0</v>
      </c>
      <c r="AL110" s="24" t="n">
        <f aca="false">SUMIFS(Permissions!$G$2:$G$3000,Permissions!$B$2:$B$3000,$A110,Permissions!$I$2:$I$3000,"Stalled",Permissions!$R$2:$R$3000,"Yes")</f>
        <v>0</v>
      </c>
      <c r="AM110" s="24" t="n">
        <f aca="false">AI110+AJ110+AK110+AL110</f>
        <v>20</v>
      </c>
      <c r="AN110" s="24" t="n">
        <f aca="false">SUMIFS(Permissions!$G$2:$G$3000,Permissions!$B$2:$B$3000,$A110,Permissions!$I$2:$I$3000,"Expired – not started",Permissions!$R$2:$R$3000,"Yes")</f>
        <v>0</v>
      </c>
      <c r="AO110" s="24" t="n">
        <f aca="false">SUMIFS(Permissions!$G$2:$G$3000,Permissions!$B$2:$B$3000,$A110,Permissions!$I$2:$I$3000,"In planning",Permissions!$R$2:$R$3000,"Yes")</f>
        <v>0</v>
      </c>
      <c r="AP110" s="24" t="n">
        <f aca="false">IF(R110="",0,MAX(R110-AM110,0))</f>
        <v>12</v>
      </c>
      <c r="AQ110" s="25" t="n">
        <f aca="false">AM110+AP110</f>
        <v>32</v>
      </c>
      <c r="AR110" s="24" t="n">
        <f aca="false">SUMIFS(Permissions!$L$2:$L$3000,Permissions!$B$2:$B$3000,$A110,Permissions!$R$2:$R$3000,"Yes",Permissions!$I$2:$I$3000,"&lt;&gt;Expired – not started",Permissions!$I$2:$I$3000,"&lt;&gt;In planning")</f>
        <v>0</v>
      </c>
      <c r="AS110" s="24" t="n">
        <f aca="false">AQ110-AR110</f>
        <v>32</v>
      </c>
      <c r="AT110" s="26" t="n">
        <f aca="false">SUMIFS(Permissions!$AJ$2:$AJ$3000,Permissions!$B$2:$B$3000,$A110,Permissions!$R$2:$R$3000,"Yes")</f>
        <v>4.7</v>
      </c>
      <c r="AU110" s="26" t="n">
        <f aca="false">SUMIFS(Permissions!$AK$2:$AK$3000,Permissions!$B$2:$B$3000,$A110,Permissions!$R$2:$R$3000,"Yes")</f>
        <v>15.3</v>
      </c>
      <c r="AV110" s="26" t="n">
        <f aca="false">SUMIFS(Permissions!$AL$2:$AL$3000,Permissions!$B$2:$B$3000,$A110,Permissions!$R$2:$R$3000,"Yes")</f>
        <v>0</v>
      </c>
      <c r="AW110" s="26" t="n">
        <f aca="false">SUMIFS(Permissions!$AM$2:$AM$3000,Permissions!$B$2:$B$3000,$A110,Permissions!$R$2:$R$3000,"Yes")</f>
        <v>0</v>
      </c>
      <c r="AX110" s="26" t="n">
        <f aca="false">SUMIFS(Permissions!$AN$2:$AN$3000,Permissions!$B$2:$B$3000,$A110,Permissions!$R$2:$R$3000,"Yes")</f>
        <v>0</v>
      </c>
      <c r="AY110" s="26" t="n">
        <f aca="false">SUMIFS(Permissions!$AO$2:$AO$3000,Permissions!$B$2:$B$3000,$A110,Permissions!$R$2:$R$3000,"Yes")</f>
        <v>0</v>
      </c>
      <c r="AZ110" s="24" t="n">
        <f aca="false">COUNTIFS(Permissions!$B$2:$B$3000,$A110,Permissions!$R$2:$R$3000,"Yes")</f>
        <v>1</v>
      </c>
      <c r="BA110" s="24" t="n">
        <f aca="false">SUMIFS(Permissions!$M$2:$M$3000,Permissions!$B$2:$B$3000,$A110,Permissions!$R$2:$R$3000,"Yes")</f>
        <v>0</v>
      </c>
      <c r="BB110" s="24" t="n">
        <f aca="false">SUMIFS(Permissions!$O$2:$O$3000,Permissions!$B$2:$B$3000,$A110,Permissions!$R$2:$R$3000,"Yes")</f>
        <v>0</v>
      </c>
      <c r="BC110" s="27" t="str">
        <f aca="false">IF(AND(AM110&gt;0,AR110&gt;=AM110,AP110=0),"Finished",IF(AR110&gt;0,"Partly built",IF(AM110&gt;0,"Consented – not built","No consent")))</f>
        <v>Consented – not built</v>
      </c>
      <c r="BD110" s="28" t="str">
        <f aca="false">IF(AND(R110&lt;&gt;"",AM110&gt;1.1*R110),"Consented above capacity",IF(AND(LEFT(B110,8)="Planning",AZ110=0),"Consent parcel with no permission",IF(COUNTIF($A$2:$A$3000,$A110)&gt;1,"Duplicate parcel_id","")))</f>
        <v/>
      </c>
    </row>
    <row r="111" customFormat="false" ht="15" hidden="false" customHeight="false" outlineLevel="0" collapsed="false">
      <c r="A111" s="15" t="s">
        <v>320</v>
      </c>
      <c r="B111" s="15" t="s">
        <v>10</v>
      </c>
      <c r="C111" s="15" t="s">
        <v>16</v>
      </c>
      <c r="D111" s="15" t="s">
        <v>57</v>
      </c>
      <c r="E111" s="15" t="s">
        <v>19</v>
      </c>
      <c r="F111" s="15" t="n">
        <v>1</v>
      </c>
      <c r="G111" s="15" t="s">
        <v>158</v>
      </c>
      <c r="H111" s="15" t="n">
        <v>82</v>
      </c>
      <c r="I111" s="15" t="s">
        <v>57</v>
      </c>
      <c r="J111" s="15" t="s">
        <v>182</v>
      </c>
      <c r="K111" s="15" t="s">
        <v>302</v>
      </c>
      <c r="L111" s="15" t="s">
        <v>176</v>
      </c>
      <c r="M111" s="15" t="s">
        <v>234</v>
      </c>
      <c r="N111" s="15" t="s">
        <v>162</v>
      </c>
      <c r="O111" s="15" t="s">
        <v>235</v>
      </c>
      <c r="P111" s="15" t="n">
        <v>0.151</v>
      </c>
      <c r="Q111" s="15" t="n">
        <v>0.166</v>
      </c>
      <c r="R111" s="15" t="n">
        <v>5</v>
      </c>
      <c r="S111" s="15" t="s">
        <v>239</v>
      </c>
      <c r="T111" s="15" t="n">
        <v>5</v>
      </c>
      <c r="U111" s="15"/>
      <c r="V111" s="15"/>
      <c r="W111" s="15"/>
      <c r="X111" s="15" t="s">
        <v>165</v>
      </c>
      <c r="Y111" s="15" t="n">
        <v>34</v>
      </c>
      <c r="Z111" s="15" t="s">
        <v>304</v>
      </c>
      <c r="AA111" s="15"/>
      <c r="AB111" s="15" t="n">
        <v>0</v>
      </c>
      <c r="AC111" s="15" t="n">
        <v>0</v>
      </c>
      <c r="AD111" s="15" t="s">
        <v>167</v>
      </c>
      <c r="AE111" s="15" t="s">
        <v>168</v>
      </c>
      <c r="AF111" s="15" t="s">
        <v>169</v>
      </c>
      <c r="AG111" s="15"/>
      <c r="AH111" s="24" t="n">
        <f aca="false">IF(R111="",AM111,R111)</f>
        <v>5</v>
      </c>
      <c r="AI111" s="24" t="n">
        <f aca="false">SUMIFS(Permissions!$G$2:$G$3000,Permissions!$B$2:$B$3000,$A111,Permissions!$I$2:$I$3000,"Complete",Permissions!$R$2:$R$3000,"Yes")</f>
        <v>0</v>
      </c>
      <c r="AJ111" s="24" t="n">
        <f aca="false">SUMIFS(Permissions!$G$2:$G$3000,Permissions!$B$2:$B$3000,$A111,Permissions!$I$2:$I$3000,"Under construction",Permissions!$R$2:$R$3000,"Yes")</f>
        <v>0</v>
      </c>
      <c r="AK111" s="24" t="n">
        <f aca="false">SUMIFS(Permissions!$G$2:$G$3000,Permissions!$B$2:$B$3000,$A111,Permissions!$I$2:$I$3000,"Permitted – not started",Permissions!$R$2:$R$3000,"Yes")</f>
        <v>0</v>
      </c>
      <c r="AL111" s="24" t="n">
        <f aca="false">SUMIFS(Permissions!$G$2:$G$3000,Permissions!$B$2:$B$3000,$A111,Permissions!$I$2:$I$3000,"Stalled",Permissions!$R$2:$R$3000,"Yes")</f>
        <v>0</v>
      </c>
      <c r="AM111" s="24" t="n">
        <f aca="false">AI111+AJ111+AK111+AL111</f>
        <v>0</v>
      </c>
      <c r="AN111" s="24" t="n">
        <f aca="false">SUMIFS(Permissions!$G$2:$G$3000,Permissions!$B$2:$B$3000,$A111,Permissions!$I$2:$I$3000,"Expired – not started",Permissions!$R$2:$R$3000,"Yes")</f>
        <v>0</v>
      </c>
      <c r="AO111" s="24" t="n">
        <f aca="false">SUMIFS(Permissions!$G$2:$G$3000,Permissions!$B$2:$B$3000,$A111,Permissions!$I$2:$I$3000,"In planning",Permissions!$R$2:$R$3000,"Yes")</f>
        <v>0</v>
      </c>
      <c r="AP111" s="24" t="n">
        <f aca="false">IF(R111="",0,MAX(R111-AM111,0))</f>
        <v>5</v>
      </c>
      <c r="AQ111" s="25" t="n">
        <f aca="false">AM111+AP111</f>
        <v>5</v>
      </c>
      <c r="AR111" s="24" t="n">
        <f aca="false">SUMIFS(Permissions!$L$2:$L$3000,Permissions!$B$2:$B$3000,$A111,Permissions!$R$2:$R$3000,"Yes",Permissions!$I$2:$I$3000,"&lt;&gt;Expired – not started",Permissions!$I$2:$I$3000,"&lt;&gt;In planning")</f>
        <v>0</v>
      </c>
      <c r="AS111" s="24" t="n">
        <f aca="false">AQ111-AR111</f>
        <v>5</v>
      </c>
      <c r="AT111" s="26" t="n">
        <f aca="false">SUMIFS(Permissions!$AJ$2:$AJ$3000,Permissions!$B$2:$B$3000,$A111,Permissions!$R$2:$R$3000,"Yes")</f>
        <v>0</v>
      </c>
      <c r="AU111" s="26" t="n">
        <f aca="false">SUMIFS(Permissions!$AK$2:$AK$3000,Permissions!$B$2:$B$3000,$A111,Permissions!$R$2:$R$3000,"Yes")</f>
        <v>0</v>
      </c>
      <c r="AV111" s="26" t="n">
        <f aca="false">SUMIFS(Permissions!$AL$2:$AL$3000,Permissions!$B$2:$B$3000,$A111,Permissions!$R$2:$R$3000,"Yes")</f>
        <v>0</v>
      </c>
      <c r="AW111" s="26" t="n">
        <f aca="false">SUMIFS(Permissions!$AM$2:$AM$3000,Permissions!$B$2:$B$3000,$A111,Permissions!$R$2:$R$3000,"Yes")</f>
        <v>0</v>
      </c>
      <c r="AX111" s="26" t="n">
        <f aca="false">SUMIFS(Permissions!$AN$2:$AN$3000,Permissions!$B$2:$B$3000,$A111,Permissions!$R$2:$R$3000,"Yes")</f>
        <v>0</v>
      </c>
      <c r="AY111" s="26" t="n">
        <f aca="false">SUMIFS(Permissions!$AO$2:$AO$3000,Permissions!$B$2:$B$3000,$A111,Permissions!$R$2:$R$3000,"Yes")</f>
        <v>0</v>
      </c>
      <c r="AZ111" s="24" t="n">
        <f aca="false">COUNTIFS(Permissions!$B$2:$B$3000,$A111,Permissions!$R$2:$R$3000,"Yes")</f>
        <v>0</v>
      </c>
      <c r="BA111" s="24" t="n">
        <f aca="false">SUMIFS(Permissions!$M$2:$M$3000,Permissions!$B$2:$B$3000,$A111,Permissions!$R$2:$R$3000,"Yes")</f>
        <v>0</v>
      </c>
      <c r="BB111" s="24" t="n">
        <f aca="false">SUMIFS(Permissions!$O$2:$O$3000,Permissions!$B$2:$B$3000,$A111,Permissions!$R$2:$R$3000,"Yes")</f>
        <v>0</v>
      </c>
      <c r="BC111" s="27" t="str">
        <f aca="false">IF(AND(AM111&gt;0,AR111&gt;=AM111,AP111=0),"Finished",IF(AR111&gt;0,"Partly built",IF(AM111&gt;0,"Consented – not built","No consent")))</f>
        <v>No consent</v>
      </c>
      <c r="BD111" s="28" t="str">
        <f aca="false">IF(AND(R111&lt;&gt;"",AM111&gt;1.1*R111),"Consented above capacity",IF(AND(LEFT(B111,8)="Planning",AZ111=0),"Consent parcel with no permission",IF(COUNTIF($A$2:$A$3000,$A111)&gt;1,"Duplicate parcel_id","")))</f>
        <v/>
      </c>
    </row>
    <row r="112" customFormat="false" ht="15" hidden="false" customHeight="false" outlineLevel="0" collapsed="false">
      <c r="A112" s="15" t="s">
        <v>321</v>
      </c>
      <c r="B112" s="15" t="s">
        <v>10</v>
      </c>
      <c r="C112" s="15" t="s">
        <v>16</v>
      </c>
      <c r="D112" s="15" t="s">
        <v>57</v>
      </c>
      <c r="E112" s="15" t="s">
        <v>19</v>
      </c>
      <c r="F112" s="15" t="n">
        <v>1</v>
      </c>
      <c r="G112" s="15" t="s">
        <v>158</v>
      </c>
      <c r="H112" s="15" t="n">
        <v>83</v>
      </c>
      <c r="I112" s="15" t="s">
        <v>57</v>
      </c>
      <c r="J112" s="15" t="s">
        <v>182</v>
      </c>
      <c r="K112" s="15" t="s">
        <v>302</v>
      </c>
      <c r="L112" s="15" t="s">
        <v>176</v>
      </c>
      <c r="M112" s="15" t="s">
        <v>234</v>
      </c>
      <c r="N112" s="15" t="s">
        <v>162</v>
      </c>
      <c r="O112" s="15" t="s">
        <v>235</v>
      </c>
      <c r="P112" s="15" t="n">
        <v>0.124</v>
      </c>
      <c r="Q112" s="15" t="n">
        <v>0.125</v>
      </c>
      <c r="R112" s="15" t="n">
        <v>14</v>
      </c>
      <c r="S112" s="15" t="s">
        <v>164</v>
      </c>
      <c r="T112" s="15" t="n">
        <v>4</v>
      </c>
      <c r="U112" s="15"/>
      <c r="V112" s="15"/>
      <c r="W112" s="15"/>
      <c r="X112" s="15" t="s">
        <v>165</v>
      </c>
      <c r="Y112" s="15" t="n">
        <v>34</v>
      </c>
      <c r="Z112" s="15" t="s">
        <v>166</v>
      </c>
      <c r="AA112" s="15"/>
      <c r="AB112" s="15" t="n">
        <v>4</v>
      </c>
      <c r="AC112" s="15" t="n">
        <v>0</v>
      </c>
      <c r="AD112" s="15" t="s">
        <v>186</v>
      </c>
      <c r="AE112" s="15" t="s">
        <v>168</v>
      </c>
      <c r="AF112" s="15" t="s">
        <v>169</v>
      </c>
      <c r="AG112" s="15"/>
      <c r="AH112" s="24" t="n">
        <f aca="false">IF(R112="",AM112,R112)</f>
        <v>14</v>
      </c>
      <c r="AI112" s="24" t="n">
        <f aca="false">SUMIFS(Permissions!$G$2:$G$3000,Permissions!$B$2:$B$3000,$A112,Permissions!$I$2:$I$3000,"Complete",Permissions!$R$2:$R$3000,"Yes")</f>
        <v>0</v>
      </c>
      <c r="AJ112" s="24" t="n">
        <f aca="false">SUMIFS(Permissions!$G$2:$G$3000,Permissions!$B$2:$B$3000,$A112,Permissions!$I$2:$I$3000,"Under construction",Permissions!$R$2:$R$3000,"Yes")</f>
        <v>0</v>
      </c>
      <c r="AK112" s="24" t="n">
        <f aca="false">SUMIFS(Permissions!$G$2:$G$3000,Permissions!$B$2:$B$3000,$A112,Permissions!$I$2:$I$3000,"Permitted – not started",Permissions!$R$2:$R$3000,"Yes")</f>
        <v>44</v>
      </c>
      <c r="AL112" s="24" t="n">
        <f aca="false">SUMIFS(Permissions!$G$2:$G$3000,Permissions!$B$2:$B$3000,$A112,Permissions!$I$2:$I$3000,"Stalled",Permissions!$R$2:$R$3000,"Yes")</f>
        <v>0</v>
      </c>
      <c r="AM112" s="24" t="n">
        <f aca="false">AI112+AJ112+AK112+AL112</f>
        <v>44</v>
      </c>
      <c r="AN112" s="24" t="n">
        <f aca="false">SUMIFS(Permissions!$G$2:$G$3000,Permissions!$B$2:$B$3000,$A112,Permissions!$I$2:$I$3000,"Expired – not started",Permissions!$R$2:$R$3000,"Yes")</f>
        <v>0</v>
      </c>
      <c r="AO112" s="24" t="n">
        <f aca="false">SUMIFS(Permissions!$G$2:$G$3000,Permissions!$B$2:$B$3000,$A112,Permissions!$I$2:$I$3000,"In planning",Permissions!$R$2:$R$3000,"Yes")</f>
        <v>0</v>
      </c>
      <c r="AP112" s="24" t="n">
        <f aca="false">IF(R112="",0,MAX(R112-AM112,0))</f>
        <v>0</v>
      </c>
      <c r="AQ112" s="25" t="n">
        <f aca="false">AM112+AP112</f>
        <v>44</v>
      </c>
      <c r="AR112" s="24" t="n">
        <f aca="false">SUMIFS(Permissions!$L$2:$L$3000,Permissions!$B$2:$B$3000,$A112,Permissions!$R$2:$R$3000,"Yes",Permissions!$I$2:$I$3000,"&lt;&gt;Expired – not started",Permissions!$I$2:$I$3000,"&lt;&gt;In planning")</f>
        <v>0</v>
      </c>
      <c r="AS112" s="24" t="n">
        <f aca="false">AQ112-AR112</f>
        <v>44</v>
      </c>
      <c r="AT112" s="26" t="n">
        <f aca="false">SUMIFS(Permissions!$AJ$2:$AJ$3000,Permissions!$B$2:$B$3000,$A112,Permissions!$R$2:$R$3000,"Yes")</f>
        <v>0</v>
      </c>
      <c r="AU112" s="26" t="n">
        <f aca="false">SUMIFS(Permissions!$AK$2:$AK$3000,Permissions!$B$2:$B$3000,$A112,Permissions!$R$2:$R$3000,"Yes")</f>
        <v>1.4</v>
      </c>
      <c r="AV112" s="26" t="n">
        <f aca="false">SUMIFS(Permissions!$AL$2:$AL$3000,Permissions!$B$2:$B$3000,$A112,Permissions!$R$2:$R$3000,"Yes")</f>
        <v>36.8</v>
      </c>
      <c r="AW112" s="26" t="n">
        <f aca="false">SUMIFS(Permissions!$AM$2:$AM$3000,Permissions!$B$2:$B$3000,$A112,Permissions!$R$2:$R$3000,"Yes")</f>
        <v>5.8</v>
      </c>
      <c r="AX112" s="26" t="n">
        <f aca="false">SUMIFS(Permissions!$AN$2:$AN$3000,Permissions!$B$2:$B$3000,$A112,Permissions!$R$2:$R$3000,"Yes")</f>
        <v>0</v>
      </c>
      <c r="AY112" s="26" t="n">
        <f aca="false">SUMIFS(Permissions!$AO$2:$AO$3000,Permissions!$B$2:$B$3000,$A112,Permissions!$R$2:$R$3000,"Yes")</f>
        <v>0</v>
      </c>
      <c r="AZ112" s="24" t="n">
        <f aca="false">COUNTIFS(Permissions!$B$2:$B$3000,$A112,Permissions!$R$2:$R$3000,"Yes")</f>
        <v>2</v>
      </c>
      <c r="BA112" s="24" t="n">
        <f aca="false">SUMIFS(Permissions!$M$2:$M$3000,Permissions!$B$2:$B$3000,$A112,Permissions!$R$2:$R$3000,"Yes")</f>
        <v>0</v>
      </c>
      <c r="BB112" s="24" t="n">
        <f aca="false">SUMIFS(Permissions!$O$2:$O$3000,Permissions!$B$2:$B$3000,$A112,Permissions!$R$2:$R$3000,"Yes")</f>
        <v>0</v>
      </c>
      <c r="BC112" s="27" t="str">
        <f aca="false">IF(AND(AM112&gt;0,AR112&gt;=AM112,AP112=0),"Finished",IF(AR112&gt;0,"Partly built",IF(AM112&gt;0,"Consented – not built","No consent")))</f>
        <v>Consented – not built</v>
      </c>
      <c r="BD112" s="28" t="str">
        <f aca="false">IF(AND(R112&lt;&gt;"",AM112&gt;1.1*R112),"Consented above capacity",IF(AND(LEFT(B112,8)="Planning",AZ112=0),"Consent parcel with no permission",IF(COUNTIF($A$2:$A$3000,$A112)&gt;1,"Duplicate parcel_id","")))</f>
        <v>Consented above capacity</v>
      </c>
    </row>
    <row r="113" customFormat="false" ht="15" hidden="false" customHeight="false" outlineLevel="0" collapsed="false">
      <c r="A113" s="15" t="s">
        <v>322</v>
      </c>
      <c r="B113" s="15" t="s">
        <v>10</v>
      </c>
      <c r="C113" s="15" t="s">
        <v>16</v>
      </c>
      <c r="D113" s="15" t="s">
        <v>57</v>
      </c>
      <c r="E113" s="15" t="s">
        <v>19</v>
      </c>
      <c r="F113" s="15" t="n">
        <v>1</v>
      </c>
      <c r="G113" s="15" t="s">
        <v>158</v>
      </c>
      <c r="H113" s="15" t="n">
        <v>84</v>
      </c>
      <c r="I113" s="15" t="s">
        <v>57</v>
      </c>
      <c r="J113" s="15" t="s">
        <v>182</v>
      </c>
      <c r="K113" s="15" t="s">
        <v>302</v>
      </c>
      <c r="L113" s="15" t="s">
        <v>176</v>
      </c>
      <c r="M113" s="15" t="s">
        <v>234</v>
      </c>
      <c r="N113" s="15" t="s">
        <v>162</v>
      </c>
      <c r="O113" s="15" t="s">
        <v>235</v>
      </c>
      <c r="P113" s="15" t="n">
        <v>0.043</v>
      </c>
      <c r="Q113" s="15" t="n">
        <v>0.043</v>
      </c>
      <c r="R113" s="15" t="n">
        <v>20</v>
      </c>
      <c r="S113" s="15" t="s">
        <v>164</v>
      </c>
      <c r="T113" s="15" t="n">
        <v>1</v>
      </c>
      <c r="U113" s="15"/>
      <c r="V113" s="15"/>
      <c r="W113" s="15"/>
      <c r="X113" s="15" t="s">
        <v>165</v>
      </c>
      <c r="Y113" s="15" t="n">
        <v>34</v>
      </c>
      <c r="Z113" s="15" t="s">
        <v>166</v>
      </c>
      <c r="AA113" s="15"/>
      <c r="AB113" s="15" t="n">
        <v>0</v>
      </c>
      <c r="AC113" s="15" t="n">
        <v>0</v>
      </c>
      <c r="AD113" s="15" t="s">
        <v>186</v>
      </c>
      <c r="AE113" s="15" t="s">
        <v>168</v>
      </c>
      <c r="AF113" s="15" t="s">
        <v>169</v>
      </c>
      <c r="AG113" s="15"/>
      <c r="AH113" s="24" t="n">
        <f aca="false">IF(R113="",AM113,R113)</f>
        <v>20</v>
      </c>
      <c r="AI113" s="24" t="n">
        <f aca="false">SUMIFS(Permissions!$G$2:$G$3000,Permissions!$B$2:$B$3000,$A113,Permissions!$I$2:$I$3000,"Complete",Permissions!$R$2:$R$3000,"Yes")</f>
        <v>0</v>
      </c>
      <c r="AJ113" s="24" t="n">
        <f aca="false">SUMIFS(Permissions!$G$2:$G$3000,Permissions!$B$2:$B$3000,$A113,Permissions!$I$2:$I$3000,"Under construction",Permissions!$R$2:$R$3000,"Yes")</f>
        <v>30</v>
      </c>
      <c r="AK113" s="24" t="n">
        <f aca="false">SUMIFS(Permissions!$G$2:$G$3000,Permissions!$B$2:$B$3000,$A113,Permissions!$I$2:$I$3000,"Permitted – not started",Permissions!$R$2:$R$3000,"Yes")</f>
        <v>0</v>
      </c>
      <c r="AL113" s="24" t="n">
        <f aca="false">SUMIFS(Permissions!$G$2:$G$3000,Permissions!$B$2:$B$3000,$A113,Permissions!$I$2:$I$3000,"Stalled",Permissions!$R$2:$R$3000,"Yes")</f>
        <v>0</v>
      </c>
      <c r="AM113" s="24" t="n">
        <f aca="false">AI113+AJ113+AK113+AL113</f>
        <v>30</v>
      </c>
      <c r="AN113" s="24" t="n">
        <f aca="false">SUMIFS(Permissions!$G$2:$G$3000,Permissions!$B$2:$B$3000,$A113,Permissions!$I$2:$I$3000,"Expired – not started",Permissions!$R$2:$R$3000,"Yes")</f>
        <v>0</v>
      </c>
      <c r="AO113" s="24" t="n">
        <f aca="false">SUMIFS(Permissions!$G$2:$G$3000,Permissions!$B$2:$B$3000,$A113,Permissions!$I$2:$I$3000,"In planning",Permissions!$R$2:$R$3000,"Yes")</f>
        <v>0</v>
      </c>
      <c r="AP113" s="24" t="n">
        <f aca="false">IF(R113="",0,MAX(R113-AM113,0))</f>
        <v>0</v>
      </c>
      <c r="AQ113" s="25" t="n">
        <f aca="false">AM113+AP113</f>
        <v>30</v>
      </c>
      <c r="AR113" s="24" t="n">
        <f aca="false">SUMIFS(Permissions!$L$2:$L$3000,Permissions!$B$2:$B$3000,$A113,Permissions!$R$2:$R$3000,"Yes",Permissions!$I$2:$I$3000,"&lt;&gt;Expired – not started",Permissions!$I$2:$I$3000,"&lt;&gt;In planning")</f>
        <v>0</v>
      </c>
      <c r="AS113" s="24" t="n">
        <f aca="false">AQ113-AR113</f>
        <v>30</v>
      </c>
      <c r="AT113" s="26" t="n">
        <f aca="false">SUMIFS(Permissions!$AJ$2:$AJ$3000,Permissions!$B$2:$B$3000,$A113,Permissions!$R$2:$R$3000,"Yes")</f>
        <v>7</v>
      </c>
      <c r="AU113" s="26" t="n">
        <f aca="false">SUMIFS(Permissions!$AK$2:$AK$3000,Permissions!$B$2:$B$3000,$A113,Permissions!$R$2:$R$3000,"Yes")</f>
        <v>23</v>
      </c>
      <c r="AV113" s="26" t="n">
        <f aca="false">SUMIFS(Permissions!$AL$2:$AL$3000,Permissions!$B$2:$B$3000,$A113,Permissions!$R$2:$R$3000,"Yes")</f>
        <v>0</v>
      </c>
      <c r="AW113" s="26" t="n">
        <f aca="false">SUMIFS(Permissions!$AM$2:$AM$3000,Permissions!$B$2:$B$3000,$A113,Permissions!$R$2:$R$3000,"Yes")</f>
        <v>0</v>
      </c>
      <c r="AX113" s="26" t="n">
        <f aca="false">SUMIFS(Permissions!$AN$2:$AN$3000,Permissions!$B$2:$B$3000,$A113,Permissions!$R$2:$R$3000,"Yes")</f>
        <v>0</v>
      </c>
      <c r="AY113" s="26" t="n">
        <f aca="false">SUMIFS(Permissions!$AO$2:$AO$3000,Permissions!$B$2:$B$3000,$A113,Permissions!$R$2:$R$3000,"Yes")</f>
        <v>0</v>
      </c>
      <c r="AZ113" s="24" t="n">
        <f aca="false">COUNTIFS(Permissions!$B$2:$B$3000,$A113,Permissions!$R$2:$R$3000,"Yes")</f>
        <v>1</v>
      </c>
      <c r="BA113" s="24" t="n">
        <f aca="false">SUMIFS(Permissions!$M$2:$M$3000,Permissions!$B$2:$B$3000,$A113,Permissions!$R$2:$R$3000,"Yes")</f>
        <v>0</v>
      </c>
      <c r="BB113" s="24" t="n">
        <f aca="false">SUMIFS(Permissions!$O$2:$O$3000,Permissions!$B$2:$B$3000,$A113,Permissions!$R$2:$R$3000,"Yes")</f>
        <v>0</v>
      </c>
      <c r="BC113" s="27" t="str">
        <f aca="false">IF(AND(AM113&gt;0,AR113&gt;=AM113,AP113=0),"Finished",IF(AR113&gt;0,"Partly built",IF(AM113&gt;0,"Consented – not built","No consent")))</f>
        <v>Consented – not built</v>
      </c>
      <c r="BD113" s="28" t="str">
        <f aca="false">IF(AND(R113&lt;&gt;"",AM113&gt;1.1*R113),"Consented above capacity",IF(AND(LEFT(B113,8)="Planning",AZ113=0),"Consent parcel with no permission",IF(COUNTIF($A$2:$A$3000,$A113)&gt;1,"Duplicate parcel_id","")))</f>
        <v>Consented above capacity</v>
      </c>
    </row>
    <row r="114" customFormat="false" ht="15" hidden="false" customHeight="false" outlineLevel="0" collapsed="false">
      <c r="A114" s="15" t="s">
        <v>323</v>
      </c>
      <c r="B114" s="15" t="s">
        <v>10</v>
      </c>
      <c r="C114" s="15" t="s">
        <v>16</v>
      </c>
      <c r="D114" s="15" t="s">
        <v>58</v>
      </c>
      <c r="E114" s="15" t="s">
        <v>19</v>
      </c>
      <c r="F114" s="15" t="n">
        <v>1</v>
      </c>
      <c r="G114" s="15" t="s">
        <v>158</v>
      </c>
      <c r="H114" s="15" t="n">
        <v>110</v>
      </c>
      <c r="I114" s="15" t="s">
        <v>58</v>
      </c>
      <c r="J114" s="15" t="s">
        <v>211</v>
      </c>
      <c r="K114" s="15" t="s">
        <v>53</v>
      </c>
      <c r="L114" s="15" t="s">
        <v>160</v>
      </c>
      <c r="M114" s="15" t="s">
        <v>161</v>
      </c>
      <c r="N114" s="15" t="s">
        <v>172</v>
      </c>
      <c r="O114" s="15" t="s">
        <v>163</v>
      </c>
      <c r="P114" s="15" t="n">
        <v>0.126</v>
      </c>
      <c r="Q114" s="15" t="n">
        <v>0.127</v>
      </c>
      <c r="R114" s="15" t="n">
        <v>6</v>
      </c>
      <c r="S114" s="15" t="s">
        <v>164</v>
      </c>
      <c r="T114" s="15" t="n">
        <v>4</v>
      </c>
      <c r="U114" s="15"/>
      <c r="V114" s="15"/>
      <c r="W114" s="15"/>
      <c r="X114" s="15" t="s">
        <v>165</v>
      </c>
      <c r="Y114" s="15" t="n">
        <v>34</v>
      </c>
      <c r="Z114" s="15" t="s">
        <v>166</v>
      </c>
      <c r="AA114" s="15"/>
      <c r="AB114" s="15" t="n">
        <v>0</v>
      </c>
      <c r="AC114" s="15" t="n">
        <v>0</v>
      </c>
      <c r="AD114" s="15" t="s">
        <v>167</v>
      </c>
      <c r="AE114" s="15" t="s">
        <v>168</v>
      </c>
      <c r="AF114" s="15" t="s">
        <v>169</v>
      </c>
      <c r="AG114" s="15"/>
      <c r="AH114" s="24" t="n">
        <f aca="false">IF(R114="",AM114,R114)</f>
        <v>6</v>
      </c>
      <c r="AI114" s="24" t="n">
        <f aca="false">SUMIFS(Permissions!$G$2:$G$3000,Permissions!$B$2:$B$3000,$A114,Permissions!$I$2:$I$3000,"Complete",Permissions!$R$2:$R$3000,"Yes")</f>
        <v>0</v>
      </c>
      <c r="AJ114" s="24" t="n">
        <f aca="false">SUMIFS(Permissions!$G$2:$G$3000,Permissions!$B$2:$B$3000,$A114,Permissions!$I$2:$I$3000,"Under construction",Permissions!$R$2:$R$3000,"Yes")</f>
        <v>0</v>
      </c>
      <c r="AK114" s="24" t="n">
        <f aca="false">SUMIFS(Permissions!$G$2:$G$3000,Permissions!$B$2:$B$3000,$A114,Permissions!$I$2:$I$3000,"Permitted – not started",Permissions!$R$2:$R$3000,"Yes")</f>
        <v>0</v>
      </c>
      <c r="AL114" s="24" t="n">
        <f aca="false">SUMIFS(Permissions!$G$2:$G$3000,Permissions!$B$2:$B$3000,$A114,Permissions!$I$2:$I$3000,"Stalled",Permissions!$R$2:$R$3000,"Yes")</f>
        <v>0</v>
      </c>
      <c r="AM114" s="24" t="n">
        <f aca="false">AI114+AJ114+AK114+AL114</f>
        <v>0</v>
      </c>
      <c r="AN114" s="24" t="n">
        <f aca="false">SUMIFS(Permissions!$G$2:$G$3000,Permissions!$B$2:$B$3000,$A114,Permissions!$I$2:$I$3000,"Expired – not started",Permissions!$R$2:$R$3000,"Yes")</f>
        <v>0</v>
      </c>
      <c r="AO114" s="24" t="n">
        <f aca="false">SUMIFS(Permissions!$G$2:$G$3000,Permissions!$B$2:$B$3000,$A114,Permissions!$I$2:$I$3000,"In planning",Permissions!$R$2:$R$3000,"Yes")</f>
        <v>0</v>
      </c>
      <c r="AP114" s="24" t="n">
        <f aca="false">IF(R114="",0,MAX(R114-AM114,0))</f>
        <v>6</v>
      </c>
      <c r="AQ114" s="25" t="n">
        <f aca="false">AM114+AP114</f>
        <v>6</v>
      </c>
      <c r="AR114" s="24" t="n">
        <f aca="false">SUMIFS(Permissions!$L$2:$L$3000,Permissions!$B$2:$B$3000,$A114,Permissions!$R$2:$R$3000,"Yes",Permissions!$I$2:$I$3000,"&lt;&gt;Expired – not started",Permissions!$I$2:$I$3000,"&lt;&gt;In planning")</f>
        <v>0</v>
      </c>
      <c r="AS114" s="24" t="n">
        <f aca="false">AQ114-AR114</f>
        <v>6</v>
      </c>
      <c r="AT114" s="26" t="n">
        <f aca="false">SUMIFS(Permissions!$AJ$2:$AJ$3000,Permissions!$B$2:$B$3000,$A114,Permissions!$R$2:$R$3000,"Yes")</f>
        <v>0</v>
      </c>
      <c r="AU114" s="26" t="n">
        <f aca="false">SUMIFS(Permissions!$AK$2:$AK$3000,Permissions!$B$2:$B$3000,$A114,Permissions!$R$2:$R$3000,"Yes")</f>
        <v>0</v>
      </c>
      <c r="AV114" s="26" t="n">
        <f aca="false">SUMIFS(Permissions!$AL$2:$AL$3000,Permissions!$B$2:$B$3000,$A114,Permissions!$R$2:$R$3000,"Yes")</f>
        <v>0</v>
      </c>
      <c r="AW114" s="26" t="n">
        <f aca="false">SUMIFS(Permissions!$AM$2:$AM$3000,Permissions!$B$2:$B$3000,$A114,Permissions!$R$2:$R$3000,"Yes")</f>
        <v>0</v>
      </c>
      <c r="AX114" s="26" t="n">
        <f aca="false">SUMIFS(Permissions!$AN$2:$AN$3000,Permissions!$B$2:$B$3000,$A114,Permissions!$R$2:$R$3000,"Yes")</f>
        <v>0</v>
      </c>
      <c r="AY114" s="26" t="n">
        <f aca="false">SUMIFS(Permissions!$AO$2:$AO$3000,Permissions!$B$2:$B$3000,$A114,Permissions!$R$2:$R$3000,"Yes")</f>
        <v>0</v>
      </c>
      <c r="AZ114" s="24" t="n">
        <f aca="false">COUNTIFS(Permissions!$B$2:$B$3000,$A114,Permissions!$R$2:$R$3000,"Yes")</f>
        <v>0</v>
      </c>
      <c r="BA114" s="24" t="n">
        <f aca="false">SUMIFS(Permissions!$M$2:$M$3000,Permissions!$B$2:$B$3000,$A114,Permissions!$R$2:$R$3000,"Yes")</f>
        <v>0</v>
      </c>
      <c r="BB114" s="24" t="n">
        <f aca="false">SUMIFS(Permissions!$O$2:$O$3000,Permissions!$B$2:$B$3000,$A114,Permissions!$R$2:$R$3000,"Yes")</f>
        <v>0</v>
      </c>
      <c r="BC114" s="27" t="str">
        <f aca="false">IF(AND(AM114&gt;0,AR114&gt;=AM114,AP114=0),"Finished",IF(AR114&gt;0,"Partly built",IF(AM114&gt;0,"Consented – not built","No consent")))</f>
        <v>No consent</v>
      </c>
      <c r="BD114" s="28" t="str">
        <f aca="false">IF(AND(R114&lt;&gt;"",AM114&gt;1.1*R114),"Consented above capacity",IF(AND(LEFT(B114,8)="Planning",AZ114=0),"Consent parcel with no permission",IF(COUNTIF($A$2:$A$3000,$A114)&gt;1,"Duplicate parcel_id","")))</f>
        <v/>
      </c>
    </row>
    <row r="115" customFormat="false" ht="15" hidden="false" customHeight="false" outlineLevel="0" collapsed="false">
      <c r="A115" s="15" t="s">
        <v>324</v>
      </c>
      <c r="B115" s="15" t="s">
        <v>10</v>
      </c>
      <c r="C115" s="15" t="s">
        <v>16</v>
      </c>
      <c r="D115" s="15" t="s">
        <v>58</v>
      </c>
      <c r="E115" s="15" t="s">
        <v>19</v>
      </c>
      <c r="F115" s="15" t="n">
        <v>1</v>
      </c>
      <c r="G115" s="15" t="s">
        <v>158</v>
      </c>
      <c r="H115" s="15" t="n">
        <v>111</v>
      </c>
      <c r="I115" s="15" t="s">
        <v>58</v>
      </c>
      <c r="J115" s="15" t="s">
        <v>211</v>
      </c>
      <c r="K115" s="15" t="s">
        <v>53</v>
      </c>
      <c r="L115" s="15" t="s">
        <v>160</v>
      </c>
      <c r="M115" s="15" t="s">
        <v>161</v>
      </c>
      <c r="N115" s="15" t="s">
        <v>172</v>
      </c>
      <c r="O115" s="15" t="s">
        <v>163</v>
      </c>
      <c r="P115" s="15" t="n">
        <v>0.703</v>
      </c>
      <c r="Q115" s="15" t="n">
        <v>0.703</v>
      </c>
      <c r="R115" s="15" t="n">
        <v>32</v>
      </c>
      <c r="S115" s="15" t="s">
        <v>164</v>
      </c>
      <c r="T115" s="15" t="n">
        <v>24</v>
      </c>
      <c r="U115" s="15"/>
      <c r="V115" s="15"/>
      <c r="W115" s="15"/>
      <c r="X115" s="15" t="s">
        <v>165</v>
      </c>
      <c r="Y115" s="15" t="n">
        <v>34</v>
      </c>
      <c r="Z115" s="15" t="s">
        <v>166</v>
      </c>
      <c r="AA115" s="15"/>
      <c r="AB115" s="15" t="n">
        <v>0</v>
      </c>
      <c r="AC115" s="15" t="n">
        <v>0</v>
      </c>
      <c r="AD115" s="15" t="s">
        <v>167</v>
      </c>
      <c r="AE115" s="15" t="s">
        <v>168</v>
      </c>
      <c r="AF115" s="15" t="s">
        <v>169</v>
      </c>
      <c r="AG115" s="15"/>
      <c r="AH115" s="24" t="n">
        <f aca="false">IF(R115="",AM115,R115)</f>
        <v>32</v>
      </c>
      <c r="AI115" s="24" t="n">
        <f aca="false">SUMIFS(Permissions!$G$2:$G$3000,Permissions!$B$2:$B$3000,$A115,Permissions!$I$2:$I$3000,"Complete",Permissions!$R$2:$R$3000,"Yes")</f>
        <v>0</v>
      </c>
      <c r="AJ115" s="24" t="n">
        <f aca="false">SUMIFS(Permissions!$G$2:$G$3000,Permissions!$B$2:$B$3000,$A115,Permissions!$I$2:$I$3000,"Under construction",Permissions!$R$2:$R$3000,"Yes")</f>
        <v>0</v>
      </c>
      <c r="AK115" s="24" t="n">
        <f aca="false">SUMIFS(Permissions!$G$2:$G$3000,Permissions!$B$2:$B$3000,$A115,Permissions!$I$2:$I$3000,"Permitted – not started",Permissions!$R$2:$R$3000,"Yes")</f>
        <v>0</v>
      </c>
      <c r="AL115" s="24" t="n">
        <f aca="false">SUMIFS(Permissions!$G$2:$G$3000,Permissions!$B$2:$B$3000,$A115,Permissions!$I$2:$I$3000,"Stalled",Permissions!$R$2:$R$3000,"Yes")</f>
        <v>0</v>
      </c>
      <c r="AM115" s="24" t="n">
        <f aca="false">AI115+AJ115+AK115+AL115</f>
        <v>0</v>
      </c>
      <c r="AN115" s="24" t="n">
        <f aca="false">SUMIFS(Permissions!$G$2:$G$3000,Permissions!$B$2:$B$3000,$A115,Permissions!$I$2:$I$3000,"Expired – not started",Permissions!$R$2:$R$3000,"Yes")</f>
        <v>0</v>
      </c>
      <c r="AO115" s="24" t="n">
        <f aca="false">SUMIFS(Permissions!$G$2:$G$3000,Permissions!$B$2:$B$3000,$A115,Permissions!$I$2:$I$3000,"In planning",Permissions!$R$2:$R$3000,"Yes")</f>
        <v>0</v>
      </c>
      <c r="AP115" s="24" t="n">
        <f aca="false">IF(R115="",0,MAX(R115-AM115,0))</f>
        <v>32</v>
      </c>
      <c r="AQ115" s="25" t="n">
        <f aca="false">AM115+AP115</f>
        <v>32</v>
      </c>
      <c r="AR115" s="24" t="n">
        <f aca="false">SUMIFS(Permissions!$L$2:$L$3000,Permissions!$B$2:$B$3000,$A115,Permissions!$R$2:$R$3000,"Yes",Permissions!$I$2:$I$3000,"&lt;&gt;Expired – not started",Permissions!$I$2:$I$3000,"&lt;&gt;In planning")</f>
        <v>0</v>
      </c>
      <c r="AS115" s="24" t="n">
        <f aca="false">AQ115-AR115</f>
        <v>32</v>
      </c>
      <c r="AT115" s="26" t="n">
        <f aca="false">SUMIFS(Permissions!$AJ$2:$AJ$3000,Permissions!$B$2:$B$3000,$A115,Permissions!$R$2:$R$3000,"Yes")</f>
        <v>0</v>
      </c>
      <c r="AU115" s="26" t="n">
        <f aca="false">SUMIFS(Permissions!$AK$2:$AK$3000,Permissions!$B$2:$B$3000,$A115,Permissions!$R$2:$R$3000,"Yes")</f>
        <v>0</v>
      </c>
      <c r="AV115" s="26" t="n">
        <f aca="false">SUMIFS(Permissions!$AL$2:$AL$3000,Permissions!$B$2:$B$3000,$A115,Permissions!$R$2:$R$3000,"Yes")</f>
        <v>0</v>
      </c>
      <c r="AW115" s="26" t="n">
        <f aca="false">SUMIFS(Permissions!$AM$2:$AM$3000,Permissions!$B$2:$B$3000,$A115,Permissions!$R$2:$R$3000,"Yes")</f>
        <v>0</v>
      </c>
      <c r="AX115" s="26" t="n">
        <f aca="false">SUMIFS(Permissions!$AN$2:$AN$3000,Permissions!$B$2:$B$3000,$A115,Permissions!$R$2:$R$3000,"Yes")</f>
        <v>0</v>
      </c>
      <c r="AY115" s="26" t="n">
        <f aca="false">SUMIFS(Permissions!$AO$2:$AO$3000,Permissions!$B$2:$B$3000,$A115,Permissions!$R$2:$R$3000,"Yes")</f>
        <v>0</v>
      </c>
      <c r="AZ115" s="24" t="n">
        <f aca="false">COUNTIFS(Permissions!$B$2:$B$3000,$A115,Permissions!$R$2:$R$3000,"Yes")</f>
        <v>0</v>
      </c>
      <c r="BA115" s="24" t="n">
        <f aca="false">SUMIFS(Permissions!$M$2:$M$3000,Permissions!$B$2:$B$3000,$A115,Permissions!$R$2:$R$3000,"Yes")</f>
        <v>0</v>
      </c>
      <c r="BB115" s="24" t="n">
        <f aca="false">SUMIFS(Permissions!$O$2:$O$3000,Permissions!$B$2:$B$3000,$A115,Permissions!$R$2:$R$3000,"Yes")</f>
        <v>0</v>
      </c>
      <c r="BC115" s="27" t="str">
        <f aca="false">IF(AND(AM115&gt;0,AR115&gt;=AM115,AP115=0),"Finished",IF(AR115&gt;0,"Partly built",IF(AM115&gt;0,"Consented – not built","No consent")))</f>
        <v>No consent</v>
      </c>
      <c r="BD115" s="28" t="str">
        <f aca="false">IF(AND(R115&lt;&gt;"",AM115&gt;1.1*R115),"Consented above capacity",IF(AND(LEFT(B115,8)="Planning",AZ115=0),"Consent parcel with no permission",IF(COUNTIF($A$2:$A$3000,$A115)&gt;1,"Duplicate parcel_id","")))</f>
        <v/>
      </c>
    </row>
    <row r="116" customFormat="false" ht="15" hidden="false" customHeight="false" outlineLevel="0" collapsed="false">
      <c r="A116" s="15" t="s">
        <v>325</v>
      </c>
      <c r="B116" s="15" t="s">
        <v>10</v>
      </c>
      <c r="C116" s="15" t="s">
        <v>16</v>
      </c>
      <c r="D116" s="15" t="s">
        <v>58</v>
      </c>
      <c r="E116" s="15" t="s">
        <v>19</v>
      </c>
      <c r="F116" s="15" t="n">
        <v>1</v>
      </c>
      <c r="G116" s="15" t="s">
        <v>158</v>
      </c>
      <c r="H116" s="15" t="n">
        <v>113</v>
      </c>
      <c r="I116" s="15" t="s">
        <v>58</v>
      </c>
      <c r="J116" s="15" t="s">
        <v>211</v>
      </c>
      <c r="K116" s="15"/>
      <c r="L116" s="15" t="s">
        <v>176</v>
      </c>
      <c r="M116" s="15" t="s">
        <v>171</v>
      </c>
      <c r="N116" s="15" t="s">
        <v>172</v>
      </c>
      <c r="O116" s="15" t="s">
        <v>163</v>
      </c>
      <c r="P116" s="15" t="n">
        <v>0.207</v>
      </c>
      <c r="Q116" s="15" t="n">
        <v>0.207</v>
      </c>
      <c r="R116" s="15" t="n">
        <v>9</v>
      </c>
      <c r="S116" s="15" t="s">
        <v>164</v>
      </c>
      <c r="T116" s="15" t="n">
        <v>7</v>
      </c>
      <c r="U116" s="15"/>
      <c r="V116" s="15"/>
      <c r="W116" s="15"/>
      <c r="X116" s="15" t="s">
        <v>165</v>
      </c>
      <c r="Y116" s="15" t="n">
        <v>34</v>
      </c>
      <c r="Z116" s="15" t="s">
        <v>166</v>
      </c>
      <c r="AA116" s="15"/>
      <c r="AB116" s="15" t="n">
        <v>0</v>
      </c>
      <c r="AC116" s="15" t="n">
        <v>0</v>
      </c>
      <c r="AD116" s="15" t="s">
        <v>167</v>
      </c>
      <c r="AE116" s="15" t="s">
        <v>168</v>
      </c>
      <c r="AF116" s="15" t="s">
        <v>169</v>
      </c>
      <c r="AG116" s="15"/>
      <c r="AH116" s="24" t="n">
        <f aca="false">IF(R116="",AM116,R116)</f>
        <v>9</v>
      </c>
      <c r="AI116" s="24" t="n">
        <f aca="false">SUMIFS(Permissions!$G$2:$G$3000,Permissions!$B$2:$B$3000,$A116,Permissions!$I$2:$I$3000,"Complete",Permissions!$R$2:$R$3000,"Yes")</f>
        <v>0</v>
      </c>
      <c r="AJ116" s="24" t="n">
        <f aca="false">SUMIFS(Permissions!$G$2:$G$3000,Permissions!$B$2:$B$3000,$A116,Permissions!$I$2:$I$3000,"Under construction",Permissions!$R$2:$R$3000,"Yes")</f>
        <v>0</v>
      </c>
      <c r="AK116" s="24" t="n">
        <f aca="false">SUMIFS(Permissions!$G$2:$G$3000,Permissions!$B$2:$B$3000,$A116,Permissions!$I$2:$I$3000,"Permitted – not started",Permissions!$R$2:$R$3000,"Yes")</f>
        <v>10</v>
      </c>
      <c r="AL116" s="24" t="n">
        <f aca="false">SUMIFS(Permissions!$G$2:$G$3000,Permissions!$B$2:$B$3000,$A116,Permissions!$I$2:$I$3000,"Stalled",Permissions!$R$2:$R$3000,"Yes")</f>
        <v>0</v>
      </c>
      <c r="AM116" s="24" t="n">
        <f aca="false">AI116+AJ116+AK116+AL116</f>
        <v>10</v>
      </c>
      <c r="AN116" s="24" t="n">
        <f aca="false">SUMIFS(Permissions!$G$2:$G$3000,Permissions!$B$2:$B$3000,$A116,Permissions!$I$2:$I$3000,"Expired – not started",Permissions!$R$2:$R$3000,"Yes")</f>
        <v>0</v>
      </c>
      <c r="AO116" s="24" t="n">
        <f aca="false">SUMIFS(Permissions!$G$2:$G$3000,Permissions!$B$2:$B$3000,$A116,Permissions!$I$2:$I$3000,"In planning",Permissions!$R$2:$R$3000,"Yes")</f>
        <v>0</v>
      </c>
      <c r="AP116" s="24" t="n">
        <f aca="false">IF(R116="",0,MAX(R116-AM116,0))</f>
        <v>0</v>
      </c>
      <c r="AQ116" s="25" t="n">
        <f aca="false">AM116+AP116</f>
        <v>10</v>
      </c>
      <c r="AR116" s="24" t="n">
        <f aca="false">SUMIFS(Permissions!$L$2:$L$3000,Permissions!$B$2:$B$3000,$A116,Permissions!$R$2:$R$3000,"Yes",Permissions!$I$2:$I$3000,"&lt;&gt;Expired – not started",Permissions!$I$2:$I$3000,"&lt;&gt;In planning")</f>
        <v>0</v>
      </c>
      <c r="AS116" s="24" t="n">
        <f aca="false">AQ116-AR116</f>
        <v>10</v>
      </c>
      <c r="AT116" s="26" t="n">
        <f aca="false">SUMIFS(Permissions!$AJ$2:$AJ$3000,Permissions!$B$2:$B$3000,$A116,Permissions!$R$2:$R$3000,"Yes")</f>
        <v>0</v>
      </c>
      <c r="AU116" s="26" t="n">
        <f aca="false">SUMIFS(Permissions!$AK$2:$AK$3000,Permissions!$B$2:$B$3000,$A116,Permissions!$R$2:$R$3000,"Yes")</f>
        <v>0</v>
      </c>
      <c r="AV116" s="26" t="n">
        <f aca="false">SUMIFS(Permissions!$AL$2:$AL$3000,Permissions!$B$2:$B$3000,$A116,Permissions!$R$2:$R$3000,"Yes")</f>
        <v>8.4</v>
      </c>
      <c r="AW116" s="26" t="n">
        <f aca="false">SUMIFS(Permissions!$AM$2:$AM$3000,Permissions!$B$2:$B$3000,$A116,Permissions!$R$2:$R$3000,"Yes")</f>
        <v>1.6</v>
      </c>
      <c r="AX116" s="26" t="n">
        <f aca="false">SUMIFS(Permissions!$AN$2:$AN$3000,Permissions!$B$2:$B$3000,$A116,Permissions!$R$2:$R$3000,"Yes")</f>
        <v>0</v>
      </c>
      <c r="AY116" s="26" t="n">
        <f aca="false">SUMIFS(Permissions!$AO$2:$AO$3000,Permissions!$B$2:$B$3000,$A116,Permissions!$R$2:$R$3000,"Yes")</f>
        <v>0</v>
      </c>
      <c r="AZ116" s="24" t="n">
        <f aca="false">COUNTIFS(Permissions!$B$2:$B$3000,$A116,Permissions!$R$2:$R$3000,"Yes")</f>
        <v>1</v>
      </c>
      <c r="BA116" s="24" t="n">
        <f aca="false">SUMIFS(Permissions!$M$2:$M$3000,Permissions!$B$2:$B$3000,$A116,Permissions!$R$2:$R$3000,"Yes")</f>
        <v>0</v>
      </c>
      <c r="BB116" s="24" t="n">
        <f aca="false">SUMIFS(Permissions!$O$2:$O$3000,Permissions!$B$2:$B$3000,$A116,Permissions!$R$2:$R$3000,"Yes")</f>
        <v>0</v>
      </c>
      <c r="BC116" s="27" t="str">
        <f aca="false">IF(AND(AM116&gt;0,AR116&gt;=AM116,AP116=0),"Finished",IF(AR116&gt;0,"Partly built",IF(AM116&gt;0,"Consented – not built","No consent")))</f>
        <v>Consented – not built</v>
      </c>
      <c r="BD116" s="28" t="str">
        <f aca="false">IF(AND(R116&lt;&gt;"",AM116&gt;1.1*R116),"Consented above capacity",IF(AND(LEFT(B116,8)="Planning",AZ116=0),"Consent parcel with no permission",IF(COUNTIF($A$2:$A$3000,$A116)&gt;1,"Duplicate parcel_id","")))</f>
        <v>Consented above capacity</v>
      </c>
    </row>
    <row r="117" customFormat="false" ht="15" hidden="false" customHeight="false" outlineLevel="0" collapsed="false">
      <c r="A117" s="15" t="s">
        <v>326</v>
      </c>
      <c r="B117" s="15" t="s">
        <v>10</v>
      </c>
      <c r="C117" s="15" t="s">
        <v>16</v>
      </c>
      <c r="D117" s="15" t="s">
        <v>58</v>
      </c>
      <c r="E117" s="15" t="s">
        <v>19</v>
      </c>
      <c r="F117" s="15" t="n">
        <v>1</v>
      </c>
      <c r="G117" s="15" t="s">
        <v>158</v>
      </c>
      <c r="H117" s="15" t="n">
        <v>114</v>
      </c>
      <c r="I117" s="15" t="s">
        <v>58</v>
      </c>
      <c r="J117" s="15" t="s">
        <v>211</v>
      </c>
      <c r="K117" s="15" t="s">
        <v>302</v>
      </c>
      <c r="L117" s="15" t="s">
        <v>189</v>
      </c>
      <c r="M117" s="15" t="s">
        <v>206</v>
      </c>
      <c r="N117" s="15" t="s">
        <v>172</v>
      </c>
      <c r="O117" s="15" t="s">
        <v>185</v>
      </c>
      <c r="P117" s="15" t="n">
        <v>0.165</v>
      </c>
      <c r="Q117" s="15" t="n">
        <v>0.661</v>
      </c>
      <c r="R117" s="15" t="n">
        <v>6</v>
      </c>
      <c r="S117" s="15" t="s">
        <v>164</v>
      </c>
      <c r="T117" s="15" t="n">
        <v>6</v>
      </c>
      <c r="U117" s="15"/>
      <c r="V117" s="15"/>
      <c r="W117" s="15"/>
      <c r="X117" s="15" t="s">
        <v>165</v>
      </c>
      <c r="Y117" s="15" t="n">
        <v>34</v>
      </c>
      <c r="Z117" s="15" t="s">
        <v>166</v>
      </c>
      <c r="AA117" s="15"/>
      <c r="AB117" s="15" t="n">
        <v>0</v>
      </c>
      <c r="AC117" s="15" t="n">
        <v>0</v>
      </c>
      <c r="AD117" s="15" t="s">
        <v>186</v>
      </c>
      <c r="AE117" s="15" t="s">
        <v>168</v>
      </c>
      <c r="AF117" s="15" t="s">
        <v>169</v>
      </c>
      <c r="AG117" s="15"/>
      <c r="AH117" s="24" t="n">
        <f aca="false">IF(R117="",AM117,R117)</f>
        <v>6</v>
      </c>
      <c r="AI117" s="24" t="n">
        <f aca="false">SUMIFS(Permissions!$G$2:$G$3000,Permissions!$B$2:$B$3000,$A117,Permissions!$I$2:$I$3000,"Complete",Permissions!$R$2:$R$3000,"Yes")</f>
        <v>0</v>
      </c>
      <c r="AJ117" s="24" t="n">
        <f aca="false">SUMIFS(Permissions!$G$2:$G$3000,Permissions!$B$2:$B$3000,$A117,Permissions!$I$2:$I$3000,"Under construction",Permissions!$R$2:$R$3000,"Yes")</f>
        <v>0</v>
      </c>
      <c r="AK117" s="24" t="n">
        <f aca="false">SUMIFS(Permissions!$G$2:$G$3000,Permissions!$B$2:$B$3000,$A117,Permissions!$I$2:$I$3000,"Permitted – not started",Permissions!$R$2:$R$3000,"Yes")</f>
        <v>0</v>
      </c>
      <c r="AL117" s="24" t="n">
        <f aca="false">SUMIFS(Permissions!$G$2:$G$3000,Permissions!$B$2:$B$3000,$A117,Permissions!$I$2:$I$3000,"Stalled",Permissions!$R$2:$R$3000,"Yes")</f>
        <v>0</v>
      </c>
      <c r="AM117" s="24" t="n">
        <f aca="false">AI117+AJ117+AK117+AL117</f>
        <v>0</v>
      </c>
      <c r="AN117" s="24" t="n">
        <f aca="false">SUMIFS(Permissions!$G$2:$G$3000,Permissions!$B$2:$B$3000,$A117,Permissions!$I$2:$I$3000,"Expired – not started",Permissions!$R$2:$R$3000,"Yes")</f>
        <v>0</v>
      </c>
      <c r="AO117" s="24" t="n">
        <f aca="false">SUMIFS(Permissions!$G$2:$G$3000,Permissions!$B$2:$B$3000,$A117,Permissions!$I$2:$I$3000,"In planning",Permissions!$R$2:$R$3000,"Yes")</f>
        <v>0</v>
      </c>
      <c r="AP117" s="24" t="n">
        <f aca="false">IF(R117="",0,MAX(R117-AM117,0))</f>
        <v>6</v>
      </c>
      <c r="AQ117" s="25" t="n">
        <f aca="false">AM117+AP117</f>
        <v>6</v>
      </c>
      <c r="AR117" s="24" t="n">
        <f aca="false">SUMIFS(Permissions!$L$2:$L$3000,Permissions!$B$2:$B$3000,$A117,Permissions!$R$2:$R$3000,"Yes",Permissions!$I$2:$I$3000,"&lt;&gt;Expired – not started",Permissions!$I$2:$I$3000,"&lt;&gt;In planning")</f>
        <v>0</v>
      </c>
      <c r="AS117" s="24" t="n">
        <f aca="false">AQ117-AR117</f>
        <v>6</v>
      </c>
      <c r="AT117" s="26" t="n">
        <f aca="false">SUMIFS(Permissions!$AJ$2:$AJ$3000,Permissions!$B$2:$B$3000,$A117,Permissions!$R$2:$R$3000,"Yes")</f>
        <v>0</v>
      </c>
      <c r="AU117" s="26" t="n">
        <f aca="false">SUMIFS(Permissions!$AK$2:$AK$3000,Permissions!$B$2:$B$3000,$A117,Permissions!$R$2:$R$3000,"Yes")</f>
        <v>0</v>
      </c>
      <c r="AV117" s="26" t="n">
        <f aca="false">SUMIFS(Permissions!$AL$2:$AL$3000,Permissions!$B$2:$B$3000,$A117,Permissions!$R$2:$R$3000,"Yes")</f>
        <v>0</v>
      </c>
      <c r="AW117" s="26" t="n">
        <f aca="false">SUMIFS(Permissions!$AM$2:$AM$3000,Permissions!$B$2:$B$3000,$A117,Permissions!$R$2:$R$3000,"Yes")</f>
        <v>0</v>
      </c>
      <c r="AX117" s="26" t="n">
        <f aca="false">SUMIFS(Permissions!$AN$2:$AN$3000,Permissions!$B$2:$B$3000,$A117,Permissions!$R$2:$R$3000,"Yes")</f>
        <v>0</v>
      </c>
      <c r="AY117" s="26" t="n">
        <f aca="false">SUMIFS(Permissions!$AO$2:$AO$3000,Permissions!$B$2:$B$3000,$A117,Permissions!$R$2:$R$3000,"Yes")</f>
        <v>0</v>
      </c>
      <c r="AZ117" s="24" t="n">
        <f aca="false">COUNTIFS(Permissions!$B$2:$B$3000,$A117,Permissions!$R$2:$R$3000,"Yes")</f>
        <v>0</v>
      </c>
      <c r="BA117" s="24" t="n">
        <f aca="false">SUMIFS(Permissions!$M$2:$M$3000,Permissions!$B$2:$B$3000,$A117,Permissions!$R$2:$R$3000,"Yes")</f>
        <v>0</v>
      </c>
      <c r="BB117" s="24" t="n">
        <f aca="false">SUMIFS(Permissions!$O$2:$O$3000,Permissions!$B$2:$B$3000,$A117,Permissions!$R$2:$R$3000,"Yes")</f>
        <v>0</v>
      </c>
      <c r="BC117" s="27" t="str">
        <f aca="false">IF(AND(AM117&gt;0,AR117&gt;=AM117,AP117=0),"Finished",IF(AR117&gt;0,"Partly built",IF(AM117&gt;0,"Consented – not built","No consent")))</f>
        <v>No consent</v>
      </c>
      <c r="BD117" s="28" t="str">
        <f aca="false">IF(AND(R117&lt;&gt;"",AM117&gt;1.1*R117),"Consented above capacity",IF(AND(LEFT(B117,8)="Planning",AZ117=0),"Consent parcel with no permission",IF(COUNTIF($A$2:$A$3000,$A117)&gt;1,"Duplicate parcel_id","")))</f>
        <v/>
      </c>
    </row>
    <row r="118" customFormat="false" ht="15" hidden="false" customHeight="false" outlineLevel="0" collapsed="false">
      <c r="A118" s="15" t="s">
        <v>327</v>
      </c>
      <c r="B118" s="15" t="s">
        <v>10</v>
      </c>
      <c r="C118" s="15" t="s">
        <v>16</v>
      </c>
      <c r="D118" s="15" t="s">
        <v>58</v>
      </c>
      <c r="E118" s="15" t="s">
        <v>19</v>
      </c>
      <c r="F118" s="15" t="n">
        <v>1</v>
      </c>
      <c r="G118" s="15" t="s">
        <v>158</v>
      </c>
      <c r="H118" s="15" t="n">
        <v>115</v>
      </c>
      <c r="I118" s="15" t="s">
        <v>58</v>
      </c>
      <c r="J118" s="15" t="s">
        <v>211</v>
      </c>
      <c r="K118" s="15" t="s">
        <v>328</v>
      </c>
      <c r="L118" s="15" t="s">
        <v>160</v>
      </c>
      <c r="M118" s="15" t="s">
        <v>171</v>
      </c>
      <c r="N118" s="15" t="s">
        <v>172</v>
      </c>
      <c r="O118" s="15" t="s">
        <v>163</v>
      </c>
      <c r="P118" s="15" t="n">
        <v>0.952</v>
      </c>
      <c r="Q118" s="15" t="n">
        <v>0.952</v>
      </c>
      <c r="R118" s="15" t="n">
        <v>43</v>
      </c>
      <c r="S118" s="15" t="s">
        <v>164</v>
      </c>
      <c r="T118" s="15" t="n">
        <v>32</v>
      </c>
      <c r="U118" s="15"/>
      <c r="V118" s="15"/>
      <c r="W118" s="15"/>
      <c r="X118" s="15" t="s">
        <v>165</v>
      </c>
      <c r="Y118" s="15" t="n">
        <v>34</v>
      </c>
      <c r="Z118" s="15" t="s">
        <v>166</v>
      </c>
      <c r="AA118" s="15"/>
      <c r="AB118" s="15" t="n">
        <v>1</v>
      </c>
      <c r="AC118" s="15" t="n">
        <v>1</v>
      </c>
      <c r="AD118" s="15" t="s">
        <v>167</v>
      </c>
      <c r="AE118" s="15" t="s">
        <v>168</v>
      </c>
      <c r="AF118" s="15" t="s">
        <v>169</v>
      </c>
      <c r="AG118" s="15"/>
      <c r="AH118" s="24" t="n">
        <f aca="false">IF(R118="",AM118,R118)</f>
        <v>43</v>
      </c>
      <c r="AI118" s="24" t="n">
        <f aca="false">SUMIFS(Permissions!$G$2:$G$3000,Permissions!$B$2:$B$3000,$A118,Permissions!$I$2:$I$3000,"Complete",Permissions!$R$2:$R$3000,"Yes")</f>
        <v>0</v>
      </c>
      <c r="AJ118" s="24" t="n">
        <f aca="false">SUMIFS(Permissions!$G$2:$G$3000,Permissions!$B$2:$B$3000,$A118,Permissions!$I$2:$I$3000,"Under construction",Permissions!$R$2:$R$3000,"Yes")</f>
        <v>0</v>
      </c>
      <c r="AK118" s="24" t="n">
        <f aca="false">SUMIFS(Permissions!$G$2:$G$3000,Permissions!$B$2:$B$3000,$A118,Permissions!$I$2:$I$3000,"Permitted – not started",Permissions!$R$2:$R$3000,"Yes")</f>
        <v>0</v>
      </c>
      <c r="AL118" s="24" t="n">
        <f aca="false">SUMIFS(Permissions!$G$2:$G$3000,Permissions!$B$2:$B$3000,$A118,Permissions!$I$2:$I$3000,"Stalled",Permissions!$R$2:$R$3000,"Yes")</f>
        <v>0</v>
      </c>
      <c r="AM118" s="24" t="n">
        <f aca="false">AI118+AJ118+AK118+AL118</f>
        <v>0</v>
      </c>
      <c r="AN118" s="24" t="n">
        <f aca="false">SUMIFS(Permissions!$G$2:$G$3000,Permissions!$B$2:$B$3000,$A118,Permissions!$I$2:$I$3000,"Expired – not started",Permissions!$R$2:$R$3000,"Yes")</f>
        <v>0</v>
      </c>
      <c r="AO118" s="24" t="n">
        <f aca="false">SUMIFS(Permissions!$G$2:$G$3000,Permissions!$B$2:$B$3000,$A118,Permissions!$I$2:$I$3000,"In planning",Permissions!$R$2:$R$3000,"Yes")</f>
        <v>0</v>
      </c>
      <c r="AP118" s="24" t="n">
        <f aca="false">IF(R118="",0,MAX(R118-AM118,0))</f>
        <v>43</v>
      </c>
      <c r="AQ118" s="25" t="n">
        <f aca="false">AM118+AP118</f>
        <v>43</v>
      </c>
      <c r="AR118" s="24" t="n">
        <f aca="false">SUMIFS(Permissions!$L$2:$L$3000,Permissions!$B$2:$B$3000,$A118,Permissions!$R$2:$R$3000,"Yes",Permissions!$I$2:$I$3000,"&lt;&gt;Expired – not started",Permissions!$I$2:$I$3000,"&lt;&gt;In planning")</f>
        <v>0</v>
      </c>
      <c r="AS118" s="24" t="n">
        <f aca="false">AQ118-AR118</f>
        <v>43</v>
      </c>
      <c r="AT118" s="26" t="n">
        <f aca="false">SUMIFS(Permissions!$AJ$2:$AJ$3000,Permissions!$B$2:$B$3000,$A118,Permissions!$R$2:$R$3000,"Yes")</f>
        <v>0</v>
      </c>
      <c r="AU118" s="26" t="n">
        <f aca="false">SUMIFS(Permissions!$AK$2:$AK$3000,Permissions!$B$2:$B$3000,$A118,Permissions!$R$2:$R$3000,"Yes")</f>
        <v>0</v>
      </c>
      <c r="AV118" s="26" t="n">
        <f aca="false">SUMIFS(Permissions!$AL$2:$AL$3000,Permissions!$B$2:$B$3000,$A118,Permissions!$R$2:$R$3000,"Yes")</f>
        <v>0</v>
      </c>
      <c r="AW118" s="26" t="n">
        <f aca="false">SUMIFS(Permissions!$AM$2:$AM$3000,Permissions!$B$2:$B$3000,$A118,Permissions!$R$2:$R$3000,"Yes")</f>
        <v>0</v>
      </c>
      <c r="AX118" s="26" t="n">
        <f aca="false">SUMIFS(Permissions!$AN$2:$AN$3000,Permissions!$B$2:$B$3000,$A118,Permissions!$R$2:$R$3000,"Yes")</f>
        <v>0</v>
      </c>
      <c r="AY118" s="26" t="n">
        <f aca="false">SUMIFS(Permissions!$AO$2:$AO$3000,Permissions!$B$2:$B$3000,$A118,Permissions!$R$2:$R$3000,"Yes")</f>
        <v>0</v>
      </c>
      <c r="AZ118" s="24" t="n">
        <f aca="false">COUNTIFS(Permissions!$B$2:$B$3000,$A118,Permissions!$R$2:$R$3000,"Yes")</f>
        <v>0</v>
      </c>
      <c r="BA118" s="24" t="n">
        <f aca="false">SUMIFS(Permissions!$M$2:$M$3000,Permissions!$B$2:$B$3000,$A118,Permissions!$R$2:$R$3000,"Yes")</f>
        <v>0</v>
      </c>
      <c r="BB118" s="24" t="n">
        <f aca="false">SUMIFS(Permissions!$O$2:$O$3000,Permissions!$B$2:$B$3000,$A118,Permissions!$R$2:$R$3000,"Yes")</f>
        <v>0</v>
      </c>
      <c r="BC118" s="27" t="str">
        <f aca="false">IF(AND(AM118&gt;0,AR118&gt;=AM118,AP118=0),"Finished",IF(AR118&gt;0,"Partly built",IF(AM118&gt;0,"Consented – not built","No consent")))</f>
        <v>No consent</v>
      </c>
      <c r="BD118" s="28" t="str">
        <f aca="false">IF(AND(R118&lt;&gt;"",AM118&gt;1.1*R118),"Consented above capacity",IF(AND(LEFT(B118,8)="Planning",AZ118=0),"Consent parcel with no permission",IF(COUNTIF($A$2:$A$3000,$A118)&gt;1,"Duplicate parcel_id","")))</f>
        <v/>
      </c>
    </row>
    <row r="119" customFormat="false" ht="15" hidden="false" customHeight="false" outlineLevel="0" collapsed="false">
      <c r="A119" s="15" t="s">
        <v>329</v>
      </c>
      <c r="B119" s="15" t="s">
        <v>10</v>
      </c>
      <c r="C119" s="15" t="s">
        <v>16</v>
      </c>
      <c r="D119" s="15" t="s">
        <v>58</v>
      </c>
      <c r="E119" s="15" t="s">
        <v>19</v>
      </c>
      <c r="F119" s="15" t="n">
        <v>1</v>
      </c>
      <c r="G119" s="15" t="s">
        <v>158</v>
      </c>
      <c r="H119" s="15" t="n">
        <v>116</v>
      </c>
      <c r="I119" s="15" t="s">
        <v>58</v>
      </c>
      <c r="J119" s="15" t="s">
        <v>211</v>
      </c>
      <c r="K119" s="15" t="s">
        <v>328</v>
      </c>
      <c r="L119" s="15" t="s">
        <v>160</v>
      </c>
      <c r="M119" s="15" t="s">
        <v>171</v>
      </c>
      <c r="N119" s="15" t="s">
        <v>172</v>
      </c>
      <c r="O119" s="15" t="s">
        <v>163</v>
      </c>
      <c r="P119" s="15" t="n">
        <v>0.133</v>
      </c>
      <c r="Q119" s="15" t="n">
        <v>0.133</v>
      </c>
      <c r="R119" s="15" t="n">
        <v>6</v>
      </c>
      <c r="S119" s="15" t="s">
        <v>164</v>
      </c>
      <c r="T119" s="15" t="n">
        <v>5</v>
      </c>
      <c r="U119" s="15"/>
      <c r="V119" s="15"/>
      <c r="W119" s="15"/>
      <c r="X119" s="15" t="s">
        <v>165</v>
      </c>
      <c r="Y119" s="15" t="n">
        <v>34</v>
      </c>
      <c r="Z119" s="15" t="s">
        <v>166</v>
      </c>
      <c r="AA119" s="15"/>
      <c r="AB119" s="15" t="n">
        <v>0</v>
      </c>
      <c r="AC119" s="15" t="n">
        <v>0</v>
      </c>
      <c r="AD119" s="15" t="s">
        <v>167</v>
      </c>
      <c r="AE119" s="15" t="s">
        <v>168</v>
      </c>
      <c r="AF119" s="15" t="s">
        <v>169</v>
      </c>
      <c r="AG119" s="15"/>
      <c r="AH119" s="24" t="n">
        <f aca="false">IF(R119="",AM119,R119)</f>
        <v>6</v>
      </c>
      <c r="AI119" s="24" t="n">
        <f aca="false">SUMIFS(Permissions!$G$2:$G$3000,Permissions!$B$2:$B$3000,$A119,Permissions!$I$2:$I$3000,"Complete",Permissions!$R$2:$R$3000,"Yes")</f>
        <v>0</v>
      </c>
      <c r="AJ119" s="24" t="n">
        <f aca="false">SUMIFS(Permissions!$G$2:$G$3000,Permissions!$B$2:$B$3000,$A119,Permissions!$I$2:$I$3000,"Under construction",Permissions!$R$2:$R$3000,"Yes")</f>
        <v>0</v>
      </c>
      <c r="AK119" s="24" t="n">
        <f aca="false">SUMIFS(Permissions!$G$2:$G$3000,Permissions!$B$2:$B$3000,$A119,Permissions!$I$2:$I$3000,"Permitted – not started",Permissions!$R$2:$R$3000,"Yes")</f>
        <v>0</v>
      </c>
      <c r="AL119" s="24" t="n">
        <f aca="false">SUMIFS(Permissions!$G$2:$G$3000,Permissions!$B$2:$B$3000,$A119,Permissions!$I$2:$I$3000,"Stalled",Permissions!$R$2:$R$3000,"Yes")</f>
        <v>0</v>
      </c>
      <c r="AM119" s="24" t="n">
        <f aca="false">AI119+AJ119+AK119+AL119</f>
        <v>0</v>
      </c>
      <c r="AN119" s="24" t="n">
        <f aca="false">SUMIFS(Permissions!$G$2:$G$3000,Permissions!$B$2:$B$3000,$A119,Permissions!$I$2:$I$3000,"Expired – not started",Permissions!$R$2:$R$3000,"Yes")</f>
        <v>0</v>
      </c>
      <c r="AO119" s="24" t="n">
        <f aca="false">SUMIFS(Permissions!$G$2:$G$3000,Permissions!$B$2:$B$3000,$A119,Permissions!$I$2:$I$3000,"In planning",Permissions!$R$2:$R$3000,"Yes")</f>
        <v>0</v>
      </c>
      <c r="AP119" s="24" t="n">
        <f aca="false">IF(R119="",0,MAX(R119-AM119,0))</f>
        <v>6</v>
      </c>
      <c r="AQ119" s="25" t="n">
        <f aca="false">AM119+AP119</f>
        <v>6</v>
      </c>
      <c r="AR119" s="24" t="n">
        <f aca="false">SUMIFS(Permissions!$L$2:$L$3000,Permissions!$B$2:$B$3000,$A119,Permissions!$R$2:$R$3000,"Yes",Permissions!$I$2:$I$3000,"&lt;&gt;Expired – not started",Permissions!$I$2:$I$3000,"&lt;&gt;In planning")</f>
        <v>0</v>
      </c>
      <c r="AS119" s="24" t="n">
        <f aca="false">AQ119-AR119</f>
        <v>6</v>
      </c>
      <c r="AT119" s="26" t="n">
        <f aca="false">SUMIFS(Permissions!$AJ$2:$AJ$3000,Permissions!$B$2:$B$3000,$A119,Permissions!$R$2:$R$3000,"Yes")</f>
        <v>0</v>
      </c>
      <c r="AU119" s="26" t="n">
        <f aca="false">SUMIFS(Permissions!$AK$2:$AK$3000,Permissions!$B$2:$B$3000,$A119,Permissions!$R$2:$R$3000,"Yes")</f>
        <v>0</v>
      </c>
      <c r="AV119" s="26" t="n">
        <f aca="false">SUMIFS(Permissions!$AL$2:$AL$3000,Permissions!$B$2:$B$3000,$A119,Permissions!$R$2:$R$3000,"Yes")</f>
        <v>0</v>
      </c>
      <c r="AW119" s="26" t="n">
        <f aca="false">SUMIFS(Permissions!$AM$2:$AM$3000,Permissions!$B$2:$B$3000,$A119,Permissions!$R$2:$R$3000,"Yes")</f>
        <v>0</v>
      </c>
      <c r="AX119" s="26" t="n">
        <f aca="false">SUMIFS(Permissions!$AN$2:$AN$3000,Permissions!$B$2:$B$3000,$A119,Permissions!$R$2:$R$3000,"Yes")</f>
        <v>0</v>
      </c>
      <c r="AY119" s="26" t="n">
        <f aca="false">SUMIFS(Permissions!$AO$2:$AO$3000,Permissions!$B$2:$B$3000,$A119,Permissions!$R$2:$R$3000,"Yes")</f>
        <v>0</v>
      </c>
      <c r="AZ119" s="24" t="n">
        <f aca="false">COUNTIFS(Permissions!$B$2:$B$3000,$A119,Permissions!$R$2:$R$3000,"Yes")</f>
        <v>0</v>
      </c>
      <c r="BA119" s="24" t="n">
        <f aca="false">SUMIFS(Permissions!$M$2:$M$3000,Permissions!$B$2:$B$3000,$A119,Permissions!$R$2:$R$3000,"Yes")</f>
        <v>0</v>
      </c>
      <c r="BB119" s="24" t="n">
        <f aca="false">SUMIFS(Permissions!$O$2:$O$3000,Permissions!$B$2:$B$3000,$A119,Permissions!$R$2:$R$3000,"Yes")</f>
        <v>0</v>
      </c>
      <c r="BC119" s="27" t="str">
        <f aca="false">IF(AND(AM119&gt;0,AR119&gt;=AM119,AP119=0),"Finished",IF(AR119&gt;0,"Partly built",IF(AM119&gt;0,"Consented – not built","No consent")))</f>
        <v>No consent</v>
      </c>
      <c r="BD119" s="28" t="str">
        <f aca="false">IF(AND(R119&lt;&gt;"",AM119&gt;1.1*R119),"Consented above capacity",IF(AND(LEFT(B119,8)="Planning",AZ119=0),"Consent parcel with no permission",IF(COUNTIF($A$2:$A$3000,$A119)&gt;1,"Duplicate parcel_id","")))</f>
        <v/>
      </c>
    </row>
    <row r="120" customFormat="false" ht="15" hidden="false" customHeight="false" outlineLevel="0" collapsed="false">
      <c r="A120" s="15" t="s">
        <v>330</v>
      </c>
      <c r="B120" s="15" t="s">
        <v>10</v>
      </c>
      <c r="C120" s="15" t="s">
        <v>16</v>
      </c>
      <c r="D120" s="15" t="s">
        <v>58</v>
      </c>
      <c r="E120" s="15" t="s">
        <v>19</v>
      </c>
      <c r="F120" s="15" t="n">
        <v>1</v>
      </c>
      <c r="G120" s="15" t="s">
        <v>158</v>
      </c>
      <c r="H120" s="15" t="n">
        <v>117</v>
      </c>
      <c r="I120" s="15" t="s">
        <v>58</v>
      </c>
      <c r="J120" s="15" t="s">
        <v>211</v>
      </c>
      <c r="K120" s="15" t="s">
        <v>328</v>
      </c>
      <c r="L120" s="15" t="s">
        <v>160</v>
      </c>
      <c r="M120" s="15" t="s">
        <v>171</v>
      </c>
      <c r="N120" s="15" t="s">
        <v>172</v>
      </c>
      <c r="O120" s="15" t="s">
        <v>163</v>
      </c>
      <c r="P120" s="15" t="n">
        <v>0.181</v>
      </c>
      <c r="Q120" s="15" t="n">
        <v>0.182</v>
      </c>
      <c r="R120" s="15" t="n">
        <v>8</v>
      </c>
      <c r="S120" s="15" t="s">
        <v>164</v>
      </c>
      <c r="T120" s="15" t="n">
        <v>6</v>
      </c>
      <c r="U120" s="15"/>
      <c r="V120" s="15"/>
      <c r="W120" s="15"/>
      <c r="X120" s="15" t="s">
        <v>165</v>
      </c>
      <c r="Y120" s="15" t="n">
        <v>34</v>
      </c>
      <c r="Z120" s="15" t="s">
        <v>166</v>
      </c>
      <c r="AA120" s="15"/>
      <c r="AB120" s="15" t="n">
        <v>0</v>
      </c>
      <c r="AC120" s="15" t="n">
        <v>0</v>
      </c>
      <c r="AD120" s="15" t="s">
        <v>167</v>
      </c>
      <c r="AE120" s="15" t="s">
        <v>168</v>
      </c>
      <c r="AF120" s="15" t="s">
        <v>169</v>
      </c>
      <c r="AG120" s="15"/>
      <c r="AH120" s="24" t="n">
        <f aca="false">IF(R120="",AM120,R120)</f>
        <v>8</v>
      </c>
      <c r="AI120" s="24" t="n">
        <f aca="false">SUMIFS(Permissions!$G$2:$G$3000,Permissions!$B$2:$B$3000,$A120,Permissions!$I$2:$I$3000,"Complete",Permissions!$R$2:$R$3000,"Yes")</f>
        <v>0</v>
      </c>
      <c r="AJ120" s="24" t="n">
        <f aca="false">SUMIFS(Permissions!$G$2:$G$3000,Permissions!$B$2:$B$3000,$A120,Permissions!$I$2:$I$3000,"Under construction",Permissions!$R$2:$R$3000,"Yes")</f>
        <v>0</v>
      </c>
      <c r="AK120" s="24" t="n">
        <f aca="false">SUMIFS(Permissions!$G$2:$G$3000,Permissions!$B$2:$B$3000,$A120,Permissions!$I$2:$I$3000,"Permitted – not started",Permissions!$R$2:$R$3000,"Yes")</f>
        <v>0</v>
      </c>
      <c r="AL120" s="24" t="n">
        <f aca="false">SUMIFS(Permissions!$G$2:$G$3000,Permissions!$B$2:$B$3000,$A120,Permissions!$I$2:$I$3000,"Stalled",Permissions!$R$2:$R$3000,"Yes")</f>
        <v>0</v>
      </c>
      <c r="AM120" s="24" t="n">
        <f aca="false">AI120+AJ120+AK120+AL120</f>
        <v>0</v>
      </c>
      <c r="AN120" s="24" t="n">
        <f aca="false">SUMIFS(Permissions!$G$2:$G$3000,Permissions!$B$2:$B$3000,$A120,Permissions!$I$2:$I$3000,"Expired – not started",Permissions!$R$2:$R$3000,"Yes")</f>
        <v>0</v>
      </c>
      <c r="AO120" s="24" t="n">
        <f aca="false">SUMIFS(Permissions!$G$2:$G$3000,Permissions!$B$2:$B$3000,$A120,Permissions!$I$2:$I$3000,"In planning",Permissions!$R$2:$R$3000,"Yes")</f>
        <v>0</v>
      </c>
      <c r="AP120" s="24" t="n">
        <f aca="false">IF(R120="",0,MAX(R120-AM120,0))</f>
        <v>8</v>
      </c>
      <c r="AQ120" s="25" t="n">
        <f aca="false">AM120+AP120</f>
        <v>8</v>
      </c>
      <c r="AR120" s="24" t="n">
        <f aca="false">SUMIFS(Permissions!$L$2:$L$3000,Permissions!$B$2:$B$3000,$A120,Permissions!$R$2:$R$3000,"Yes",Permissions!$I$2:$I$3000,"&lt;&gt;Expired – not started",Permissions!$I$2:$I$3000,"&lt;&gt;In planning")</f>
        <v>0</v>
      </c>
      <c r="AS120" s="24" t="n">
        <f aca="false">AQ120-AR120</f>
        <v>8</v>
      </c>
      <c r="AT120" s="26" t="n">
        <f aca="false">SUMIFS(Permissions!$AJ$2:$AJ$3000,Permissions!$B$2:$B$3000,$A120,Permissions!$R$2:$R$3000,"Yes")</f>
        <v>0</v>
      </c>
      <c r="AU120" s="26" t="n">
        <f aca="false">SUMIFS(Permissions!$AK$2:$AK$3000,Permissions!$B$2:$B$3000,$A120,Permissions!$R$2:$R$3000,"Yes")</f>
        <v>0</v>
      </c>
      <c r="AV120" s="26" t="n">
        <f aca="false">SUMIFS(Permissions!$AL$2:$AL$3000,Permissions!$B$2:$B$3000,$A120,Permissions!$R$2:$R$3000,"Yes")</f>
        <v>0</v>
      </c>
      <c r="AW120" s="26" t="n">
        <f aca="false">SUMIFS(Permissions!$AM$2:$AM$3000,Permissions!$B$2:$B$3000,$A120,Permissions!$R$2:$R$3000,"Yes")</f>
        <v>0</v>
      </c>
      <c r="AX120" s="26" t="n">
        <f aca="false">SUMIFS(Permissions!$AN$2:$AN$3000,Permissions!$B$2:$B$3000,$A120,Permissions!$R$2:$R$3000,"Yes")</f>
        <v>0</v>
      </c>
      <c r="AY120" s="26" t="n">
        <f aca="false">SUMIFS(Permissions!$AO$2:$AO$3000,Permissions!$B$2:$B$3000,$A120,Permissions!$R$2:$R$3000,"Yes")</f>
        <v>0</v>
      </c>
      <c r="AZ120" s="24" t="n">
        <f aca="false">COUNTIFS(Permissions!$B$2:$B$3000,$A120,Permissions!$R$2:$R$3000,"Yes")</f>
        <v>0</v>
      </c>
      <c r="BA120" s="24" t="n">
        <f aca="false">SUMIFS(Permissions!$M$2:$M$3000,Permissions!$B$2:$B$3000,$A120,Permissions!$R$2:$R$3000,"Yes")</f>
        <v>0</v>
      </c>
      <c r="BB120" s="24" t="n">
        <f aca="false">SUMIFS(Permissions!$O$2:$O$3000,Permissions!$B$2:$B$3000,$A120,Permissions!$R$2:$R$3000,"Yes")</f>
        <v>0</v>
      </c>
      <c r="BC120" s="27" t="str">
        <f aca="false">IF(AND(AM120&gt;0,AR120&gt;=AM120,AP120=0),"Finished",IF(AR120&gt;0,"Partly built",IF(AM120&gt;0,"Consented – not built","No consent")))</f>
        <v>No consent</v>
      </c>
      <c r="BD120" s="28" t="str">
        <f aca="false">IF(AND(R120&lt;&gt;"",AM120&gt;1.1*R120),"Consented above capacity",IF(AND(LEFT(B120,8)="Planning",AZ120=0),"Consent parcel with no permission",IF(COUNTIF($A$2:$A$3000,$A120)&gt;1,"Duplicate parcel_id","")))</f>
        <v/>
      </c>
    </row>
    <row r="121" customFormat="false" ht="15" hidden="false" customHeight="false" outlineLevel="0" collapsed="false">
      <c r="A121" s="15" t="s">
        <v>331</v>
      </c>
      <c r="B121" s="15" t="s">
        <v>10</v>
      </c>
      <c r="C121" s="15" t="s">
        <v>16</v>
      </c>
      <c r="D121" s="15" t="s">
        <v>58</v>
      </c>
      <c r="E121" s="15" t="s">
        <v>19</v>
      </c>
      <c r="F121" s="15" t="n">
        <v>1</v>
      </c>
      <c r="G121" s="15" t="s">
        <v>158</v>
      </c>
      <c r="H121" s="15" t="n">
        <v>118</v>
      </c>
      <c r="I121" s="15" t="s">
        <v>58</v>
      </c>
      <c r="J121" s="15" t="s">
        <v>211</v>
      </c>
      <c r="K121" s="15" t="s">
        <v>328</v>
      </c>
      <c r="L121" s="15" t="s">
        <v>160</v>
      </c>
      <c r="M121" s="15" t="s">
        <v>171</v>
      </c>
      <c r="N121" s="15" t="s">
        <v>172</v>
      </c>
      <c r="O121" s="15" t="s">
        <v>163</v>
      </c>
      <c r="P121" s="15" t="n">
        <v>0.506</v>
      </c>
      <c r="Q121" s="15" t="n">
        <v>0.506</v>
      </c>
      <c r="R121" s="15" t="n">
        <v>23</v>
      </c>
      <c r="S121" s="15" t="s">
        <v>164</v>
      </c>
      <c r="T121" s="15" t="n">
        <v>17</v>
      </c>
      <c r="U121" s="15"/>
      <c r="V121" s="15"/>
      <c r="W121" s="15"/>
      <c r="X121" s="15" t="s">
        <v>165</v>
      </c>
      <c r="Y121" s="15" t="n">
        <v>34</v>
      </c>
      <c r="Z121" s="15" t="s">
        <v>166</v>
      </c>
      <c r="AA121" s="15"/>
      <c r="AB121" s="15" t="n">
        <v>0</v>
      </c>
      <c r="AC121" s="15" t="n">
        <v>0</v>
      </c>
      <c r="AD121" s="15" t="s">
        <v>167</v>
      </c>
      <c r="AE121" s="15" t="s">
        <v>168</v>
      </c>
      <c r="AF121" s="15" t="s">
        <v>169</v>
      </c>
      <c r="AG121" s="15"/>
      <c r="AH121" s="24" t="n">
        <f aca="false">IF(R121="",AM121,R121)</f>
        <v>23</v>
      </c>
      <c r="AI121" s="24" t="n">
        <f aca="false">SUMIFS(Permissions!$G$2:$G$3000,Permissions!$B$2:$B$3000,$A121,Permissions!$I$2:$I$3000,"Complete",Permissions!$R$2:$R$3000,"Yes")</f>
        <v>0</v>
      </c>
      <c r="AJ121" s="24" t="n">
        <f aca="false">SUMIFS(Permissions!$G$2:$G$3000,Permissions!$B$2:$B$3000,$A121,Permissions!$I$2:$I$3000,"Under construction",Permissions!$R$2:$R$3000,"Yes")</f>
        <v>0</v>
      </c>
      <c r="AK121" s="24" t="n">
        <f aca="false">SUMIFS(Permissions!$G$2:$G$3000,Permissions!$B$2:$B$3000,$A121,Permissions!$I$2:$I$3000,"Permitted – not started",Permissions!$R$2:$R$3000,"Yes")</f>
        <v>0</v>
      </c>
      <c r="AL121" s="24" t="n">
        <f aca="false">SUMIFS(Permissions!$G$2:$G$3000,Permissions!$B$2:$B$3000,$A121,Permissions!$I$2:$I$3000,"Stalled",Permissions!$R$2:$R$3000,"Yes")</f>
        <v>0</v>
      </c>
      <c r="AM121" s="24" t="n">
        <f aca="false">AI121+AJ121+AK121+AL121</f>
        <v>0</v>
      </c>
      <c r="AN121" s="24" t="n">
        <f aca="false">SUMIFS(Permissions!$G$2:$G$3000,Permissions!$B$2:$B$3000,$A121,Permissions!$I$2:$I$3000,"Expired – not started",Permissions!$R$2:$R$3000,"Yes")</f>
        <v>0</v>
      </c>
      <c r="AO121" s="24" t="n">
        <f aca="false">SUMIFS(Permissions!$G$2:$G$3000,Permissions!$B$2:$B$3000,$A121,Permissions!$I$2:$I$3000,"In planning",Permissions!$R$2:$R$3000,"Yes")</f>
        <v>0</v>
      </c>
      <c r="AP121" s="24" t="n">
        <f aca="false">IF(R121="",0,MAX(R121-AM121,0))</f>
        <v>23</v>
      </c>
      <c r="AQ121" s="25" t="n">
        <f aca="false">AM121+AP121</f>
        <v>23</v>
      </c>
      <c r="AR121" s="24" t="n">
        <f aca="false">SUMIFS(Permissions!$L$2:$L$3000,Permissions!$B$2:$B$3000,$A121,Permissions!$R$2:$R$3000,"Yes",Permissions!$I$2:$I$3000,"&lt;&gt;Expired – not started",Permissions!$I$2:$I$3000,"&lt;&gt;In planning")</f>
        <v>0</v>
      </c>
      <c r="AS121" s="24" t="n">
        <f aca="false">AQ121-AR121</f>
        <v>23</v>
      </c>
      <c r="AT121" s="26" t="n">
        <f aca="false">SUMIFS(Permissions!$AJ$2:$AJ$3000,Permissions!$B$2:$B$3000,$A121,Permissions!$R$2:$R$3000,"Yes")</f>
        <v>0</v>
      </c>
      <c r="AU121" s="26" t="n">
        <f aca="false">SUMIFS(Permissions!$AK$2:$AK$3000,Permissions!$B$2:$B$3000,$A121,Permissions!$R$2:$R$3000,"Yes")</f>
        <v>0</v>
      </c>
      <c r="AV121" s="26" t="n">
        <f aca="false">SUMIFS(Permissions!$AL$2:$AL$3000,Permissions!$B$2:$B$3000,$A121,Permissions!$R$2:$R$3000,"Yes")</f>
        <v>0</v>
      </c>
      <c r="AW121" s="26" t="n">
        <f aca="false">SUMIFS(Permissions!$AM$2:$AM$3000,Permissions!$B$2:$B$3000,$A121,Permissions!$R$2:$R$3000,"Yes")</f>
        <v>0</v>
      </c>
      <c r="AX121" s="26" t="n">
        <f aca="false">SUMIFS(Permissions!$AN$2:$AN$3000,Permissions!$B$2:$B$3000,$A121,Permissions!$R$2:$R$3000,"Yes")</f>
        <v>0</v>
      </c>
      <c r="AY121" s="26" t="n">
        <f aca="false">SUMIFS(Permissions!$AO$2:$AO$3000,Permissions!$B$2:$B$3000,$A121,Permissions!$R$2:$R$3000,"Yes")</f>
        <v>0</v>
      </c>
      <c r="AZ121" s="24" t="n">
        <f aca="false">COUNTIFS(Permissions!$B$2:$B$3000,$A121,Permissions!$R$2:$R$3000,"Yes")</f>
        <v>0</v>
      </c>
      <c r="BA121" s="24" t="n">
        <f aca="false">SUMIFS(Permissions!$M$2:$M$3000,Permissions!$B$2:$B$3000,$A121,Permissions!$R$2:$R$3000,"Yes")</f>
        <v>0</v>
      </c>
      <c r="BB121" s="24" t="n">
        <f aca="false">SUMIFS(Permissions!$O$2:$O$3000,Permissions!$B$2:$B$3000,$A121,Permissions!$R$2:$R$3000,"Yes")</f>
        <v>0</v>
      </c>
      <c r="BC121" s="27" t="str">
        <f aca="false">IF(AND(AM121&gt;0,AR121&gt;=AM121,AP121=0),"Finished",IF(AR121&gt;0,"Partly built",IF(AM121&gt;0,"Consented – not built","No consent")))</f>
        <v>No consent</v>
      </c>
      <c r="BD121" s="28" t="str">
        <f aca="false">IF(AND(R121&lt;&gt;"",AM121&gt;1.1*R121),"Consented above capacity",IF(AND(LEFT(B121,8)="Planning",AZ121=0),"Consent parcel with no permission",IF(COUNTIF($A$2:$A$3000,$A121)&gt;1,"Duplicate parcel_id","")))</f>
        <v/>
      </c>
    </row>
    <row r="122" customFormat="false" ht="15" hidden="false" customHeight="false" outlineLevel="0" collapsed="false">
      <c r="A122" s="15" t="s">
        <v>332</v>
      </c>
      <c r="B122" s="15" t="s">
        <v>10</v>
      </c>
      <c r="C122" s="15" t="s">
        <v>16</v>
      </c>
      <c r="D122" s="15" t="s">
        <v>58</v>
      </c>
      <c r="E122" s="15" t="s">
        <v>19</v>
      </c>
      <c r="F122" s="15" t="n">
        <v>1</v>
      </c>
      <c r="G122" s="15" t="s">
        <v>158</v>
      </c>
      <c r="H122" s="15" t="n">
        <v>119</v>
      </c>
      <c r="I122" s="15" t="s">
        <v>58</v>
      </c>
      <c r="J122" s="15" t="s">
        <v>211</v>
      </c>
      <c r="K122" s="15" t="s">
        <v>328</v>
      </c>
      <c r="L122" s="15" t="s">
        <v>160</v>
      </c>
      <c r="M122" s="15" t="s">
        <v>171</v>
      </c>
      <c r="N122" s="15" t="s">
        <v>172</v>
      </c>
      <c r="O122" s="15" t="s">
        <v>163</v>
      </c>
      <c r="P122" s="15" t="n">
        <v>1.074</v>
      </c>
      <c r="Q122" s="15" t="n">
        <v>1.075</v>
      </c>
      <c r="R122" s="15" t="n">
        <v>48</v>
      </c>
      <c r="S122" s="15" t="s">
        <v>164</v>
      </c>
      <c r="T122" s="15" t="n">
        <v>37</v>
      </c>
      <c r="U122" s="15"/>
      <c r="V122" s="15"/>
      <c r="W122" s="15"/>
      <c r="X122" s="15" t="s">
        <v>165</v>
      </c>
      <c r="Y122" s="15" t="n">
        <v>34</v>
      </c>
      <c r="Z122" s="15" t="s">
        <v>166</v>
      </c>
      <c r="AA122" s="15"/>
      <c r="AB122" s="15" t="n">
        <v>0</v>
      </c>
      <c r="AC122" s="15" t="n">
        <v>0</v>
      </c>
      <c r="AD122" s="15" t="s">
        <v>167</v>
      </c>
      <c r="AE122" s="15" t="s">
        <v>168</v>
      </c>
      <c r="AF122" s="15" t="s">
        <v>169</v>
      </c>
      <c r="AG122" s="15"/>
      <c r="AH122" s="24" t="n">
        <f aca="false">IF(R122="",AM122,R122)</f>
        <v>48</v>
      </c>
      <c r="AI122" s="24" t="n">
        <f aca="false">SUMIFS(Permissions!$G$2:$G$3000,Permissions!$B$2:$B$3000,$A122,Permissions!$I$2:$I$3000,"Complete",Permissions!$R$2:$R$3000,"Yes")</f>
        <v>0</v>
      </c>
      <c r="AJ122" s="24" t="n">
        <f aca="false">SUMIFS(Permissions!$G$2:$G$3000,Permissions!$B$2:$B$3000,$A122,Permissions!$I$2:$I$3000,"Under construction",Permissions!$R$2:$R$3000,"Yes")</f>
        <v>0</v>
      </c>
      <c r="AK122" s="24" t="n">
        <f aca="false">SUMIFS(Permissions!$G$2:$G$3000,Permissions!$B$2:$B$3000,$A122,Permissions!$I$2:$I$3000,"Permitted – not started",Permissions!$R$2:$R$3000,"Yes")</f>
        <v>0</v>
      </c>
      <c r="AL122" s="24" t="n">
        <f aca="false">SUMIFS(Permissions!$G$2:$G$3000,Permissions!$B$2:$B$3000,$A122,Permissions!$I$2:$I$3000,"Stalled",Permissions!$R$2:$R$3000,"Yes")</f>
        <v>0</v>
      </c>
      <c r="AM122" s="24" t="n">
        <f aca="false">AI122+AJ122+AK122+AL122</f>
        <v>0</v>
      </c>
      <c r="AN122" s="24" t="n">
        <f aca="false">SUMIFS(Permissions!$G$2:$G$3000,Permissions!$B$2:$B$3000,$A122,Permissions!$I$2:$I$3000,"Expired – not started",Permissions!$R$2:$R$3000,"Yes")</f>
        <v>0</v>
      </c>
      <c r="AO122" s="24" t="n">
        <f aca="false">SUMIFS(Permissions!$G$2:$G$3000,Permissions!$B$2:$B$3000,$A122,Permissions!$I$2:$I$3000,"In planning",Permissions!$R$2:$R$3000,"Yes")</f>
        <v>0</v>
      </c>
      <c r="AP122" s="24" t="n">
        <f aca="false">IF(R122="",0,MAX(R122-AM122,0))</f>
        <v>48</v>
      </c>
      <c r="AQ122" s="25" t="n">
        <f aca="false">AM122+AP122</f>
        <v>48</v>
      </c>
      <c r="AR122" s="24" t="n">
        <f aca="false">SUMIFS(Permissions!$L$2:$L$3000,Permissions!$B$2:$B$3000,$A122,Permissions!$R$2:$R$3000,"Yes",Permissions!$I$2:$I$3000,"&lt;&gt;Expired – not started",Permissions!$I$2:$I$3000,"&lt;&gt;In planning")</f>
        <v>0</v>
      </c>
      <c r="AS122" s="24" t="n">
        <f aca="false">AQ122-AR122</f>
        <v>48</v>
      </c>
      <c r="AT122" s="26" t="n">
        <f aca="false">SUMIFS(Permissions!$AJ$2:$AJ$3000,Permissions!$B$2:$B$3000,$A122,Permissions!$R$2:$R$3000,"Yes")</f>
        <v>0</v>
      </c>
      <c r="AU122" s="26" t="n">
        <f aca="false">SUMIFS(Permissions!$AK$2:$AK$3000,Permissions!$B$2:$B$3000,$A122,Permissions!$R$2:$R$3000,"Yes")</f>
        <v>0</v>
      </c>
      <c r="AV122" s="26" t="n">
        <f aca="false">SUMIFS(Permissions!$AL$2:$AL$3000,Permissions!$B$2:$B$3000,$A122,Permissions!$R$2:$R$3000,"Yes")</f>
        <v>0</v>
      </c>
      <c r="AW122" s="26" t="n">
        <f aca="false">SUMIFS(Permissions!$AM$2:$AM$3000,Permissions!$B$2:$B$3000,$A122,Permissions!$R$2:$R$3000,"Yes")</f>
        <v>0</v>
      </c>
      <c r="AX122" s="26" t="n">
        <f aca="false">SUMIFS(Permissions!$AN$2:$AN$3000,Permissions!$B$2:$B$3000,$A122,Permissions!$R$2:$R$3000,"Yes")</f>
        <v>0</v>
      </c>
      <c r="AY122" s="26" t="n">
        <f aca="false">SUMIFS(Permissions!$AO$2:$AO$3000,Permissions!$B$2:$B$3000,$A122,Permissions!$R$2:$R$3000,"Yes")</f>
        <v>0</v>
      </c>
      <c r="AZ122" s="24" t="n">
        <f aca="false">COUNTIFS(Permissions!$B$2:$B$3000,$A122,Permissions!$R$2:$R$3000,"Yes")</f>
        <v>0</v>
      </c>
      <c r="BA122" s="24" t="n">
        <f aca="false">SUMIFS(Permissions!$M$2:$M$3000,Permissions!$B$2:$B$3000,$A122,Permissions!$R$2:$R$3000,"Yes")</f>
        <v>0</v>
      </c>
      <c r="BB122" s="24" t="n">
        <f aca="false">SUMIFS(Permissions!$O$2:$O$3000,Permissions!$B$2:$B$3000,$A122,Permissions!$R$2:$R$3000,"Yes")</f>
        <v>0</v>
      </c>
      <c r="BC122" s="27" t="str">
        <f aca="false">IF(AND(AM122&gt;0,AR122&gt;=AM122,AP122=0),"Finished",IF(AR122&gt;0,"Partly built",IF(AM122&gt;0,"Consented – not built","No consent")))</f>
        <v>No consent</v>
      </c>
      <c r="BD122" s="28" t="str">
        <f aca="false">IF(AND(R122&lt;&gt;"",AM122&gt;1.1*R122),"Consented above capacity",IF(AND(LEFT(B122,8)="Planning",AZ122=0),"Consent parcel with no permission",IF(COUNTIF($A$2:$A$3000,$A122)&gt;1,"Duplicate parcel_id","")))</f>
        <v/>
      </c>
    </row>
    <row r="123" customFormat="false" ht="15" hidden="false" customHeight="false" outlineLevel="0" collapsed="false">
      <c r="A123" s="15" t="s">
        <v>333</v>
      </c>
      <c r="B123" s="15" t="s">
        <v>10</v>
      </c>
      <c r="C123" s="15" t="s">
        <v>16</v>
      </c>
      <c r="D123" s="15" t="s">
        <v>58</v>
      </c>
      <c r="E123" s="15" t="s">
        <v>19</v>
      </c>
      <c r="F123" s="15" t="n">
        <v>1</v>
      </c>
      <c r="G123" s="15" t="s">
        <v>158</v>
      </c>
      <c r="H123" s="15" t="n">
        <v>120</v>
      </c>
      <c r="I123" s="15" t="s">
        <v>58</v>
      </c>
      <c r="J123" s="15" t="s">
        <v>211</v>
      </c>
      <c r="K123" s="15" t="s">
        <v>328</v>
      </c>
      <c r="L123" s="15" t="s">
        <v>160</v>
      </c>
      <c r="M123" s="15" t="s">
        <v>171</v>
      </c>
      <c r="N123" s="15" t="s">
        <v>172</v>
      </c>
      <c r="O123" s="15" t="s">
        <v>163</v>
      </c>
      <c r="P123" s="15" t="n">
        <v>0.755</v>
      </c>
      <c r="Q123" s="15" t="n">
        <v>0.756</v>
      </c>
      <c r="R123" s="15" t="n">
        <v>34</v>
      </c>
      <c r="S123" s="15" t="s">
        <v>164</v>
      </c>
      <c r="T123" s="15" t="n">
        <v>26</v>
      </c>
      <c r="U123" s="15"/>
      <c r="V123" s="15"/>
      <c r="W123" s="15"/>
      <c r="X123" s="15" t="s">
        <v>165</v>
      </c>
      <c r="Y123" s="15" t="n">
        <v>34</v>
      </c>
      <c r="Z123" s="15" t="s">
        <v>166</v>
      </c>
      <c r="AA123" s="15"/>
      <c r="AB123" s="15" t="n">
        <v>0</v>
      </c>
      <c r="AC123" s="15" t="n">
        <v>0</v>
      </c>
      <c r="AD123" s="15" t="s">
        <v>167</v>
      </c>
      <c r="AE123" s="15" t="s">
        <v>168</v>
      </c>
      <c r="AF123" s="15" t="s">
        <v>169</v>
      </c>
      <c r="AG123" s="15"/>
      <c r="AH123" s="24" t="n">
        <f aca="false">IF(R123="",AM123,R123)</f>
        <v>34</v>
      </c>
      <c r="AI123" s="24" t="n">
        <f aca="false">SUMIFS(Permissions!$G$2:$G$3000,Permissions!$B$2:$B$3000,$A123,Permissions!$I$2:$I$3000,"Complete",Permissions!$R$2:$R$3000,"Yes")</f>
        <v>0</v>
      </c>
      <c r="AJ123" s="24" t="n">
        <f aca="false">SUMIFS(Permissions!$G$2:$G$3000,Permissions!$B$2:$B$3000,$A123,Permissions!$I$2:$I$3000,"Under construction",Permissions!$R$2:$R$3000,"Yes")</f>
        <v>0</v>
      </c>
      <c r="AK123" s="24" t="n">
        <f aca="false">SUMIFS(Permissions!$G$2:$G$3000,Permissions!$B$2:$B$3000,$A123,Permissions!$I$2:$I$3000,"Permitted – not started",Permissions!$R$2:$R$3000,"Yes")</f>
        <v>0</v>
      </c>
      <c r="AL123" s="24" t="n">
        <f aca="false">SUMIFS(Permissions!$G$2:$G$3000,Permissions!$B$2:$B$3000,$A123,Permissions!$I$2:$I$3000,"Stalled",Permissions!$R$2:$R$3000,"Yes")</f>
        <v>0</v>
      </c>
      <c r="AM123" s="24" t="n">
        <f aca="false">AI123+AJ123+AK123+AL123</f>
        <v>0</v>
      </c>
      <c r="AN123" s="24" t="n">
        <f aca="false">SUMIFS(Permissions!$G$2:$G$3000,Permissions!$B$2:$B$3000,$A123,Permissions!$I$2:$I$3000,"Expired – not started",Permissions!$R$2:$R$3000,"Yes")</f>
        <v>0</v>
      </c>
      <c r="AO123" s="24" t="n">
        <f aca="false">SUMIFS(Permissions!$G$2:$G$3000,Permissions!$B$2:$B$3000,$A123,Permissions!$I$2:$I$3000,"In planning",Permissions!$R$2:$R$3000,"Yes")</f>
        <v>0</v>
      </c>
      <c r="AP123" s="24" t="n">
        <f aca="false">IF(R123="",0,MAX(R123-AM123,0))</f>
        <v>34</v>
      </c>
      <c r="AQ123" s="25" t="n">
        <f aca="false">AM123+AP123</f>
        <v>34</v>
      </c>
      <c r="AR123" s="24" t="n">
        <f aca="false">SUMIFS(Permissions!$L$2:$L$3000,Permissions!$B$2:$B$3000,$A123,Permissions!$R$2:$R$3000,"Yes",Permissions!$I$2:$I$3000,"&lt;&gt;Expired – not started",Permissions!$I$2:$I$3000,"&lt;&gt;In planning")</f>
        <v>0</v>
      </c>
      <c r="AS123" s="24" t="n">
        <f aca="false">AQ123-AR123</f>
        <v>34</v>
      </c>
      <c r="AT123" s="26" t="n">
        <f aca="false">SUMIFS(Permissions!$AJ$2:$AJ$3000,Permissions!$B$2:$B$3000,$A123,Permissions!$R$2:$R$3000,"Yes")</f>
        <v>0</v>
      </c>
      <c r="AU123" s="26" t="n">
        <f aca="false">SUMIFS(Permissions!$AK$2:$AK$3000,Permissions!$B$2:$B$3000,$A123,Permissions!$R$2:$R$3000,"Yes")</f>
        <v>0</v>
      </c>
      <c r="AV123" s="26" t="n">
        <f aca="false">SUMIFS(Permissions!$AL$2:$AL$3000,Permissions!$B$2:$B$3000,$A123,Permissions!$R$2:$R$3000,"Yes")</f>
        <v>0</v>
      </c>
      <c r="AW123" s="26" t="n">
        <f aca="false">SUMIFS(Permissions!$AM$2:$AM$3000,Permissions!$B$2:$B$3000,$A123,Permissions!$R$2:$R$3000,"Yes")</f>
        <v>0</v>
      </c>
      <c r="AX123" s="26" t="n">
        <f aca="false">SUMIFS(Permissions!$AN$2:$AN$3000,Permissions!$B$2:$B$3000,$A123,Permissions!$R$2:$R$3000,"Yes")</f>
        <v>0</v>
      </c>
      <c r="AY123" s="26" t="n">
        <f aca="false">SUMIFS(Permissions!$AO$2:$AO$3000,Permissions!$B$2:$B$3000,$A123,Permissions!$R$2:$R$3000,"Yes")</f>
        <v>0</v>
      </c>
      <c r="AZ123" s="24" t="n">
        <f aca="false">COUNTIFS(Permissions!$B$2:$B$3000,$A123,Permissions!$R$2:$R$3000,"Yes")</f>
        <v>0</v>
      </c>
      <c r="BA123" s="24" t="n">
        <f aca="false">SUMIFS(Permissions!$M$2:$M$3000,Permissions!$B$2:$B$3000,$A123,Permissions!$R$2:$R$3000,"Yes")</f>
        <v>0</v>
      </c>
      <c r="BB123" s="24" t="n">
        <f aca="false">SUMIFS(Permissions!$O$2:$O$3000,Permissions!$B$2:$B$3000,$A123,Permissions!$R$2:$R$3000,"Yes")</f>
        <v>0</v>
      </c>
      <c r="BC123" s="27" t="str">
        <f aca="false">IF(AND(AM123&gt;0,AR123&gt;=AM123,AP123=0),"Finished",IF(AR123&gt;0,"Partly built",IF(AM123&gt;0,"Consented – not built","No consent")))</f>
        <v>No consent</v>
      </c>
      <c r="BD123" s="28" t="str">
        <f aca="false">IF(AND(R123&lt;&gt;"",AM123&gt;1.1*R123),"Consented above capacity",IF(AND(LEFT(B123,8)="Planning",AZ123=0),"Consent parcel with no permission",IF(COUNTIF($A$2:$A$3000,$A123)&gt;1,"Duplicate parcel_id","")))</f>
        <v/>
      </c>
    </row>
    <row r="124" customFormat="false" ht="15" hidden="false" customHeight="false" outlineLevel="0" collapsed="false">
      <c r="A124" s="15" t="s">
        <v>334</v>
      </c>
      <c r="B124" s="15" t="s">
        <v>10</v>
      </c>
      <c r="C124" s="15" t="s">
        <v>16</v>
      </c>
      <c r="D124" s="15" t="s">
        <v>58</v>
      </c>
      <c r="E124" s="15" t="s">
        <v>19</v>
      </c>
      <c r="F124" s="15" t="n">
        <v>1</v>
      </c>
      <c r="G124" s="15" t="s">
        <v>158</v>
      </c>
      <c r="H124" s="15" t="n">
        <v>121</v>
      </c>
      <c r="I124" s="15" t="s">
        <v>58</v>
      </c>
      <c r="J124" s="15" t="s">
        <v>211</v>
      </c>
      <c r="K124" s="15" t="s">
        <v>328</v>
      </c>
      <c r="L124" s="15" t="s">
        <v>160</v>
      </c>
      <c r="M124" s="15" t="s">
        <v>171</v>
      </c>
      <c r="N124" s="15" t="s">
        <v>172</v>
      </c>
      <c r="O124" s="15" t="s">
        <v>163</v>
      </c>
      <c r="P124" s="15" t="n">
        <v>0.563</v>
      </c>
      <c r="Q124" s="15" t="n">
        <v>0.563</v>
      </c>
      <c r="R124" s="15" t="n">
        <v>25</v>
      </c>
      <c r="S124" s="15" t="s">
        <v>164</v>
      </c>
      <c r="T124" s="15" t="n">
        <v>19</v>
      </c>
      <c r="U124" s="15"/>
      <c r="V124" s="15"/>
      <c r="W124" s="15"/>
      <c r="X124" s="15" t="s">
        <v>165</v>
      </c>
      <c r="Y124" s="15" t="n">
        <v>34</v>
      </c>
      <c r="Z124" s="15" t="s">
        <v>166</v>
      </c>
      <c r="AA124" s="15"/>
      <c r="AB124" s="15" t="n">
        <v>0</v>
      </c>
      <c r="AC124" s="15" t="n">
        <v>0</v>
      </c>
      <c r="AD124" s="15" t="s">
        <v>167</v>
      </c>
      <c r="AE124" s="15" t="s">
        <v>168</v>
      </c>
      <c r="AF124" s="15" t="s">
        <v>169</v>
      </c>
      <c r="AG124" s="15"/>
      <c r="AH124" s="24" t="n">
        <f aca="false">IF(R124="",AM124,R124)</f>
        <v>25</v>
      </c>
      <c r="AI124" s="24" t="n">
        <f aca="false">SUMIFS(Permissions!$G$2:$G$3000,Permissions!$B$2:$B$3000,$A124,Permissions!$I$2:$I$3000,"Complete",Permissions!$R$2:$R$3000,"Yes")</f>
        <v>0</v>
      </c>
      <c r="AJ124" s="24" t="n">
        <f aca="false">SUMIFS(Permissions!$G$2:$G$3000,Permissions!$B$2:$B$3000,$A124,Permissions!$I$2:$I$3000,"Under construction",Permissions!$R$2:$R$3000,"Yes")</f>
        <v>0</v>
      </c>
      <c r="AK124" s="24" t="n">
        <f aca="false">SUMIFS(Permissions!$G$2:$G$3000,Permissions!$B$2:$B$3000,$A124,Permissions!$I$2:$I$3000,"Permitted – not started",Permissions!$R$2:$R$3000,"Yes")</f>
        <v>0</v>
      </c>
      <c r="AL124" s="24" t="n">
        <f aca="false">SUMIFS(Permissions!$G$2:$G$3000,Permissions!$B$2:$B$3000,$A124,Permissions!$I$2:$I$3000,"Stalled",Permissions!$R$2:$R$3000,"Yes")</f>
        <v>0</v>
      </c>
      <c r="AM124" s="24" t="n">
        <f aca="false">AI124+AJ124+AK124+AL124</f>
        <v>0</v>
      </c>
      <c r="AN124" s="24" t="n">
        <f aca="false">SUMIFS(Permissions!$G$2:$G$3000,Permissions!$B$2:$B$3000,$A124,Permissions!$I$2:$I$3000,"Expired – not started",Permissions!$R$2:$R$3000,"Yes")</f>
        <v>0</v>
      </c>
      <c r="AO124" s="24" t="n">
        <f aca="false">SUMIFS(Permissions!$G$2:$G$3000,Permissions!$B$2:$B$3000,$A124,Permissions!$I$2:$I$3000,"In planning",Permissions!$R$2:$R$3000,"Yes")</f>
        <v>0</v>
      </c>
      <c r="AP124" s="24" t="n">
        <f aca="false">IF(R124="",0,MAX(R124-AM124,0))</f>
        <v>25</v>
      </c>
      <c r="AQ124" s="25" t="n">
        <f aca="false">AM124+AP124</f>
        <v>25</v>
      </c>
      <c r="AR124" s="24" t="n">
        <f aca="false">SUMIFS(Permissions!$L$2:$L$3000,Permissions!$B$2:$B$3000,$A124,Permissions!$R$2:$R$3000,"Yes",Permissions!$I$2:$I$3000,"&lt;&gt;Expired – not started",Permissions!$I$2:$I$3000,"&lt;&gt;In planning")</f>
        <v>0</v>
      </c>
      <c r="AS124" s="24" t="n">
        <f aca="false">AQ124-AR124</f>
        <v>25</v>
      </c>
      <c r="AT124" s="26" t="n">
        <f aca="false">SUMIFS(Permissions!$AJ$2:$AJ$3000,Permissions!$B$2:$B$3000,$A124,Permissions!$R$2:$R$3000,"Yes")</f>
        <v>0</v>
      </c>
      <c r="AU124" s="26" t="n">
        <f aca="false">SUMIFS(Permissions!$AK$2:$AK$3000,Permissions!$B$2:$B$3000,$A124,Permissions!$R$2:$R$3000,"Yes")</f>
        <v>0</v>
      </c>
      <c r="AV124" s="26" t="n">
        <f aca="false">SUMIFS(Permissions!$AL$2:$AL$3000,Permissions!$B$2:$B$3000,$A124,Permissions!$R$2:$R$3000,"Yes")</f>
        <v>0</v>
      </c>
      <c r="AW124" s="26" t="n">
        <f aca="false">SUMIFS(Permissions!$AM$2:$AM$3000,Permissions!$B$2:$B$3000,$A124,Permissions!$R$2:$R$3000,"Yes")</f>
        <v>0</v>
      </c>
      <c r="AX124" s="26" t="n">
        <f aca="false">SUMIFS(Permissions!$AN$2:$AN$3000,Permissions!$B$2:$B$3000,$A124,Permissions!$R$2:$R$3000,"Yes")</f>
        <v>0</v>
      </c>
      <c r="AY124" s="26" t="n">
        <f aca="false">SUMIFS(Permissions!$AO$2:$AO$3000,Permissions!$B$2:$B$3000,$A124,Permissions!$R$2:$R$3000,"Yes")</f>
        <v>0</v>
      </c>
      <c r="AZ124" s="24" t="n">
        <f aca="false">COUNTIFS(Permissions!$B$2:$B$3000,$A124,Permissions!$R$2:$R$3000,"Yes")</f>
        <v>0</v>
      </c>
      <c r="BA124" s="24" t="n">
        <f aca="false">SUMIFS(Permissions!$M$2:$M$3000,Permissions!$B$2:$B$3000,$A124,Permissions!$R$2:$R$3000,"Yes")</f>
        <v>0</v>
      </c>
      <c r="BB124" s="24" t="n">
        <f aca="false">SUMIFS(Permissions!$O$2:$O$3000,Permissions!$B$2:$B$3000,$A124,Permissions!$R$2:$R$3000,"Yes")</f>
        <v>0</v>
      </c>
      <c r="BC124" s="27" t="str">
        <f aca="false">IF(AND(AM124&gt;0,AR124&gt;=AM124,AP124=0),"Finished",IF(AR124&gt;0,"Partly built",IF(AM124&gt;0,"Consented – not built","No consent")))</f>
        <v>No consent</v>
      </c>
      <c r="BD124" s="28" t="str">
        <f aca="false">IF(AND(R124&lt;&gt;"",AM124&gt;1.1*R124),"Consented above capacity",IF(AND(LEFT(B124,8)="Planning",AZ124=0),"Consent parcel with no permission",IF(COUNTIF($A$2:$A$3000,$A124)&gt;1,"Duplicate parcel_id","")))</f>
        <v/>
      </c>
    </row>
    <row r="125" customFormat="false" ht="15" hidden="false" customHeight="false" outlineLevel="0" collapsed="false">
      <c r="A125" s="15" t="s">
        <v>335</v>
      </c>
      <c r="B125" s="15" t="s">
        <v>10</v>
      </c>
      <c r="C125" s="15" t="s">
        <v>16</v>
      </c>
      <c r="D125" s="15" t="s">
        <v>58</v>
      </c>
      <c r="E125" s="15" t="s">
        <v>19</v>
      </c>
      <c r="F125" s="15" t="n">
        <v>1</v>
      </c>
      <c r="G125" s="15" t="s">
        <v>158</v>
      </c>
      <c r="H125" s="15" t="n">
        <v>123</v>
      </c>
      <c r="I125" s="15" t="s">
        <v>58</v>
      </c>
      <c r="J125" s="15" t="s">
        <v>211</v>
      </c>
      <c r="K125" s="15" t="s">
        <v>328</v>
      </c>
      <c r="L125" s="15" t="s">
        <v>176</v>
      </c>
      <c r="M125" s="15" t="s">
        <v>161</v>
      </c>
      <c r="N125" s="15" t="s">
        <v>162</v>
      </c>
      <c r="O125" s="15" t="s">
        <v>336</v>
      </c>
      <c r="P125" s="15" t="n">
        <v>0.467</v>
      </c>
      <c r="Q125" s="15" t="n">
        <v>0.468</v>
      </c>
      <c r="R125" s="15" t="n">
        <v>21</v>
      </c>
      <c r="S125" s="15" t="s">
        <v>164</v>
      </c>
      <c r="T125" s="15" t="n">
        <v>16</v>
      </c>
      <c r="U125" s="15"/>
      <c r="V125" s="15"/>
      <c r="W125" s="15"/>
      <c r="X125" s="15" t="s">
        <v>165</v>
      </c>
      <c r="Y125" s="15" t="n">
        <v>34</v>
      </c>
      <c r="Z125" s="15" t="s">
        <v>166</v>
      </c>
      <c r="AA125" s="15"/>
      <c r="AB125" s="15" t="n">
        <v>0</v>
      </c>
      <c r="AC125" s="15" t="n">
        <v>0</v>
      </c>
      <c r="AD125" s="15" t="s">
        <v>167</v>
      </c>
      <c r="AE125" s="15" t="s">
        <v>168</v>
      </c>
      <c r="AF125" s="15" t="s">
        <v>169</v>
      </c>
      <c r="AG125" s="15"/>
      <c r="AH125" s="24" t="n">
        <f aca="false">IF(R125="",AM125,R125)</f>
        <v>21</v>
      </c>
      <c r="AI125" s="24" t="n">
        <f aca="false">SUMIFS(Permissions!$G$2:$G$3000,Permissions!$B$2:$B$3000,$A125,Permissions!$I$2:$I$3000,"Complete",Permissions!$R$2:$R$3000,"Yes")</f>
        <v>0</v>
      </c>
      <c r="AJ125" s="24" t="n">
        <f aca="false">SUMIFS(Permissions!$G$2:$G$3000,Permissions!$B$2:$B$3000,$A125,Permissions!$I$2:$I$3000,"Under construction",Permissions!$R$2:$R$3000,"Yes")</f>
        <v>0</v>
      </c>
      <c r="AK125" s="24" t="n">
        <f aca="false">SUMIFS(Permissions!$G$2:$G$3000,Permissions!$B$2:$B$3000,$A125,Permissions!$I$2:$I$3000,"Permitted – not started",Permissions!$R$2:$R$3000,"Yes")</f>
        <v>0</v>
      </c>
      <c r="AL125" s="24" t="n">
        <f aca="false">SUMIFS(Permissions!$G$2:$G$3000,Permissions!$B$2:$B$3000,$A125,Permissions!$I$2:$I$3000,"Stalled",Permissions!$R$2:$R$3000,"Yes")</f>
        <v>0</v>
      </c>
      <c r="AM125" s="24" t="n">
        <f aca="false">AI125+AJ125+AK125+AL125</f>
        <v>0</v>
      </c>
      <c r="AN125" s="24" t="n">
        <f aca="false">SUMIFS(Permissions!$G$2:$G$3000,Permissions!$B$2:$B$3000,$A125,Permissions!$I$2:$I$3000,"Expired – not started",Permissions!$R$2:$R$3000,"Yes")</f>
        <v>0</v>
      </c>
      <c r="AO125" s="24" t="n">
        <f aca="false">SUMIFS(Permissions!$G$2:$G$3000,Permissions!$B$2:$B$3000,$A125,Permissions!$I$2:$I$3000,"In planning",Permissions!$R$2:$R$3000,"Yes")</f>
        <v>0</v>
      </c>
      <c r="AP125" s="24" t="n">
        <f aca="false">IF(R125="",0,MAX(R125-AM125,0))</f>
        <v>21</v>
      </c>
      <c r="AQ125" s="25" t="n">
        <f aca="false">AM125+AP125</f>
        <v>21</v>
      </c>
      <c r="AR125" s="24" t="n">
        <f aca="false">SUMIFS(Permissions!$L$2:$L$3000,Permissions!$B$2:$B$3000,$A125,Permissions!$R$2:$R$3000,"Yes",Permissions!$I$2:$I$3000,"&lt;&gt;Expired – not started",Permissions!$I$2:$I$3000,"&lt;&gt;In planning")</f>
        <v>0</v>
      </c>
      <c r="AS125" s="24" t="n">
        <f aca="false">AQ125-AR125</f>
        <v>21</v>
      </c>
      <c r="AT125" s="26" t="n">
        <f aca="false">SUMIFS(Permissions!$AJ$2:$AJ$3000,Permissions!$B$2:$B$3000,$A125,Permissions!$R$2:$R$3000,"Yes")</f>
        <v>0</v>
      </c>
      <c r="AU125" s="26" t="n">
        <f aca="false">SUMIFS(Permissions!$AK$2:$AK$3000,Permissions!$B$2:$B$3000,$A125,Permissions!$R$2:$R$3000,"Yes")</f>
        <v>0</v>
      </c>
      <c r="AV125" s="26" t="n">
        <f aca="false">SUMIFS(Permissions!$AL$2:$AL$3000,Permissions!$B$2:$B$3000,$A125,Permissions!$R$2:$R$3000,"Yes")</f>
        <v>0</v>
      </c>
      <c r="AW125" s="26" t="n">
        <f aca="false">SUMIFS(Permissions!$AM$2:$AM$3000,Permissions!$B$2:$B$3000,$A125,Permissions!$R$2:$R$3000,"Yes")</f>
        <v>0</v>
      </c>
      <c r="AX125" s="26" t="n">
        <f aca="false">SUMIFS(Permissions!$AN$2:$AN$3000,Permissions!$B$2:$B$3000,$A125,Permissions!$R$2:$R$3000,"Yes")</f>
        <v>0</v>
      </c>
      <c r="AY125" s="26" t="n">
        <f aca="false">SUMIFS(Permissions!$AO$2:$AO$3000,Permissions!$B$2:$B$3000,$A125,Permissions!$R$2:$R$3000,"Yes")</f>
        <v>0</v>
      </c>
      <c r="AZ125" s="24" t="n">
        <f aca="false">COUNTIFS(Permissions!$B$2:$B$3000,$A125,Permissions!$R$2:$R$3000,"Yes")</f>
        <v>0</v>
      </c>
      <c r="BA125" s="24" t="n">
        <f aca="false">SUMIFS(Permissions!$M$2:$M$3000,Permissions!$B$2:$B$3000,$A125,Permissions!$R$2:$R$3000,"Yes")</f>
        <v>0</v>
      </c>
      <c r="BB125" s="24" t="n">
        <f aca="false">SUMIFS(Permissions!$O$2:$O$3000,Permissions!$B$2:$B$3000,$A125,Permissions!$R$2:$R$3000,"Yes")</f>
        <v>0</v>
      </c>
      <c r="BC125" s="27" t="str">
        <f aca="false">IF(AND(AM125&gt;0,AR125&gt;=AM125,AP125=0),"Finished",IF(AR125&gt;0,"Partly built",IF(AM125&gt;0,"Consented – not built","No consent")))</f>
        <v>No consent</v>
      </c>
      <c r="BD125" s="28" t="str">
        <f aca="false">IF(AND(R125&lt;&gt;"",AM125&gt;1.1*R125),"Consented above capacity",IF(AND(LEFT(B125,8)="Planning",AZ125=0),"Consent parcel with no permission",IF(COUNTIF($A$2:$A$3000,$A125)&gt;1,"Duplicate parcel_id","")))</f>
        <v/>
      </c>
    </row>
    <row r="126" customFormat="false" ht="15" hidden="false" customHeight="false" outlineLevel="0" collapsed="false">
      <c r="A126" s="15" t="s">
        <v>337</v>
      </c>
      <c r="B126" s="15" t="s">
        <v>10</v>
      </c>
      <c r="C126" s="15" t="s">
        <v>16</v>
      </c>
      <c r="D126" s="15" t="s">
        <v>58</v>
      </c>
      <c r="E126" s="15" t="s">
        <v>19</v>
      </c>
      <c r="F126" s="15" t="n">
        <v>1</v>
      </c>
      <c r="G126" s="15" t="s">
        <v>158</v>
      </c>
      <c r="H126" s="15" t="n">
        <v>124</v>
      </c>
      <c r="I126" s="15" t="s">
        <v>58</v>
      </c>
      <c r="J126" s="15" t="s">
        <v>211</v>
      </c>
      <c r="K126" s="15" t="s">
        <v>328</v>
      </c>
      <c r="L126" s="15" t="s">
        <v>160</v>
      </c>
      <c r="M126" s="15" t="s">
        <v>171</v>
      </c>
      <c r="N126" s="15" t="s">
        <v>172</v>
      </c>
      <c r="O126" s="15" t="s">
        <v>163</v>
      </c>
      <c r="P126" s="15" t="n">
        <v>0.139</v>
      </c>
      <c r="Q126" s="15" t="n">
        <v>0.139</v>
      </c>
      <c r="R126" s="15" t="n">
        <v>27</v>
      </c>
      <c r="S126" s="15" t="s">
        <v>164</v>
      </c>
      <c r="T126" s="15" t="n">
        <v>5</v>
      </c>
      <c r="U126" s="15"/>
      <c r="V126" s="15"/>
      <c r="W126" s="15"/>
      <c r="X126" s="15" t="s">
        <v>165</v>
      </c>
      <c r="Y126" s="15" t="n">
        <v>34</v>
      </c>
      <c r="Z126" s="15" t="s">
        <v>166</v>
      </c>
      <c r="AA126" s="15"/>
      <c r="AB126" s="15" t="n">
        <v>0</v>
      </c>
      <c r="AC126" s="15" t="n">
        <v>0</v>
      </c>
      <c r="AD126" s="15" t="s">
        <v>186</v>
      </c>
      <c r="AE126" s="15" t="s">
        <v>168</v>
      </c>
      <c r="AF126" s="15" t="s">
        <v>169</v>
      </c>
      <c r="AG126" s="15"/>
      <c r="AH126" s="24" t="n">
        <f aca="false">IF(R126="",AM126,R126)</f>
        <v>27</v>
      </c>
      <c r="AI126" s="24" t="n">
        <f aca="false">SUMIFS(Permissions!$G$2:$G$3000,Permissions!$B$2:$B$3000,$A126,Permissions!$I$2:$I$3000,"Complete",Permissions!$R$2:$R$3000,"Yes")</f>
        <v>0</v>
      </c>
      <c r="AJ126" s="24" t="n">
        <f aca="false">SUMIFS(Permissions!$G$2:$G$3000,Permissions!$B$2:$B$3000,$A126,Permissions!$I$2:$I$3000,"Under construction",Permissions!$R$2:$R$3000,"Yes")</f>
        <v>0</v>
      </c>
      <c r="AK126" s="24" t="n">
        <f aca="false">SUMIFS(Permissions!$G$2:$G$3000,Permissions!$B$2:$B$3000,$A126,Permissions!$I$2:$I$3000,"Permitted – not started",Permissions!$R$2:$R$3000,"Yes")</f>
        <v>0</v>
      </c>
      <c r="AL126" s="24" t="n">
        <f aca="false">SUMIFS(Permissions!$G$2:$G$3000,Permissions!$B$2:$B$3000,$A126,Permissions!$I$2:$I$3000,"Stalled",Permissions!$R$2:$R$3000,"Yes")</f>
        <v>0</v>
      </c>
      <c r="AM126" s="24" t="n">
        <f aca="false">AI126+AJ126+AK126+AL126</f>
        <v>0</v>
      </c>
      <c r="AN126" s="24" t="n">
        <f aca="false">SUMIFS(Permissions!$G$2:$G$3000,Permissions!$B$2:$B$3000,$A126,Permissions!$I$2:$I$3000,"Expired – not started",Permissions!$R$2:$R$3000,"Yes")</f>
        <v>0</v>
      </c>
      <c r="AO126" s="24" t="n">
        <f aca="false">SUMIFS(Permissions!$G$2:$G$3000,Permissions!$B$2:$B$3000,$A126,Permissions!$I$2:$I$3000,"In planning",Permissions!$R$2:$R$3000,"Yes")</f>
        <v>0</v>
      </c>
      <c r="AP126" s="24" t="n">
        <f aca="false">IF(R126="",0,MAX(R126-AM126,0))</f>
        <v>27</v>
      </c>
      <c r="AQ126" s="25" t="n">
        <f aca="false">AM126+AP126</f>
        <v>27</v>
      </c>
      <c r="AR126" s="24" t="n">
        <f aca="false">SUMIFS(Permissions!$L$2:$L$3000,Permissions!$B$2:$B$3000,$A126,Permissions!$R$2:$R$3000,"Yes",Permissions!$I$2:$I$3000,"&lt;&gt;Expired – not started",Permissions!$I$2:$I$3000,"&lt;&gt;In planning")</f>
        <v>0</v>
      </c>
      <c r="AS126" s="24" t="n">
        <f aca="false">AQ126-AR126</f>
        <v>27</v>
      </c>
      <c r="AT126" s="26" t="n">
        <f aca="false">SUMIFS(Permissions!$AJ$2:$AJ$3000,Permissions!$B$2:$B$3000,$A126,Permissions!$R$2:$R$3000,"Yes")</f>
        <v>0</v>
      </c>
      <c r="AU126" s="26" t="n">
        <f aca="false">SUMIFS(Permissions!$AK$2:$AK$3000,Permissions!$B$2:$B$3000,$A126,Permissions!$R$2:$R$3000,"Yes")</f>
        <v>0</v>
      </c>
      <c r="AV126" s="26" t="n">
        <f aca="false">SUMIFS(Permissions!$AL$2:$AL$3000,Permissions!$B$2:$B$3000,$A126,Permissions!$R$2:$R$3000,"Yes")</f>
        <v>0</v>
      </c>
      <c r="AW126" s="26" t="n">
        <f aca="false">SUMIFS(Permissions!$AM$2:$AM$3000,Permissions!$B$2:$B$3000,$A126,Permissions!$R$2:$R$3000,"Yes")</f>
        <v>0</v>
      </c>
      <c r="AX126" s="26" t="n">
        <f aca="false">SUMIFS(Permissions!$AN$2:$AN$3000,Permissions!$B$2:$B$3000,$A126,Permissions!$R$2:$R$3000,"Yes")</f>
        <v>0</v>
      </c>
      <c r="AY126" s="26" t="n">
        <f aca="false">SUMIFS(Permissions!$AO$2:$AO$3000,Permissions!$B$2:$B$3000,$A126,Permissions!$R$2:$R$3000,"Yes")</f>
        <v>0</v>
      </c>
      <c r="AZ126" s="24" t="n">
        <f aca="false">COUNTIFS(Permissions!$B$2:$B$3000,$A126,Permissions!$R$2:$R$3000,"Yes")</f>
        <v>0</v>
      </c>
      <c r="BA126" s="24" t="n">
        <f aca="false">SUMIFS(Permissions!$M$2:$M$3000,Permissions!$B$2:$B$3000,$A126,Permissions!$R$2:$R$3000,"Yes")</f>
        <v>0</v>
      </c>
      <c r="BB126" s="24" t="n">
        <f aca="false">SUMIFS(Permissions!$O$2:$O$3000,Permissions!$B$2:$B$3000,$A126,Permissions!$R$2:$R$3000,"Yes")</f>
        <v>0</v>
      </c>
      <c r="BC126" s="27" t="str">
        <f aca="false">IF(AND(AM126&gt;0,AR126&gt;=AM126,AP126=0),"Finished",IF(AR126&gt;0,"Partly built",IF(AM126&gt;0,"Consented – not built","No consent")))</f>
        <v>No consent</v>
      </c>
      <c r="BD126" s="28" t="str">
        <f aca="false">IF(AND(R126&lt;&gt;"",AM126&gt;1.1*R126),"Consented above capacity",IF(AND(LEFT(B126,8)="Planning",AZ126=0),"Consent parcel with no permission",IF(COUNTIF($A$2:$A$3000,$A126)&gt;1,"Duplicate parcel_id","")))</f>
        <v/>
      </c>
    </row>
    <row r="127" customFormat="false" ht="15" hidden="false" customHeight="false" outlineLevel="0" collapsed="false">
      <c r="A127" s="15" t="s">
        <v>338</v>
      </c>
      <c r="B127" s="15" t="s">
        <v>10</v>
      </c>
      <c r="C127" s="15" t="s">
        <v>16</v>
      </c>
      <c r="D127" s="15" t="s">
        <v>58</v>
      </c>
      <c r="E127" s="15" t="s">
        <v>19</v>
      </c>
      <c r="F127" s="15" t="n">
        <v>1</v>
      </c>
      <c r="G127" s="15" t="s">
        <v>158</v>
      </c>
      <c r="H127" s="15" t="n">
        <v>125</v>
      </c>
      <c r="I127" s="15" t="s">
        <v>58</v>
      </c>
      <c r="J127" s="15" t="s">
        <v>211</v>
      </c>
      <c r="K127" s="15" t="s">
        <v>328</v>
      </c>
      <c r="L127" s="15" t="s">
        <v>160</v>
      </c>
      <c r="M127" s="15" t="s">
        <v>171</v>
      </c>
      <c r="N127" s="15" t="s">
        <v>172</v>
      </c>
      <c r="O127" s="15" t="s">
        <v>163</v>
      </c>
      <c r="P127" s="15" t="n">
        <v>1.413</v>
      </c>
      <c r="Q127" s="15" t="n">
        <v>1.413</v>
      </c>
      <c r="R127" s="15" t="n">
        <v>64</v>
      </c>
      <c r="S127" s="15" t="s">
        <v>164</v>
      </c>
      <c r="T127" s="15" t="n">
        <v>48</v>
      </c>
      <c r="U127" s="15"/>
      <c r="V127" s="15"/>
      <c r="W127" s="15"/>
      <c r="X127" s="15" t="s">
        <v>165</v>
      </c>
      <c r="Y127" s="15" t="n">
        <v>34</v>
      </c>
      <c r="Z127" s="15" t="s">
        <v>166</v>
      </c>
      <c r="AA127" s="15"/>
      <c r="AB127" s="15" t="n">
        <v>0</v>
      </c>
      <c r="AC127" s="15" t="n">
        <v>0</v>
      </c>
      <c r="AD127" s="15" t="s">
        <v>167</v>
      </c>
      <c r="AE127" s="15" t="s">
        <v>168</v>
      </c>
      <c r="AF127" s="15" t="s">
        <v>169</v>
      </c>
      <c r="AG127" s="15"/>
      <c r="AH127" s="24" t="n">
        <f aca="false">IF(R127="",AM127,R127)</f>
        <v>64</v>
      </c>
      <c r="AI127" s="24" t="n">
        <f aca="false">SUMIFS(Permissions!$G$2:$G$3000,Permissions!$B$2:$B$3000,$A127,Permissions!$I$2:$I$3000,"Complete",Permissions!$R$2:$R$3000,"Yes")</f>
        <v>0</v>
      </c>
      <c r="AJ127" s="24" t="n">
        <f aca="false">SUMIFS(Permissions!$G$2:$G$3000,Permissions!$B$2:$B$3000,$A127,Permissions!$I$2:$I$3000,"Under construction",Permissions!$R$2:$R$3000,"Yes")</f>
        <v>0</v>
      </c>
      <c r="AK127" s="24" t="n">
        <f aca="false">SUMIFS(Permissions!$G$2:$G$3000,Permissions!$B$2:$B$3000,$A127,Permissions!$I$2:$I$3000,"Permitted – not started",Permissions!$R$2:$R$3000,"Yes")</f>
        <v>0</v>
      </c>
      <c r="AL127" s="24" t="n">
        <f aca="false">SUMIFS(Permissions!$G$2:$G$3000,Permissions!$B$2:$B$3000,$A127,Permissions!$I$2:$I$3000,"Stalled",Permissions!$R$2:$R$3000,"Yes")</f>
        <v>0</v>
      </c>
      <c r="AM127" s="24" t="n">
        <f aca="false">AI127+AJ127+AK127+AL127</f>
        <v>0</v>
      </c>
      <c r="AN127" s="24" t="n">
        <f aca="false">SUMIFS(Permissions!$G$2:$G$3000,Permissions!$B$2:$B$3000,$A127,Permissions!$I$2:$I$3000,"Expired – not started",Permissions!$R$2:$R$3000,"Yes")</f>
        <v>0</v>
      </c>
      <c r="AO127" s="24" t="n">
        <f aca="false">SUMIFS(Permissions!$G$2:$G$3000,Permissions!$B$2:$B$3000,$A127,Permissions!$I$2:$I$3000,"In planning",Permissions!$R$2:$R$3000,"Yes")</f>
        <v>0</v>
      </c>
      <c r="AP127" s="24" t="n">
        <f aca="false">IF(R127="",0,MAX(R127-AM127,0))</f>
        <v>64</v>
      </c>
      <c r="AQ127" s="25" t="n">
        <f aca="false">AM127+AP127</f>
        <v>64</v>
      </c>
      <c r="AR127" s="24" t="n">
        <f aca="false">SUMIFS(Permissions!$L$2:$L$3000,Permissions!$B$2:$B$3000,$A127,Permissions!$R$2:$R$3000,"Yes",Permissions!$I$2:$I$3000,"&lt;&gt;Expired – not started",Permissions!$I$2:$I$3000,"&lt;&gt;In planning")</f>
        <v>0</v>
      </c>
      <c r="AS127" s="24" t="n">
        <f aca="false">AQ127-AR127</f>
        <v>64</v>
      </c>
      <c r="AT127" s="26" t="n">
        <f aca="false">SUMIFS(Permissions!$AJ$2:$AJ$3000,Permissions!$B$2:$B$3000,$A127,Permissions!$R$2:$R$3000,"Yes")</f>
        <v>0</v>
      </c>
      <c r="AU127" s="26" t="n">
        <f aca="false">SUMIFS(Permissions!$AK$2:$AK$3000,Permissions!$B$2:$B$3000,$A127,Permissions!$R$2:$R$3000,"Yes")</f>
        <v>0</v>
      </c>
      <c r="AV127" s="26" t="n">
        <f aca="false">SUMIFS(Permissions!$AL$2:$AL$3000,Permissions!$B$2:$B$3000,$A127,Permissions!$R$2:$R$3000,"Yes")</f>
        <v>0</v>
      </c>
      <c r="AW127" s="26" t="n">
        <f aca="false">SUMIFS(Permissions!$AM$2:$AM$3000,Permissions!$B$2:$B$3000,$A127,Permissions!$R$2:$R$3000,"Yes")</f>
        <v>0</v>
      </c>
      <c r="AX127" s="26" t="n">
        <f aca="false">SUMIFS(Permissions!$AN$2:$AN$3000,Permissions!$B$2:$B$3000,$A127,Permissions!$R$2:$R$3000,"Yes")</f>
        <v>0</v>
      </c>
      <c r="AY127" s="26" t="n">
        <f aca="false">SUMIFS(Permissions!$AO$2:$AO$3000,Permissions!$B$2:$B$3000,$A127,Permissions!$R$2:$R$3000,"Yes")</f>
        <v>0</v>
      </c>
      <c r="AZ127" s="24" t="n">
        <f aca="false">COUNTIFS(Permissions!$B$2:$B$3000,$A127,Permissions!$R$2:$R$3000,"Yes")</f>
        <v>0</v>
      </c>
      <c r="BA127" s="24" t="n">
        <f aca="false">SUMIFS(Permissions!$M$2:$M$3000,Permissions!$B$2:$B$3000,$A127,Permissions!$R$2:$R$3000,"Yes")</f>
        <v>0</v>
      </c>
      <c r="BB127" s="24" t="n">
        <f aca="false">SUMIFS(Permissions!$O$2:$O$3000,Permissions!$B$2:$B$3000,$A127,Permissions!$R$2:$R$3000,"Yes")</f>
        <v>0</v>
      </c>
      <c r="BC127" s="27" t="str">
        <f aca="false">IF(AND(AM127&gt;0,AR127&gt;=AM127,AP127=0),"Finished",IF(AR127&gt;0,"Partly built",IF(AM127&gt;0,"Consented – not built","No consent")))</f>
        <v>No consent</v>
      </c>
      <c r="BD127" s="28" t="str">
        <f aca="false">IF(AND(R127&lt;&gt;"",AM127&gt;1.1*R127),"Consented above capacity",IF(AND(LEFT(B127,8)="Planning",AZ127=0),"Consent parcel with no permission",IF(COUNTIF($A$2:$A$3000,$A127)&gt;1,"Duplicate parcel_id","")))</f>
        <v/>
      </c>
    </row>
    <row r="128" customFormat="false" ht="15" hidden="false" customHeight="false" outlineLevel="0" collapsed="false">
      <c r="A128" s="15" t="s">
        <v>339</v>
      </c>
      <c r="B128" s="15" t="s">
        <v>10</v>
      </c>
      <c r="C128" s="15" t="s">
        <v>16</v>
      </c>
      <c r="D128" s="15" t="s">
        <v>58</v>
      </c>
      <c r="E128" s="15" t="s">
        <v>19</v>
      </c>
      <c r="F128" s="15" t="n">
        <v>1</v>
      </c>
      <c r="G128" s="15" t="s">
        <v>158</v>
      </c>
      <c r="H128" s="15" t="n">
        <v>127</v>
      </c>
      <c r="I128" s="15" t="s">
        <v>58</v>
      </c>
      <c r="J128" s="15" t="s">
        <v>211</v>
      </c>
      <c r="K128" s="15" t="s">
        <v>328</v>
      </c>
      <c r="L128" s="15" t="s">
        <v>160</v>
      </c>
      <c r="M128" s="15" t="s">
        <v>171</v>
      </c>
      <c r="N128" s="15" t="s">
        <v>172</v>
      </c>
      <c r="O128" s="15" t="s">
        <v>163</v>
      </c>
      <c r="P128" s="15" t="n">
        <v>0.508</v>
      </c>
      <c r="Q128" s="15" t="n">
        <v>0.508</v>
      </c>
      <c r="R128" s="15" t="n">
        <v>23</v>
      </c>
      <c r="S128" s="15" t="s">
        <v>164</v>
      </c>
      <c r="T128" s="15" t="n">
        <v>17</v>
      </c>
      <c r="U128" s="15"/>
      <c r="V128" s="15"/>
      <c r="W128" s="15"/>
      <c r="X128" s="15" t="s">
        <v>165</v>
      </c>
      <c r="Y128" s="15" t="n">
        <v>34</v>
      </c>
      <c r="Z128" s="15" t="s">
        <v>166</v>
      </c>
      <c r="AA128" s="15"/>
      <c r="AB128" s="15" t="n">
        <v>0</v>
      </c>
      <c r="AC128" s="15" t="n">
        <v>0</v>
      </c>
      <c r="AD128" s="15" t="s">
        <v>167</v>
      </c>
      <c r="AE128" s="15" t="s">
        <v>168</v>
      </c>
      <c r="AF128" s="15" t="s">
        <v>169</v>
      </c>
      <c r="AG128" s="15"/>
      <c r="AH128" s="24" t="n">
        <f aca="false">IF(R128="",AM128,R128)</f>
        <v>23</v>
      </c>
      <c r="AI128" s="24" t="n">
        <f aca="false">SUMIFS(Permissions!$G$2:$G$3000,Permissions!$B$2:$B$3000,$A128,Permissions!$I$2:$I$3000,"Complete",Permissions!$R$2:$R$3000,"Yes")</f>
        <v>0</v>
      </c>
      <c r="AJ128" s="24" t="n">
        <f aca="false">SUMIFS(Permissions!$G$2:$G$3000,Permissions!$B$2:$B$3000,$A128,Permissions!$I$2:$I$3000,"Under construction",Permissions!$R$2:$R$3000,"Yes")</f>
        <v>0</v>
      </c>
      <c r="AK128" s="24" t="n">
        <f aca="false">SUMIFS(Permissions!$G$2:$G$3000,Permissions!$B$2:$B$3000,$A128,Permissions!$I$2:$I$3000,"Permitted – not started",Permissions!$R$2:$R$3000,"Yes")</f>
        <v>0</v>
      </c>
      <c r="AL128" s="24" t="n">
        <f aca="false">SUMIFS(Permissions!$G$2:$G$3000,Permissions!$B$2:$B$3000,$A128,Permissions!$I$2:$I$3000,"Stalled",Permissions!$R$2:$R$3000,"Yes")</f>
        <v>0</v>
      </c>
      <c r="AM128" s="24" t="n">
        <f aca="false">AI128+AJ128+AK128+AL128</f>
        <v>0</v>
      </c>
      <c r="AN128" s="24" t="n">
        <f aca="false">SUMIFS(Permissions!$G$2:$G$3000,Permissions!$B$2:$B$3000,$A128,Permissions!$I$2:$I$3000,"Expired – not started",Permissions!$R$2:$R$3000,"Yes")</f>
        <v>0</v>
      </c>
      <c r="AO128" s="24" t="n">
        <f aca="false">SUMIFS(Permissions!$G$2:$G$3000,Permissions!$B$2:$B$3000,$A128,Permissions!$I$2:$I$3000,"In planning",Permissions!$R$2:$R$3000,"Yes")</f>
        <v>0</v>
      </c>
      <c r="AP128" s="24" t="n">
        <f aca="false">IF(R128="",0,MAX(R128-AM128,0))</f>
        <v>23</v>
      </c>
      <c r="AQ128" s="25" t="n">
        <f aca="false">AM128+AP128</f>
        <v>23</v>
      </c>
      <c r="AR128" s="24" t="n">
        <f aca="false">SUMIFS(Permissions!$L$2:$L$3000,Permissions!$B$2:$B$3000,$A128,Permissions!$R$2:$R$3000,"Yes",Permissions!$I$2:$I$3000,"&lt;&gt;Expired – not started",Permissions!$I$2:$I$3000,"&lt;&gt;In planning")</f>
        <v>0</v>
      </c>
      <c r="AS128" s="24" t="n">
        <f aca="false">AQ128-AR128</f>
        <v>23</v>
      </c>
      <c r="AT128" s="26" t="n">
        <f aca="false">SUMIFS(Permissions!$AJ$2:$AJ$3000,Permissions!$B$2:$B$3000,$A128,Permissions!$R$2:$R$3000,"Yes")</f>
        <v>0</v>
      </c>
      <c r="AU128" s="26" t="n">
        <f aca="false">SUMIFS(Permissions!$AK$2:$AK$3000,Permissions!$B$2:$B$3000,$A128,Permissions!$R$2:$R$3000,"Yes")</f>
        <v>0</v>
      </c>
      <c r="AV128" s="26" t="n">
        <f aca="false">SUMIFS(Permissions!$AL$2:$AL$3000,Permissions!$B$2:$B$3000,$A128,Permissions!$R$2:$R$3000,"Yes")</f>
        <v>0</v>
      </c>
      <c r="AW128" s="26" t="n">
        <f aca="false">SUMIFS(Permissions!$AM$2:$AM$3000,Permissions!$B$2:$B$3000,$A128,Permissions!$R$2:$R$3000,"Yes")</f>
        <v>0</v>
      </c>
      <c r="AX128" s="26" t="n">
        <f aca="false">SUMIFS(Permissions!$AN$2:$AN$3000,Permissions!$B$2:$B$3000,$A128,Permissions!$R$2:$R$3000,"Yes")</f>
        <v>0</v>
      </c>
      <c r="AY128" s="26" t="n">
        <f aca="false">SUMIFS(Permissions!$AO$2:$AO$3000,Permissions!$B$2:$B$3000,$A128,Permissions!$R$2:$R$3000,"Yes")</f>
        <v>0</v>
      </c>
      <c r="AZ128" s="24" t="n">
        <f aca="false">COUNTIFS(Permissions!$B$2:$B$3000,$A128,Permissions!$R$2:$R$3000,"Yes")</f>
        <v>0</v>
      </c>
      <c r="BA128" s="24" t="n">
        <f aca="false">SUMIFS(Permissions!$M$2:$M$3000,Permissions!$B$2:$B$3000,$A128,Permissions!$R$2:$R$3000,"Yes")</f>
        <v>0</v>
      </c>
      <c r="BB128" s="24" t="n">
        <f aca="false">SUMIFS(Permissions!$O$2:$O$3000,Permissions!$B$2:$B$3000,$A128,Permissions!$R$2:$R$3000,"Yes")</f>
        <v>0</v>
      </c>
      <c r="BC128" s="27" t="str">
        <f aca="false">IF(AND(AM128&gt;0,AR128&gt;=AM128,AP128=0),"Finished",IF(AR128&gt;0,"Partly built",IF(AM128&gt;0,"Consented – not built","No consent")))</f>
        <v>No consent</v>
      </c>
      <c r="BD128" s="28" t="str">
        <f aca="false">IF(AND(R128&lt;&gt;"",AM128&gt;1.1*R128),"Consented above capacity",IF(AND(LEFT(B128,8)="Planning",AZ128=0),"Consent parcel with no permission",IF(COUNTIF($A$2:$A$3000,$A128)&gt;1,"Duplicate parcel_id","")))</f>
        <v/>
      </c>
    </row>
    <row r="129" customFormat="false" ht="15" hidden="false" customHeight="false" outlineLevel="0" collapsed="false">
      <c r="A129" s="15" t="s">
        <v>340</v>
      </c>
      <c r="B129" s="15" t="s">
        <v>10</v>
      </c>
      <c r="C129" s="15" t="s">
        <v>16</v>
      </c>
      <c r="D129" s="15" t="s">
        <v>58</v>
      </c>
      <c r="E129" s="15" t="s">
        <v>19</v>
      </c>
      <c r="F129" s="15" t="n">
        <v>1</v>
      </c>
      <c r="G129" s="15" t="s">
        <v>158</v>
      </c>
      <c r="H129" s="15" t="n">
        <v>128</v>
      </c>
      <c r="I129" s="15" t="s">
        <v>58</v>
      </c>
      <c r="J129" s="15" t="s">
        <v>211</v>
      </c>
      <c r="K129" s="15" t="s">
        <v>328</v>
      </c>
      <c r="L129" s="15" t="s">
        <v>189</v>
      </c>
      <c r="M129" s="15" t="s">
        <v>161</v>
      </c>
      <c r="N129" s="15" t="s">
        <v>172</v>
      </c>
      <c r="O129" s="15" t="s">
        <v>163</v>
      </c>
      <c r="P129" s="15" t="n">
        <v>4.753</v>
      </c>
      <c r="Q129" s="15" t="n">
        <v>4.751</v>
      </c>
      <c r="R129" s="15" t="n">
        <v>214</v>
      </c>
      <c r="S129" s="15" t="s">
        <v>164</v>
      </c>
      <c r="T129" s="15" t="n">
        <v>162</v>
      </c>
      <c r="U129" s="15"/>
      <c r="V129" s="15"/>
      <c r="W129" s="15"/>
      <c r="X129" s="15" t="s">
        <v>165</v>
      </c>
      <c r="Y129" s="15" t="n">
        <v>34</v>
      </c>
      <c r="Z129" s="15" t="s">
        <v>166</v>
      </c>
      <c r="AA129" s="15"/>
      <c r="AB129" s="15" t="n">
        <v>4</v>
      </c>
      <c r="AC129" s="15" t="n">
        <v>0</v>
      </c>
      <c r="AD129" s="15" t="s">
        <v>167</v>
      </c>
      <c r="AE129" s="15" t="s">
        <v>168</v>
      </c>
      <c r="AF129" s="15" t="s">
        <v>169</v>
      </c>
      <c r="AG129" s="15"/>
      <c r="AH129" s="24" t="n">
        <f aca="false">IF(R129="",AM129,R129)</f>
        <v>214</v>
      </c>
      <c r="AI129" s="24" t="n">
        <f aca="false">SUMIFS(Permissions!$G$2:$G$3000,Permissions!$B$2:$B$3000,$A129,Permissions!$I$2:$I$3000,"Complete",Permissions!$R$2:$R$3000,"Yes")</f>
        <v>0</v>
      </c>
      <c r="AJ129" s="24" t="n">
        <f aca="false">SUMIFS(Permissions!$G$2:$G$3000,Permissions!$B$2:$B$3000,$A129,Permissions!$I$2:$I$3000,"Under construction",Permissions!$R$2:$R$3000,"Yes")</f>
        <v>0</v>
      </c>
      <c r="AK129" s="24" t="n">
        <f aca="false">SUMIFS(Permissions!$G$2:$G$3000,Permissions!$B$2:$B$3000,$A129,Permissions!$I$2:$I$3000,"Permitted – not started",Permissions!$R$2:$R$3000,"Yes")</f>
        <v>0</v>
      </c>
      <c r="AL129" s="24" t="n">
        <f aca="false">SUMIFS(Permissions!$G$2:$G$3000,Permissions!$B$2:$B$3000,$A129,Permissions!$I$2:$I$3000,"Stalled",Permissions!$R$2:$R$3000,"Yes")</f>
        <v>0</v>
      </c>
      <c r="AM129" s="24" t="n">
        <f aca="false">AI129+AJ129+AK129+AL129</f>
        <v>0</v>
      </c>
      <c r="AN129" s="24" t="n">
        <f aca="false">SUMIFS(Permissions!$G$2:$G$3000,Permissions!$B$2:$B$3000,$A129,Permissions!$I$2:$I$3000,"Expired – not started",Permissions!$R$2:$R$3000,"Yes")</f>
        <v>0</v>
      </c>
      <c r="AO129" s="24" t="n">
        <f aca="false">SUMIFS(Permissions!$G$2:$G$3000,Permissions!$B$2:$B$3000,$A129,Permissions!$I$2:$I$3000,"In planning",Permissions!$R$2:$R$3000,"Yes")</f>
        <v>57</v>
      </c>
      <c r="AP129" s="24" t="n">
        <f aca="false">IF(R129="",0,MAX(R129-AM129,0))</f>
        <v>214</v>
      </c>
      <c r="AQ129" s="25" t="n">
        <f aca="false">AM129+AP129</f>
        <v>214</v>
      </c>
      <c r="AR129" s="24" t="n">
        <f aca="false">SUMIFS(Permissions!$L$2:$L$3000,Permissions!$B$2:$B$3000,$A129,Permissions!$R$2:$R$3000,"Yes",Permissions!$I$2:$I$3000,"&lt;&gt;Expired – not started",Permissions!$I$2:$I$3000,"&lt;&gt;In planning")</f>
        <v>0</v>
      </c>
      <c r="AS129" s="24" t="n">
        <f aca="false">AQ129-AR129</f>
        <v>214</v>
      </c>
      <c r="AT129" s="26" t="n">
        <f aca="false">SUMIFS(Permissions!$AJ$2:$AJ$3000,Permissions!$B$2:$B$3000,$A129,Permissions!$R$2:$R$3000,"Yes")</f>
        <v>0</v>
      </c>
      <c r="AU129" s="26" t="n">
        <f aca="false">SUMIFS(Permissions!$AK$2:$AK$3000,Permissions!$B$2:$B$3000,$A129,Permissions!$R$2:$R$3000,"Yes")</f>
        <v>0</v>
      </c>
      <c r="AV129" s="26" t="n">
        <f aca="false">SUMIFS(Permissions!$AL$2:$AL$3000,Permissions!$B$2:$B$3000,$A129,Permissions!$R$2:$R$3000,"Yes")</f>
        <v>0</v>
      </c>
      <c r="AW129" s="26" t="n">
        <f aca="false">SUMIFS(Permissions!$AM$2:$AM$3000,Permissions!$B$2:$B$3000,$A129,Permissions!$R$2:$R$3000,"Yes")</f>
        <v>0</v>
      </c>
      <c r="AX129" s="26" t="n">
        <f aca="false">SUMIFS(Permissions!$AN$2:$AN$3000,Permissions!$B$2:$B$3000,$A129,Permissions!$R$2:$R$3000,"Yes")</f>
        <v>0</v>
      </c>
      <c r="AY129" s="26" t="n">
        <f aca="false">SUMIFS(Permissions!$AO$2:$AO$3000,Permissions!$B$2:$B$3000,$A129,Permissions!$R$2:$R$3000,"Yes")</f>
        <v>0</v>
      </c>
      <c r="AZ129" s="24" t="n">
        <f aca="false">COUNTIFS(Permissions!$B$2:$B$3000,$A129,Permissions!$R$2:$R$3000,"Yes")</f>
        <v>1</v>
      </c>
      <c r="BA129" s="24" t="n">
        <f aca="false">SUMIFS(Permissions!$M$2:$M$3000,Permissions!$B$2:$B$3000,$A129,Permissions!$R$2:$R$3000,"Yes")</f>
        <v>0</v>
      </c>
      <c r="BB129" s="24" t="n">
        <f aca="false">SUMIFS(Permissions!$O$2:$O$3000,Permissions!$B$2:$B$3000,$A129,Permissions!$R$2:$R$3000,"Yes")</f>
        <v>0</v>
      </c>
      <c r="BC129" s="27" t="str">
        <f aca="false">IF(AND(AM129&gt;0,AR129&gt;=AM129,AP129=0),"Finished",IF(AR129&gt;0,"Partly built",IF(AM129&gt;0,"Consented – not built","No consent")))</f>
        <v>No consent</v>
      </c>
      <c r="BD129" s="28" t="str">
        <f aca="false">IF(AND(R129&lt;&gt;"",AM129&gt;1.1*R129),"Consented above capacity",IF(AND(LEFT(B129,8)="Planning",AZ129=0),"Consent parcel with no permission",IF(COUNTIF($A$2:$A$3000,$A129)&gt;1,"Duplicate parcel_id","")))</f>
        <v/>
      </c>
    </row>
    <row r="130" customFormat="false" ht="15" hidden="false" customHeight="false" outlineLevel="0" collapsed="false">
      <c r="A130" s="15" t="s">
        <v>341</v>
      </c>
      <c r="B130" s="15" t="s">
        <v>10</v>
      </c>
      <c r="C130" s="15" t="s">
        <v>16</v>
      </c>
      <c r="D130" s="15" t="s">
        <v>58</v>
      </c>
      <c r="E130" s="15" t="s">
        <v>19</v>
      </c>
      <c r="F130" s="15" t="n">
        <v>0.67</v>
      </c>
      <c r="G130" s="15" t="s">
        <v>158</v>
      </c>
      <c r="H130" s="15" t="n">
        <v>158</v>
      </c>
      <c r="I130" s="15" t="s">
        <v>58</v>
      </c>
      <c r="J130" s="15" t="s">
        <v>182</v>
      </c>
      <c r="K130" s="15" t="s">
        <v>302</v>
      </c>
      <c r="L130" s="15" t="s">
        <v>176</v>
      </c>
      <c r="M130" s="15" t="s">
        <v>161</v>
      </c>
      <c r="N130" s="15" t="s">
        <v>172</v>
      </c>
      <c r="O130" s="15" t="s">
        <v>163</v>
      </c>
      <c r="P130" s="15" t="n">
        <v>0.938</v>
      </c>
      <c r="Q130" s="15" t="n">
        <v>0.938</v>
      </c>
      <c r="R130" s="15" t="n">
        <v>42</v>
      </c>
      <c r="S130" s="15" t="s">
        <v>164</v>
      </c>
      <c r="T130" s="15" t="n">
        <v>32</v>
      </c>
      <c r="U130" s="15"/>
      <c r="V130" s="15"/>
      <c r="W130" s="15"/>
      <c r="X130" s="15" t="s">
        <v>165</v>
      </c>
      <c r="Y130" s="15" t="n">
        <v>34</v>
      </c>
      <c r="Z130" s="15" t="s">
        <v>166</v>
      </c>
      <c r="AA130" s="15"/>
      <c r="AB130" s="15" t="n">
        <v>0</v>
      </c>
      <c r="AC130" s="15" t="n">
        <v>0</v>
      </c>
      <c r="AD130" s="15" t="s">
        <v>167</v>
      </c>
      <c r="AE130" s="15" t="s">
        <v>168</v>
      </c>
      <c r="AF130" s="15" t="s">
        <v>169</v>
      </c>
      <c r="AG130" s="15"/>
      <c r="AH130" s="24" t="n">
        <f aca="false">IF(R130="",AM130,R130)</f>
        <v>42</v>
      </c>
      <c r="AI130" s="24" t="n">
        <f aca="false">SUMIFS(Permissions!$G$2:$G$3000,Permissions!$B$2:$B$3000,$A130,Permissions!$I$2:$I$3000,"Complete",Permissions!$R$2:$R$3000,"Yes")</f>
        <v>0</v>
      </c>
      <c r="AJ130" s="24" t="n">
        <f aca="false">SUMIFS(Permissions!$G$2:$G$3000,Permissions!$B$2:$B$3000,$A130,Permissions!$I$2:$I$3000,"Under construction",Permissions!$R$2:$R$3000,"Yes")</f>
        <v>0</v>
      </c>
      <c r="AK130" s="24" t="n">
        <f aca="false">SUMIFS(Permissions!$G$2:$G$3000,Permissions!$B$2:$B$3000,$A130,Permissions!$I$2:$I$3000,"Permitted – not started",Permissions!$R$2:$R$3000,"Yes")</f>
        <v>0</v>
      </c>
      <c r="AL130" s="24" t="n">
        <f aca="false">SUMIFS(Permissions!$G$2:$G$3000,Permissions!$B$2:$B$3000,$A130,Permissions!$I$2:$I$3000,"Stalled",Permissions!$R$2:$R$3000,"Yes")</f>
        <v>0</v>
      </c>
      <c r="AM130" s="24" t="n">
        <f aca="false">AI130+AJ130+AK130+AL130</f>
        <v>0</v>
      </c>
      <c r="AN130" s="24" t="n">
        <f aca="false">SUMIFS(Permissions!$G$2:$G$3000,Permissions!$B$2:$B$3000,$A130,Permissions!$I$2:$I$3000,"Expired – not started",Permissions!$R$2:$R$3000,"Yes")</f>
        <v>0</v>
      </c>
      <c r="AO130" s="24" t="n">
        <f aca="false">SUMIFS(Permissions!$G$2:$G$3000,Permissions!$B$2:$B$3000,$A130,Permissions!$I$2:$I$3000,"In planning",Permissions!$R$2:$R$3000,"Yes")</f>
        <v>0</v>
      </c>
      <c r="AP130" s="24" t="n">
        <f aca="false">IF(R130="",0,MAX(R130-AM130,0))</f>
        <v>42</v>
      </c>
      <c r="AQ130" s="25" t="n">
        <f aca="false">AM130+AP130</f>
        <v>42</v>
      </c>
      <c r="AR130" s="24" t="n">
        <f aca="false">SUMIFS(Permissions!$L$2:$L$3000,Permissions!$B$2:$B$3000,$A130,Permissions!$R$2:$R$3000,"Yes",Permissions!$I$2:$I$3000,"&lt;&gt;Expired – not started",Permissions!$I$2:$I$3000,"&lt;&gt;In planning")</f>
        <v>0</v>
      </c>
      <c r="AS130" s="24" t="n">
        <f aca="false">AQ130-AR130</f>
        <v>42</v>
      </c>
      <c r="AT130" s="26" t="n">
        <f aca="false">SUMIFS(Permissions!$AJ$2:$AJ$3000,Permissions!$B$2:$B$3000,$A130,Permissions!$R$2:$R$3000,"Yes")</f>
        <v>0</v>
      </c>
      <c r="AU130" s="26" t="n">
        <f aca="false">SUMIFS(Permissions!$AK$2:$AK$3000,Permissions!$B$2:$B$3000,$A130,Permissions!$R$2:$R$3000,"Yes")</f>
        <v>0</v>
      </c>
      <c r="AV130" s="26" t="n">
        <f aca="false">SUMIFS(Permissions!$AL$2:$AL$3000,Permissions!$B$2:$B$3000,$A130,Permissions!$R$2:$R$3000,"Yes")</f>
        <v>0</v>
      </c>
      <c r="AW130" s="26" t="n">
        <f aca="false">SUMIFS(Permissions!$AM$2:$AM$3000,Permissions!$B$2:$B$3000,$A130,Permissions!$R$2:$R$3000,"Yes")</f>
        <v>0</v>
      </c>
      <c r="AX130" s="26" t="n">
        <f aca="false">SUMIFS(Permissions!$AN$2:$AN$3000,Permissions!$B$2:$B$3000,$A130,Permissions!$R$2:$R$3000,"Yes")</f>
        <v>0</v>
      </c>
      <c r="AY130" s="26" t="n">
        <f aca="false">SUMIFS(Permissions!$AO$2:$AO$3000,Permissions!$B$2:$B$3000,$A130,Permissions!$R$2:$R$3000,"Yes")</f>
        <v>0</v>
      </c>
      <c r="AZ130" s="24" t="n">
        <f aca="false">COUNTIFS(Permissions!$B$2:$B$3000,$A130,Permissions!$R$2:$R$3000,"Yes")</f>
        <v>0</v>
      </c>
      <c r="BA130" s="24" t="n">
        <f aca="false">SUMIFS(Permissions!$M$2:$M$3000,Permissions!$B$2:$B$3000,$A130,Permissions!$R$2:$R$3000,"Yes")</f>
        <v>0</v>
      </c>
      <c r="BB130" s="24" t="n">
        <f aca="false">SUMIFS(Permissions!$O$2:$O$3000,Permissions!$B$2:$B$3000,$A130,Permissions!$R$2:$R$3000,"Yes")</f>
        <v>0</v>
      </c>
      <c r="BC130" s="27" t="str">
        <f aca="false">IF(AND(AM130&gt;0,AR130&gt;=AM130,AP130=0),"Finished",IF(AR130&gt;0,"Partly built",IF(AM130&gt;0,"Consented – not built","No consent")))</f>
        <v>No consent</v>
      </c>
      <c r="BD130" s="28" t="str">
        <f aca="false">IF(AND(R130&lt;&gt;"",AM130&gt;1.1*R130),"Consented above capacity",IF(AND(LEFT(B130,8)="Planning",AZ130=0),"Consent parcel with no permission",IF(COUNTIF($A$2:$A$3000,$A130)&gt;1,"Duplicate parcel_id","")))</f>
        <v/>
      </c>
    </row>
    <row r="131" customFormat="false" ht="15" hidden="false" customHeight="false" outlineLevel="0" collapsed="false">
      <c r="A131" s="15" t="s">
        <v>342</v>
      </c>
      <c r="B131" s="15" t="s">
        <v>10</v>
      </c>
      <c r="C131" s="15" t="s">
        <v>16</v>
      </c>
      <c r="D131" s="15" t="s">
        <v>58</v>
      </c>
      <c r="E131" s="15" t="s">
        <v>19</v>
      </c>
      <c r="F131" s="15" t="n">
        <v>0.51</v>
      </c>
      <c r="G131" s="15" t="s">
        <v>158</v>
      </c>
      <c r="H131" s="15" t="n">
        <v>74</v>
      </c>
      <c r="I131" s="15" t="s">
        <v>58</v>
      </c>
      <c r="J131" s="15" t="s">
        <v>211</v>
      </c>
      <c r="K131" s="15" t="s">
        <v>302</v>
      </c>
      <c r="L131" s="15" t="s">
        <v>176</v>
      </c>
      <c r="M131" s="15" t="s">
        <v>161</v>
      </c>
      <c r="N131" s="15" t="s">
        <v>172</v>
      </c>
      <c r="O131" s="15" t="s">
        <v>185</v>
      </c>
      <c r="P131" s="15" t="n">
        <v>0.543</v>
      </c>
      <c r="Q131" s="15" t="n">
        <v>0.544</v>
      </c>
      <c r="R131" s="15" t="n">
        <v>19</v>
      </c>
      <c r="S131" s="15" t="s">
        <v>164</v>
      </c>
      <c r="T131" s="15" t="n">
        <v>18</v>
      </c>
      <c r="U131" s="15"/>
      <c r="V131" s="15"/>
      <c r="W131" s="15"/>
      <c r="X131" s="15" t="s">
        <v>165</v>
      </c>
      <c r="Y131" s="15" t="n">
        <v>34</v>
      </c>
      <c r="Z131" s="15" t="s">
        <v>166</v>
      </c>
      <c r="AA131" s="15"/>
      <c r="AB131" s="15" t="n">
        <v>0</v>
      </c>
      <c r="AC131" s="15" t="n">
        <v>0</v>
      </c>
      <c r="AD131" s="15" t="s">
        <v>167</v>
      </c>
      <c r="AE131" s="15" t="s">
        <v>168</v>
      </c>
      <c r="AF131" s="15" t="s">
        <v>169</v>
      </c>
      <c r="AG131" s="15"/>
      <c r="AH131" s="24" t="n">
        <f aca="false">IF(R131="",AM131,R131)</f>
        <v>19</v>
      </c>
      <c r="AI131" s="24" t="n">
        <f aca="false">SUMIFS(Permissions!$G$2:$G$3000,Permissions!$B$2:$B$3000,$A131,Permissions!$I$2:$I$3000,"Complete",Permissions!$R$2:$R$3000,"Yes")</f>
        <v>0</v>
      </c>
      <c r="AJ131" s="24" t="n">
        <f aca="false">SUMIFS(Permissions!$G$2:$G$3000,Permissions!$B$2:$B$3000,$A131,Permissions!$I$2:$I$3000,"Under construction",Permissions!$R$2:$R$3000,"Yes")</f>
        <v>31</v>
      </c>
      <c r="AK131" s="24" t="n">
        <f aca="false">SUMIFS(Permissions!$G$2:$G$3000,Permissions!$B$2:$B$3000,$A131,Permissions!$I$2:$I$3000,"Permitted – not started",Permissions!$R$2:$R$3000,"Yes")</f>
        <v>0</v>
      </c>
      <c r="AL131" s="24" t="n">
        <f aca="false">SUMIFS(Permissions!$G$2:$G$3000,Permissions!$B$2:$B$3000,$A131,Permissions!$I$2:$I$3000,"Stalled",Permissions!$R$2:$R$3000,"Yes")</f>
        <v>0</v>
      </c>
      <c r="AM131" s="24" t="n">
        <f aca="false">AI131+AJ131+AK131+AL131</f>
        <v>31</v>
      </c>
      <c r="AN131" s="24" t="n">
        <f aca="false">SUMIFS(Permissions!$G$2:$G$3000,Permissions!$B$2:$B$3000,$A131,Permissions!$I$2:$I$3000,"Expired – not started",Permissions!$R$2:$R$3000,"Yes")</f>
        <v>0</v>
      </c>
      <c r="AO131" s="24" t="n">
        <f aca="false">SUMIFS(Permissions!$G$2:$G$3000,Permissions!$B$2:$B$3000,$A131,Permissions!$I$2:$I$3000,"In planning",Permissions!$R$2:$R$3000,"Yes")</f>
        <v>0</v>
      </c>
      <c r="AP131" s="24" t="n">
        <f aca="false">IF(R131="",0,MAX(R131-AM131,0))</f>
        <v>0</v>
      </c>
      <c r="AQ131" s="25" t="n">
        <f aca="false">AM131+AP131</f>
        <v>31</v>
      </c>
      <c r="AR131" s="24" t="n">
        <f aca="false">SUMIFS(Permissions!$L$2:$L$3000,Permissions!$B$2:$B$3000,$A131,Permissions!$R$2:$R$3000,"Yes",Permissions!$I$2:$I$3000,"&lt;&gt;Expired – not started",Permissions!$I$2:$I$3000,"&lt;&gt;In planning")</f>
        <v>0</v>
      </c>
      <c r="AS131" s="24" t="n">
        <f aca="false">AQ131-AR131</f>
        <v>31</v>
      </c>
      <c r="AT131" s="26" t="n">
        <f aca="false">SUMIFS(Permissions!$AJ$2:$AJ$3000,Permissions!$B$2:$B$3000,$A131,Permissions!$R$2:$R$3000,"Yes")</f>
        <v>0</v>
      </c>
      <c r="AU131" s="26" t="n">
        <f aca="false">SUMIFS(Permissions!$AK$2:$AK$3000,Permissions!$B$2:$B$3000,$A131,Permissions!$R$2:$R$3000,"Yes")</f>
        <v>28.5</v>
      </c>
      <c r="AV131" s="26" t="n">
        <f aca="false">SUMIFS(Permissions!$AL$2:$AL$3000,Permissions!$B$2:$B$3000,$A131,Permissions!$R$2:$R$3000,"Yes")</f>
        <v>2.5</v>
      </c>
      <c r="AW131" s="26" t="n">
        <f aca="false">SUMIFS(Permissions!$AM$2:$AM$3000,Permissions!$B$2:$B$3000,$A131,Permissions!$R$2:$R$3000,"Yes")</f>
        <v>0</v>
      </c>
      <c r="AX131" s="26" t="n">
        <f aca="false">SUMIFS(Permissions!$AN$2:$AN$3000,Permissions!$B$2:$B$3000,$A131,Permissions!$R$2:$R$3000,"Yes")</f>
        <v>0</v>
      </c>
      <c r="AY131" s="26" t="n">
        <f aca="false">SUMIFS(Permissions!$AO$2:$AO$3000,Permissions!$B$2:$B$3000,$A131,Permissions!$R$2:$R$3000,"Yes")</f>
        <v>0</v>
      </c>
      <c r="AZ131" s="24" t="n">
        <f aca="false">COUNTIFS(Permissions!$B$2:$B$3000,$A131,Permissions!$R$2:$R$3000,"Yes")</f>
        <v>1</v>
      </c>
      <c r="BA131" s="24" t="n">
        <f aca="false">SUMIFS(Permissions!$M$2:$M$3000,Permissions!$B$2:$B$3000,$A131,Permissions!$R$2:$R$3000,"Yes")</f>
        <v>0</v>
      </c>
      <c r="BB131" s="24" t="n">
        <f aca="false">SUMIFS(Permissions!$O$2:$O$3000,Permissions!$B$2:$B$3000,$A131,Permissions!$R$2:$R$3000,"Yes")</f>
        <v>0</v>
      </c>
      <c r="BC131" s="27" t="str">
        <f aca="false">IF(AND(AM131&gt;0,AR131&gt;=AM131,AP131=0),"Finished",IF(AR131&gt;0,"Partly built",IF(AM131&gt;0,"Consented – not built","No consent")))</f>
        <v>Consented – not built</v>
      </c>
      <c r="BD131" s="28" t="str">
        <f aca="false">IF(AND(R131&lt;&gt;"",AM131&gt;1.1*R131),"Consented above capacity",IF(AND(LEFT(B131,8)="Planning",AZ131=0),"Consent parcel with no permission",IF(COUNTIF($A$2:$A$3000,$A131)&gt;1,"Duplicate parcel_id","")))</f>
        <v>Consented above capacity</v>
      </c>
    </row>
    <row r="132" customFormat="false" ht="15" hidden="false" customHeight="false" outlineLevel="0" collapsed="false">
      <c r="A132" s="15" t="s">
        <v>343</v>
      </c>
      <c r="B132" s="15" t="s">
        <v>10</v>
      </c>
      <c r="C132" s="15" t="s">
        <v>16</v>
      </c>
      <c r="D132" s="15" t="s">
        <v>58</v>
      </c>
      <c r="E132" s="15" t="s">
        <v>19</v>
      </c>
      <c r="F132" s="15" t="n">
        <v>0.81</v>
      </c>
      <c r="G132" s="15" t="s">
        <v>158</v>
      </c>
      <c r="H132" s="15" t="n">
        <v>76</v>
      </c>
      <c r="I132" s="15" t="s">
        <v>58</v>
      </c>
      <c r="J132" s="15" t="s">
        <v>211</v>
      </c>
      <c r="K132" s="15" t="s">
        <v>302</v>
      </c>
      <c r="L132" s="15" t="s">
        <v>176</v>
      </c>
      <c r="M132" s="15" t="s">
        <v>190</v>
      </c>
      <c r="N132" s="15" t="s">
        <v>162</v>
      </c>
      <c r="O132" s="15" t="s">
        <v>163</v>
      </c>
      <c r="P132" s="15" t="n">
        <v>3.169</v>
      </c>
      <c r="Q132" s="15" t="n">
        <v>6.601</v>
      </c>
      <c r="R132" s="15" t="n">
        <v>245</v>
      </c>
      <c r="S132" s="15" t="s">
        <v>164</v>
      </c>
      <c r="T132" s="15" t="n">
        <v>108</v>
      </c>
      <c r="U132" s="15"/>
      <c r="V132" s="15"/>
      <c r="W132" s="15"/>
      <c r="X132" s="15" t="s">
        <v>165</v>
      </c>
      <c r="Y132" s="15" t="n">
        <v>34</v>
      </c>
      <c r="Z132" s="15" t="s">
        <v>166</v>
      </c>
      <c r="AA132" s="15"/>
      <c r="AB132" s="15" t="n">
        <v>0</v>
      </c>
      <c r="AC132" s="15" t="n">
        <v>0</v>
      </c>
      <c r="AD132" s="15" t="s">
        <v>167</v>
      </c>
      <c r="AE132" s="15" t="s">
        <v>168</v>
      </c>
      <c r="AF132" s="15" t="s">
        <v>169</v>
      </c>
      <c r="AG132" s="15"/>
      <c r="AH132" s="24" t="n">
        <f aca="false">IF(R132="",AM132,R132)</f>
        <v>245</v>
      </c>
      <c r="AI132" s="24" t="n">
        <f aca="false">SUMIFS(Permissions!$G$2:$G$3000,Permissions!$B$2:$B$3000,$A132,Permissions!$I$2:$I$3000,"Complete",Permissions!$R$2:$R$3000,"Yes")</f>
        <v>0</v>
      </c>
      <c r="AJ132" s="24" t="n">
        <f aca="false">SUMIFS(Permissions!$G$2:$G$3000,Permissions!$B$2:$B$3000,$A132,Permissions!$I$2:$I$3000,"Under construction",Permissions!$R$2:$R$3000,"Yes")</f>
        <v>0</v>
      </c>
      <c r="AK132" s="24" t="n">
        <f aca="false">SUMIFS(Permissions!$G$2:$G$3000,Permissions!$B$2:$B$3000,$A132,Permissions!$I$2:$I$3000,"Permitted – not started",Permissions!$R$2:$R$3000,"Yes")</f>
        <v>403</v>
      </c>
      <c r="AL132" s="24" t="n">
        <f aca="false">SUMIFS(Permissions!$G$2:$G$3000,Permissions!$B$2:$B$3000,$A132,Permissions!$I$2:$I$3000,"Stalled",Permissions!$R$2:$R$3000,"Yes")</f>
        <v>0</v>
      </c>
      <c r="AM132" s="24" t="n">
        <f aca="false">AI132+AJ132+AK132+AL132</f>
        <v>403</v>
      </c>
      <c r="AN132" s="24" t="n">
        <f aca="false">SUMIFS(Permissions!$G$2:$G$3000,Permissions!$B$2:$B$3000,$A132,Permissions!$I$2:$I$3000,"Expired – not started",Permissions!$R$2:$R$3000,"Yes")</f>
        <v>0</v>
      </c>
      <c r="AO132" s="24" t="n">
        <f aca="false">SUMIFS(Permissions!$G$2:$G$3000,Permissions!$B$2:$B$3000,$A132,Permissions!$I$2:$I$3000,"In planning",Permissions!$R$2:$R$3000,"Yes")</f>
        <v>0</v>
      </c>
      <c r="AP132" s="24" t="n">
        <f aca="false">IF(R132="",0,MAX(R132-AM132,0))</f>
        <v>0</v>
      </c>
      <c r="AQ132" s="25" t="n">
        <f aca="false">AM132+AP132</f>
        <v>403</v>
      </c>
      <c r="AR132" s="24" t="n">
        <f aca="false">SUMIFS(Permissions!$L$2:$L$3000,Permissions!$B$2:$B$3000,$A132,Permissions!$R$2:$R$3000,"Yes",Permissions!$I$2:$I$3000,"&lt;&gt;Expired – not started",Permissions!$I$2:$I$3000,"&lt;&gt;In planning")</f>
        <v>0</v>
      </c>
      <c r="AS132" s="24" t="n">
        <f aca="false">AQ132-AR132</f>
        <v>403</v>
      </c>
      <c r="AT132" s="26" t="n">
        <f aca="false">SUMIFS(Permissions!$AJ$2:$AJ$3000,Permissions!$B$2:$B$3000,$A132,Permissions!$R$2:$R$3000,"Yes")</f>
        <v>0</v>
      </c>
      <c r="AU132" s="26" t="n">
        <f aca="false">SUMIFS(Permissions!$AK$2:$AK$3000,Permissions!$B$2:$B$3000,$A132,Permissions!$R$2:$R$3000,"Yes")</f>
        <v>0</v>
      </c>
      <c r="AV132" s="26" t="n">
        <f aca="false">SUMIFS(Permissions!$AL$2:$AL$3000,Permissions!$B$2:$B$3000,$A132,Permissions!$R$2:$R$3000,"Yes")</f>
        <v>0</v>
      </c>
      <c r="AW132" s="26" t="n">
        <f aca="false">SUMIFS(Permissions!$AM$2:$AM$3000,Permissions!$B$2:$B$3000,$A132,Permissions!$R$2:$R$3000,"Yes")</f>
        <v>41.6</v>
      </c>
      <c r="AX132" s="26" t="n">
        <f aca="false">SUMIFS(Permissions!$AN$2:$AN$3000,Permissions!$B$2:$B$3000,$A132,Permissions!$R$2:$R$3000,"Yes")</f>
        <v>57.4</v>
      </c>
      <c r="AY132" s="26" t="n">
        <f aca="false">SUMIFS(Permissions!$AO$2:$AO$3000,Permissions!$B$2:$B$3000,$A132,Permissions!$R$2:$R$3000,"Yes")</f>
        <v>304</v>
      </c>
      <c r="AZ132" s="24" t="n">
        <f aca="false">COUNTIFS(Permissions!$B$2:$B$3000,$A132,Permissions!$R$2:$R$3000,"Yes")</f>
        <v>1</v>
      </c>
      <c r="BA132" s="24" t="n">
        <f aca="false">SUMIFS(Permissions!$M$2:$M$3000,Permissions!$B$2:$B$3000,$A132,Permissions!$R$2:$R$3000,"Yes")</f>
        <v>0</v>
      </c>
      <c r="BB132" s="24" t="n">
        <f aca="false">SUMIFS(Permissions!$O$2:$O$3000,Permissions!$B$2:$B$3000,$A132,Permissions!$R$2:$R$3000,"Yes")</f>
        <v>0</v>
      </c>
      <c r="BC132" s="27" t="str">
        <f aca="false">IF(AND(AM132&gt;0,AR132&gt;=AM132,AP132=0),"Finished",IF(AR132&gt;0,"Partly built",IF(AM132&gt;0,"Consented – not built","No consent")))</f>
        <v>Consented – not built</v>
      </c>
      <c r="BD132" s="28" t="str">
        <f aca="false">IF(AND(R132&lt;&gt;"",AM132&gt;1.1*R132),"Consented above capacity",IF(AND(LEFT(B132,8)="Planning",AZ132=0),"Consent parcel with no permission",IF(COUNTIF($A$2:$A$3000,$A132)&gt;1,"Duplicate parcel_id","")))</f>
        <v>Consented above capacity</v>
      </c>
    </row>
    <row r="133" customFormat="false" ht="15" hidden="false" customHeight="false" outlineLevel="0" collapsed="false">
      <c r="A133" s="15" t="s">
        <v>344</v>
      </c>
      <c r="B133" s="15" t="s">
        <v>345</v>
      </c>
      <c r="C133" s="15" t="s">
        <v>17</v>
      </c>
      <c r="D133" s="15" t="s">
        <v>22</v>
      </c>
      <c r="E133" s="15" t="s">
        <v>22</v>
      </c>
      <c r="F133" s="15"/>
      <c r="G133" s="15" t="s">
        <v>22</v>
      </c>
      <c r="H133" s="15"/>
      <c r="I133" s="15" t="s">
        <v>346</v>
      </c>
      <c r="J133" s="15" t="s">
        <v>347</v>
      </c>
      <c r="K133" s="15" t="s">
        <v>348</v>
      </c>
      <c r="L133" s="15"/>
      <c r="M133" s="15" t="s">
        <v>349</v>
      </c>
      <c r="N133" s="15" t="s">
        <v>350</v>
      </c>
      <c r="O133" s="15" t="s">
        <v>351</v>
      </c>
      <c r="P133" s="15" t="n">
        <v>1.75</v>
      </c>
      <c r="Q133" s="15" t="n">
        <v>1.75</v>
      </c>
      <c r="R133" s="15" t="n">
        <v>38</v>
      </c>
      <c r="S133" s="15" t="s">
        <v>352</v>
      </c>
      <c r="T133" s="15" t="n">
        <v>44</v>
      </c>
      <c r="U133" s="15"/>
      <c r="V133" s="15"/>
      <c r="W133" s="15"/>
      <c r="X133" s="15" t="s">
        <v>353</v>
      </c>
      <c r="Y133" s="15" t="n">
        <v>25</v>
      </c>
      <c r="Z133" s="15" t="s">
        <v>354</v>
      </c>
      <c r="AA133" s="15"/>
      <c r="AB133" s="15" t="n">
        <v>0</v>
      </c>
      <c r="AC133" s="15" t="n">
        <v>0</v>
      </c>
      <c r="AD133" s="15"/>
      <c r="AE133" s="15"/>
      <c r="AF133" s="15" t="s">
        <v>169</v>
      </c>
      <c r="AG133" s="15"/>
      <c r="AH133" s="24" t="n">
        <f aca="false">IF(R133="",AM133,R133)</f>
        <v>38</v>
      </c>
      <c r="AI133" s="24" t="n">
        <f aca="false">SUMIFS(Permissions!$G$2:$G$3000,Permissions!$B$2:$B$3000,$A133,Permissions!$I$2:$I$3000,"Complete",Permissions!$R$2:$R$3000,"Yes")</f>
        <v>0</v>
      </c>
      <c r="AJ133" s="24" t="n">
        <f aca="false">SUMIFS(Permissions!$G$2:$G$3000,Permissions!$B$2:$B$3000,$A133,Permissions!$I$2:$I$3000,"Under construction",Permissions!$R$2:$R$3000,"Yes")</f>
        <v>0</v>
      </c>
      <c r="AK133" s="24" t="n">
        <f aca="false">SUMIFS(Permissions!$G$2:$G$3000,Permissions!$B$2:$B$3000,$A133,Permissions!$I$2:$I$3000,"Permitted – not started",Permissions!$R$2:$R$3000,"Yes")</f>
        <v>0</v>
      </c>
      <c r="AL133" s="24" t="n">
        <f aca="false">SUMIFS(Permissions!$G$2:$G$3000,Permissions!$B$2:$B$3000,$A133,Permissions!$I$2:$I$3000,"Stalled",Permissions!$R$2:$R$3000,"Yes")</f>
        <v>0</v>
      </c>
      <c r="AM133" s="24" t="n">
        <f aca="false">AI133+AJ133+AK133+AL133</f>
        <v>0</v>
      </c>
      <c r="AN133" s="24" t="n">
        <f aca="false">SUMIFS(Permissions!$G$2:$G$3000,Permissions!$B$2:$B$3000,$A133,Permissions!$I$2:$I$3000,"Expired – not started",Permissions!$R$2:$R$3000,"Yes")</f>
        <v>0</v>
      </c>
      <c r="AO133" s="24" t="n">
        <f aca="false">SUMIFS(Permissions!$G$2:$G$3000,Permissions!$B$2:$B$3000,$A133,Permissions!$I$2:$I$3000,"In planning",Permissions!$R$2:$R$3000,"Yes")</f>
        <v>0</v>
      </c>
      <c r="AP133" s="24" t="n">
        <f aca="false">IF(R133="",0,MAX(R133-AM133,0))</f>
        <v>38</v>
      </c>
      <c r="AQ133" s="25" t="n">
        <f aca="false">AM133+AP133</f>
        <v>38</v>
      </c>
      <c r="AR133" s="24" t="n">
        <f aca="false">SUMIFS(Permissions!$L$2:$L$3000,Permissions!$B$2:$B$3000,$A133,Permissions!$R$2:$R$3000,"Yes",Permissions!$I$2:$I$3000,"&lt;&gt;Expired – not started",Permissions!$I$2:$I$3000,"&lt;&gt;In planning")</f>
        <v>0</v>
      </c>
      <c r="AS133" s="24" t="n">
        <f aca="false">AQ133-AR133</f>
        <v>38</v>
      </c>
      <c r="AT133" s="26" t="n">
        <f aca="false">SUMIFS(Permissions!$AJ$2:$AJ$3000,Permissions!$B$2:$B$3000,$A133,Permissions!$R$2:$R$3000,"Yes")</f>
        <v>0</v>
      </c>
      <c r="AU133" s="26" t="n">
        <f aca="false">SUMIFS(Permissions!$AK$2:$AK$3000,Permissions!$B$2:$B$3000,$A133,Permissions!$R$2:$R$3000,"Yes")</f>
        <v>0</v>
      </c>
      <c r="AV133" s="26" t="n">
        <f aca="false">SUMIFS(Permissions!$AL$2:$AL$3000,Permissions!$B$2:$B$3000,$A133,Permissions!$R$2:$R$3000,"Yes")</f>
        <v>0</v>
      </c>
      <c r="AW133" s="26" t="n">
        <f aca="false">SUMIFS(Permissions!$AM$2:$AM$3000,Permissions!$B$2:$B$3000,$A133,Permissions!$R$2:$R$3000,"Yes")</f>
        <v>0</v>
      </c>
      <c r="AX133" s="26" t="n">
        <f aca="false">SUMIFS(Permissions!$AN$2:$AN$3000,Permissions!$B$2:$B$3000,$A133,Permissions!$R$2:$R$3000,"Yes")</f>
        <v>0</v>
      </c>
      <c r="AY133" s="26" t="n">
        <f aca="false">SUMIFS(Permissions!$AO$2:$AO$3000,Permissions!$B$2:$B$3000,$A133,Permissions!$R$2:$R$3000,"Yes")</f>
        <v>0</v>
      </c>
      <c r="AZ133" s="24" t="n">
        <f aca="false">COUNTIFS(Permissions!$B$2:$B$3000,$A133,Permissions!$R$2:$R$3000,"Yes")</f>
        <v>0</v>
      </c>
      <c r="BA133" s="24" t="n">
        <f aca="false">SUMIFS(Permissions!$M$2:$M$3000,Permissions!$B$2:$B$3000,$A133,Permissions!$R$2:$R$3000,"Yes")</f>
        <v>0</v>
      </c>
      <c r="BB133" s="24" t="n">
        <f aca="false">SUMIFS(Permissions!$O$2:$O$3000,Permissions!$B$2:$B$3000,$A133,Permissions!$R$2:$R$3000,"Yes")</f>
        <v>0</v>
      </c>
      <c r="BC133" s="27" t="str">
        <f aca="false">IF(AND(AM133&gt;0,AR133&gt;=AM133,AP133=0),"Finished",IF(AR133&gt;0,"Partly built",IF(AM133&gt;0,"Consented – not built","No consent")))</f>
        <v>No consent</v>
      </c>
      <c r="BD133" s="28" t="str">
        <f aca="false">IF(AND(R133&lt;&gt;"",AM133&gt;1.1*R133),"Consented above capacity",IF(AND(LEFT(B133,8)="Planning",AZ133=0),"Consent parcel with no permission",IF(COUNTIF($A$2:$A$3000,$A133)&gt;1,"Duplicate parcel_id","")))</f>
        <v/>
      </c>
    </row>
    <row r="134" customFormat="false" ht="15" hidden="false" customHeight="false" outlineLevel="0" collapsed="false">
      <c r="A134" s="15" t="s">
        <v>355</v>
      </c>
      <c r="B134" s="15" t="s">
        <v>345</v>
      </c>
      <c r="C134" s="15" t="s">
        <v>17</v>
      </c>
      <c r="D134" s="15" t="s">
        <v>22</v>
      </c>
      <c r="E134" s="15" t="s">
        <v>22</v>
      </c>
      <c r="F134" s="15"/>
      <c r="G134" s="15" t="s">
        <v>22</v>
      </c>
      <c r="H134" s="15"/>
      <c r="I134" s="15" t="s">
        <v>346</v>
      </c>
      <c r="J134" s="15" t="s">
        <v>347</v>
      </c>
      <c r="K134" s="15" t="s">
        <v>356</v>
      </c>
      <c r="L134" s="15"/>
      <c r="M134" s="15" t="s">
        <v>357</v>
      </c>
      <c r="N134" s="15"/>
      <c r="O134" s="15" t="s">
        <v>358</v>
      </c>
      <c r="P134" s="15" t="n">
        <v>1.057</v>
      </c>
      <c r="Q134" s="15" t="n">
        <v>1.057</v>
      </c>
      <c r="R134" s="15" t="n">
        <v>11</v>
      </c>
      <c r="S134" s="15" t="s">
        <v>352</v>
      </c>
      <c r="T134" s="15" t="n">
        <v>26</v>
      </c>
      <c r="U134" s="15"/>
      <c r="V134" s="15"/>
      <c r="W134" s="15"/>
      <c r="X134" s="15" t="s">
        <v>353</v>
      </c>
      <c r="Y134" s="15" t="n">
        <v>25</v>
      </c>
      <c r="Z134" s="15" t="s">
        <v>354</v>
      </c>
      <c r="AA134" s="15"/>
      <c r="AB134" s="15" t="n">
        <v>0</v>
      </c>
      <c r="AC134" s="15" t="n">
        <v>0</v>
      </c>
      <c r="AD134" s="15"/>
      <c r="AE134" s="15"/>
      <c r="AF134" s="15" t="s">
        <v>169</v>
      </c>
      <c r="AG134" s="15"/>
      <c r="AH134" s="24" t="n">
        <f aca="false">IF(R134="",AM134,R134)</f>
        <v>11</v>
      </c>
      <c r="AI134" s="24" t="n">
        <f aca="false">SUMIFS(Permissions!$G$2:$G$3000,Permissions!$B$2:$B$3000,$A134,Permissions!$I$2:$I$3000,"Complete",Permissions!$R$2:$R$3000,"Yes")</f>
        <v>0</v>
      </c>
      <c r="AJ134" s="24" t="n">
        <f aca="false">SUMIFS(Permissions!$G$2:$G$3000,Permissions!$B$2:$B$3000,$A134,Permissions!$I$2:$I$3000,"Under construction",Permissions!$R$2:$R$3000,"Yes")</f>
        <v>0</v>
      </c>
      <c r="AK134" s="24" t="n">
        <f aca="false">SUMIFS(Permissions!$G$2:$G$3000,Permissions!$B$2:$B$3000,$A134,Permissions!$I$2:$I$3000,"Permitted – not started",Permissions!$R$2:$R$3000,"Yes")</f>
        <v>0</v>
      </c>
      <c r="AL134" s="24" t="n">
        <f aca="false">SUMIFS(Permissions!$G$2:$G$3000,Permissions!$B$2:$B$3000,$A134,Permissions!$I$2:$I$3000,"Stalled",Permissions!$R$2:$R$3000,"Yes")</f>
        <v>0</v>
      </c>
      <c r="AM134" s="24" t="n">
        <f aca="false">AI134+AJ134+AK134+AL134</f>
        <v>0</v>
      </c>
      <c r="AN134" s="24" t="n">
        <f aca="false">SUMIFS(Permissions!$G$2:$G$3000,Permissions!$B$2:$B$3000,$A134,Permissions!$I$2:$I$3000,"Expired – not started",Permissions!$R$2:$R$3000,"Yes")</f>
        <v>0</v>
      </c>
      <c r="AO134" s="24" t="n">
        <f aca="false">SUMIFS(Permissions!$G$2:$G$3000,Permissions!$B$2:$B$3000,$A134,Permissions!$I$2:$I$3000,"In planning",Permissions!$R$2:$R$3000,"Yes")</f>
        <v>0</v>
      </c>
      <c r="AP134" s="24" t="n">
        <f aca="false">IF(R134="",0,MAX(R134-AM134,0))</f>
        <v>11</v>
      </c>
      <c r="AQ134" s="25" t="n">
        <f aca="false">AM134+AP134</f>
        <v>11</v>
      </c>
      <c r="AR134" s="24" t="n">
        <f aca="false">SUMIFS(Permissions!$L$2:$L$3000,Permissions!$B$2:$B$3000,$A134,Permissions!$R$2:$R$3000,"Yes",Permissions!$I$2:$I$3000,"&lt;&gt;Expired – not started",Permissions!$I$2:$I$3000,"&lt;&gt;In planning")</f>
        <v>0</v>
      </c>
      <c r="AS134" s="24" t="n">
        <f aca="false">AQ134-AR134</f>
        <v>11</v>
      </c>
      <c r="AT134" s="26" t="n">
        <f aca="false">SUMIFS(Permissions!$AJ$2:$AJ$3000,Permissions!$B$2:$B$3000,$A134,Permissions!$R$2:$R$3000,"Yes")</f>
        <v>0</v>
      </c>
      <c r="AU134" s="26" t="n">
        <f aca="false">SUMIFS(Permissions!$AK$2:$AK$3000,Permissions!$B$2:$B$3000,$A134,Permissions!$R$2:$R$3000,"Yes")</f>
        <v>0</v>
      </c>
      <c r="AV134" s="26" t="n">
        <f aca="false">SUMIFS(Permissions!$AL$2:$AL$3000,Permissions!$B$2:$B$3000,$A134,Permissions!$R$2:$R$3000,"Yes")</f>
        <v>0</v>
      </c>
      <c r="AW134" s="26" t="n">
        <f aca="false">SUMIFS(Permissions!$AM$2:$AM$3000,Permissions!$B$2:$B$3000,$A134,Permissions!$R$2:$R$3000,"Yes")</f>
        <v>0</v>
      </c>
      <c r="AX134" s="26" t="n">
        <f aca="false">SUMIFS(Permissions!$AN$2:$AN$3000,Permissions!$B$2:$B$3000,$A134,Permissions!$R$2:$R$3000,"Yes")</f>
        <v>0</v>
      </c>
      <c r="AY134" s="26" t="n">
        <f aca="false">SUMIFS(Permissions!$AO$2:$AO$3000,Permissions!$B$2:$B$3000,$A134,Permissions!$R$2:$R$3000,"Yes")</f>
        <v>0</v>
      </c>
      <c r="AZ134" s="24" t="n">
        <f aca="false">COUNTIFS(Permissions!$B$2:$B$3000,$A134,Permissions!$R$2:$R$3000,"Yes")</f>
        <v>0</v>
      </c>
      <c r="BA134" s="24" t="n">
        <f aca="false">SUMIFS(Permissions!$M$2:$M$3000,Permissions!$B$2:$B$3000,$A134,Permissions!$R$2:$R$3000,"Yes")</f>
        <v>0</v>
      </c>
      <c r="BB134" s="24" t="n">
        <f aca="false">SUMIFS(Permissions!$O$2:$O$3000,Permissions!$B$2:$B$3000,$A134,Permissions!$R$2:$R$3000,"Yes")</f>
        <v>0</v>
      </c>
      <c r="BC134" s="27" t="str">
        <f aca="false">IF(AND(AM134&gt;0,AR134&gt;=AM134,AP134=0),"Finished",IF(AR134&gt;0,"Partly built",IF(AM134&gt;0,"Consented – not built","No consent")))</f>
        <v>No consent</v>
      </c>
      <c r="BD134" s="28" t="str">
        <f aca="false">IF(AND(R134&lt;&gt;"",AM134&gt;1.1*R134),"Consented above capacity",IF(AND(LEFT(B134,8)="Planning",AZ134=0),"Consent parcel with no permission",IF(COUNTIF($A$2:$A$3000,$A134)&gt;1,"Duplicate parcel_id","")))</f>
        <v/>
      </c>
    </row>
    <row r="135" customFormat="false" ht="15" hidden="false" customHeight="false" outlineLevel="0" collapsed="false">
      <c r="A135" s="15" t="s">
        <v>359</v>
      </c>
      <c r="B135" s="15" t="s">
        <v>345</v>
      </c>
      <c r="C135" s="15" t="s">
        <v>17</v>
      </c>
      <c r="D135" s="15" t="s">
        <v>22</v>
      </c>
      <c r="E135" s="15" t="s">
        <v>22</v>
      </c>
      <c r="F135" s="15"/>
      <c r="G135" s="15" t="s">
        <v>22</v>
      </c>
      <c r="H135" s="15"/>
      <c r="I135" s="15" t="s">
        <v>346</v>
      </c>
      <c r="J135" s="15" t="s">
        <v>347</v>
      </c>
      <c r="K135" s="15" t="s">
        <v>360</v>
      </c>
      <c r="L135" s="15"/>
      <c r="M135" s="15" t="s">
        <v>357</v>
      </c>
      <c r="N135" s="15"/>
      <c r="O135" s="15" t="s">
        <v>358</v>
      </c>
      <c r="P135" s="15" t="n">
        <v>2.903</v>
      </c>
      <c r="Q135" s="15" t="n">
        <v>2.903</v>
      </c>
      <c r="R135" s="15" t="n">
        <v>29</v>
      </c>
      <c r="S135" s="15" t="s">
        <v>352</v>
      </c>
      <c r="T135" s="15" t="n">
        <v>73</v>
      </c>
      <c r="U135" s="15"/>
      <c r="V135" s="15"/>
      <c r="W135" s="15"/>
      <c r="X135" s="15" t="s">
        <v>353</v>
      </c>
      <c r="Y135" s="15" t="n">
        <v>25</v>
      </c>
      <c r="Z135" s="15" t="s">
        <v>354</v>
      </c>
      <c r="AA135" s="15"/>
      <c r="AB135" s="15" t="n">
        <v>0</v>
      </c>
      <c r="AC135" s="15" t="n">
        <v>0</v>
      </c>
      <c r="AD135" s="15"/>
      <c r="AE135" s="15"/>
      <c r="AF135" s="15" t="s">
        <v>169</v>
      </c>
      <c r="AG135" s="15"/>
      <c r="AH135" s="24" t="n">
        <f aca="false">IF(R135="",AM135,R135)</f>
        <v>29</v>
      </c>
      <c r="AI135" s="24" t="n">
        <f aca="false">SUMIFS(Permissions!$G$2:$G$3000,Permissions!$B$2:$B$3000,$A135,Permissions!$I$2:$I$3000,"Complete",Permissions!$R$2:$R$3000,"Yes")</f>
        <v>0</v>
      </c>
      <c r="AJ135" s="24" t="n">
        <f aca="false">SUMIFS(Permissions!$G$2:$G$3000,Permissions!$B$2:$B$3000,$A135,Permissions!$I$2:$I$3000,"Under construction",Permissions!$R$2:$R$3000,"Yes")</f>
        <v>0</v>
      </c>
      <c r="AK135" s="24" t="n">
        <f aca="false">SUMIFS(Permissions!$G$2:$G$3000,Permissions!$B$2:$B$3000,$A135,Permissions!$I$2:$I$3000,"Permitted – not started",Permissions!$R$2:$R$3000,"Yes")</f>
        <v>0</v>
      </c>
      <c r="AL135" s="24" t="n">
        <f aca="false">SUMIFS(Permissions!$G$2:$G$3000,Permissions!$B$2:$B$3000,$A135,Permissions!$I$2:$I$3000,"Stalled",Permissions!$R$2:$R$3000,"Yes")</f>
        <v>0</v>
      </c>
      <c r="AM135" s="24" t="n">
        <f aca="false">AI135+AJ135+AK135+AL135</f>
        <v>0</v>
      </c>
      <c r="AN135" s="24" t="n">
        <f aca="false">SUMIFS(Permissions!$G$2:$G$3000,Permissions!$B$2:$B$3000,$A135,Permissions!$I$2:$I$3000,"Expired – not started",Permissions!$R$2:$R$3000,"Yes")</f>
        <v>0</v>
      </c>
      <c r="AO135" s="24" t="n">
        <f aca="false">SUMIFS(Permissions!$G$2:$G$3000,Permissions!$B$2:$B$3000,$A135,Permissions!$I$2:$I$3000,"In planning",Permissions!$R$2:$R$3000,"Yes")</f>
        <v>0</v>
      </c>
      <c r="AP135" s="24" t="n">
        <f aca="false">IF(R135="",0,MAX(R135-AM135,0))</f>
        <v>29</v>
      </c>
      <c r="AQ135" s="25" t="n">
        <f aca="false">AM135+AP135</f>
        <v>29</v>
      </c>
      <c r="AR135" s="24" t="n">
        <f aca="false">SUMIFS(Permissions!$L$2:$L$3000,Permissions!$B$2:$B$3000,$A135,Permissions!$R$2:$R$3000,"Yes",Permissions!$I$2:$I$3000,"&lt;&gt;Expired – not started",Permissions!$I$2:$I$3000,"&lt;&gt;In planning")</f>
        <v>0</v>
      </c>
      <c r="AS135" s="24" t="n">
        <f aca="false">AQ135-AR135</f>
        <v>29</v>
      </c>
      <c r="AT135" s="26" t="n">
        <f aca="false">SUMIFS(Permissions!$AJ$2:$AJ$3000,Permissions!$B$2:$B$3000,$A135,Permissions!$R$2:$R$3000,"Yes")</f>
        <v>0</v>
      </c>
      <c r="AU135" s="26" t="n">
        <f aca="false">SUMIFS(Permissions!$AK$2:$AK$3000,Permissions!$B$2:$B$3000,$A135,Permissions!$R$2:$R$3000,"Yes")</f>
        <v>0</v>
      </c>
      <c r="AV135" s="26" t="n">
        <f aca="false">SUMIFS(Permissions!$AL$2:$AL$3000,Permissions!$B$2:$B$3000,$A135,Permissions!$R$2:$R$3000,"Yes")</f>
        <v>0</v>
      </c>
      <c r="AW135" s="26" t="n">
        <f aca="false">SUMIFS(Permissions!$AM$2:$AM$3000,Permissions!$B$2:$B$3000,$A135,Permissions!$R$2:$R$3000,"Yes")</f>
        <v>0</v>
      </c>
      <c r="AX135" s="26" t="n">
        <f aca="false">SUMIFS(Permissions!$AN$2:$AN$3000,Permissions!$B$2:$B$3000,$A135,Permissions!$R$2:$R$3000,"Yes")</f>
        <v>0</v>
      </c>
      <c r="AY135" s="26" t="n">
        <f aca="false">SUMIFS(Permissions!$AO$2:$AO$3000,Permissions!$B$2:$B$3000,$A135,Permissions!$R$2:$R$3000,"Yes")</f>
        <v>0</v>
      </c>
      <c r="AZ135" s="24" t="n">
        <f aca="false">COUNTIFS(Permissions!$B$2:$B$3000,$A135,Permissions!$R$2:$R$3000,"Yes")</f>
        <v>0</v>
      </c>
      <c r="BA135" s="24" t="n">
        <f aca="false">SUMIFS(Permissions!$M$2:$M$3000,Permissions!$B$2:$B$3000,$A135,Permissions!$R$2:$R$3000,"Yes")</f>
        <v>0</v>
      </c>
      <c r="BB135" s="24" t="n">
        <f aca="false">SUMIFS(Permissions!$O$2:$O$3000,Permissions!$B$2:$B$3000,$A135,Permissions!$R$2:$R$3000,"Yes")</f>
        <v>0</v>
      </c>
      <c r="BC135" s="27" t="str">
        <f aca="false">IF(AND(AM135&gt;0,AR135&gt;=AM135,AP135=0),"Finished",IF(AR135&gt;0,"Partly built",IF(AM135&gt;0,"Consented – not built","No consent")))</f>
        <v>No consent</v>
      </c>
      <c r="BD135" s="28" t="str">
        <f aca="false">IF(AND(R135&lt;&gt;"",AM135&gt;1.1*R135),"Consented above capacity",IF(AND(LEFT(B135,8)="Planning",AZ135=0),"Consent parcel with no permission",IF(COUNTIF($A$2:$A$3000,$A135)&gt;1,"Duplicate parcel_id","")))</f>
        <v/>
      </c>
    </row>
    <row r="136" customFormat="false" ht="15" hidden="false" customHeight="false" outlineLevel="0" collapsed="false">
      <c r="A136" s="15" t="s">
        <v>361</v>
      </c>
      <c r="B136" s="15" t="s">
        <v>345</v>
      </c>
      <c r="C136" s="15" t="s">
        <v>17</v>
      </c>
      <c r="D136" s="15" t="s">
        <v>68</v>
      </c>
      <c r="E136" s="15" t="s">
        <v>21</v>
      </c>
      <c r="F136" s="15" t="n">
        <v>0</v>
      </c>
      <c r="G136" s="15" t="s">
        <v>362</v>
      </c>
      <c r="H136" s="15"/>
      <c r="I136" s="15" t="s">
        <v>346</v>
      </c>
      <c r="J136" s="15" t="s">
        <v>363</v>
      </c>
      <c r="K136" s="15" t="s">
        <v>364</v>
      </c>
      <c r="L136" s="15"/>
      <c r="M136" s="15" t="s">
        <v>349</v>
      </c>
      <c r="N136" s="15"/>
      <c r="O136" s="15" t="s">
        <v>351</v>
      </c>
      <c r="P136" s="15" t="n">
        <v>0.332</v>
      </c>
      <c r="Q136" s="15" t="n">
        <v>0.332</v>
      </c>
      <c r="R136" s="15" t="n">
        <v>7</v>
      </c>
      <c r="S136" s="15" t="s">
        <v>352</v>
      </c>
      <c r="T136" s="15" t="n">
        <v>8</v>
      </c>
      <c r="U136" s="15"/>
      <c r="V136" s="15"/>
      <c r="W136" s="15"/>
      <c r="X136" s="15" t="s">
        <v>353</v>
      </c>
      <c r="Y136" s="15" t="n">
        <v>25</v>
      </c>
      <c r="Z136" s="15" t="s">
        <v>354</v>
      </c>
      <c r="AA136" s="15"/>
      <c r="AB136" s="15" t="n">
        <v>0</v>
      </c>
      <c r="AC136" s="15" t="n">
        <v>0</v>
      </c>
      <c r="AD136" s="15"/>
      <c r="AE136" s="15" t="s">
        <v>365</v>
      </c>
      <c r="AF136" s="15" t="s">
        <v>169</v>
      </c>
      <c r="AG136" s="15"/>
      <c r="AH136" s="24" t="n">
        <f aca="false">IF(R136="",AM136,R136)</f>
        <v>7</v>
      </c>
      <c r="AI136" s="24" t="n">
        <f aca="false">SUMIFS(Permissions!$G$2:$G$3000,Permissions!$B$2:$B$3000,$A136,Permissions!$I$2:$I$3000,"Complete",Permissions!$R$2:$R$3000,"Yes")</f>
        <v>0</v>
      </c>
      <c r="AJ136" s="24" t="n">
        <f aca="false">SUMIFS(Permissions!$G$2:$G$3000,Permissions!$B$2:$B$3000,$A136,Permissions!$I$2:$I$3000,"Under construction",Permissions!$R$2:$R$3000,"Yes")</f>
        <v>0</v>
      </c>
      <c r="AK136" s="24" t="n">
        <f aca="false">SUMIFS(Permissions!$G$2:$G$3000,Permissions!$B$2:$B$3000,$A136,Permissions!$I$2:$I$3000,"Permitted – not started",Permissions!$R$2:$R$3000,"Yes")</f>
        <v>0</v>
      </c>
      <c r="AL136" s="24" t="n">
        <f aca="false">SUMIFS(Permissions!$G$2:$G$3000,Permissions!$B$2:$B$3000,$A136,Permissions!$I$2:$I$3000,"Stalled",Permissions!$R$2:$R$3000,"Yes")</f>
        <v>0</v>
      </c>
      <c r="AM136" s="24" t="n">
        <f aca="false">AI136+AJ136+AK136+AL136</f>
        <v>0</v>
      </c>
      <c r="AN136" s="24" t="n">
        <f aca="false">SUMIFS(Permissions!$G$2:$G$3000,Permissions!$B$2:$B$3000,$A136,Permissions!$I$2:$I$3000,"Expired – not started",Permissions!$R$2:$R$3000,"Yes")</f>
        <v>0</v>
      </c>
      <c r="AO136" s="24" t="n">
        <f aca="false">SUMIFS(Permissions!$G$2:$G$3000,Permissions!$B$2:$B$3000,$A136,Permissions!$I$2:$I$3000,"In planning",Permissions!$R$2:$R$3000,"Yes")</f>
        <v>0</v>
      </c>
      <c r="AP136" s="24" t="n">
        <f aca="false">IF(R136="",0,MAX(R136-AM136,0))</f>
        <v>7</v>
      </c>
      <c r="AQ136" s="25" t="n">
        <f aca="false">AM136+AP136</f>
        <v>7</v>
      </c>
      <c r="AR136" s="24" t="n">
        <f aca="false">SUMIFS(Permissions!$L$2:$L$3000,Permissions!$B$2:$B$3000,$A136,Permissions!$R$2:$R$3000,"Yes",Permissions!$I$2:$I$3000,"&lt;&gt;Expired – not started",Permissions!$I$2:$I$3000,"&lt;&gt;In planning")</f>
        <v>0</v>
      </c>
      <c r="AS136" s="24" t="n">
        <f aca="false">AQ136-AR136</f>
        <v>7</v>
      </c>
      <c r="AT136" s="26" t="n">
        <f aca="false">SUMIFS(Permissions!$AJ$2:$AJ$3000,Permissions!$B$2:$B$3000,$A136,Permissions!$R$2:$R$3000,"Yes")</f>
        <v>0</v>
      </c>
      <c r="AU136" s="26" t="n">
        <f aca="false">SUMIFS(Permissions!$AK$2:$AK$3000,Permissions!$B$2:$B$3000,$A136,Permissions!$R$2:$R$3000,"Yes")</f>
        <v>0</v>
      </c>
      <c r="AV136" s="26" t="n">
        <f aca="false">SUMIFS(Permissions!$AL$2:$AL$3000,Permissions!$B$2:$B$3000,$A136,Permissions!$R$2:$R$3000,"Yes")</f>
        <v>0</v>
      </c>
      <c r="AW136" s="26" t="n">
        <f aca="false">SUMIFS(Permissions!$AM$2:$AM$3000,Permissions!$B$2:$B$3000,$A136,Permissions!$R$2:$R$3000,"Yes")</f>
        <v>0</v>
      </c>
      <c r="AX136" s="26" t="n">
        <f aca="false">SUMIFS(Permissions!$AN$2:$AN$3000,Permissions!$B$2:$B$3000,$A136,Permissions!$R$2:$R$3000,"Yes")</f>
        <v>0</v>
      </c>
      <c r="AY136" s="26" t="n">
        <f aca="false">SUMIFS(Permissions!$AO$2:$AO$3000,Permissions!$B$2:$B$3000,$A136,Permissions!$R$2:$R$3000,"Yes")</f>
        <v>0</v>
      </c>
      <c r="AZ136" s="24" t="n">
        <f aca="false">COUNTIFS(Permissions!$B$2:$B$3000,$A136,Permissions!$R$2:$R$3000,"Yes")</f>
        <v>0</v>
      </c>
      <c r="BA136" s="24" t="n">
        <f aca="false">SUMIFS(Permissions!$M$2:$M$3000,Permissions!$B$2:$B$3000,$A136,Permissions!$R$2:$R$3000,"Yes")</f>
        <v>0</v>
      </c>
      <c r="BB136" s="24" t="n">
        <f aca="false">SUMIFS(Permissions!$O$2:$O$3000,Permissions!$B$2:$B$3000,$A136,Permissions!$R$2:$R$3000,"Yes")</f>
        <v>0</v>
      </c>
      <c r="BC136" s="27" t="str">
        <f aca="false">IF(AND(AM136&gt;0,AR136&gt;=AM136,AP136=0),"Finished",IF(AR136&gt;0,"Partly built",IF(AM136&gt;0,"Consented – not built","No consent")))</f>
        <v>No consent</v>
      </c>
      <c r="BD136" s="28" t="str">
        <f aca="false">IF(AND(R136&lt;&gt;"",AM136&gt;1.1*R136),"Consented above capacity",IF(AND(LEFT(B136,8)="Planning",AZ136=0),"Consent parcel with no permission",IF(COUNTIF($A$2:$A$3000,$A136)&gt;1,"Duplicate parcel_id","")))</f>
        <v/>
      </c>
    </row>
    <row r="137" customFormat="false" ht="15" hidden="false" customHeight="false" outlineLevel="0" collapsed="false">
      <c r="A137" s="15" t="s">
        <v>366</v>
      </c>
      <c r="B137" s="15" t="s">
        <v>345</v>
      </c>
      <c r="C137" s="15" t="s">
        <v>17</v>
      </c>
      <c r="D137" s="15" t="s">
        <v>68</v>
      </c>
      <c r="E137" s="15" t="s">
        <v>21</v>
      </c>
      <c r="F137" s="15" t="n">
        <v>0.99</v>
      </c>
      <c r="G137" s="15" t="s">
        <v>158</v>
      </c>
      <c r="H137" s="15"/>
      <c r="I137" s="15" t="s">
        <v>346</v>
      </c>
      <c r="J137" s="15" t="s">
        <v>363</v>
      </c>
      <c r="K137" s="15" t="s">
        <v>367</v>
      </c>
      <c r="L137" s="15"/>
      <c r="M137" s="15" t="s">
        <v>349</v>
      </c>
      <c r="N137" s="15"/>
      <c r="O137" s="15" t="s">
        <v>351</v>
      </c>
      <c r="P137" s="15" t="n">
        <v>0.68</v>
      </c>
      <c r="Q137" s="15" t="n">
        <v>0.68</v>
      </c>
      <c r="R137" s="15" t="n">
        <v>15</v>
      </c>
      <c r="S137" s="15" t="s">
        <v>352</v>
      </c>
      <c r="T137" s="15" t="n">
        <v>17</v>
      </c>
      <c r="U137" s="15"/>
      <c r="V137" s="15"/>
      <c r="W137" s="15"/>
      <c r="X137" s="15" t="s">
        <v>353</v>
      </c>
      <c r="Y137" s="15" t="n">
        <v>25</v>
      </c>
      <c r="Z137" s="15" t="s">
        <v>354</v>
      </c>
      <c r="AA137" s="15"/>
      <c r="AB137" s="15" t="n">
        <v>0</v>
      </c>
      <c r="AC137" s="15" t="n">
        <v>0</v>
      </c>
      <c r="AD137" s="15"/>
      <c r="AE137" s="15"/>
      <c r="AF137" s="15" t="s">
        <v>169</v>
      </c>
      <c r="AG137" s="15"/>
      <c r="AH137" s="24" t="n">
        <f aca="false">IF(R137="",AM137,R137)</f>
        <v>15</v>
      </c>
      <c r="AI137" s="24" t="n">
        <f aca="false">SUMIFS(Permissions!$G$2:$G$3000,Permissions!$B$2:$B$3000,$A137,Permissions!$I$2:$I$3000,"Complete",Permissions!$R$2:$R$3000,"Yes")</f>
        <v>0</v>
      </c>
      <c r="AJ137" s="24" t="n">
        <f aca="false">SUMIFS(Permissions!$G$2:$G$3000,Permissions!$B$2:$B$3000,$A137,Permissions!$I$2:$I$3000,"Under construction",Permissions!$R$2:$R$3000,"Yes")</f>
        <v>0</v>
      </c>
      <c r="AK137" s="24" t="n">
        <f aca="false">SUMIFS(Permissions!$G$2:$G$3000,Permissions!$B$2:$B$3000,$A137,Permissions!$I$2:$I$3000,"Permitted – not started",Permissions!$R$2:$R$3000,"Yes")</f>
        <v>0</v>
      </c>
      <c r="AL137" s="24" t="n">
        <f aca="false">SUMIFS(Permissions!$G$2:$G$3000,Permissions!$B$2:$B$3000,$A137,Permissions!$I$2:$I$3000,"Stalled",Permissions!$R$2:$R$3000,"Yes")</f>
        <v>0</v>
      </c>
      <c r="AM137" s="24" t="n">
        <f aca="false">AI137+AJ137+AK137+AL137</f>
        <v>0</v>
      </c>
      <c r="AN137" s="24" t="n">
        <f aca="false">SUMIFS(Permissions!$G$2:$G$3000,Permissions!$B$2:$B$3000,$A137,Permissions!$I$2:$I$3000,"Expired – not started",Permissions!$R$2:$R$3000,"Yes")</f>
        <v>0</v>
      </c>
      <c r="AO137" s="24" t="n">
        <f aca="false">SUMIFS(Permissions!$G$2:$G$3000,Permissions!$B$2:$B$3000,$A137,Permissions!$I$2:$I$3000,"In planning",Permissions!$R$2:$R$3000,"Yes")</f>
        <v>0</v>
      </c>
      <c r="AP137" s="24" t="n">
        <f aca="false">IF(R137="",0,MAX(R137-AM137,0))</f>
        <v>15</v>
      </c>
      <c r="AQ137" s="25" t="n">
        <f aca="false">AM137+AP137</f>
        <v>15</v>
      </c>
      <c r="AR137" s="24" t="n">
        <f aca="false">SUMIFS(Permissions!$L$2:$L$3000,Permissions!$B$2:$B$3000,$A137,Permissions!$R$2:$R$3000,"Yes",Permissions!$I$2:$I$3000,"&lt;&gt;Expired – not started",Permissions!$I$2:$I$3000,"&lt;&gt;In planning")</f>
        <v>0</v>
      </c>
      <c r="AS137" s="24" t="n">
        <f aca="false">AQ137-AR137</f>
        <v>15</v>
      </c>
      <c r="AT137" s="26" t="n">
        <f aca="false">SUMIFS(Permissions!$AJ$2:$AJ$3000,Permissions!$B$2:$B$3000,$A137,Permissions!$R$2:$R$3000,"Yes")</f>
        <v>0</v>
      </c>
      <c r="AU137" s="26" t="n">
        <f aca="false">SUMIFS(Permissions!$AK$2:$AK$3000,Permissions!$B$2:$B$3000,$A137,Permissions!$R$2:$R$3000,"Yes")</f>
        <v>0</v>
      </c>
      <c r="AV137" s="26" t="n">
        <f aca="false">SUMIFS(Permissions!$AL$2:$AL$3000,Permissions!$B$2:$B$3000,$A137,Permissions!$R$2:$R$3000,"Yes")</f>
        <v>0</v>
      </c>
      <c r="AW137" s="26" t="n">
        <f aca="false">SUMIFS(Permissions!$AM$2:$AM$3000,Permissions!$B$2:$B$3000,$A137,Permissions!$R$2:$R$3000,"Yes")</f>
        <v>0</v>
      </c>
      <c r="AX137" s="26" t="n">
        <f aca="false">SUMIFS(Permissions!$AN$2:$AN$3000,Permissions!$B$2:$B$3000,$A137,Permissions!$R$2:$R$3000,"Yes")</f>
        <v>0</v>
      </c>
      <c r="AY137" s="26" t="n">
        <f aca="false">SUMIFS(Permissions!$AO$2:$AO$3000,Permissions!$B$2:$B$3000,$A137,Permissions!$R$2:$R$3000,"Yes")</f>
        <v>0</v>
      </c>
      <c r="AZ137" s="24" t="n">
        <f aca="false">COUNTIFS(Permissions!$B$2:$B$3000,$A137,Permissions!$R$2:$R$3000,"Yes")</f>
        <v>0</v>
      </c>
      <c r="BA137" s="24" t="n">
        <f aca="false">SUMIFS(Permissions!$M$2:$M$3000,Permissions!$B$2:$B$3000,$A137,Permissions!$R$2:$R$3000,"Yes")</f>
        <v>0</v>
      </c>
      <c r="BB137" s="24" t="n">
        <f aca="false">SUMIFS(Permissions!$O$2:$O$3000,Permissions!$B$2:$B$3000,$A137,Permissions!$R$2:$R$3000,"Yes")</f>
        <v>0</v>
      </c>
      <c r="BC137" s="27" t="str">
        <f aca="false">IF(AND(AM137&gt;0,AR137&gt;=AM137,AP137=0),"Finished",IF(AR137&gt;0,"Partly built",IF(AM137&gt;0,"Consented – not built","No consent")))</f>
        <v>No consent</v>
      </c>
      <c r="BD137" s="28" t="str">
        <f aca="false">IF(AND(R137&lt;&gt;"",AM137&gt;1.1*R137),"Consented above capacity",IF(AND(LEFT(B137,8)="Planning",AZ137=0),"Consent parcel with no permission",IF(COUNTIF($A$2:$A$3000,$A137)&gt;1,"Duplicate parcel_id","")))</f>
        <v/>
      </c>
    </row>
    <row r="138" customFormat="false" ht="15" hidden="false" customHeight="false" outlineLevel="0" collapsed="false">
      <c r="A138" s="15" t="s">
        <v>368</v>
      </c>
      <c r="B138" s="15" t="s">
        <v>345</v>
      </c>
      <c r="C138" s="15" t="s">
        <v>17</v>
      </c>
      <c r="D138" s="15" t="s">
        <v>68</v>
      </c>
      <c r="E138" s="15" t="s">
        <v>21</v>
      </c>
      <c r="F138" s="15" t="n">
        <v>0.1</v>
      </c>
      <c r="G138" s="15" t="s">
        <v>158</v>
      </c>
      <c r="H138" s="15"/>
      <c r="I138" s="15" t="s">
        <v>346</v>
      </c>
      <c r="J138" s="15" t="s">
        <v>363</v>
      </c>
      <c r="K138" s="15" t="s">
        <v>369</v>
      </c>
      <c r="L138" s="15"/>
      <c r="M138" s="15" t="s">
        <v>357</v>
      </c>
      <c r="N138" s="15"/>
      <c r="O138" s="15" t="s">
        <v>358</v>
      </c>
      <c r="P138" s="15" t="n">
        <v>1.377</v>
      </c>
      <c r="Q138" s="15" t="n">
        <v>1.377</v>
      </c>
      <c r="R138" s="15" t="n">
        <v>14</v>
      </c>
      <c r="S138" s="15" t="s">
        <v>352</v>
      </c>
      <c r="T138" s="15" t="n">
        <v>34</v>
      </c>
      <c r="U138" s="15"/>
      <c r="V138" s="15"/>
      <c r="W138" s="15"/>
      <c r="X138" s="15" t="s">
        <v>353</v>
      </c>
      <c r="Y138" s="15" t="n">
        <v>25</v>
      </c>
      <c r="Z138" s="15" t="s">
        <v>354</v>
      </c>
      <c r="AA138" s="15"/>
      <c r="AB138" s="15" t="n">
        <v>0</v>
      </c>
      <c r="AC138" s="15" t="n">
        <v>0</v>
      </c>
      <c r="AD138" s="15"/>
      <c r="AE138" s="15" t="s">
        <v>370</v>
      </c>
      <c r="AF138" s="15" t="s">
        <v>169</v>
      </c>
      <c r="AG138" s="15"/>
      <c r="AH138" s="24" t="n">
        <f aca="false">IF(R138="",AM138,R138)</f>
        <v>14</v>
      </c>
      <c r="AI138" s="24" t="n">
        <f aca="false">SUMIFS(Permissions!$G$2:$G$3000,Permissions!$B$2:$B$3000,$A138,Permissions!$I$2:$I$3000,"Complete",Permissions!$R$2:$R$3000,"Yes")</f>
        <v>0</v>
      </c>
      <c r="AJ138" s="24" t="n">
        <f aca="false">SUMIFS(Permissions!$G$2:$G$3000,Permissions!$B$2:$B$3000,$A138,Permissions!$I$2:$I$3000,"Under construction",Permissions!$R$2:$R$3000,"Yes")</f>
        <v>0</v>
      </c>
      <c r="AK138" s="24" t="n">
        <f aca="false">SUMIFS(Permissions!$G$2:$G$3000,Permissions!$B$2:$B$3000,$A138,Permissions!$I$2:$I$3000,"Permitted – not started",Permissions!$R$2:$R$3000,"Yes")</f>
        <v>0</v>
      </c>
      <c r="AL138" s="24" t="n">
        <f aca="false">SUMIFS(Permissions!$G$2:$G$3000,Permissions!$B$2:$B$3000,$A138,Permissions!$I$2:$I$3000,"Stalled",Permissions!$R$2:$R$3000,"Yes")</f>
        <v>0</v>
      </c>
      <c r="AM138" s="24" t="n">
        <f aca="false">AI138+AJ138+AK138+AL138</f>
        <v>0</v>
      </c>
      <c r="AN138" s="24" t="n">
        <f aca="false">SUMIFS(Permissions!$G$2:$G$3000,Permissions!$B$2:$B$3000,$A138,Permissions!$I$2:$I$3000,"Expired – not started",Permissions!$R$2:$R$3000,"Yes")</f>
        <v>0</v>
      </c>
      <c r="AO138" s="24" t="n">
        <f aca="false">SUMIFS(Permissions!$G$2:$G$3000,Permissions!$B$2:$B$3000,$A138,Permissions!$I$2:$I$3000,"In planning",Permissions!$R$2:$R$3000,"Yes")</f>
        <v>0</v>
      </c>
      <c r="AP138" s="24" t="n">
        <f aca="false">IF(R138="",0,MAX(R138-AM138,0))</f>
        <v>14</v>
      </c>
      <c r="AQ138" s="25" t="n">
        <f aca="false">AM138+AP138</f>
        <v>14</v>
      </c>
      <c r="AR138" s="24" t="n">
        <f aca="false">SUMIFS(Permissions!$L$2:$L$3000,Permissions!$B$2:$B$3000,$A138,Permissions!$R$2:$R$3000,"Yes",Permissions!$I$2:$I$3000,"&lt;&gt;Expired – not started",Permissions!$I$2:$I$3000,"&lt;&gt;In planning")</f>
        <v>0</v>
      </c>
      <c r="AS138" s="24" t="n">
        <f aca="false">AQ138-AR138</f>
        <v>14</v>
      </c>
      <c r="AT138" s="26" t="n">
        <f aca="false">SUMIFS(Permissions!$AJ$2:$AJ$3000,Permissions!$B$2:$B$3000,$A138,Permissions!$R$2:$R$3000,"Yes")</f>
        <v>0</v>
      </c>
      <c r="AU138" s="26" t="n">
        <f aca="false">SUMIFS(Permissions!$AK$2:$AK$3000,Permissions!$B$2:$B$3000,$A138,Permissions!$R$2:$R$3000,"Yes")</f>
        <v>0</v>
      </c>
      <c r="AV138" s="26" t="n">
        <f aca="false">SUMIFS(Permissions!$AL$2:$AL$3000,Permissions!$B$2:$B$3000,$A138,Permissions!$R$2:$R$3000,"Yes")</f>
        <v>0</v>
      </c>
      <c r="AW138" s="26" t="n">
        <f aca="false">SUMIFS(Permissions!$AM$2:$AM$3000,Permissions!$B$2:$B$3000,$A138,Permissions!$R$2:$R$3000,"Yes")</f>
        <v>0</v>
      </c>
      <c r="AX138" s="26" t="n">
        <f aca="false">SUMIFS(Permissions!$AN$2:$AN$3000,Permissions!$B$2:$B$3000,$A138,Permissions!$R$2:$R$3000,"Yes")</f>
        <v>0</v>
      </c>
      <c r="AY138" s="26" t="n">
        <f aca="false">SUMIFS(Permissions!$AO$2:$AO$3000,Permissions!$B$2:$B$3000,$A138,Permissions!$R$2:$R$3000,"Yes")</f>
        <v>0</v>
      </c>
      <c r="AZ138" s="24" t="n">
        <f aca="false">COUNTIFS(Permissions!$B$2:$B$3000,$A138,Permissions!$R$2:$R$3000,"Yes")</f>
        <v>0</v>
      </c>
      <c r="BA138" s="24" t="n">
        <f aca="false">SUMIFS(Permissions!$M$2:$M$3000,Permissions!$B$2:$B$3000,$A138,Permissions!$R$2:$R$3000,"Yes")</f>
        <v>0</v>
      </c>
      <c r="BB138" s="24" t="n">
        <f aca="false">SUMIFS(Permissions!$O$2:$O$3000,Permissions!$B$2:$B$3000,$A138,Permissions!$R$2:$R$3000,"Yes")</f>
        <v>0</v>
      </c>
      <c r="BC138" s="27" t="str">
        <f aca="false">IF(AND(AM138&gt;0,AR138&gt;=AM138,AP138=0),"Finished",IF(AR138&gt;0,"Partly built",IF(AM138&gt;0,"Consented – not built","No consent")))</f>
        <v>No consent</v>
      </c>
      <c r="BD138" s="28" t="str">
        <f aca="false">IF(AND(R138&lt;&gt;"",AM138&gt;1.1*R138),"Consented above capacity",IF(AND(LEFT(B138,8)="Planning",AZ138=0),"Consent parcel with no permission",IF(COUNTIF($A$2:$A$3000,$A138)&gt;1,"Duplicate parcel_id","")))</f>
        <v/>
      </c>
    </row>
    <row r="139" customFormat="false" ht="15" hidden="false" customHeight="false" outlineLevel="0" collapsed="false">
      <c r="A139" s="15" t="s">
        <v>371</v>
      </c>
      <c r="B139" s="15" t="s">
        <v>345</v>
      </c>
      <c r="C139" s="15" t="s">
        <v>17</v>
      </c>
      <c r="D139" s="15" t="s">
        <v>68</v>
      </c>
      <c r="E139" s="15" t="s">
        <v>21</v>
      </c>
      <c r="F139" s="15" t="n">
        <v>0.6</v>
      </c>
      <c r="G139" s="15" t="s">
        <v>158</v>
      </c>
      <c r="H139" s="15"/>
      <c r="I139" s="15" t="s">
        <v>346</v>
      </c>
      <c r="J139" s="15" t="s">
        <v>363</v>
      </c>
      <c r="K139" s="15" t="s">
        <v>372</v>
      </c>
      <c r="L139" s="15"/>
      <c r="M139" s="15" t="s">
        <v>349</v>
      </c>
      <c r="N139" s="15"/>
      <c r="O139" s="15" t="s">
        <v>351</v>
      </c>
      <c r="P139" s="15" t="n">
        <v>0.234</v>
      </c>
      <c r="Q139" s="15" t="n">
        <v>0.234</v>
      </c>
      <c r="R139" s="15" t="n">
        <v>5</v>
      </c>
      <c r="S139" s="15" t="s">
        <v>352</v>
      </c>
      <c r="T139" s="15" t="n">
        <v>6</v>
      </c>
      <c r="U139" s="15"/>
      <c r="V139" s="15"/>
      <c r="W139" s="15"/>
      <c r="X139" s="15" t="s">
        <v>353</v>
      </c>
      <c r="Y139" s="15" t="n">
        <v>25</v>
      </c>
      <c r="Z139" s="15" t="s">
        <v>354</v>
      </c>
      <c r="AA139" s="15"/>
      <c r="AB139" s="15" t="n">
        <v>0</v>
      </c>
      <c r="AC139" s="15" t="n">
        <v>0</v>
      </c>
      <c r="AD139" s="15"/>
      <c r="AE139" s="15"/>
      <c r="AF139" s="15" t="s">
        <v>169</v>
      </c>
      <c r="AG139" s="15"/>
      <c r="AH139" s="24" t="n">
        <f aca="false">IF(R139="",AM139,R139)</f>
        <v>5</v>
      </c>
      <c r="AI139" s="24" t="n">
        <f aca="false">SUMIFS(Permissions!$G$2:$G$3000,Permissions!$B$2:$B$3000,$A139,Permissions!$I$2:$I$3000,"Complete",Permissions!$R$2:$R$3000,"Yes")</f>
        <v>0</v>
      </c>
      <c r="AJ139" s="24" t="n">
        <f aca="false">SUMIFS(Permissions!$G$2:$G$3000,Permissions!$B$2:$B$3000,$A139,Permissions!$I$2:$I$3000,"Under construction",Permissions!$R$2:$R$3000,"Yes")</f>
        <v>0</v>
      </c>
      <c r="AK139" s="24" t="n">
        <f aca="false">SUMIFS(Permissions!$G$2:$G$3000,Permissions!$B$2:$B$3000,$A139,Permissions!$I$2:$I$3000,"Permitted – not started",Permissions!$R$2:$R$3000,"Yes")</f>
        <v>0</v>
      </c>
      <c r="AL139" s="24" t="n">
        <f aca="false">SUMIFS(Permissions!$G$2:$G$3000,Permissions!$B$2:$B$3000,$A139,Permissions!$I$2:$I$3000,"Stalled",Permissions!$R$2:$R$3000,"Yes")</f>
        <v>0</v>
      </c>
      <c r="AM139" s="24" t="n">
        <f aca="false">AI139+AJ139+AK139+AL139</f>
        <v>0</v>
      </c>
      <c r="AN139" s="24" t="n">
        <f aca="false">SUMIFS(Permissions!$G$2:$G$3000,Permissions!$B$2:$B$3000,$A139,Permissions!$I$2:$I$3000,"Expired – not started",Permissions!$R$2:$R$3000,"Yes")</f>
        <v>0</v>
      </c>
      <c r="AO139" s="24" t="n">
        <f aca="false">SUMIFS(Permissions!$G$2:$G$3000,Permissions!$B$2:$B$3000,$A139,Permissions!$I$2:$I$3000,"In planning",Permissions!$R$2:$R$3000,"Yes")</f>
        <v>0</v>
      </c>
      <c r="AP139" s="24" t="n">
        <f aca="false">IF(R139="",0,MAX(R139-AM139,0))</f>
        <v>5</v>
      </c>
      <c r="AQ139" s="25" t="n">
        <f aca="false">AM139+AP139</f>
        <v>5</v>
      </c>
      <c r="AR139" s="24" t="n">
        <f aca="false">SUMIFS(Permissions!$L$2:$L$3000,Permissions!$B$2:$B$3000,$A139,Permissions!$R$2:$R$3000,"Yes",Permissions!$I$2:$I$3000,"&lt;&gt;Expired – not started",Permissions!$I$2:$I$3000,"&lt;&gt;In planning")</f>
        <v>0</v>
      </c>
      <c r="AS139" s="24" t="n">
        <f aca="false">AQ139-AR139</f>
        <v>5</v>
      </c>
      <c r="AT139" s="26" t="n">
        <f aca="false">SUMIFS(Permissions!$AJ$2:$AJ$3000,Permissions!$B$2:$B$3000,$A139,Permissions!$R$2:$R$3000,"Yes")</f>
        <v>0</v>
      </c>
      <c r="AU139" s="26" t="n">
        <f aca="false">SUMIFS(Permissions!$AK$2:$AK$3000,Permissions!$B$2:$B$3000,$A139,Permissions!$R$2:$R$3000,"Yes")</f>
        <v>0</v>
      </c>
      <c r="AV139" s="26" t="n">
        <f aca="false">SUMIFS(Permissions!$AL$2:$AL$3000,Permissions!$B$2:$B$3000,$A139,Permissions!$R$2:$R$3000,"Yes")</f>
        <v>0</v>
      </c>
      <c r="AW139" s="26" t="n">
        <f aca="false">SUMIFS(Permissions!$AM$2:$AM$3000,Permissions!$B$2:$B$3000,$A139,Permissions!$R$2:$R$3000,"Yes")</f>
        <v>0</v>
      </c>
      <c r="AX139" s="26" t="n">
        <f aca="false">SUMIFS(Permissions!$AN$2:$AN$3000,Permissions!$B$2:$B$3000,$A139,Permissions!$R$2:$R$3000,"Yes")</f>
        <v>0</v>
      </c>
      <c r="AY139" s="26" t="n">
        <f aca="false">SUMIFS(Permissions!$AO$2:$AO$3000,Permissions!$B$2:$B$3000,$A139,Permissions!$R$2:$R$3000,"Yes")</f>
        <v>0</v>
      </c>
      <c r="AZ139" s="24" t="n">
        <f aca="false">COUNTIFS(Permissions!$B$2:$B$3000,$A139,Permissions!$R$2:$R$3000,"Yes")</f>
        <v>0</v>
      </c>
      <c r="BA139" s="24" t="n">
        <f aca="false">SUMIFS(Permissions!$M$2:$M$3000,Permissions!$B$2:$B$3000,$A139,Permissions!$R$2:$R$3000,"Yes")</f>
        <v>0</v>
      </c>
      <c r="BB139" s="24" t="n">
        <f aca="false">SUMIFS(Permissions!$O$2:$O$3000,Permissions!$B$2:$B$3000,$A139,Permissions!$R$2:$R$3000,"Yes")</f>
        <v>0</v>
      </c>
      <c r="BC139" s="27" t="str">
        <f aca="false">IF(AND(AM139&gt;0,AR139&gt;=AM139,AP139=0),"Finished",IF(AR139&gt;0,"Partly built",IF(AM139&gt;0,"Consented – not built","No consent")))</f>
        <v>No consent</v>
      </c>
      <c r="BD139" s="28" t="str">
        <f aca="false">IF(AND(R139&lt;&gt;"",AM139&gt;1.1*R139),"Consented above capacity",IF(AND(LEFT(B139,8)="Planning",AZ139=0),"Consent parcel with no permission",IF(COUNTIF($A$2:$A$3000,$A139)&gt;1,"Duplicate parcel_id","")))</f>
        <v/>
      </c>
    </row>
    <row r="140" customFormat="false" ht="15" hidden="false" customHeight="false" outlineLevel="0" collapsed="false">
      <c r="A140" s="15" t="s">
        <v>373</v>
      </c>
      <c r="B140" s="15" t="s">
        <v>345</v>
      </c>
      <c r="C140" s="15" t="s">
        <v>17</v>
      </c>
      <c r="D140" s="15" t="s">
        <v>22</v>
      </c>
      <c r="E140" s="15" t="s">
        <v>22</v>
      </c>
      <c r="F140" s="15"/>
      <c r="G140" s="15" t="s">
        <v>22</v>
      </c>
      <c r="H140" s="15"/>
      <c r="I140" s="15" t="s">
        <v>346</v>
      </c>
      <c r="J140" s="15" t="s">
        <v>363</v>
      </c>
      <c r="K140" s="15" t="s">
        <v>374</v>
      </c>
      <c r="L140" s="15"/>
      <c r="M140" s="15" t="s">
        <v>349</v>
      </c>
      <c r="N140" s="15" t="s">
        <v>350</v>
      </c>
      <c r="O140" s="15" t="s">
        <v>351</v>
      </c>
      <c r="P140" s="15" t="n">
        <v>1.15</v>
      </c>
      <c r="Q140" s="15" t="n">
        <v>1.15</v>
      </c>
      <c r="R140" s="15" t="n">
        <v>25</v>
      </c>
      <c r="S140" s="15" t="s">
        <v>352</v>
      </c>
      <c r="T140" s="15" t="n">
        <v>29</v>
      </c>
      <c r="U140" s="15"/>
      <c r="V140" s="15"/>
      <c r="W140" s="15"/>
      <c r="X140" s="15" t="s">
        <v>353</v>
      </c>
      <c r="Y140" s="15" t="n">
        <v>25</v>
      </c>
      <c r="Z140" s="15" t="s">
        <v>354</v>
      </c>
      <c r="AA140" s="15"/>
      <c r="AB140" s="15" t="n">
        <v>0</v>
      </c>
      <c r="AC140" s="15" t="n">
        <v>0</v>
      </c>
      <c r="AD140" s="15"/>
      <c r="AE140" s="15"/>
      <c r="AF140" s="15" t="s">
        <v>169</v>
      </c>
      <c r="AG140" s="15"/>
      <c r="AH140" s="24" t="n">
        <f aca="false">IF(R140="",AM140,R140)</f>
        <v>25</v>
      </c>
      <c r="AI140" s="24" t="n">
        <f aca="false">SUMIFS(Permissions!$G$2:$G$3000,Permissions!$B$2:$B$3000,$A140,Permissions!$I$2:$I$3000,"Complete",Permissions!$R$2:$R$3000,"Yes")</f>
        <v>0</v>
      </c>
      <c r="AJ140" s="24" t="n">
        <f aca="false">SUMIFS(Permissions!$G$2:$G$3000,Permissions!$B$2:$B$3000,$A140,Permissions!$I$2:$I$3000,"Under construction",Permissions!$R$2:$R$3000,"Yes")</f>
        <v>0</v>
      </c>
      <c r="AK140" s="24" t="n">
        <f aca="false">SUMIFS(Permissions!$G$2:$G$3000,Permissions!$B$2:$B$3000,$A140,Permissions!$I$2:$I$3000,"Permitted – not started",Permissions!$R$2:$R$3000,"Yes")</f>
        <v>0</v>
      </c>
      <c r="AL140" s="24" t="n">
        <f aca="false">SUMIFS(Permissions!$G$2:$G$3000,Permissions!$B$2:$B$3000,$A140,Permissions!$I$2:$I$3000,"Stalled",Permissions!$R$2:$R$3000,"Yes")</f>
        <v>0</v>
      </c>
      <c r="AM140" s="24" t="n">
        <f aca="false">AI140+AJ140+AK140+AL140</f>
        <v>0</v>
      </c>
      <c r="AN140" s="24" t="n">
        <f aca="false">SUMIFS(Permissions!$G$2:$G$3000,Permissions!$B$2:$B$3000,$A140,Permissions!$I$2:$I$3000,"Expired – not started",Permissions!$R$2:$R$3000,"Yes")</f>
        <v>0</v>
      </c>
      <c r="AO140" s="24" t="n">
        <f aca="false">SUMIFS(Permissions!$G$2:$G$3000,Permissions!$B$2:$B$3000,$A140,Permissions!$I$2:$I$3000,"In planning",Permissions!$R$2:$R$3000,"Yes")</f>
        <v>0</v>
      </c>
      <c r="AP140" s="24" t="n">
        <f aca="false">IF(R140="",0,MAX(R140-AM140,0))</f>
        <v>25</v>
      </c>
      <c r="AQ140" s="25" t="n">
        <f aca="false">AM140+AP140</f>
        <v>25</v>
      </c>
      <c r="AR140" s="24" t="n">
        <f aca="false">SUMIFS(Permissions!$L$2:$L$3000,Permissions!$B$2:$B$3000,$A140,Permissions!$R$2:$R$3000,"Yes",Permissions!$I$2:$I$3000,"&lt;&gt;Expired – not started",Permissions!$I$2:$I$3000,"&lt;&gt;In planning")</f>
        <v>0</v>
      </c>
      <c r="AS140" s="24" t="n">
        <f aca="false">AQ140-AR140</f>
        <v>25</v>
      </c>
      <c r="AT140" s="26" t="n">
        <f aca="false">SUMIFS(Permissions!$AJ$2:$AJ$3000,Permissions!$B$2:$B$3000,$A140,Permissions!$R$2:$R$3000,"Yes")</f>
        <v>0</v>
      </c>
      <c r="AU140" s="26" t="n">
        <f aca="false">SUMIFS(Permissions!$AK$2:$AK$3000,Permissions!$B$2:$B$3000,$A140,Permissions!$R$2:$R$3000,"Yes")</f>
        <v>0</v>
      </c>
      <c r="AV140" s="26" t="n">
        <f aca="false">SUMIFS(Permissions!$AL$2:$AL$3000,Permissions!$B$2:$B$3000,$A140,Permissions!$R$2:$R$3000,"Yes")</f>
        <v>0</v>
      </c>
      <c r="AW140" s="26" t="n">
        <f aca="false">SUMIFS(Permissions!$AM$2:$AM$3000,Permissions!$B$2:$B$3000,$A140,Permissions!$R$2:$R$3000,"Yes")</f>
        <v>0</v>
      </c>
      <c r="AX140" s="26" t="n">
        <f aca="false">SUMIFS(Permissions!$AN$2:$AN$3000,Permissions!$B$2:$B$3000,$A140,Permissions!$R$2:$R$3000,"Yes")</f>
        <v>0</v>
      </c>
      <c r="AY140" s="26" t="n">
        <f aca="false">SUMIFS(Permissions!$AO$2:$AO$3000,Permissions!$B$2:$B$3000,$A140,Permissions!$R$2:$R$3000,"Yes")</f>
        <v>0</v>
      </c>
      <c r="AZ140" s="24" t="n">
        <f aca="false">COUNTIFS(Permissions!$B$2:$B$3000,$A140,Permissions!$R$2:$R$3000,"Yes")</f>
        <v>0</v>
      </c>
      <c r="BA140" s="24" t="n">
        <f aca="false">SUMIFS(Permissions!$M$2:$M$3000,Permissions!$B$2:$B$3000,$A140,Permissions!$R$2:$R$3000,"Yes")</f>
        <v>0</v>
      </c>
      <c r="BB140" s="24" t="n">
        <f aca="false">SUMIFS(Permissions!$O$2:$O$3000,Permissions!$B$2:$B$3000,$A140,Permissions!$R$2:$R$3000,"Yes")</f>
        <v>0</v>
      </c>
      <c r="BC140" s="27" t="str">
        <f aca="false">IF(AND(AM140&gt;0,AR140&gt;=AM140,AP140=0),"Finished",IF(AR140&gt;0,"Partly built",IF(AM140&gt;0,"Consented – not built","No consent")))</f>
        <v>No consent</v>
      </c>
      <c r="BD140" s="28" t="str">
        <f aca="false">IF(AND(R140&lt;&gt;"",AM140&gt;1.1*R140),"Consented above capacity",IF(AND(LEFT(B140,8)="Planning",AZ140=0),"Consent parcel with no permission",IF(COUNTIF($A$2:$A$3000,$A140)&gt;1,"Duplicate parcel_id","")))</f>
        <v/>
      </c>
    </row>
    <row r="141" customFormat="false" ht="15" hidden="false" customHeight="false" outlineLevel="0" collapsed="false">
      <c r="A141" s="15" t="s">
        <v>375</v>
      </c>
      <c r="B141" s="15" t="s">
        <v>345</v>
      </c>
      <c r="C141" s="15" t="s">
        <v>17</v>
      </c>
      <c r="D141" s="15" t="s">
        <v>22</v>
      </c>
      <c r="E141" s="15" t="s">
        <v>22</v>
      </c>
      <c r="F141" s="15"/>
      <c r="G141" s="15" t="s">
        <v>22</v>
      </c>
      <c r="H141" s="15"/>
      <c r="I141" s="15" t="s">
        <v>346</v>
      </c>
      <c r="J141" s="15" t="s">
        <v>363</v>
      </c>
      <c r="K141" s="15" t="s">
        <v>376</v>
      </c>
      <c r="L141" s="15"/>
      <c r="M141" s="15" t="s">
        <v>349</v>
      </c>
      <c r="N141" s="15" t="s">
        <v>350</v>
      </c>
      <c r="O141" s="15" t="s">
        <v>351</v>
      </c>
      <c r="P141" s="15" t="n">
        <v>0.247</v>
      </c>
      <c r="Q141" s="15" t="n">
        <v>0.247</v>
      </c>
      <c r="R141" s="15" t="n">
        <v>5</v>
      </c>
      <c r="S141" s="15" t="s">
        <v>352</v>
      </c>
      <c r="T141" s="15" t="n">
        <v>6</v>
      </c>
      <c r="U141" s="15"/>
      <c r="V141" s="15"/>
      <c r="W141" s="15"/>
      <c r="X141" s="15" t="s">
        <v>353</v>
      </c>
      <c r="Y141" s="15" t="n">
        <v>25</v>
      </c>
      <c r="Z141" s="15" t="s">
        <v>354</v>
      </c>
      <c r="AA141" s="15"/>
      <c r="AB141" s="15" t="n">
        <v>0</v>
      </c>
      <c r="AC141" s="15" t="n">
        <v>0</v>
      </c>
      <c r="AD141" s="15"/>
      <c r="AE141" s="15"/>
      <c r="AF141" s="15" t="s">
        <v>169</v>
      </c>
      <c r="AG141" s="15"/>
      <c r="AH141" s="24" t="n">
        <f aca="false">IF(R141="",AM141,R141)</f>
        <v>5</v>
      </c>
      <c r="AI141" s="24" t="n">
        <f aca="false">SUMIFS(Permissions!$G$2:$G$3000,Permissions!$B$2:$B$3000,$A141,Permissions!$I$2:$I$3000,"Complete",Permissions!$R$2:$R$3000,"Yes")</f>
        <v>0</v>
      </c>
      <c r="AJ141" s="24" t="n">
        <f aca="false">SUMIFS(Permissions!$G$2:$G$3000,Permissions!$B$2:$B$3000,$A141,Permissions!$I$2:$I$3000,"Under construction",Permissions!$R$2:$R$3000,"Yes")</f>
        <v>0</v>
      </c>
      <c r="AK141" s="24" t="n">
        <f aca="false">SUMIFS(Permissions!$G$2:$G$3000,Permissions!$B$2:$B$3000,$A141,Permissions!$I$2:$I$3000,"Permitted – not started",Permissions!$R$2:$R$3000,"Yes")</f>
        <v>0</v>
      </c>
      <c r="AL141" s="24" t="n">
        <f aca="false">SUMIFS(Permissions!$G$2:$G$3000,Permissions!$B$2:$B$3000,$A141,Permissions!$I$2:$I$3000,"Stalled",Permissions!$R$2:$R$3000,"Yes")</f>
        <v>0</v>
      </c>
      <c r="AM141" s="24" t="n">
        <f aca="false">AI141+AJ141+AK141+AL141</f>
        <v>0</v>
      </c>
      <c r="AN141" s="24" t="n">
        <f aca="false">SUMIFS(Permissions!$G$2:$G$3000,Permissions!$B$2:$B$3000,$A141,Permissions!$I$2:$I$3000,"Expired – not started",Permissions!$R$2:$R$3000,"Yes")</f>
        <v>0</v>
      </c>
      <c r="AO141" s="24" t="n">
        <f aca="false">SUMIFS(Permissions!$G$2:$G$3000,Permissions!$B$2:$B$3000,$A141,Permissions!$I$2:$I$3000,"In planning",Permissions!$R$2:$R$3000,"Yes")</f>
        <v>0</v>
      </c>
      <c r="AP141" s="24" t="n">
        <f aca="false">IF(R141="",0,MAX(R141-AM141,0))</f>
        <v>5</v>
      </c>
      <c r="AQ141" s="25" t="n">
        <f aca="false">AM141+AP141</f>
        <v>5</v>
      </c>
      <c r="AR141" s="24" t="n">
        <f aca="false">SUMIFS(Permissions!$L$2:$L$3000,Permissions!$B$2:$B$3000,$A141,Permissions!$R$2:$R$3000,"Yes",Permissions!$I$2:$I$3000,"&lt;&gt;Expired – not started",Permissions!$I$2:$I$3000,"&lt;&gt;In planning")</f>
        <v>0</v>
      </c>
      <c r="AS141" s="24" t="n">
        <f aca="false">AQ141-AR141</f>
        <v>5</v>
      </c>
      <c r="AT141" s="26" t="n">
        <f aca="false">SUMIFS(Permissions!$AJ$2:$AJ$3000,Permissions!$B$2:$B$3000,$A141,Permissions!$R$2:$R$3000,"Yes")</f>
        <v>0</v>
      </c>
      <c r="AU141" s="26" t="n">
        <f aca="false">SUMIFS(Permissions!$AK$2:$AK$3000,Permissions!$B$2:$B$3000,$A141,Permissions!$R$2:$R$3000,"Yes")</f>
        <v>0</v>
      </c>
      <c r="AV141" s="26" t="n">
        <f aca="false">SUMIFS(Permissions!$AL$2:$AL$3000,Permissions!$B$2:$B$3000,$A141,Permissions!$R$2:$R$3000,"Yes")</f>
        <v>0</v>
      </c>
      <c r="AW141" s="26" t="n">
        <f aca="false">SUMIFS(Permissions!$AM$2:$AM$3000,Permissions!$B$2:$B$3000,$A141,Permissions!$R$2:$R$3000,"Yes")</f>
        <v>0</v>
      </c>
      <c r="AX141" s="26" t="n">
        <f aca="false">SUMIFS(Permissions!$AN$2:$AN$3000,Permissions!$B$2:$B$3000,$A141,Permissions!$R$2:$R$3000,"Yes")</f>
        <v>0</v>
      </c>
      <c r="AY141" s="26" t="n">
        <f aca="false">SUMIFS(Permissions!$AO$2:$AO$3000,Permissions!$B$2:$B$3000,$A141,Permissions!$R$2:$R$3000,"Yes")</f>
        <v>0</v>
      </c>
      <c r="AZ141" s="24" t="n">
        <f aca="false">COUNTIFS(Permissions!$B$2:$B$3000,$A141,Permissions!$R$2:$R$3000,"Yes")</f>
        <v>0</v>
      </c>
      <c r="BA141" s="24" t="n">
        <f aca="false">SUMIFS(Permissions!$M$2:$M$3000,Permissions!$B$2:$B$3000,$A141,Permissions!$R$2:$R$3000,"Yes")</f>
        <v>0</v>
      </c>
      <c r="BB141" s="24" t="n">
        <f aca="false">SUMIFS(Permissions!$O$2:$O$3000,Permissions!$B$2:$B$3000,$A141,Permissions!$R$2:$R$3000,"Yes")</f>
        <v>0</v>
      </c>
      <c r="BC141" s="27" t="str">
        <f aca="false">IF(AND(AM141&gt;0,AR141&gt;=AM141,AP141=0),"Finished",IF(AR141&gt;0,"Partly built",IF(AM141&gt;0,"Consented – not built","No consent")))</f>
        <v>No consent</v>
      </c>
      <c r="BD141" s="28" t="str">
        <f aca="false">IF(AND(R141&lt;&gt;"",AM141&gt;1.1*R141),"Consented above capacity",IF(AND(LEFT(B141,8)="Planning",AZ141=0),"Consent parcel with no permission",IF(COUNTIF($A$2:$A$3000,$A141)&gt;1,"Duplicate parcel_id","")))</f>
        <v/>
      </c>
    </row>
    <row r="142" customFormat="false" ht="15" hidden="false" customHeight="false" outlineLevel="0" collapsed="false">
      <c r="A142" s="15" t="s">
        <v>377</v>
      </c>
      <c r="B142" s="15" t="s">
        <v>345</v>
      </c>
      <c r="C142" s="15" t="s">
        <v>17</v>
      </c>
      <c r="D142" s="15" t="s">
        <v>22</v>
      </c>
      <c r="E142" s="15" t="s">
        <v>22</v>
      </c>
      <c r="F142" s="15"/>
      <c r="G142" s="15" t="s">
        <v>22</v>
      </c>
      <c r="H142" s="15"/>
      <c r="I142" s="15" t="s">
        <v>346</v>
      </c>
      <c r="J142" s="15" t="s">
        <v>363</v>
      </c>
      <c r="K142" s="15" t="s">
        <v>378</v>
      </c>
      <c r="L142" s="15"/>
      <c r="M142" s="15" t="s">
        <v>357</v>
      </c>
      <c r="N142" s="15"/>
      <c r="O142" s="15" t="s">
        <v>358</v>
      </c>
      <c r="P142" s="15" t="n">
        <v>0.736</v>
      </c>
      <c r="Q142" s="15" t="n">
        <v>0.736</v>
      </c>
      <c r="R142" s="15" t="n">
        <v>7</v>
      </c>
      <c r="S142" s="15" t="s">
        <v>352</v>
      </c>
      <c r="T142" s="15" t="n">
        <v>18</v>
      </c>
      <c r="U142" s="15"/>
      <c r="V142" s="15"/>
      <c r="W142" s="15"/>
      <c r="X142" s="15" t="s">
        <v>353</v>
      </c>
      <c r="Y142" s="15" t="n">
        <v>25</v>
      </c>
      <c r="Z142" s="15" t="s">
        <v>354</v>
      </c>
      <c r="AA142" s="15"/>
      <c r="AB142" s="15" t="n">
        <v>0</v>
      </c>
      <c r="AC142" s="15" t="n">
        <v>0</v>
      </c>
      <c r="AD142" s="15"/>
      <c r="AE142" s="15"/>
      <c r="AF142" s="15" t="s">
        <v>169</v>
      </c>
      <c r="AG142" s="15"/>
      <c r="AH142" s="24" t="n">
        <f aca="false">IF(R142="",AM142,R142)</f>
        <v>7</v>
      </c>
      <c r="AI142" s="24" t="n">
        <f aca="false">SUMIFS(Permissions!$G$2:$G$3000,Permissions!$B$2:$B$3000,$A142,Permissions!$I$2:$I$3000,"Complete",Permissions!$R$2:$R$3000,"Yes")</f>
        <v>0</v>
      </c>
      <c r="AJ142" s="24" t="n">
        <f aca="false">SUMIFS(Permissions!$G$2:$G$3000,Permissions!$B$2:$B$3000,$A142,Permissions!$I$2:$I$3000,"Under construction",Permissions!$R$2:$R$3000,"Yes")</f>
        <v>0</v>
      </c>
      <c r="AK142" s="24" t="n">
        <f aca="false">SUMIFS(Permissions!$G$2:$G$3000,Permissions!$B$2:$B$3000,$A142,Permissions!$I$2:$I$3000,"Permitted – not started",Permissions!$R$2:$R$3000,"Yes")</f>
        <v>0</v>
      </c>
      <c r="AL142" s="24" t="n">
        <f aca="false">SUMIFS(Permissions!$G$2:$G$3000,Permissions!$B$2:$B$3000,$A142,Permissions!$I$2:$I$3000,"Stalled",Permissions!$R$2:$R$3000,"Yes")</f>
        <v>0</v>
      </c>
      <c r="AM142" s="24" t="n">
        <f aca="false">AI142+AJ142+AK142+AL142</f>
        <v>0</v>
      </c>
      <c r="AN142" s="24" t="n">
        <f aca="false">SUMIFS(Permissions!$G$2:$G$3000,Permissions!$B$2:$B$3000,$A142,Permissions!$I$2:$I$3000,"Expired – not started",Permissions!$R$2:$R$3000,"Yes")</f>
        <v>0</v>
      </c>
      <c r="AO142" s="24" t="n">
        <f aca="false">SUMIFS(Permissions!$G$2:$G$3000,Permissions!$B$2:$B$3000,$A142,Permissions!$I$2:$I$3000,"In planning",Permissions!$R$2:$R$3000,"Yes")</f>
        <v>0</v>
      </c>
      <c r="AP142" s="24" t="n">
        <f aca="false">IF(R142="",0,MAX(R142-AM142,0))</f>
        <v>7</v>
      </c>
      <c r="AQ142" s="25" t="n">
        <f aca="false">AM142+AP142</f>
        <v>7</v>
      </c>
      <c r="AR142" s="24" t="n">
        <f aca="false">SUMIFS(Permissions!$L$2:$L$3000,Permissions!$B$2:$B$3000,$A142,Permissions!$R$2:$R$3000,"Yes",Permissions!$I$2:$I$3000,"&lt;&gt;Expired – not started",Permissions!$I$2:$I$3000,"&lt;&gt;In planning")</f>
        <v>0</v>
      </c>
      <c r="AS142" s="24" t="n">
        <f aca="false">AQ142-AR142</f>
        <v>7</v>
      </c>
      <c r="AT142" s="26" t="n">
        <f aca="false">SUMIFS(Permissions!$AJ$2:$AJ$3000,Permissions!$B$2:$B$3000,$A142,Permissions!$R$2:$R$3000,"Yes")</f>
        <v>0</v>
      </c>
      <c r="AU142" s="26" t="n">
        <f aca="false">SUMIFS(Permissions!$AK$2:$AK$3000,Permissions!$B$2:$B$3000,$A142,Permissions!$R$2:$R$3000,"Yes")</f>
        <v>0</v>
      </c>
      <c r="AV142" s="26" t="n">
        <f aca="false">SUMIFS(Permissions!$AL$2:$AL$3000,Permissions!$B$2:$B$3000,$A142,Permissions!$R$2:$R$3000,"Yes")</f>
        <v>0</v>
      </c>
      <c r="AW142" s="26" t="n">
        <f aca="false">SUMIFS(Permissions!$AM$2:$AM$3000,Permissions!$B$2:$B$3000,$A142,Permissions!$R$2:$R$3000,"Yes")</f>
        <v>0</v>
      </c>
      <c r="AX142" s="26" t="n">
        <f aca="false">SUMIFS(Permissions!$AN$2:$AN$3000,Permissions!$B$2:$B$3000,$A142,Permissions!$R$2:$R$3000,"Yes")</f>
        <v>0</v>
      </c>
      <c r="AY142" s="26" t="n">
        <f aca="false">SUMIFS(Permissions!$AO$2:$AO$3000,Permissions!$B$2:$B$3000,$A142,Permissions!$R$2:$R$3000,"Yes")</f>
        <v>0</v>
      </c>
      <c r="AZ142" s="24" t="n">
        <f aca="false">COUNTIFS(Permissions!$B$2:$B$3000,$A142,Permissions!$R$2:$R$3000,"Yes")</f>
        <v>0</v>
      </c>
      <c r="BA142" s="24" t="n">
        <f aca="false">SUMIFS(Permissions!$M$2:$M$3000,Permissions!$B$2:$B$3000,$A142,Permissions!$R$2:$R$3000,"Yes")</f>
        <v>0</v>
      </c>
      <c r="BB142" s="24" t="n">
        <f aca="false">SUMIFS(Permissions!$O$2:$O$3000,Permissions!$B$2:$B$3000,$A142,Permissions!$R$2:$R$3000,"Yes")</f>
        <v>0</v>
      </c>
      <c r="BC142" s="27" t="str">
        <f aca="false">IF(AND(AM142&gt;0,AR142&gt;=AM142,AP142=0),"Finished",IF(AR142&gt;0,"Partly built",IF(AM142&gt;0,"Consented – not built","No consent")))</f>
        <v>No consent</v>
      </c>
      <c r="BD142" s="28" t="str">
        <f aca="false">IF(AND(R142&lt;&gt;"",AM142&gt;1.1*R142),"Consented above capacity",IF(AND(LEFT(B142,8)="Planning",AZ142=0),"Consent parcel with no permission",IF(COUNTIF($A$2:$A$3000,$A142)&gt;1,"Duplicate parcel_id","")))</f>
        <v/>
      </c>
    </row>
    <row r="143" customFormat="false" ht="15" hidden="false" customHeight="false" outlineLevel="0" collapsed="false">
      <c r="A143" s="15" t="s">
        <v>379</v>
      </c>
      <c r="B143" s="15" t="s">
        <v>345</v>
      </c>
      <c r="C143" s="15" t="s">
        <v>17</v>
      </c>
      <c r="D143" s="15" t="s">
        <v>69</v>
      </c>
      <c r="E143" s="15" t="s">
        <v>21</v>
      </c>
      <c r="F143" s="15" t="n">
        <v>0</v>
      </c>
      <c r="G143" s="15" t="s">
        <v>362</v>
      </c>
      <c r="H143" s="15"/>
      <c r="I143" s="15" t="s">
        <v>346</v>
      </c>
      <c r="J143" s="15" t="s">
        <v>363</v>
      </c>
      <c r="K143" s="15" t="s">
        <v>380</v>
      </c>
      <c r="L143" s="15"/>
      <c r="M143" s="15" t="s">
        <v>349</v>
      </c>
      <c r="N143" s="15"/>
      <c r="O143" s="15" t="s">
        <v>351</v>
      </c>
      <c r="P143" s="15" t="n">
        <v>0.562</v>
      </c>
      <c r="Q143" s="15" t="n">
        <v>0.562</v>
      </c>
      <c r="R143" s="15" t="n">
        <v>12</v>
      </c>
      <c r="S143" s="15" t="s">
        <v>352</v>
      </c>
      <c r="T143" s="15" t="n">
        <v>14</v>
      </c>
      <c r="U143" s="15"/>
      <c r="V143" s="15"/>
      <c r="W143" s="15"/>
      <c r="X143" s="15" t="s">
        <v>353</v>
      </c>
      <c r="Y143" s="15" t="n">
        <v>25</v>
      </c>
      <c r="Z143" s="15" t="s">
        <v>354</v>
      </c>
      <c r="AA143" s="15"/>
      <c r="AB143" s="15" t="n">
        <v>0</v>
      </c>
      <c r="AC143" s="15" t="n">
        <v>0</v>
      </c>
      <c r="AD143" s="15"/>
      <c r="AE143" s="15" t="s">
        <v>381</v>
      </c>
      <c r="AF143" s="15" t="s">
        <v>169</v>
      </c>
      <c r="AG143" s="15"/>
      <c r="AH143" s="24" t="n">
        <f aca="false">IF(R143="",AM143,R143)</f>
        <v>12</v>
      </c>
      <c r="AI143" s="24" t="n">
        <f aca="false">SUMIFS(Permissions!$G$2:$G$3000,Permissions!$B$2:$B$3000,$A143,Permissions!$I$2:$I$3000,"Complete",Permissions!$R$2:$R$3000,"Yes")</f>
        <v>0</v>
      </c>
      <c r="AJ143" s="24" t="n">
        <f aca="false">SUMIFS(Permissions!$G$2:$G$3000,Permissions!$B$2:$B$3000,$A143,Permissions!$I$2:$I$3000,"Under construction",Permissions!$R$2:$R$3000,"Yes")</f>
        <v>0</v>
      </c>
      <c r="AK143" s="24" t="n">
        <f aca="false">SUMIFS(Permissions!$G$2:$G$3000,Permissions!$B$2:$B$3000,$A143,Permissions!$I$2:$I$3000,"Permitted – not started",Permissions!$R$2:$R$3000,"Yes")</f>
        <v>0</v>
      </c>
      <c r="AL143" s="24" t="n">
        <f aca="false">SUMIFS(Permissions!$G$2:$G$3000,Permissions!$B$2:$B$3000,$A143,Permissions!$I$2:$I$3000,"Stalled",Permissions!$R$2:$R$3000,"Yes")</f>
        <v>0</v>
      </c>
      <c r="AM143" s="24" t="n">
        <f aca="false">AI143+AJ143+AK143+AL143</f>
        <v>0</v>
      </c>
      <c r="AN143" s="24" t="n">
        <f aca="false">SUMIFS(Permissions!$G$2:$G$3000,Permissions!$B$2:$B$3000,$A143,Permissions!$I$2:$I$3000,"Expired – not started",Permissions!$R$2:$R$3000,"Yes")</f>
        <v>0</v>
      </c>
      <c r="AO143" s="24" t="n">
        <f aca="false">SUMIFS(Permissions!$G$2:$G$3000,Permissions!$B$2:$B$3000,$A143,Permissions!$I$2:$I$3000,"In planning",Permissions!$R$2:$R$3000,"Yes")</f>
        <v>0</v>
      </c>
      <c r="AP143" s="24" t="n">
        <f aca="false">IF(R143="",0,MAX(R143-AM143,0))</f>
        <v>12</v>
      </c>
      <c r="AQ143" s="25" t="n">
        <f aca="false">AM143+AP143</f>
        <v>12</v>
      </c>
      <c r="AR143" s="24" t="n">
        <f aca="false">SUMIFS(Permissions!$L$2:$L$3000,Permissions!$B$2:$B$3000,$A143,Permissions!$R$2:$R$3000,"Yes",Permissions!$I$2:$I$3000,"&lt;&gt;Expired – not started",Permissions!$I$2:$I$3000,"&lt;&gt;In planning")</f>
        <v>0</v>
      </c>
      <c r="AS143" s="24" t="n">
        <f aca="false">AQ143-AR143</f>
        <v>12</v>
      </c>
      <c r="AT143" s="26" t="n">
        <f aca="false">SUMIFS(Permissions!$AJ$2:$AJ$3000,Permissions!$B$2:$B$3000,$A143,Permissions!$R$2:$R$3000,"Yes")</f>
        <v>0</v>
      </c>
      <c r="AU143" s="26" t="n">
        <f aca="false">SUMIFS(Permissions!$AK$2:$AK$3000,Permissions!$B$2:$B$3000,$A143,Permissions!$R$2:$R$3000,"Yes")</f>
        <v>0</v>
      </c>
      <c r="AV143" s="26" t="n">
        <f aca="false">SUMIFS(Permissions!$AL$2:$AL$3000,Permissions!$B$2:$B$3000,$A143,Permissions!$R$2:$R$3000,"Yes")</f>
        <v>0</v>
      </c>
      <c r="AW143" s="26" t="n">
        <f aca="false">SUMIFS(Permissions!$AM$2:$AM$3000,Permissions!$B$2:$B$3000,$A143,Permissions!$R$2:$R$3000,"Yes")</f>
        <v>0</v>
      </c>
      <c r="AX143" s="26" t="n">
        <f aca="false">SUMIFS(Permissions!$AN$2:$AN$3000,Permissions!$B$2:$B$3000,$A143,Permissions!$R$2:$R$3000,"Yes")</f>
        <v>0</v>
      </c>
      <c r="AY143" s="26" t="n">
        <f aca="false">SUMIFS(Permissions!$AO$2:$AO$3000,Permissions!$B$2:$B$3000,$A143,Permissions!$R$2:$R$3000,"Yes")</f>
        <v>0</v>
      </c>
      <c r="AZ143" s="24" t="n">
        <f aca="false">COUNTIFS(Permissions!$B$2:$B$3000,$A143,Permissions!$R$2:$R$3000,"Yes")</f>
        <v>0</v>
      </c>
      <c r="BA143" s="24" t="n">
        <f aca="false">SUMIFS(Permissions!$M$2:$M$3000,Permissions!$B$2:$B$3000,$A143,Permissions!$R$2:$R$3000,"Yes")</f>
        <v>0</v>
      </c>
      <c r="BB143" s="24" t="n">
        <f aca="false">SUMIFS(Permissions!$O$2:$O$3000,Permissions!$B$2:$B$3000,$A143,Permissions!$R$2:$R$3000,"Yes")</f>
        <v>0</v>
      </c>
      <c r="BC143" s="27" t="str">
        <f aca="false">IF(AND(AM143&gt;0,AR143&gt;=AM143,AP143=0),"Finished",IF(AR143&gt;0,"Partly built",IF(AM143&gt;0,"Consented – not built","No consent")))</f>
        <v>No consent</v>
      </c>
      <c r="BD143" s="28" t="str">
        <f aca="false">IF(AND(R143&lt;&gt;"",AM143&gt;1.1*R143),"Consented above capacity",IF(AND(LEFT(B143,8)="Planning",AZ143=0),"Consent parcel with no permission",IF(COUNTIF($A$2:$A$3000,$A143)&gt;1,"Duplicate parcel_id","")))</f>
        <v/>
      </c>
    </row>
    <row r="144" customFormat="false" ht="15" hidden="false" customHeight="false" outlineLevel="0" collapsed="false">
      <c r="A144" s="15" t="s">
        <v>382</v>
      </c>
      <c r="B144" s="15" t="s">
        <v>345</v>
      </c>
      <c r="C144" s="15" t="s">
        <v>17</v>
      </c>
      <c r="D144" s="15" t="s">
        <v>69</v>
      </c>
      <c r="E144" s="15" t="s">
        <v>21</v>
      </c>
      <c r="F144" s="15" t="n">
        <v>0</v>
      </c>
      <c r="G144" s="15" t="s">
        <v>362</v>
      </c>
      <c r="H144" s="15"/>
      <c r="I144" s="15" t="s">
        <v>346</v>
      </c>
      <c r="J144" s="15" t="s">
        <v>363</v>
      </c>
      <c r="K144" s="15" t="s">
        <v>383</v>
      </c>
      <c r="L144" s="15"/>
      <c r="M144" s="15" t="s">
        <v>357</v>
      </c>
      <c r="N144" s="15" t="s">
        <v>350</v>
      </c>
      <c r="O144" s="15" t="s">
        <v>358</v>
      </c>
      <c r="P144" s="15" t="n">
        <v>0.667</v>
      </c>
      <c r="Q144" s="15" t="n">
        <v>0.667</v>
      </c>
      <c r="R144" s="15" t="n">
        <v>7</v>
      </c>
      <c r="S144" s="15" t="s">
        <v>352</v>
      </c>
      <c r="T144" s="15" t="n">
        <v>17</v>
      </c>
      <c r="U144" s="15"/>
      <c r="V144" s="15"/>
      <c r="W144" s="15"/>
      <c r="X144" s="15" t="s">
        <v>353</v>
      </c>
      <c r="Y144" s="15" t="n">
        <v>25</v>
      </c>
      <c r="Z144" s="15" t="s">
        <v>354</v>
      </c>
      <c r="AA144" s="15"/>
      <c r="AB144" s="15" t="n">
        <v>0</v>
      </c>
      <c r="AC144" s="15" t="n">
        <v>0</v>
      </c>
      <c r="AD144" s="15"/>
      <c r="AE144" s="15"/>
      <c r="AF144" s="15" t="s">
        <v>169</v>
      </c>
      <c r="AG144" s="15"/>
      <c r="AH144" s="24" t="n">
        <f aca="false">IF(R144="",AM144,R144)</f>
        <v>7</v>
      </c>
      <c r="AI144" s="24" t="n">
        <f aca="false">SUMIFS(Permissions!$G$2:$G$3000,Permissions!$B$2:$B$3000,$A144,Permissions!$I$2:$I$3000,"Complete",Permissions!$R$2:$R$3000,"Yes")</f>
        <v>0</v>
      </c>
      <c r="AJ144" s="24" t="n">
        <f aca="false">SUMIFS(Permissions!$G$2:$G$3000,Permissions!$B$2:$B$3000,$A144,Permissions!$I$2:$I$3000,"Under construction",Permissions!$R$2:$R$3000,"Yes")</f>
        <v>0</v>
      </c>
      <c r="AK144" s="24" t="n">
        <f aca="false">SUMIFS(Permissions!$G$2:$G$3000,Permissions!$B$2:$B$3000,$A144,Permissions!$I$2:$I$3000,"Permitted – not started",Permissions!$R$2:$R$3000,"Yes")</f>
        <v>0</v>
      </c>
      <c r="AL144" s="24" t="n">
        <f aca="false">SUMIFS(Permissions!$G$2:$G$3000,Permissions!$B$2:$B$3000,$A144,Permissions!$I$2:$I$3000,"Stalled",Permissions!$R$2:$R$3000,"Yes")</f>
        <v>0</v>
      </c>
      <c r="AM144" s="24" t="n">
        <f aca="false">AI144+AJ144+AK144+AL144</f>
        <v>0</v>
      </c>
      <c r="AN144" s="24" t="n">
        <f aca="false">SUMIFS(Permissions!$G$2:$G$3000,Permissions!$B$2:$B$3000,$A144,Permissions!$I$2:$I$3000,"Expired – not started",Permissions!$R$2:$R$3000,"Yes")</f>
        <v>0</v>
      </c>
      <c r="AO144" s="24" t="n">
        <f aca="false">SUMIFS(Permissions!$G$2:$G$3000,Permissions!$B$2:$B$3000,$A144,Permissions!$I$2:$I$3000,"In planning",Permissions!$R$2:$R$3000,"Yes")</f>
        <v>0</v>
      </c>
      <c r="AP144" s="24" t="n">
        <f aca="false">IF(R144="",0,MAX(R144-AM144,0))</f>
        <v>7</v>
      </c>
      <c r="AQ144" s="25" t="n">
        <f aca="false">AM144+AP144</f>
        <v>7</v>
      </c>
      <c r="AR144" s="24" t="n">
        <f aca="false">SUMIFS(Permissions!$L$2:$L$3000,Permissions!$B$2:$B$3000,$A144,Permissions!$R$2:$R$3000,"Yes",Permissions!$I$2:$I$3000,"&lt;&gt;Expired – not started",Permissions!$I$2:$I$3000,"&lt;&gt;In planning")</f>
        <v>0</v>
      </c>
      <c r="AS144" s="24" t="n">
        <f aca="false">AQ144-AR144</f>
        <v>7</v>
      </c>
      <c r="AT144" s="26" t="n">
        <f aca="false">SUMIFS(Permissions!$AJ$2:$AJ$3000,Permissions!$B$2:$B$3000,$A144,Permissions!$R$2:$R$3000,"Yes")</f>
        <v>0</v>
      </c>
      <c r="AU144" s="26" t="n">
        <f aca="false">SUMIFS(Permissions!$AK$2:$AK$3000,Permissions!$B$2:$B$3000,$A144,Permissions!$R$2:$R$3000,"Yes")</f>
        <v>0</v>
      </c>
      <c r="AV144" s="26" t="n">
        <f aca="false">SUMIFS(Permissions!$AL$2:$AL$3000,Permissions!$B$2:$B$3000,$A144,Permissions!$R$2:$R$3000,"Yes")</f>
        <v>0</v>
      </c>
      <c r="AW144" s="26" t="n">
        <f aca="false">SUMIFS(Permissions!$AM$2:$AM$3000,Permissions!$B$2:$B$3000,$A144,Permissions!$R$2:$R$3000,"Yes")</f>
        <v>0</v>
      </c>
      <c r="AX144" s="26" t="n">
        <f aca="false">SUMIFS(Permissions!$AN$2:$AN$3000,Permissions!$B$2:$B$3000,$A144,Permissions!$R$2:$R$3000,"Yes")</f>
        <v>0</v>
      </c>
      <c r="AY144" s="26" t="n">
        <f aca="false">SUMIFS(Permissions!$AO$2:$AO$3000,Permissions!$B$2:$B$3000,$A144,Permissions!$R$2:$R$3000,"Yes")</f>
        <v>0</v>
      </c>
      <c r="AZ144" s="24" t="n">
        <f aca="false">COUNTIFS(Permissions!$B$2:$B$3000,$A144,Permissions!$R$2:$R$3000,"Yes")</f>
        <v>0</v>
      </c>
      <c r="BA144" s="24" t="n">
        <f aca="false">SUMIFS(Permissions!$M$2:$M$3000,Permissions!$B$2:$B$3000,$A144,Permissions!$R$2:$R$3000,"Yes")</f>
        <v>0</v>
      </c>
      <c r="BB144" s="24" t="n">
        <f aca="false">SUMIFS(Permissions!$O$2:$O$3000,Permissions!$B$2:$B$3000,$A144,Permissions!$R$2:$R$3000,"Yes")</f>
        <v>0</v>
      </c>
      <c r="BC144" s="27" t="str">
        <f aca="false">IF(AND(AM144&gt;0,AR144&gt;=AM144,AP144=0),"Finished",IF(AR144&gt;0,"Partly built",IF(AM144&gt;0,"Consented – not built","No consent")))</f>
        <v>No consent</v>
      </c>
      <c r="BD144" s="28" t="str">
        <f aca="false">IF(AND(R144&lt;&gt;"",AM144&gt;1.1*R144),"Consented above capacity",IF(AND(LEFT(B144,8)="Planning",AZ144=0),"Consent parcel with no permission",IF(COUNTIF($A$2:$A$3000,$A144)&gt;1,"Duplicate parcel_id","")))</f>
        <v/>
      </c>
    </row>
    <row r="145" customFormat="false" ht="15" hidden="false" customHeight="false" outlineLevel="0" collapsed="false">
      <c r="A145" s="15" t="s">
        <v>384</v>
      </c>
      <c r="B145" s="15" t="s">
        <v>345</v>
      </c>
      <c r="C145" s="15" t="s">
        <v>17</v>
      </c>
      <c r="D145" s="15" t="s">
        <v>69</v>
      </c>
      <c r="E145" s="15" t="s">
        <v>21</v>
      </c>
      <c r="F145" s="15" t="n">
        <v>1</v>
      </c>
      <c r="G145" s="15" t="s">
        <v>158</v>
      </c>
      <c r="H145" s="15"/>
      <c r="I145" s="15" t="s">
        <v>346</v>
      </c>
      <c r="J145" s="15" t="s">
        <v>363</v>
      </c>
      <c r="K145" s="15" t="s">
        <v>385</v>
      </c>
      <c r="L145" s="15"/>
      <c r="M145" s="15" t="s">
        <v>349</v>
      </c>
      <c r="N145" s="15" t="s">
        <v>350</v>
      </c>
      <c r="O145" s="15" t="s">
        <v>351</v>
      </c>
      <c r="P145" s="15" t="n">
        <v>1.012</v>
      </c>
      <c r="Q145" s="15" t="n">
        <v>1.012</v>
      </c>
      <c r="R145" s="15" t="n">
        <v>22</v>
      </c>
      <c r="S145" s="15" t="s">
        <v>352</v>
      </c>
      <c r="T145" s="15" t="n">
        <v>25</v>
      </c>
      <c r="U145" s="15"/>
      <c r="V145" s="15"/>
      <c r="W145" s="15"/>
      <c r="X145" s="15" t="s">
        <v>353</v>
      </c>
      <c r="Y145" s="15" t="n">
        <v>25</v>
      </c>
      <c r="Z145" s="15" t="s">
        <v>354</v>
      </c>
      <c r="AA145" s="15"/>
      <c r="AB145" s="15" t="n">
        <v>15</v>
      </c>
      <c r="AC145" s="15" t="n">
        <v>15</v>
      </c>
      <c r="AD145" s="15"/>
      <c r="AE145" s="15"/>
      <c r="AF145" s="15" t="s">
        <v>169</v>
      </c>
      <c r="AG145" s="15"/>
      <c r="AH145" s="24" t="n">
        <f aca="false">IF(R145="",AM145,R145)</f>
        <v>22</v>
      </c>
      <c r="AI145" s="24" t="n">
        <f aca="false">SUMIFS(Permissions!$G$2:$G$3000,Permissions!$B$2:$B$3000,$A145,Permissions!$I$2:$I$3000,"Complete",Permissions!$R$2:$R$3000,"Yes")</f>
        <v>0</v>
      </c>
      <c r="AJ145" s="24" t="n">
        <f aca="false">SUMIFS(Permissions!$G$2:$G$3000,Permissions!$B$2:$B$3000,$A145,Permissions!$I$2:$I$3000,"Under construction",Permissions!$R$2:$R$3000,"Yes")</f>
        <v>22</v>
      </c>
      <c r="AK145" s="24" t="n">
        <f aca="false">SUMIFS(Permissions!$G$2:$G$3000,Permissions!$B$2:$B$3000,$A145,Permissions!$I$2:$I$3000,"Permitted – not started",Permissions!$R$2:$R$3000,"Yes")</f>
        <v>0</v>
      </c>
      <c r="AL145" s="24" t="n">
        <f aca="false">SUMIFS(Permissions!$G$2:$G$3000,Permissions!$B$2:$B$3000,$A145,Permissions!$I$2:$I$3000,"Stalled",Permissions!$R$2:$R$3000,"Yes")</f>
        <v>0</v>
      </c>
      <c r="AM145" s="24" t="n">
        <f aca="false">AI145+AJ145+AK145+AL145</f>
        <v>22</v>
      </c>
      <c r="AN145" s="24" t="n">
        <f aca="false">SUMIFS(Permissions!$G$2:$G$3000,Permissions!$B$2:$B$3000,$A145,Permissions!$I$2:$I$3000,"Expired – not started",Permissions!$R$2:$R$3000,"Yes")</f>
        <v>0</v>
      </c>
      <c r="AO145" s="24" t="n">
        <f aca="false">SUMIFS(Permissions!$G$2:$G$3000,Permissions!$B$2:$B$3000,$A145,Permissions!$I$2:$I$3000,"In planning",Permissions!$R$2:$R$3000,"Yes")</f>
        <v>0</v>
      </c>
      <c r="AP145" s="24" t="n">
        <f aca="false">IF(R145="",0,MAX(R145-AM145,0))</f>
        <v>0</v>
      </c>
      <c r="AQ145" s="25" t="n">
        <f aca="false">AM145+AP145</f>
        <v>22</v>
      </c>
      <c r="AR145" s="24" t="n">
        <f aca="false">SUMIFS(Permissions!$L$2:$L$3000,Permissions!$B$2:$B$3000,$A145,Permissions!$R$2:$R$3000,"Yes",Permissions!$I$2:$I$3000,"&lt;&gt;Expired – not started",Permissions!$I$2:$I$3000,"&lt;&gt;In planning")</f>
        <v>0</v>
      </c>
      <c r="AS145" s="24" t="n">
        <f aca="false">AQ145-AR145</f>
        <v>22</v>
      </c>
      <c r="AT145" s="26" t="n">
        <f aca="false">SUMIFS(Permissions!$AJ$2:$AJ$3000,Permissions!$B$2:$B$3000,$A145,Permissions!$R$2:$R$3000,"Yes")</f>
        <v>3.1</v>
      </c>
      <c r="AU145" s="26" t="n">
        <f aca="false">SUMIFS(Permissions!$AK$2:$AK$3000,Permissions!$B$2:$B$3000,$A145,Permissions!$R$2:$R$3000,"Yes")</f>
        <v>13.5</v>
      </c>
      <c r="AV145" s="26" t="n">
        <f aca="false">SUMIFS(Permissions!$AL$2:$AL$3000,Permissions!$B$2:$B$3000,$A145,Permissions!$R$2:$R$3000,"Yes")</f>
        <v>5.4</v>
      </c>
      <c r="AW145" s="26" t="n">
        <f aca="false">SUMIFS(Permissions!$AM$2:$AM$3000,Permissions!$B$2:$B$3000,$A145,Permissions!$R$2:$R$3000,"Yes")</f>
        <v>0</v>
      </c>
      <c r="AX145" s="26" t="n">
        <f aca="false">SUMIFS(Permissions!$AN$2:$AN$3000,Permissions!$B$2:$B$3000,$A145,Permissions!$R$2:$R$3000,"Yes")</f>
        <v>0</v>
      </c>
      <c r="AY145" s="26" t="n">
        <f aca="false">SUMIFS(Permissions!$AO$2:$AO$3000,Permissions!$B$2:$B$3000,$A145,Permissions!$R$2:$R$3000,"Yes")</f>
        <v>0</v>
      </c>
      <c r="AZ145" s="24" t="n">
        <f aca="false">COUNTIFS(Permissions!$B$2:$B$3000,$A145,Permissions!$R$2:$R$3000,"Yes")</f>
        <v>1</v>
      </c>
      <c r="BA145" s="24" t="n">
        <f aca="false">SUMIFS(Permissions!$M$2:$M$3000,Permissions!$B$2:$B$3000,$A145,Permissions!$R$2:$R$3000,"Yes")</f>
        <v>0</v>
      </c>
      <c r="BB145" s="24" t="n">
        <f aca="false">SUMIFS(Permissions!$O$2:$O$3000,Permissions!$B$2:$B$3000,$A145,Permissions!$R$2:$R$3000,"Yes")</f>
        <v>0</v>
      </c>
      <c r="BC145" s="27" t="str">
        <f aca="false">IF(AND(AM145&gt;0,AR145&gt;=AM145,AP145=0),"Finished",IF(AR145&gt;0,"Partly built",IF(AM145&gt;0,"Consented – not built","No consent")))</f>
        <v>Consented – not built</v>
      </c>
      <c r="BD145" s="28" t="str">
        <f aca="false">IF(AND(R145&lt;&gt;"",AM145&gt;1.1*R145),"Consented above capacity",IF(AND(LEFT(B145,8)="Planning",AZ145=0),"Consent parcel with no permission",IF(COUNTIF($A$2:$A$3000,$A145)&gt;1,"Duplicate parcel_id","")))</f>
        <v/>
      </c>
    </row>
    <row r="146" customFormat="false" ht="15" hidden="false" customHeight="false" outlineLevel="0" collapsed="false">
      <c r="A146" s="15" t="s">
        <v>386</v>
      </c>
      <c r="B146" s="15" t="s">
        <v>345</v>
      </c>
      <c r="C146" s="15" t="s">
        <v>17</v>
      </c>
      <c r="D146" s="15" t="s">
        <v>69</v>
      </c>
      <c r="E146" s="15" t="s">
        <v>21</v>
      </c>
      <c r="F146" s="15" t="n">
        <v>1</v>
      </c>
      <c r="G146" s="15" t="s">
        <v>158</v>
      </c>
      <c r="H146" s="15"/>
      <c r="I146" s="15" t="s">
        <v>346</v>
      </c>
      <c r="J146" s="15" t="s">
        <v>363</v>
      </c>
      <c r="K146" s="15" t="s">
        <v>387</v>
      </c>
      <c r="L146" s="15"/>
      <c r="M146" s="15" t="s">
        <v>349</v>
      </c>
      <c r="N146" s="15" t="s">
        <v>350</v>
      </c>
      <c r="O146" s="15" t="s">
        <v>351</v>
      </c>
      <c r="P146" s="15" t="n">
        <v>0.063</v>
      </c>
      <c r="Q146" s="15" t="n">
        <v>0.063</v>
      </c>
      <c r="R146" s="15" t="n">
        <v>1</v>
      </c>
      <c r="S146" s="15" t="s">
        <v>352</v>
      </c>
      <c r="T146" s="15" t="n">
        <v>2</v>
      </c>
      <c r="U146" s="15"/>
      <c r="V146" s="15"/>
      <c r="W146" s="15"/>
      <c r="X146" s="15" t="s">
        <v>353</v>
      </c>
      <c r="Y146" s="15" t="n">
        <v>25</v>
      </c>
      <c r="Z146" s="15" t="s">
        <v>354</v>
      </c>
      <c r="AA146" s="15"/>
      <c r="AB146" s="15" t="n">
        <v>0</v>
      </c>
      <c r="AC146" s="15" t="n">
        <v>0</v>
      </c>
      <c r="AD146" s="15"/>
      <c r="AE146" s="15" t="s">
        <v>388</v>
      </c>
      <c r="AF146" s="15" t="s">
        <v>169</v>
      </c>
      <c r="AG146" s="15"/>
      <c r="AH146" s="24" t="n">
        <f aca="false">IF(R146="",AM146,R146)</f>
        <v>1</v>
      </c>
      <c r="AI146" s="24" t="n">
        <f aca="false">SUMIFS(Permissions!$G$2:$G$3000,Permissions!$B$2:$B$3000,$A146,Permissions!$I$2:$I$3000,"Complete",Permissions!$R$2:$R$3000,"Yes")</f>
        <v>0</v>
      </c>
      <c r="AJ146" s="24" t="n">
        <f aca="false">SUMIFS(Permissions!$G$2:$G$3000,Permissions!$B$2:$B$3000,$A146,Permissions!$I$2:$I$3000,"Under construction",Permissions!$R$2:$R$3000,"Yes")</f>
        <v>0</v>
      </c>
      <c r="AK146" s="24" t="n">
        <f aca="false">SUMIFS(Permissions!$G$2:$G$3000,Permissions!$B$2:$B$3000,$A146,Permissions!$I$2:$I$3000,"Permitted – not started",Permissions!$R$2:$R$3000,"Yes")</f>
        <v>0</v>
      </c>
      <c r="AL146" s="24" t="n">
        <f aca="false">SUMIFS(Permissions!$G$2:$G$3000,Permissions!$B$2:$B$3000,$A146,Permissions!$I$2:$I$3000,"Stalled",Permissions!$R$2:$R$3000,"Yes")</f>
        <v>0</v>
      </c>
      <c r="AM146" s="24" t="n">
        <f aca="false">AI146+AJ146+AK146+AL146</f>
        <v>0</v>
      </c>
      <c r="AN146" s="24" t="n">
        <f aca="false">SUMIFS(Permissions!$G$2:$G$3000,Permissions!$B$2:$B$3000,$A146,Permissions!$I$2:$I$3000,"Expired – not started",Permissions!$R$2:$R$3000,"Yes")</f>
        <v>0</v>
      </c>
      <c r="AO146" s="24" t="n">
        <f aca="false">SUMIFS(Permissions!$G$2:$G$3000,Permissions!$B$2:$B$3000,$A146,Permissions!$I$2:$I$3000,"In planning",Permissions!$R$2:$R$3000,"Yes")</f>
        <v>0</v>
      </c>
      <c r="AP146" s="24" t="n">
        <f aca="false">IF(R146="",0,MAX(R146-AM146,0))</f>
        <v>1</v>
      </c>
      <c r="AQ146" s="25" t="n">
        <f aca="false">AM146+AP146</f>
        <v>1</v>
      </c>
      <c r="AR146" s="24" t="n">
        <f aca="false">SUMIFS(Permissions!$L$2:$L$3000,Permissions!$B$2:$B$3000,$A146,Permissions!$R$2:$R$3000,"Yes",Permissions!$I$2:$I$3000,"&lt;&gt;Expired – not started",Permissions!$I$2:$I$3000,"&lt;&gt;In planning")</f>
        <v>0</v>
      </c>
      <c r="AS146" s="24" t="n">
        <f aca="false">AQ146-AR146</f>
        <v>1</v>
      </c>
      <c r="AT146" s="26" t="n">
        <f aca="false">SUMIFS(Permissions!$AJ$2:$AJ$3000,Permissions!$B$2:$B$3000,$A146,Permissions!$R$2:$R$3000,"Yes")</f>
        <v>0</v>
      </c>
      <c r="AU146" s="26" t="n">
        <f aca="false">SUMIFS(Permissions!$AK$2:$AK$3000,Permissions!$B$2:$B$3000,$A146,Permissions!$R$2:$R$3000,"Yes")</f>
        <v>0</v>
      </c>
      <c r="AV146" s="26" t="n">
        <f aca="false">SUMIFS(Permissions!$AL$2:$AL$3000,Permissions!$B$2:$B$3000,$A146,Permissions!$R$2:$R$3000,"Yes")</f>
        <v>0</v>
      </c>
      <c r="AW146" s="26" t="n">
        <f aca="false">SUMIFS(Permissions!$AM$2:$AM$3000,Permissions!$B$2:$B$3000,$A146,Permissions!$R$2:$R$3000,"Yes")</f>
        <v>0</v>
      </c>
      <c r="AX146" s="26" t="n">
        <f aca="false">SUMIFS(Permissions!$AN$2:$AN$3000,Permissions!$B$2:$B$3000,$A146,Permissions!$R$2:$R$3000,"Yes")</f>
        <v>0</v>
      </c>
      <c r="AY146" s="26" t="n">
        <f aca="false">SUMIFS(Permissions!$AO$2:$AO$3000,Permissions!$B$2:$B$3000,$A146,Permissions!$R$2:$R$3000,"Yes")</f>
        <v>0</v>
      </c>
      <c r="AZ146" s="24" t="n">
        <f aca="false">COUNTIFS(Permissions!$B$2:$B$3000,$A146,Permissions!$R$2:$R$3000,"Yes")</f>
        <v>0</v>
      </c>
      <c r="BA146" s="24" t="n">
        <f aca="false">SUMIFS(Permissions!$M$2:$M$3000,Permissions!$B$2:$B$3000,$A146,Permissions!$R$2:$R$3000,"Yes")</f>
        <v>0</v>
      </c>
      <c r="BB146" s="24" t="n">
        <f aca="false">SUMIFS(Permissions!$O$2:$O$3000,Permissions!$B$2:$B$3000,$A146,Permissions!$R$2:$R$3000,"Yes")</f>
        <v>0</v>
      </c>
      <c r="BC146" s="27" t="str">
        <f aca="false">IF(AND(AM146&gt;0,AR146&gt;=AM146,AP146=0),"Finished",IF(AR146&gt;0,"Partly built",IF(AM146&gt;0,"Consented – not built","No consent")))</f>
        <v>No consent</v>
      </c>
      <c r="BD146" s="28" t="str">
        <f aca="false">IF(AND(R146&lt;&gt;"",AM146&gt;1.1*R146),"Consented above capacity",IF(AND(LEFT(B146,8)="Planning",AZ146=0),"Consent parcel with no permission",IF(COUNTIF($A$2:$A$3000,$A146)&gt;1,"Duplicate parcel_id","")))</f>
        <v/>
      </c>
    </row>
    <row r="147" customFormat="false" ht="15" hidden="false" customHeight="false" outlineLevel="0" collapsed="false">
      <c r="A147" s="15" t="s">
        <v>389</v>
      </c>
      <c r="B147" s="15" t="s">
        <v>345</v>
      </c>
      <c r="C147" s="15" t="s">
        <v>17</v>
      </c>
      <c r="D147" s="15" t="s">
        <v>22</v>
      </c>
      <c r="E147" s="15" t="s">
        <v>22</v>
      </c>
      <c r="F147" s="15"/>
      <c r="G147" s="15" t="s">
        <v>22</v>
      </c>
      <c r="H147" s="15"/>
      <c r="I147" s="15" t="s">
        <v>346</v>
      </c>
      <c r="J147" s="15" t="s">
        <v>390</v>
      </c>
      <c r="K147" s="15" t="s">
        <v>391</v>
      </c>
      <c r="L147" s="15"/>
      <c r="M147" s="15" t="s">
        <v>349</v>
      </c>
      <c r="N147" s="15" t="s">
        <v>350</v>
      </c>
      <c r="O147" s="15" t="s">
        <v>351</v>
      </c>
      <c r="P147" s="15" t="n">
        <v>0.808</v>
      </c>
      <c r="Q147" s="15" t="n">
        <v>0.808</v>
      </c>
      <c r="R147" s="15" t="n">
        <v>18</v>
      </c>
      <c r="S147" s="15" t="s">
        <v>352</v>
      </c>
      <c r="T147" s="15" t="n">
        <v>20</v>
      </c>
      <c r="U147" s="15"/>
      <c r="V147" s="15"/>
      <c r="W147" s="15"/>
      <c r="X147" s="15" t="s">
        <v>353</v>
      </c>
      <c r="Y147" s="15" t="n">
        <v>25</v>
      </c>
      <c r="Z147" s="15" t="s">
        <v>354</v>
      </c>
      <c r="AA147" s="15"/>
      <c r="AB147" s="15" t="n">
        <v>0</v>
      </c>
      <c r="AC147" s="15" t="n">
        <v>0</v>
      </c>
      <c r="AD147" s="15"/>
      <c r="AE147" s="15"/>
      <c r="AF147" s="15" t="s">
        <v>169</v>
      </c>
      <c r="AG147" s="15"/>
      <c r="AH147" s="24" t="n">
        <f aca="false">IF(R147="",AM147,R147)</f>
        <v>18</v>
      </c>
      <c r="AI147" s="24" t="n">
        <f aca="false">SUMIFS(Permissions!$G$2:$G$3000,Permissions!$B$2:$B$3000,$A147,Permissions!$I$2:$I$3000,"Complete",Permissions!$R$2:$R$3000,"Yes")</f>
        <v>0</v>
      </c>
      <c r="AJ147" s="24" t="n">
        <f aca="false">SUMIFS(Permissions!$G$2:$G$3000,Permissions!$B$2:$B$3000,$A147,Permissions!$I$2:$I$3000,"Under construction",Permissions!$R$2:$R$3000,"Yes")</f>
        <v>0</v>
      </c>
      <c r="AK147" s="24" t="n">
        <f aca="false">SUMIFS(Permissions!$G$2:$G$3000,Permissions!$B$2:$B$3000,$A147,Permissions!$I$2:$I$3000,"Permitted – not started",Permissions!$R$2:$R$3000,"Yes")</f>
        <v>0</v>
      </c>
      <c r="AL147" s="24" t="n">
        <f aca="false">SUMIFS(Permissions!$G$2:$G$3000,Permissions!$B$2:$B$3000,$A147,Permissions!$I$2:$I$3000,"Stalled",Permissions!$R$2:$R$3000,"Yes")</f>
        <v>0</v>
      </c>
      <c r="AM147" s="24" t="n">
        <f aca="false">AI147+AJ147+AK147+AL147</f>
        <v>0</v>
      </c>
      <c r="AN147" s="24" t="n">
        <f aca="false">SUMIFS(Permissions!$G$2:$G$3000,Permissions!$B$2:$B$3000,$A147,Permissions!$I$2:$I$3000,"Expired – not started",Permissions!$R$2:$R$3000,"Yes")</f>
        <v>0</v>
      </c>
      <c r="AO147" s="24" t="n">
        <f aca="false">SUMIFS(Permissions!$G$2:$G$3000,Permissions!$B$2:$B$3000,$A147,Permissions!$I$2:$I$3000,"In planning",Permissions!$R$2:$R$3000,"Yes")</f>
        <v>0</v>
      </c>
      <c r="AP147" s="24" t="n">
        <f aca="false">IF(R147="",0,MAX(R147-AM147,0))</f>
        <v>18</v>
      </c>
      <c r="AQ147" s="25" t="n">
        <f aca="false">AM147+AP147</f>
        <v>18</v>
      </c>
      <c r="AR147" s="24" t="n">
        <f aca="false">SUMIFS(Permissions!$L$2:$L$3000,Permissions!$B$2:$B$3000,$A147,Permissions!$R$2:$R$3000,"Yes",Permissions!$I$2:$I$3000,"&lt;&gt;Expired – not started",Permissions!$I$2:$I$3000,"&lt;&gt;In planning")</f>
        <v>0</v>
      </c>
      <c r="AS147" s="24" t="n">
        <f aca="false">AQ147-AR147</f>
        <v>18</v>
      </c>
      <c r="AT147" s="26" t="n">
        <f aca="false">SUMIFS(Permissions!$AJ$2:$AJ$3000,Permissions!$B$2:$B$3000,$A147,Permissions!$R$2:$R$3000,"Yes")</f>
        <v>0</v>
      </c>
      <c r="AU147" s="26" t="n">
        <f aca="false">SUMIFS(Permissions!$AK$2:$AK$3000,Permissions!$B$2:$B$3000,$A147,Permissions!$R$2:$R$3000,"Yes")</f>
        <v>0</v>
      </c>
      <c r="AV147" s="26" t="n">
        <f aca="false">SUMIFS(Permissions!$AL$2:$AL$3000,Permissions!$B$2:$B$3000,$A147,Permissions!$R$2:$R$3000,"Yes")</f>
        <v>0</v>
      </c>
      <c r="AW147" s="26" t="n">
        <f aca="false">SUMIFS(Permissions!$AM$2:$AM$3000,Permissions!$B$2:$B$3000,$A147,Permissions!$R$2:$R$3000,"Yes")</f>
        <v>0</v>
      </c>
      <c r="AX147" s="26" t="n">
        <f aca="false">SUMIFS(Permissions!$AN$2:$AN$3000,Permissions!$B$2:$B$3000,$A147,Permissions!$R$2:$R$3000,"Yes")</f>
        <v>0</v>
      </c>
      <c r="AY147" s="26" t="n">
        <f aca="false">SUMIFS(Permissions!$AO$2:$AO$3000,Permissions!$B$2:$B$3000,$A147,Permissions!$R$2:$R$3000,"Yes")</f>
        <v>0</v>
      </c>
      <c r="AZ147" s="24" t="n">
        <f aca="false">COUNTIFS(Permissions!$B$2:$B$3000,$A147,Permissions!$R$2:$R$3000,"Yes")</f>
        <v>0</v>
      </c>
      <c r="BA147" s="24" t="n">
        <f aca="false">SUMIFS(Permissions!$M$2:$M$3000,Permissions!$B$2:$B$3000,$A147,Permissions!$R$2:$R$3000,"Yes")</f>
        <v>0</v>
      </c>
      <c r="BB147" s="24" t="n">
        <f aca="false">SUMIFS(Permissions!$O$2:$O$3000,Permissions!$B$2:$B$3000,$A147,Permissions!$R$2:$R$3000,"Yes")</f>
        <v>0</v>
      </c>
      <c r="BC147" s="27" t="str">
        <f aca="false">IF(AND(AM147&gt;0,AR147&gt;=AM147,AP147=0),"Finished",IF(AR147&gt;0,"Partly built",IF(AM147&gt;0,"Consented – not built","No consent")))</f>
        <v>No consent</v>
      </c>
      <c r="BD147" s="28" t="str">
        <f aca="false">IF(AND(R147&lt;&gt;"",AM147&gt;1.1*R147),"Consented above capacity",IF(AND(LEFT(B147,8)="Planning",AZ147=0),"Consent parcel with no permission",IF(COUNTIF($A$2:$A$3000,$A147)&gt;1,"Duplicate parcel_id","")))</f>
        <v/>
      </c>
    </row>
    <row r="148" customFormat="false" ht="15" hidden="false" customHeight="false" outlineLevel="0" collapsed="false">
      <c r="A148" s="15" t="s">
        <v>392</v>
      </c>
      <c r="B148" s="15" t="s">
        <v>345</v>
      </c>
      <c r="C148" s="15" t="s">
        <v>17</v>
      </c>
      <c r="D148" s="15" t="s">
        <v>22</v>
      </c>
      <c r="E148" s="15" t="s">
        <v>22</v>
      </c>
      <c r="F148" s="15"/>
      <c r="G148" s="15" t="s">
        <v>22</v>
      </c>
      <c r="H148" s="15"/>
      <c r="I148" s="15" t="s">
        <v>346</v>
      </c>
      <c r="J148" s="15" t="s">
        <v>390</v>
      </c>
      <c r="K148" s="15" t="s">
        <v>393</v>
      </c>
      <c r="L148" s="15"/>
      <c r="M148" s="15" t="s">
        <v>349</v>
      </c>
      <c r="N148" s="15"/>
      <c r="O148" s="15" t="s">
        <v>351</v>
      </c>
      <c r="P148" s="15" t="n">
        <v>0.071</v>
      </c>
      <c r="Q148" s="15" t="n">
        <v>0.071</v>
      </c>
      <c r="R148" s="15" t="n">
        <v>2</v>
      </c>
      <c r="S148" s="15" t="s">
        <v>352</v>
      </c>
      <c r="T148" s="15" t="n">
        <v>2</v>
      </c>
      <c r="U148" s="15"/>
      <c r="V148" s="15"/>
      <c r="W148" s="15"/>
      <c r="X148" s="15" t="s">
        <v>353</v>
      </c>
      <c r="Y148" s="15" t="n">
        <v>25</v>
      </c>
      <c r="Z148" s="15" t="s">
        <v>354</v>
      </c>
      <c r="AA148" s="15"/>
      <c r="AB148" s="15" t="n">
        <v>2</v>
      </c>
      <c r="AC148" s="15" t="n">
        <v>2</v>
      </c>
      <c r="AD148" s="15"/>
      <c r="AE148" s="15"/>
      <c r="AF148" s="15" t="s">
        <v>169</v>
      </c>
      <c r="AG148" s="15"/>
      <c r="AH148" s="24" t="n">
        <f aca="false">IF(R148="",AM148,R148)</f>
        <v>2</v>
      </c>
      <c r="AI148" s="24" t="n">
        <f aca="false">SUMIFS(Permissions!$G$2:$G$3000,Permissions!$B$2:$B$3000,$A148,Permissions!$I$2:$I$3000,"Complete",Permissions!$R$2:$R$3000,"Yes")</f>
        <v>0</v>
      </c>
      <c r="AJ148" s="24" t="n">
        <f aca="false">SUMIFS(Permissions!$G$2:$G$3000,Permissions!$B$2:$B$3000,$A148,Permissions!$I$2:$I$3000,"Under construction",Permissions!$R$2:$R$3000,"Yes")</f>
        <v>0</v>
      </c>
      <c r="AK148" s="24" t="n">
        <f aca="false">SUMIFS(Permissions!$G$2:$G$3000,Permissions!$B$2:$B$3000,$A148,Permissions!$I$2:$I$3000,"Permitted – not started",Permissions!$R$2:$R$3000,"Yes")</f>
        <v>0</v>
      </c>
      <c r="AL148" s="24" t="n">
        <f aca="false">SUMIFS(Permissions!$G$2:$G$3000,Permissions!$B$2:$B$3000,$A148,Permissions!$I$2:$I$3000,"Stalled",Permissions!$R$2:$R$3000,"Yes")</f>
        <v>0</v>
      </c>
      <c r="AM148" s="24" t="n">
        <f aca="false">AI148+AJ148+AK148+AL148</f>
        <v>0</v>
      </c>
      <c r="AN148" s="24" t="n">
        <f aca="false">SUMIFS(Permissions!$G$2:$G$3000,Permissions!$B$2:$B$3000,$A148,Permissions!$I$2:$I$3000,"Expired – not started",Permissions!$R$2:$R$3000,"Yes")</f>
        <v>0</v>
      </c>
      <c r="AO148" s="24" t="n">
        <f aca="false">SUMIFS(Permissions!$G$2:$G$3000,Permissions!$B$2:$B$3000,$A148,Permissions!$I$2:$I$3000,"In planning",Permissions!$R$2:$R$3000,"Yes")</f>
        <v>0</v>
      </c>
      <c r="AP148" s="24" t="n">
        <f aca="false">IF(R148="",0,MAX(R148-AM148,0))</f>
        <v>2</v>
      </c>
      <c r="AQ148" s="25" t="n">
        <f aca="false">AM148+AP148</f>
        <v>2</v>
      </c>
      <c r="AR148" s="24" t="n">
        <f aca="false">SUMIFS(Permissions!$L$2:$L$3000,Permissions!$B$2:$B$3000,$A148,Permissions!$R$2:$R$3000,"Yes",Permissions!$I$2:$I$3000,"&lt;&gt;Expired – not started",Permissions!$I$2:$I$3000,"&lt;&gt;In planning")</f>
        <v>0</v>
      </c>
      <c r="AS148" s="24" t="n">
        <f aca="false">AQ148-AR148</f>
        <v>2</v>
      </c>
      <c r="AT148" s="26" t="n">
        <f aca="false">SUMIFS(Permissions!$AJ$2:$AJ$3000,Permissions!$B$2:$B$3000,$A148,Permissions!$R$2:$R$3000,"Yes")</f>
        <v>0</v>
      </c>
      <c r="AU148" s="26" t="n">
        <f aca="false">SUMIFS(Permissions!$AK$2:$AK$3000,Permissions!$B$2:$B$3000,$A148,Permissions!$R$2:$R$3000,"Yes")</f>
        <v>0</v>
      </c>
      <c r="AV148" s="26" t="n">
        <f aca="false">SUMIFS(Permissions!$AL$2:$AL$3000,Permissions!$B$2:$B$3000,$A148,Permissions!$R$2:$R$3000,"Yes")</f>
        <v>0</v>
      </c>
      <c r="AW148" s="26" t="n">
        <f aca="false">SUMIFS(Permissions!$AM$2:$AM$3000,Permissions!$B$2:$B$3000,$A148,Permissions!$R$2:$R$3000,"Yes")</f>
        <v>0</v>
      </c>
      <c r="AX148" s="26" t="n">
        <f aca="false">SUMIFS(Permissions!$AN$2:$AN$3000,Permissions!$B$2:$B$3000,$A148,Permissions!$R$2:$R$3000,"Yes")</f>
        <v>0</v>
      </c>
      <c r="AY148" s="26" t="n">
        <f aca="false">SUMIFS(Permissions!$AO$2:$AO$3000,Permissions!$B$2:$B$3000,$A148,Permissions!$R$2:$R$3000,"Yes")</f>
        <v>0</v>
      </c>
      <c r="AZ148" s="24" t="n">
        <f aca="false">COUNTIFS(Permissions!$B$2:$B$3000,$A148,Permissions!$R$2:$R$3000,"Yes")</f>
        <v>0</v>
      </c>
      <c r="BA148" s="24" t="n">
        <f aca="false">SUMIFS(Permissions!$M$2:$M$3000,Permissions!$B$2:$B$3000,$A148,Permissions!$R$2:$R$3000,"Yes")</f>
        <v>0</v>
      </c>
      <c r="BB148" s="24" t="n">
        <f aca="false">SUMIFS(Permissions!$O$2:$O$3000,Permissions!$B$2:$B$3000,$A148,Permissions!$R$2:$R$3000,"Yes")</f>
        <v>0</v>
      </c>
      <c r="BC148" s="27" t="str">
        <f aca="false">IF(AND(AM148&gt;0,AR148&gt;=AM148,AP148=0),"Finished",IF(AR148&gt;0,"Partly built",IF(AM148&gt;0,"Consented – not built","No consent")))</f>
        <v>No consent</v>
      </c>
      <c r="BD148" s="28" t="str">
        <f aca="false">IF(AND(R148&lt;&gt;"",AM148&gt;1.1*R148),"Consented above capacity",IF(AND(LEFT(B148,8)="Planning",AZ148=0),"Consent parcel with no permission",IF(COUNTIF($A$2:$A$3000,$A148)&gt;1,"Duplicate parcel_id","")))</f>
        <v/>
      </c>
    </row>
    <row r="149" customFormat="false" ht="15" hidden="false" customHeight="false" outlineLevel="0" collapsed="false">
      <c r="A149" s="15" t="s">
        <v>394</v>
      </c>
      <c r="B149" s="15" t="s">
        <v>345</v>
      </c>
      <c r="C149" s="15" t="s">
        <v>17</v>
      </c>
      <c r="D149" s="15" t="s">
        <v>22</v>
      </c>
      <c r="E149" s="15" t="s">
        <v>22</v>
      </c>
      <c r="F149" s="15"/>
      <c r="G149" s="15" t="s">
        <v>22</v>
      </c>
      <c r="H149" s="15"/>
      <c r="I149" s="15" t="s">
        <v>346</v>
      </c>
      <c r="J149" s="15" t="s">
        <v>390</v>
      </c>
      <c r="K149" s="15" t="s">
        <v>395</v>
      </c>
      <c r="L149" s="15"/>
      <c r="M149" s="15" t="s">
        <v>349</v>
      </c>
      <c r="N149" s="15"/>
      <c r="O149" s="15" t="s">
        <v>351</v>
      </c>
      <c r="P149" s="15" t="n">
        <v>0.845</v>
      </c>
      <c r="Q149" s="15" t="n">
        <v>0.845</v>
      </c>
      <c r="R149" s="15" t="n">
        <v>19</v>
      </c>
      <c r="S149" s="15" t="s">
        <v>352</v>
      </c>
      <c r="T149" s="15" t="n">
        <v>21</v>
      </c>
      <c r="U149" s="15"/>
      <c r="V149" s="15"/>
      <c r="W149" s="15"/>
      <c r="X149" s="15" t="s">
        <v>353</v>
      </c>
      <c r="Y149" s="15" t="n">
        <v>25</v>
      </c>
      <c r="Z149" s="15" t="s">
        <v>354</v>
      </c>
      <c r="AA149" s="15"/>
      <c r="AB149" s="15" t="n">
        <v>0</v>
      </c>
      <c r="AC149" s="15" t="n">
        <v>0</v>
      </c>
      <c r="AD149" s="15"/>
      <c r="AE149" s="15"/>
      <c r="AF149" s="15" t="s">
        <v>169</v>
      </c>
      <c r="AG149" s="15"/>
      <c r="AH149" s="24" t="n">
        <f aca="false">IF(R149="",AM149,R149)</f>
        <v>19</v>
      </c>
      <c r="AI149" s="24" t="n">
        <f aca="false">SUMIFS(Permissions!$G$2:$G$3000,Permissions!$B$2:$B$3000,$A149,Permissions!$I$2:$I$3000,"Complete",Permissions!$R$2:$R$3000,"Yes")</f>
        <v>0</v>
      </c>
      <c r="AJ149" s="24" t="n">
        <f aca="false">SUMIFS(Permissions!$G$2:$G$3000,Permissions!$B$2:$B$3000,$A149,Permissions!$I$2:$I$3000,"Under construction",Permissions!$R$2:$R$3000,"Yes")</f>
        <v>0</v>
      </c>
      <c r="AK149" s="24" t="n">
        <f aca="false">SUMIFS(Permissions!$G$2:$G$3000,Permissions!$B$2:$B$3000,$A149,Permissions!$I$2:$I$3000,"Permitted – not started",Permissions!$R$2:$R$3000,"Yes")</f>
        <v>0</v>
      </c>
      <c r="AL149" s="24" t="n">
        <f aca="false">SUMIFS(Permissions!$G$2:$G$3000,Permissions!$B$2:$B$3000,$A149,Permissions!$I$2:$I$3000,"Stalled",Permissions!$R$2:$R$3000,"Yes")</f>
        <v>0</v>
      </c>
      <c r="AM149" s="24" t="n">
        <f aca="false">AI149+AJ149+AK149+AL149</f>
        <v>0</v>
      </c>
      <c r="AN149" s="24" t="n">
        <f aca="false">SUMIFS(Permissions!$G$2:$G$3000,Permissions!$B$2:$B$3000,$A149,Permissions!$I$2:$I$3000,"Expired – not started",Permissions!$R$2:$R$3000,"Yes")</f>
        <v>0</v>
      </c>
      <c r="AO149" s="24" t="n">
        <f aca="false">SUMIFS(Permissions!$G$2:$G$3000,Permissions!$B$2:$B$3000,$A149,Permissions!$I$2:$I$3000,"In planning",Permissions!$R$2:$R$3000,"Yes")</f>
        <v>0</v>
      </c>
      <c r="AP149" s="24" t="n">
        <f aca="false">IF(R149="",0,MAX(R149-AM149,0))</f>
        <v>19</v>
      </c>
      <c r="AQ149" s="25" t="n">
        <f aca="false">AM149+AP149</f>
        <v>19</v>
      </c>
      <c r="AR149" s="24" t="n">
        <f aca="false">SUMIFS(Permissions!$L$2:$L$3000,Permissions!$B$2:$B$3000,$A149,Permissions!$R$2:$R$3000,"Yes",Permissions!$I$2:$I$3000,"&lt;&gt;Expired – not started",Permissions!$I$2:$I$3000,"&lt;&gt;In planning")</f>
        <v>0</v>
      </c>
      <c r="AS149" s="24" t="n">
        <f aca="false">AQ149-AR149</f>
        <v>19</v>
      </c>
      <c r="AT149" s="26" t="n">
        <f aca="false">SUMIFS(Permissions!$AJ$2:$AJ$3000,Permissions!$B$2:$B$3000,$A149,Permissions!$R$2:$R$3000,"Yes")</f>
        <v>0</v>
      </c>
      <c r="AU149" s="26" t="n">
        <f aca="false">SUMIFS(Permissions!$AK$2:$AK$3000,Permissions!$B$2:$B$3000,$A149,Permissions!$R$2:$R$3000,"Yes")</f>
        <v>0</v>
      </c>
      <c r="AV149" s="26" t="n">
        <f aca="false">SUMIFS(Permissions!$AL$2:$AL$3000,Permissions!$B$2:$B$3000,$A149,Permissions!$R$2:$R$3000,"Yes")</f>
        <v>0</v>
      </c>
      <c r="AW149" s="26" t="n">
        <f aca="false">SUMIFS(Permissions!$AM$2:$AM$3000,Permissions!$B$2:$B$3000,$A149,Permissions!$R$2:$R$3000,"Yes")</f>
        <v>0</v>
      </c>
      <c r="AX149" s="26" t="n">
        <f aca="false">SUMIFS(Permissions!$AN$2:$AN$3000,Permissions!$B$2:$B$3000,$A149,Permissions!$R$2:$R$3000,"Yes")</f>
        <v>0</v>
      </c>
      <c r="AY149" s="26" t="n">
        <f aca="false">SUMIFS(Permissions!$AO$2:$AO$3000,Permissions!$B$2:$B$3000,$A149,Permissions!$R$2:$R$3000,"Yes")</f>
        <v>0</v>
      </c>
      <c r="AZ149" s="24" t="n">
        <f aca="false">COUNTIFS(Permissions!$B$2:$B$3000,$A149,Permissions!$R$2:$R$3000,"Yes")</f>
        <v>0</v>
      </c>
      <c r="BA149" s="24" t="n">
        <f aca="false">SUMIFS(Permissions!$M$2:$M$3000,Permissions!$B$2:$B$3000,$A149,Permissions!$R$2:$R$3000,"Yes")</f>
        <v>0</v>
      </c>
      <c r="BB149" s="24" t="n">
        <f aca="false">SUMIFS(Permissions!$O$2:$O$3000,Permissions!$B$2:$B$3000,$A149,Permissions!$R$2:$R$3000,"Yes")</f>
        <v>0</v>
      </c>
      <c r="BC149" s="27" t="str">
        <f aca="false">IF(AND(AM149&gt;0,AR149&gt;=AM149,AP149=0),"Finished",IF(AR149&gt;0,"Partly built",IF(AM149&gt;0,"Consented – not built","No consent")))</f>
        <v>No consent</v>
      </c>
      <c r="BD149" s="28" t="str">
        <f aca="false">IF(AND(R149&lt;&gt;"",AM149&gt;1.1*R149),"Consented above capacity",IF(AND(LEFT(B149,8)="Planning",AZ149=0),"Consent parcel with no permission",IF(COUNTIF($A$2:$A$3000,$A149)&gt;1,"Duplicate parcel_id","")))</f>
        <v/>
      </c>
    </row>
    <row r="150" customFormat="false" ht="15" hidden="false" customHeight="false" outlineLevel="0" collapsed="false">
      <c r="A150" s="15" t="s">
        <v>396</v>
      </c>
      <c r="B150" s="15" t="s">
        <v>345</v>
      </c>
      <c r="C150" s="15" t="s">
        <v>17</v>
      </c>
      <c r="D150" s="15" t="s">
        <v>22</v>
      </c>
      <c r="E150" s="15" t="s">
        <v>22</v>
      </c>
      <c r="F150" s="15"/>
      <c r="G150" s="15" t="s">
        <v>22</v>
      </c>
      <c r="H150" s="15"/>
      <c r="I150" s="15" t="s">
        <v>346</v>
      </c>
      <c r="J150" s="15" t="s">
        <v>390</v>
      </c>
      <c r="K150" s="15" t="s">
        <v>397</v>
      </c>
      <c r="L150" s="15"/>
      <c r="M150" s="15" t="s">
        <v>357</v>
      </c>
      <c r="N150" s="15" t="s">
        <v>350</v>
      </c>
      <c r="O150" s="15" t="s">
        <v>358</v>
      </c>
      <c r="P150" s="15" t="n">
        <v>0.773</v>
      </c>
      <c r="Q150" s="15" t="n">
        <v>0.773</v>
      </c>
      <c r="R150" s="15" t="n">
        <v>8</v>
      </c>
      <c r="S150" s="15" t="s">
        <v>352</v>
      </c>
      <c r="T150" s="15" t="n">
        <v>19</v>
      </c>
      <c r="U150" s="15"/>
      <c r="V150" s="15"/>
      <c r="W150" s="15"/>
      <c r="X150" s="15" t="s">
        <v>353</v>
      </c>
      <c r="Y150" s="15" t="n">
        <v>25</v>
      </c>
      <c r="Z150" s="15" t="s">
        <v>354</v>
      </c>
      <c r="AA150" s="15"/>
      <c r="AB150" s="15" t="n">
        <v>0</v>
      </c>
      <c r="AC150" s="15" t="n">
        <v>0</v>
      </c>
      <c r="AD150" s="15"/>
      <c r="AE150" s="15"/>
      <c r="AF150" s="15" t="s">
        <v>169</v>
      </c>
      <c r="AG150" s="15"/>
      <c r="AH150" s="24" t="n">
        <f aca="false">IF(R150="",AM150,R150)</f>
        <v>8</v>
      </c>
      <c r="AI150" s="24" t="n">
        <f aca="false">SUMIFS(Permissions!$G$2:$G$3000,Permissions!$B$2:$B$3000,$A150,Permissions!$I$2:$I$3000,"Complete",Permissions!$R$2:$R$3000,"Yes")</f>
        <v>0</v>
      </c>
      <c r="AJ150" s="24" t="n">
        <f aca="false">SUMIFS(Permissions!$G$2:$G$3000,Permissions!$B$2:$B$3000,$A150,Permissions!$I$2:$I$3000,"Under construction",Permissions!$R$2:$R$3000,"Yes")</f>
        <v>0</v>
      </c>
      <c r="AK150" s="24" t="n">
        <f aca="false">SUMIFS(Permissions!$G$2:$G$3000,Permissions!$B$2:$B$3000,$A150,Permissions!$I$2:$I$3000,"Permitted – not started",Permissions!$R$2:$R$3000,"Yes")</f>
        <v>0</v>
      </c>
      <c r="AL150" s="24" t="n">
        <f aca="false">SUMIFS(Permissions!$G$2:$G$3000,Permissions!$B$2:$B$3000,$A150,Permissions!$I$2:$I$3000,"Stalled",Permissions!$R$2:$R$3000,"Yes")</f>
        <v>0</v>
      </c>
      <c r="AM150" s="24" t="n">
        <f aca="false">AI150+AJ150+AK150+AL150</f>
        <v>0</v>
      </c>
      <c r="AN150" s="24" t="n">
        <f aca="false">SUMIFS(Permissions!$G$2:$G$3000,Permissions!$B$2:$B$3000,$A150,Permissions!$I$2:$I$3000,"Expired – not started",Permissions!$R$2:$R$3000,"Yes")</f>
        <v>0</v>
      </c>
      <c r="AO150" s="24" t="n">
        <f aca="false">SUMIFS(Permissions!$G$2:$G$3000,Permissions!$B$2:$B$3000,$A150,Permissions!$I$2:$I$3000,"In planning",Permissions!$R$2:$R$3000,"Yes")</f>
        <v>0</v>
      </c>
      <c r="AP150" s="24" t="n">
        <f aca="false">IF(R150="",0,MAX(R150-AM150,0))</f>
        <v>8</v>
      </c>
      <c r="AQ150" s="25" t="n">
        <f aca="false">AM150+AP150</f>
        <v>8</v>
      </c>
      <c r="AR150" s="24" t="n">
        <f aca="false">SUMIFS(Permissions!$L$2:$L$3000,Permissions!$B$2:$B$3000,$A150,Permissions!$R$2:$R$3000,"Yes",Permissions!$I$2:$I$3000,"&lt;&gt;Expired – not started",Permissions!$I$2:$I$3000,"&lt;&gt;In planning")</f>
        <v>0</v>
      </c>
      <c r="AS150" s="24" t="n">
        <f aca="false">AQ150-AR150</f>
        <v>8</v>
      </c>
      <c r="AT150" s="26" t="n">
        <f aca="false">SUMIFS(Permissions!$AJ$2:$AJ$3000,Permissions!$B$2:$B$3000,$A150,Permissions!$R$2:$R$3000,"Yes")</f>
        <v>0</v>
      </c>
      <c r="AU150" s="26" t="n">
        <f aca="false">SUMIFS(Permissions!$AK$2:$AK$3000,Permissions!$B$2:$B$3000,$A150,Permissions!$R$2:$R$3000,"Yes")</f>
        <v>0</v>
      </c>
      <c r="AV150" s="26" t="n">
        <f aca="false">SUMIFS(Permissions!$AL$2:$AL$3000,Permissions!$B$2:$B$3000,$A150,Permissions!$R$2:$R$3000,"Yes")</f>
        <v>0</v>
      </c>
      <c r="AW150" s="26" t="n">
        <f aca="false">SUMIFS(Permissions!$AM$2:$AM$3000,Permissions!$B$2:$B$3000,$A150,Permissions!$R$2:$R$3000,"Yes")</f>
        <v>0</v>
      </c>
      <c r="AX150" s="26" t="n">
        <f aca="false">SUMIFS(Permissions!$AN$2:$AN$3000,Permissions!$B$2:$B$3000,$A150,Permissions!$R$2:$R$3000,"Yes")</f>
        <v>0</v>
      </c>
      <c r="AY150" s="26" t="n">
        <f aca="false">SUMIFS(Permissions!$AO$2:$AO$3000,Permissions!$B$2:$B$3000,$A150,Permissions!$R$2:$R$3000,"Yes")</f>
        <v>0</v>
      </c>
      <c r="AZ150" s="24" t="n">
        <f aca="false">COUNTIFS(Permissions!$B$2:$B$3000,$A150,Permissions!$R$2:$R$3000,"Yes")</f>
        <v>0</v>
      </c>
      <c r="BA150" s="24" t="n">
        <f aca="false">SUMIFS(Permissions!$M$2:$M$3000,Permissions!$B$2:$B$3000,$A150,Permissions!$R$2:$R$3000,"Yes")</f>
        <v>0</v>
      </c>
      <c r="BB150" s="24" t="n">
        <f aca="false">SUMIFS(Permissions!$O$2:$O$3000,Permissions!$B$2:$B$3000,$A150,Permissions!$R$2:$R$3000,"Yes")</f>
        <v>0</v>
      </c>
      <c r="BC150" s="27" t="str">
        <f aca="false">IF(AND(AM150&gt;0,AR150&gt;=AM150,AP150=0),"Finished",IF(AR150&gt;0,"Partly built",IF(AM150&gt;0,"Consented – not built","No consent")))</f>
        <v>No consent</v>
      </c>
      <c r="BD150" s="28" t="str">
        <f aca="false">IF(AND(R150&lt;&gt;"",AM150&gt;1.1*R150),"Consented above capacity",IF(AND(LEFT(B150,8)="Planning",AZ150=0),"Consent parcel with no permission",IF(COUNTIF($A$2:$A$3000,$A150)&gt;1,"Duplicate parcel_id","")))</f>
        <v/>
      </c>
    </row>
    <row r="151" customFormat="false" ht="15" hidden="false" customHeight="false" outlineLevel="0" collapsed="false">
      <c r="A151" s="15" t="s">
        <v>398</v>
      </c>
      <c r="B151" s="15" t="s">
        <v>345</v>
      </c>
      <c r="C151" s="15" t="s">
        <v>17</v>
      </c>
      <c r="D151" s="15" t="s">
        <v>22</v>
      </c>
      <c r="E151" s="15" t="s">
        <v>22</v>
      </c>
      <c r="F151" s="15"/>
      <c r="G151" s="15" t="s">
        <v>22</v>
      </c>
      <c r="H151" s="15"/>
      <c r="I151" s="15" t="s">
        <v>346</v>
      </c>
      <c r="J151" s="15" t="s">
        <v>347</v>
      </c>
      <c r="K151" s="15" t="s">
        <v>399</v>
      </c>
      <c r="L151" s="15"/>
      <c r="M151" s="15" t="s">
        <v>349</v>
      </c>
      <c r="N151" s="15"/>
      <c r="O151" s="15" t="s">
        <v>400</v>
      </c>
      <c r="P151" s="15" t="n">
        <v>3.497</v>
      </c>
      <c r="Q151" s="15" t="n">
        <v>3.497</v>
      </c>
      <c r="R151" s="15" t="n">
        <v>56</v>
      </c>
      <c r="S151" s="15" t="s">
        <v>401</v>
      </c>
      <c r="T151" s="15" t="n">
        <v>87</v>
      </c>
      <c r="U151" s="15"/>
      <c r="V151" s="15"/>
      <c r="W151" s="15"/>
      <c r="X151" s="15" t="s">
        <v>353</v>
      </c>
      <c r="Y151" s="15" t="n">
        <v>25</v>
      </c>
      <c r="Z151" s="15" t="s">
        <v>354</v>
      </c>
      <c r="AA151" s="15"/>
      <c r="AB151" s="15" t="n">
        <v>0</v>
      </c>
      <c r="AC151" s="15" t="n">
        <v>0</v>
      </c>
      <c r="AD151" s="15"/>
      <c r="AE151" s="15"/>
      <c r="AF151" s="15" t="s">
        <v>169</v>
      </c>
      <c r="AG151" s="15"/>
      <c r="AH151" s="24" t="n">
        <f aca="false">IF(R151="",AM151,R151)</f>
        <v>56</v>
      </c>
      <c r="AI151" s="24" t="n">
        <f aca="false">SUMIFS(Permissions!$G$2:$G$3000,Permissions!$B$2:$B$3000,$A151,Permissions!$I$2:$I$3000,"Complete",Permissions!$R$2:$R$3000,"Yes")</f>
        <v>0</v>
      </c>
      <c r="AJ151" s="24" t="n">
        <f aca="false">SUMIFS(Permissions!$G$2:$G$3000,Permissions!$B$2:$B$3000,$A151,Permissions!$I$2:$I$3000,"Under construction",Permissions!$R$2:$R$3000,"Yes")</f>
        <v>0</v>
      </c>
      <c r="AK151" s="24" t="n">
        <f aca="false">SUMIFS(Permissions!$G$2:$G$3000,Permissions!$B$2:$B$3000,$A151,Permissions!$I$2:$I$3000,"Permitted – not started",Permissions!$R$2:$R$3000,"Yes")</f>
        <v>0</v>
      </c>
      <c r="AL151" s="24" t="n">
        <f aca="false">SUMIFS(Permissions!$G$2:$G$3000,Permissions!$B$2:$B$3000,$A151,Permissions!$I$2:$I$3000,"Stalled",Permissions!$R$2:$R$3000,"Yes")</f>
        <v>0</v>
      </c>
      <c r="AM151" s="24" t="n">
        <f aca="false">AI151+AJ151+AK151+AL151</f>
        <v>0</v>
      </c>
      <c r="AN151" s="24" t="n">
        <f aca="false">SUMIFS(Permissions!$G$2:$G$3000,Permissions!$B$2:$B$3000,$A151,Permissions!$I$2:$I$3000,"Expired – not started",Permissions!$R$2:$R$3000,"Yes")</f>
        <v>0</v>
      </c>
      <c r="AO151" s="24" t="n">
        <f aca="false">SUMIFS(Permissions!$G$2:$G$3000,Permissions!$B$2:$B$3000,$A151,Permissions!$I$2:$I$3000,"In planning",Permissions!$R$2:$R$3000,"Yes")</f>
        <v>0</v>
      </c>
      <c r="AP151" s="24" t="n">
        <f aca="false">IF(R151="",0,MAX(R151-AM151,0))</f>
        <v>56</v>
      </c>
      <c r="AQ151" s="25" t="n">
        <f aca="false">AM151+AP151</f>
        <v>56</v>
      </c>
      <c r="AR151" s="24" t="n">
        <f aca="false">SUMIFS(Permissions!$L$2:$L$3000,Permissions!$B$2:$B$3000,$A151,Permissions!$R$2:$R$3000,"Yes",Permissions!$I$2:$I$3000,"&lt;&gt;Expired – not started",Permissions!$I$2:$I$3000,"&lt;&gt;In planning")</f>
        <v>0</v>
      </c>
      <c r="AS151" s="24" t="n">
        <f aca="false">AQ151-AR151</f>
        <v>56</v>
      </c>
      <c r="AT151" s="26" t="n">
        <f aca="false">SUMIFS(Permissions!$AJ$2:$AJ$3000,Permissions!$B$2:$B$3000,$A151,Permissions!$R$2:$R$3000,"Yes")</f>
        <v>0</v>
      </c>
      <c r="AU151" s="26" t="n">
        <f aca="false">SUMIFS(Permissions!$AK$2:$AK$3000,Permissions!$B$2:$B$3000,$A151,Permissions!$R$2:$R$3000,"Yes")</f>
        <v>0</v>
      </c>
      <c r="AV151" s="26" t="n">
        <f aca="false">SUMIFS(Permissions!$AL$2:$AL$3000,Permissions!$B$2:$B$3000,$A151,Permissions!$R$2:$R$3000,"Yes")</f>
        <v>0</v>
      </c>
      <c r="AW151" s="26" t="n">
        <f aca="false">SUMIFS(Permissions!$AM$2:$AM$3000,Permissions!$B$2:$B$3000,$A151,Permissions!$R$2:$R$3000,"Yes")</f>
        <v>0</v>
      </c>
      <c r="AX151" s="26" t="n">
        <f aca="false">SUMIFS(Permissions!$AN$2:$AN$3000,Permissions!$B$2:$B$3000,$A151,Permissions!$R$2:$R$3000,"Yes")</f>
        <v>0</v>
      </c>
      <c r="AY151" s="26" t="n">
        <f aca="false">SUMIFS(Permissions!$AO$2:$AO$3000,Permissions!$B$2:$B$3000,$A151,Permissions!$R$2:$R$3000,"Yes")</f>
        <v>0</v>
      </c>
      <c r="AZ151" s="24" t="n">
        <f aca="false">COUNTIFS(Permissions!$B$2:$B$3000,$A151,Permissions!$R$2:$R$3000,"Yes")</f>
        <v>0</v>
      </c>
      <c r="BA151" s="24" t="n">
        <f aca="false">SUMIFS(Permissions!$M$2:$M$3000,Permissions!$B$2:$B$3000,$A151,Permissions!$R$2:$R$3000,"Yes")</f>
        <v>0</v>
      </c>
      <c r="BB151" s="24" t="n">
        <f aca="false">SUMIFS(Permissions!$O$2:$O$3000,Permissions!$B$2:$B$3000,$A151,Permissions!$R$2:$R$3000,"Yes")</f>
        <v>0</v>
      </c>
      <c r="BC151" s="27" t="str">
        <f aca="false">IF(AND(AM151&gt;0,AR151&gt;=AM151,AP151=0),"Finished",IF(AR151&gt;0,"Partly built",IF(AM151&gt;0,"Consented – not built","No consent")))</f>
        <v>No consent</v>
      </c>
      <c r="BD151" s="28" t="str">
        <f aca="false">IF(AND(R151&lt;&gt;"",AM151&gt;1.1*R151),"Consented above capacity",IF(AND(LEFT(B151,8)="Planning",AZ151=0),"Consent parcel with no permission",IF(COUNTIF($A$2:$A$3000,$A151)&gt;1,"Duplicate parcel_id","")))</f>
        <v/>
      </c>
    </row>
    <row r="152" customFormat="false" ht="15" hidden="false" customHeight="false" outlineLevel="0" collapsed="false">
      <c r="A152" s="15" t="s">
        <v>402</v>
      </c>
      <c r="B152" s="15" t="s">
        <v>345</v>
      </c>
      <c r="C152" s="15" t="s">
        <v>17</v>
      </c>
      <c r="D152" s="15" t="s">
        <v>22</v>
      </c>
      <c r="E152" s="15" t="s">
        <v>22</v>
      </c>
      <c r="F152" s="15"/>
      <c r="G152" s="15" t="s">
        <v>22</v>
      </c>
      <c r="H152" s="15"/>
      <c r="I152" s="15" t="s">
        <v>346</v>
      </c>
      <c r="J152" s="15" t="s">
        <v>390</v>
      </c>
      <c r="K152" s="15" t="s">
        <v>403</v>
      </c>
      <c r="L152" s="15"/>
      <c r="M152" s="15" t="s">
        <v>190</v>
      </c>
      <c r="N152" s="15" t="s">
        <v>350</v>
      </c>
      <c r="O152" s="15" t="s">
        <v>351</v>
      </c>
      <c r="P152" s="15" t="n">
        <v>1.613</v>
      </c>
      <c r="Q152" s="15" t="n">
        <v>1.613</v>
      </c>
      <c r="R152" s="15" t="n">
        <v>35</v>
      </c>
      <c r="S152" s="15" t="s">
        <v>352</v>
      </c>
      <c r="T152" s="15" t="n">
        <v>40</v>
      </c>
      <c r="U152" s="15"/>
      <c r="V152" s="15"/>
      <c r="W152" s="15"/>
      <c r="X152" s="15" t="s">
        <v>353</v>
      </c>
      <c r="Y152" s="15" t="n">
        <v>25</v>
      </c>
      <c r="Z152" s="15" t="s">
        <v>354</v>
      </c>
      <c r="AA152" s="15"/>
      <c r="AB152" s="15" t="n">
        <v>0</v>
      </c>
      <c r="AC152" s="15" t="n">
        <v>0</v>
      </c>
      <c r="AD152" s="15"/>
      <c r="AE152" s="15"/>
      <c r="AF152" s="15" t="s">
        <v>169</v>
      </c>
      <c r="AG152" s="15"/>
      <c r="AH152" s="24" t="n">
        <f aca="false">IF(R152="",AM152,R152)</f>
        <v>35</v>
      </c>
      <c r="AI152" s="24" t="n">
        <f aca="false">SUMIFS(Permissions!$G$2:$G$3000,Permissions!$B$2:$B$3000,$A152,Permissions!$I$2:$I$3000,"Complete",Permissions!$R$2:$R$3000,"Yes")</f>
        <v>0</v>
      </c>
      <c r="AJ152" s="24" t="n">
        <f aca="false">SUMIFS(Permissions!$G$2:$G$3000,Permissions!$B$2:$B$3000,$A152,Permissions!$I$2:$I$3000,"Under construction",Permissions!$R$2:$R$3000,"Yes")</f>
        <v>0</v>
      </c>
      <c r="AK152" s="24" t="n">
        <f aca="false">SUMIFS(Permissions!$G$2:$G$3000,Permissions!$B$2:$B$3000,$A152,Permissions!$I$2:$I$3000,"Permitted – not started",Permissions!$R$2:$R$3000,"Yes")</f>
        <v>0</v>
      </c>
      <c r="AL152" s="24" t="n">
        <f aca="false">SUMIFS(Permissions!$G$2:$G$3000,Permissions!$B$2:$B$3000,$A152,Permissions!$I$2:$I$3000,"Stalled",Permissions!$R$2:$R$3000,"Yes")</f>
        <v>0</v>
      </c>
      <c r="AM152" s="24" t="n">
        <f aca="false">AI152+AJ152+AK152+AL152</f>
        <v>0</v>
      </c>
      <c r="AN152" s="24" t="n">
        <f aca="false">SUMIFS(Permissions!$G$2:$G$3000,Permissions!$B$2:$B$3000,$A152,Permissions!$I$2:$I$3000,"Expired – not started",Permissions!$R$2:$R$3000,"Yes")</f>
        <v>0</v>
      </c>
      <c r="AO152" s="24" t="n">
        <f aca="false">SUMIFS(Permissions!$G$2:$G$3000,Permissions!$B$2:$B$3000,$A152,Permissions!$I$2:$I$3000,"In planning",Permissions!$R$2:$R$3000,"Yes")</f>
        <v>0</v>
      </c>
      <c r="AP152" s="24" t="n">
        <f aca="false">IF(R152="",0,MAX(R152-AM152,0))</f>
        <v>35</v>
      </c>
      <c r="AQ152" s="25" t="n">
        <f aca="false">AM152+AP152</f>
        <v>35</v>
      </c>
      <c r="AR152" s="24" t="n">
        <f aca="false">SUMIFS(Permissions!$L$2:$L$3000,Permissions!$B$2:$B$3000,$A152,Permissions!$R$2:$R$3000,"Yes",Permissions!$I$2:$I$3000,"&lt;&gt;Expired – not started",Permissions!$I$2:$I$3000,"&lt;&gt;In planning")</f>
        <v>0</v>
      </c>
      <c r="AS152" s="24" t="n">
        <f aca="false">AQ152-AR152</f>
        <v>35</v>
      </c>
      <c r="AT152" s="26" t="n">
        <f aca="false">SUMIFS(Permissions!$AJ$2:$AJ$3000,Permissions!$B$2:$B$3000,$A152,Permissions!$R$2:$R$3000,"Yes")</f>
        <v>0</v>
      </c>
      <c r="AU152" s="26" t="n">
        <f aca="false">SUMIFS(Permissions!$AK$2:$AK$3000,Permissions!$B$2:$B$3000,$A152,Permissions!$R$2:$R$3000,"Yes")</f>
        <v>0</v>
      </c>
      <c r="AV152" s="26" t="n">
        <f aca="false">SUMIFS(Permissions!$AL$2:$AL$3000,Permissions!$B$2:$B$3000,$A152,Permissions!$R$2:$R$3000,"Yes")</f>
        <v>0</v>
      </c>
      <c r="AW152" s="26" t="n">
        <f aca="false">SUMIFS(Permissions!$AM$2:$AM$3000,Permissions!$B$2:$B$3000,$A152,Permissions!$R$2:$R$3000,"Yes")</f>
        <v>0</v>
      </c>
      <c r="AX152" s="26" t="n">
        <f aca="false">SUMIFS(Permissions!$AN$2:$AN$3000,Permissions!$B$2:$B$3000,$A152,Permissions!$R$2:$R$3000,"Yes")</f>
        <v>0</v>
      </c>
      <c r="AY152" s="26" t="n">
        <f aca="false">SUMIFS(Permissions!$AO$2:$AO$3000,Permissions!$B$2:$B$3000,$A152,Permissions!$R$2:$R$3000,"Yes")</f>
        <v>0</v>
      </c>
      <c r="AZ152" s="24" t="n">
        <f aca="false">COUNTIFS(Permissions!$B$2:$B$3000,$A152,Permissions!$R$2:$R$3000,"Yes")</f>
        <v>0</v>
      </c>
      <c r="BA152" s="24" t="n">
        <f aca="false">SUMIFS(Permissions!$M$2:$M$3000,Permissions!$B$2:$B$3000,$A152,Permissions!$R$2:$R$3000,"Yes")</f>
        <v>0</v>
      </c>
      <c r="BB152" s="24" t="n">
        <f aca="false">SUMIFS(Permissions!$O$2:$O$3000,Permissions!$B$2:$B$3000,$A152,Permissions!$R$2:$R$3000,"Yes")</f>
        <v>0</v>
      </c>
      <c r="BC152" s="27" t="str">
        <f aca="false">IF(AND(AM152&gt;0,AR152&gt;=AM152,AP152=0),"Finished",IF(AR152&gt;0,"Partly built",IF(AM152&gt;0,"Consented – not built","No consent")))</f>
        <v>No consent</v>
      </c>
      <c r="BD152" s="28" t="str">
        <f aca="false">IF(AND(R152&lt;&gt;"",AM152&gt;1.1*R152),"Consented above capacity",IF(AND(LEFT(B152,8)="Planning",AZ152=0),"Consent parcel with no permission",IF(COUNTIF($A$2:$A$3000,$A152)&gt;1,"Duplicate parcel_id","")))</f>
        <v/>
      </c>
    </row>
    <row r="153" customFormat="false" ht="15" hidden="false" customHeight="false" outlineLevel="0" collapsed="false">
      <c r="A153" s="15" t="s">
        <v>404</v>
      </c>
      <c r="B153" s="15" t="s">
        <v>345</v>
      </c>
      <c r="C153" s="15" t="s">
        <v>17</v>
      </c>
      <c r="D153" s="15" t="s">
        <v>22</v>
      </c>
      <c r="E153" s="15" t="s">
        <v>22</v>
      </c>
      <c r="F153" s="15"/>
      <c r="G153" s="15" t="s">
        <v>22</v>
      </c>
      <c r="H153" s="15"/>
      <c r="I153" s="15" t="s">
        <v>346</v>
      </c>
      <c r="J153" s="15" t="s">
        <v>390</v>
      </c>
      <c r="K153" s="15" t="s">
        <v>405</v>
      </c>
      <c r="L153" s="15"/>
      <c r="M153" s="15" t="s">
        <v>349</v>
      </c>
      <c r="N153" s="15"/>
      <c r="O153" s="15" t="s">
        <v>351</v>
      </c>
      <c r="P153" s="15" t="n">
        <v>0.527</v>
      </c>
      <c r="Q153" s="15" t="n">
        <v>0.527</v>
      </c>
      <c r="R153" s="15" t="n">
        <v>12</v>
      </c>
      <c r="S153" s="15" t="s">
        <v>352</v>
      </c>
      <c r="T153" s="15" t="n">
        <v>13</v>
      </c>
      <c r="U153" s="15"/>
      <c r="V153" s="15"/>
      <c r="W153" s="15"/>
      <c r="X153" s="15" t="s">
        <v>353</v>
      </c>
      <c r="Y153" s="15" t="n">
        <v>25</v>
      </c>
      <c r="Z153" s="15" t="s">
        <v>354</v>
      </c>
      <c r="AA153" s="15"/>
      <c r="AB153" s="15" t="n">
        <v>0</v>
      </c>
      <c r="AC153" s="15" t="n">
        <v>0</v>
      </c>
      <c r="AD153" s="15"/>
      <c r="AE153" s="15"/>
      <c r="AF153" s="15" t="s">
        <v>169</v>
      </c>
      <c r="AG153" s="15"/>
      <c r="AH153" s="24" t="n">
        <f aca="false">IF(R153="",AM153,R153)</f>
        <v>12</v>
      </c>
      <c r="AI153" s="24" t="n">
        <f aca="false">SUMIFS(Permissions!$G$2:$G$3000,Permissions!$B$2:$B$3000,$A153,Permissions!$I$2:$I$3000,"Complete",Permissions!$R$2:$R$3000,"Yes")</f>
        <v>0</v>
      </c>
      <c r="AJ153" s="24" t="n">
        <f aca="false">SUMIFS(Permissions!$G$2:$G$3000,Permissions!$B$2:$B$3000,$A153,Permissions!$I$2:$I$3000,"Under construction",Permissions!$R$2:$R$3000,"Yes")</f>
        <v>0</v>
      </c>
      <c r="AK153" s="24" t="n">
        <f aca="false">SUMIFS(Permissions!$G$2:$G$3000,Permissions!$B$2:$B$3000,$A153,Permissions!$I$2:$I$3000,"Permitted – not started",Permissions!$R$2:$R$3000,"Yes")</f>
        <v>10</v>
      </c>
      <c r="AL153" s="24" t="n">
        <f aca="false">SUMIFS(Permissions!$G$2:$G$3000,Permissions!$B$2:$B$3000,$A153,Permissions!$I$2:$I$3000,"Stalled",Permissions!$R$2:$R$3000,"Yes")</f>
        <v>0</v>
      </c>
      <c r="AM153" s="24" t="n">
        <f aca="false">AI153+AJ153+AK153+AL153</f>
        <v>10</v>
      </c>
      <c r="AN153" s="24" t="n">
        <f aca="false">SUMIFS(Permissions!$G$2:$G$3000,Permissions!$B$2:$B$3000,$A153,Permissions!$I$2:$I$3000,"Expired – not started",Permissions!$R$2:$R$3000,"Yes")</f>
        <v>0</v>
      </c>
      <c r="AO153" s="24" t="n">
        <f aca="false">SUMIFS(Permissions!$G$2:$G$3000,Permissions!$B$2:$B$3000,$A153,Permissions!$I$2:$I$3000,"In planning",Permissions!$R$2:$R$3000,"Yes")</f>
        <v>0</v>
      </c>
      <c r="AP153" s="24" t="n">
        <f aca="false">IF(R153="",0,MAX(R153-AM153,0))</f>
        <v>2</v>
      </c>
      <c r="AQ153" s="25" t="n">
        <f aca="false">AM153+AP153</f>
        <v>12</v>
      </c>
      <c r="AR153" s="24" t="n">
        <f aca="false">SUMIFS(Permissions!$L$2:$L$3000,Permissions!$B$2:$B$3000,$A153,Permissions!$R$2:$R$3000,"Yes",Permissions!$I$2:$I$3000,"&lt;&gt;Expired – not started",Permissions!$I$2:$I$3000,"&lt;&gt;In planning")</f>
        <v>0</v>
      </c>
      <c r="AS153" s="24" t="n">
        <f aca="false">AQ153-AR153</f>
        <v>12</v>
      </c>
      <c r="AT153" s="26" t="n">
        <f aca="false">SUMIFS(Permissions!$AJ$2:$AJ$3000,Permissions!$B$2:$B$3000,$A153,Permissions!$R$2:$R$3000,"Yes")</f>
        <v>0</v>
      </c>
      <c r="AU153" s="26" t="n">
        <f aca="false">SUMIFS(Permissions!$AK$2:$AK$3000,Permissions!$B$2:$B$3000,$A153,Permissions!$R$2:$R$3000,"Yes")</f>
        <v>0</v>
      </c>
      <c r="AV153" s="26" t="n">
        <f aca="false">SUMIFS(Permissions!$AL$2:$AL$3000,Permissions!$B$2:$B$3000,$A153,Permissions!$R$2:$R$3000,"Yes")</f>
        <v>8.4</v>
      </c>
      <c r="AW153" s="26" t="n">
        <f aca="false">SUMIFS(Permissions!$AM$2:$AM$3000,Permissions!$B$2:$B$3000,$A153,Permissions!$R$2:$R$3000,"Yes")</f>
        <v>1.6</v>
      </c>
      <c r="AX153" s="26" t="n">
        <f aca="false">SUMIFS(Permissions!$AN$2:$AN$3000,Permissions!$B$2:$B$3000,$A153,Permissions!$R$2:$R$3000,"Yes")</f>
        <v>0</v>
      </c>
      <c r="AY153" s="26" t="n">
        <f aca="false">SUMIFS(Permissions!$AO$2:$AO$3000,Permissions!$B$2:$B$3000,$A153,Permissions!$R$2:$R$3000,"Yes")</f>
        <v>0</v>
      </c>
      <c r="AZ153" s="24" t="n">
        <f aca="false">COUNTIFS(Permissions!$B$2:$B$3000,$A153,Permissions!$R$2:$R$3000,"Yes")</f>
        <v>1</v>
      </c>
      <c r="BA153" s="24" t="n">
        <f aca="false">SUMIFS(Permissions!$M$2:$M$3000,Permissions!$B$2:$B$3000,$A153,Permissions!$R$2:$R$3000,"Yes")</f>
        <v>0</v>
      </c>
      <c r="BB153" s="24" t="n">
        <f aca="false">SUMIFS(Permissions!$O$2:$O$3000,Permissions!$B$2:$B$3000,$A153,Permissions!$R$2:$R$3000,"Yes")</f>
        <v>0</v>
      </c>
      <c r="BC153" s="27" t="str">
        <f aca="false">IF(AND(AM153&gt;0,AR153&gt;=AM153,AP153=0),"Finished",IF(AR153&gt;0,"Partly built",IF(AM153&gt;0,"Consented – not built","No consent")))</f>
        <v>Consented – not built</v>
      </c>
      <c r="BD153" s="28" t="str">
        <f aca="false">IF(AND(R153&lt;&gt;"",AM153&gt;1.1*R153),"Consented above capacity",IF(AND(LEFT(B153,8)="Planning",AZ153=0),"Consent parcel with no permission",IF(COUNTIF($A$2:$A$3000,$A153)&gt;1,"Duplicate parcel_id","")))</f>
        <v/>
      </c>
    </row>
    <row r="154" customFormat="false" ht="15" hidden="false" customHeight="false" outlineLevel="0" collapsed="false">
      <c r="A154" s="15" t="s">
        <v>406</v>
      </c>
      <c r="B154" s="15" t="s">
        <v>345</v>
      </c>
      <c r="C154" s="15" t="s">
        <v>17</v>
      </c>
      <c r="D154" s="15" t="s">
        <v>22</v>
      </c>
      <c r="E154" s="15" t="s">
        <v>22</v>
      </c>
      <c r="F154" s="15"/>
      <c r="G154" s="15" t="s">
        <v>22</v>
      </c>
      <c r="H154" s="15"/>
      <c r="I154" s="15" t="s">
        <v>346</v>
      </c>
      <c r="J154" s="15" t="s">
        <v>390</v>
      </c>
      <c r="K154" s="15" t="s">
        <v>407</v>
      </c>
      <c r="L154" s="15"/>
      <c r="M154" s="15" t="s">
        <v>357</v>
      </c>
      <c r="N154" s="15"/>
      <c r="O154" s="15" t="s">
        <v>358</v>
      </c>
      <c r="P154" s="15" t="n">
        <v>0.965</v>
      </c>
      <c r="Q154" s="15" t="n">
        <v>0.965</v>
      </c>
      <c r="R154" s="15" t="n">
        <v>10</v>
      </c>
      <c r="S154" s="15" t="s">
        <v>352</v>
      </c>
      <c r="T154" s="15" t="n">
        <v>24</v>
      </c>
      <c r="U154" s="15"/>
      <c r="V154" s="15"/>
      <c r="W154" s="15"/>
      <c r="X154" s="15" t="s">
        <v>353</v>
      </c>
      <c r="Y154" s="15" t="n">
        <v>25</v>
      </c>
      <c r="Z154" s="15" t="s">
        <v>354</v>
      </c>
      <c r="AA154" s="15"/>
      <c r="AB154" s="15" t="n">
        <v>0</v>
      </c>
      <c r="AC154" s="15" t="n">
        <v>0</v>
      </c>
      <c r="AD154" s="15"/>
      <c r="AE154" s="15"/>
      <c r="AF154" s="15" t="s">
        <v>169</v>
      </c>
      <c r="AG154" s="15"/>
      <c r="AH154" s="24" t="n">
        <f aca="false">IF(R154="",AM154,R154)</f>
        <v>10</v>
      </c>
      <c r="AI154" s="24" t="n">
        <f aca="false">SUMIFS(Permissions!$G$2:$G$3000,Permissions!$B$2:$B$3000,$A154,Permissions!$I$2:$I$3000,"Complete",Permissions!$R$2:$R$3000,"Yes")</f>
        <v>0</v>
      </c>
      <c r="AJ154" s="24" t="n">
        <f aca="false">SUMIFS(Permissions!$G$2:$G$3000,Permissions!$B$2:$B$3000,$A154,Permissions!$I$2:$I$3000,"Under construction",Permissions!$R$2:$R$3000,"Yes")</f>
        <v>0</v>
      </c>
      <c r="AK154" s="24" t="n">
        <f aca="false">SUMIFS(Permissions!$G$2:$G$3000,Permissions!$B$2:$B$3000,$A154,Permissions!$I$2:$I$3000,"Permitted – not started",Permissions!$R$2:$R$3000,"Yes")</f>
        <v>0</v>
      </c>
      <c r="AL154" s="24" t="n">
        <f aca="false">SUMIFS(Permissions!$G$2:$G$3000,Permissions!$B$2:$B$3000,$A154,Permissions!$I$2:$I$3000,"Stalled",Permissions!$R$2:$R$3000,"Yes")</f>
        <v>0</v>
      </c>
      <c r="AM154" s="24" t="n">
        <f aca="false">AI154+AJ154+AK154+AL154</f>
        <v>0</v>
      </c>
      <c r="AN154" s="24" t="n">
        <f aca="false">SUMIFS(Permissions!$G$2:$G$3000,Permissions!$B$2:$B$3000,$A154,Permissions!$I$2:$I$3000,"Expired – not started",Permissions!$R$2:$R$3000,"Yes")</f>
        <v>0</v>
      </c>
      <c r="AO154" s="24" t="n">
        <f aca="false">SUMIFS(Permissions!$G$2:$G$3000,Permissions!$B$2:$B$3000,$A154,Permissions!$I$2:$I$3000,"In planning",Permissions!$R$2:$R$3000,"Yes")</f>
        <v>0</v>
      </c>
      <c r="AP154" s="24" t="n">
        <f aca="false">IF(R154="",0,MAX(R154-AM154,0))</f>
        <v>10</v>
      </c>
      <c r="AQ154" s="25" t="n">
        <f aca="false">AM154+AP154</f>
        <v>10</v>
      </c>
      <c r="AR154" s="24" t="n">
        <f aca="false">SUMIFS(Permissions!$L$2:$L$3000,Permissions!$B$2:$B$3000,$A154,Permissions!$R$2:$R$3000,"Yes",Permissions!$I$2:$I$3000,"&lt;&gt;Expired – not started",Permissions!$I$2:$I$3000,"&lt;&gt;In planning")</f>
        <v>0</v>
      </c>
      <c r="AS154" s="24" t="n">
        <f aca="false">AQ154-AR154</f>
        <v>10</v>
      </c>
      <c r="AT154" s="26" t="n">
        <f aca="false">SUMIFS(Permissions!$AJ$2:$AJ$3000,Permissions!$B$2:$B$3000,$A154,Permissions!$R$2:$R$3000,"Yes")</f>
        <v>0</v>
      </c>
      <c r="AU154" s="26" t="n">
        <f aca="false">SUMIFS(Permissions!$AK$2:$AK$3000,Permissions!$B$2:$B$3000,$A154,Permissions!$R$2:$R$3000,"Yes")</f>
        <v>0</v>
      </c>
      <c r="AV154" s="26" t="n">
        <f aca="false">SUMIFS(Permissions!$AL$2:$AL$3000,Permissions!$B$2:$B$3000,$A154,Permissions!$R$2:$R$3000,"Yes")</f>
        <v>0</v>
      </c>
      <c r="AW154" s="26" t="n">
        <f aca="false">SUMIFS(Permissions!$AM$2:$AM$3000,Permissions!$B$2:$B$3000,$A154,Permissions!$R$2:$R$3000,"Yes")</f>
        <v>0</v>
      </c>
      <c r="AX154" s="26" t="n">
        <f aca="false">SUMIFS(Permissions!$AN$2:$AN$3000,Permissions!$B$2:$B$3000,$A154,Permissions!$R$2:$R$3000,"Yes")</f>
        <v>0</v>
      </c>
      <c r="AY154" s="26" t="n">
        <f aca="false">SUMIFS(Permissions!$AO$2:$AO$3000,Permissions!$B$2:$B$3000,$A154,Permissions!$R$2:$R$3000,"Yes")</f>
        <v>0</v>
      </c>
      <c r="AZ154" s="24" t="n">
        <f aca="false">COUNTIFS(Permissions!$B$2:$B$3000,$A154,Permissions!$R$2:$R$3000,"Yes")</f>
        <v>0</v>
      </c>
      <c r="BA154" s="24" t="n">
        <f aca="false">SUMIFS(Permissions!$M$2:$M$3000,Permissions!$B$2:$B$3000,$A154,Permissions!$R$2:$R$3000,"Yes")</f>
        <v>0</v>
      </c>
      <c r="BB154" s="24" t="n">
        <f aca="false">SUMIFS(Permissions!$O$2:$O$3000,Permissions!$B$2:$B$3000,$A154,Permissions!$R$2:$R$3000,"Yes")</f>
        <v>0</v>
      </c>
      <c r="BC154" s="27" t="str">
        <f aca="false">IF(AND(AM154&gt;0,AR154&gt;=AM154,AP154=0),"Finished",IF(AR154&gt;0,"Partly built",IF(AM154&gt;0,"Consented – not built","No consent")))</f>
        <v>No consent</v>
      </c>
      <c r="BD154" s="28" t="str">
        <f aca="false">IF(AND(R154&lt;&gt;"",AM154&gt;1.1*R154),"Consented above capacity",IF(AND(LEFT(B154,8)="Planning",AZ154=0),"Consent parcel with no permission",IF(COUNTIF($A$2:$A$3000,$A154)&gt;1,"Duplicate parcel_id","")))</f>
        <v/>
      </c>
    </row>
    <row r="155" customFormat="false" ht="15" hidden="false" customHeight="false" outlineLevel="0" collapsed="false">
      <c r="A155" s="15" t="s">
        <v>408</v>
      </c>
      <c r="B155" s="15" t="s">
        <v>345</v>
      </c>
      <c r="C155" s="15" t="s">
        <v>17</v>
      </c>
      <c r="D155" s="15" t="s">
        <v>22</v>
      </c>
      <c r="E155" s="15" t="s">
        <v>22</v>
      </c>
      <c r="F155" s="15"/>
      <c r="G155" s="15" t="s">
        <v>22</v>
      </c>
      <c r="H155" s="15"/>
      <c r="I155" s="15" t="s">
        <v>346</v>
      </c>
      <c r="J155" s="15" t="s">
        <v>390</v>
      </c>
      <c r="K155" s="15" t="s">
        <v>409</v>
      </c>
      <c r="L155" s="15"/>
      <c r="M155" s="15" t="s">
        <v>349</v>
      </c>
      <c r="N155" s="15" t="s">
        <v>350</v>
      </c>
      <c r="O155" s="15" t="s">
        <v>351</v>
      </c>
      <c r="P155" s="15" t="n">
        <v>1.25</v>
      </c>
      <c r="Q155" s="15" t="n">
        <v>1.25</v>
      </c>
      <c r="R155" s="15" t="n">
        <v>28</v>
      </c>
      <c r="S155" s="15" t="s">
        <v>352</v>
      </c>
      <c r="T155" s="15" t="n">
        <v>31</v>
      </c>
      <c r="U155" s="15"/>
      <c r="V155" s="15"/>
      <c r="W155" s="15"/>
      <c r="X155" s="15" t="s">
        <v>353</v>
      </c>
      <c r="Y155" s="15" t="n">
        <v>25</v>
      </c>
      <c r="Z155" s="15" t="s">
        <v>354</v>
      </c>
      <c r="AA155" s="15"/>
      <c r="AB155" s="15" t="n">
        <v>0</v>
      </c>
      <c r="AC155" s="15" t="n">
        <v>0</v>
      </c>
      <c r="AD155" s="15"/>
      <c r="AE155" s="15"/>
      <c r="AF155" s="15" t="s">
        <v>169</v>
      </c>
      <c r="AG155" s="15"/>
      <c r="AH155" s="24" t="n">
        <f aca="false">IF(R155="",AM155,R155)</f>
        <v>28</v>
      </c>
      <c r="AI155" s="24" t="n">
        <f aca="false">SUMIFS(Permissions!$G$2:$G$3000,Permissions!$B$2:$B$3000,$A155,Permissions!$I$2:$I$3000,"Complete",Permissions!$R$2:$R$3000,"Yes")</f>
        <v>0</v>
      </c>
      <c r="AJ155" s="24" t="n">
        <f aca="false">SUMIFS(Permissions!$G$2:$G$3000,Permissions!$B$2:$B$3000,$A155,Permissions!$I$2:$I$3000,"Under construction",Permissions!$R$2:$R$3000,"Yes")</f>
        <v>0</v>
      </c>
      <c r="AK155" s="24" t="n">
        <f aca="false">SUMIFS(Permissions!$G$2:$G$3000,Permissions!$B$2:$B$3000,$A155,Permissions!$I$2:$I$3000,"Permitted – not started",Permissions!$R$2:$R$3000,"Yes")</f>
        <v>0</v>
      </c>
      <c r="AL155" s="24" t="n">
        <f aca="false">SUMIFS(Permissions!$G$2:$G$3000,Permissions!$B$2:$B$3000,$A155,Permissions!$I$2:$I$3000,"Stalled",Permissions!$R$2:$R$3000,"Yes")</f>
        <v>0</v>
      </c>
      <c r="AM155" s="24" t="n">
        <f aca="false">AI155+AJ155+AK155+AL155</f>
        <v>0</v>
      </c>
      <c r="AN155" s="24" t="n">
        <f aca="false">SUMIFS(Permissions!$G$2:$G$3000,Permissions!$B$2:$B$3000,$A155,Permissions!$I$2:$I$3000,"Expired – not started",Permissions!$R$2:$R$3000,"Yes")</f>
        <v>0</v>
      </c>
      <c r="AO155" s="24" t="n">
        <f aca="false">SUMIFS(Permissions!$G$2:$G$3000,Permissions!$B$2:$B$3000,$A155,Permissions!$I$2:$I$3000,"In planning",Permissions!$R$2:$R$3000,"Yes")</f>
        <v>0</v>
      </c>
      <c r="AP155" s="24" t="n">
        <f aca="false">IF(R155="",0,MAX(R155-AM155,0))</f>
        <v>28</v>
      </c>
      <c r="AQ155" s="25" t="n">
        <f aca="false">AM155+AP155</f>
        <v>28</v>
      </c>
      <c r="AR155" s="24" t="n">
        <f aca="false">SUMIFS(Permissions!$L$2:$L$3000,Permissions!$B$2:$B$3000,$A155,Permissions!$R$2:$R$3000,"Yes",Permissions!$I$2:$I$3000,"&lt;&gt;Expired – not started",Permissions!$I$2:$I$3000,"&lt;&gt;In planning")</f>
        <v>0</v>
      </c>
      <c r="AS155" s="24" t="n">
        <f aca="false">AQ155-AR155</f>
        <v>28</v>
      </c>
      <c r="AT155" s="26" t="n">
        <f aca="false">SUMIFS(Permissions!$AJ$2:$AJ$3000,Permissions!$B$2:$B$3000,$A155,Permissions!$R$2:$R$3000,"Yes")</f>
        <v>0</v>
      </c>
      <c r="AU155" s="26" t="n">
        <f aca="false">SUMIFS(Permissions!$AK$2:$AK$3000,Permissions!$B$2:$B$3000,$A155,Permissions!$R$2:$R$3000,"Yes")</f>
        <v>0</v>
      </c>
      <c r="AV155" s="26" t="n">
        <f aca="false">SUMIFS(Permissions!$AL$2:$AL$3000,Permissions!$B$2:$B$3000,$A155,Permissions!$R$2:$R$3000,"Yes")</f>
        <v>0</v>
      </c>
      <c r="AW155" s="26" t="n">
        <f aca="false">SUMIFS(Permissions!$AM$2:$AM$3000,Permissions!$B$2:$B$3000,$A155,Permissions!$R$2:$R$3000,"Yes")</f>
        <v>0</v>
      </c>
      <c r="AX155" s="26" t="n">
        <f aca="false">SUMIFS(Permissions!$AN$2:$AN$3000,Permissions!$B$2:$B$3000,$A155,Permissions!$R$2:$R$3000,"Yes")</f>
        <v>0</v>
      </c>
      <c r="AY155" s="26" t="n">
        <f aca="false">SUMIFS(Permissions!$AO$2:$AO$3000,Permissions!$B$2:$B$3000,$A155,Permissions!$R$2:$R$3000,"Yes")</f>
        <v>0</v>
      </c>
      <c r="AZ155" s="24" t="n">
        <f aca="false">COUNTIFS(Permissions!$B$2:$B$3000,$A155,Permissions!$R$2:$R$3000,"Yes")</f>
        <v>0</v>
      </c>
      <c r="BA155" s="24" t="n">
        <f aca="false">SUMIFS(Permissions!$M$2:$M$3000,Permissions!$B$2:$B$3000,$A155,Permissions!$R$2:$R$3000,"Yes")</f>
        <v>0</v>
      </c>
      <c r="BB155" s="24" t="n">
        <f aca="false">SUMIFS(Permissions!$O$2:$O$3000,Permissions!$B$2:$B$3000,$A155,Permissions!$R$2:$R$3000,"Yes")</f>
        <v>0</v>
      </c>
      <c r="BC155" s="27" t="str">
        <f aca="false">IF(AND(AM155&gt;0,AR155&gt;=AM155,AP155=0),"Finished",IF(AR155&gt;0,"Partly built",IF(AM155&gt;0,"Consented – not built","No consent")))</f>
        <v>No consent</v>
      </c>
      <c r="BD155" s="28" t="str">
        <f aca="false">IF(AND(R155&lt;&gt;"",AM155&gt;1.1*R155),"Consented above capacity",IF(AND(LEFT(B155,8)="Planning",AZ155=0),"Consent parcel with no permission",IF(COUNTIF($A$2:$A$3000,$A155)&gt;1,"Duplicate parcel_id","")))</f>
        <v/>
      </c>
    </row>
    <row r="156" customFormat="false" ht="15" hidden="false" customHeight="false" outlineLevel="0" collapsed="false">
      <c r="A156" s="15" t="s">
        <v>410</v>
      </c>
      <c r="B156" s="15" t="s">
        <v>345</v>
      </c>
      <c r="C156" s="15" t="s">
        <v>17</v>
      </c>
      <c r="D156" s="15" t="s">
        <v>71</v>
      </c>
      <c r="E156" s="15" t="s">
        <v>21</v>
      </c>
      <c r="F156" s="15" t="n">
        <v>0.93</v>
      </c>
      <c r="G156" s="15" t="s">
        <v>158</v>
      </c>
      <c r="H156" s="15"/>
      <c r="I156" s="15" t="s">
        <v>346</v>
      </c>
      <c r="J156" s="15" t="s">
        <v>363</v>
      </c>
      <c r="K156" s="15" t="s">
        <v>411</v>
      </c>
      <c r="L156" s="15"/>
      <c r="M156" s="15" t="s">
        <v>349</v>
      </c>
      <c r="N156" s="15" t="s">
        <v>350</v>
      </c>
      <c r="O156" s="15" t="s">
        <v>351</v>
      </c>
      <c r="P156" s="15" t="n">
        <v>0.627</v>
      </c>
      <c r="Q156" s="15" t="n">
        <v>0.627</v>
      </c>
      <c r="R156" s="15" t="n">
        <v>14</v>
      </c>
      <c r="S156" s="15" t="s">
        <v>352</v>
      </c>
      <c r="T156" s="15" t="n">
        <v>16</v>
      </c>
      <c r="U156" s="15"/>
      <c r="V156" s="15"/>
      <c r="W156" s="15"/>
      <c r="X156" s="15" t="s">
        <v>353</v>
      </c>
      <c r="Y156" s="15" t="n">
        <v>25</v>
      </c>
      <c r="Z156" s="15" t="s">
        <v>354</v>
      </c>
      <c r="AA156" s="15"/>
      <c r="AB156" s="15" t="n">
        <v>0</v>
      </c>
      <c r="AC156" s="15" t="n">
        <v>0</v>
      </c>
      <c r="AD156" s="15"/>
      <c r="AE156" s="15"/>
      <c r="AF156" s="15" t="s">
        <v>169</v>
      </c>
      <c r="AG156" s="15"/>
      <c r="AH156" s="24" t="n">
        <f aca="false">IF(R156="",AM156,R156)</f>
        <v>14</v>
      </c>
      <c r="AI156" s="24" t="n">
        <f aca="false">SUMIFS(Permissions!$G$2:$G$3000,Permissions!$B$2:$B$3000,$A156,Permissions!$I$2:$I$3000,"Complete",Permissions!$R$2:$R$3000,"Yes")</f>
        <v>0</v>
      </c>
      <c r="AJ156" s="24" t="n">
        <f aca="false">SUMIFS(Permissions!$G$2:$G$3000,Permissions!$B$2:$B$3000,$A156,Permissions!$I$2:$I$3000,"Under construction",Permissions!$R$2:$R$3000,"Yes")</f>
        <v>0</v>
      </c>
      <c r="AK156" s="24" t="n">
        <f aca="false">SUMIFS(Permissions!$G$2:$G$3000,Permissions!$B$2:$B$3000,$A156,Permissions!$I$2:$I$3000,"Permitted – not started",Permissions!$R$2:$R$3000,"Yes")</f>
        <v>0</v>
      </c>
      <c r="AL156" s="24" t="n">
        <f aca="false">SUMIFS(Permissions!$G$2:$G$3000,Permissions!$B$2:$B$3000,$A156,Permissions!$I$2:$I$3000,"Stalled",Permissions!$R$2:$R$3000,"Yes")</f>
        <v>0</v>
      </c>
      <c r="AM156" s="24" t="n">
        <f aca="false">AI156+AJ156+AK156+AL156</f>
        <v>0</v>
      </c>
      <c r="AN156" s="24" t="n">
        <f aca="false">SUMIFS(Permissions!$G$2:$G$3000,Permissions!$B$2:$B$3000,$A156,Permissions!$I$2:$I$3000,"Expired – not started",Permissions!$R$2:$R$3000,"Yes")</f>
        <v>0</v>
      </c>
      <c r="AO156" s="24" t="n">
        <f aca="false">SUMIFS(Permissions!$G$2:$G$3000,Permissions!$B$2:$B$3000,$A156,Permissions!$I$2:$I$3000,"In planning",Permissions!$R$2:$R$3000,"Yes")</f>
        <v>0</v>
      </c>
      <c r="AP156" s="24" t="n">
        <f aca="false">IF(R156="",0,MAX(R156-AM156,0))</f>
        <v>14</v>
      </c>
      <c r="AQ156" s="25" t="n">
        <f aca="false">AM156+AP156</f>
        <v>14</v>
      </c>
      <c r="AR156" s="24" t="n">
        <f aca="false">SUMIFS(Permissions!$L$2:$L$3000,Permissions!$B$2:$B$3000,$A156,Permissions!$R$2:$R$3000,"Yes",Permissions!$I$2:$I$3000,"&lt;&gt;Expired – not started",Permissions!$I$2:$I$3000,"&lt;&gt;In planning")</f>
        <v>0</v>
      </c>
      <c r="AS156" s="24" t="n">
        <f aca="false">AQ156-AR156</f>
        <v>14</v>
      </c>
      <c r="AT156" s="26" t="n">
        <f aca="false">SUMIFS(Permissions!$AJ$2:$AJ$3000,Permissions!$B$2:$B$3000,$A156,Permissions!$R$2:$R$3000,"Yes")</f>
        <v>0</v>
      </c>
      <c r="AU156" s="26" t="n">
        <f aca="false">SUMIFS(Permissions!$AK$2:$AK$3000,Permissions!$B$2:$B$3000,$A156,Permissions!$R$2:$R$3000,"Yes")</f>
        <v>0</v>
      </c>
      <c r="AV156" s="26" t="n">
        <f aca="false">SUMIFS(Permissions!$AL$2:$AL$3000,Permissions!$B$2:$B$3000,$A156,Permissions!$R$2:$R$3000,"Yes")</f>
        <v>0</v>
      </c>
      <c r="AW156" s="26" t="n">
        <f aca="false">SUMIFS(Permissions!$AM$2:$AM$3000,Permissions!$B$2:$B$3000,$A156,Permissions!$R$2:$R$3000,"Yes")</f>
        <v>0</v>
      </c>
      <c r="AX156" s="26" t="n">
        <f aca="false">SUMIFS(Permissions!$AN$2:$AN$3000,Permissions!$B$2:$B$3000,$A156,Permissions!$R$2:$R$3000,"Yes")</f>
        <v>0</v>
      </c>
      <c r="AY156" s="26" t="n">
        <f aca="false">SUMIFS(Permissions!$AO$2:$AO$3000,Permissions!$B$2:$B$3000,$A156,Permissions!$R$2:$R$3000,"Yes")</f>
        <v>0</v>
      </c>
      <c r="AZ156" s="24" t="n">
        <f aca="false">COUNTIFS(Permissions!$B$2:$B$3000,$A156,Permissions!$R$2:$R$3000,"Yes")</f>
        <v>0</v>
      </c>
      <c r="BA156" s="24" t="n">
        <f aca="false">SUMIFS(Permissions!$M$2:$M$3000,Permissions!$B$2:$B$3000,$A156,Permissions!$R$2:$R$3000,"Yes")</f>
        <v>0</v>
      </c>
      <c r="BB156" s="24" t="n">
        <f aca="false">SUMIFS(Permissions!$O$2:$O$3000,Permissions!$B$2:$B$3000,$A156,Permissions!$R$2:$R$3000,"Yes")</f>
        <v>0</v>
      </c>
      <c r="BC156" s="27" t="str">
        <f aca="false">IF(AND(AM156&gt;0,AR156&gt;=AM156,AP156=0),"Finished",IF(AR156&gt;0,"Partly built",IF(AM156&gt;0,"Consented – not built","No consent")))</f>
        <v>No consent</v>
      </c>
      <c r="BD156" s="28" t="str">
        <f aca="false">IF(AND(R156&lt;&gt;"",AM156&gt;1.1*R156),"Consented above capacity",IF(AND(LEFT(B156,8)="Planning",AZ156=0),"Consent parcel with no permission",IF(COUNTIF($A$2:$A$3000,$A156)&gt;1,"Duplicate parcel_id","")))</f>
        <v/>
      </c>
    </row>
    <row r="157" customFormat="false" ht="15" hidden="false" customHeight="false" outlineLevel="0" collapsed="false">
      <c r="A157" s="15" t="s">
        <v>412</v>
      </c>
      <c r="B157" s="15" t="s">
        <v>345</v>
      </c>
      <c r="C157" s="15" t="s">
        <v>17</v>
      </c>
      <c r="D157" s="15" t="s">
        <v>71</v>
      </c>
      <c r="E157" s="15" t="s">
        <v>21</v>
      </c>
      <c r="F157" s="15" t="n">
        <v>0.87</v>
      </c>
      <c r="G157" s="15" t="s">
        <v>158</v>
      </c>
      <c r="H157" s="15"/>
      <c r="I157" s="15" t="s">
        <v>346</v>
      </c>
      <c r="J157" s="15" t="s">
        <v>363</v>
      </c>
      <c r="K157" s="15" t="s">
        <v>413</v>
      </c>
      <c r="L157" s="15"/>
      <c r="M157" s="15" t="s">
        <v>349</v>
      </c>
      <c r="N157" s="15" t="s">
        <v>350</v>
      </c>
      <c r="O157" s="15" t="s">
        <v>351</v>
      </c>
      <c r="P157" s="15" t="n">
        <v>1.009</v>
      </c>
      <c r="Q157" s="15" t="n">
        <v>1.009</v>
      </c>
      <c r="R157" s="15" t="n">
        <v>22</v>
      </c>
      <c r="S157" s="15" t="s">
        <v>352</v>
      </c>
      <c r="T157" s="15" t="n">
        <v>25</v>
      </c>
      <c r="U157" s="15"/>
      <c r="V157" s="15"/>
      <c r="W157" s="15"/>
      <c r="X157" s="15" t="s">
        <v>353</v>
      </c>
      <c r="Y157" s="15" t="n">
        <v>25</v>
      </c>
      <c r="Z157" s="15" t="s">
        <v>354</v>
      </c>
      <c r="AA157" s="15"/>
      <c r="AB157" s="15" t="n">
        <v>0</v>
      </c>
      <c r="AC157" s="15" t="n">
        <v>0</v>
      </c>
      <c r="AD157" s="15"/>
      <c r="AE157" s="15"/>
      <c r="AF157" s="15" t="s">
        <v>169</v>
      </c>
      <c r="AG157" s="15"/>
      <c r="AH157" s="24" t="n">
        <f aca="false">IF(R157="",AM157,R157)</f>
        <v>22</v>
      </c>
      <c r="AI157" s="24" t="n">
        <f aca="false">SUMIFS(Permissions!$G$2:$G$3000,Permissions!$B$2:$B$3000,$A157,Permissions!$I$2:$I$3000,"Complete",Permissions!$R$2:$R$3000,"Yes")</f>
        <v>0</v>
      </c>
      <c r="AJ157" s="24" t="n">
        <f aca="false">SUMIFS(Permissions!$G$2:$G$3000,Permissions!$B$2:$B$3000,$A157,Permissions!$I$2:$I$3000,"Under construction",Permissions!$R$2:$R$3000,"Yes")</f>
        <v>0</v>
      </c>
      <c r="AK157" s="24" t="n">
        <f aca="false">SUMIFS(Permissions!$G$2:$G$3000,Permissions!$B$2:$B$3000,$A157,Permissions!$I$2:$I$3000,"Permitted – not started",Permissions!$R$2:$R$3000,"Yes")</f>
        <v>0</v>
      </c>
      <c r="AL157" s="24" t="n">
        <f aca="false">SUMIFS(Permissions!$G$2:$G$3000,Permissions!$B$2:$B$3000,$A157,Permissions!$I$2:$I$3000,"Stalled",Permissions!$R$2:$R$3000,"Yes")</f>
        <v>0</v>
      </c>
      <c r="AM157" s="24" t="n">
        <f aca="false">AI157+AJ157+AK157+AL157</f>
        <v>0</v>
      </c>
      <c r="AN157" s="24" t="n">
        <f aca="false">SUMIFS(Permissions!$G$2:$G$3000,Permissions!$B$2:$B$3000,$A157,Permissions!$I$2:$I$3000,"Expired – not started",Permissions!$R$2:$R$3000,"Yes")</f>
        <v>0</v>
      </c>
      <c r="AO157" s="24" t="n">
        <f aca="false">SUMIFS(Permissions!$G$2:$G$3000,Permissions!$B$2:$B$3000,$A157,Permissions!$I$2:$I$3000,"In planning",Permissions!$R$2:$R$3000,"Yes")</f>
        <v>0</v>
      </c>
      <c r="AP157" s="24" t="n">
        <f aca="false">IF(R157="",0,MAX(R157-AM157,0))</f>
        <v>22</v>
      </c>
      <c r="AQ157" s="25" t="n">
        <f aca="false">AM157+AP157</f>
        <v>22</v>
      </c>
      <c r="AR157" s="24" t="n">
        <f aca="false">SUMIFS(Permissions!$L$2:$L$3000,Permissions!$B$2:$B$3000,$A157,Permissions!$R$2:$R$3000,"Yes",Permissions!$I$2:$I$3000,"&lt;&gt;Expired – not started",Permissions!$I$2:$I$3000,"&lt;&gt;In planning")</f>
        <v>0</v>
      </c>
      <c r="AS157" s="24" t="n">
        <f aca="false">AQ157-AR157</f>
        <v>22</v>
      </c>
      <c r="AT157" s="26" t="n">
        <f aca="false">SUMIFS(Permissions!$AJ$2:$AJ$3000,Permissions!$B$2:$B$3000,$A157,Permissions!$R$2:$R$3000,"Yes")</f>
        <v>0</v>
      </c>
      <c r="AU157" s="26" t="n">
        <f aca="false">SUMIFS(Permissions!$AK$2:$AK$3000,Permissions!$B$2:$B$3000,$A157,Permissions!$R$2:$R$3000,"Yes")</f>
        <v>0</v>
      </c>
      <c r="AV157" s="26" t="n">
        <f aca="false">SUMIFS(Permissions!$AL$2:$AL$3000,Permissions!$B$2:$B$3000,$A157,Permissions!$R$2:$R$3000,"Yes")</f>
        <v>0</v>
      </c>
      <c r="AW157" s="26" t="n">
        <f aca="false">SUMIFS(Permissions!$AM$2:$AM$3000,Permissions!$B$2:$B$3000,$A157,Permissions!$R$2:$R$3000,"Yes")</f>
        <v>0</v>
      </c>
      <c r="AX157" s="26" t="n">
        <f aca="false">SUMIFS(Permissions!$AN$2:$AN$3000,Permissions!$B$2:$B$3000,$A157,Permissions!$R$2:$R$3000,"Yes")</f>
        <v>0</v>
      </c>
      <c r="AY157" s="26" t="n">
        <f aca="false">SUMIFS(Permissions!$AO$2:$AO$3000,Permissions!$B$2:$B$3000,$A157,Permissions!$R$2:$R$3000,"Yes")</f>
        <v>0</v>
      </c>
      <c r="AZ157" s="24" t="n">
        <f aca="false">COUNTIFS(Permissions!$B$2:$B$3000,$A157,Permissions!$R$2:$R$3000,"Yes")</f>
        <v>0</v>
      </c>
      <c r="BA157" s="24" t="n">
        <f aca="false">SUMIFS(Permissions!$M$2:$M$3000,Permissions!$B$2:$B$3000,$A157,Permissions!$R$2:$R$3000,"Yes")</f>
        <v>0</v>
      </c>
      <c r="BB157" s="24" t="n">
        <f aca="false">SUMIFS(Permissions!$O$2:$O$3000,Permissions!$B$2:$B$3000,$A157,Permissions!$R$2:$R$3000,"Yes")</f>
        <v>0</v>
      </c>
      <c r="BC157" s="27" t="str">
        <f aca="false">IF(AND(AM157&gt;0,AR157&gt;=AM157,AP157=0),"Finished",IF(AR157&gt;0,"Partly built",IF(AM157&gt;0,"Consented – not built","No consent")))</f>
        <v>No consent</v>
      </c>
      <c r="BD157" s="28" t="str">
        <f aca="false">IF(AND(R157&lt;&gt;"",AM157&gt;1.1*R157),"Consented above capacity",IF(AND(LEFT(B157,8)="Planning",AZ157=0),"Consent parcel with no permission",IF(COUNTIF($A$2:$A$3000,$A157)&gt;1,"Duplicate parcel_id","")))</f>
        <v/>
      </c>
    </row>
    <row r="158" customFormat="false" ht="15" hidden="false" customHeight="false" outlineLevel="0" collapsed="false">
      <c r="A158" s="15" t="s">
        <v>414</v>
      </c>
      <c r="B158" s="15" t="s">
        <v>345</v>
      </c>
      <c r="C158" s="15" t="s">
        <v>17</v>
      </c>
      <c r="D158" s="15" t="s">
        <v>71</v>
      </c>
      <c r="E158" s="15" t="s">
        <v>21</v>
      </c>
      <c r="F158" s="15" t="n">
        <v>0.39</v>
      </c>
      <c r="G158" s="15" t="s">
        <v>158</v>
      </c>
      <c r="H158" s="15"/>
      <c r="I158" s="15" t="s">
        <v>346</v>
      </c>
      <c r="J158" s="15" t="s">
        <v>363</v>
      </c>
      <c r="K158" s="15" t="s">
        <v>415</v>
      </c>
      <c r="L158" s="15"/>
      <c r="M158" s="15" t="s">
        <v>349</v>
      </c>
      <c r="N158" s="15"/>
      <c r="O158" s="15" t="s">
        <v>351</v>
      </c>
      <c r="P158" s="15" t="n">
        <v>0.674</v>
      </c>
      <c r="Q158" s="15" t="n">
        <v>0.674</v>
      </c>
      <c r="R158" s="15" t="n">
        <v>15</v>
      </c>
      <c r="S158" s="15" t="s">
        <v>352</v>
      </c>
      <c r="T158" s="15" t="n">
        <v>17</v>
      </c>
      <c r="U158" s="15"/>
      <c r="V158" s="15"/>
      <c r="W158" s="15"/>
      <c r="X158" s="15" t="s">
        <v>353</v>
      </c>
      <c r="Y158" s="15" t="n">
        <v>25</v>
      </c>
      <c r="Z158" s="15" t="s">
        <v>354</v>
      </c>
      <c r="AA158" s="15"/>
      <c r="AB158" s="15" t="n">
        <v>0</v>
      </c>
      <c r="AC158" s="15" t="n">
        <v>0</v>
      </c>
      <c r="AD158" s="15"/>
      <c r="AE158" s="15"/>
      <c r="AF158" s="15" t="s">
        <v>169</v>
      </c>
      <c r="AG158" s="15"/>
      <c r="AH158" s="24" t="n">
        <f aca="false">IF(R158="",AM158,R158)</f>
        <v>15</v>
      </c>
      <c r="AI158" s="24" t="n">
        <f aca="false">SUMIFS(Permissions!$G$2:$G$3000,Permissions!$B$2:$B$3000,$A158,Permissions!$I$2:$I$3000,"Complete",Permissions!$R$2:$R$3000,"Yes")</f>
        <v>0</v>
      </c>
      <c r="AJ158" s="24" t="n">
        <f aca="false">SUMIFS(Permissions!$G$2:$G$3000,Permissions!$B$2:$B$3000,$A158,Permissions!$I$2:$I$3000,"Under construction",Permissions!$R$2:$R$3000,"Yes")</f>
        <v>0</v>
      </c>
      <c r="AK158" s="24" t="n">
        <f aca="false">SUMIFS(Permissions!$G$2:$G$3000,Permissions!$B$2:$B$3000,$A158,Permissions!$I$2:$I$3000,"Permitted – not started",Permissions!$R$2:$R$3000,"Yes")</f>
        <v>0</v>
      </c>
      <c r="AL158" s="24" t="n">
        <f aca="false">SUMIFS(Permissions!$G$2:$G$3000,Permissions!$B$2:$B$3000,$A158,Permissions!$I$2:$I$3000,"Stalled",Permissions!$R$2:$R$3000,"Yes")</f>
        <v>0</v>
      </c>
      <c r="AM158" s="24" t="n">
        <f aca="false">AI158+AJ158+AK158+AL158</f>
        <v>0</v>
      </c>
      <c r="AN158" s="24" t="n">
        <f aca="false">SUMIFS(Permissions!$G$2:$G$3000,Permissions!$B$2:$B$3000,$A158,Permissions!$I$2:$I$3000,"Expired – not started",Permissions!$R$2:$R$3000,"Yes")</f>
        <v>0</v>
      </c>
      <c r="AO158" s="24" t="n">
        <f aca="false">SUMIFS(Permissions!$G$2:$G$3000,Permissions!$B$2:$B$3000,$A158,Permissions!$I$2:$I$3000,"In planning",Permissions!$R$2:$R$3000,"Yes")</f>
        <v>0</v>
      </c>
      <c r="AP158" s="24" t="n">
        <f aca="false">IF(R158="",0,MAX(R158-AM158,0))</f>
        <v>15</v>
      </c>
      <c r="AQ158" s="25" t="n">
        <f aca="false">AM158+AP158</f>
        <v>15</v>
      </c>
      <c r="AR158" s="24" t="n">
        <f aca="false">SUMIFS(Permissions!$L$2:$L$3000,Permissions!$B$2:$B$3000,$A158,Permissions!$R$2:$R$3000,"Yes",Permissions!$I$2:$I$3000,"&lt;&gt;Expired – not started",Permissions!$I$2:$I$3000,"&lt;&gt;In planning")</f>
        <v>0</v>
      </c>
      <c r="AS158" s="24" t="n">
        <f aca="false">AQ158-AR158</f>
        <v>15</v>
      </c>
      <c r="AT158" s="26" t="n">
        <f aca="false">SUMIFS(Permissions!$AJ$2:$AJ$3000,Permissions!$B$2:$B$3000,$A158,Permissions!$R$2:$R$3000,"Yes")</f>
        <v>0</v>
      </c>
      <c r="AU158" s="26" t="n">
        <f aca="false">SUMIFS(Permissions!$AK$2:$AK$3000,Permissions!$B$2:$B$3000,$A158,Permissions!$R$2:$R$3000,"Yes")</f>
        <v>0</v>
      </c>
      <c r="AV158" s="26" t="n">
        <f aca="false">SUMIFS(Permissions!$AL$2:$AL$3000,Permissions!$B$2:$B$3000,$A158,Permissions!$R$2:$R$3000,"Yes")</f>
        <v>0</v>
      </c>
      <c r="AW158" s="26" t="n">
        <f aca="false">SUMIFS(Permissions!$AM$2:$AM$3000,Permissions!$B$2:$B$3000,$A158,Permissions!$R$2:$R$3000,"Yes")</f>
        <v>0</v>
      </c>
      <c r="AX158" s="26" t="n">
        <f aca="false">SUMIFS(Permissions!$AN$2:$AN$3000,Permissions!$B$2:$B$3000,$A158,Permissions!$R$2:$R$3000,"Yes")</f>
        <v>0</v>
      </c>
      <c r="AY158" s="26" t="n">
        <f aca="false">SUMIFS(Permissions!$AO$2:$AO$3000,Permissions!$B$2:$B$3000,$A158,Permissions!$R$2:$R$3000,"Yes")</f>
        <v>0</v>
      </c>
      <c r="AZ158" s="24" t="n">
        <f aca="false">COUNTIFS(Permissions!$B$2:$B$3000,$A158,Permissions!$R$2:$R$3000,"Yes")</f>
        <v>0</v>
      </c>
      <c r="BA158" s="24" t="n">
        <f aca="false">SUMIFS(Permissions!$M$2:$M$3000,Permissions!$B$2:$B$3000,$A158,Permissions!$R$2:$R$3000,"Yes")</f>
        <v>0</v>
      </c>
      <c r="BB158" s="24" t="n">
        <f aca="false">SUMIFS(Permissions!$O$2:$O$3000,Permissions!$B$2:$B$3000,$A158,Permissions!$R$2:$R$3000,"Yes")</f>
        <v>0</v>
      </c>
      <c r="BC158" s="27" t="str">
        <f aca="false">IF(AND(AM158&gt;0,AR158&gt;=AM158,AP158=0),"Finished",IF(AR158&gt;0,"Partly built",IF(AM158&gt;0,"Consented – not built","No consent")))</f>
        <v>No consent</v>
      </c>
      <c r="BD158" s="28" t="str">
        <f aca="false">IF(AND(R158&lt;&gt;"",AM158&gt;1.1*R158),"Consented above capacity",IF(AND(LEFT(B158,8)="Planning",AZ158=0),"Consent parcel with no permission",IF(COUNTIF($A$2:$A$3000,$A158)&gt;1,"Duplicate parcel_id","")))</f>
        <v/>
      </c>
    </row>
    <row r="159" customFormat="false" ht="15" hidden="false" customHeight="false" outlineLevel="0" collapsed="false">
      <c r="A159" s="15" t="s">
        <v>416</v>
      </c>
      <c r="B159" s="15" t="s">
        <v>345</v>
      </c>
      <c r="C159" s="15" t="s">
        <v>17</v>
      </c>
      <c r="D159" s="15" t="s">
        <v>71</v>
      </c>
      <c r="E159" s="15" t="s">
        <v>21</v>
      </c>
      <c r="F159" s="15" t="n">
        <v>1</v>
      </c>
      <c r="G159" s="15" t="s">
        <v>158</v>
      </c>
      <c r="H159" s="15"/>
      <c r="I159" s="15" t="s">
        <v>346</v>
      </c>
      <c r="J159" s="15" t="s">
        <v>363</v>
      </c>
      <c r="K159" s="15" t="s">
        <v>417</v>
      </c>
      <c r="L159" s="15"/>
      <c r="M159" s="15" t="s">
        <v>357</v>
      </c>
      <c r="N159" s="15" t="s">
        <v>350</v>
      </c>
      <c r="O159" s="15" t="s">
        <v>358</v>
      </c>
      <c r="P159" s="15" t="n">
        <v>1.019</v>
      </c>
      <c r="Q159" s="15" t="n">
        <v>1.019</v>
      </c>
      <c r="R159" s="15" t="n">
        <v>10</v>
      </c>
      <c r="S159" s="15" t="s">
        <v>352</v>
      </c>
      <c r="T159" s="15" t="n">
        <v>25</v>
      </c>
      <c r="U159" s="15"/>
      <c r="V159" s="15"/>
      <c r="W159" s="15"/>
      <c r="X159" s="15" t="s">
        <v>353</v>
      </c>
      <c r="Y159" s="15" t="n">
        <v>25</v>
      </c>
      <c r="Z159" s="15" t="s">
        <v>354</v>
      </c>
      <c r="AA159" s="15"/>
      <c r="AB159" s="15" t="n">
        <v>0</v>
      </c>
      <c r="AC159" s="15" t="n">
        <v>0</v>
      </c>
      <c r="AD159" s="15"/>
      <c r="AE159" s="15"/>
      <c r="AF159" s="15" t="s">
        <v>169</v>
      </c>
      <c r="AG159" s="15"/>
      <c r="AH159" s="24" t="n">
        <f aca="false">IF(R159="",AM159,R159)</f>
        <v>10</v>
      </c>
      <c r="AI159" s="24" t="n">
        <f aca="false">SUMIFS(Permissions!$G$2:$G$3000,Permissions!$B$2:$B$3000,$A159,Permissions!$I$2:$I$3000,"Complete",Permissions!$R$2:$R$3000,"Yes")</f>
        <v>0</v>
      </c>
      <c r="AJ159" s="24" t="n">
        <f aca="false">SUMIFS(Permissions!$G$2:$G$3000,Permissions!$B$2:$B$3000,$A159,Permissions!$I$2:$I$3000,"Under construction",Permissions!$R$2:$R$3000,"Yes")</f>
        <v>0</v>
      </c>
      <c r="AK159" s="24" t="n">
        <f aca="false">SUMIFS(Permissions!$G$2:$G$3000,Permissions!$B$2:$B$3000,$A159,Permissions!$I$2:$I$3000,"Permitted – not started",Permissions!$R$2:$R$3000,"Yes")</f>
        <v>0</v>
      </c>
      <c r="AL159" s="24" t="n">
        <f aca="false">SUMIFS(Permissions!$G$2:$G$3000,Permissions!$B$2:$B$3000,$A159,Permissions!$I$2:$I$3000,"Stalled",Permissions!$R$2:$R$3000,"Yes")</f>
        <v>0</v>
      </c>
      <c r="AM159" s="24" t="n">
        <f aca="false">AI159+AJ159+AK159+AL159</f>
        <v>0</v>
      </c>
      <c r="AN159" s="24" t="n">
        <f aca="false">SUMIFS(Permissions!$G$2:$G$3000,Permissions!$B$2:$B$3000,$A159,Permissions!$I$2:$I$3000,"Expired – not started",Permissions!$R$2:$R$3000,"Yes")</f>
        <v>0</v>
      </c>
      <c r="AO159" s="24" t="n">
        <f aca="false">SUMIFS(Permissions!$G$2:$G$3000,Permissions!$B$2:$B$3000,$A159,Permissions!$I$2:$I$3000,"In planning",Permissions!$R$2:$R$3000,"Yes")</f>
        <v>0</v>
      </c>
      <c r="AP159" s="24" t="n">
        <f aca="false">IF(R159="",0,MAX(R159-AM159,0))</f>
        <v>10</v>
      </c>
      <c r="AQ159" s="25" t="n">
        <f aca="false">AM159+AP159</f>
        <v>10</v>
      </c>
      <c r="AR159" s="24" t="n">
        <f aca="false">SUMIFS(Permissions!$L$2:$L$3000,Permissions!$B$2:$B$3000,$A159,Permissions!$R$2:$R$3000,"Yes",Permissions!$I$2:$I$3000,"&lt;&gt;Expired – not started",Permissions!$I$2:$I$3000,"&lt;&gt;In planning")</f>
        <v>0</v>
      </c>
      <c r="AS159" s="24" t="n">
        <f aca="false">AQ159-AR159</f>
        <v>10</v>
      </c>
      <c r="AT159" s="26" t="n">
        <f aca="false">SUMIFS(Permissions!$AJ$2:$AJ$3000,Permissions!$B$2:$B$3000,$A159,Permissions!$R$2:$R$3000,"Yes")</f>
        <v>0</v>
      </c>
      <c r="AU159" s="26" t="n">
        <f aca="false">SUMIFS(Permissions!$AK$2:$AK$3000,Permissions!$B$2:$B$3000,$A159,Permissions!$R$2:$R$3000,"Yes")</f>
        <v>0</v>
      </c>
      <c r="AV159" s="26" t="n">
        <f aca="false">SUMIFS(Permissions!$AL$2:$AL$3000,Permissions!$B$2:$B$3000,$A159,Permissions!$R$2:$R$3000,"Yes")</f>
        <v>0</v>
      </c>
      <c r="AW159" s="26" t="n">
        <f aca="false">SUMIFS(Permissions!$AM$2:$AM$3000,Permissions!$B$2:$B$3000,$A159,Permissions!$R$2:$R$3000,"Yes")</f>
        <v>0</v>
      </c>
      <c r="AX159" s="26" t="n">
        <f aca="false">SUMIFS(Permissions!$AN$2:$AN$3000,Permissions!$B$2:$B$3000,$A159,Permissions!$R$2:$R$3000,"Yes")</f>
        <v>0</v>
      </c>
      <c r="AY159" s="26" t="n">
        <f aca="false">SUMIFS(Permissions!$AO$2:$AO$3000,Permissions!$B$2:$B$3000,$A159,Permissions!$R$2:$R$3000,"Yes")</f>
        <v>0</v>
      </c>
      <c r="AZ159" s="24" t="n">
        <f aca="false">COUNTIFS(Permissions!$B$2:$B$3000,$A159,Permissions!$R$2:$R$3000,"Yes")</f>
        <v>0</v>
      </c>
      <c r="BA159" s="24" t="n">
        <f aca="false">SUMIFS(Permissions!$M$2:$M$3000,Permissions!$B$2:$B$3000,$A159,Permissions!$R$2:$R$3000,"Yes")</f>
        <v>0</v>
      </c>
      <c r="BB159" s="24" t="n">
        <f aca="false">SUMIFS(Permissions!$O$2:$O$3000,Permissions!$B$2:$B$3000,$A159,Permissions!$R$2:$R$3000,"Yes")</f>
        <v>0</v>
      </c>
      <c r="BC159" s="27" t="str">
        <f aca="false">IF(AND(AM159&gt;0,AR159&gt;=AM159,AP159=0),"Finished",IF(AR159&gt;0,"Partly built",IF(AM159&gt;0,"Consented – not built","No consent")))</f>
        <v>No consent</v>
      </c>
      <c r="BD159" s="28" t="str">
        <f aca="false">IF(AND(R159&lt;&gt;"",AM159&gt;1.1*R159),"Consented above capacity",IF(AND(LEFT(B159,8)="Planning",AZ159=0),"Consent parcel with no permission",IF(COUNTIF($A$2:$A$3000,$A159)&gt;1,"Duplicate parcel_id","")))</f>
        <v/>
      </c>
    </row>
    <row r="160" customFormat="false" ht="15" hidden="false" customHeight="false" outlineLevel="0" collapsed="false">
      <c r="A160" s="15" t="s">
        <v>418</v>
      </c>
      <c r="B160" s="15" t="s">
        <v>345</v>
      </c>
      <c r="C160" s="15" t="s">
        <v>17</v>
      </c>
      <c r="D160" s="15" t="s">
        <v>71</v>
      </c>
      <c r="E160" s="15" t="s">
        <v>21</v>
      </c>
      <c r="F160" s="15" t="n">
        <v>0.17</v>
      </c>
      <c r="G160" s="15" t="s">
        <v>158</v>
      </c>
      <c r="H160" s="15"/>
      <c r="I160" s="15" t="s">
        <v>346</v>
      </c>
      <c r="J160" s="15" t="s">
        <v>363</v>
      </c>
      <c r="K160" s="15" t="s">
        <v>419</v>
      </c>
      <c r="L160" s="15"/>
      <c r="M160" s="15" t="s">
        <v>420</v>
      </c>
      <c r="N160" s="15" t="s">
        <v>350</v>
      </c>
      <c r="O160" s="15"/>
      <c r="P160" s="15" t="n">
        <v>2.675</v>
      </c>
      <c r="Q160" s="15" t="n">
        <v>2.675</v>
      </c>
      <c r="R160" s="15" t="n">
        <v>67</v>
      </c>
      <c r="S160" s="15" t="s">
        <v>239</v>
      </c>
      <c r="T160" s="15" t="n">
        <v>67</v>
      </c>
      <c r="U160" s="15"/>
      <c r="V160" s="15"/>
      <c r="W160" s="15"/>
      <c r="X160" s="15" t="s">
        <v>353</v>
      </c>
      <c r="Y160" s="15" t="n">
        <v>25</v>
      </c>
      <c r="Z160" s="15" t="s">
        <v>421</v>
      </c>
      <c r="AA160" s="15"/>
      <c r="AB160" s="15" t="n">
        <v>1</v>
      </c>
      <c r="AC160" s="15" t="n">
        <v>1</v>
      </c>
      <c r="AD160" s="15"/>
      <c r="AE160" s="15" t="s">
        <v>422</v>
      </c>
      <c r="AF160" s="15" t="s">
        <v>169</v>
      </c>
      <c r="AG160" s="15"/>
      <c r="AH160" s="24" t="n">
        <f aca="false">IF(R160="",AM160,R160)</f>
        <v>67</v>
      </c>
      <c r="AI160" s="24" t="n">
        <f aca="false">SUMIFS(Permissions!$G$2:$G$3000,Permissions!$B$2:$B$3000,$A160,Permissions!$I$2:$I$3000,"Complete",Permissions!$R$2:$R$3000,"Yes")</f>
        <v>0</v>
      </c>
      <c r="AJ160" s="24" t="n">
        <f aca="false">SUMIFS(Permissions!$G$2:$G$3000,Permissions!$B$2:$B$3000,$A160,Permissions!$I$2:$I$3000,"Under construction",Permissions!$R$2:$R$3000,"Yes")</f>
        <v>0</v>
      </c>
      <c r="AK160" s="24" t="n">
        <f aca="false">SUMIFS(Permissions!$G$2:$G$3000,Permissions!$B$2:$B$3000,$A160,Permissions!$I$2:$I$3000,"Permitted – not started",Permissions!$R$2:$R$3000,"Yes")</f>
        <v>0</v>
      </c>
      <c r="AL160" s="24" t="n">
        <f aca="false">SUMIFS(Permissions!$G$2:$G$3000,Permissions!$B$2:$B$3000,$A160,Permissions!$I$2:$I$3000,"Stalled",Permissions!$R$2:$R$3000,"Yes")</f>
        <v>0</v>
      </c>
      <c r="AM160" s="24" t="n">
        <f aca="false">AI160+AJ160+AK160+AL160</f>
        <v>0</v>
      </c>
      <c r="AN160" s="24" t="n">
        <f aca="false">SUMIFS(Permissions!$G$2:$G$3000,Permissions!$B$2:$B$3000,$A160,Permissions!$I$2:$I$3000,"Expired – not started",Permissions!$R$2:$R$3000,"Yes")</f>
        <v>0</v>
      </c>
      <c r="AO160" s="24" t="n">
        <f aca="false">SUMIFS(Permissions!$G$2:$G$3000,Permissions!$B$2:$B$3000,$A160,Permissions!$I$2:$I$3000,"In planning",Permissions!$R$2:$R$3000,"Yes")</f>
        <v>0</v>
      </c>
      <c r="AP160" s="24" t="n">
        <f aca="false">IF(R160="",0,MAX(R160-AM160,0))</f>
        <v>67</v>
      </c>
      <c r="AQ160" s="25" t="n">
        <f aca="false">AM160+AP160</f>
        <v>67</v>
      </c>
      <c r="AR160" s="24" t="n">
        <f aca="false">SUMIFS(Permissions!$L$2:$L$3000,Permissions!$B$2:$B$3000,$A160,Permissions!$R$2:$R$3000,"Yes",Permissions!$I$2:$I$3000,"&lt;&gt;Expired – not started",Permissions!$I$2:$I$3000,"&lt;&gt;In planning")</f>
        <v>0</v>
      </c>
      <c r="AS160" s="24" t="n">
        <f aca="false">AQ160-AR160</f>
        <v>67</v>
      </c>
      <c r="AT160" s="26" t="n">
        <f aca="false">SUMIFS(Permissions!$AJ$2:$AJ$3000,Permissions!$B$2:$B$3000,$A160,Permissions!$R$2:$R$3000,"Yes")</f>
        <v>0</v>
      </c>
      <c r="AU160" s="26" t="n">
        <f aca="false">SUMIFS(Permissions!$AK$2:$AK$3000,Permissions!$B$2:$B$3000,$A160,Permissions!$R$2:$R$3000,"Yes")</f>
        <v>0</v>
      </c>
      <c r="AV160" s="26" t="n">
        <f aca="false">SUMIFS(Permissions!$AL$2:$AL$3000,Permissions!$B$2:$B$3000,$A160,Permissions!$R$2:$R$3000,"Yes")</f>
        <v>0</v>
      </c>
      <c r="AW160" s="26" t="n">
        <f aca="false">SUMIFS(Permissions!$AM$2:$AM$3000,Permissions!$B$2:$B$3000,$A160,Permissions!$R$2:$R$3000,"Yes")</f>
        <v>0</v>
      </c>
      <c r="AX160" s="26" t="n">
        <f aca="false">SUMIFS(Permissions!$AN$2:$AN$3000,Permissions!$B$2:$B$3000,$A160,Permissions!$R$2:$R$3000,"Yes")</f>
        <v>0</v>
      </c>
      <c r="AY160" s="26" t="n">
        <f aca="false">SUMIFS(Permissions!$AO$2:$AO$3000,Permissions!$B$2:$B$3000,$A160,Permissions!$R$2:$R$3000,"Yes")</f>
        <v>0</v>
      </c>
      <c r="AZ160" s="24" t="n">
        <f aca="false">COUNTIFS(Permissions!$B$2:$B$3000,$A160,Permissions!$R$2:$R$3000,"Yes")</f>
        <v>0</v>
      </c>
      <c r="BA160" s="24" t="n">
        <f aca="false">SUMIFS(Permissions!$M$2:$M$3000,Permissions!$B$2:$B$3000,$A160,Permissions!$R$2:$R$3000,"Yes")</f>
        <v>0</v>
      </c>
      <c r="BB160" s="24" t="n">
        <f aca="false">SUMIFS(Permissions!$O$2:$O$3000,Permissions!$B$2:$B$3000,$A160,Permissions!$R$2:$R$3000,"Yes")</f>
        <v>0</v>
      </c>
      <c r="BC160" s="27" t="str">
        <f aca="false">IF(AND(AM160&gt;0,AR160&gt;=AM160,AP160=0),"Finished",IF(AR160&gt;0,"Partly built",IF(AM160&gt;0,"Consented – not built","No consent")))</f>
        <v>No consent</v>
      </c>
      <c r="BD160" s="28" t="str">
        <f aca="false">IF(AND(R160&lt;&gt;"",AM160&gt;1.1*R160),"Consented above capacity",IF(AND(LEFT(B160,8)="Planning",AZ160=0),"Consent parcel with no permission",IF(COUNTIF($A$2:$A$3000,$A160)&gt;1,"Duplicate parcel_id","")))</f>
        <v/>
      </c>
    </row>
    <row r="161" customFormat="false" ht="15" hidden="false" customHeight="false" outlineLevel="0" collapsed="false">
      <c r="A161" s="15" t="s">
        <v>423</v>
      </c>
      <c r="B161" s="15" t="s">
        <v>345</v>
      </c>
      <c r="C161" s="15" t="s">
        <v>17</v>
      </c>
      <c r="D161" s="15" t="s">
        <v>72</v>
      </c>
      <c r="E161" s="15" t="s">
        <v>21</v>
      </c>
      <c r="F161" s="15" t="n">
        <v>0.06</v>
      </c>
      <c r="G161" s="15" t="s">
        <v>158</v>
      </c>
      <c r="H161" s="15"/>
      <c r="I161" s="15" t="s">
        <v>346</v>
      </c>
      <c r="J161" s="15" t="s">
        <v>363</v>
      </c>
      <c r="K161" s="15" t="s">
        <v>424</v>
      </c>
      <c r="L161" s="15"/>
      <c r="M161" s="15" t="s">
        <v>349</v>
      </c>
      <c r="N161" s="15" t="s">
        <v>350</v>
      </c>
      <c r="O161" s="15" t="s">
        <v>351</v>
      </c>
      <c r="P161" s="15" t="n">
        <v>0.091</v>
      </c>
      <c r="Q161" s="15" t="n">
        <v>0.091</v>
      </c>
      <c r="R161" s="15" t="n">
        <v>2</v>
      </c>
      <c r="S161" s="15" t="s">
        <v>352</v>
      </c>
      <c r="T161" s="15" t="n">
        <v>2</v>
      </c>
      <c r="U161" s="15"/>
      <c r="V161" s="15"/>
      <c r="W161" s="15"/>
      <c r="X161" s="15" t="s">
        <v>353</v>
      </c>
      <c r="Y161" s="15" t="n">
        <v>25</v>
      </c>
      <c r="Z161" s="15" t="s">
        <v>354</v>
      </c>
      <c r="AA161" s="15"/>
      <c r="AB161" s="15" t="n">
        <v>0</v>
      </c>
      <c r="AC161" s="15" t="n">
        <v>0</v>
      </c>
      <c r="AD161" s="15"/>
      <c r="AE161" s="15" t="s">
        <v>425</v>
      </c>
      <c r="AF161" s="15" t="s">
        <v>169</v>
      </c>
      <c r="AG161" s="15"/>
      <c r="AH161" s="24" t="n">
        <f aca="false">IF(R161="",AM161,R161)</f>
        <v>2</v>
      </c>
      <c r="AI161" s="24" t="n">
        <f aca="false">SUMIFS(Permissions!$G$2:$G$3000,Permissions!$B$2:$B$3000,$A161,Permissions!$I$2:$I$3000,"Complete",Permissions!$R$2:$R$3000,"Yes")</f>
        <v>0</v>
      </c>
      <c r="AJ161" s="24" t="n">
        <f aca="false">SUMIFS(Permissions!$G$2:$G$3000,Permissions!$B$2:$B$3000,$A161,Permissions!$I$2:$I$3000,"Under construction",Permissions!$R$2:$R$3000,"Yes")</f>
        <v>0</v>
      </c>
      <c r="AK161" s="24" t="n">
        <f aca="false">SUMIFS(Permissions!$G$2:$G$3000,Permissions!$B$2:$B$3000,$A161,Permissions!$I$2:$I$3000,"Permitted – not started",Permissions!$R$2:$R$3000,"Yes")</f>
        <v>0</v>
      </c>
      <c r="AL161" s="24" t="n">
        <f aca="false">SUMIFS(Permissions!$G$2:$G$3000,Permissions!$B$2:$B$3000,$A161,Permissions!$I$2:$I$3000,"Stalled",Permissions!$R$2:$R$3000,"Yes")</f>
        <v>0</v>
      </c>
      <c r="AM161" s="24" t="n">
        <f aca="false">AI161+AJ161+AK161+AL161</f>
        <v>0</v>
      </c>
      <c r="AN161" s="24" t="n">
        <f aca="false">SUMIFS(Permissions!$G$2:$G$3000,Permissions!$B$2:$B$3000,$A161,Permissions!$I$2:$I$3000,"Expired – not started",Permissions!$R$2:$R$3000,"Yes")</f>
        <v>0</v>
      </c>
      <c r="AO161" s="24" t="n">
        <f aca="false">SUMIFS(Permissions!$G$2:$G$3000,Permissions!$B$2:$B$3000,$A161,Permissions!$I$2:$I$3000,"In planning",Permissions!$R$2:$R$3000,"Yes")</f>
        <v>0</v>
      </c>
      <c r="AP161" s="24" t="n">
        <f aca="false">IF(R161="",0,MAX(R161-AM161,0))</f>
        <v>2</v>
      </c>
      <c r="AQ161" s="25" t="n">
        <f aca="false">AM161+AP161</f>
        <v>2</v>
      </c>
      <c r="AR161" s="24" t="n">
        <f aca="false">SUMIFS(Permissions!$L$2:$L$3000,Permissions!$B$2:$B$3000,$A161,Permissions!$R$2:$R$3000,"Yes",Permissions!$I$2:$I$3000,"&lt;&gt;Expired – not started",Permissions!$I$2:$I$3000,"&lt;&gt;In planning")</f>
        <v>0</v>
      </c>
      <c r="AS161" s="24" t="n">
        <f aca="false">AQ161-AR161</f>
        <v>2</v>
      </c>
      <c r="AT161" s="26" t="n">
        <f aca="false">SUMIFS(Permissions!$AJ$2:$AJ$3000,Permissions!$B$2:$B$3000,$A161,Permissions!$R$2:$R$3000,"Yes")</f>
        <v>0</v>
      </c>
      <c r="AU161" s="26" t="n">
        <f aca="false">SUMIFS(Permissions!$AK$2:$AK$3000,Permissions!$B$2:$B$3000,$A161,Permissions!$R$2:$R$3000,"Yes")</f>
        <v>0</v>
      </c>
      <c r="AV161" s="26" t="n">
        <f aca="false">SUMIFS(Permissions!$AL$2:$AL$3000,Permissions!$B$2:$B$3000,$A161,Permissions!$R$2:$R$3000,"Yes")</f>
        <v>0</v>
      </c>
      <c r="AW161" s="26" t="n">
        <f aca="false">SUMIFS(Permissions!$AM$2:$AM$3000,Permissions!$B$2:$B$3000,$A161,Permissions!$R$2:$R$3000,"Yes")</f>
        <v>0</v>
      </c>
      <c r="AX161" s="26" t="n">
        <f aca="false">SUMIFS(Permissions!$AN$2:$AN$3000,Permissions!$B$2:$B$3000,$A161,Permissions!$R$2:$R$3000,"Yes")</f>
        <v>0</v>
      </c>
      <c r="AY161" s="26" t="n">
        <f aca="false">SUMIFS(Permissions!$AO$2:$AO$3000,Permissions!$B$2:$B$3000,$A161,Permissions!$R$2:$R$3000,"Yes")</f>
        <v>0</v>
      </c>
      <c r="AZ161" s="24" t="n">
        <f aca="false">COUNTIFS(Permissions!$B$2:$B$3000,$A161,Permissions!$R$2:$R$3000,"Yes")</f>
        <v>0</v>
      </c>
      <c r="BA161" s="24" t="n">
        <f aca="false">SUMIFS(Permissions!$M$2:$M$3000,Permissions!$B$2:$B$3000,$A161,Permissions!$R$2:$R$3000,"Yes")</f>
        <v>0</v>
      </c>
      <c r="BB161" s="24" t="n">
        <f aca="false">SUMIFS(Permissions!$O$2:$O$3000,Permissions!$B$2:$B$3000,$A161,Permissions!$R$2:$R$3000,"Yes")</f>
        <v>0</v>
      </c>
      <c r="BC161" s="27" t="str">
        <f aca="false">IF(AND(AM161&gt;0,AR161&gt;=AM161,AP161=0),"Finished",IF(AR161&gt;0,"Partly built",IF(AM161&gt;0,"Consented – not built","No consent")))</f>
        <v>No consent</v>
      </c>
      <c r="BD161" s="28" t="str">
        <f aca="false">IF(AND(R161&lt;&gt;"",AM161&gt;1.1*R161),"Consented above capacity",IF(AND(LEFT(B161,8)="Planning",AZ161=0),"Consent parcel with no permission",IF(COUNTIF($A$2:$A$3000,$A161)&gt;1,"Duplicate parcel_id","")))</f>
        <v/>
      </c>
    </row>
    <row r="162" customFormat="false" ht="15" hidden="false" customHeight="false" outlineLevel="0" collapsed="false">
      <c r="A162" s="15" t="s">
        <v>426</v>
      </c>
      <c r="B162" s="15" t="s">
        <v>345</v>
      </c>
      <c r="C162" s="15" t="s">
        <v>17</v>
      </c>
      <c r="D162" s="15" t="s">
        <v>72</v>
      </c>
      <c r="E162" s="15" t="s">
        <v>21</v>
      </c>
      <c r="F162" s="15" t="n">
        <v>1</v>
      </c>
      <c r="G162" s="15" t="s">
        <v>158</v>
      </c>
      <c r="H162" s="15"/>
      <c r="I162" s="15" t="s">
        <v>346</v>
      </c>
      <c r="J162" s="15" t="s">
        <v>363</v>
      </c>
      <c r="K162" s="15" t="s">
        <v>427</v>
      </c>
      <c r="L162" s="15"/>
      <c r="M162" s="15" t="s">
        <v>349</v>
      </c>
      <c r="N162" s="15" t="s">
        <v>350</v>
      </c>
      <c r="O162" s="15" t="s">
        <v>351</v>
      </c>
      <c r="P162" s="15" t="n">
        <v>0.317</v>
      </c>
      <c r="Q162" s="15" t="n">
        <v>0.317</v>
      </c>
      <c r="R162" s="15" t="n">
        <v>7</v>
      </c>
      <c r="S162" s="15" t="s">
        <v>352</v>
      </c>
      <c r="T162" s="15" t="n">
        <v>8</v>
      </c>
      <c r="U162" s="15"/>
      <c r="V162" s="15"/>
      <c r="W162" s="15"/>
      <c r="X162" s="15" t="s">
        <v>353</v>
      </c>
      <c r="Y162" s="15" t="n">
        <v>25</v>
      </c>
      <c r="Z162" s="15" t="s">
        <v>354</v>
      </c>
      <c r="AA162" s="15"/>
      <c r="AB162" s="15" t="n">
        <v>2</v>
      </c>
      <c r="AC162" s="15" t="n">
        <v>0</v>
      </c>
      <c r="AD162" s="15"/>
      <c r="AE162" s="15"/>
      <c r="AF162" s="15" t="s">
        <v>169</v>
      </c>
      <c r="AG162" s="15"/>
      <c r="AH162" s="24" t="n">
        <f aca="false">IF(R162="",AM162,R162)</f>
        <v>7</v>
      </c>
      <c r="AI162" s="24" t="n">
        <f aca="false">SUMIFS(Permissions!$G$2:$G$3000,Permissions!$B$2:$B$3000,$A162,Permissions!$I$2:$I$3000,"Complete",Permissions!$R$2:$R$3000,"Yes")</f>
        <v>0</v>
      </c>
      <c r="AJ162" s="24" t="n">
        <f aca="false">SUMIFS(Permissions!$G$2:$G$3000,Permissions!$B$2:$B$3000,$A162,Permissions!$I$2:$I$3000,"Under construction",Permissions!$R$2:$R$3000,"Yes")</f>
        <v>0</v>
      </c>
      <c r="AK162" s="24" t="n">
        <f aca="false">SUMIFS(Permissions!$G$2:$G$3000,Permissions!$B$2:$B$3000,$A162,Permissions!$I$2:$I$3000,"Permitted – not started",Permissions!$R$2:$R$3000,"Yes")</f>
        <v>0</v>
      </c>
      <c r="AL162" s="24" t="n">
        <f aca="false">SUMIFS(Permissions!$G$2:$G$3000,Permissions!$B$2:$B$3000,$A162,Permissions!$I$2:$I$3000,"Stalled",Permissions!$R$2:$R$3000,"Yes")</f>
        <v>0</v>
      </c>
      <c r="AM162" s="24" t="n">
        <f aca="false">AI162+AJ162+AK162+AL162</f>
        <v>0</v>
      </c>
      <c r="AN162" s="24" t="n">
        <f aca="false">SUMIFS(Permissions!$G$2:$G$3000,Permissions!$B$2:$B$3000,$A162,Permissions!$I$2:$I$3000,"Expired – not started",Permissions!$R$2:$R$3000,"Yes")</f>
        <v>0</v>
      </c>
      <c r="AO162" s="24" t="n">
        <f aca="false">SUMIFS(Permissions!$G$2:$G$3000,Permissions!$B$2:$B$3000,$A162,Permissions!$I$2:$I$3000,"In planning",Permissions!$R$2:$R$3000,"Yes")</f>
        <v>0</v>
      </c>
      <c r="AP162" s="24" t="n">
        <f aca="false">IF(R162="",0,MAX(R162-AM162,0))</f>
        <v>7</v>
      </c>
      <c r="AQ162" s="25" t="n">
        <f aca="false">AM162+AP162</f>
        <v>7</v>
      </c>
      <c r="AR162" s="24" t="n">
        <f aca="false">SUMIFS(Permissions!$L$2:$L$3000,Permissions!$B$2:$B$3000,$A162,Permissions!$R$2:$R$3000,"Yes",Permissions!$I$2:$I$3000,"&lt;&gt;Expired – not started",Permissions!$I$2:$I$3000,"&lt;&gt;In planning")</f>
        <v>0</v>
      </c>
      <c r="AS162" s="24" t="n">
        <f aca="false">AQ162-AR162</f>
        <v>7</v>
      </c>
      <c r="AT162" s="26" t="n">
        <f aca="false">SUMIFS(Permissions!$AJ$2:$AJ$3000,Permissions!$B$2:$B$3000,$A162,Permissions!$R$2:$R$3000,"Yes")</f>
        <v>0</v>
      </c>
      <c r="AU162" s="26" t="n">
        <f aca="false">SUMIFS(Permissions!$AK$2:$AK$3000,Permissions!$B$2:$B$3000,$A162,Permissions!$R$2:$R$3000,"Yes")</f>
        <v>0</v>
      </c>
      <c r="AV162" s="26" t="n">
        <f aca="false">SUMIFS(Permissions!$AL$2:$AL$3000,Permissions!$B$2:$B$3000,$A162,Permissions!$R$2:$R$3000,"Yes")</f>
        <v>0</v>
      </c>
      <c r="AW162" s="26" t="n">
        <f aca="false">SUMIFS(Permissions!$AM$2:$AM$3000,Permissions!$B$2:$B$3000,$A162,Permissions!$R$2:$R$3000,"Yes")</f>
        <v>0</v>
      </c>
      <c r="AX162" s="26" t="n">
        <f aca="false">SUMIFS(Permissions!$AN$2:$AN$3000,Permissions!$B$2:$B$3000,$A162,Permissions!$R$2:$R$3000,"Yes")</f>
        <v>0</v>
      </c>
      <c r="AY162" s="26" t="n">
        <f aca="false">SUMIFS(Permissions!$AO$2:$AO$3000,Permissions!$B$2:$B$3000,$A162,Permissions!$R$2:$R$3000,"Yes")</f>
        <v>0</v>
      </c>
      <c r="AZ162" s="24" t="n">
        <f aca="false">COUNTIFS(Permissions!$B$2:$B$3000,$A162,Permissions!$R$2:$R$3000,"Yes")</f>
        <v>0</v>
      </c>
      <c r="BA162" s="24" t="n">
        <f aca="false">SUMIFS(Permissions!$M$2:$M$3000,Permissions!$B$2:$B$3000,$A162,Permissions!$R$2:$R$3000,"Yes")</f>
        <v>0</v>
      </c>
      <c r="BB162" s="24" t="n">
        <f aca="false">SUMIFS(Permissions!$O$2:$O$3000,Permissions!$B$2:$B$3000,$A162,Permissions!$R$2:$R$3000,"Yes")</f>
        <v>0</v>
      </c>
      <c r="BC162" s="27" t="str">
        <f aca="false">IF(AND(AM162&gt;0,AR162&gt;=AM162,AP162=0),"Finished",IF(AR162&gt;0,"Partly built",IF(AM162&gt;0,"Consented – not built","No consent")))</f>
        <v>No consent</v>
      </c>
      <c r="BD162" s="28" t="str">
        <f aca="false">IF(AND(R162&lt;&gt;"",AM162&gt;1.1*R162),"Consented above capacity",IF(AND(LEFT(B162,8)="Planning",AZ162=0),"Consent parcel with no permission",IF(COUNTIF($A$2:$A$3000,$A162)&gt;1,"Duplicate parcel_id","")))</f>
        <v/>
      </c>
    </row>
    <row r="163" customFormat="false" ht="15" hidden="false" customHeight="false" outlineLevel="0" collapsed="false">
      <c r="A163" s="15" t="s">
        <v>428</v>
      </c>
      <c r="B163" s="15" t="s">
        <v>345</v>
      </c>
      <c r="C163" s="15" t="s">
        <v>17</v>
      </c>
      <c r="D163" s="15" t="s">
        <v>72</v>
      </c>
      <c r="E163" s="15" t="s">
        <v>21</v>
      </c>
      <c r="F163" s="15" t="n">
        <v>0.66</v>
      </c>
      <c r="G163" s="15" t="s">
        <v>158</v>
      </c>
      <c r="H163" s="15"/>
      <c r="I163" s="15" t="s">
        <v>346</v>
      </c>
      <c r="J163" s="15" t="s">
        <v>363</v>
      </c>
      <c r="K163" s="15" t="s">
        <v>429</v>
      </c>
      <c r="L163" s="15"/>
      <c r="M163" s="15" t="s">
        <v>349</v>
      </c>
      <c r="N163" s="15" t="s">
        <v>350</v>
      </c>
      <c r="O163" s="15" t="s">
        <v>351</v>
      </c>
      <c r="P163" s="15" t="n">
        <v>0.821</v>
      </c>
      <c r="Q163" s="15" t="n">
        <v>0.821</v>
      </c>
      <c r="R163" s="15" t="n">
        <v>18</v>
      </c>
      <c r="S163" s="15" t="s">
        <v>352</v>
      </c>
      <c r="T163" s="15" t="n">
        <v>21</v>
      </c>
      <c r="U163" s="15"/>
      <c r="V163" s="15"/>
      <c r="W163" s="15"/>
      <c r="X163" s="15" t="s">
        <v>353</v>
      </c>
      <c r="Y163" s="15" t="n">
        <v>25</v>
      </c>
      <c r="Z163" s="15" t="s">
        <v>354</v>
      </c>
      <c r="AA163" s="15"/>
      <c r="AB163" s="15" t="n">
        <v>0</v>
      </c>
      <c r="AC163" s="15" t="n">
        <v>0</v>
      </c>
      <c r="AD163" s="15"/>
      <c r="AE163" s="15"/>
      <c r="AF163" s="15" t="s">
        <v>169</v>
      </c>
      <c r="AG163" s="15"/>
      <c r="AH163" s="24" t="n">
        <f aca="false">IF(R163="",AM163,R163)</f>
        <v>18</v>
      </c>
      <c r="AI163" s="24" t="n">
        <f aca="false">SUMIFS(Permissions!$G$2:$G$3000,Permissions!$B$2:$B$3000,$A163,Permissions!$I$2:$I$3000,"Complete",Permissions!$R$2:$R$3000,"Yes")</f>
        <v>0</v>
      </c>
      <c r="AJ163" s="24" t="n">
        <f aca="false">SUMIFS(Permissions!$G$2:$G$3000,Permissions!$B$2:$B$3000,$A163,Permissions!$I$2:$I$3000,"Under construction",Permissions!$R$2:$R$3000,"Yes")</f>
        <v>0</v>
      </c>
      <c r="AK163" s="24" t="n">
        <f aca="false">SUMIFS(Permissions!$G$2:$G$3000,Permissions!$B$2:$B$3000,$A163,Permissions!$I$2:$I$3000,"Permitted – not started",Permissions!$R$2:$R$3000,"Yes")</f>
        <v>0</v>
      </c>
      <c r="AL163" s="24" t="n">
        <f aca="false">SUMIFS(Permissions!$G$2:$G$3000,Permissions!$B$2:$B$3000,$A163,Permissions!$I$2:$I$3000,"Stalled",Permissions!$R$2:$R$3000,"Yes")</f>
        <v>0</v>
      </c>
      <c r="AM163" s="24" t="n">
        <f aca="false">AI163+AJ163+AK163+AL163</f>
        <v>0</v>
      </c>
      <c r="AN163" s="24" t="n">
        <f aca="false">SUMIFS(Permissions!$G$2:$G$3000,Permissions!$B$2:$B$3000,$A163,Permissions!$I$2:$I$3000,"Expired – not started",Permissions!$R$2:$R$3000,"Yes")</f>
        <v>0</v>
      </c>
      <c r="AO163" s="24" t="n">
        <f aca="false">SUMIFS(Permissions!$G$2:$G$3000,Permissions!$B$2:$B$3000,$A163,Permissions!$I$2:$I$3000,"In planning",Permissions!$R$2:$R$3000,"Yes")</f>
        <v>0</v>
      </c>
      <c r="AP163" s="24" t="n">
        <f aca="false">IF(R163="",0,MAX(R163-AM163,0))</f>
        <v>18</v>
      </c>
      <c r="AQ163" s="25" t="n">
        <f aca="false">AM163+AP163</f>
        <v>18</v>
      </c>
      <c r="AR163" s="24" t="n">
        <f aca="false">SUMIFS(Permissions!$L$2:$L$3000,Permissions!$B$2:$B$3000,$A163,Permissions!$R$2:$R$3000,"Yes",Permissions!$I$2:$I$3000,"&lt;&gt;Expired – not started",Permissions!$I$2:$I$3000,"&lt;&gt;In planning")</f>
        <v>0</v>
      </c>
      <c r="AS163" s="24" t="n">
        <f aca="false">AQ163-AR163</f>
        <v>18</v>
      </c>
      <c r="AT163" s="26" t="n">
        <f aca="false">SUMIFS(Permissions!$AJ$2:$AJ$3000,Permissions!$B$2:$B$3000,$A163,Permissions!$R$2:$R$3000,"Yes")</f>
        <v>0</v>
      </c>
      <c r="AU163" s="26" t="n">
        <f aca="false">SUMIFS(Permissions!$AK$2:$AK$3000,Permissions!$B$2:$B$3000,$A163,Permissions!$R$2:$R$3000,"Yes")</f>
        <v>0</v>
      </c>
      <c r="AV163" s="26" t="n">
        <f aca="false">SUMIFS(Permissions!$AL$2:$AL$3000,Permissions!$B$2:$B$3000,$A163,Permissions!$R$2:$R$3000,"Yes")</f>
        <v>0</v>
      </c>
      <c r="AW163" s="26" t="n">
        <f aca="false">SUMIFS(Permissions!$AM$2:$AM$3000,Permissions!$B$2:$B$3000,$A163,Permissions!$R$2:$R$3000,"Yes")</f>
        <v>0</v>
      </c>
      <c r="AX163" s="26" t="n">
        <f aca="false">SUMIFS(Permissions!$AN$2:$AN$3000,Permissions!$B$2:$B$3000,$A163,Permissions!$R$2:$R$3000,"Yes")</f>
        <v>0</v>
      </c>
      <c r="AY163" s="26" t="n">
        <f aca="false">SUMIFS(Permissions!$AO$2:$AO$3000,Permissions!$B$2:$B$3000,$A163,Permissions!$R$2:$R$3000,"Yes")</f>
        <v>0</v>
      </c>
      <c r="AZ163" s="24" t="n">
        <f aca="false">COUNTIFS(Permissions!$B$2:$B$3000,$A163,Permissions!$R$2:$R$3000,"Yes")</f>
        <v>0</v>
      </c>
      <c r="BA163" s="24" t="n">
        <f aca="false">SUMIFS(Permissions!$M$2:$M$3000,Permissions!$B$2:$B$3000,$A163,Permissions!$R$2:$R$3000,"Yes")</f>
        <v>0</v>
      </c>
      <c r="BB163" s="24" t="n">
        <f aca="false">SUMIFS(Permissions!$O$2:$O$3000,Permissions!$B$2:$B$3000,$A163,Permissions!$R$2:$R$3000,"Yes")</f>
        <v>0</v>
      </c>
      <c r="BC163" s="27" t="str">
        <f aca="false">IF(AND(AM163&gt;0,AR163&gt;=AM163,AP163=0),"Finished",IF(AR163&gt;0,"Partly built",IF(AM163&gt;0,"Consented – not built","No consent")))</f>
        <v>No consent</v>
      </c>
      <c r="BD163" s="28" t="str">
        <f aca="false">IF(AND(R163&lt;&gt;"",AM163&gt;1.1*R163),"Consented above capacity",IF(AND(LEFT(B163,8)="Planning",AZ163=0),"Consent parcel with no permission",IF(COUNTIF($A$2:$A$3000,$A163)&gt;1,"Duplicate parcel_id","")))</f>
        <v/>
      </c>
    </row>
    <row r="164" customFormat="false" ht="15" hidden="false" customHeight="false" outlineLevel="0" collapsed="false">
      <c r="A164" s="15" t="s">
        <v>430</v>
      </c>
      <c r="B164" s="15" t="s">
        <v>345</v>
      </c>
      <c r="C164" s="15" t="s">
        <v>17</v>
      </c>
      <c r="D164" s="15" t="s">
        <v>72</v>
      </c>
      <c r="E164" s="15" t="s">
        <v>21</v>
      </c>
      <c r="F164" s="15" t="n">
        <v>1</v>
      </c>
      <c r="G164" s="15" t="s">
        <v>158</v>
      </c>
      <c r="H164" s="15"/>
      <c r="I164" s="15" t="s">
        <v>346</v>
      </c>
      <c r="J164" s="15" t="s">
        <v>363</v>
      </c>
      <c r="K164" s="15" t="s">
        <v>431</v>
      </c>
      <c r="L164" s="15"/>
      <c r="M164" s="15" t="s">
        <v>349</v>
      </c>
      <c r="N164" s="15" t="s">
        <v>350</v>
      </c>
      <c r="O164" s="15" t="s">
        <v>351</v>
      </c>
      <c r="P164" s="15" t="n">
        <v>0.713</v>
      </c>
      <c r="Q164" s="15" t="n">
        <v>0.713</v>
      </c>
      <c r="R164" s="15" t="n">
        <v>16</v>
      </c>
      <c r="S164" s="15" t="s">
        <v>352</v>
      </c>
      <c r="T164" s="15" t="n">
        <v>18</v>
      </c>
      <c r="U164" s="15"/>
      <c r="V164" s="15"/>
      <c r="W164" s="15"/>
      <c r="X164" s="15" t="s">
        <v>353</v>
      </c>
      <c r="Y164" s="15" t="n">
        <v>25</v>
      </c>
      <c r="Z164" s="15" t="s">
        <v>354</v>
      </c>
      <c r="AA164" s="15"/>
      <c r="AB164" s="15" t="n">
        <v>0</v>
      </c>
      <c r="AC164" s="15" t="n">
        <v>0</v>
      </c>
      <c r="AD164" s="15"/>
      <c r="AE164" s="15"/>
      <c r="AF164" s="15" t="s">
        <v>169</v>
      </c>
      <c r="AG164" s="15"/>
      <c r="AH164" s="24" t="n">
        <f aca="false">IF(R164="",AM164,R164)</f>
        <v>16</v>
      </c>
      <c r="AI164" s="24" t="n">
        <f aca="false">SUMIFS(Permissions!$G$2:$G$3000,Permissions!$B$2:$B$3000,$A164,Permissions!$I$2:$I$3000,"Complete",Permissions!$R$2:$R$3000,"Yes")</f>
        <v>0</v>
      </c>
      <c r="AJ164" s="24" t="n">
        <f aca="false">SUMIFS(Permissions!$G$2:$G$3000,Permissions!$B$2:$B$3000,$A164,Permissions!$I$2:$I$3000,"Under construction",Permissions!$R$2:$R$3000,"Yes")</f>
        <v>0</v>
      </c>
      <c r="AK164" s="24" t="n">
        <f aca="false">SUMIFS(Permissions!$G$2:$G$3000,Permissions!$B$2:$B$3000,$A164,Permissions!$I$2:$I$3000,"Permitted – not started",Permissions!$R$2:$R$3000,"Yes")</f>
        <v>0</v>
      </c>
      <c r="AL164" s="24" t="n">
        <f aca="false">SUMIFS(Permissions!$G$2:$G$3000,Permissions!$B$2:$B$3000,$A164,Permissions!$I$2:$I$3000,"Stalled",Permissions!$R$2:$R$3000,"Yes")</f>
        <v>0</v>
      </c>
      <c r="AM164" s="24" t="n">
        <f aca="false">AI164+AJ164+AK164+AL164</f>
        <v>0</v>
      </c>
      <c r="AN164" s="24" t="n">
        <f aca="false">SUMIFS(Permissions!$G$2:$G$3000,Permissions!$B$2:$B$3000,$A164,Permissions!$I$2:$I$3000,"Expired – not started",Permissions!$R$2:$R$3000,"Yes")</f>
        <v>0</v>
      </c>
      <c r="AO164" s="24" t="n">
        <f aca="false">SUMIFS(Permissions!$G$2:$G$3000,Permissions!$B$2:$B$3000,$A164,Permissions!$I$2:$I$3000,"In planning",Permissions!$R$2:$R$3000,"Yes")</f>
        <v>0</v>
      </c>
      <c r="AP164" s="24" t="n">
        <f aca="false">IF(R164="",0,MAX(R164-AM164,0))</f>
        <v>16</v>
      </c>
      <c r="AQ164" s="25" t="n">
        <f aca="false">AM164+AP164</f>
        <v>16</v>
      </c>
      <c r="AR164" s="24" t="n">
        <f aca="false">SUMIFS(Permissions!$L$2:$L$3000,Permissions!$B$2:$B$3000,$A164,Permissions!$R$2:$R$3000,"Yes",Permissions!$I$2:$I$3000,"&lt;&gt;Expired – not started",Permissions!$I$2:$I$3000,"&lt;&gt;In planning")</f>
        <v>0</v>
      </c>
      <c r="AS164" s="24" t="n">
        <f aca="false">AQ164-AR164</f>
        <v>16</v>
      </c>
      <c r="AT164" s="26" t="n">
        <f aca="false">SUMIFS(Permissions!$AJ$2:$AJ$3000,Permissions!$B$2:$B$3000,$A164,Permissions!$R$2:$R$3000,"Yes")</f>
        <v>0</v>
      </c>
      <c r="AU164" s="26" t="n">
        <f aca="false">SUMIFS(Permissions!$AK$2:$AK$3000,Permissions!$B$2:$B$3000,$A164,Permissions!$R$2:$R$3000,"Yes")</f>
        <v>0</v>
      </c>
      <c r="AV164" s="26" t="n">
        <f aca="false">SUMIFS(Permissions!$AL$2:$AL$3000,Permissions!$B$2:$B$3000,$A164,Permissions!$R$2:$R$3000,"Yes")</f>
        <v>0</v>
      </c>
      <c r="AW164" s="26" t="n">
        <f aca="false">SUMIFS(Permissions!$AM$2:$AM$3000,Permissions!$B$2:$B$3000,$A164,Permissions!$R$2:$R$3000,"Yes")</f>
        <v>0</v>
      </c>
      <c r="AX164" s="26" t="n">
        <f aca="false">SUMIFS(Permissions!$AN$2:$AN$3000,Permissions!$B$2:$B$3000,$A164,Permissions!$R$2:$R$3000,"Yes")</f>
        <v>0</v>
      </c>
      <c r="AY164" s="26" t="n">
        <f aca="false">SUMIFS(Permissions!$AO$2:$AO$3000,Permissions!$B$2:$B$3000,$A164,Permissions!$R$2:$R$3000,"Yes")</f>
        <v>0</v>
      </c>
      <c r="AZ164" s="24" t="n">
        <f aca="false">COUNTIFS(Permissions!$B$2:$B$3000,$A164,Permissions!$R$2:$R$3000,"Yes")</f>
        <v>0</v>
      </c>
      <c r="BA164" s="24" t="n">
        <f aca="false">SUMIFS(Permissions!$M$2:$M$3000,Permissions!$B$2:$B$3000,$A164,Permissions!$R$2:$R$3000,"Yes")</f>
        <v>0</v>
      </c>
      <c r="BB164" s="24" t="n">
        <f aca="false">SUMIFS(Permissions!$O$2:$O$3000,Permissions!$B$2:$B$3000,$A164,Permissions!$R$2:$R$3000,"Yes")</f>
        <v>0</v>
      </c>
      <c r="BC164" s="27" t="str">
        <f aca="false">IF(AND(AM164&gt;0,AR164&gt;=AM164,AP164=0),"Finished",IF(AR164&gt;0,"Partly built",IF(AM164&gt;0,"Consented – not built","No consent")))</f>
        <v>No consent</v>
      </c>
      <c r="BD164" s="28" t="str">
        <f aca="false">IF(AND(R164&lt;&gt;"",AM164&gt;1.1*R164),"Consented above capacity",IF(AND(LEFT(B164,8)="Planning",AZ164=0),"Consent parcel with no permission",IF(COUNTIF($A$2:$A$3000,$A164)&gt;1,"Duplicate parcel_id","")))</f>
        <v/>
      </c>
    </row>
    <row r="165" customFormat="false" ht="15" hidden="false" customHeight="false" outlineLevel="0" collapsed="false">
      <c r="A165" s="15" t="s">
        <v>432</v>
      </c>
      <c r="B165" s="15" t="s">
        <v>345</v>
      </c>
      <c r="C165" s="15" t="s">
        <v>17</v>
      </c>
      <c r="D165" s="15" t="s">
        <v>72</v>
      </c>
      <c r="E165" s="15" t="s">
        <v>21</v>
      </c>
      <c r="F165" s="15" t="n">
        <v>0.13</v>
      </c>
      <c r="G165" s="15" t="s">
        <v>158</v>
      </c>
      <c r="H165" s="15"/>
      <c r="I165" s="15" t="s">
        <v>346</v>
      </c>
      <c r="J165" s="15" t="s">
        <v>363</v>
      </c>
      <c r="K165" s="15" t="s">
        <v>433</v>
      </c>
      <c r="L165" s="15"/>
      <c r="M165" s="15" t="s">
        <v>357</v>
      </c>
      <c r="N165" s="15" t="s">
        <v>350</v>
      </c>
      <c r="O165" s="15" t="s">
        <v>358</v>
      </c>
      <c r="P165" s="15" t="n">
        <v>1.547</v>
      </c>
      <c r="Q165" s="15" t="n">
        <v>1.547</v>
      </c>
      <c r="R165" s="15" t="n">
        <v>15</v>
      </c>
      <c r="S165" s="15" t="s">
        <v>352</v>
      </c>
      <c r="T165" s="15" t="n">
        <v>39</v>
      </c>
      <c r="U165" s="15"/>
      <c r="V165" s="15"/>
      <c r="W165" s="15"/>
      <c r="X165" s="15" t="s">
        <v>353</v>
      </c>
      <c r="Y165" s="15" t="n">
        <v>25</v>
      </c>
      <c r="Z165" s="15" t="s">
        <v>354</v>
      </c>
      <c r="AA165" s="15"/>
      <c r="AB165" s="15" t="n">
        <v>1</v>
      </c>
      <c r="AC165" s="15" t="n">
        <v>0</v>
      </c>
      <c r="AD165" s="15"/>
      <c r="AE165" s="15"/>
      <c r="AF165" s="15" t="s">
        <v>169</v>
      </c>
      <c r="AG165" s="15"/>
      <c r="AH165" s="24" t="n">
        <f aca="false">IF(R165="",AM165,R165)</f>
        <v>15</v>
      </c>
      <c r="AI165" s="24" t="n">
        <f aca="false">SUMIFS(Permissions!$G$2:$G$3000,Permissions!$B$2:$B$3000,$A165,Permissions!$I$2:$I$3000,"Complete",Permissions!$R$2:$R$3000,"Yes")</f>
        <v>0</v>
      </c>
      <c r="AJ165" s="24" t="n">
        <f aca="false">SUMIFS(Permissions!$G$2:$G$3000,Permissions!$B$2:$B$3000,$A165,Permissions!$I$2:$I$3000,"Under construction",Permissions!$R$2:$R$3000,"Yes")</f>
        <v>0</v>
      </c>
      <c r="AK165" s="24" t="n">
        <f aca="false">SUMIFS(Permissions!$G$2:$G$3000,Permissions!$B$2:$B$3000,$A165,Permissions!$I$2:$I$3000,"Permitted – not started",Permissions!$R$2:$R$3000,"Yes")</f>
        <v>0</v>
      </c>
      <c r="AL165" s="24" t="n">
        <f aca="false">SUMIFS(Permissions!$G$2:$G$3000,Permissions!$B$2:$B$3000,$A165,Permissions!$I$2:$I$3000,"Stalled",Permissions!$R$2:$R$3000,"Yes")</f>
        <v>0</v>
      </c>
      <c r="AM165" s="24" t="n">
        <f aca="false">AI165+AJ165+AK165+AL165</f>
        <v>0</v>
      </c>
      <c r="AN165" s="24" t="n">
        <f aca="false">SUMIFS(Permissions!$G$2:$G$3000,Permissions!$B$2:$B$3000,$A165,Permissions!$I$2:$I$3000,"Expired – not started",Permissions!$R$2:$R$3000,"Yes")</f>
        <v>0</v>
      </c>
      <c r="AO165" s="24" t="n">
        <f aca="false">SUMIFS(Permissions!$G$2:$G$3000,Permissions!$B$2:$B$3000,$A165,Permissions!$I$2:$I$3000,"In planning",Permissions!$R$2:$R$3000,"Yes")</f>
        <v>0</v>
      </c>
      <c r="AP165" s="24" t="n">
        <f aca="false">IF(R165="",0,MAX(R165-AM165,0))</f>
        <v>15</v>
      </c>
      <c r="AQ165" s="25" t="n">
        <f aca="false">AM165+AP165</f>
        <v>15</v>
      </c>
      <c r="AR165" s="24" t="n">
        <f aca="false">SUMIFS(Permissions!$L$2:$L$3000,Permissions!$B$2:$B$3000,$A165,Permissions!$R$2:$R$3000,"Yes",Permissions!$I$2:$I$3000,"&lt;&gt;Expired – not started",Permissions!$I$2:$I$3000,"&lt;&gt;In planning")</f>
        <v>0</v>
      </c>
      <c r="AS165" s="24" t="n">
        <f aca="false">AQ165-AR165</f>
        <v>15</v>
      </c>
      <c r="AT165" s="26" t="n">
        <f aca="false">SUMIFS(Permissions!$AJ$2:$AJ$3000,Permissions!$B$2:$B$3000,$A165,Permissions!$R$2:$R$3000,"Yes")</f>
        <v>0</v>
      </c>
      <c r="AU165" s="26" t="n">
        <f aca="false">SUMIFS(Permissions!$AK$2:$AK$3000,Permissions!$B$2:$B$3000,$A165,Permissions!$R$2:$R$3000,"Yes")</f>
        <v>0</v>
      </c>
      <c r="AV165" s="26" t="n">
        <f aca="false">SUMIFS(Permissions!$AL$2:$AL$3000,Permissions!$B$2:$B$3000,$A165,Permissions!$R$2:$R$3000,"Yes")</f>
        <v>0</v>
      </c>
      <c r="AW165" s="26" t="n">
        <f aca="false">SUMIFS(Permissions!$AM$2:$AM$3000,Permissions!$B$2:$B$3000,$A165,Permissions!$R$2:$R$3000,"Yes")</f>
        <v>0</v>
      </c>
      <c r="AX165" s="26" t="n">
        <f aca="false">SUMIFS(Permissions!$AN$2:$AN$3000,Permissions!$B$2:$B$3000,$A165,Permissions!$R$2:$R$3000,"Yes")</f>
        <v>0</v>
      </c>
      <c r="AY165" s="26" t="n">
        <f aca="false">SUMIFS(Permissions!$AO$2:$AO$3000,Permissions!$B$2:$B$3000,$A165,Permissions!$R$2:$R$3000,"Yes")</f>
        <v>0</v>
      </c>
      <c r="AZ165" s="24" t="n">
        <f aca="false">COUNTIFS(Permissions!$B$2:$B$3000,$A165,Permissions!$R$2:$R$3000,"Yes")</f>
        <v>0</v>
      </c>
      <c r="BA165" s="24" t="n">
        <f aca="false">SUMIFS(Permissions!$M$2:$M$3000,Permissions!$B$2:$B$3000,$A165,Permissions!$R$2:$R$3000,"Yes")</f>
        <v>0</v>
      </c>
      <c r="BB165" s="24" t="n">
        <f aca="false">SUMIFS(Permissions!$O$2:$O$3000,Permissions!$B$2:$B$3000,$A165,Permissions!$R$2:$R$3000,"Yes")</f>
        <v>0</v>
      </c>
      <c r="BC165" s="27" t="str">
        <f aca="false">IF(AND(AM165&gt;0,AR165&gt;=AM165,AP165=0),"Finished",IF(AR165&gt;0,"Partly built",IF(AM165&gt;0,"Consented – not built","No consent")))</f>
        <v>No consent</v>
      </c>
      <c r="BD165" s="28" t="str">
        <f aca="false">IF(AND(R165&lt;&gt;"",AM165&gt;1.1*R165),"Consented above capacity",IF(AND(LEFT(B165,8)="Planning",AZ165=0),"Consent parcel with no permission",IF(COUNTIF($A$2:$A$3000,$A165)&gt;1,"Duplicate parcel_id","")))</f>
        <v/>
      </c>
    </row>
    <row r="166" customFormat="false" ht="15" hidden="false" customHeight="false" outlineLevel="0" collapsed="false">
      <c r="A166" s="15" t="s">
        <v>434</v>
      </c>
      <c r="B166" s="15" t="s">
        <v>345</v>
      </c>
      <c r="C166" s="15" t="s">
        <v>17</v>
      </c>
      <c r="D166" s="15" t="s">
        <v>73</v>
      </c>
      <c r="E166" s="15" t="s">
        <v>21</v>
      </c>
      <c r="F166" s="15" t="n">
        <v>0.12</v>
      </c>
      <c r="G166" s="15" t="s">
        <v>158</v>
      </c>
      <c r="H166" s="15"/>
      <c r="I166" s="15" t="s">
        <v>346</v>
      </c>
      <c r="J166" s="15" t="s">
        <v>363</v>
      </c>
      <c r="K166" s="15" t="s">
        <v>435</v>
      </c>
      <c r="L166" s="15"/>
      <c r="M166" s="15" t="s">
        <v>349</v>
      </c>
      <c r="N166" s="15" t="s">
        <v>350</v>
      </c>
      <c r="O166" s="15" t="s">
        <v>351</v>
      </c>
      <c r="P166" s="15" t="n">
        <v>1.808</v>
      </c>
      <c r="Q166" s="15" t="n">
        <v>1.808</v>
      </c>
      <c r="R166" s="15" t="n">
        <v>40</v>
      </c>
      <c r="S166" s="15" t="s">
        <v>352</v>
      </c>
      <c r="T166" s="15" t="n">
        <v>45</v>
      </c>
      <c r="U166" s="15"/>
      <c r="V166" s="15"/>
      <c r="W166" s="15"/>
      <c r="X166" s="15" t="s">
        <v>353</v>
      </c>
      <c r="Y166" s="15" t="n">
        <v>25</v>
      </c>
      <c r="Z166" s="15" t="s">
        <v>354</v>
      </c>
      <c r="AA166" s="15"/>
      <c r="AB166" s="15" t="n">
        <v>0</v>
      </c>
      <c r="AC166" s="15" t="n">
        <v>0</v>
      </c>
      <c r="AD166" s="15"/>
      <c r="AE166" s="15"/>
      <c r="AF166" s="15" t="s">
        <v>169</v>
      </c>
      <c r="AG166" s="15"/>
      <c r="AH166" s="24" t="n">
        <f aca="false">IF(R166="",AM166,R166)</f>
        <v>40</v>
      </c>
      <c r="AI166" s="24" t="n">
        <f aca="false">SUMIFS(Permissions!$G$2:$G$3000,Permissions!$B$2:$B$3000,$A166,Permissions!$I$2:$I$3000,"Complete",Permissions!$R$2:$R$3000,"Yes")</f>
        <v>0</v>
      </c>
      <c r="AJ166" s="24" t="n">
        <f aca="false">SUMIFS(Permissions!$G$2:$G$3000,Permissions!$B$2:$B$3000,$A166,Permissions!$I$2:$I$3000,"Under construction",Permissions!$R$2:$R$3000,"Yes")</f>
        <v>0</v>
      </c>
      <c r="AK166" s="24" t="n">
        <f aca="false">SUMIFS(Permissions!$G$2:$G$3000,Permissions!$B$2:$B$3000,$A166,Permissions!$I$2:$I$3000,"Permitted – not started",Permissions!$R$2:$R$3000,"Yes")</f>
        <v>0</v>
      </c>
      <c r="AL166" s="24" t="n">
        <f aca="false">SUMIFS(Permissions!$G$2:$G$3000,Permissions!$B$2:$B$3000,$A166,Permissions!$I$2:$I$3000,"Stalled",Permissions!$R$2:$R$3000,"Yes")</f>
        <v>0</v>
      </c>
      <c r="AM166" s="24" t="n">
        <f aca="false">AI166+AJ166+AK166+AL166</f>
        <v>0</v>
      </c>
      <c r="AN166" s="24" t="n">
        <f aca="false">SUMIFS(Permissions!$G$2:$G$3000,Permissions!$B$2:$B$3000,$A166,Permissions!$I$2:$I$3000,"Expired – not started",Permissions!$R$2:$R$3000,"Yes")</f>
        <v>0</v>
      </c>
      <c r="AO166" s="24" t="n">
        <f aca="false">SUMIFS(Permissions!$G$2:$G$3000,Permissions!$B$2:$B$3000,$A166,Permissions!$I$2:$I$3000,"In planning",Permissions!$R$2:$R$3000,"Yes")</f>
        <v>0</v>
      </c>
      <c r="AP166" s="24" t="n">
        <f aca="false">IF(R166="",0,MAX(R166-AM166,0))</f>
        <v>40</v>
      </c>
      <c r="AQ166" s="25" t="n">
        <f aca="false">AM166+AP166</f>
        <v>40</v>
      </c>
      <c r="AR166" s="24" t="n">
        <f aca="false">SUMIFS(Permissions!$L$2:$L$3000,Permissions!$B$2:$B$3000,$A166,Permissions!$R$2:$R$3000,"Yes",Permissions!$I$2:$I$3000,"&lt;&gt;Expired – not started",Permissions!$I$2:$I$3000,"&lt;&gt;In planning")</f>
        <v>0</v>
      </c>
      <c r="AS166" s="24" t="n">
        <f aca="false">AQ166-AR166</f>
        <v>40</v>
      </c>
      <c r="AT166" s="26" t="n">
        <f aca="false">SUMIFS(Permissions!$AJ$2:$AJ$3000,Permissions!$B$2:$B$3000,$A166,Permissions!$R$2:$R$3000,"Yes")</f>
        <v>0</v>
      </c>
      <c r="AU166" s="26" t="n">
        <f aca="false">SUMIFS(Permissions!$AK$2:$AK$3000,Permissions!$B$2:$B$3000,$A166,Permissions!$R$2:$R$3000,"Yes")</f>
        <v>0</v>
      </c>
      <c r="AV166" s="26" t="n">
        <f aca="false">SUMIFS(Permissions!$AL$2:$AL$3000,Permissions!$B$2:$B$3000,$A166,Permissions!$R$2:$R$3000,"Yes")</f>
        <v>0</v>
      </c>
      <c r="AW166" s="26" t="n">
        <f aca="false">SUMIFS(Permissions!$AM$2:$AM$3000,Permissions!$B$2:$B$3000,$A166,Permissions!$R$2:$R$3000,"Yes")</f>
        <v>0</v>
      </c>
      <c r="AX166" s="26" t="n">
        <f aca="false">SUMIFS(Permissions!$AN$2:$AN$3000,Permissions!$B$2:$B$3000,$A166,Permissions!$R$2:$R$3000,"Yes")</f>
        <v>0</v>
      </c>
      <c r="AY166" s="26" t="n">
        <f aca="false">SUMIFS(Permissions!$AO$2:$AO$3000,Permissions!$B$2:$B$3000,$A166,Permissions!$R$2:$R$3000,"Yes")</f>
        <v>0</v>
      </c>
      <c r="AZ166" s="24" t="n">
        <f aca="false">COUNTIFS(Permissions!$B$2:$B$3000,$A166,Permissions!$R$2:$R$3000,"Yes")</f>
        <v>0</v>
      </c>
      <c r="BA166" s="24" t="n">
        <f aca="false">SUMIFS(Permissions!$M$2:$M$3000,Permissions!$B$2:$B$3000,$A166,Permissions!$R$2:$R$3000,"Yes")</f>
        <v>0</v>
      </c>
      <c r="BB166" s="24" t="n">
        <f aca="false">SUMIFS(Permissions!$O$2:$O$3000,Permissions!$B$2:$B$3000,$A166,Permissions!$R$2:$R$3000,"Yes")</f>
        <v>0</v>
      </c>
      <c r="BC166" s="27" t="str">
        <f aca="false">IF(AND(AM166&gt;0,AR166&gt;=AM166,AP166=0),"Finished",IF(AR166&gt;0,"Partly built",IF(AM166&gt;0,"Consented – not built","No consent")))</f>
        <v>No consent</v>
      </c>
      <c r="BD166" s="28" t="str">
        <f aca="false">IF(AND(R166&lt;&gt;"",AM166&gt;1.1*R166),"Consented above capacity",IF(AND(LEFT(B166,8)="Planning",AZ166=0),"Consent parcel with no permission",IF(COUNTIF($A$2:$A$3000,$A166)&gt;1,"Duplicate parcel_id","")))</f>
        <v/>
      </c>
    </row>
    <row r="167" customFormat="false" ht="15" hidden="false" customHeight="false" outlineLevel="0" collapsed="false">
      <c r="A167" s="15" t="s">
        <v>436</v>
      </c>
      <c r="B167" s="15" t="s">
        <v>345</v>
      </c>
      <c r="C167" s="15" t="s">
        <v>17</v>
      </c>
      <c r="D167" s="15" t="s">
        <v>73</v>
      </c>
      <c r="E167" s="15" t="s">
        <v>21</v>
      </c>
      <c r="F167" s="15" t="n">
        <v>0</v>
      </c>
      <c r="G167" s="15" t="s">
        <v>362</v>
      </c>
      <c r="H167" s="15"/>
      <c r="I167" s="15" t="s">
        <v>346</v>
      </c>
      <c r="J167" s="15" t="s">
        <v>363</v>
      </c>
      <c r="K167" s="15" t="s">
        <v>437</v>
      </c>
      <c r="L167" s="15"/>
      <c r="M167" s="15" t="s">
        <v>349</v>
      </c>
      <c r="N167" s="15"/>
      <c r="O167" s="15" t="s">
        <v>351</v>
      </c>
      <c r="P167" s="15" t="n">
        <v>0.997</v>
      </c>
      <c r="Q167" s="15" t="n">
        <v>0.997</v>
      </c>
      <c r="R167" s="15" t="n">
        <v>22</v>
      </c>
      <c r="S167" s="15" t="s">
        <v>352</v>
      </c>
      <c r="T167" s="15" t="n">
        <v>25</v>
      </c>
      <c r="U167" s="15"/>
      <c r="V167" s="15"/>
      <c r="W167" s="15"/>
      <c r="X167" s="15" t="s">
        <v>353</v>
      </c>
      <c r="Y167" s="15" t="n">
        <v>25</v>
      </c>
      <c r="Z167" s="15" t="s">
        <v>354</v>
      </c>
      <c r="AA167" s="15"/>
      <c r="AB167" s="15" t="n">
        <v>0</v>
      </c>
      <c r="AC167" s="15" t="n">
        <v>0</v>
      </c>
      <c r="AD167" s="15"/>
      <c r="AE167" s="15"/>
      <c r="AF167" s="15" t="s">
        <v>169</v>
      </c>
      <c r="AG167" s="15"/>
      <c r="AH167" s="24" t="n">
        <f aca="false">IF(R167="",AM167,R167)</f>
        <v>22</v>
      </c>
      <c r="AI167" s="24" t="n">
        <f aca="false">SUMIFS(Permissions!$G$2:$G$3000,Permissions!$B$2:$B$3000,$A167,Permissions!$I$2:$I$3000,"Complete",Permissions!$R$2:$R$3000,"Yes")</f>
        <v>0</v>
      </c>
      <c r="AJ167" s="24" t="n">
        <f aca="false">SUMIFS(Permissions!$G$2:$G$3000,Permissions!$B$2:$B$3000,$A167,Permissions!$I$2:$I$3000,"Under construction",Permissions!$R$2:$R$3000,"Yes")</f>
        <v>0</v>
      </c>
      <c r="AK167" s="24" t="n">
        <f aca="false">SUMIFS(Permissions!$G$2:$G$3000,Permissions!$B$2:$B$3000,$A167,Permissions!$I$2:$I$3000,"Permitted – not started",Permissions!$R$2:$R$3000,"Yes")</f>
        <v>0</v>
      </c>
      <c r="AL167" s="24" t="n">
        <f aca="false">SUMIFS(Permissions!$G$2:$G$3000,Permissions!$B$2:$B$3000,$A167,Permissions!$I$2:$I$3000,"Stalled",Permissions!$R$2:$R$3000,"Yes")</f>
        <v>0</v>
      </c>
      <c r="AM167" s="24" t="n">
        <f aca="false">AI167+AJ167+AK167+AL167</f>
        <v>0</v>
      </c>
      <c r="AN167" s="24" t="n">
        <f aca="false">SUMIFS(Permissions!$G$2:$G$3000,Permissions!$B$2:$B$3000,$A167,Permissions!$I$2:$I$3000,"Expired – not started",Permissions!$R$2:$R$3000,"Yes")</f>
        <v>0</v>
      </c>
      <c r="AO167" s="24" t="n">
        <f aca="false">SUMIFS(Permissions!$G$2:$G$3000,Permissions!$B$2:$B$3000,$A167,Permissions!$I$2:$I$3000,"In planning",Permissions!$R$2:$R$3000,"Yes")</f>
        <v>0</v>
      </c>
      <c r="AP167" s="24" t="n">
        <f aca="false">IF(R167="",0,MAX(R167-AM167,0))</f>
        <v>22</v>
      </c>
      <c r="AQ167" s="25" t="n">
        <f aca="false">AM167+AP167</f>
        <v>22</v>
      </c>
      <c r="AR167" s="24" t="n">
        <f aca="false">SUMIFS(Permissions!$L$2:$L$3000,Permissions!$B$2:$B$3000,$A167,Permissions!$R$2:$R$3000,"Yes",Permissions!$I$2:$I$3000,"&lt;&gt;Expired – not started",Permissions!$I$2:$I$3000,"&lt;&gt;In planning")</f>
        <v>0</v>
      </c>
      <c r="AS167" s="24" t="n">
        <f aca="false">AQ167-AR167</f>
        <v>22</v>
      </c>
      <c r="AT167" s="26" t="n">
        <f aca="false">SUMIFS(Permissions!$AJ$2:$AJ$3000,Permissions!$B$2:$B$3000,$A167,Permissions!$R$2:$R$3000,"Yes")</f>
        <v>0</v>
      </c>
      <c r="AU167" s="26" t="n">
        <f aca="false">SUMIFS(Permissions!$AK$2:$AK$3000,Permissions!$B$2:$B$3000,$A167,Permissions!$R$2:$R$3000,"Yes")</f>
        <v>0</v>
      </c>
      <c r="AV167" s="26" t="n">
        <f aca="false">SUMIFS(Permissions!$AL$2:$AL$3000,Permissions!$B$2:$B$3000,$A167,Permissions!$R$2:$R$3000,"Yes")</f>
        <v>0</v>
      </c>
      <c r="AW167" s="26" t="n">
        <f aca="false">SUMIFS(Permissions!$AM$2:$AM$3000,Permissions!$B$2:$B$3000,$A167,Permissions!$R$2:$R$3000,"Yes")</f>
        <v>0</v>
      </c>
      <c r="AX167" s="26" t="n">
        <f aca="false">SUMIFS(Permissions!$AN$2:$AN$3000,Permissions!$B$2:$B$3000,$A167,Permissions!$R$2:$R$3000,"Yes")</f>
        <v>0</v>
      </c>
      <c r="AY167" s="26" t="n">
        <f aca="false">SUMIFS(Permissions!$AO$2:$AO$3000,Permissions!$B$2:$B$3000,$A167,Permissions!$R$2:$R$3000,"Yes")</f>
        <v>0</v>
      </c>
      <c r="AZ167" s="24" t="n">
        <f aca="false">COUNTIFS(Permissions!$B$2:$B$3000,$A167,Permissions!$R$2:$R$3000,"Yes")</f>
        <v>0</v>
      </c>
      <c r="BA167" s="24" t="n">
        <f aca="false">SUMIFS(Permissions!$M$2:$M$3000,Permissions!$B$2:$B$3000,$A167,Permissions!$R$2:$R$3000,"Yes")</f>
        <v>0</v>
      </c>
      <c r="BB167" s="24" t="n">
        <f aca="false">SUMIFS(Permissions!$O$2:$O$3000,Permissions!$B$2:$B$3000,$A167,Permissions!$R$2:$R$3000,"Yes")</f>
        <v>0</v>
      </c>
      <c r="BC167" s="27" t="str">
        <f aca="false">IF(AND(AM167&gt;0,AR167&gt;=AM167,AP167=0),"Finished",IF(AR167&gt;0,"Partly built",IF(AM167&gt;0,"Consented – not built","No consent")))</f>
        <v>No consent</v>
      </c>
      <c r="BD167" s="28" t="str">
        <f aca="false">IF(AND(R167&lt;&gt;"",AM167&gt;1.1*R167),"Consented above capacity",IF(AND(LEFT(B167,8)="Planning",AZ167=0),"Consent parcel with no permission",IF(COUNTIF($A$2:$A$3000,$A167)&gt;1,"Duplicate parcel_id","")))</f>
        <v/>
      </c>
    </row>
    <row r="168" customFormat="false" ht="15" hidden="false" customHeight="false" outlineLevel="0" collapsed="false">
      <c r="A168" s="15" t="s">
        <v>438</v>
      </c>
      <c r="B168" s="15" t="s">
        <v>345</v>
      </c>
      <c r="C168" s="15" t="s">
        <v>17</v>
      </c>
      <c r="D168" s="15" t="s">
        <v>73</v>
      </c>
      <c r="E168" s="15" t="s">
        <v>21</v>
      </c>
      <c r="F168" s="15" t="n">
        <v>0.27</v>
      </c>
      <c r="G168" s="15" t="s">
        <v>158</v>
      </c>
      <c r="H168" s="15"/>
      <c r="I168" s="15" t="s">
        <v>346</v>
      </c>
      <c r="J168" s="15" t="s">
        <v>363</v>
      </c>
      <c r="K168" s="15" t="s">
        <v>439</v>
      </c>
      <c r="L168" s="15"/>
      <c r="M168" s="15" t="s">
        <v>357</v>
      </c>
      <c r="N168" s="15" t="s">
        <v>350</v>
      </c>
      <c r="O168" s="15" t="s">
        <v>358</v>
      </c>
      <c r="P168" s="15" t="n">
        <v>1.937</v>
      </c>
      <c r="Q168" s="15" t="n">
        <v>1.937</v>
      </c>
      <c r="R168" s="15" t="n">
        <v>19</v>
      </c>
      <c r="S168" s="15" t="s">
        <v>352</v>
      </c>
      <c r="T168" s="15" t="n">
        <v>48</v>
      </c>
      <c r="U168" s="15"/>
      <c r="V168" s="15"/>
      <c r="W168" s="15"/>
      <c r="X168" s="15" t="s">
        <v>353</v>
      </c>
      <c r="Y168" s="15" t="n">
        <v>25</v>
      </c>
      <c r="Z168" s="15" t="s">
        <v>354</v>
      </c>
      <c r="AA168" s="15"/>
      <c r="AB168" s="15" t="n">
        <v>0</v>
      </c>
      <c r="AC168" s="15" t="n">
        <v>0</v>
      </c>
      <c r="AD168" s="15"/>
      <c r="AE168" s="15"/>
      <c r="AF168" s="15" t="s">
        <v>169</v>
      </c>
      <c r="AG168" s="15"/>
      <c r="AH168" s="24" t="n">
        <f aca="false">IF(R168="",AM168,R168)</f>
        <v>19</v>
      </c>
      <c r="AI168" s="24" t="n">
        <f aca="false">SUMIFS(Permissions!$G$2:$G$3000,Permissions!$B$2:$B$3000,$A168,Permissions!$I$2:$I$3000,"Complete",Permissions!$R$2:$R$3000,"Yes")</f>
        <v>0</v>
      </c>
      <c r="AJ168" s="24" t="n">
        <f aca="false">SUMIFS(Permissions!$G$2:$G$3000,Permissions!$B$2:$B$3000,$A168,Permissions!$I$2:$I$3000,"Under construction",Permissions!$R$2:$R$3000,"Yes")</f>
        <v>0</v>
      </c>
      <c r="AK168" s="24" t="n">
        <f aca="false">SUMIFS(Permissions!$G$2:$G$3000,Permissions!$B$2:$B$3000,$A168,Permissions!$I$2:$I$3000,"Permitted – not started",Permissions!$R$2:$R$3000,"Yes")</f>
        <v>0</v>
      </c>
      <c r="AL168" s="24" t="n">
        <f aca="false">SUMIFS(Permissions!$G$2:$G$3000,Permissions!$B$2:$B$3000,$A168,Permissions!$I$2:$I$3000,"Stalled",Permissions!$R$2:$R$3000,"Yes")</f>
        <v>0</v>
      </c>
      <c r="AM168" s="24" t="n">
        <f aca="false">AI168+AJ168+AK168+AL168</f>
        <v>0</v>
      </c>
      <c r="AN168" s="24" t="n">
        <f aca="false">SUMIFS(Permissions!$G$2:$G$3000,Permissions!$B$2:$B$3000,$A168,Permissions!$I$2:$I$3000,"Expired – not started",Permissions!$R$2:$R$3000,"Yes")</f>
        <v>0</v>
      </c>
      <c r="AO168" s="24" t="n">
        <f aca="false">SUMIFS(Permissions!$G$2:$G$3000,Permissions!$B$2:$B$3000,$A168,Permissions!$I$2:$I$3000,"In planning",Permissions!$R$2:$R$3000,"Yes")</f>
        <v>0</v>
      </c>
      <c r="AP168" s="24" t="n">
        <f aca="false">IF(R168="",0,MAX(R168-AM168,0))</f>
        <v>19</v>
      </c>
      <c r="AQ168" s="25" t="n">
        <f aca="false">AM168+AP168</f>
        <v>19</v>
      </c>
      <c r="AR168" s="24" t="n">
        <f aca="false">SUMIFS(Permissions!$L$2:$L$3000,Permissions!$B$2:$B$3000,$A168,Permissions!$R$2:$R$3000,"Yes",Permissions!$I$2:$I$3000,"&lt;&gt;Expired – not started",Permissions!$I$2:$I$3000,"&lt;&gt;In planning")</f>
        <v>0</v>
      </c>
      <c r="AS168" s="24" t="n">
        <f aca="false">AQ168-AR168</f>
        <v>19</v>
      </c>
      <c r="AT168" s="26" t="n">
        <f aca="false">SUMIFS(Permissions!$AJ$2:$AJ$3000,Permissions!$B$2:$B$3000,$A168,Permissions!$R$2:$R$3000,"Yes")</f>
        <v>0</v>
      </c>
      <c r="AU168" s="26" t="n">
        <f aca="false">SUMIFS(Permissions!$AK$2:$AK$3000,Permissions!$B$2:$B$3000,$A168,Permissions!$R$2:$R$3000,"Yes")</f>
        <v>0</v>
      </c>
      <c r="AV168" s="26" t="n">
        <f aca="false">SUMIFS(Permissions!$AL$2:$AL$3000,Permissions!$B$2:$B$3000,$A168,Permissions!$R$2:$R$3000,"Yes")</f>
        <v>0</v>
      </c>
      <c r="AW168" s="26" t="n">
        <f aca="false">SUMIFS(Permissions!$AM$2:$AM$3000,Permissions!$B$2:$B$3000,$A168,Permissions!$R$2:$R$3000,"Yes")</f>
        <v>0</v>
      </c>
      <c r="AX168" s="26" t="n">
        <f aca="false">SUMIFS(Permissions!$AN$2:$AN$3000,Permissions!$B$2:$B$3000,$A168,Permissions!$R$2:$R$3000,"Yes")</f>
        <v>0</v>
      </c>
      <c r="AY168" s="26" t="n">
        <f aca="false">SUMIFS(Permissions!$AO$2:$AO$3000,Permissions!$B$2:$B$3000,$A168,Permissions!$R$2:$R$3000,"Yes")</f>
        <v>0</v>
      </c>
      <c r="AZ168" s="24" t="n">
        <f aca="false">COUNTIFS(Permissions!$B$2:$B$3000,$A168,Permissions!$R$2:$R$3000,"Yes")</f>
        <v>0</v>
      </c>
      <c r="BA168" s="24" t="n">
        <f aca="false">SUMIFS(Permissions!$M$2:$M$3000,Permissions!$B$2:$B$3000,$A168,Permissions!$R$2:$R$3000,"Yes")</f>
        <v>0</v>
      </c>
      <c r="BB168" s="24" t="n">
        <f aca="false">SUMIFS(Permissions!$O$2:$O$3000,Permissions!$B$2:$B$3000,$A168,Permissions!$R$2:$R$3000,"Yes")</f>
        <v>0</v>
      </c>
      <c r="BC168" s="27" t="str">
        <f aca="false">IF(AND(AM168&gt;0,AR168&gt;=AM168,AP168=0),"Finished",IF(AR168&gt;0,"Partly built",IF(AM168&gt;0,"Consented – not built","No consent")))</f>
        <v>No consent</v>
      </c>
      <c r="BD168" s="28" t="str">
        <f aca="false">IF(AND(R168&lt;&gt;"",AM168&gt;1.1*R168),"Consented above capacity",IF(AND(LEFT(B168,8)="Planning",AZ168=0),"Consent parcel with no permission",IF(COUNTIF($A$2:$A$3000,$A168)&gt;1,"Duplicate parcel_id","")))</f>
        <v/>
      </c>
    </row>
    <row r="169" customFormat="false" ht="15" hidden="false" customHeight="false" outlineLevel="0" collapsed="false">
      <c r="A169" s="15" t="s">
        <v>440</v>
      </c>
      <c r="B169" s="15" t="s">
        <v>345</v>
      </c>
      <c r="C169" s="15" t="s">
        <v>17</v>
      </c>
      <c r="D169" s="15" t="s">
        <v>22</v>
      </c>
      <c r="E169" s="15" t="s">
        <v>22</v>
      </c>
      <c r="F169" s="15"/>
      <c r="G169" s="15" t="s">
        <v>22</v>
      </c>
      <c r="H169" s="15"/>
      <c r="I169" s="15" t="s">
        <v>346</v>
      </c>
      <c r="J169" s="15" t="s">
        <v>363</v>
      </c>
      <c r="K169" s="15" t="s">
        <v>441</v>
      </c>
      <c r="L169" s="15"/>
      <c r="M169" s="15" t="s">
        <v>349</v>
      </c>
      <c r="N169" s="15" t="s">
        <v>350</v>
      </c>
      <c r="O169" s="15" t="s">
        <v>351</v>
      </c>
      <c r="P169" s="15" t="n">
        <v>0.613</v>
      </c>
      <c r="Q169" s="15" t="n">
        <v>0.613</v>
      </c>
      <c r="R169" s="15" t="n">
        <v>13</v>
      </c>
      <c r="S169" s="15" t="s">
        <v>352</v>
      </c>
      <c r="T169" s="15" t="n">
        <v>15</v>
      </c>
      <c r="U169" s="15"/>
      <c r="V169" s="15"/>
      <c r="W169" s="15"/>
      <c r="X169" s="15" t="s">
        <v>353</v>
      </c>
      <c r="Y169" s="15" t="n">
        <v>25</v>
      </c>
      <c r="Z169" s="15" t="s">
        <v>354</v>
      </c>
      <c r="AA169" s="15"/>
      <c r="AB169" s="15" t="n">
        <v>0</v>
      </c>
      <c r="AC169" s="15" t="n">
        <v>0</v>
      </c>
      <c r="AD169" s="15"/>
      <c r="AE169" s="15"/>
      <c r="AF169" s="15" t="s">
        <v>169</v>
      </c>
      <c r="AG169" s="15"/>
      <c r="AH169" s="24" t="n">
        <f aca="false">IF(R169="",AM169,R169)</f>
        <v>13</v>
      </c>
      <c r="AI169" s="24" t="n">
        <f aca="false">SUMIFS(Permissions!$G$2:$G$3000,Permissions!$B$2:$B$3000,$A169,Permissions!$I$2:$I$3000,"Complete",Permissions!$R$2:$R$3000,"Yes")</f>
        <v>0</v>
      </c>
      <c r="AJ169" s="24" t="n">
        <f aca="false">SUMIFS(Permissions!$G$2:$G$3000,Permissions!$B$2:$B$3000,$A169,Permissions!$I$2:$I$3000,"Under construction",Permissions!$R$2:$R$3000,"Yes")</f>
        <v>0</v>
      </c>
      <c r="AK169" s="24" t="n">
        <f aca="false">SUMIFS(Permissions!$G$2:$G$3000,Permissions!$B$2:$B$3000,$A169,Permissions!$I$2:$I$3000,"Permitted – not started",Permissions!$R$2:$R$3000,"Yes")</f>
        <v>0</v>
      </c>
      <c r="AL169" s="24" t="n">
        <f aca="false">SUMIFS(Permissions!$G$2:$G$3000,Permissions!$B$2:$B$3000,$A169,Permissions!$I$2:$I$3000,"Stalled",Permissions!$R$2:$R$3000,"Yes")</f>
        <v>0</v>
      </c>
      <c r="AM169" s="24" t="n">
        <f aca="false">AI169+AJ169+AK169+AL169</f>
        <v>0</v>
      </c>
      <c r="AN169" s="24" t="n">
        <f aca="false">SUMIFS(Permissions!$G$2:$G$3000,Permissions!$B$2:$B$3000,$A169,Permissions!$I$2:$I$3000,"Expired – not started",Permissions!$R$2:$R$3000,"Yes")</f>
        <v>0</v>
      </c>
      <c r="AO169" s="24" t="n">
        <f aca="false">SUMIFS(Permissions!$G$2:$G$3000,Permissions!$B$2:$B$3000,$A169,Permissions!$I$2:$I$3000,"In planning",Permissions!$R$2:$R$3000,"Yes")</f>
        <v>0</v>
      </c>
      <c r="AP169" s="24" t="n">
        <f aca="false">IF(R169="",0,MAX(R169-AM169,0))</f>
        <v>13</v>
      </c>
      <c r="AQ169" s="25" t="n">
        <f aca="false">AM169+AP169</f>
        <v>13</v>
      </c>
      <c r="AR169" s="24" t="n">
        <f aca="false">SUMIFS(Permissions!$L$2:$L$3000,Permissions!$B$2:$B$3000,$A169,Permissions!$R$2:$R$3000,"Yes",Permissions!$I$2:$I$3000,"&lt;&gt;Expired – not started",Permissions!$I$2:$I$3000,"&lt;&gt;In planning")</f>
        <v>0</v>
      </c>
      <c r="AS169" s="24" t="n">
        <f aca="false">AQ169-AR169</f>
        <v>13</v>
      </c>
      <c r="AT169" s="26" t="n">
        <f aca="false">SUMIFS(Permissions!$AJ$2:$AJ$3000,Permissions!$B$2:$B$3000,$A169,Permissions!$R$2:$R$3000,"Yes")</f>
        <v>0</v>
      </c>
      <c r="AU169" s="26" t="n">
        <f aca="false">SUMIFS(Permissions!$AK$2:$AK$3000,Permissions!$B$2:$B$3000,$A169,Permissions!$R$2:$R$3000,"Yes")</f>
        <v>0</v>
      </c>
      <c r="AV169" s="26" t="n">
        <f aca="false">SUMIFS(Permissions!$AL$2:$AL$3000,Permissions!$B$2:$B$3000,$A169,Permissions!$R$2:$R$3000,"Yes")</f>
        <v>0</v>
      </c>
      <c r="AW169" s="26" t="n">
        <f aca="false">SUMIFS(Permissions!$AM$2:$AM$3000,Permissions!$B$2:$B$3000,$A169,Permissions!$R$2:$R$3000,"Yes")</f>
        <v>0</v>
      </c>
      <c r="AX169" s="26" t="n">
        <f aca="false">SUMIFS(Permissions!$AN$2:$AN$3000,Permissions!$B$2:$B$3000,$A169,Permissions!$R$2:$R$3000,"Yes")</f>
        <v>0</v>
      </c>
      <c r="AY169" s="26" t="n">
        <f aca="false">SUMIFS(Permissions!$AO$2:$AO$3000,Permissions!$B$2:$B$3000,$A169,Permissions!$R$2:$R$3000,"Yes")</f>
        <v>0</v>
      </c>
      <c r="AZ169" s="24" t="n">
        <f aca="false">COUNTIFS(Permissions!$B$2:$B$3000,$A169,Permissions!$R$2:$R$3000,"Yes")</f>
        <v>0</v>
      </c>
      <c r="BA169" s="24" t="n">
        <f aca="false">SUMIFS(Permissions!$M$2:$M$3000,Permissions!$B$2:$B$3000,$A169,Permissions!$R$2:$R$3000,"Yes")</f>
        <v>0</v>
      </c>
      <c r="BB169" s="24" t="n">
        <f aca="false">SUMIFS(Permissions!$O$2:$O$3000,Permissions!$B$2:$B$3000,$A169,Permissions!$R$2:$R$3000,"Yes")</f>
        <v>0</v>
      </c>
      <c r="BC169" s="27" t="str">
        <f aca="false">IF(AND(AM169&gt;0,AR169&gt;=AM169,AP169=0),"Finished",IF(AR169&gt;0,"Partly built",IF(AM169&gt;0,"Consented – not built","No consent")))</f>
        <v>No consent</v>
      </c>
      <c r="BD169" s="28" t="str">
        <f aca="false">IF(AND(R169&lt;&gt;"",AM169&gt;1.1*R169),"Consented above capacity",IF(AND(LEFT(B169,8)="Planning",AZ169=0),"Consent parcel with no permission",IF(COUNTIF($A$2:$A$3000,$A169)&gt;1,"Duplicate parcel_id","")))</f>
        <v/>
      </c>
    </row>
    <row r="170" customFormat="false" ht="15" hidden="false" customHeight="false" outlineLevel="0" collapsed="false">
      <c r="A170" s="15" t="s">
        <v>442</v>
      </c>
      <c r="B170" s="15" t="s">
        <v>345</v>
      </c>
      <c r="C170" s="15" t="s">
        <v>17</v>
      </c>
      <c r="D170" s="15" t="s">
        <v>22</v>
      </c>
      <c r="E170" s="15" t="s">
        <v>22</v>
      </c>
      <c r="F170" s="15"/>
      <c r="G170" s="15" t="s">
        <v>22</v>
      </c>
      <c r="H170" s="15"/>
      <c r="I170" s="15" t="s">
        <v>346</v>
      </c>
      <c r="J170" s="15" t="s">
        <v>363</v>
      </c>
      <c r="K170" s="15" t="s">
        <v>443</v>
      </c>
      <c r="L170" s="15"/>
      <c r="M170" s="15" t="s">
        <v>349</v>
      </c>
      <c r="N170" s="15" t="s">
        <v>350</v>
      </c>
      <c r="O170" s="15" t="s">
        <v>351</v>
      </c>
      <c r="P170" s="15" t="n">
        <v>1.424</v>
      </c>
      <c r="Q170" s="15" t="n">
        <v>1.424</v>
      </c>
      <c r="R170" s="15" t="n">
        <v>31</v>
      </c>
      <c r="S170" s="15" t="s">
        <v>352</v>
      </c>
      <c r="T170" s="15" t="n">
        <v>36</v>
      </c>
      <c r="U170" s="15"/>
      <c r="V170" s="15"/>
      <c r="W170" s="15"/>
      <c r="X170" s="15" t="s">
        <v>353</v>
      </c>
      <c r="Y170" s="15" t="n">
        <v>25</v>
      </c>
      <c r="Z170" s="15" t="s">
        <v>354</v>
      </c>
      <c r="AA170" s="15"/>
      <c r="AB170" s="15" t="n">
        <v>3</v>
      </c>
      <c r="AC170" s="15" t="n">
        <v>3</v>
      </c>
      <c r="AD170" s="15"/>
      <c r="AE170" s="15"/>
      <c r="AF170" s="15" t="s">
        <v>169</v>
      </c>
      <c r="AG170" s="15"/>
      <c r="AH170" s="24" t="n">
        <f aca="false">IF(R170="",AM170,R170)</f>
        <v>31</v>
      </c>
      <c r="AI170" s="24" t="n">
        <f aca="false">SUMIFS(Permissions!$G$2:$G$3000,Permissions!$B$2:$B$3000,$A170,Permissions!$I$2:$I$3000,"Complete",Permissions!$R$2:$R$3000,"Yes")</f>
        <v>6</v>
      </c>
      <c r="AJ170" s="24" t="n">
        <f aca="false">SUMIFS(Permissions!$G$2:$G$3000,Permissions!$B$2:$B$3000,$A170,Permissions!$I$2:$I$3000,"Under construction",Permissions!$R$2:$R$3000,"Yes")</f>
        <v>0</v>
      </c>
      <c r="AK170" s="24" t="n">
        <f aca="false">SUMIFS(Permissions!$G$2:$G$3000,Permissions!$B$2:$B$3000,$A170,Permissions!$I$2:$I$3000,"Permitted – not started",Permissions!$R$2:$R$3000,"Yes")</f>
        <v>0</v>
      </c>
      <c r="AL170" s="24" t="n">
        <f aca="false">SUMIFS(Permissions!$G$2:$G$3000,Permissions!$B$2:$B$3000,$A170,Permissions!$I$2:$I$3000,"Stalled",Permissions!$R$2:$R$3000,"Yes")</f>
        <v>0</v>
      </c>
      <c r="AM170" s="24" t="n">
        <f aca="false">AI170+AJ170+AK170+AL170</f>
        <v>6</v>
      </c>
      <c r="AN170" s="24" t="n">
        <f aca="false">SUMIFS(Permissions!$G$2:$G$3000,Permissions!$B$2:$B$3000,$A170,Permissions!$I$2:$I$3000,"Expired – not started",Permissions!$R$2:$R$3000,"Yes")</f>
        <v>0</v>
      </c>
      <c r="AO170" s="24" t="n">
        <f aca="false">SUMIFS(Permissions!$G$2:$G$3000,Permissions!$B$2:$B$3000,$A170,Permissions!$I$2:$I$3000,"In planning",Permissions!$R$2:$R$3000,"Yes")</f>
        <v>0</v>
      </c>
      <c r="AP170" s="24" t="n">
        <f aca="false">IF(R170="",0,MAX(R170-AM170,0))</f>
        <v>25</v>
      </c>
      <c r="AQ170" s="25" t="n">
        <f aca="false">AM170+AP170</f>
        <v>31</v>
      </c>
      <c r="AR170" s="24" t="n">
        <f aca="false">SUMIFS(Permissions!$L$2:$L$3000,Permissions!$B$2:$B$3000,$A170,Permissions!$R$2:$R$3000,"Yes",Permissions!$I$2:$I$3000,"&lt;&gt;Expired – not started",Permissions!$I$2:$I$3000,"&lt;&gt;In planning")</f>
        <v>6</v>
      </c>
      <c r="AS170" s="24" t="n">
        <f aca="false">AQ170-AR170</f>
        <v>25</v>
      </c>
      <c r="AT170" s="26" t="n">
        <f aca="false">SUMIFS(Permissions!$AJ$2:$AJ$3000,Permissions!$B$2:$B$3000,$A170,Permissions!$R$2:$R$3000,"Yes")</f>
        <v>0</v>
      </c>
      <c r="AU170" s="26" t="n">
        <f aca="false">SUMIFS(Permissions!$AK$2:$AK$3000,Permissions!$B$2:$B$3000,$A170,Permissions!$R$2:$R$3000,"Yes")</f>
        <v>0</v>
      </c>
      <c r="AV170" s="26" t="n">
        <f aca="false">SUMIFS(Permissions!$AL$2:$AL$3000,Permissions!$B$2:$B$3000,$A170,Permissions!$R$2:$R$3000,"Yes")</f>
        <v>0</v>
      </c>
      <c r="AW170" s="26" t="n">
        <f aca="false">SUMIFS(Permissions!$AM$2:$AM$3000,Permissions!$B$2:$B$3000,$A170,Permissions!$R$2:$R$3000,"Yes")</f>
        <v>0</v>
      </c>
      <c r="AX170" s="26" t="n">
        <f aca="false">SUMIFS(Permissions!$AN$2:$AN$3000,Permissions!$B$2:$B$3000,$A170,Permissions!$R$2:$R$3000,"Yes")</f>
        <v>0</v>
      </c>
      <c r="AY170" s="26" t="n">
        <f aca="false">SUMIFS(Permissions!$AO$2:$AO$3000,Permissions!$B$2:$B$3000,$A170,Permissions!$R$2:$R$3000,"Yes")</f>
        <v>0</v>
      </c>
      <c r="AZ170" s="24" t="n">
        <f aca="false">COUNTIFS(Permissions!$B$2:$B$3000,$A170,Permissions!$R$2:$R$3000,"Yes")</f>
        <v>2</v>
      </c>
      <c r="BA170" s="24" t="n">
        <f aca="false">SUMIFS(Permissions!$M$2:$M$3000,Permissions!$B$2:$B$3000,$A170,Permissions!$R$2:$R$3000,"Yes")</f>
        <v>3</v>
      </c>
      <c r="BB170" s="24" t="n">
        <f aca="false">SUMIFS(Permissions!$O$2:$O$3000,Permissions!$B$2:$B$3000,$A170,Permissions!$R$2:$R$3000,"Yes")</f>
        <v>0</v>
      </c>
      <c r="BC170" s="27" t="str">
        <f aca="false">IF(AND(AM170&gt;0,AR170&gt;=AM170,AP170=0),"Finished",IF(AR170&gt;0,"Partly built",IF(AM170&gt;0,"Consented – not built","No consent")))</f>
        <v>Partly built</v>
      </c>
      <c r="BD170" s="28" t="str">
        <f aca="false">IF(AND(R170&lt;&gt;"",AM170&gt;1.1*R170),"Consented above capacity",IF(AND(LEFT(B170,8)="Planning",AZ170=0),"Consent parcel with no permission",IF(COUNTIF($A$2:$A$3000,$A170)&gt;1,"Duplicate parcel_id","")))</f>
        <v/>
      </c>
    </row>
    <row r="171" customFormat="false" ht="15" hidden="false" customHeight="false" outlineLevel="0" collapsed="false">
      <c r="A171" s="15" t="s">
        <v>444</v>
      </c>
      <c r="B171" s="15" t="s">
        <v>345</v>
      </c>
      <c r="C171" s="15" t="s">
        <v>17</v>
      </c>
      <c r="D171" s="15" t="s">
        <v>22</v>
      </c>
      <c r="E171" s="15" t="s">
        <v>22</v>
      </c>
      <c r="F171" s="15"/>
      <c r="G171" s="15" t="s">
        <v>22</v>
      </c>
      <c r="H171" s="15"/>
      <c r="I171" s="15" t="s">
        <v>346</v>
      </c>
      <c r="J171" s="15" t="s">
        <v>363</v>
      </c>
      <c r="K171" s="15" t="s">
        <v>445</v>
      </c>
      <c r="L171" s="15"/>
      <c r="M171" s="15" t="s">
        <v>357</v>
      </c>
      <c r="N171" s="15" t="s">
        <v>350</v>
      </c>
      <c r="O171" s="15" t="s">
        <v>358</v>
      </c>
      <c r="P171" s="15" t="n">
        <v>1.07</v>
      </c>
      <c r="Q171" s="15" t="n">
        <v>1.07</v>
      </c>
      <c r="R171" s="15" t="n">
        <v>11</v>
      </c>
      <c r="S171" s="15" t="s">
        <v>352</v>
      </c>
      <c r="T171" s="15" t="n">
        <v>27</v>
      </c>
      <c r="U171" s="15"/>
      <c r="V171" s="15"/>
      <c r="W171" s="15"/>
      <c r="X171" s="15" t="s">
        <v>353</v>
      </c>
      <c r="Y171" s="15" t="n">
        <v>25</v>
      </c>
      <c r="Z171" s="15" t="s">
        <v>354</v>
      </c>
      <c r="AA171" s="15"/>
      <c r="AB171" s="15" t="n">
        <v>0</v>
      </c>
      <c r="AC171" s="15" t="n">
        <v>0</v>
      </c>
      <c r="AD171" s="15"/>
      <c r="AE171" s="15"/>
      <c r="AF171" s="15" t="s">
        <v>169</v>
      </c>
      <c r="AG171" s="15"/>
      <c r="AH171" s="24" t="n">
        <f aca="false">IF(R171="",AM171,R171)</f>
        <v>11</v>
      </c>
      <c r="AI171" s="24" t="n">
        <f aca="false">SUMIFS(Permissions!$G$2:$G$3000,Permissions!$B$2:$B$3000,$A171,Permissions!$I$2:$I$3000,"Complete",Permissions!$R$2:$R$3000,"Yes")</f>
        <v>0</v>
      </c>
      <c r="AJ171" s="24" t="n">
        <f aca="false">SUMIFS(Permissions!$G$2:$G$3000,Permissions!$B$2:$B$3000,$A171,Permissions!$I$2:$I$3000,"Under construction",Permissions!$R$2:$R$3000,"Yes")</f>
        <v>0</v>
      </c>
      <c r="AK171" s="24" t="n">
        <f aca="false">SUMIFS(Permissions!$G$2:$G$3000,Permissions!$B$2:$B$3000,$A171,Permissions!$I$2:$I$3000,"Permitted – not started",Permissions!$R$2:$R$3000,"Yes")</f>
        <v>0</v>
      </c>
      <c r="AL171" s="24" t="n">
        <f aca="false">SUMIFS(Permissions!$G$2:$G$3000,Permissions!$B$2:$B$3000,$A171,Permissions!$I$2:$I$3000,"Stalled",Permissions!$R$2:$R$3000,"Yes")</f>
        <v>0</v>
      </c>
      <c r="AM171" s="24" t="n">
        <f aca="false">AI171+AJ171+AK171+AL171</f>
        <v>0</v>
      </c>
      <c r="AN171" s="24" t="n">
        <f aca="false">SUMIFS(Permissions!$G$2:$G$3000,Permissions!$B$2:$B$3000,$A171,Permissions!$I$2:$I$3000,"Expired – not started",Permissions!$R$2:$R$3000,"Yes")</f>
        <v>0</v>
      </c>
      <c r="AO171" s="24" t="n">
        <f aca="false">SUMIFS(Permissions!$G$2:$G$3000,Permissions!$B$2:$B$3000,$A171,Permissions!$I$2:$I$3000,"In planning",Permissions!$R$2:$R$3000,"Yes")</f>
        <v>0</v>
      </c>
      <c r="AP171" s="24" t="n">
        <f aca="false">IF(R171="",0,MAX(R171-AM171,0))</f>
        <v>11</v>
      </c>
      <c r="AQ171" s="25" t="n">
        <f aca="false">AM171+AP171</f>
        <v>11</v>
      </c>
      <c r="AR171" s="24" t="n">
        <f aca="false">SUMIFS(Permissions!$L$2:$L$3000,Permissions!$B$2:$B$3000,$A171,Permissions!$R$2:$R$3000,"Yes",Permissions!$I$2:$I$3000,"&lt;&gt;Expired – not started",Permissions!$I$2:$I$3000,"&lt;&gt;In planning")</f>
        <v>0</v>
      </c>
      <c r="AS171" s="24" t="n">
        <f aca="false">AQ171-AR171</f>
        <v>11</v>
      </c>
      <c r="AT171" s="26" t="n">
        <f aca="false">SUMIFS(Permissions!$AJ$2:$AJ$3000,Permissions!$B$2:$B$3000,$A171,Permissions!$R$2:$R$3000,"Yes")</f>
        <v>0</v>
      </c>
      <c r="AU171" s="26" t="n">
        <f aca="false">SUMIFS(Permissions!$AK$2:$AK$3000,Permissions!$B$2:$B$3000,$A171,Permissions!$R$2:$R$3000,"Yes")</f>
        <v>0</v>
      </c>
      <c r="AV171" s="26" t="n">
        <f aca="false">SUMIFS(Permissions!$AL$2:$AL$3000,Permissions!$B$2:$B$3000,$A171,Permissions!$R$2:$R$3000,"Yes")</f>
        <v>0</v>
      </c>
      <c r="AW171" s="26" t="n">
        <f aca="false">SUMIFS(Permissions!$AM$2:$AM$3000,Permissions!$B$2:$B$3000,$A171,Permissions!$R$2:$R$3000,"Yes")</f>
        <v>0</v>
      </c>
      <c r="AX171" s="26" t="n">
        <f aca="false">SUMIFS(Permissions!$AN$2:$AN$3000,Permissions!$B$2:$B$3000,$A171,Permissions!$R$2:$R$3000,"Yes")</f>
        <v>0</v>
      </c>
      <c r="AY171" s="26" t="n">
        <f aca="false">SUMIFS(Permissions!$AO$2:$AO$3000,Permissions!$B$2:$B$3000,$A171,Permissions!$R$2:$R$3000,"Yes")</f>
        <v>0</v>
      </c>
      <c r="AZ171" s="24" t="n">
        <f aca="false">COUNTIFS(Permissions!$B$2:$B$3000,$A171,Permissions!$R$2:$R$3000,"Yes")</f>
        <v>0</v>
      </c>
      <c r="BA171" s="24" t="n">
        <f aca="false">SUMIFS(Permissions!$M$2:$M$3000,Permissions!$B$2:$B$3000,$A171,Permissions!$R$2:$R$3000,"Yes")</f>
        <v>0</v>
      </c>
      <c r="BB171" s="24" t="n">
        <f aca="false">SUMIFS(Permissions!$O$2:$O$3000,Permissions!$B$2:$B$3000,$A171,Permissions!$R$2:$R$3000,"Yes")</f>
        <v>0</v>
      </c>
      <c r="BC171" s="27" t="str">
        <f aca="false">IF(AND(AM171&gt;0,AR171&gt;=AM171,AP171=0),"Finished",IF(AR171&gt;0,"Partly built",IF(AM171&gt;0,"Consented – not built","No consent")))</f>
        <v>No consent</v>
      </c>
      <c r="BD171" s="28" t="str">
        <f aca="false">IF(AND(R171&lt;&gt;"",AM171&gt;1.1*R171),"Consented above capacity",IF(AND(LEFT(B171,8)="Planning",AZ171=0),"Consent parcel with no permission",IF(COUNTIF($A$2:$A$3000,$A171)&gt;1,"Duplicate parcel_id","")))</f>
        <v/>
      </c>
    </row>
    <row r="172" customFormat="false" ht="15" hidden="false" customHeight="false" outlineLevel="0" collapsed="false">
      <c r="A172" s="15" t="s">
        <v>446</v>
      </c>
      <c r="B172" s="15" t="s">
        <v>345</v>
      </c>
      <c r="C172" s="15" t="s">
        <v>17</v>
      </c>
      <c r="D172" s="15" t="s">
        <v>22</v>
      </c>
      <c r="E172" s="15" t="s">
        <v>22</v>
      </c>
      <c r="F172" s="15"/>
      <c r="G172" s="15" t="s">
        <v>22</v>
      </c>
      <c r="H172" s="15"/>
      <c r="I172" s="15" t="s">
        <v>346</v>
      </c>
      <c r="J172" s="15" t="s">
        <v>347</v>
      </c>
      <c r="K172" s="15" t="s">
        <v>447</v>
      </c>
      <c r="L172" s="15"/>
      <c r="M172" s="15" t="s">
        <v>349</v>
      </c>
      <c r="N172" s="15"/>
      <c r="O172" s="15" t="s">
        <v>351</v>
      </c>
      <c r="P172" s="15" t="n">
        <v>0.753</v>
      </c>
      <c r="Q172" s="15" t="n">
        <v>0.753</v>
      </c>
      <c r="R172" s="15" t="n">
        <v>17</v>
      </c>
      <c r="S172" s="15" t="s">
        <v>352</v>
      </c>
      <c r="T172" s="15" t="n">
        <v>19</v>
      </c>
      <c r="U172" s="15"/>
      <c r="V172" s="15"/>
      <c r="W172" s="15"/>
      <c r="X172" s="15" t="s">
        <v>353</v>
      </c>
      <c r="Y172" s="15" t="n">
        <v>25</v>
      </c>
      <c r="Z172" s="15" t="s">
        <v>354</v>
      </c>
      <c r="AA172" s="15"/>
      <c r="AB172" s="15" t="n">
        <v>0</v>
      </c>
      <c r="AC172" s="15" t="n">
        <v>0</v>
      </c>
      <c r="AD172" s="15"/>
      <c r="AE172" s="15"/>
      <c r="AF172" s="15" t="s">
        <v>169</v>
      </c>
      <c r="AG172" s="15"/>
      <c r="AH172" s="24" t="n">
        <f aca="false">IF(R172="",AM172,R172)</f>
        <v>17</v>
      </c>
      <c r="AI172" s="24" t="n">
        <f aca="false">SUMIFS(Permissions!$G$2:$G$3000,Permissions!$B$2:$B$3000,$A172,Permissions!$I$2:$I$3000,"Complete",Permissions!$R$2:$R$3000,"Yes")</f>
        <v>0</v>
      </c>
      <c r="AJ172" s="24" t="n">
        <f aca="false">SUMIFS(Permissions!$G$2:$G$3000,Permissions!$B$2:$B$3000,$A172,Permissions!$I$2:$I$3000,"Under construction",Permissions!$R$2:$R$3000,"Yes")</f>
        <v>0</v>
      </c>
      <c r="AK172" s="24" t="n">
        <f aca="false">SUMIFS(Permissions!$G$2:$G$3000,Permissions!$B$2:$B$3000,$A172,Permissions!$I$2:$I$3000,"Permitted – not started",Permissions!$R$2:$R$3000,"Yes")</f>
        <v>0</v>
      </c>
      <c r="AL172" s="24" t="n">
        <f aca="false">SUMIFS(Permissions!$G$2:$G$3000,Permissions!$B$2:$B$3000,$A172,Permissions!$I$2:$I$3000,"Stalled",Permissions!$R$2:$R$3000,"Yes")</f>
        <v>0</v>
      </c>
      <c r="AM172" s="24" t="n">
        <f aca="false">AI172+AJ172+AK172+AL172</f>
        <v>0</v>
      </c>
      <c r="AN172" s="24" t="n">
        <f aca="false">SUMIFS(Permissions!$G$2:$G$3000,Permissions!$B$2:$B$3000,$A172,Permissions!$I$2:$I$3000,"Expired – not started",Permissions!$R$2:$R$3000,"Yes")</f>
        <v>0</v>
      </c>
      <c r="AO172" s="24" t="n">
        <f aca="false">SUMIFS(Permissions!$G$2:$G$3000,Permissions!$B$2:$B$3000,$A172,Permissions!$I$2:$I$3000,"In planning",Permissions!$R$2:$R$3000,"Yes")</f>
        <v>0</v>
      </c>
      <c r="AP172" s="24" t="n">
        <f aca="false">IF(R172="",0,MAX(R172-AM172,0))</f>
        <v>17</v>
      </c>
      <c r="AQ172" s="25" t="n">
        <f aca="false">AM172+AP172</f>
        <v>17</v>
      </c>
      <c r="AR172" s="24" t="n">
        <f aca="false">SUMIFS(Permissions!$L$2:$L$3000,Permissions!$B$2:$B$3000,$A172,Permissions!$R$2:$R$3000,"Yes",Permissions!$I$2:$I$3000,"&lt;&gt;Expired – not started",Permissions!$I$2:$I$3000,"&lt;&gt;In planning")</f>
        <v>0</v>
      </c>
      <c r="AS172" s="24" t="n">
        <f aca="false">AQ172-AR172</f>
        <v>17</v>
      </c>
      <c r="AT172" s="26" t="n">
        <f aca="false">SUMIFS(Permissions!$AJ$2:$AJ$3000,Permissions!$B$2:$B$3000,$A172,Permissions!$R$2:$R$3000,"Yes")</f>
        <v>0</v>
      </c>
      <c r="AU172" s="26" t="n">
        <f aca="false">SUMIFS(Permissions!$AK$2:$AK$3000,Permissions!$B$2:$B$3000,$A172,Permissions!$R$2:$R$3000,"Yes")</f>
        <v>0</v>
      </c>
      <c r="AV172" s="26" t="n">
        <f aca="false">SUMIFS(Permissions!$AL$2:$AL$3000,Permissions!$B$2:$B$3000,$A172,Permissions!$R$2:$R$3000,"Yes")</f>
        <v>0</v>
      </c>
      <c r="AW172" s="26" t="n">
        <f aca="false">SUMIFS(Permissions!$AM$2:$AM$3000,Permissions!$B$2:$B$3000,$A172,Permissions!$R$2:$R$3000,"Yes")</f>
        <v>0</v>
      </c>
      <c r="AX172" s="26" t="n">
        <f aca="false">SUMIFS(Permissions!$AN$2:$AN$3000,Permissions!$B$2:$B$3000,$A172,Permissions!$R$2:$R$3000,"Yes")</f>
        <v>0</v>
      </c>
      <c r="AY172" s="26" t="n">
        <f aca="false">SUMIFS(Permissions!$AO$2:$AO$3000,Permissions!$B$2:$B$3000,$A172,Permissions!$R$2:$R$3000,"Yes")</f>
        <v>0</v>
      </c>
      <c r="AZ172" s="24" t="n">
        <f aca="false">COUNTIFS(Permissions!$B$2:$B$3000,$A172,Permissions!$R$2:$R$3000,"Yes")</f>
        <v>0</v>
      </c>
      <c r="BA172" s="24" t="n">
        <f aca="false">SUMIFS(Permissions!$M$2:$M$3000,Permissions!$B$2:$B$3000,$A172,Permissions!$R$2:$R$3000,"Yes")</f>
        <v>0</v>
      </c>
      <c r="BB172" s="24" t="n">
        <f aca="false">SUMIFS(Permissions!$O$2:$O$3000,Permissions!$B$2:$B$3000,$A172,Permissions!$R$2:$R$3000,"Yes")</f>
        <v>0</v>
      </c>
      <c r="BC172" s="27" t="str">
        <f aca="false">IF(AND(AM172&gt;0,AR172&gt;=AM172,AP172=0),"Finished",IF(AR172&gt;0,"Partly built",IF(AM172&gt;0,"Consented – not built","No consent")))</f>
        <v>No consent</v>
      </c>
      <c r="BD172" s="28" t="str">
        <f aca="false">IF(AND(R172&lt;&gt;"",AM172&gt;1.1*R172),"Consented above capacity",IF(AND(LEFT(B172,8)="Planning",AZ172=0),"Consent parcel with no permission",IF(COUNTIF($A$2:$A$3000,$A172)&gt;1,"Duplicate parcel_id","")))</f>
        <v/>
      </c>
    </row>
    <row r="173" customFormat="false" ht="15" hidden="false" customHeight="false" outlineLevel="0" collapsed="false">
      <c r="A173" s="15" t="s">
        <v>448</v>
      </c>
      <c r="B173" s="15" t="s">
        <v>345</v>
      </c>
      <c r="C173" s="15" t="s">
        <v>17</v>
      </c>
      <c r="D173" s="15" t="s">
        <v>22</v>
      </c>
      <c r="E173" s="15" t="s">
        <v>22</v>
      </c>
      <c r="F173" s="15"/>
      <c r="G173" s="15" t="s">
        <v>22</v>
      </c>
      <c r="H173" s="15"/>
      <c r="I173" s="15" t="s">
        <v>346</v>
      </c>
      <c r="J173" s="15" t="s">
        <v>347</v>
      </c>
      <c r="K173" s="15" t="s">
        <v>449</v>
      </c>
      <c r="L173" s="15"/>
      <c r="M173" s="15" t="s">
        <v>357</v>
      </c>
      <c r="N173" s="15"/>
      <c r="O173" s="15" t="s">
        <v>358</v>
      </c>
      <c r="P173" s="15" t="n">
        <v>0.271</v>
      </c>
      <c r="Q173" s="15" t="n">
        <v>0.271</v>
      </c>
      <c r="R173" s="15" t="n">
        <v>3</v>
      </c>
      <c r="S173" s="15" t="s">
        <v>352</v>
      </c>
      <c r="T173" s="15" t="n">
        <v>7</v>
      </c>
      <c r="U173" s="15"/>
      <c r="V173" s="15"/>
      <c r="W173" s="15"/>
      <c r="X173" s="15" t="s">
        <v>353</v>
      </c>
      <c r="Y173" s="15" t="n">
        <v>25</v>
      </c>
      <c r="Z173" s="15" t="s">
        <v>354</v>
      </c>
      <c r="AA173" s="15"/>
      <c r="AB173" s="15" t="n">
        <v>0</v>
      </c>
      <c r="AC173" s="15" t="n">
        <v>0</v>
      </c>
      <c r="AD173" s="15"/>
      <c r="AE173" s="15" t="s">
        <v>450</v>
      </c>
      <c r="AF173" s="15" t="s">
        <v>169</v>
      </c>
      <c r="AG173" s="15"/>
      <c r="AH173" s="24" t="n">
        <f aca="false">IF(R173="",AM173,R173)</f>
        <v>3</v>
      </c>
      <c r="AI173" s="24" t="n">
        <f aca="false">SUMIFS(Permissions!$G$2:$G$3000,Permissions!$B$2:$B$3000,$A173,Permissions!$I$2:$I$3000,"Complete",Permissions!$R$2:$R$3000,"Yes")</f>
        <v>0</v>
      </c>
      <c r="AJ173" s="24" t="n">
        <f aca="false">SUMIFS(Permissions!$G$2:$G$3000,Permissions!$B$2:$B$3000,$A173,Permissions!$I$2:$I$3000,"Under construction",Permissions!$R$2:$R$3000,"Yes")</f>
        <v>0</v>
      </c>
      <c r="AK173" s="24" t="n">
        <f aca="false">SUMIFS(Permissions!$G$2:$G$3000,Permissions!$B$2:$B$3000,$A173,Permissions!$I$2:$I$3000,"Permitted – not started",Permissions!$R$2:$R$3000,"Yes")</f>
        <v>0</v>
      </c>
      <c r="AL173" s="24" t="n">
        <f aca="false">SUMIFS(Permissions!$G$2:$G$3000,Permissions!$B$2:$B$3000,$A173,Permissions!$I$2:$I$3000,"Stalled",Permissions!$R$2:$R$3000,"Yes")</f>
        <v>0</v>
      </c>
      <c r="AM173" s="24" t="n">
        <f aca="false">AI173+AJ173+AK173+AL173</f>
        <v>0</v>
      </c>
      <c r="AN173" s="24" t="n">
        <f aca="false">SUMIFS(Permissions!$G$2:$G$3000,Permissions!$B$2:$B$3000,$A173,Permissions!$I$2:$I$3000,"Expired – not started",Permissions!$R$2:$R$3000,"Yes")</f>
        <v>0</v>
      </c>
      <c r="AO173" s="24" t="n">
        <f aca="false">SUMIFS(Permissions!$G$2:$G$3000,Permissions!$B$2:$B$3000,$A173,Permissions!$I$2:$I$3000,"In planning",Permissions!$R$2:$R$3000,"Yes")</f>
        <v>0</v>
      </c>
      <c r="AP173" s="24" t="n">
        <f aca="false">IF(R173="",0,MAX(R173-AM173,0))</f>
        <v>3</v>
      </c>
      <c r="AQ173" s="25" t="n">
        <f aca="false">AM173+AP173</f>
        <v>3</v>
      </c>
      <c r="AR173" s="24" t="n">
        <f aca="false">SUMIFS(Permissions!$L$2:$L$3000,Permissions!$B$2:$B$3000,$A173,Permissions!$R$2:$R$3000,"Yes",Permissions!$I$2:$I$3000,"&lt;&gt;Expired – not started",Permissions!$I$2:$I$3000,"&lt;&gt;In planning")</f>
        <v>0</v>
      </c>
      <c r="AS173" s="24" t="n">
        <f aca="false">AQ173-AR173</f>
        <v>3</v>
      </c>
      <c r="AT173" s="26" t="n">
        <f aca="false">SUMIFS(Permissions!$AJ$2:$AJ$3000,Permissions!$B$2:$B$3000,$A173,Permissions!$R$2:$R$3000,"Yes")</f>
        <v>0</v>
      </c>
      <c r="AU173" s="26" t="n">
        <f aca="false">SUMIFS(Permissions!$AK$2:$AK$3000,Permissions!$B$2:$B$3000,$A173,Permissions!$R$2:$R$3000,"Yes")</f>
        <v>0</v>
      </c>
      <c r="AV173" s="26" t="n">
        <f aca="false">SUMIFS(Permissions!$AL$2:$AL$3000,Permissions!$B$2:$B$3000,$A173,Permissions!$R$2:$R$3000,"Yes")</f>
        <v>0</v>
      </c>
      <c r="AW173" s="26" t="n">
        <f aca="false">SUMIFS(Permissions!$AM$2:$AM$3000,Permissions!$B$2:$B$3000,$A173,Permissions!$R$2:$R$3000,"Yes")</f>
        <v>0</v>
      </c>
      <c r="AX173" s="26" t="n">
        <f aca="false">SUMIFS(Permissions!$AN$2:$AN$3000,Permissions!$B$2:$B$3000,$A173,Permissions!$R$2:$R$3000,"Yes")</f>
        <v>0</v>
      </c>
      <c r="AY173" s="26" t="n">
        <f aca="false">SUMIFS(Permissions!$AO$2:$AO$3000,Permissions!$B$2:$B$3000,$A173,Permissions!$R$2:$R$3000,"Yes")</f>
        <v>0</v>
      </c>
      <c r="AZ173" s="24" t="n">
        <f aca="false">COUNTIFS(Permissions!$B$2:$B$3000,$A173,Permissions!$R$2:$R$3000,"Yes")</f>
        <v>0</v>
      </c>
      <c r="BA173" s="24" t="n">
        <f aca="false">SUMIFS(Permissions!$M$2:$M$3000,Permissions!$B$2:$B$3000,$A173,Permissions!$R$2:$R$3000,"Yes")</f>
        <v>0</v>
      </c>
      <c r="BB173" s="24" t="n">
        <f aca="false">SUMIFS(Permissions!$O$2:$O$3000,Permissions!$B$2:$B$3000,$A173,Permissions!$R$2:$R$3000,"Yes")</f>
        <v>0</v>
      </c>
      <c r="BC173" s="27" t="str">
        <f aca="false">IF(AND(AM173&gt;0,AR173&gt;=AM173,AP173=0),"Finished",IF(AR173&gt;0,"Partly built",IF(AM173&gt;0,"Consented – not built","No consent")))</f>
        <v>No consent</v>
      </c>
      <c r="BD173" s="28" t="str">
        <f aca="false">IF(AND(R173&lt;&gt;"",AM173&gt;1.1*R173),"Consented above capacity",IF(AND(LEFT(B173,8)="Planning",AZ173=0),"Consent parcel with no permission",IF(COUNTIF($A$2:$A$3000,$A173)&gt;1,"Duplicate parcel_id","")))</f>
        <v/>
      </c>
    </row>
    <row r="174" customFormat="false" ht="15" hidden="false" customHeight="false" outlineLevel="0" collapsed="false">
      <c r="A174" s="15" t="s">
        <v>451</v>
      </c>
      <c r="B174" s="15" t="s">
        <v>11</v>
      </c>
      <c r="C174" s="15" t="s">
        <v>16</v>
      </c>
      <c r="D174" s="15" t="s">
        <v>51</v>
      </c>
      <c r="E174" s="15" t="s">
        <v>19</v>
      </c>
      <c r="F174" s="15" t="n">
        <v>1</v>
      </c>
      <c r="G174" s="15" t="s">
        <v>158</v>
      </c>
      <c r="H174" s="15" t="n">
        <v>2</v>
      </c>
      <c r="I174" s="15" t="s">
        <v>51</v>
      </c>
      <c r="J174" s="15" t="s">
        <v>182</v>
      </c>
      <c r="K174" s="15" t="s">
        <v>183</v>
      </c>
      <c r="L174" s="15" t="s">
        <v>176</v>
      </c>
      <c r="M174" s="15" t="s">
        <v>161</v>
      </c>
      <c r="N174" s="15" t="s">
        <v>184</v>
      </c>
      <c r="O174" s="15" t="s">
        <v>185</v>
      </c>
      <c r="P174" s="15" t="n">
        <v>2.193</v>
      </c>
      <c r="Q174" s="15" t="n">
        <v>2.394</v>
      </c>
      <c r="R174" s="15" t="n">
        <v>77</v>
      </c>
      <c r="S174" s="15" t="s">
        <v>164</v>
      </c>
      <c r="T174" s="15" t="n">
        <v>75</v>
      </c>
      <c r="U174" s="15"/>
      <c r="V174" s="15"/>
      <c r="W174" s="15"/>
      <c r="X174" s="15" t="s">
        <v>165</v>
      </c>
      <c r="Y174" s="15" t="n">
        <v>34</v>
      </c>
      <c r="Z174" s="15" t="s">
        <v>166</v>
      </c>
      <c r="AA174" s="15"/>
      <c r="AB174" s="15" t="n">
        <v>5</v>
      </c>
      <c r="AC174" s="15" t="n">
        <v>5</v>
      </c>
      <c r="AD174" s="15" t="s">
        <v>167</v>
      </c>
      <c r="AE174" s="15" t="s">
        <v>452</v>
      </c>
      <c r="AF174" s="15" t="s">
        <v>169</v>
      </c>
      <c r="AG174" s="15"/>
      <c r="AH174" s="24" t="n">
        <f aca="false">IF(R174="",AM174,R174)</f>
        <v>77</v>
      </c>
      <c r="AI174" s="24" t="n">
        <f aca="false">SUMIFS(Permissions!$G$2:$G$3000,Permissions!$B$2:$B$3000,$A174,Permissions!$I$2:$I$3000,"Complete",Permissions!$R$2:$R$3000,"Yes")</f>
        <v>0</v>
      </c>
      <c r="AJ174" s="24" t="n">
        <f aca="false">SUMIFS(Permissions!$G$2:$G$3000,Permissions!$B$2:$B$3000,$A174,Permissions!$I$2:$I$3000,"Under construction",Permissions!$R$2:$R$3000,"Yes")</f>
        <v>0</v>
      </c>
      <c r="AK174" s="24" t="n">
        <f aca="false">SUMIFS(Permissions!$G$2:$G$3000,Permissions!$B$2:$B$3000,$A174,Permissions!$I$2:$I$3000,"Permitted – not started",Permissions!$R$2:$R$3000,"Yes")</f>
        <v>0</v>
      </c>
      <c r="AL174" s="24" t="n">
        <f aca="false">SUMIFS(Permissions!$G$2:$G$3000,Permissions!$B$2:$B$3000,$A174,Permissions!$I$2:$I$3000,"Stalled",Permissions!$R$2:$R$3000,"Yes")</f>
        <v>0</v>
      </c>
      <c r="AM174" s="24" t="n">
        <f aca="false">AI174+AJ174+AK174+AL174</f>
        <v>0</v>
      </c>
      <c r="AN174" s="24" t="n">
        <f aca="false">SUMIFS(Permissions!$G$2:$G$3000,Permissions!$B$2:$B$3000,$A174,Permissions!$I$2:$I$3000,"Expired – not started",Permissions!$R$2:$R$3000,"Yes")</f>
        <v>0</v>
      </c>
      <c r="AO174" s="24" t="n">
        <f aca="false">SUMIFS(Permissions!$G$2:$G$3000,Permissions!$B$2:$B$3000,$A174,Permissions!$I$2:$I$3000,"In planning",Permissions!$R$2:$R$3000,"Yes")</f>
        <v>0</v>
      </c>
      <c r="AP174" s="24" t="n">
        <f aca="false">IF(R174="",0,MAX(R174-AM174,0))</f>
        <v>77</v>
      </c>
      <c r="AQ174" s="25" t="n">
        <f aca="false">AM174+AP174</f>
        <v>77</v>
      </c>
      <c r="AR174" s="24" t="n">
        <f aca="false">SUMIFS(Permissions!$L$2:$L$3000,Permissions!$B$2:$B$3000,$A174,Permissions!$R$2:$R$3000,"Yes",Permissions!$I$2:$I$3000,"&lt;&gt;Expired – not started",Permissions!$I$2:$I$3000,"&lt;&gt;In planning")</f>
        <v>0</v>
      </c>
      <c r="AS174" s="24" t="n">
        <f aca="false">AQ174-AR174</f>
        <v>77</v>
      </c>
      <c r="AT174" s="26" t="n">
        <f aca="false">SUMIFS(Permissions!$AJ$2:$AJ$3000,Permissions!$B$2:$B$3000,$A174,Permissions!$R$2:$R$3000,"Yes")</f>
        <v>0</v>
      </c>
      <c r="AU174" s="26" t="n">
        <f aca="false">SUMIFS(Permissions!$AK$2:$AK$3000,Permissions!$B$2:$B$3000,$A174,Permissions!$R$2:$R$3000,"Yes")</f>
        <v>0</v>
      </c>
      <c r="AV174" s="26" t="n">
        <f aca="false">SUMIFS(Permissions!$AL$2:$AL$3000,Permissions!$B$2:$B$3000,$A174,Permissions!$R$2:$R$3000,"Yes")</f>
        <v>0</v>
      </c>
      <c r="AW174" s="26" t="n">
        <f aca="false">SUMIFS(Permissions!$AM$2:$AM$3000,Permissions!$B$2:$B$3000,$A174,Permissions!$R$2:$R$3000,"Yes")</f>
        <v>0</v>
      </c>
      <c r="AX174" s="26" t="n">
        <f aca="false">SUMIFS(Permissions!$AN$2:$AN$3000,Permissions!$B$2:$B$3000,$A174,Permissions!$R$2:$R$3000,"Yes")</f>
        <v>0</v>
      </c>
      <c r="AY174" s="26" t="n">
        <f aca="false">SUMIFS(Permissions!$AO$2:$AO$3000,Permissions!$B$2:$B$3000,$A174,Permissions!$R$2:$R$3000,"Yes")</f>
        <v>0</v>
      </c>
      <c r="AZ174" s="24" t="n">
        <f aca="false">COUNTIFS(Permissions!$B$2:$B$3000,$A174,Permissions!$R$2:$R$3000,"Yes")</f>
        <v>0</v>
      </c>
      <c r="BA174" s="24" t="n">
        <f aca="false">SUMIFS(Permissions!$M$2:$M$3000,Permissions!$B$2:$B$3000,$A174,Permissions!$R$2:$R$3000,"Yes")</f>
        <v>0</v>
      </c>
      <c r="BB174" s="24" t="n">
        <f aca="false">SUMIFS(Permissions!$O$2:$O$3000,Permissions!$B$2:$B$3000,$A174,Permissions!$R$2:$R$3000,"Yes")</f>
        <v>0</v>
      </c>
      <c r="BC174" s="27" t="str">
        <f aca="false">IF(AND(AM174&gt;0,AR174&gt;=AM174,AP174=0),"Finished",IF(AR174&gt;0,"Partly built",IF(AM174&gt;0,"Consented – not built","No consent")))</f>
        <v>No consent</v>
      </c>
      <c r="BD174" s="28" t="str">
        <f aca="false">IF(AND(R174&lt;&gt;"",AM174&gt;1.1*R174),"Consented above capacity",IF(AND(LEFT(B174,8)="Planning",AZ174=0),"Consent parcel with no permission",IF(COUNTIF($A$2:$A$3000,$A174)&gt;1,"Duplicate parcel_id","")))</f>
        <v/>
      </c>
    </row>
    <row r="175" customFormat="false" ht="15" hidden="false" customHeight="false" outlineLevel="0" collapsed="false">
      <c r="A175" s="15" t="s">
        <v>453</v>
      </c>
      <c r="B175" s="15" t="s">
        <v>11</v>
      </c>
      <c r="C175" s="15" t="s">
        <v>16</v>
      </c>
      <c r="D175" s="15" t="s">
        <v>56</v>
      </c>
      <c r="E175" s="15" t="s">
        <v>19</v>
      </c>
      <c r="F175" s="15" t="n">
        <v>1</v>
      </c>
      <c r="G175" s="15" t="s">
        <v>158</v>
      </c>
      <c r="H175" s="15" t="n">
        <v>35</v>
      </c>
      <c r="I175" s="15" t="s">
        <v>56</v>
      </c>
      <c r="J175" s="15" t="s">
        <v>182</v>
      </c>
      <c r="K175" s="15" t="s">
        <v>261</v>
      </c>
      <c r="L175" s="15" t="s">
        <v>160</v>
      </c>
      <c r="M175" s="15" t="s">
        <v>161</v>
      </c>
      <c r="N175" s="15" t="s">
        <v>172</v>
      </c>
      <c r="O175" s="15" t="s">
        <v>163</v>
      </c>
      <c r="P175" s="15" t="n">
        <v>0.454</v>
      </c>
      <c r="Q175" s="15" t="n">
        <v>0.455</v>
      </c>
      <c r="R175" s="15" t="n">
        <v>27</v>
      </c>
      <c r="S175" s="15" t="s">
        <v>164</v>
      </c>
      <c r="T175" s="15" t="n">
        <v>15</v>
      </c>
      <c r="U175" s="15"/>
      <c r="V175" s="15"/>
      <c r="W175" s="15"/>
      <c r="X175" s="15" t="s">
        <v>165</v>
      </c>
      <c r="Y175" s="15" t="n">
        <v>34</v>
      </c>
      <c r="Z175" s="15" t="s">
        <v>166</v>
      </c>
      <c r="AA175" s="15"/>
      <c r="AB175" s="15" t="n">
        <v>0</v>
      </c>
      <c r="AC175" s="15" t="n">
        <v>0</v>
      </c>
      <c r="AD175" s="15" t="s">
        <v>186</v>
      </c>
      <c r="AE175" s="15" t="s">
        <v>454</v>
      </c>
      <c r="AF175" s="15" t="s">
        <v>169</v>
      </c>
      <c r="AG175" s="15"/>
      <c r="AH175" s="24" t="n">
        <f aca="false">IF(R175="",AM175,R175)</f>
        <v>27</v>
      </c>
      <c r="AI175" s="24" t="n">
        <f aca="false">SUMIFS(Permissions!$G$2:$G$3000,Permissions!$B$2:$B$3000,$A175,Permissions!$I$2:$I$3000,"Complete",Permissions!$R$2:$R$3000,"Yes")</f>
        <v>0</v>
      </c>
      <c r="AJ175" s="24" t="n">
        <f aca="false">SUMIFS(Permissions!$G$2:$G$3000,Permissions!$B$2:$B$3000,$A175,Permissions!$I$2:$I$3000,"Under construction",Permissions!$R$2:$R$3000,"Yes")</f>
        <v>0</v>
      </c>
      <c r="AK175" s="24" t="n">
        <f aca="false">SUMIFS(Permissions!$G$2:$G$3000,Permissions!$B$2:$B$3000,$A175,Permissions!$I$2:$I$3000,"Permitted – not started",Permissions!$R$2:$R$3000,"Yes")</f>
        <v>27</v>
      </c>
      <c r="AL175" s="24" t="n">
        <f aca="false">SUMIFS(Permissions!$G$2:$G$3000,Permissions!$B$2:$B$3000,$A175,Permissions!$I$2:$I$3000,"Stalled",Permissions!$R$2:$R$3000,"Yes")</f>
        <v>0</v>
      </c>
      <c r="AM175" s="24" t="n">
        <f aca="false">AI175+AJ175+AK175+AL175</f>
        <v>27</v>
      </c>
      <c r="AN175" s="24" t="n">
        <f aca="false">SUMIFS(Permissions!$G$2:$G$3000,Permissions!$B$2:$B$3000,$A175,Permissions!$I$2:$I$3000,"Expired – not started",Permissions!$R$2:$R$3000,"Yes")</f>
        <v>0</v>
      </c>
      <c r="AO175" s="24" t="n">
        <f aca="false">SUMIFS(Permissions!$G$2:$G$3000,Permissions!$B$2:$B$3000,$A175,Permissions!$I$2:$I$3000,"In planning",Permissions!$R$2:$R$3000,"Yes")</f>
        <v>0</v>
      </c>
      <c r="AP175" s="24" t="n">
        <f aca="false">IF(R175="",0,MAX(R175-AM175,0))</f>
        <v>0</v>
      </c>
      <c r="AQ175" s="25" t="n">
        <f aca="false">AM175+AP175</f>
        <v>27</v>
      </c>
      <c r="AR175" s="24" t="n">
        <f aca="false">SUMIFS(Permissions!$L$2:$L$3000,Permissions!$B$2:$B$3000,$A175,Permissions!$R$2:$R$3000,"Yes",Permissions!$I$2:$I$3000,"&lt;&gt;Expired – not started",Permissions!$I$2:$I$3000,"&lt;&gt;In planning")</f>
        <v>0</v>
      </c>
      <c r="AS175" s="24" t="n">
        <f aca="false">AQ175-AR175</f>
        <v>27</v>
      </c>
      <c r="AT175" s="26" t="n">
        <f aca="false">SUMIFS(Permissions!$AJ$2:$AJ$3000,Permissions!$B$2:$B$3000,$A175,Permissions!$R$2:$R$3000,"Yes")</f>
        <v>0</v>
      </c>
      <c r="AU175" s="26" t="n">
        <f aca="false">SUMIFS(Permissions!$AK$2:$AK$3000,Permissions!$B$2:$B$3000,$A175,Permissions!$R$2:$R$3000,"Yes")</f>
        <v>0</v>
      </c>
      <c r="AV175" s="26" t="n">
        <f aca="false">SUMIFS(Permissions!$AL$2:$AL$3000,Permissions!$B$2:$B$3000,$A175,Permissions!$R$2:$R$3000,"Yes")</f>
        <v>20.5</v>
      </c>
      <c r="AW175" s="26" t="n">
        <f aca="false">SUMIFS(Permissions!$AM$2:$AM$3000,Permissions!$B$2:$B$3000,$A175,Permissions!$R$2:$R$3000,"Yes")</f>
        <v>6.5</v>
      </c>
      <c r="AX175" s="26" t="n">
        <f aca="false">SUMIFS(Permissions!$AN$2:$AN$3000,Permissions!$B$2:$B$3000,$A175,Permissions!$R$2:$R$3000,"Yes")</f>
        <v>0</v>
      </c>
      <c r="AY175" s="26" t="n">
        <f aca="false">SUMIFS(Permissions!$AO$2:$AO$3000,Permissions!$B$2:$B$3000,$A175,Permissions!$R$2:$R$3000,"Yes")</f>
        <v>0</v>
      </c>
      <c r="AZ175" s="24" t="n">
        <f aca="false">COUNTIFS(Permissions!$B$2:$B$3000,$A175,Permissions!$R$2:$R$3000,"Yes")</f>
        <v>1</v>
      </c>
      <c r="BA175" s="24" t="n">
        <f aca="false">SUMIFS(Permissions!$M$2:$M$3000,Permissions!$B$2:$B$3000,$A175,Permissions!$R$2:$R$3000,"Yes")</f>
        <v>0</v>
      </c>
      <c r="BB175" s="24" t="n">
        <f aca="false">SUMIFS(Permissions!$O$2:$O$3000,Permissions!$B$2:$B$3000,$A175,Permissions!$R$2:$R$3000,"Yes")</f>
        <v>0</v>
      </c>
      <c r="BC175" s="27" t="str">
        <f aca="false">IF(AND(AM175&gt;0,AR175&gt;=AM175,AP175=0),"Finished",IF(AR175&gt;0,"Partly built",IF(AM175&gt;0,"Consented – not built","No consent")))</f>
        <v>Consented – not built</v>
      </c>
      <c r="BD175" s="28" t="str">
        <f aca="false">IF(AND(R175&lt;&gt;"",AM175&gt;1.1*R175),"Consented above capacity",IF(AND(LEFT(B175,8)="Planning",AZ175=0),"Consent parcel with no permission",IF(COUNTIF($A$2:$A$3000,$A175)&gt;1,"Duplicate parcel_id","")))</f>
        <v/>
      </c>
    </row>
    <row r="176" customFormat="false" ht="15" hidden="false" customHeight="false" outlineLevel="0" collapsed="false">
      <c r="A176" s="15" t="s">
        <v>455</v>
      </c>
      <c r="B176" s="15" t="s">
        <v>11</v>
      </c>
      <c r="C176" s="15" t="s">
        <v>16</v>
      </c>
      <c r="D176" s="15" t="s">
        <v>58</v>
      </c>
      <c r="E176" s="15" t="s">
        <v>19</v>
      </c>
      <c r="F176" s="15" t="n">
        <v>0.99</v>
      </c>
      <c r="G176" s="15" t="s">
        <v>158</v>
      </c>
      <c r="H176" s="15" t="n">
        <v>112</v>
      </c>
      <c r="I176" s="15" t="s">
        <v>58</v>
      </c>
      <c r="J176" s="15" t="s">
        <v>211</v>
      </c>
      <c r="K176" s="15" t="s">
        <v>53</v>
      </c>
      <c r="L176" s="15" t="s">
        <v>160</v>
      </c>
      <c r="M176" s="15" t="s">
        <v>161</v>
      </c>
      <c r="N176" s="15" t="s">
        <v>172</v>
      </c>
      <c r="O176" s="15" t="s">
        <v>163</v>
      </c>
      <c r="P176" s="15" t="n">
        <v>1.346</v>
      </c>
      <c r="Q176" s="15" t="n">
        <v>1.346</v>
      </c>
      <c r="R176" s="15" t="n">
        <v>61</v>
      </c>
      <c r="S176" s="15" t="s">
        <v>164</v>
      </c>
      <c r="T176" s="15" t="n">
        <v>46</v>
      </c>
      <c r="U176" s="15"/>
      <c r="V176" s="15"/>
      <c r="W176" s="15"/>
      <c r="X176" s="15" t="s">
        <v>165</v>
      </c>
      <c r="Y176" s="15" t="n">
        <v>34</v>
      </c>
      <c r="Z176" s="15" t="s">
        <v>166</v>
      </c>
      <c r="AA176" s="15"/>
      <c r="AB176" s="15" t="n">
        <v>0</v>
      </c>
      <c r="AC176" s="15" t="n">
        <v>0</v>
      </c>
      <c r="AD176" s="15" t="s">
        <v>167</v>
      </c>
      <c r="AE176" s="15" t="s">
        <v>456</v>
      </c>
      <c r="AF176" s="15" t="s">
        <v>169</v>
      </c>
      <c r="AG176" s="15"/>
      <c r="AH176" s="24" t="n">
        <f aca="false">IF(R176="",AM176,R176)</f>
        <v>61</v>
      </c>
      <c r="AI176" s="24" t="n">
        <f aca="false">SUMIFS(Permissions!$G$2:$G$3000,Permissions!$B$2:$B$3000,$A176,Permissions!$I$2:$I$3000,"Complete",Permissions!$R$2:$R$3000,"Yes")</f>
        <v>0</v>
      </c>
      <c r="AJ176" s="24" t="n">
        <f aca="false">SUMIFS(Permissions!$G$2:$G$3000,Permissions!$B$2:$B$3000,$A176,Permissions!$I$2:$I$3000,"Under construction",Permissions!$R$2:$R$3000,"Yes")</f>
        <v>0</v>
      </c>
      <c r="AK176" s="24" t="n">
        <f aca="false">SUMIFS(Permissions!$G$2:$G$3000,Permissions!$B$2:$B$3000,$A176,Permissions!$I$2:$I$3000,"Permitted – not started",Permissions!$R$2:$R$3000,"Yes")</f>
        <v>0</v>
      </c>
      <c r="AL176" s="24" t="n">
        <f aca="false">SUMIFS(Permissions!$G$2:$G$3000,Permissions!$B$2:$B$3000,$A176,Permissions!$I$2:$I$3000,"Stalled",Permissions!$R$2:$R$3000,"Yes")</f>
        <v>0</v>
      </c>
      <c r="AM176" s="24" t="n">
        <f aca="false">AI176+AJ176+AK176+AL176</f>
        <v>0</v>
      </c>
      <c r="AN176" s="24" t="n">
        <f aca="false">SUMIFS(Permissions!$G$2:$G$3000,Permissions!$B$2:$B$3000,$A176,Permissions!$I$2:$I$3000,"Expired – not started",Permissions!$R$2:$R$3000,"Yes")</f>
        <v>0</v>
      </c>
      <c r="AO176" s="24" t="n">
        <f aca="false">SUMIFS(Permissions!$G$2:$G$3000,Permissions!$B$2:$B$3000,$A176,Permissions!$I$2:$I$3000,"In planning",Permissions!$R$2:$R$3000,"Yes")</f>
        <v>0</v>
      </c>
      <c r="AP176" s="24" t="n">
        <f aca="false">IF(R176="",0,MAX(R176-AM176,0))</f>
        <v>61</v>
      </c>
      <c r="AQ176" s="25" t="n">
        <f aca="false">AM176+AP176</f>
        <v>61</v>
      </c>
      <c r="AR176" s="24" t="n">
        <f aca="false">SUMIFS(Permissions!$L$2:$L$3000,Permissions!$B$2:$B$3000,$A176,Permissions!$R$2:$R$3000,"Yes",Permissions!$I$2:$I$3000,"&lt;&gt;Expired – not started",Permissions!$I$2:$I$3000,"&lt;&gt;In planning")</f>
        <v>0</v>
      </c>
      <c r="AS176" s="24" t="n">
        <f aca="false">AQ176-AR176</f>
        <v>61</v>
      </c>
      <c r="AT176" s="26" t="n">
        <f aca="false">SUMIFS(Permissions!$AJ$2:$AJ$3000,Permissions!$B$2:$B$3000,$A176,Permissions!$R$2:$R$3000,"Yes")</f>
        <v>0</v>
      </c>
      <c r="AU176" s="26" t="n">
        <f aca="false">SUMIFS(Permissions!$AK$2:$AK$3000,Permissions!$B$2:$B$3000,$A176,Permissions!$R$2:$R$3000,"Yes")</f>
        <v>0</v>
      </c>
      <c r="AV176" s="26" t="n">
        <f aca="false">SUMIFS(Permissions!$AL$2:$AL$3000,Permissions!$B$2:$B$3000,$A176,Permissions!$R$2:$R$3000,"Yes")</f>
        <v>0</v>
      </c>
      <c r="AW176" s="26" t="n">
        <f aca="false">SUMIFS(Permissions!$AM$2:$AM$3000,Permissions!$B$2:$B$3000,$A176,Permissions!$R$2:$R$3000,"Yes")</f>
        <v>0</v>
      </c>
      <c r="AX176" s="26" t="n">
        <f aca="false">SUMIFS(Permissions!$AN$2:$AN$3000,Permissions!$B$2:$B$3000,$A176,Permissions!$R$2:$R$3000,"Yes")</f>
        <v>0</v>
      </c>
      <c r="AY176" s="26" t="n">
        <f aca="false">SUMIFS(Permissions!$AO$2:$AO$3000,Permissions!$B$2:$B$3000,$A176,Permissions!$R$2:$R$3000,"Yes")</f>
        <v>0</v>
      </c>
      <c r="AZ176" s="24" t="n">
        <f aca="false">COUNTIFS(Permissions!$B$2:$B$3000,$A176,Permissions!$R$2:$R$3000,"Yes")</f>
        <v>0</v>
      </c>
      <c r="BA176" s="24" t="n">
        <f aca="false">SUMIFS(Permissions!$M$2:$M$3000,Permissions!$B$2:$B$3000,$A176,Permissions!$R$2:$R$3000,"Yes")</f>
        <v>0</v>
      </c>
      <c r="BB176" s="24" t="n">
        <f aca="false">SUMIFS(Permissions!$O$2:$O$3000,Permissions!$B$2:$B$3000,$A176,Permissions!$R$2:$R$3000,"Yes")</f>
        <v>0</v>
      </c>
      <c r="BC176" s="27" t="str">
        <f aca="false">IF(AND(AM176&gt;0,AR176&gt;=AM176,AP176=0),"Finished",IF(AR176&gt;0,"Partly built",IF(AM176&gt;0,"Consented – not built","No consent")))</f>
        <v>No consent</v>
      </c>
      <c r="BD176" s="28" t="str">
        <f aca="false">IF(AND(R176&lt;&gt;"",AM176&gt;1.1*R176),"Consented above capacity",IF(AND(LEFT(B176,8)="Planning",AZ176=0),"Consent parcel with no permission",IF(COUNTIF($A$2:$A$3000,$A176)&gt;1,"Duplicate parcel_id","")))</f>
        <v/>
      </c>
    </row>
    <row r="177" customFormat="false" ht="15" hidden="false" customHeight="false" outlineLevel="0" collapsed="false">
      <c r="A177" s="15" t="s">
        <v>457</v>
      </c>
      <c r="B177" s="15" t="s">
        <v>12</v>
      </c>
      <c r="C177" s="15" t="s">
        <v>16</v>
      </c>
      <c r="D177" s="15" t="s">
        <v>50</v>
      </c>
      <c r="E177" s="15" t="s">
        <v>19</v>
      </c>
      <c r="F177" s="15" t="n">
        <v>1</v>
      </c>
      <c r="G177" s="15" t="s">
        <v>158</v>
      </c>
      <c r="H177" s="15"/>
      <c r="I177" s="15" t="s">
        <v>50</v>
      </c>
      <c r="J177" s="15" t="s">
        <v>159</v>
      </c>
      <c r="K177" s="15" t="s">
        <v>458</v>
      </c>
      <c r="L177" s="15"/>
      <c r="M177" s="15"/>
      <c r="N177" s="15"/>
      <c r="O177" s="15"/>
      <c r="P177" s="15" t="n">
        <v>0.617</v>
      </c>
      <c r="Q177" s="15" t="n">
        <v>0.617</v>
      </c>
      <c r="R177" s="15"/>
      <c r="S177" s="15" t="s">
        <v>459</v>
      </c>
      <c r="T177" s="15" t="n">
        <v>21</v>
      </c>
      <c r="U177" s="15"/>
      <c r="V177" s="15"/>
      <c r="W177" s="15"/>
      <c r="X177" s="15" t="s">
        <v>165</v>
      </c>
      <c r="Y177" s="15" t="n">
        <v>34</v>
      </c>
      <c r="Z177" s="15" t="s">
        <v>166</v>
      </c>
      <c r="AA177" s="15"/>
      <c r="AB177" s="15" t="n">
        <v>17</v>
      </c>
      <c r="AC177" s="15" t="n">
        <v>17</v>
      </c>
      <c r="AD177" s="15"/>
      <c r="AE177" s="15"/>
      <c r="AF177" s="15" t="s">
        <v>169</v>
      </c>
      <c r="AG177" s="15"/>
      <c r="AH177" s="24" t="n">
        <f aca="false">IF(R177="",AM177,R177)</f>
        <v>17</v>
      </c>
      <c r="AI177" s="24" t="n">
        <f aca="false">SUMIFS(Permissions!$G$2:$G$3000,Permissions!$B$2:$B$3000,$A177,Permissions!$I$2:$I$3000,"Complete",Permissions!$R$2:$R$3000,"Yes")</f>
        <v>17</v>
      </c>
      <c r="AJ177" s="24" t="n">
        <f aca="false">SUMIFS(Permissions!$G$2:$G$3000,Permissions!$B$2:$B$3000,$A177,Permissions!$I$2:$I$3000,"Under construction",Permissions!$R$2:$R$3000,"Yes")</f>
        <v>0</v>
      </c>
      <c r="AK177" s="24" t="n">
        <f aca="false">SUMIFS(Permissions!$G$2:$G$3000,Permissions!$B$2:$B$3000,$A177,Permissions!$I$2:$I$3000,"Permitted – not started",Permissions!$R$2:$R$3000,"Yes")</f>
        <v>0</v>
      </c>
      <c r="AL177" s="24" t="n">
        <f aca="false">SUMIFS(Permissions!$G$2:$G$3000,Permissions!$B$2:$B$3000,$A177,Permissions!$I$2:$I$3000,"Stalled",Permissions!$R$2:$R$3000,"Yes")</f>
        <v>0</v>
      </c>
      <c r="AM177" s="24" t="n">
        <f aca="false">AI177+AJ177+AK177+AL177</f>
        <v>17</v>
      </c>
      <c r="AN177" s="24" t="n">
        <f aca="false">SUMIFS(Permissions!$G$2:$G$3000,Permissions!$B$2:$B$3000,$A177,Permissions!$I$2:$I$3000,"Expired – not started",Permissions!$R$2:$R$3000,"Yes")</f>
        <v>0</v>
      </c>
      <c r="AO177" s="24" t="n">
        <f aca="false">SUMIFS(Permissions!$G$2:$G$3000,Permissions!$B$2:$B$3000,$A177,Permissions!$I$2:$I$3000,"In planning",Permissions!$R$2:$R$3000,"Yes")</f>
        <v>0</v>
      </c>
      <c r="AP177" s="24" t="n">
        <f aca="false">IF(R177="",0,MAX(R177-AM177,0))</f>
        <v>0</v>
      </c>
      <c r="AQ177" s="25" t="n">
        <f aca="false">AM177+AP177</f>
        <v>17</v>
      </c>
      <c r="AR177" s="24" t="n">
        <f aca="false">SUMIFS(Permissions!$L$2:$L$3000,Permissions!$B$2:$B$3000,$A177,Permissions!$R$2:$R$3000,"Yes",Permissions!$I$2:$I$3000,"&lt;&gt;Expired – not started",Permissions!$I$2:$I$3000,"&lt;&gt;In planning")</f>
        <v>17</v>
      </c>
      <c r="AS177" s="24" t="n">
        <f aca="false">AQ177-AR177</f>
        <v>0</v>
      </c>
      <c r="AT177" s="26" t="n">
        <f aca="false">SUMIFS(Permissions!$AJ$2:$AJ$3000,Permissions!$B$2:$B$3000,$A177,Permissions!$R$2:$R$3000,"Yes")</f>
        <v>0</v>
      </c>
      <c r="AU177" s="26" t="n">
        <f aca="false">SUMIFS(Permissions!$AK$2:$AK$3000,Permissions!$B$2:$B$3000,$A177,Permissions!$R$2:$R$3000,"Yes")</f>
        <v>0</v>
      </c>
      <c r="AV177" s="26" t="n">
        <f aca="false">SUMIFS(Permissions!$AL$2:$AL$3000,Permissions!$B$2:$B$3000,$A177,Permissions!$R$2:$R$3000,"Yes")</f>
        <v>0</v>
      </c>
      <c r="AW177" s="26" t="n">
        <f aca="false">SUMIFS(Permissions!$AM$2:$AM$3000,Permissions!$B$2:$B$3000,$A177,Permissions!$R$2:$R$3000,"Yes")</f>
        <v>0</v>
      </c>
      <c r="AX177" s="26" t="n">
        <f aca="false">SUMIFS(Permissions!$AN$2:$AN$3000,Permissions!$B$2:$B$3000,$A177,Permissions!$R$2:$R$3000,"Yes")</f>
        <v>0</v>
      </c>
      <c r="AY177" s="26" t="n">
        <f aca="false">SUMIFS(Permissions!$AO$2:$AO$3000,Permissions!$B$2:$B$3000,$A177,Permissions!$R$2:$R$3000,"Yes")</f>
        <v>0</v>
      </c>
      <c r="AZ177" s="24" t="n">
        <f aca="false">COUNTIFS(Permissions!$B$2:$B$3000,$A177,Permissions!$R$2:$R$3000,"Yes")</f>
        <v>1</v>
      </c>
      <c r="BA177" s="24" t="n">
        <f aca="false">SUMIFS(Permissions!$M$2:$M$3000,Permissions!$B$2:$B$3000,$A177,Permissions!$R$2:$R$3000,"Yes")</f>
        <v>17</v>
      </c>
      <c r="BB177" s="24" t="n">
        <f aca="false">SUMIFS(Permissions!$O$2:$O$3000,Permissions!$B$2:$B$3000,$A177,Permissions!$R$2:$R$3000,"Yes")</f>
        <v>0</v>
      </c>
      <c r="BC177" s="27" t="str">
        <f aca="false">IF(AND(AM177&gt;0,AR177&gt;=AM177,AP177=0),"Finished",IF(AR177&gt;0,"Partly built",IF(AM177&gt;0,"Consented – not built","No consent")))</f>
        <v>Finished</v>
      </c>
      <c r="BD177" s="28" t="str">
        <f aca="false">IF(AND(R177&lt;&gt;"",AM177&gt;1.1*R177),"Consented above capacity",IF(AND(LEFT(B177,8)="Planning",AZ177=0),"Consent parcel with no permission",IF(COUNTIF($A$2:$A$3000,$A177)&gt;1,"Duplicate parcel_id","")))</f>
        <v/>
      </c>
    </row>
    <row r="178" customFormat="false" ht="15" hidden="false" customHeight="false" outlineLevel="0" collapsed="false">
      <c r="A178" s="15" t="s">
        <v>460</v>
      </c>
      <c r="B178" s="15" t="s">
        <v>12</v>
      </c>
      <c r="C178" s="15" t="s">
        <v>16</v>
      </c>
      <c r="D178" s="15" t="s">
        <v>50</v>
      </c>
      <c r="E178" s="15" t="s">
        <v>19</v>
      </c>
      <c r="F178" s="15" t="n">
        <v>1</v>
      </c>
      <c r="G178" s="15" t="s">
        <v>158</v>
      </c>
      <c r="H178" s="15"/>
      <c r="I178" s="15" t="s">
        <v>50</v>
      </c>
      <c r="J178" s="15" t="s">
        <v>159</v>
      </c>
      <c r="K178" s="15" t="s">
        <v>461</v>
      </c>
      <c r="L178" s="15"/>
      <c r="M178" s="15"/>
      <c r="N178" s="15"/>
      <c r="O178" s="15"/>
      <c r="P178" s="15" t="n">
        <v>0.044</v>
      </c>
      <c r="Q178" s="15" t="n">
        <v>0.044</v>
      </c>
      <c r="R178" s="15"/>
      <c r="S178" s="15" t="s">
        <v>459</v>
      </c>
      <c r="T178" s="15" t="n">
        <v>1</v>
      </c>
      <c r="U178" s="15"/>
      <c r="V178" s="15"/>
      <c r="W178" s="15"/>
      <c r="X178" s="15" t="s">
        <v>165</v>
      </c>
      <c r="Y178" s="15" t="n">
        <v>34</v>
      </c>
      <c r="Z178" s="15" t="s">
        <v>166</v>
      </c>
      <c r="AA178" s="15"/>
      <c r="AB178" s="15" t="n">
        <v>8</v>
      </c>
      <c r="AC178" s="15" t="n">
        <v>0</v>
      </c>
      <c r="AD178" s="15"/>
      <c r="AE178" s="15"/>
      <c r="AF178" s="15" t="s">
        <v>169</v>
      </c>
      <c r="AG178" s="15"/>
      <c r="AH178" s="24" t="n">
        <f aca="false">IF(R178="",AM178,R178)</f>
        <v>6</v>
      </c>
      <c r="AI178" s="24" t="n">
        <f aca="false">SUMIFS(Permissions!$G$2:$G$3000,Permissions!$B$2:$B$3000,$A178,Permissions!$I$2:$I$3000,"Complete",Permissions!$R$2:$R$3000,"Yes")</f>
        <v>0</v>
      </c>
      <c r="AJ178" s="24" t="n">
        <f aca="false">SUMIFS(Permissions!$G$2:$G$3000,Permissions!$B$2:$B$3000,$A178,Permissions!$I$2:$I$3000,"Under construction",Permissions!$R$2:$R$3000,"Yes")</f>
        <v>6</v>
      </c>
      <c r="AK178" s="24" t="n">
        <f aca="false">SUMIFS(Permissions!$G$2:$G$3000,Permissions!$B$2:$B$3000,$A178,Permissions!$I$2:$I$3000,"Permitted – not started",Permissions!$R$2:$R$3000,"Yes")</f>
        <v>0</v>
      </c>
      <c r="AL178" s="24" t="n">
        <f aca="false">SUMIFS(Permissions!$G$2:$G$3000,Permissions!$B$2:$B$3000,$A178,Permissions!$I$2:$I$3000,"Stalled",Permissions!$R$2:$R$3000,"Yes")</f>
        <v>0</v>
      </c>
      <c r="AM178" s="24" t="n">
        <f aca="false">AI178+AJ178+AK178+AL178</f>
        <v>6</v>
      </c>
      <c r="AN178" s="24" t="n">
        <f aca="false">SUMIFS(Permissions!$G$2:$G$3000,Permissions!$B$2:$B$3000,$A178,Permissions!$I$2:$I$3000,"Expired – not started",Permissions!$R$2:$R$3000,"Yes")</f>
        <v>0</v>
      </c>
      <c r="AO178" s="24" t="n">
        <f aca="false">SUMIFS(Permissions!$G$2:$G$3000,Permissions!$B$2:$B$3000,$A178,Permissions!$I$2:$I$3000,"In planning",Permissions!$R$2:$R$3000,"Yes")</f>
        <v>0</v>
      </c>
      <c r="AP178" s="24" t="n">
        <f aca="false">IF(R178="",0,MAX(R178-AM178,0))</f>
        <v>0</v>
      </c>
      <c r="AQ178" s="25" t="n">
        <f aca="false">AM178+AP178</f>
        <v>6</v>
      </c>
      <c r="AR178" s="24" t="n">
        <f aca="false">SUMIFS(Permissions!$L$2:$L$3000,Permissions!$B$2:$B$3000,$A178,Permissions!$R$2:$R$3000,"Yes",Permissions!$I$2:$I$3000,"&lt;&gt;Expired – not started",Permissions!$I$2:$I$3000,"&lt;&gt;In planning")</f>
        <v>0</v>
      </c>
      <c r="AS178" s="24" t="n">
        <f aca="false">AQ178-AR178</f>
        <v>6</v>
      </c>
      <c r="AT178" s="26" t="n">
        <f aca="false">SUMIFS(Permissions!$AJ$2:$AJ$3000,Permissions!$B$2:$B$3000,$A178,Permissions!$R$2:$R$3000,"Yes")</f>
        <v>1.4</v>
      </c>
      <c r="AU178" s="26" t="n">
        <f aca="false">SUMIFS(Permissions!$AK$2:$AK$3000,Permissions!$B$2:$B$3000,$A178,Permissions!$R$2:$R$3000,"Yes")</f>
        <v>4.6</v>
      </c>
      <c r="AV178" s="26" t="n">
        <f aca="false">SUMIFS(Permissions!$AL$2:$AL$3000,Permissions!$B$2:$B$3000,$A178,Permissions!$R$2:$R$3000,"Yes")</f>
        <v>0</v>
      </c>
      <c r="AW178" s="26" t="n">
        <f aca="false">SUMIFS(Permissions!$AM$2:$AM$3000,Permissions!$B$2:$B$3000,$A178,Permissions!$R$2:$R$3000,"Yes")</f>
        <v>0</v>
      </c>
      <c r="AX178" s="26" t="n">
        <f aca="false">SUMIFS(Permissions!$AN$2:$AN$3000,Permissions!$B$2:$B$3000,$A178,Permissions!$R$2:$R$3000,"Yes")</f>
        <v>0</v>
      </c>
      <c r="AY178" s="26" t="n">
        <f aca="false">SUMIFS(Permissions!$AO$2:$AO$3000,Permissions!$B$2:$B$3000,$A178,Permissions!$R$2:$R$3000,"Yes")</f>
        <v>0</v>
      </c>
      <c r="AZ178" s="24" t="n">
        <f aca="false">COUNTIFS(Permissions!$B$2:$B$3000,$A178,Permissions!$R$2:$R$3000,"Yes")</f>
        <v>1</v>
      </c>
      <c r="BA178" s="24" t="n">
        <f aca="false">SUMIFS(Permissions!$M$2:$M$3000,Permissions!$B$2:$B$3000,$A178,Permissions!$R$2:$R$3000,"Yes")</f>
        <v>0</v>
      </c>
      <c r="BB178" s="24" t="n">
        <f aca="false">SUMIFS(Permissions!$O$2:$O$3000,Permissions!$B$2:$B$3000,$A178,Permissions!$R$2:$R$3000,"Yes")</f>
        <v>0</v>
      </c>
      <c r="BC178" s="27" t="str">
        <f aca="false">IF(AND(AM178&gt;0,AR178&gt;=AM178,AP178=0),"Finished",IF(AR178&gt;0,"Partly built",IF(AM178&gt;0,"Consented – not built","No consent")))</f>
        <v>Consented – not built</v>
      </c>
      <c r="BD178" s="28" t="str">
        <f aca="false">IF(AND(R178&lt;&gt;"",AM178&gt;1.1*R178),"Consented above capacity",IF(AND(LEFT(B178,8)="Planning",AZ178=0),"Consent parcel with no permission",IF(COUNTIF($A$2:$A$3000,$A178)&gt;1,"Duplicate parcel_id","")))</f>
        <v/>
      </c>
    </row>
    <row r="179" customFormat="false" ht="15" hidden="false" customHeight="false" outlineLevel="0" collapsed="false">
      <c r="A179" s="15" t="s">
        <v>462</v>
      </c>
      <c r="B179" s="15" t="s">
        <v>12</v>
      </c>
      <c r="C179" s="15" t="s">
        <v>16</v>
      </c>
      <c r="D179" s="15" t="s">
        <v>50</v>
      </c>
      <c r="E179" s="15" t="s">
        <v>19</v>
      </c>
      <c r="F179" s="15" t="n">
        <v>1</v>
      </c>
      <c r="G179" s="15" t="s">
        <v>158</v>
      </c>
      <c r="H179" s="15"/>
      <c r="I179" s="15" t="s">
        <v>50</v>
      </c>
      <c r="J179" s="15" t="s">
        <v>159</v>
      </c>
      <c r="K179" s="15" t="s">
        <v>463</v>
      </c>
      <c r="L179" s="15"/>
      <c r="M179" s="15"/>
      <c r="N179" s="15"/>
      <c r="O179" s="15"/>
      <c r="P179" s="15" t="n">
        <v>0.225</v>
      </c>
      <c r="Q179" s="15" t="n">
        <v>0.225</v>
      </c>
      <c r="R179" s="15"/>
      <c r="S179" s="15" t="s">
        <v>459</v>
      </c>
      <c r="T179" s="15" t="n">
        <v>8</v>
      </c>
      <c r="U179" s="15"/>
      <c r="V179" s="15"/>
      <c r="W179" s="15"/>
      <c r="X179" s="15" t="s">
        <v>165</v>
      </c>
      <c r="Y179" s="15" t="n">
        <v>34</v>
      </c>
      <c r="Z179" s="15" t="s">
        <v>166</v>
      </c>
      <c r="AA179" s="15"/>
      <c r="AB179" s="15" t="n">
        <v>0</v>
      </c>
      <c r="AC179" s="15" t="n">
        <v>0</v>
      </c>
      <c r="AD179" s="15"/>
      <c r="AE179" s="15"/>
      <c r="AF179" s="15" t="s">
        <v>169</v>
      </c>
      <c r="AG179" s="15"/>
      <c r="AH179" s="24" t="n">
        <f aca="false">IF(R179="",AM179,R179)</f>
        <v>21</v>
      </c>
      <c r="AI179" s="24" t="n">
        <f aca="false">SUMIFS(Permissions!$G$2:$G$3000,Permissions!$B$2:$B$3000,$A179,Permissions!$I$2:$I$3000,"Complete",Permissions!$R$2:$R$3000,"Yes")</f>
        <v>0</v>
      </c>
      <c r="AJ179" s="24" t="n">
        <f aca="false">SUMIFS(Permissions!$G$2:$G$3000,Permissions!$B$2:$B$3000,$A179,Permissions!$I$2:$I$3000,"Under construction",Permissions!$R$2:$R$3000,"Yes")</f>
        <v>21</v>
      </c>
      <c r="AK179" s="24" t="n">
        <f aca="false">SUMIFS(Permissions!$G$2:$G$3000,Permissions!$B$2:$B$3000,$A179,Permissions!$I$2:$I$3000,"Permitted – not started",Permissions!$R$2:$R$3000,"Yes")</f>
        <v>0</v>
      </c>
      <c r="AL179" s="24" t="n">
        <f aca="false">SUMIFS(Permissions!$G$2:$G$3000,Permissions!$B$2:$B$3000,$A179,Permissions!$I$2:$I$3000,"Stalled",Permissions!$R$2:$R$3000,"Yes")</f>
        <v>0</v>
      </c>
      <c r="AM179" s="24" t="n">
        <f aca="false">AI179+AJ179+AK179+AL179</f>
        <v>21</v>
      </c>
      <c r="AN179" s="24" t="n">
        <f aca="false">SUMIFS(Permissions!$G$2:$G$3000,Permissions!$B$2:$B$3000,$A179,Permissions!$I$2:$I$3000,"Expired – not started",Permissions!$R$2:$R$3000,"Yes")</f>
        <v>0</v>
      </c>
      <c r="AO179" s="24" t="n">
        <f aca="false">SUMIFS(Permissions!$G$2:$G$3000,Permissions!$B$2:$B$3000,$A179,Permissions!$I$2:$I$3000,"In planning",Permissions!$R$2:$R$3000,"Yes")</f>
        <v>0</v>
      </c>
      <c r="AP179" s="24" t="n">
        <f aca="false">IF(R179="",0,MAX(R179-AM179,0))</f>
        <v>0</v>
      </c>
      <c r="AQ179" s="25" t="n">
        <f aca="false">AM179+AP179</f>
        <v>21</v>
      </c>
      <c r="AR179" s="24" t="n">
        <f aca="false">SUMIFS(Permissions!$L$2:$L$3000,Permissions!$B$2:$B$3000,$A179,Permissions!$R$2:$R$3000,"Yes",Permissions!$I$2:$I$3000,"&lt;&gt;Expired – not started",Permissions!$I$2:$I$3000,"&lt;&gt;In planning")</f>
        <v>0</v>
      </c>
      <c r="AS179" s="24" t="n">
        <f aca="false">AQ179-AR179</f>
        <v>21</v>
      </c>
      <c r="AT179" s="26" t="n">
        <f aca="false">SUMIFS(Permissions!$AJ$2:$AJ$3000,Permissions!$B$2:$B$3000,$A179,Permissions!$R$2:$R$3000,"Yes")</f>
        <v>2.7</v>
      </c>
      <c r="AU179" s="26" t="n">
        <f aca="false">SUMIFS(Permissions!$AK$2:$AK$3000,Permissions!$B$2:$B$3000,$A179,Permissions!$R$2:$R$3000,"Yes")</f>
        <v>13.9</v>
      </c>
      <c r="AV179" s="26" t="n">
        <f aca="false">SUMIFS(Permissions!$AL$2:$AL$3000,Permissions!$B$2:$B$3000,$A179,Permissions!$R$2:$R$3000,"Yes")</f>
        <v>4.5</v>
      </c>
      <c r="AW179" s="26" t="n">
        <f aca="false">SUMIFS(Permissions!$AM$2:$AM$3000,Permissions!$B$2:$B$3000,$A179,Permissions!$R$2:$R$3000,"Yes")</f>
        <v>0</v>
      </c>
      <c r="AX179" s="26" t="n">
        <f aca="false">SUMIFS(Permissions!$AN$2:$AN$3000,Permissions!$B$2:$B$3000,$A179,Permissions!$R$2:$R$3000,"Yes")</f>
        <v>0</v>
      </c>
      <c r="AY179" s="26" t="n">
        <f aca="false">SUMIFS(Permissions!$AO$2:$AO$3000,Permissions!$B$2:$B$3000,$A179,Permissions!$R$2:$R$3000,"Yes")</f>
        <v>-0.1</v>
      </c>
      <c r="AZ179" s="24" t="n">
        <f aca="false">COUNTIFS(Permissions!$B$2:$B$3000,$A179,Permissions!$R$2:$R$3000,"Yes")</f>
        <v>1</v>
      </c>
      <c r="BA179" s="24" t="n">
        <f aca="false">SUMIFS(Permissions!$M$2:$M$3000,Permissions!$B$2:$B$3000,$A179,Permissions!$R$2:$R$3000,"Yes")</f>
        <v>0</v>
      </c>
      <c r="BB179" s="24" t="n">
        <f aca="false">SUMIFS(Permissions!$O$2:$O$3000,Permissions!$B$2:$B$3000,$A179,Permissions!$R$2:$R$3000,"Yes")</f>
        <v>0</v>
      </c>
      <c r="BC179" s="27" t="str">
        <f aca="false">IF(AND(AM179&gt;0,AR179&gt;=AM179,AP179=0),"Finished",IF(AR179&gt;0,"Partly built",IF(AM179&gt;0,"Consented – not built","No consent")))</f>
        <v>Consented – not built</v>
      </c>
      <c r="BD179" s="28" t="str">
        <f aca="false">IF(AND(R179&lt;&gt;"",AM179&gt;1.1*R179),"Consented above capacity",IF(AND(LEFT(B179,8)="Planning",AZ179=0),"Consent parcel with no permission",IF(COUNTIF($A$2:$A$3000,$A179)&gt;1,"Duplicate parcel_id","")))</f>
        <v/>
      </c>
    </row>
    <row r="180" customFormat="false" ht="15" hidden="false" customHeight="false" outlineLevel="0" collapsed="false">
      <c r="A180" s="15" t="s">
        <v>464</v>
      </c>
      <c r="B180" s="15" t="s">
        <v>12</v>
      </c>
      <c r="C180" s="15" t="s">
        <v>16</v>
      </c>
      <c r="D180" s="15" t="s">
        <v>51</v>
      </c>
      <c r="E180" s="15" t="s">
        <v>19</v>
      </c>
      <c r="F180" s="15" t="n">
        <v>0.82</v>
      </c>
      <c r="G180" s="15" t="s">
        <v>158</v>
      </c>
      <c r="H180" s="15"/>
      <c r="I180" s="15" t="s">
        <v>51</v>
      </c>
      <c r="J180" s="15" t="s">
        <v>182</v>
      </c>
      <c r="K180" s="15" t="s">
        <v>465</v>
      </c>
      <c r="L180" s="15"/>
      <c r="M180" s="15"/>
      <c r="N180" s="15"/>
      <c r="O180" s="15"/>
      <c r="P180" s="15" t="n">
        <v>0.086</v>
      </c>
      <c r="Q180" s="15" t="n">
        <v>0.086</v>
      </c>
      <c r="R180" s="15"/>
      <c r="S180" s="15" t="s">
        <v>459</v>
      </c>
      <c r="T180" s="15" t="n">
        <v>3</v>
      </c>
      <c r="U180" s="15"/>
      <c r="V180" s="15"/>
      <c r="W180" s="15"/>
      <c r="X180" s="15" t="s">
        <v>165</v>
      </c>
      <c r="Y180" s="15" t="n">
        <v>34</v>
      </c>
      <c r="Z180" s="15" t="s">
        <v>166</v>
      </c>
      <c r="AA180" s="15"/>
      <c r="AB180" s="15" t="n">
        <v>0</v>
      </c>
      <c r="AC180" s="15" t="n">
        <v>0</v>
      </c>
      <c r="AD180" s="15"/>
      <c r="AE180" s="15"/>
      <c r="AF180" s="15" t="s">
        <v>169</v>
      </c>
      <c r="AG180" s="15"/>
      <c r="AH180" s="24" t="n">
        <f aca="false">IF(R180="",AM180,R180)</f>
        <v>5</v>
      </c>
      <c r="AI180" s="24" t="n">
        <f aca="false">SUMIFS(Permissions!$G$2:$G$3000,Permissions!$B$2:$B$3000,$A180,Permissions!$I$2:$I$3000,"Complete",Permissions!$R$2:$R$3000,"Yes")</f>
        <v>0</v>
      </c>
      <c r="AJ180" s="24" t="n">
        <f aca="false">SUMIFS(Permissions!$G$2:$G$3000,Permissions!$B$2:$B$3000,$A180,Permissions!$I$2:$I$3000,"Under construction",Permissions!$R$2:$R$3000,"Yes")</f>
        <v>0</v>
      </c>
      <c r="AK180" s="24" t="n">
        <f aca="false">SUMIFS(Permissions!$G$2:$G$3000,Permissions!$B$2:$B$3000,$A180,Permissions!$I$2:$I$3000,"Permitted – not started",Permissions!$R$2:$R$3000,"Yes")</f>
        <v>5</v>
      </c>
      <c r="AL180" s="24" t="n">
        <f aca="false">SUMIFS(Permissions!$G$2:$G$3000,Permissions!$B$2:$B$3000,$A180,Permissions!$I$2:$I$3000,"Stalled",Permissions!$R$2:$R$3000,"Yes")</f>
        <v>0</v>
      </c>
      <c r="AM180" s="24" t="n">
        <f aca="false">AI180+AJ180+AK180+AL180</f>
        <v>5</v>
      </c>
      <c r="AN180" s="24" t="n">
        <f aca="false">SUMIFS(Permissions!$G$2:$G$3000,Permissions!$B$2:$B$3000,$A180,Permissions!$I$2:$I$3000,"Expired – not started",Permissions!$R$2:$R$3000,"Yes")</f>
        <v>0</v>
      </c>
      <c r="AO180" s="24" t="n">
        <f aca="false">SUMIFS(Permissions!$G$2:$G$3000,Permissions!$B$2:$B$3000,$A180,Permissions!$I$2:$I$3000,"In planning",Permissions!$R$2:$R$3000,"Yes")</f>
        <v>0</v>
      </c>
      <c r="AP180" s="24" t="n">
        <f aca="false">IF(R180="",0,MAX(R180-AM180,0))</f>
        <v>0</v>
      </c>
      <c r="AQ180" s="25" t="n">
        <f aca="false">AM180+AP180</f>
        <v>5</v>
      </c>
      <c r="AR180" s="24" t="n">
        <f aca="false">SUMIFS(Permissions!$L$2:$L$3000,Permissions!$B$2:$B$3000,$A180,Permissions!$R$2:$R$3000,"Yes",Permissions!$I$2:$I$3000,"&lt;&gt;Expired – not started",Permissions!$I$2:$I$3000,"&lt;&gt;In planning")</f>
        <v>0</v>
      </c>
      <c r="AS180" s="24" t="n">
        <f aca="false">AQ180-AR180</f>
        <v>5</v>
      </c>
      <c r="AT180" s="26" t="n">
        <f aca="false">SUMIFS(Permissions!$AJ$2:$AJ$3000,Permissions!$B$2:$B$3000,$A180,Permissions!$R$2:$R$3000,"Yes")</f>
        <v>0</v>
      </c>
      <c r="AU180" s="26" t="n">
        <f aca="false">SUMIFS(Permissions!$AK$2:$AK$3000,Permissions!$B$2:$B$3000,$A180,Permissions!$R$2:$R$3000,"Yes")</f>
        <v>0</v>
      </c>
      <c r="AV180" s="26" t="n">
        <f aca="false">SUMIFS(Permissions!$AL$2:$AL$3000,Permissions!$B$2:$B$3000,$A180,Permissions!$R$2:$R$3000,"Yes")</f>
        <v>3.2</v>
      </c>
      <c r="AW180" s="26" t="n">
        <f aca="false">SUMIFS(Permissions!$AM$2:$AM$3000,Permissions!$B$2:$B$3000,$A180,Permissions!$R$2:$R$3000,"Yes")</f>
        <v>1.8</v>
      </c>
      <c r="AX180" s="26" t="n">
        <f aca="false">SUMIFS(Permissions!$AN$2:$AN$3000,Permissions!$B$2:$B$3000,$A180,Permissions!$R$2:$R$3000,"Yes")</f>
        <v>0</v>
      </c>
      <c r="AY180" s="26" t="n">
        <f aca="false">SUMIFS(Permissions!$AO$2:$AO$3000,Permissions!$B$2:$B$3000,$A180,Permissions!$R$2:$R$3000,"Yes")</f>
        <v>0</v>
      </c>
      <c r="AZ180" s="24" t="n">
        <f aca="false">COUNTIFS(Permissions!$B$2:$B$3000,$A180,Permissions!$R$2:$R$3000,"Yes")</f>
        <v>1</v>
      </c>
      <c r="BA180" s="24" t="n">
        <f aca="false">SUMIFS(Permissions!$M$2:$M$3000,Permissions!$B$2:$B$3000,$A180,Permissions!$R$2:$R$3000,"Yes")</f>
        <v>0</v>
      </c>
      <c r="BB180" s="24" t="n">
        <f aca="false">SUMIFS(Permissions!$O$2:$O$3000,Permissions!$B$2:$B$3000,$A180,Permissions!$R$2:$R$3000,"Yes")</f>
        <v>0</v>
      </c>
      <c r="BC180" s="27" t="str">
        <f aca="false">IF(AND(AM180&gt;0,AR180&gt;=AM180,AP180=0),"Finished",IF(AR180&gt;0,"Partly built",IF(AM180&gt;0,"Consented – not built","No consent")))</f>
        <v>Consented – not built</v>
      </c>
      <c r="BD180" s="28" t="str">
        <f aca="false">IF(AND(R180&lt;&gt;"",AM180&gt;1.1*R180),"Consented above capacity",IF(AND(LEFT(B180,8)="Planning",AZ180=0),"Consent parcel with no permission",IF(COUNTIF($A$2:$A$3000,$A180)&gt;1,"Duplicate parcel_id","")))</f>
        <v/>
      </c>
    </row>
    <row r="181" customFormat="false" ht="15" hidden="false" customHeight="false" outlineLevel="0" collapsed="false">
      <c r="A181" s="15" t="s">
        <v>466</v>
      </c>
      <c r="B181" s="15" t="s">
        <v>12</v>
      </c>
      <c r="C181" s="15" t="s">
        <v>16</v>
      </c>
      <c r="D181" s="15" t="s">
        <v>51</v>
      </c>
      <c r="E181" s="15" t="s">
        <v>19</v>
      </c>
      <c r="F181" s="15" t="n">
        <v>1</v>
      </c>
      <c r="G181" s="15" t="s">
        <v>158</v>
      </c>
      <c r="H181" s="15"/>
      <c r="I181" s="15" t="s">
        <v>51</v>
      </c>
      <c r="J181" s="15" t="s">
        <v>182</v>
      </c>
      <c r="K181" s="15" t="s">
        <v>467</v>
      </c>
      <c r="L181" s="15"/>
      <c r="M181" s="15"/>
      <c r="N181" s="15"/>
      <c r="O181" s="15"/>
      <c r="P181" s="15" t="n">
        <v>10.708</v>
      </c>
      <c r="Q181" s="15" t="n">
        <v>10.708</v>
      </c>
      <c r="R181" s="15"/>
      <c r="S181" s="15" t="s">
        <v>459</v>
      </c>
      <c r="T181" s="15" t="n">
        <v>364</v>
      </c>
      <c r="U181" s="15"/>
      <c r="V181" s="15"/>
      <c r="W181" s="15"/>
      <c r="X181" s="15" t="s">
        <v>165</v>
      </c>
      <c r="Y181" s="15" t="n">
        <v>34</v>
      </c>
      <c r="Z181" s="15" t="s">
        <v>166</v>
      </c>
      <c r="AA181" s="15"/>
      <c r="AB181" s="15" t="n">
        <v>43</v>
      </c>
      <c r="AC181" s="15" t="n">
        <v>43</v>
      </c>
      <c r="AD181" s="15"/>
      <c r="AE181" s="15"/>
      <c r="AF181" s="15" t="s">
        <v>169</v>
      </c>
      <c r="AG181" s="15"/>
      <c r="AH181" s="24" t="n">
        <f aca="false">IF(R181="",AM181,R181)</f>
        <v>43</v>
      </c>
      <c r="AI181" s="24" t="n">
        <f aca="false">SUMIFS(Permissions!$G$2:$G$3000,Permissions!$B$2:$B$3000,$A181,Permissions!$I$2:$I$3000,"Complete",Permissions!$R$2:$R$3000,"Yes")</f>
        <v>43</v>
      </c>
      <c r="AJ181" s="24" t="n">
        <f aca="false">SUMIFS(Permissions!$G$2:$G$3000,Permissions!$B$2:$B$3000,$A181,Permissions!$I$2:$I$3000,"Under construction",Permissions!$R$2:$R$3000,"Yes")</f>
        <v>0</v>
      </c>
      <c r="AK181" s="24" t="n">
        <f aca="false">SUMIFS(Permissions!$G$2:$G$3000,Permissions!$B$2:$B$3000,$A181,Permissions!$I$2:$I$3000,"Permitted – not started",Permissions!$R$2:$R$3000,"Yes")</f>
        <v>0</v>
      </c>
      <c r="AL181" s="24" t="n">
        <f aca="false">SUMIFS(Permissions!$G$2:$G$3000,Permissions!$B$2:$B$3000,$A181,Permissions!$I$2:$I$3000,"Stalled",Permissions!$R$2:$R$3000,"Yes")</f>
        <v>0</v>
      </c>
      <c r="AM181" s="24" t="n">
        <f aca="false">AI181+AJ181+AK181+AL181</f>
        <v>43</v>
      </c>
      <c r="AN181" s="24" t="n">
        <f aca="false">SUMIFS(Permissions!$G$2:$G$3000,Permissions!$B$2:$B$3000,$A181,Permissions!$I$2:$I$3000,"Expired – not started",Permissions!$R$2:$R$3000,"Yes")</f>
        <v>0</v>
      </c>
      <c r="AO181" s="24" t="n">
        <f aca="false">SUMIFS(Permissions!$G$2:$G$3000,Permissions!$B$2:$B$3000,$A181,Permissions!$I$2:$I$3000,"In planning",Permissions!$R$2:$R$3000,"Yes")</f>
        <v>0</v>
      </c>
      <c r="AP181" s="24" t="n">
        <f aca="false">IF(R181="",0,MAX(R181-AM181,0))</f>
        <v>0</v>
      </c>
      <c r="AQ181" s="25" t="n">
        <f aca="false">AM181+AP181</f>
        <v>43</v>
      </c>
      <c r="AR181" s="24" t="n">
        <f aca="false">SUMIFS(Permissions!$L$2:$L$3000,Permissions!$B$2:$B$3000,$A181,Permissions!$R$2:$R$3000,"Yes",Permissions!$I$2:$I$3000,"&lt;&gt;Expired – not started",Permissions!$I$2:$I$3000,"&lt;&gt;In planning")</f>
        <v>43</v>
      </c>
      <c r="AS181" s="24" t="n">
        <f aca="false">AQ181-AR181</f>
        <v>0</v>
      </c>
      <c r="AT181" s="26" t="n">
        <f aca="false">SUMIFS(Permissions!$AJ$2:$AJ$3000,Permissions!$B$2:$B$3000,$A181,Permissions!$R$2:$R$3000,"Yes")</f>
        <v>0</v>
      </c>
      <c r="AU181" s="26" t="n">
        <f aca="false">SUMIFS(Permissions!$AK$2:$AK$3000,Permissions!$B$2:$B$3000,$A181,Permissions!$R$2:$R$3000,"Yes")</f>
        <v>0</v>
      </c>
      <c r="AV181" s="26" t="n">
        <f aca="false">SUMIFS(Permissions!$AL$2:$AL$3000,Permissions!$B$2:$B$3000,$A181,Permissions!$R$2:$R$3000,"Yes")</f>
        <v>0</v>
      </c>
      <c r="AW181" s="26" t="n">
        <f aca="false">SUMIFS(Permissions!$AM$2:$AM$3000,Permissions!$B$2:$B$3000,$A181,Permissions!$R$2:$R$3000,"Yes")</f>
        <v>0</v>
      </c>
      <c r="AX181" s="26" t="n">
        <f aca="false">SUMIFS(Permissions!$AN$2:$AN$3000,Permissions!$B$2:$B$3000,$A181,Permissions!$R$2:$R$3000,"Yes")</f>
        <v>0</v>
      </c>
      <c r="AY181" s="26" t="n">
        <f aca="false">SUMIFS(Permissions!$AO$2:$AO$3000,Permissions!$B$2:$B$3000,$A181,Permissions!$R$2:$R$3000,"Yes")</f>
        <v>0</v>
      </c>
      <c r="AZ181" s="24" t="n">
        <f aca="false">COUNTIFS(Permissions!$B$2:$B$3000,$A181,Permissions!$R$2:$R$3000,"Yes")</f>
        <v>1</v>
      </c>
      <c r="BA181" s="24" t="n">
        <f aca="false">SUMIFS(Permissions!$M$2:$M$3000,Permissions!$B$2:$B$3000,$A181,Permissions!$R$2:$R$3000,"Yes")</f>
        <v>43</v>
      </c>
      <c r="BB181" s="24" t="n">
        <f aca="false">SUMIFS(Permissions!$O$2:$O$3000,Permissions!$B$2:$B$3000,$A181,Permissions!$R$2:$R$3000,"Yes")</f>
        <v>0</v>
      </c>
      <c r="BC181" s="27" t="str">
        <f aca="false">IF(AND(AM181&gt;0,AR181&gt;=AM181,AP181=0),"Finished",IF(AR181&gt;0,"Partly built",IF(AM181&gt;0,"Consented – not built","No consent")))</f>
        <v>Finished</v>
      </c>
      <c r="BD181" s="28" t="str">
        <f aca="false">IF(AND(R181&lt;&gt;"",AM181&gt;1.1*R181),"Consented above capacity",IF(AND(LEFT(B181,8)="Planning",AZ181=0),"Consent parcel with no permission",IF(COUNTIF($A$2:$A$3000,$A181)&gt;1,"Duplicate parcel_id","")))</f>
        <v/>
      </c>
    </row>
    <row r="182" customFormat="false" ht="15" hidden="false" customHeight="false" outlineLevel="0" collapsed="false">
      <c r="A182" s="15" t="s">
        <v>468</v>
      </c>
      <c r="B182" s="15" t="s">
        <v>12</v>
      </c>
      <c r="C182" s="15" t="s">
        <v>16</v>
      </c>
      <c r="D182" s="15" t="s">
        <v>51</v>
      </c>
      <c r="E182" s="15" t="s">
        <v>19</v>
      </c>
      <c r="F182" s="15" t="n">
        <v>1</v>
      </c>
      <c r="G182" s="15" t="s">
        <v>158</v>
      </c>
      <c r="H182" s="15"/>
      <c r="I182" s="15" t="s">
        <v>51</v>
      </c>
      <c r="J182" s="15" t="s">
        <v>182</v>
      </c>
      <c r="K182" s="15" t="s">
        <v>469</v>
      </c>
      <c r="L182" s="15"/>
      <c r="M182" s="15"/>
      <c r="N182" s="15"/>
      <c r="O182" s="15"/>
      <c r="P182" s="15" t="n">
        <v>0.099</v>
      </c>
      <c r="Q182" s="15" t="n">
        <v>0.099</v>
      </c>
      <c r="R182" s="15"/>
      <c r="S182" s="15" t="s">
        <v>459</v>
      </c>
      <c r="T182" s="15" t="n">
        <v>3</v>
      </c>
      <c r="U182" s="15"/>
      <c r="V182" s="15"/>
      <c r="W182" s="15"/>
      <c r="X182" s="15" t="s">
        <v>165</v>
      </c>
      <c r="Y182" s="15" t="n">
        <v>34</v>
      </c>
      <c r="Z182" s="15" t="s">
        <v>166</v>
      </c>
      <c r="AA182" s="15"/>
      <c r="AB182" s="15" t="n">
        <v>5</v>
      </c>
      <c r="AC182" s="15" t="n">
        <v>5</v>
      </c>
      <c r="AD182" s="15"/>
      <c r="AE182" s="15"/>
      <c r="AF182" s="15" t="s">
        <v>169</v>
      </c>
      <c r="AG182" s="15"/>
      <c r="AH182" s="24" t="n">
        <f aca="false">IF(R182="",AM182,R182)</f>
        <v>5</v>
      </c>
      <c r="AI182" s="24" t="n">
        <f aca="false">SUMIFS(Permissions!$G$2:$G$3000,Permissions!$B$2:$B$3000,$A182,Permissions!$I$2:$I$3000,"Complete",Permissions!$R$2:$R$3000,"Yes")</f>
        <v>5</v>
      </c>
      <c r="AJ182" s="24" t="n">
        <f aca="false">SUMIFS(Permissions!$G$2:$G$3000,Permissions!$B$2:$B$3000,$A182,Permissions!$I$2:$I$3000,"Under construction",Permissions!$R$2:$R$3000,"Yes")</f>
        <v>0</v>
      </c>
      <c r="AK182" s="24" t="n">
        <f aca="false">SUMIFS(Permissions!$G$2:$G$3000,Permissions!$B$2:$B$3000,$A182,Permissions!$I$2:$I$3000,"Permitted – not started",Permissions!$R$2:$R$3000,"Yes")</f>
        <v>0</v>
      </c>
      <c r="AL182" s="24" t="n">
        <f aca="false">SUMIFS(Permissions!$G$2:$G$3000,Permissions!$B$2:$B$3000,$A182,Permissions!$I$2:$I$3000,"Stalled",Permissions!$R$2:$R$3000,"Yes")</f>
        <v>0</v>
      </c>
      <c r="AM182" s="24" t="n">
        <f aca="false">AI182+AJ182+AK182+AL182</f>
        <v>5</v>
      </c>
      <c r="AN182" s="24" t="n">
        <f aca="false">SUMIFS(Permissions!$G$2:$G$3000,Permissions!$B$2:$B$3000,$A182,Permissions!$I$2:$I$3000,"Expired – not started",Permissions!$R$2:$R$3000,"Yes")</f>
        <v>0</v>
      </c>
      <c r="AO182" s="24" t="n">
        <f aca="false">SUMIFS(Permissions!$G$2:$G$3000,Permissions!$B$2:$B$3000,$A182,Permissions!$I$2:$I$3000,"In planning",Permissions!$R$2:$R$3000,"Yes")</f>
        <v>0</v>
      </c>
      <c r="AP182" s="24" t="n">
        <f aca="false">IF(R182="",0,MAX(R182-AM182,0))</f>
        <v>0</v>
      </c>
      <c r="AQ182" s="25" t="n">
        <f aca="false">AM182+AP182</f>
        <v>5</v>
      </c>
      <c r="AR182" s="24" t="n">
        <f aca="false">SUMIFS(Permissions!$L$2:$L$3000,Permissions!$B$2:$B$3000,$A182,Permissions!$R$2:$R$3000,"Yes",Permissions!$I$2:$I$3000,"&lt;&gt;Expired – not started",Permissions!$I$2:$I$3000,"&lt;&gt;In planning")</f>
        <v>5</v>
      </c>
      <c r="AS182" s="24" t="n">
        <f aca="false">AQ182-AR182</f>
        <v>0</v>
      </c>
      <c r="AT182" s="26" t="n">
        <f aca="false">SUMIFS(Permissions!$AJ$2:$AJ$3000,Permissions!$B$2:$B$3000,$A182,Permissions!$R$2:$R$3000,"Yes")</f>
        <v>0</v>
      </c>
      <c r="AU182" s="26" t="n">
        <f aca="false">SUMIFS(Permissions!$AK$2:$AK$3000,Permissions!$B$2:$B$3000,$A182,Permissions!$R$2:$R$3000,"Yes")</f>
        <v>0</v>
      </c>
      <c r="AV182" s="26" t="n">
        <f aca="false">SUMIFS(Permissions!$AL$2:$AL$3000,Permissions!$B$2:$B$3000,$A182,Permissions!$R$2:$R$3000,"Yes")</f>
        <v>0</v>
      </c>
      <c r="AW182" s="26" t="n">
        <f aca="false">SUMIFS(Permissions!$AM$2:$AM$3000,Permissions!$B$2:$B$3000,$A182,Permissions!$R$2:$R$3000,"Yes")</f>
        <v>0</v>
      </c>
      <c r="AX182" s="26" t="n">
        <f aca="false">SUMIFS(Permissions!$AN$2:$AN$3000,Permissions!$B$2:$B$3000,$A182,Permissions!$R$2:$R$3000,"Yes")</f>
        <v>0</v>
      </c>
      <c r="AY182" s="26" t="n">
        <f aca="false">SUMIFS(Permissions!$AO$2:$AO$3000,Permissions!$B$2:$B$3000,$A182,Permissions!$R$2:$R$3000,"Yes")</f>
        <v>0</v>
      </c>
      <c r="AZ182" s="24" t="n">
        <f aca="false">COUNTIFS(Permissions!$B$2:$B$3000,$A182,Permissions!$R$2:$R$3000,"Yes")</f>
        <v>1</v>
      </c>
      <c r="BA182" s="24" t="n">
        <f aca="false">SUMIFS(Permissions!$M$2:$M$3000,Permissions!$B$2:$B$3000,$A182,Permissions!$R$2:$R$3000,"Yes")</f>
        <v>5</v>
      </c>
      <c r="BB182" s="24" t="n">
        <f aca="false">SUMIFS(Permissions!$O$2:$O$3000,Permissions!$B$2:$B$3000,$A182,Permissions!$R$2:$R$3000,"Yes")</f>
        <v>0</v>
      </c>
      <c r="BC182" s="27" t="str">
        <f aca="false">IF(AND(AM182&gt;0,AR182&gt;=AM182,AP182=0),"Finished",IF(AR182&gt;0,"Partly built",IF(AM182&gt;0,"Consented – not built","No consent")))</f>
        <v>Finished</v>
      </c>
      <c r="BD182" s="28" t="str">
        <f aca="false">IF(AND(R182&lt;&gt;"",AM182&gt;1.1*R182),"Consented above capacity",IF(AND(LEFT(B182,8)="Planning",AZ182=0),"Consent parcel with no permission",IF(COUNTIF($A$2:$A$3000,$A182)&gt;1,"Duplicate parcel_id","")))</f>
        <v/>
      </c>
    </row>
    <row r="183" customFormat="false" ht="15" hidden="false" customHeight="false" outlineLevel="0" collapsed="false">
      <c r="A183" s="15" t="s">
        <v>470</v>
      </c>
      <c r="B183" s="15" t="s">
        <v>12</v>
      </c>
      <c r="C183" s="15" t="s">
        <v>16</v>
      </c>
      <c r="D183" s="15" t="s">
        <v>51</v>
      </c>
      <c r="E183" s="15" t="s">
        <v>19</v>
      </c>
      <c r="F183" s="15" t="n">
        <v>1</v>
      </c>
      <c r="G183" s="15" t="s">
        <v>158</v>
      </c>
      <c r="H183" s="15"/>
      <c r="I183" s="15" t="s">
        <v>51</v>
      </c>
      <c r="J183" s="15" t="s">
        <v>182</v>
      </c>
      <c r="K183" s="15" t="s">
        <v>471</v>
      </c>
      <c r="L183" s="15"/>
      <c r="M183" s="15"/>
      <c r="N183" s="15"/>
      <c r="O183" s="15"/>
      <c r="P183" s="15" t="n">
        <v>0.199</v>
      </c>
      <c r="Q183" s="15" t="n">
        <v>0.199</v>
      </c>
      <c r="R183" s="15" t="n">
        <v>12</v>
      </c>
      <c r="S183" s="15" t="s">
        <v>472</v>
      </c>
      <c r="T183" s="15" t="n">
        <v>7</v>
      </c>
      <c r="U183" s="15"/>
      <c r="V183" s="15"/>
      <c r="W183" s="15"/>
      <c r="X183" s="15" t="s">
        <v>165</v>
      </c>
      <c r="Y183" s="15" t="n">
        <v>34</v>
      </c>
      <c r="Z183" s="15" t="s">
        <v>166</v>
      </c>
      <c r="AA183" s="15"/>
      <c r="AB183" s="15" t="n">
        <v>0</v>
      </c>
      <c r="AC183" s="15" t="n">
        <v>0</v>
      </c>
      <c r="AD183" s="15"/>
      <c r="AE183" s="15"/>
      <c r="AF183" s="15" t="s">
        <v>169</v>
      </c>
      <c r="AG183" s="15"/>
      <c r="AH183" s="24" t="n">
        <f aca="false">IF(R183="",AM183,R183)</f>
        <v>12</v>
      </c>
      <c r="AI183" s="24" t="n">
        <f aca="false">SUMIFS(Permissions!$G$2:$G$3000,Permissions!$B$2:$B$3000,$A183,Permissions!$I$2:$I$3000,"Complete",Permissions!$R$2:$R$3000,"Yes")</f>
        <v>0</v>
      </c>
      <c r="AJ183" s="24" t="n">
        <f aca="false">SUMIFS(Permissions!$G$2:$G$3000,Permissions!$B$2:$B$3000,$A183,Permissions!$I$2:$I$3000,"Under construction",Permissions!$R$2:$R$3000,"Yes")</f>
        <v>0</v>
      </c>
      <c r="AK183" s="24" t="n">
        <f aca="false">SUMIFS(Permissions!$G$2:$G$3000,Permissions!$B$2:$B$3000,$A183,Permissions!$I$2:$I$3000,"Permitted – not started",Permissions!$R$2:$R$3000,"Yes")</f>
        <v>0</v>
      </c>
      <c r="AL183" s="24" t="n">
        <f aca="false">SUMIFS(Permissions!$G$2:$G$3000,Permissions!$B$2:$B$3000,$A183,Permissions!$I$2:$I$3000,"Stalled",Permissions!$R$2:$R$3000,"Yes")</f>
        <v>0</v>
      </c>
      <c r="AM183" s="24" t="n">
        <f aca="false">AI183+AJ183+AK183+AL183</f>
        <v>0</v>
      </c>
      <c r="AN183" s="24" t="n">
        <f aca="false">SUMIFS(Permissions!$G$2:$G$3000,Permissions!$B$2:$B$3000,$A183,Permissions!$I$2:$I$3000,"Expired – not started",Permissions!$R$2:$R$3000,"Yes")</f>
        <v>12</v>
      </c>
      <c r="AO183" s="24" t="n">
        <f aca="false">SUMIFS(Permissions!$G$2:$G$3000,Permissions!$B$2:$B$3000,$A183,Permissions!$I$2:$I$3000,"In planning",Permissions!$R$2:$R$3000,"Yes")</f>
        <v>0</v>
      </c>
      <c r="AP183" s="24" t="n">
        <f aca="false">IF(R183="",0,MAX(R183-AM183,0))</f>
        <v>12</v>
      </c>
      <c r="AQ183" s="25" t="n">
        <f aca="false">AM183+AP183</f>
        <v>12</v>
      </c>
      <c r="AR183" s="24" t="n">
        <f aca="false">SUMIFS(Permissions!$L$2:$L$3000,Permissions!$B$2:$B$3000,$A183,Permissions!$R$2:$R$3000,"Yes",Permissions!$I$2:$I$3000,"&lt;&gt;Expired – not started",Permissions!$I$2:$I$3000,"&lt;&gt;In planning")</f>
        <v>0</v>
      </c>
      <c r="AS183" s="24" t="n">
        <f aca="false">AQ183-AR183</f>
        <v>12</v>
      </c>
      <c r="AT183" s="26" t="n">
        <f aca="false">SUMIFS(Permissions!$AJ$2:$AJ$3000,Permissions!$B$2:$B$3000,$A183,Permissions!$R$2:$R$3000,"Yes")</f>
        <v>0</v>
      </c>
      <c r="AU183" s="26" t="n">
        <f aca="false">SUMIFS(Permissions!$AK$2:$AK$3000,Permissions!$B$2:$B$3000,$A183,Permissions!$R$2:$R$3000,"Yes")</f>
        <v>0</v>
      </c>
      <c r="AV183" s="26" t="n">
        <f aca="false">SUMIFS(Permissions!$AL$2:$AL$3000,Permissions!$B$2:$B$3000,$A183,Permissions!$R$2:$R$3000,"Yes")</f>
        <v>0</v>
      </c>
      <c r="AW183" s="26" t="n">
        <f aca="false">SUMIFS(Permissions!$AM$2:$AM$3000,Permissions!$B$2:$B$3000,$A183,Permissions!$R$2:$R$3000,"Yes")</f>
        <v>0</v>
      </c>
      <c r="AX183" s="26" t="n">
        <f aca="false">SUMIFS(Permissions!$AN$2:$AN$3000,Permissions!$B$2:$B$3000,$A183,Permissions!$R$2:$R$3000,"Yes")</f>
        <v>0</v>
      </c>
      <c r="AY183" s="26" t="n">
        <f aca="false">SUMIFS(Permissions!$AO$2:$AO$3000,Permissions!$B$2:$B$3000,$A183,Permissions!$R$2:$R$3000,"Yes")</f>
        <v>0</v>
      </c>
      <c r="AZ183" s="24" t="n">
        <f aca="false">COUNTIFS(Permissions!$B$2:$B$3000,$A183,Permissions!$R$2:$R$3000,"Yes")</f>
        <v>1</v>
      </c>
      <c r="BA183" s="24" t="n">
        <f aca="false">SUMIFS(Permissions!$M$2:$M$3000,Permissions!$B$2:$B$3000,$A183,Permissions!$R$2:$R$3000,"Yes")</f>
        <v>0</v>
      </c>
      <c r="BB183" s="24" t="n">
        <f aca="false">SUMIFS(Permissions!$O$2:$O$3000,Permissions!$B$2:$B$3000,$A183,Permissions!$R$2:$R$3000,"Yes")</f>
        <v>0</v>
      </c>
      <c r="BC183" s="27" t="str">
        <f aca="false">IF(AND(AM183&gt;0,AR183&gt;=AM183,AP183=0),"Finished",IF(AR183&gt;0,"Partly built",IF(AM183&gt;0,"Consented – not built","No consent")))</f>
        <v>No consent</v>
      </c>
      <c r="BD183" s="28" t="str">
        <f aca="false">IF(AND(R183&lt;&gt;"",AM183&gt;1.1*R183),"Consented above capacity",IF(AND(LEFT(B183,8)="Planning",AZ183=0),"Consent parcel with no permission",IF(COUNTIF($A$2:$A$3000,$A183)&gt;1,"Duplicate parcel_id","")))</f>
        <v/>
      </c>
    </row>
    <row r="184" customFormat="false" ht="15" hidden="false" customHeight="false" outlineLevel="0" collapsed="false">
      <c r="A184" s="15" t="s">
        <v>473</v>
      </c>
      <c r="B184" s="15" t="s">
        <v>12</v>
      </c>
      <c r="C184" s="15" t="s">
        <v>16</v>
      </c>
      <c r="D184" s="15" t="s">
        <v>51</v>
      </c>
      <c r="E184" s="15" t="s">
        <v>19</v>
      </c>
      <c r="F184" s="15" t="n">
        <v>1</v>
      </c>
      <c r="G184" s="15" t="s">
        <v>158</v>
      </c>
      <c r="H184" s="15"/>
      <c r="I184" s="15" t="s">
        <v>51</v>
      </c>
      <c r="J184" s="15" t="s">
        <v>182</v>
      </c>
      <c r="K184" s="15" t="s">
        <v>474</v>
      </c>
      <c r="L184" s="15"/>
      <c r="M184" s="15"/>
      <c r="N184" s="15"/>
      <c r="O184" s="15"/>
      <c r="P184" s="15" t="n">
        <v>1.237</v>
      </c>
      <c r="Q184" s="15" t="n">
        <v>1.237</v>
      </c>
      <c r="R184" s="15"/>
      <c r="S184" s="15" t="s">
        <v>459</v>
      </c>
      <c r="T184" s="15" t="n">
        <v>42</v>
      </c>
      <c r="U184" s="15"/>
      <c r="V184" s="15"/>
      <c r="W184" s="15"/>
      <c r="X184" s="15" t="s">
        <v>165</v>
      </c>
      <c r="Y184" s="15" t="n">
        <v>34</v>
      </c>
      <c r="Z184" s="15" t="s">
        <v>166</v>
      </c>
      <c r="AA184" s="15"/>
      <c r="AB184" s="15" t="n">
        <v>27</v>
      </c>
      <c r="AC184" s="15" t="n">
        <v>27</v>
      </c>
      <c r="AD184" s="15"/>
      <c r="AE184" s="15"/>
      <c r="AF184" s="15" t="s">
        <v>169</v>
      </c>
      <c r="AG184" s="15"/>
      <c r="AH184" s="24" t="n">
        <f aca="false">IF(R184="",AM184,R184)</f>
        <v>27</v>
      </c>
      <c r="AI184" s="24" t="n">
        <f aca="false">SUMIFS(Permissions!$G$2:$G$3000,Permissions!$B$2:$B$3000,$A184,Permissions!$I$2:$I$3000,"Complete",Permissions!$R$2:$R$3000,"Yes")</f>
        <v>27</v>
      </c>
      <c r="AJ184" s="24" t="n">
        <f aca="false">SUMIFS(Permissions!$G$2:$G$3000,Permissions!$B$2:$B$3000,$A184,Permissions!$I$2:$I$3000,"Under construction",Permissions!$R$2:$R$3000,"Yes")</f>
        <v>0</v>
      </c>
      <c r="AK184" s="24" t="n">
        <f aca="false">SUMIFS(Permissions!$G$2:$G$3000,Permissions!$B$2:$B$3000,$A184,Permissions!$I$2:$I$3000,"Permitted – not started",Permissions!$R$2:$R$3000,"Yes")</f>
        <v>0</v>
      </c>
      <c r="AL184" s="24" t="n">
        <f aca="false">SUMIFS(Permissions!$G$2:$G$3000,Permissions!$B$2:$B$3000,$A184,Permissions!$I$2:$I$3000,"Stalled",Permissions!$R$2:$R$3000,"Yes")</f>
        <v>0</v>
      </c>
      <c r="AM184" s="24" t="n">
        <f aca="false">AI184+AJ184+AK184+AL184</f>
        <v>27</v>
      </c>
      <c r="AN184" s="24" t="n">
        <f aca="false">SUMIFS(Permissions!$G$2:$G$3000,Permissions!$B$2:$B$3000,$A184,Permissions!$I$2:$I$3000,"Expired – not started",Permissions!$R$2:$R$3000,"Yes")</f>
        <v>0</v>
      </c>
      <c r="AO184" s="24" t="n">
        <f aca="false">SUMIFS(Permissions!$G$2:$G$3000,Permissions!$B$2:$B$3000,$A184,Permissions!$I$2:$I$3000,"In planning",Permissions!$R$2:$R$3000,"Yes")</f>
        <v>0</v>
      </c>
      <c r="AP184" s="24" t="n">
        <f aca="false">IF(R184="",0,MAX(R184-AM184,0))</f>
        <v>0</v>
      </c>
      <c r="AQ184" s="25" t="n">
        <f aca="false">AM184+AP184</f>
        <v>27</v>
      </c>
      <c r="AR184" s="24" t="n">
        <f aca="false">SUMIFS(Permissions!$L$2:$L$3000,Permissions!$B$2:$B$3000,$A184,Permissions!$R$2:$R$3000,"Yes",Permissions!$I$2:$I$3000,"&lt;&gt;Expired – not started",Permissions!$I$2:$I$3000,"&lt;&gt;In planning")</f>
        <v>27</v>
      </c>
      <c r="AS184" s="24" t="n">
        <f aca="false">AQ184-AR184</f>
        <v>0</v>
      </c>
      <c r="AT184" s="26" t="n">
        <f aca="false">SUMIFS(Permissions!$AJ$2:$AJ$3000,Permissions!$B$2:$B$3000,$A184,Permissions!$R$2:$R$3000,"Yes")</f>
        <v>0</v>
      </c>
      <c r="AU184" s="26" t="n">
        <f aca="false">SUMIFS(Permissions!$AK$2:$AK$3000,Permissions!$B$2:$B$3000,$A184,Permissions!$R$2:$R$3000,"Yes")</f>
        <v>0</v>
      </c>
      <c r="AV184" s="26" t="n">
        <f aca="false">SUMIFS(Permissions!$AL$2:$AL$3000,Permissions!$B$2:$B$3000,$A184,Permissions!$R$2:$R$3000,"Yes")</f>
        <v>0</v>
      </c>
      <c r="AW184" s="26" t="n">
        <f aca="false">SUMIFS(Permissions!$AM$2:$AM$3000,Permissions!$B$2:$B$3000,$A184,Permissions!$R$2:$R$3000,"Yes")</f>
        <v>0</v>
      </c>
      <c r="AX184" s="26" t="n">
        <f aca="false">SUMIFS(Permissions!$AN$2:$AN$3000,Permissions!$B$2:$B$3000,$A184,Permissions!$R$2:$R$3000,"Yes")</f>
        <v>0</v>
      </c>
      <c r="AY184" s="26" t="n">
        <f aca="false">SUMIFS(Permissions!$AO$2:$AO$3000,Permissions!$B$2:$B$3000,$A184,Permissions!$R$2:$R$3000,"Yes")</f>
        <v>0</v>
      </c>
      <c r="AZ184" s="24" t="n">
        <f aca="false">COUNTIFS(Permissions!$B$2:$B$3000,$A184,Permissions!$R$2:$R$3000,"Yes")</f>
        <v>1</v>
      </c>
      <c r="BA184" s="24" t="n">
        <f aca="false">SUMIFS(Permissions!$M$2:$M$3000,Permissions!$B$2:$B$3000,$A184,Permissions!$R$2:$R$3000,"Yes")</f>
        <v>27</v>
      </c>
      <c r="BB184" s="24" t="n">
        <f aca="false">SUMIFS(Permissions!$O$2:$O$3000,Permissions!$B$2:$B$3000,$A184,Permissions!$R$2:$R$3000,"Yes")</f>
        <v>0</v>
      </c>
      <c r="BC184" s="27" t="str">
        <f aca="false">IF(AND(AM184&gt;0,AR184&gt;=AM184,AP184=0),"Finished",IF(AR184&gt;0,"Partly built",IF(AM184&gt;0,"Consented – not built","No consent")))</f>
        <v>Finished</v>
      </c>
      <c r="BD184" s="28" t="str">
        <f aca="false">IF(AND(R184&lt;&gt;"",AM184&gt;1.1*R184),"Consented above capacity",IF(AND(LEFT(B184,8)="Planning",AZ184=0),"Consent parcel with no permission",IF(COUNTIF($A$2:$A$3000,$A184)&gt;1,"Duplicate parcel_id","")))</f>
        <v/>
      </c>
    </row>
    <row r="185" customFormat="false" ht="15" hidden="false" customHeight="false" outlineLevel="0" collapsed="false">
      <c r="A185" s="15" t="s">
        <v>475</v>
      </c>
      <c r="B185" s="15" t="s">
        <v>12</v>
      </c>
      <c r="C185" s="15" t="s">
        <v>16</v>
      </c>
      <c r="D185" s="15" t="s">
        <v>51</v>
      </c>
      <c r="E185" s="15" t="s">
        <v>19</v>
      </c>
      <c r="F185" s="15" t="n">
        <v>1</v>
      </c>
      <c r="G185" s="15" t="s">
        <v>158</v>
      </c>
      <c r="H185" s="15"/>
      <c r="I185" s="15" t="s">
        <v>51</v>
      </c>
      <c r="J185" s="15" t="s">
        <v>182</v>
      </c>
      <c r="K185" s="15" t="s">
        <v>476</v>
      </c>
      <c r="L185" s="15"/>
      <c r="M185" s="15"/>
      <c r="N185" s="15"/>
      <c r="O185" s="15"/>
      <c r="P185" s="15" t="n">
        <v>2.484</v>
      </c>
      <c r="Q185" s="15" t="n">
        <v>2.484</v>
      </c>
      <c r="R185" s="15"/>
      <c r="S185" s="15" t="s">
        <v>459</v>
      </c>
      <c r="T185" s="15" t="n">
        <v>84</v>
      </c>
      <c r="U185" s="15"/>
      <c r="V185" s="15"/>
      <c r="W185" s="15"/>
      <c r="X185" s="15" t="s">
        <v>165</v>
      </c>
      <c r="Y185" s="15" t="n">
        <v>34</v>
      </c>
      <c r="Z185" s="15" t="s">
        <v>166</v>
      </c>
      <c r="AA185" s="15"/>
      <c r="AB185" s="15" t="n">
        <v>92</v>
      </c>
      <c r="AC185" s="15" t="n">
        <v>92</v>
      </c>
      <c r="AD185" s="15"/>
      <c r="AE185" s="15"/>
      <c r="AF185" s="15" t="s">
        <v>169</v>
      </c>
      <c r="AG185" s="15"/>
      <c r="AH185" s="24" t="n">
        <f aca="false">IF(R185="",AM185,R185)</f>
        <v>92</v>
      </c>
      <c r="AI185" s="24" t="n">
        <f aca="false">SUMIFS(Permissions!$G$2:$G$3000,Permissions!$B$2:$B$3000,$A185,Permissions!$I$2:$I$3000,"Complete",Permissions!$R$2:$R$3000,"Yes")</f>
        <v>0</v>
      </c>
      <c r="AJ185" s="24" t="n">
        <f aca="false">SUMIFS(Permissions!$G$2:$G$3000,Permissions!$B$2:$B$3000,$A185,Permissions!$I$2:$I$3000,"Under construction",Permissions!$R$2:$R$3000,"Yes")</f>
        <v>92</v>
      </c>
      <c r="AK185" s="24" t="n">
        <f aca="false">SUMIFS(Permissions!$G$2:$G$3000,Permissions!$B$2:$B$3000,$A185,Permissions!$I$2:$I$3000,"Permitted – not started",Permissions!$R$2:$R$3000,"Yes")</f>
        <v>0</v>
      </c>
      <c r="AL185" s="24" t="n">
        <f aca="false">SUMIFS(Permissions!$G$2:$G$3000,Permissions!$B$2:$B$3000,$A185,Permissions!$I$2:$I$3000,"Stalled",Permissions!$R$2:$R$3000,"Yes")</f>
        <v>0</v>
      </c>
      <c r="AM185" s="24" t="n">
        <f aca="false">AI185+AJ185+AK185+AL185</f>
        <v>92</v>
      </c>
      <c r="AN185" s="24" t="n">
        <f aca="false">SUMIFS(Permissions!$G$2:$G$3000,Permissions!$B$2:$B$3000,$A185,Permissions!$I$2:$I$3000,"Expired – not started",Permissions!$R$2:$R$3000,"Yes")</f>
        <v>0</v>
      </c>
      <c r="AO185" s="24" t="n">
        <f aca="false">SUMIFS(Permissions!$G$2:$G$3000,Permissions!$B$2:$B$3000,$A185,Permissions!$I$2:$I$3000,"In planning",Permissions!$R$2:$R$3000,"Yes")</f>
        <v>0</v>
      </c>
      <c r="AP185" s="24" t="n">
        <f aca="false">IF(R185="",0,MAX(R185-AM185,0))</f>
        <v>0</v>
      </c>
      <c r="AQ185" s="25" t="n">
        <f aca="false">AM185+AP185</f>
        <v>92</v>
      </c>
      <c r="AR185" s="24" t="n">
        <f aca="false">SUMIFS(Permissions!$L$2:$L$3000,Permissions!$B$2:$B$3000,$A185,Permissions!$R$2:$R$3000,"Yes",Permissions!$I$2:$I$3000,"&lt;&gt;Expired – not started",Permissions!$I$2:$I$3000,"&lt;&gt;In planning")</f>
        <v>48</v>
      </c>
      <c r="AS185" s="24" t="n">
        <f aca="false">AQ185-AR185</f>
        <v>44</v>
      </c>
      <c r="AT185" s="26" t="n">
        <f aca="false">SUMIFS(Permissions!$AJ$2:$AJ$3000,Permissions!$B$2:$B$3000,$A185,Permissions!$R$2:$R$3000,"Yes")</f>
        <v>21.4</v>
      </c>
      <c r="AU185" s="26" t="n">
        <f aca="false">SUMIFS(Permissions!$AK$2:$AK$3000,Permissions!$B$2:$B$3000,$A185,Permissions!$R$2:$R$3000,"Yes")</f>
        <v>70.6</v>
      </c>
      <c r="AV185" s="26" t="n">
        <f aca="false">SUMIFS(Permissions!$AL$2:$AL$3000,Permissions!$B$2:$B$3000,$A185,Permissions!$R$2:$R$3000,"Yes")</f>
        <v>0</v>
      </c>
      <c r="AW185" s="26" t="n">
        <f aca="false">SUMIFS(Permissions!$AM$2:$AM$3000,Permissions!$B$2:$B$3000,$A185,Permissions!$R$2:$R$3000,"Yes")</f>
        <v>0</v>
      </c>
      <c r="AX185" s="26" t="n">
        <f aca="false">SUMIFS(Permissions!$AN$2:$AN$3000,Permissions!$B$2:$B$3000,$A185,Permissions!$R$2:$R$3000,"Yes")</f>
        <v>0</v>
      </c>
      <c r="AY185" s="26" t="n">
        <f aca="false">SUMIFS(Permissions!$AO$2:$AO$3000,Permissions!$B$2:$B$3000,$A185,Permissions!$R$2:$R$3000,"Yes")</f>
        <v>0</v>
      </c>
      <c r="AZ185" s="24" t="n">
        <f aca="false">COUNTIFS(Permissions!$B$2:$B$3000,$A185,Permissions!$R$2:$R$3000,"Yes")</f>
        <v>1</v>
      </c>
      <c r="BA185" s="24" t="n">
        <f aca="false">SUMIFS(Permissions!$M$2:$M$3000,Permissions!$B$2:$B$3000,$A185,Permissions!$R$2:$R$3000,"Yes")</f>
        <v>48</v>
      </c>
      <c r="BB185" s="24" t="n">
        <f aca="false">SUMIFS(Permissions!$O$2:$O$3000,Permissions!$B$2:$B$3000,$A185,Permissions!$R$2:$R$3000,"Yes")</f>
        <v>12</v>
      </c>
      <c r="BC185" s="27" t="str">
        <f aca="false">IF(AND(AM185&gt;0,AR185&gt;=AM185,AP185=0),"Finished",IF(AR185&gt;0,"Partly built",IF(AM185&gt;0,"Consented – not built","No consent")))</f>
        <v>Partly built</v>
      </c>
      <c r="BD185" s="28" t="str">
        <f aca="false">IF(AND(R185&lt;&gt;"",AM185&gt;1.1*R185),"Consented above capacity",IF(AND(LEFT(B185,8)="Planning",AZ185=0),"Consent parcel with no permission",IF(COUNTIF($A$2:$A$3000,$A185)&gt;1,"Duplicate parcel_id","")))</f>
        <v/>
      </c>
    </row>
    <row r="186" customFormat="false" ht="15" hidden="false" customHeight="false" outlineLevel="0" collapsed="false">
      <c r="A186" s="15" t="s">
        <v>477</v>
      </c>
      <c r="B186" s="15" t="s">
        <v>12</v>
      </c>
      <c r="C186" s="15" t="s">
        <v>16</v>
      </c>
      <c r="D186" s="15" t="s">
        <v>51</v>
      </c>
      <c r="E186" s="15" t="s">
        <v>19</v>
      </c>
      <c r="F186" s="15" t="n">
        <v>1</v>
      </c>
      <c r="G186" s="15" t="s">
        <v>158</v>
      </c>
      <c r="H186" s="15"/>
      <c r="I186" s="15" t="s">
        <v>51</v>
      </c>
      <c r="J186" s="15" t="s">
        <v>182</v>
      </c>
      <c r="K186" s="15" t="s">
        <v>478</v>
      </c>
      <c r="L186" s="15"/>
      <c r="M186" s="15"/>
      <c r="N186" s="15"/>
      <c r="O186" s="15"/>
      <c r="P186" s="15" t="n">
        <v>0.213</v>
      </c>
      <c r="Q186" s="15" t="n">
        <v>0.213</v>
      </c>
      <c r="R186" s="15"/>
      <c r="S186" s="15" t="s">
        <v>459</v>
      </c>
      <c r="T186" s="15" t="n">
        <v>7</v>
      </c>
      <c r="U186" s="15"/>
      <c r="V186" s="15"/>
      <c r="W186" s="15"/>
      <c r="X186" s="15" t="s">
        <v>165</v>
      </c>
      <c r="Y186" s="15" t="n">
        <v>34</v>
      </c>
      <c r="Z186" s="15" t="s">
        <v>166</v>
      </c>
      <c r="AA186" s="15"/>
      <c r="AB186" s="15" t="n">
        <v>0</v>
      </c>
      <c r="AC186" s="15" t="n">
        <v>0</v>
      </c>
      <c r="AD186" s="15"/>
      <c r="AE186" s="15"/>
      <c r="AF186" s="15" t="s">
        <v>169</v>
      </c>
      <c r="AG186" s="15"/>
      <c r="AH186" s="24" t="n">
        <f aca="false">IF(R186="",AM186,R186)</f>
        <v>11</v>
      </c>
      <c r="AI186" s="24" t="n">
        <f aca="false">SUMIFS(Permissions!$G$2:$G$3000,Permissions!$B$2:$B$3000,$A186,Permissions!$I$2:$I$3000,"Complete",Permissions!$R$2:$R$3000,"Yes")</f>
        <v>0</v>
      </c>
      <c r="AJ186" s="24" t="n">
        <f aca="false">SUMIFS(Permissions!$G$2:$G$3000,Permissions!$B$2:$B$3000,$A186,Permissions!$I$2:$I$3000,"Under construction",Permissions!$R$2:$R$3000,"Yes")</f>
        <v>0</v>
      </c>
      <c r="AK186" s="24" t="n">
        <f aca="false">SUMIFS(Permissions!$G$2:$G$3000,Permissions!$B$2:$B$3000,$A186,Permissions!$I$2:$I$3000,"Permitted – not started",Permissions!$R$2:$R$3000,"Yes")</f>
        <v>11</v>
      </c>
      <c r="AL186" s="24" t="n">
        <f aca="false">SUMIFS(Permissions!$G$2:$G$3000,Permissions!$B$2:$B$3000,$A186,Permissions!$I$2:$I$3000,"Stalled",Permissions!$R$2:$R$3000,"Yes")</f>
        <v>0</v>
      </c>
      <c r="AM186" s="24" t="n">
        <f aca="false">AI186+AJ186+AK186+AL186</f>
        <v>11</v>
      </c>
      <c r="AN186" s="24" t="n">
        <f aca="false">SUMIFS(Permissions!$G$2:$G$3000,Permissions!$B$2:$B$3000,$A186,Permissions!$I$2:$I$3000,"Expired – not started",Permissions!$R$2:$R$3000,"Yes")</f>
        <v>0</v>
      </c>
      <c r="AO186" s="24" t="n">
        <f aca="false">SUMIFS(Permissions!$G$2:$G$3000,Permissions!$B$2:$B$3000,$A186,Permissions!$I$2:$I$3000,"In planning",Permissions!$R$2:$R$3000,"Yes")</f>
        <v>0</v>
      </c>
      <c r="AP186" s="24" t="n">
        <f aca="false">IF(R186="",0,MAX(R186-AM186,0))</f>
        <v>0</v>
      </c>
      <c r="AQ186" s="25" t="n">
        <f aca="false">AM186+AP186</f>
        <v>11</v>
      </c>
      <c r="AR186" s="24" t="n">
        <f aca="false">SUMIFS(Permissions!$L$2:$L$3000,Permissions!$B$2:$B$3000,$A186,Permissions!$R$2:$R$3000,"Yes",Permissions!$I$2:$I$3000,"&lt;&gt;Expired – not started",Permissions!$I$2:$I$3000,"&lt;&gt;In planning")</f>
        <v>0</v>
      </c>
      <c r="AS186" s="24" t="n">
        <f aca="false">AQ186-AR186</f>
        <v>11</v>
      </c>
      <c r="AT186" s="26" t="n">
        <f aca="false">SUMIFS(Permissions!$AJ$2:$AJ$3000,Permissions!$B$2:$B$3000,$A186,Permissions!$R$2:$R$3000,"Yes")</f>
        <v>0</v>
      </c>
      <c r="AU186" s="26" t="n">
        <f aca="false">SUMIFS(Permissions!$AK$2:$AK$3000,Permissions!$B$2:$B$3000,$A186,Permissions!$R$2:$R$3000,"Yes")</f>
        <v>0</v>
      </c>
      <c r="AV186" s="26" t="n">
        <f aca="false">SUMIFS(Permissions!$AL$2:$AL$3000,Permissions!$B$2:$B$3000,$A186,Permissions!$R$2:$R$3000,"Yes")</f>
        <v>6.4</v>
      </c>
      <c r="AW186" s="26" t="n">
        <f aca="false">SUMIFS(Permissions!$AM$2:$AM$3000,Permissions!$B$2:$B$3000,$A186,Permissions!$R$2:$R$3000,"Yes")</f>
        <v>4.6</v>
      </c>
      <c r="AX186" s="26" t="n">
        <f aca="false">SUMIFS(Permissions!$AN$2:$AN$3000,Permissions!$B$2:$B$3000,$A186,Permissions!$R$2:$R$3000,"Yes")</f>
        <v>0</v>
      </c>
      <c r="AY186" s="26" t="n">
        <f aca="false">SUMIFS(Permissions!$AO$2:$AO$3000,Permissions!$B$2:$B$3000,$A186,Permissions!$R$2:$R$3000,"Yes")</f>
        <v>0</v>
      </c>
      <c r="AZ186" s="24" t="n">
        <f aca="false">COUNTIFS(Permissions!$B$2:$B$3000,$A186,Permissions!$R$2:$R$3000,"Yes")</f>
        <v>1</v>
      </c>
      <c r="BA186" s="24" t="n">
        <f aca="false">SUMIFS(Permissions!$M$2:$M$3000,Permissions!$B$2:$B$3000,$A186,Permissions!$R$2:$R$3000,"Yes")</f>
        <v>0</v>
      </c>
      <c r="BB186" s="24" t="n">
        <f aca="false">SUMIFS(Permissions!$O$2:$O$3000,Permissions!$B$2:$B$3000,$A186,Permissions!$R$2:$R$3000,"Yes")</f>
        <v>0</v>
      </c>
      <c r="BC186" s="27" t="str">
        <f aca="false">IF(AND(AM186&gt;0,AR186&gt;=AM186,AP186=0),"Finished",IF(AR186&gt;0,"Partly built",IF(AM186&gt;0,"Consented – not built","No consent")))</f>
        <v>Consented – not built</v>
      </c>
      <c r="BD186" s="28" t="str">
        <f aca="false">IF(AND(R186&lt;&gt;"",AM186&gt;1.1*R186),"Consented above capacity",IF(AND(LEFT(B186,8)="Planning",AZ186=0),"Consent parcel with no permission",IF(COUNTIF($A$2:$A$3000,$A186)&gt;1,"Duplicate parcel_id","")))</f>
        <v/>
      </c>
    </row>
    <row r="187" customFormat="false" ht="15" hidden="false" customHeight="false" outlineLevel="0" collapsed="false">
      <c r="A187" s="15" t="s">
        <v>479</v>
      </c>
      <c r="B187" s="15" t="s">
        <v>12</v>
      </c>
      <c r="C187" s="15" t="s">
        <v>16</v>
      </c>
      <c r="D187" s="15" t="s">
        <v>51</v>
      </c>
      <c r="E187" s="15" t="s">
        <v>19</v>
      </c>
      <c r="F187" s="15" t="n">
        <v>1</v>
      </c>
      <c r="G187" s="15" t="s">
        <v>158</v>
      </c>
      <c r="H187" s="15"/>
      <c r="I187" s="15" t="s">
        <v>51</v>
      </c>
      <c r="J187" s="15" t="s">
        <v>182</v>
      </c>
      <c r="K187" s="15" t="s">
        <v>480</v>
      </c>
      <c r="L187" s="15"/>
      <c r="M187" s="15"/>
      <c r="N187" s="15"/>
      <c r="O187" s="15"/>
      <c r="P187" s="15" t="n">
        <v>0.148</v>
      </c>
      <c r="Q187" s="15" t="n">
        <v>0.148</v>
      </c>
      <c r="R187" s="15"/>
      <c r="S187" s="15" t="s">
        <v>459</v>
      </c>
      <c r="T187" s="15" t="n">
        <v>5</v>
      </c>
      <c r="U187" s="15"/>
      <c r="V187" s="15"/>
      <c r="W187" s="15"/>
      <c r="X187" s="15" t="s">
        <v>165</v>
      </c>
      <c r="Y187" s="15" t="n">
        <v>34</v>
      </c>
      <c r="Z187" s="15" t="s">
        <v>166</v>
      </c>
      <c r="AA187" s="15"/>
      <c r="AB187" s="15" t="n">
        <v>6</v>
      </c>
      <c r="AC187" s="15" t="n">
        <v>5</v>
      </c>
      <c r="AD187" s="15"/>
      <c r="AE187" s="15"/>
      <c r="AF187" s="15" t="s">
        <v>169</v>
      </c>
      <c r="AG187" s="15"/>
      <c r="AH187" s="24" t="n">
        <f aca="false">IF(R187="",AM187,R187)</f>
        <v>6</v>
      </c>
      <c r="AI187" s="24" t="n">
        <f aca="false">SUMIFS(Permissions!$G$2:$G$3000,Permissions!$B$2:$B$3000,$A187,Permissions!$I$2:$I$3000,"Complete",Permissions!$R$2:$R$3000,"Yes")</f>
        <v>6</v>
      </c>
      <c r="AJ187" s="24" t="n">
        <f aca="false">SUMIFS(Permissions!$G$2:$G$3000,Permissions!$B$2:$B$3000,$A187,Permissions!$I$2:$I$3000,"Under construction",Permissions!$R$2:$R$3000,"Yes")</f>
        <v>0</v>
      </c>
      <c r="AK187" s="24" t="n">
        <f aca="false">SUMIFS(Permissions!$G$2:$G$3000,Permissions!$B$2:$B$3000,$A187,Permissions!$I$2:$I$3000,"Permitted – not started",Permissions!$R$2:$R$3000,"Yes")</f>
        <v>0</v>
      </c>
      <c r="AL187" s="24" t="n">
        <f aca="false">SUMIFS(Permissions!$G$2:$G$3000,Permissions!$B$2:$B$3000,$A187,Permissions!$I$2:$I$3000,"Stalled",Permissions!$R$2:$R$3000,"Yes")</f>
        <v>0</v>
      </c>
      <c r="AM187" s="24" t="n">
        <f aca="false">AI187+AJ187+AK187+AL187</f>
        <v>6</v>
      </c>
      <c r="AN187" s="24" t="n">
        <f aca="false">SUMIFS(Permissions!$G$2:$G$3000,Permissions!$B$2:$B$3000,$A187,Permissions!$I$2:$I$3000,"Expired – not started",Permissions!$R$2:$R$3000,"Yes")</f>
        <v>0</v>
      </c>
      <c r="AO187" s="24" t="n">
        <f aca="false">SUMIFS(Permissions!$G$2:$G$3000,Permissions!$B$2:$B$3000,$A187,Permissions!$I$2:$I$3000,"In planning",Permissions!$R$2:$R$3000,"Yes")</f>
        <v>0</v>
      </c>
      <c r="AP187" s="24" t="n">
        <f aca="false">IF(R187="",0,MAX(R187-AM187,0))</f>
        <v>0</v>
      </c>
      <c r="AQ187" s="25" t="n">
        <f aca="false">AM187+AP187</f>
        <v>6</v>
      </c>
      <c r="AR187" s="24" t="n">
        <f aca="false">SUMIFS(Permissions!$L$2:$L$3000,Permissions!$B$2:$B$3000,$A187,Permissions!$R$2:$R$3000,"Yes",Permissions!$I$2:$I$3000,"&lt;&gt;Expired – not started",Permissions!$I$2:$I$3000,"&lt;&gt;In planning")</f>
        <v>6</v>
      </c>
      <c r="AS187" s="24" t="n">
        <f aca="false">AQ187-AR187</f>
        <v>0</v>
      </c>
      <c r="AT187" s="26" t="n">
        <f aca="false">SUMIFS(Permissions!$AJ$2:$AJ$3000,Permissions!$B$2:$B$3000,$A187,Permissions!$R$2:$R$3000,"Yes")</f>
        <v>0</v>
      </c>
      <c r="AU187" s="26" t="n">
        <f aca="false">SUMIFS(Permissions!$AK$2:$AK$3000,Permissions!$B$2:$B$3000,$A187,Permissions!$R$2:$R$3000,"Yes")</f>
        <v>0</v>
      </c>
      <c r="AV187" s="26" t="n">
        <f aca="false">SUMIFS(Permissions!$AL$2:$AL$3000,Permissions!$B$2:$B$3000,$A187,Permissions!$R$2:$R$3000,"Yes")</f>
        <v>0</v>
      </c>
      <c r="AW187" s="26" t="n">
        <f aca="false">SUMIFS(Permissions!$AM$2:$AM$3000,Permissions!$B$2:$B$3000,$A187,Permissions!$R$2:$R$3000,"Yes")</f>
        <v>0</v>
      </c>
      <c r="AX187" s="26" t="n">
        <f aca="false">SUMIFS(Permissions!$AN$2:$AN$3000,Permissions!$B$2:$B$3000,$A187,Permissions!$R$2:$R$3000,"Yes")</f>
        <v>0</v>
      </c>
      <c r="AY187" s="26" t="n">
        <f aca="false">SUMIFS(Permissions!$AO$2:$AO$3000,Permissions!$B$2:$B$3000,$A187,Permissions!$R$2:$R$3000,"Yes")</f>
        <v>0</v>
      </c>
      <c r="AZ187" s="24" t="n">
        <f aca="false">COUNTIFS(Permissions!$B$2:$B$3000,$A187,Permissions!$R$2:$R$3000,"Yes")</f>
        <v>1</v>
      </c>
      <c r="BA187" s="24" t="n">
        <f aca="false">SUMIFS(Permissions!$M$2:$M$3000,Permissions!$B$2:$B$3000,$A187,Permissions!$R$2:$R$3000,"Yes")</f>
        <v>5</v>
      </c>
      <c r="BB187" s="24" t="n">
        <f aca="false">SUMIFS(Permissions!$O$2:$O$3000,Permissions!$B$2:$B$3000,$A187,Permissions!$R$2:$R$3000,"Yes")</f>
        <v>5</v>
      </c>
      <c r="BC187" s="27" t="str">
        <f aca="false">IF(AND(AM187&gt;0,AR187&gt;=AM187,AP187=0),"Finished",IF(AR187&gt;0,"Partly built",IF(AM187&gt;0,"Consented – not built","No consent")))</f>
        <v>Finished</v>
      </c>
      <c r="BD187" s="28" t="str">
        <f aca="false">IF(AND(R187&lt;&gt;"",AM187&gt;1.1*R187),"Consented above capacity",IF(AND(LEFT(B187,8)="Planning",AZ187=0),"Consent parcel with no permission",IF(COUNTIF($A$2:$A$3000,$A187)&gt;1,"Duplicate parcel_id","")))</f>
        <v/>
      </c>
    </row>
    <row r="188" customFormat="false" ht="15" hidden="false" customHeight="false" outlineLevel="0" collapsed="false">
      <c r="A188" s="15" t="s">
        <v>481</v>
      </c>
      <c r="B188" s="15" t="s">
        <v>12</v>
      </c>
      <c r="C188" s="15" t="s">
        <v>16</v>
      </c>
      <c r="D188" s="15" t="s">
        <v>51</v>
      </c>
      <c r="E188" s="15" t="s">
        <v>19</v>
      </c>
      <c r="F188" s="15" t="n">
        <v>1</v>
      </c>
      <c r="G188" s="15" t="s">
        <v>158</v>
      </c>
      <c r="H188" s="15"/>
      <c r="I188" s="15" t="s">
        <v>51</v>
      </c>
      <c r="J188" s="15" t="s">
        <v>182</v>
      </c>
      <c r="K188" s="15" t="s">
        <v>482</v>
      </c>
      <c r="L188" s="15"/>
      <c r="M188" s="15"/>
      <c r="N188" s="15"/>
      <c r="O188" s="15"/>
      <c r="P188" s="15" t="n">
        <v>0.508</v>
      </c>
      <c r="Q188" s="15" t="n">
        <v>0.508</v>
      </c>
      <c r="R188" s="15"/>
      <c r="S188" s="15" t="s">
        <v>459</v>
      </c>
      <c r="T188" s="15" t="n">
        <v>17</v>
      </c>
      <c r="U188" s="15"/>
      <c r="V188" s="15"/>
      <c r="W188" s="15"/>
      <c r="X188" s="15" t="s">
        <v>165</v>
      </c>
      <c r="Y188" s="15" t="n">
        <v>34</v>
      </c>
      <c r="Z188" s="15" t="s">
        <v>166</v>
      </c>
      <c r="AA188" s="15"/>
      <c r="AB188" s="15" t="n">
        <v>1</v>
      </c>
      <c r="AC188" s="15" t="n">
        <v>0</v>
      </c>
      <c r="AD188" s="15"/>
      <c r="AE188" s="15"/>
      <c r="AF188" s="15" t="s">
        <v>169</v>
      </c>
      <c r="AG188" s="15"/>
      <c r="AH188" s="24" t="n">
        <f aca="false">IF(R188="",AM188,R188)</f>
        <v>28</v>
      </c>
      <c r="AI188" s="24" t="n">
        <f aca="false">SUMIFS(Permissions!$G$2:$G$3000,Permissions!$B$2:$B$3000,$A188,Permissions!$I$2:$I$3000,"Complete",Permissions!$R$2:$R$3000,"Yes")</f>
        <v>0</v>
      </c>
      <c r="AJ188" s="24" t="n">
        <f aca="false">SUMIFS(Permissions!$G$2:$G$3000,Permissions!$B$2:$B$3000,$A188,Permissions!$I$2:$I$3000,"Under construction",Permissions!$R$2:$R$3000,"Yes")</f>
        <v>28</v>
      </c>
      <c r="AK188" s="24" t="n">
        <f aca="false">SUMIFS(Permissions!$G$2:$G$3000,Permissions!$B$2:$B$3000,$A188,Permissions!$I$2:$I$3000,"Permitted – not started",Permissions!$R$2:$R$3000,"Yes")</f>
        <v>0</v>
      </c>
      <c r="AL188" s="24" t="n">
        <f aca="false">SUMIFS(Permissions!$G$2:$G$3000,Permissions!$B$2:$B$3000,$A188,Permissions!$I$2:$I$3000,"Stalled",Permissions!$R$2:$R$3000,"Yes")</f>
        <v>0</v>
      </c>
      <c r="AM188" s="24" t="n">
        <f aca="false">AI188+AJ188+AK188+AL188</f>
        <v>28</v>
      </c>
      <c r="AN188" s="24" t="n">
        <f aca="false">SUMIFS(Permissions!$G$2:$G$3000,Permissions!$B$2:$B$3000,$A188,Permissions!$I$2:$I$3000,"Expired – not started",Permissions!$R$2:$R$3000,"Yes")</f>
        <v>0</v>
      </c>
      <c r="AO188" s="24" t="n">
        <f aca="false">SUMIFS(Permissions!$G$2:$G$3000,Permissions!$B$2:$B$3000,$A188,Permissions!$I$2:$I$3000,"In planning",Permissions!$R$2:$R$3000,"Yes")</f>
        <v>0</v>
      </c>
      <c r="AP188" s="24" t="n">
        <f aca="false">IF(R188="",0,MAX(R188-AM188,0))</f>
        <v>0</v>
      </c>
      <c r="AQ188" s="25" t="n">
        <f aca="false">AM188+AP188</f>
        <v>28</v>
      </c>
      <c r="AR188" s="24" t="n">
        <f aca="false">SUMIFS(Permissions!$L$2:$L$3000,Permissions!$B$2:$B$3000,$A188,Permissions!$R$2:$R$3000,"Yes",Permissions!$I$2:$I$3000,"&lt;&gt;Expired – not started",Permissions!$I$2:$I$3000,"&lt;&gt;In planning")</f>
        <v>0</v>
      </c>
      <c r="AS188" s="24" t="n">
        <f aca="false">AQ188-AR188</f>
        <v>28</v>
      </c>
      <c r="AT188" s="26" t="n">
        <f aca="false">SUMIFS(Permissions!$AJ$2:$AJ$3000,Permissions!$B$2:$B$3000,$A188,Permissions!$R$2:$R$3000,"Yes")</f>
        <v>3.9</v>
      </c>
      <c r="AU188" s="26" t="n">
        <f aca="false">SUMIFS(Permissions!$AK$2:$AK$3000,Permissions!$B$2:$B$3000,$A188,Permissions!$R$2:$R$3000,"Yes")</f>
        <v>24.1</v>
      </c>
      <c r="AV188" s="26" t="n">
        <f aca="false">SUMIFS(Permissions!$AL$2:$AL$3000,Permissions!$B$2:$B$3000,$A188,Permissions!$R$2:$R$3000,"Yes")</f>
        <v>0</v>
      </c>
      <c r="AW188" s="26" t="n">
        <f aca="false">SUMIFS(Permissions!$AM$2:$AM$3000,Permissions!$B$2:$B$3000,$A188,Permissions!$R$2:$R$3000,"Yes")</f>
        <v>0</v>
      </c>
      <c r="AX188" s="26" t="n">
        <f aca="false">SUMIFS(Permissions!$AN$2:$AN$3000,Permissions!$B$2:$B$3000,$A188,Permissions!$R$2:$R$3000,"Yes")</f>
        <v>0</v>
      </c>
      <c r="AY188" s="26" t="n">
        <f aca="false">SUMIFS(Permissions!$AO$2:$AO$3000,Permissions!$B$2:$B$3000,$A188,Permissions!$R$2:$R$3000,"Yes")</f>
        <v>0</v>
      </c>
      <c r="AZ188" s="24" t="n">
        <f aca="false">COUNTIFS(Permissions!$B$2:$B$3000,$A188,Permissions!$R$2:$R$3000,"Yes")</f>
        <v>1</v>
      </c>
      <c r="BA188" s="24" t="n">
        <f aca="false">SUMIFS(Permissions!$M$2:$M$3000,Permissions!$B$2:$B$3000,$A188,Permissions!$R$2:$R$3000,"Yes")</f>
        <v>0</v>
      </c>
      <c r="BB188" s="24" t="n">
        <f aca="false">SUMIFS(Permissions!$O$2:$O$3000,Permissions!$B$2:$B$3000,$A188,Permissions!$R$2:$R$3000,"Yes")</f>
        <v>0</v>
      </c>
      <c r="BC188" s="27" t="str">
        <f aca="false">IF(AND(AM188&gt;0,AR188&gt;=AM188,AP188=0),"Finished",IF(AR188&gt;0,"Partly built",IF(AM188&gt;0,"Consented – not built","No consent")))</f>
        <v>Consented – not built</v>
      </c>
      <c r="BD188" s="28" t="str">
        <f aca="false">IF(AND(R188&lt;&gt;"",AM188&gt;1.1*R188),"Consented above capacity",IF(AND(LEFT(B188,8)="Planning",AZ188=0),"Consent parcel with no permission",IF(COUNTIF($A$2:$A$3000,$A188)&gt;1,"Duplicate parcel_id","")))</f>
        <v/>
      </c>
    </row>
    <row r="189" customFormat="false" ht="15" hidden="false" customHeight="false" outlineLevel="0" collapsed="false">
      <c r="A189" s="15" t="s">
        <v>483</v>
      </c>
      <c r="B189" s="15" t="s">
        <v>12</v>
      </c>
      <c r="C189" s="15" t="s">
        <v>16</v>
      </c>
      <c r="D189" s="15" t="s">
        <v>51</v>
      </c>
      <c r="E189" s="15" t="s">
        <v>19</v>
      </c>
      <c r="F189" s="15" t="n">
        <v>1</v>
      </c>
      <c r="G189" s="15" t="s">
        <v>158</v>
      </c>
      <c r="H189" s="15"/>
      <c r="I189" s="15" t="s">
        <v>51</v>
      </c>
      <c r="J189" s="15" t="s">
        <v>182</v>
      </c>
      <c r="K189" s="15" t="s">
        <v>484</v>
      </c>
      <c r="L189" s="15"/>
      <c r="M189" s="15"/>
      <c r="N189" s="15"/>
      <c r="O189" s="15"/>
      <c r="P189" s="15" t="n">
        <v>0.196</v>
      </c>
      <c r="Q189" s="15" t="n">
        <v>0.196</v>
      </c>
      <c r="R189" s="15" t="n">
        <v>6</v>
      </c>
      <c r="S189" s="15" t="s">
        <v>485</v>
      </c>
      <c r="T189" s="15" t="n">
        <v>7</v>
      </c>
      <c r="U189" s="15"/>
      <c r="V189" s="15"/>
      <c r="W189" s="15"/>
      <c r="X189" s="15" t="s">
        <v>165</v>
      </c>
      <c r="Y189" s="15" t="n">
        <v>34</v>
      </c>
      <c r="Z189" s="15" t="s">
        <v>166</v>
      </c>
      <c r="AA189" s="15"/>
      <c r="AB189" s="15" t="n">
        <v>0</v>
      </c>
      <c r="AC189" s="15" t="n">
        <v>0</v>
      </c>
      <c r="AD189" s="15"/>
      <c r="AE189" s="15" t="s">
        <v>486</v>
      </c>
      <c r="AF189" s="15" t="s">
        <v>169</v>
      </c>
      <c r="AG189" s="15"/>
      <c r="AH189" s="24" t="n">
        <f aca="false">IF(R189="",AM189,R189)</f>
        <v>6</v>
      </c>
      <c r="AI189" s="24" t="n">
        <f aca="false">SUMIFS(Permissions!$G$2:$G$3000,Permissions!$B$2:$B$3000,$A189,Permissions!$I$2:$I$3000,"Complete",Permissions!$R$2:$R$3000,"Yes")</f>
        <v>0</v>
      </c>
      <c r="AJ189" s="24" t="n">
        <f aca="false">SUMIFS(Permissions!$G$2:$G$3000,Permissions!$B$2:$B$3000,$A189,Permissions!$I$2:$I$3000,"Under construction",Permissions!$R$2:$R$3000,"Yes")</f>
        <v>0</v>
      </c>
      <c r="AK189" s="24" t="n">
        <f aca="false">SUMIFS(Permissions!$G$2:$G$3000,Permissions!$B$2:$B$3000,$A189,Permissions!$I$2:$I$3000,"Permitted – not started",Permissions!$R$2:$R$3000,"Yes")</f>
        <v>0</v>
      </c>
      <c r="AL189" s="24" t="n">
        <f aca="false">SUMIFS(Permissions!$G$2:$G$3000,Permissions!$B$2:$B$3000,$A189,Permissions!$I$2:$I$3000,"Stalled",Permissions!$R$2:$R$3000,"Yes")</f>
        <v>0</v>
      </c>
      <c r="AM189" s="24" t="n">
        <f aca="false">AI189+AJ189+AK189+AL189</f>
        <v>0</v>
      </c>
      <c r="AN189" s="24" t="n">
        <f aca="false">SUMIFS(Permissions!$G$2:$G$3000,Permissions!$B$2:$B$3000,$A189,Permissions!$I$2:$I$3000,"Expired – not started",Permissions!$R$2:$R$3000,"Yes")</f>
        <v>0</v>
      </c>
      <c r="AO189" s="24" t="n">
        <f aca="false">SUMIFS(Permissions!$G$2:$G$3000,Permissions!$B$2:$B$3000,$A189,Permissions!$I$2:$I$3000,"In planning",Permissions!$R$2:$R$3000,"Yes")</f>
        <v>6</v>
      </c>
      <c r="AP189" s="24" t="n">
        <f aca="false">IF(R189="",0,MAX(R189-AM189,0))</f>
        <v>6</v>
      </c>
      <c r="AQ189" s="25" t="n">
        <f aca="false">AM189+AP189</f>
        <v>6</v>
      </c>
      <c r="AR189" s="24" t="n">
        <f aca="false">SUMIFS(Permissions!$L$2:$L$3000,Permissions!$B$2:$B$3000,$A189,Permissions!$R$2:$R$3000,"Yes",Permissions!$I$2:$I$3000,"&lt;&gt;Expired – not started",Permissions!$I$2:$I$3000,"&lt;&gt;In planning")</f>
        <v>0</v>
      </c>
      <c r="AS189" s="24" t="n">
        <f aca="false">AQ189-AR189</f>
        <v>6</v>
      </c>
      <c r="AT189" s="26" t="n">
        <f aca="false">SUMIFS(Permissions!$AJ$2:$AJ$3000,Permissions!$B$2:$B$3000,$A189,Permissions!$R$2:$R$3000,"Yes")</f>
        <v>0</v>
      </c>
      <c r="AU189" s="26" t="n">
        <f aca="false">SUMIFS(Permissions!$AK$2:$AK$3000,Permissions!$B$2:$B$3000,$A189,Permissions!$R$2:$R$3000,"Yes")</f>
        <v>0</v>
      </c>
      <c r="AV189" s="26" t="n">
        <f aca="false">SUMIFS(Permissions!$AL$2:$AL$3000,Permissions!$B$2:$B$3000,$A189,Permissions!$R$2:$R$3000,"Yes")</f>
        <v>0</v>
      </c>
      <c r="AW189" s="26" t="n">
        <f aca="false">SUMIFS(Permissions!$AM$2:$AM$3000,Permissions!$B$2:$B$3000,$A189,Permissions!$R$2:$R$3000,"Yes")</f>
        <v>0</v>
      </c>
      <c r="AX189" s="26" t="n">
        <f aca="false">SUMIFS(Permissions!$AN$2:$AN$3000,Permissions!$B$2:$B$3000,$A189,Permissions!$R$2:$R$3000,"Yes")</f>
        <v>0</v>
      </c>
      <c r="AY189" s="26" t="n">
        <f aca="false">SUMIFS(Permissions!$AO$2:$AO$3000,Permissions!$B$2:$B$3000,$A189,Permissions!$R$2:$R$3000,"Yes")</f>
        <v>0</v>
      </c>
      <c r="AZ189" s="24" t="n">
        <f aca="false">COUNTIFS(Permissions!$B$2:$B$3000,$A189,Permissions!$R$2:$R$3000,"Yes")</f>
        <v>1</v>
      </c>
      <c r="BA189" s="24" t="n">
        <f aca="false">SUMIFS(Permissions!$M$2:$M$3000,Permissions!$B$2:$B$3000,$A189,Permissions!$R$2:$R$3000,"Yes")</f>
        <v>0</v>
      </c>
      <c r="BB189" s="24" t="n">
        <f aca="false">SUMIFS(Permissions!$O$2:$O$3000,Permissions!$B$2:$B$3000,$A189,Permissions!$R$2:$R$3000,"Yes")</f>
        <v>0</v>
      </c>
      <c r="BC189" s="27" t="str">
        <f aca="false">IF(AND(AM189&gt;0,AR189&gt;=AM189,AP189=0),"Finished",IF(AR189&gt;0,"Partly built",IF(AM189&gt;0,"Consented – not built","No consent")))</f>
        <v>No consent</v>
      </c>
      <c r="BD189" s="28" t="str">
        <f aca="false">IF(AND(R189&lt;&gt;"",AM189&gt;1.1*R189),"Consented above capacity",IF(AND(LEFT(B189,8)="Planning",AZ189=0),"Consent parcel with no permission",IF(COUNTIF($A$2:$A$3000,$A189)&gt;1,"Duplicate parcel_id","")))</f>
        <v/>
      </c>
    </row>
    <row r="190" customFormat="false" ht="15" hidden="false" customHeight="false" outlineLevel="0" collapsed="false">
      <c r="A190" s="15" t="s">
        <v>487</v>
      </c>
      <c r="B190" s="15" t="s">
        <v>12</v>
      </c>
      <c r="C190" s="15" t="s">
        <v>16</v>
      </c>
      <c r="D190" s="15" t="s">
        <v>51</v>
      </c>
      <c r="E190" s="15" t="s">
        <v>19</v>
      </c>
      <c r="F190" s="15" t="n">
        <v>1</v>
      </c>
      <c r="G190" s="15" t="s">
        <v>158</v>
      </c>
      <c r="H190" s="15"/>
      <c r="I190" s="15" t="s">
        <v>51</v>
      </c>
      <c r="J190" s="15" t="s">
        <v>182</v>
      </c>
      <c r="K190" s="15" t="s">
        <v>488</v>
      </c>
      <c r="L190" s="15"/>
      <c r="M190" s="15"/>
      <c r="N190" s="15"/>
      <c r="O190" s="15"/>
      <c r="P190" s="15" t="n">
        <v>0.196</v>
      </c>
      <c r="Q190" s="15" t="n">
        <v>0.196</v>
      </c>
      <c r="R190" s="15"/>
      <c r="S190" s="15" t="s">
        <v>459</v>
      </c>
      <c r="T190" s="15" t="n">
        <v>7</v>
      </c>
      <c r="U190" s="15"/>
      <c r="V190" s="15"/>
      <c r="W190" s="15"/>
      <c r="X190" s="15" t="s">
        <v>165</v>
      </c>
      <c r="Y190" s="15" t="n">
        <v>34</v>
      </c>
      <c r="Z190" s="15" t="s">
        <v>166</v>
      </c>
      <c r="AA190" s="15"/>
      <c r="AB190" s="15" t="n">
        <v>2</v>
      </c>
      <c r="AC190" s="15" t="n">
        <v>0</v>
      </c>
      <c r="AD190" s="15"/>
      <c r="AE190" s="15" t="s">
        <v>486</v>
      </c>
      <c r="AF190" s="15" t="s">
        <v>169</v>
      </c>
      <c r="AG190" s="15"/>
      <c r="AH190" s="24" t="n">
        <f aca="false">IF(R190="",AM190,R190)</f>
        <v>6</v>
      </c>
      <c r="AI190" s="24" t="n">
        <f aca="false">SUMIFS(Permissions!$G$2:$G$3000,Permissions!$B$2:$B$3000,$A190,Permissions!$I$2:$I$3000,"Complete",Permissions!$R$2:$R$3000,"Yes")</f>
        <v>6</v>
      </c>
      <c r="AJ190" s="24" t="n">
        <f aca="false">SUMIFS(Permissions!$G$2:$G$3000,Permissions!$B$2:$B$3000,$A190,Permissions!$I$2:$I$3000,"Under construction",Permissions!$R$2:$R$3000,"Yes")</f>
        <v>0</v>
      </c>
      <c r="AK190" s="24" t="n">
        <f aca="false">SUMIFS(Permissions!$G$2:$G$3000,Permissions!$B$2:$B$3000,$A190,Permissions!$I$2:$I$3000,"Permitted – not started",Permissions!$R$2:$R$3000,"Yes")</f>
        <v>0</v>
      </c>
      <c r="AL190" s="24" t="n">
        <f aca="false">SUMIFS(Permissions!$G$2:$G$3000,Permissions!$B$2:$B$3000,$A190,Permissions!$I$2:$I$3000,"Stalled",Permissions!$R$2:$R$3000,"Yes")</f>
        <v>0</v>
      </c>
      <c r="AM190" s="24" t="n">
        <f aca="false">AI190+AJ190+AK190+AL190</f>
        <v>6</v>
      </c>
      <c r="AN190" s="24" t="n">
        <f aca="false">SUMIFS(Permissions!$G$2:$G$3000,Permissions!$B$2:$B$3000,$A190,Permissions!$I$2:$I$3000,"Expired – not started",Permissions!$R$2:$R$3000,"Yes")</f>
        <v>0</v>
      </c>
      <c r="AO190" s="24" t="n">
        <f aca="false">SUMIFS(Permissions!$G$2:$G$3000,Permissions!$B$2:$B$3000,$A190,Permissions!$I$2:$I$3000,"In planning",Permissions!$R$2:$R$3000,"Yes")</f>
        <v>0</v>
      </c>
      <c r="AP190" s="24" t="n">
        <f aca="false">IF(R190="",0,MAX(R190-AM190,0))</f>
        <v>0</v>
      </c>
      <c r="AQ190" s="25" t="n">
        <f aca="false">AM190+AP190</f>
        <v>6</v>
      </c>
      <c r="AR190" s="24" t="n">
        <f aca="false">SUMIFS(Permissions!$L$2:$L$3000,Permissions!$B$2:$B$3000,$A190,Permissions!$R$2:$R$3000,"Yes",Permissions!$I$2:$I$3000,"&lt;&gt;Expired – not started",Permissions!$I$2:$I$3000,"&lt;&gt;In planning")</f>
        <v>6</v>
      </c>
      <c r="AS190" s="24" t="n">
        <f aca="false">AQ190-AR190</f>
        <v>0</v>
      </c>
      <c r="AT190" s="26" t="n">
        <f aca="false">SUMIFS(Permissions!$AJ$2:$AJ$3000,Permissions!$B$2:$B$3000,$A190,Permissions!$R$2:$R$3000,"Yes")</f>
        <v>0</v>
      </c>
      <c r="AU190" s="26" t="n">
        <f aca="false">SUMIFS(Permissions!$AK$2:$AK$3000,Permissions!$B$2:$B$3000,$A190,Permissions!$R$2:$R$3000,"Yes")</f>
        <v>0</v>
      </c>
      <c r="AV190" s="26" t="n">
        <f aca="false">SUMIFS(Permissions!$AL$2:$AL$3000,Permissions!$B$2:$B$3000,$A190,Permissions!$R$2:$R$3000,"Yes")</f>
        <v>0</v>
      </c>
      <c r="AW190" s="26" t="n">
        <f aca="false">SUMIFS(Permissions!$AM$2:$AM$3000,Permissions!$B$2:$B$3000,$A190,Permissions!$R$2:$R$3000,"Yes")</f>
        <v>0</v>
      </c>
      <c r="AX190" s="26" t="n">
        <f aca="false">SUMIFS(Permissions!$AN$2:$AN$3000,Permissions!$B$2:$B$3000,$A190,Permissions!$R$2:$R$3000,"Yes")</f>
        <v>0</v>
      </c>
      <c r="AY190" s="26" t="n">
        <f aca="false">SUMIFS(Permissions!$AO$2:$AO$3000,Permissions!$B$2:$B$3000,$A190,Permissions!$R$2:$R$3000,"Yes")</f>
        <v>0</v>
      </c>
      <c r="AZ190" s="24" t="n">
        <f aca="false">COUNTIFS(Permissions!$B$2:$B$3000,$A190,Permissions!$R$2:$R$3000,"Yes")</f>
        <v>1</v>
      </c>
      <c r="BA190" s="24" t="n">
        <f aca="false">SUMIFS(Permissions!$M$2:$M$3000,Permissions!$B$2:$B$3000,$A190,Permissions!$R$2:$R$3000,"Yes")</f>
        <v>0</v>
      </c>
      <c r="BB190" s="24" t="n">
        <f aca="false">SUMIFS(Permissions!$O$2:$O$3000,Permissions!$B$2:$B$3000,$A190,Permissions!$R$2:$R$3000,"Yes")</f>
        <v>0</v>
      </c>
      <c r="BC190" s="27" t="str">
        <f aca="false">IF(AND(AM190&gt;0,AR190&gt;=AM190,AP190=0),"Finished",IF(AR190&gt;0,"Partly built",IF(AM190&gt;0,"Consented – not built","No consent")))</f>
        <v>Finished</v>
      </c>
      <c r="BD190" s="28" t="str">
        <f aca="false">IF(AND(R190&lt;&gt;"",AM190&gt;1.1*R190),"Consented above capacity",IF(AND(LEFT(B190,8)="Planning",AZ190=0),"Consent parcel with no permission",IF(COUNTIF($A$2:$A$3000,$A190)&gt;1,"Duplicate parcel_id","")))</f>
        <v/>
      </c>
    </row>
    <row r="191" customFormat="false" ht="15" hidden="false" customHeight="false" outlineLevel="0" collapsed="false">
      <c r="A191" s="15" t="s">
        <v>489</v>
      </c>
      <c r="B191" s="15" t="s">
        <v>12</v>
      </c>
      <c r="C191" s="15" t="s">
        <v>16</v>
      </c>
      <c r="D191" s="15" t="s">
        <v>51</v>
      </c>
      <c r="E191" s="15" t="s">
        <v>19</v>
      </c>
      <c r="F191" s="15" t="n">
        <v>1</v>
      </c>
      <c r="G191" s="15" t="s">
        <v>158</v>
      </c>
      <c r="H191" s="15"/>
      <c r="I191" s="15" t="s">
        <v>51</v>
      </c>
      <c r="J191" s="15" t="s">
        <v>182</v>
      </c>
      <c r="K191" s="15" t="s">
        <v>490</v>
      </c>
      <c r="L191" s="15"/>
      <c r="M191" s="15"/>
      <c r="N191" s="15"/>
      <c r="O191" s="15"/>
      <c r="P191" s="15" t="n">
        <v>0.196</v>
      </c>
      <c r="Q191" s="15" t="n">
        <v>0.196</v>
      </c>
      <c r="R191" s="15" t="n">
        <v>7</v>
      </c>
      <c r="S191" s="15" t="s">
        <v>491</v>
      </c>
      <c r="T191" s="15" t="n">
        <v>7</v>
      </c>
      <c r="U191" s="15"/>
      <c r="V191" s="15"/>
      <c r="W191" s="15"/>
      <c r="X191" s="15" t="s">
        <v>165</v>
      </c>
      <c r="Y191" s="15" t="n">
        <v>34</v>
      </c>
      <c r="Z191" s="15" t="s">
        <v>304</v>
      </c>
      <c r="AA191" s="15"/>
      <c r="AB191" s="15" t="n">
        <v>2</v>
      </c>
      <c r="AC191" s="15" t="n">
        <v>0</v>
      </c>
      <c r="AD191" s="15"/>
      <c r="AE191" s="15" t="s">
        <v>492</v>
      </c>
      <c r="AF191" s="15" t="s">
        <v>169</v>
      </c>
      <c r="AG191" s="15"/>
      <c r="AH191" s="24" t="n">
        <f aca="false">IF(R191="",AM191,R191)</f>
        <v>7</v>
      </c>
      <c r="AI191" s="24" t="n">
        <f aca="false">SUMIFS(Permissions!$G$2:$G$3000,Permissions!$B$2:$B$3000,$A191,Permissions!$I$2:$I$3000,"Complete",Permissions!$R$2:$R$3000,"Yes")</f>
        <v>0</v>
      </c>
      <c r="AJ191" s="24" t="n">
        <f aca="false">SUMIFS(Permissions!$G$2:$G$3000,Permissions!$B$2:$B$3000,$A191,Permissions!$I$2:$I$3000,"Under construction",Permissions!$R$2:$R$3000,"Yes")</f>
        <v>0</v>
      </c>
      <c r="AK191" s="24" t="n">
        <f aca="false">SUMIFS(Permissions!$G$2:$G$3000,Permissions!$B$2:$B$3000,$A191,Permissions!$I$2:$I$3000,"Permitted – not started",Permissions!$R$2:$R$3000,"Yes")</f>
        <v>0</v>
      </c>
      <c r="AL191" s="24" t="n">
        <f aca="false">SUMIFS(Permissions!$G$2:$G$3000,Permissions!$B$2:$B$3000,$A191,Permissions!$I$2:$I$3000,"Stalled",Permissions!$R$2:$R$3000,"Yes")</f>
        <v>0</v>
      </c>
      <c r="AM191" s="24" t="n">
        <f aca="false">AI191+AJ191+AK191+AL191</f>
        <v>0</v>
      </c>
      <c r="AN191" s="24" t="n">
        <f aca="false">SUMIFS(Permissions!$G$2:$G$3000,Permissions!$B$2:$B$3000,$A191,Permissions!$I$2:$I$3000,"Expired – not started",Permissions!$R$2:$R$3000,"Yes")</f>
        <v>0</v>
      </c>
      <c r="AO191" s="24" t="n">
        <f aca="false">SUMIFS(Permissions!$G$2:$G$3000,Permissions!$B$2:$B$3000,$A191,Permissions!$I$2:$I$3000,"In planning",Permissions!$R$2:$R$3000,"Yes")</f>
        <v>0</v>
      </c>
      <c r="AP191" s="24" t="n">
        <f aca="false">IF(R191="",0,MAX(R191-AM191,0))</f>
        <v>7</v>
      </c>
      <c r="AQ191" s="25" t="n">
        <f aca="false">AM191+AP191</f>
        <v>7</v>
      </c>
      <c r="AR191" s="24" t="n">
        <f aca="false">SUMIFS(Permissions!$L$2:$L$3000,Permissions!$B$2:$B$3000,$A191,Permissions!$R$2:$R$3000,"Yes",Permissions!$I$2:$I$3000,"&lt;&gt;Expired – not started",Permissions!$I$2:$I$3000,"&lt;&gt;In planning")</f>
        <v>0</v>
      </c>
      <c r="AS191" s="24" t="n">
        <f aca="false">AQ191-AR191</f>
        <v>7</v>
      </c>
      <c r="AT191" s="26" t="n">
        <f aca="false">SUMIFS(Permissions!$AJ$2:$AJ$3000,Permissions!$B$2:$B$3000,$A191,Permissions!$R$2:$R$3000,"Yes")</f>
        <v>0</v>
      </c>
      <c r="AU191" s="26" t="n">
        <f aca="false">SUMIFS(Permissions!$AK$2:$AK$3000,Permissions!$B$2:$B$3000,$A191,Permissions!$R$2:$R$3000,"Yes")</f>
        <v>0</v>
      </c>
      <c r="AV191" s="26" t="n">
        <f aca="false">SUMIFS(Permissions!$AL$2:$AL$3000,Permissions!$B$2:$B$3000,$A191,Permissions!$R$2:$R$3000,"Yes")</f>
        <v>0</v>
      </c>
      <c r="AW191" s="26" t="n">
        <f aca="false">SUMIFS(Permissions!$AM$2:$AM$3000,Permissions!$B$2:$B$3000,$A191,Permissions!$R$2:$R$3000,"Yes")</f>
        <v>0</v>
      </c>
      <c r="AX191" s="26" t="n">
        <f aca="false">SUMIFS(Permissions!$AN$2:$AN$3000,Permissions!$B$2:$B$3000,$A191,Permissions!$R$2:$R$3000,"Yes")</f>
        <v>0</v>
      </c>
      <c r="AY191" s="26" t="n">
        <f aca="false">SUMIFS(Permissions!$AO$2:$AO$3000,Permissions!$B$2:$B$3000,$A191,Permissions!$R$2:$R$3000,"Yes")</f>
        <v>0</v>
      </c>
      <c r="AZ191" s="24" t="n">
        <f aca="false">COUNTIFS(Permissions!$B$2:$B$3000,$A191,Permissions!$R$2:$R$3000,"Yes")</f>
        <v>1</v>
      </c>
      <c r="BA191" s="24" t="n">
        <f aca="false">SUMIFS(Permissions!$M$2:$M$3000,Permissions!$B$2:$B$3000,$A191,Permissions!$R$2:$R$3000,"Yes")</f>
        <v>0</v>
      </c>
      <c r="BB191" s="24" t="n">
        <f aca="false">SUMIFS(Permissions!$O$2:$O$3000,Permissions!$B$2:$B$3000,$A191,Permissions!$R$2:$R$3000,"Yes")</f>
        <v>0</v>
      </c>
      <c r="BC191" s="27" t="str">
        <f aca="false">IF(AND(AM191&gt;0,AR191&gt;=AM191,AP191=0),"Finished",IF(AR191&gt;0,"Partly built",IF(AM191&gt;0,"Consented – not built","No consent")))</f>
        <v>No consent</v>
      </c>
      <c r="BD191" s="28" t="str">
        <f aca="false">IF(AND(R191&lt;&gt;"",AM191&gt;1.1*R191),"Consented above capacity",IF(AND(LEFT(B191,8)="Planning",AZ191=0),"Consent parcel with no permission",IF(COUNTIF($A$2:$A$3000,$A191)&gt;1,"Duplicate parcel_id","")))</f>
        <v/>
      </c>
    </row>
    <row r="192" customFormat="false" ht="15" hidden="false" customHeight="false" outlineLevel="0" collapsed="false">
      <c r="A192" s="15" t="s">
        <v>493</v>
      </c>
      <c r="B192" s="15" t="s">
        <v>12</v>
      </c>
      <c r="C192" s="15" t="s">
        <v>16</v>
      </c>
      <c r="D192" s="15" t="s">
        <v>51</v>
      </c>
      <c r="E192" s="15" t="s">
        <v>19</v>
      </c>
      <c r="F192" s="15" t="n">
        <v>1</v>
      </c>
      <c r="G192" s="15" t="s">
        <v>158</v>
      </c>
      <c r="H192" s="15"/>
      <c r="I192" s="15" t="s">
        <v>51</v>
      </c>
      <c r="J192" s="15" t="s">
        <v>182</v>
      </c>
      <c r="K192" s="15" t="s">
        <v>494</v>
      </c>
      <c r="L192" s="15"/>
      <c r="M192" s="15"/>
      <c r="N192" s="15"/>
      <c r="O192" s="15"/>
      <c r="P192" s="15" t="n">
        <v>0.453</v>
      </c>
      <c r="Q192" s="15" t="n">
        <v>0.453</v>
      </c>
      <c r="R192" s="15" t="n">
        <v>22</v>
      </c>
      <c r="S192" s="15" t="s">
        <v>485</v>
      </c>
      <c r="T192" s="15" t="n">
        <v>15</v>
      </c>
      <c r="U192" s="15"/>
      <c r="V192" s="15"/>
      <c r="W192" s="15"/>
      <c r="X192" s="15" t="s">
        <v>165</v>
      </c>
      <c r="Y192" s="15" t="n">
        <v>34</v>
      </c>
      <c r="Z192" s="15" t="s">
        <v>166</v>
      </c>
      <c r="AA192" s="15"/>
      <c r="AB192" s="15" t="n">
        <v>2</v>
      </c>
      <c r="AC192" s="15" t="n">
        <v>0</v>
      </c>
      <c r="AD192" s="15"/>
      <c r="AE192" s="15"/>
      <c r="AF192" s="15" t="s">
        <v>169</v>
      </c>
      <c r="AG192" s="15"/>
      <c r="AH192" s="24" t="n">
        <f aca="false">IF(R192="",AM192,R192)</f>
        <v>22</v>
      </c>
      <c r="AI192" s="24" t="n">
        <f aca="false">SUMIFS(Permissions!$G$2:$G$3000,Permissions!$B$2:$B$3000,$A192,Permissions!$I$2:$I$3000,"Complete",Permissions!$R$2:$R$3000,"Yes")</f>
        <v>0</v>
      </c>
      <c r="AJ192" s="24" t="n">
        <f aca="false">SUMIFS(Permissions!$G$2:$G$3000,Permissions!$B$2:$B$3000,$A192,Permissions!$I$2:$I$3000,"Under construction",Permissions!$R$2:$R$3000,"Yes")</f>
        <v>0</v>
      </c>
      <c r="AK192" s="24" t="n">
        <f aca="false">SUMIFS(Permissions!$G$2:$G$3000,Permissions!$B$2:$B$3000,$A192,Permissions!$I$2:$I$3000,"Permitted – not started",Permissions!$R$2:$R$3000,"Yes")</f>
        <v>0</v>
      </c>
      <c r="AL192" s="24" t="n">
        <f aca="false">SUMIFS(Permissions!$G$2:$G$3000,Permissions!$B$2:$B$3000,$A192,Permissions!$I$2:$I$3000,"Stalled",Permissions!$R$2:$R$3000,"Yes")</f>
        <v>0</v>
      </c>
      <c r="AM192" s="24" t="n">
        <f aca="false">AI192+AJ192+AK192+AL192</f>
        <v>0</v>
      </c>
      <c r="AN192" s="24" t="n">
        <f aca="false">SUMIFS(Permissions!$G$2:$G$3000,Permissions!$B$2:$B$3000,$A192,Permissions!$I$2:$I$3000,"Expired – not started",Permissions!$R$2:$R$3000,"Yes")</f>
        <v>0</v>
      </c>
      <c r="AO192" s="24" t="n">
        <f aca="false">SUMIFS(Permissions!$G$2:$G$3000,Permissions!$B$2:$B$3000,$A192,Permissions!$I$2:$I$3000,"In planning",Permissions!$R$2:$R$3000,"Yes")</f>
        <v>22</v>
      </c>
      <c r="AP192" s="24" t="n">
        <f aca="false">IF(R192="",0,MAX(R192-AM192,0))</f>
        <v>22</v>
      </c>
      <c r="AQ192" s="25" t="n">
        <f aca="false">AM192+AP192</f>
        <v>22</v>
      </c>
      <c r="AR192" s="24" t="n">
        <f aca="false">SUMIFS(Permissions!$L$2:$L$3000,Permissions!$B$2:$B$3000,$A192,Permissions!$R$2:$R$3000,"Yes",Permissions!$I$2:$I$3000,"&lt;&gt;Expired – not started",Permissions!$I$2:$I$3000,"&lt;&gt;In planning")</f>
        <v>0</v>
      </c>
      <c r="AS192" s="24" t="n">
        <f aca="false">AQ192-AR192</f>
        <v>22</v>
      </c>
      <c r="AT192" s="26" t="n">
        <f aca="false">SUMIFS(Permissions!$AJ$2:$AJ$3000,Permissions!$B$2:$B$3000,$A192,Permissions!$R$2:$R$3000,"Yes")</f>
        <v>0</v>
      </c>
      <c r="AU192" s="26" t="n">
        <f aca="false">SUMIFS(Permissions!$AK$2:$AK$3000,Permissions!$B$2:$B$3000,$A192,Permissions!$R$2:$R$3000,"Yes")</f>
        <v>0</v>
      </c>
      <c r="AV192" s="26" t="n">
        <f aca="false">SUMIFS(Permissions!$AL$2:$AL$3000,Permissions!$B$2:$B$3000,$A192,Permissions!$R$2:$R$3000,"Yes")</f>
        <v>0</v>
      </c>
      <c r="AW192" s="26" t="n">
        <f aca="false">SUMIFS(Permissions!$AM$2:$AM$3000,Permissions!$B$2:$B$3000,$A192,Permissions!$R$2:$R$3000,"Yes")</f>
        <v>0</v>
      </c>
      <c r="AX192" s="26" t="n">
        <f aca="false">SUMIFS(Permissions!$AN$2:$AN$3000,Permissions!$B$2:$B$3000,$A192,Permissions!$R$2:$R$3000,"Yes")</f>
        <v>0</v>
      </c>
      <c r="AY192" s="26" t="n">
        <f aca="false">SUMIFS(Permissions!$AO$2:$AO$3000,Permissions!$B$2:$B$3000,$A192,Permissions!$R$2:$R$3000,"Yes")</f>
        <v>0</v>
      </c>
      <c r="AZ192" s="24" t="n">
        <f aca="false">COUNTIFS(Permissions!$B$2:$B$3000,$A192,Permissions!$R$2:$R$3000,"Yes")</f>
        <v>1</v>
      </c>
      <c r="BA192" s="24" t="n">
        <f aca="false">SUMIFS(Permissions!$M$2:$M$3000,Permissions!$B$2:$B$3000,$A192,Permissions!$R$2:$R$3000,"Yes")</f>
        <v>0</v>
      </c>
      <c r="BB192" s="24" t="n">
        <f aca="false">SUMIFS(Permissions!$O$2:$O$3000,Permissions!$B$2:$B$3000,$A192,Permissions!$R$2:$R$3000,"Yes")</f>
        <v>0</v>
      </c>
      <c r="BC192" s="27" t="str">
        <f aca="false">IF(AND(AM192&gt;0,AR192&gt;=AM192,AP192=0),"Finished",IF(AR192&gt;0,"Partly built",IF(AM192&gt;0,"Consented – not built","No consent")))</f>
        <v>No consent</v>
      </c>
      <c r="BD192" s="28" t="str">
        <f aca="false">IF(AND(R192&lt;&gt;"",AM192&gt;1.1*R192),"Consented above capacity",IF(AND(LEFT(B192,8)="Planning",AZ192=0),"Consent parcel with no permission",IF(COUNTIF($A$2:$A$3000,$A192)&gt;1,"Duplicate parcel_id","")))</f>
        <v/>
      </c>
    </row>
    <row r="193" customFormat="false" ht="15" hidden="false" customHeight="false" outlineLevel="0" collapsed="false">
      <c r="A193" s="15" t="s">
        <v>495</v>
      </c>
      <c r="B193" s="15" t="s">
        <v>12</v>
      </c>
      <c r="C193" s="15" t="s">
        <v>16</v>
      </c>
      <c r="D193" s="15" t="s">
        <v>51</v>
      </c>
      <c r="E193" s="15" t="s">
        <v>19</v>
      </c>
      <c r="F193" s="15" t="n">
        <v>1</v>
      </c>
      <c r="G193" s="15" t="s">
        <v>158</v>
      </c>
      <c r="H193" s="15"/>
      <c r="I193" s="15" t="s">
        <v>51</v>
      </c>
      <c r="J193" s="15" t="s">
        <v>182</v>
      </c>
      <c r="K193" s="15" t="s">
        <v>496</v>
      </c>
      <c r="L193" s="15"/>
      <c r="M193" s="15"/>
      <c r="N193" s="15"/>
      <c r="O193" s="15"/>
      <c r="P193" s="15" t="n">
        <v>0.143</v>
      </c>
      <c r="Q193" s="15" t="n">
        <v>0.143</v>
      </c>
      <c r="R193" s="15"/>
      <c r="S193" s="15" t="s">
        <v>459</v>
      </c>
      <c r="T193" s="15" t="n">
        <v>5</v>
      </c>
      <c r="U193" s="15"/>
      <c r="V193" s="15"/>
      <c r="W193" s="15"/>
      <c r="X193" s="15" t="s">
        <v>165</v>
      </c>
      <c r="Y193" s="15" t="n">
        <v>34</v>
      </c>
      <c r="Z193" s="15" t="s">
        <v>166</v>
      </c>
      <c r="AA193" s="15"/>
      <c r="AB193" s="15" t="n">
        <v>0</v>
      </c>
      <c r="AC193" s="15" t="n">
        <v>0</v>
      </c>
      <c r="AD193" s="15"/>
      <c r="AE193" s="15" t="s">
        <v>492</v>
      </c>
      <c r="AF193" s="15" t="s">
        <v>169</v>
      </c>
      <c r="AG193" s="15"/>
      <c r="AH193" s="24" t="n">
        <f aca="false">IF(R193="",AM193,R193)</f>
        <v>38</v>
      </c>
      <c r="AI193" s="24" t="n">
        <f aca="false">SUMIFS(Permissions!$G$2:$G$3000,Permissions!$B$2:$B$3000,$A193,Permissions!$I$2:$I$3000,"Complete",Permissions!$R$2:$R$3000,"Yes")</f>
        <v>0</v>
      </c>
      <c r="AJ193" s="24" t="n">
        <f aca="false">SUMIFS(Permissions!$G$2:$G$3000,Permissions!$B$2:$B$3000,$A193,Permissions!$I$2:$I$3000,"Under construction",Permissions!$R$2:$R$3000,"Yes")</f>
        <v>38</v>
      </c>
      <c r="AK193" s="24" t="n">
        <f aca="false">SUMIFS(Permissions!$G$2:$G$3000,Permissions!$B$2:$B$3000,$A193,Permissions!$I$2:$I$3000,"Permitted – not started",Permissions!$R$2:$R$3000,"Yes")</f>
        <v>0</v>
      </c>
      <c r="AL193" s="24" t="n">
        <f aca="false">SUMIFS(Permissions!$G$2:$G$3000,Permissions!$B$2:$B$3000,$A193,Permissions!$I$2:$I$3000,"Stalled",Permissions!$R$2:$R$3000,"Yes")</f>
        <v>0</v>
      </c>
      <c r="AM193" s="24" t="n">
        <f aca="false">AI193+AJ193+AK193+AL193</f>
        <v>38</v>
      </c>
      <c r="AN193" s="24" t="n">
        <f aca="false">SUMIFS(Permissions!$G$2:$G$3000,Permissions!$B$2:$B$3000,$A193,Permissions!$I$2:$I$3000,"Expired – not started",Permissions!$R$2:$R$3000,"Yes")</f>
        <v>0</v>
      </c>
      <c r="AO193" s="24" t="n">
        <f aca="false">SUMIFS(Permissions!$G$2:$G$3000,Permissions!$B$2:$B$3000,$A193,Permissions!$I$2:$I$3000,"In planning",Permissions!$R$2:$R$3000,"Yes")</f>
        <v>0</v>
      </c>
      <c r="AP193" s="24" t="n">
        <f aca="false">IF(R193="",0,MAX(R193-AM193,0))</f>
        <v>0</v>
      </c>
      <c r="AQ193" s="25" t="n">
        <f aca="false">AM193+AP193</f>
        <v>38</v>
      </c>
      <c r="AR193" s="24" t="n">
        <f aca="false">SUMIFS(Permissions!$L$2:$L$3000,Permissions!$B$2:$B$3000,$A193,Permissions!$R$2:$R$3000,"Yes",Permissions!$I$2:$I$3000,"&lt;&gt;Expired – not started",Permissions!$I$2:$I$3000,"&lt;&gt;In planning")</f>
        <v>0</v>
      </c>
      <c r="AS193" s="24" t="n">
        <f aca="false">AQ193-AR193</f>
        <v>38</v>
      </c>
      <c r="AT193" s="26" t="n">
        <f aca="false">SUMIFS(Permissions!$AJ$2:$AJ$3000,Permissions!$B$2:$B$3000,$A193,Permissions!$R$2:$R$3000,"Yes")</f>
        <v>8.8</v>
      </c>
      <c r="AU193" s="26" t="n">
        <f aca="false">SUMIFS(Permissions!$AK$2:$AK$3000,Permissions!$B$2:$B$3000,$A193,Permissions!$R$2:$R$3000,"Yes")</f>
        <v>29.2</v>
      </c>
      <c r="AV193" s="26" t="n">
        <f aca="false">SUMIFS(Permissions!$AL$2:$AL$3000,Permissions!$B$2:$B$3000,$A193,Permissions!$R$2:$R$3000,"Yes")</f>
        <v>0</v>
      </c>
      <c r="AW193" s="26" t="n">
        <f aca="false">SUMIFS(Permissions!$AM$2:$AM$3000,Permissions!$B$2:$B$3000,$A193,Permissions!$R$2:$R$3000,"Yes")</f>
        <v>0</v>
      </c>
      <c r="AX193" s="26" t="n">
        <f aca="false">SUMIFS(Permissions!$AN$2:$AN$3000,Permissions!$B$2:$B$3000,$A193,Permissions!$R$2:$R$3000,"Yes")</f>
        <v>0</v>
      </c>
      <c r="AY193" s="26" t="n">
        <f aca="false">SUMIFS(Permissions!$AO$2:$AO$3000,Permissions!$B$2:$B$3000,$A193,Permissions!$R$2:$R$3000,"Yes")</f>
        <v>0</v>
      </c>
      <c r="AZ193" s="24" t="n">
        <f aca="false">COUNTIFS(Permissions!$B$2:$B$3000,$A193,Permissions!$R$2:$R$3000,"Yes")</f>
        <v>1</v>
      </c>
      <c r="BA193" s="24" t="n">
        <f aca="false">SUMIFS(Permissions!$M$2:$M$3000,Permissions!$B$2:$B$3000,$A193,Permissions!$R$2:$R$3000,"Yes")</f>
        <v>0</v>
      </c>
      <c r="BB193" s="24" t="n">
        <f aca="false">SUMIFS(Permissions!$O$2:$O$3000,Permissions!$B$2:$B$3000,$A193,Permissions!$R$2:$R$3000,"Yes")</f>
        <v>0</v>
      </c>
      <c r="BC193" s="27" t="str">
        <f aca="false">IF(AND(AM193&gt;0,AR193&gt;=AM193,AP193=0),"Finished",IF(AR193&gt;0,"Partly built",IF(AM193&gt;0,"Consented – not built","No consent")))</f>
        <v>Consented – not built</v>
      </c>
      <c r="BD193" s="28" t="str">
        <f aca="false">IF(AND(R193&lt;&gt;"",AM193&gt;1.1*R193),"Consented above capacity",IF(AND(LEFT(B193,8)="Planning",AZ193=0),"Consent parcel with no permission",IF(COUNTIF($A$2:$A$3000,$A193)&gt;1,"Duplicate parcel_id","")))</f>
        <v/>
      </c>
    </row>
    <row r="194" customFormat="false" ht="15" hidden="false" customHeight="false" outlineLevel="0" collapsed="false">
      <c r="A194" s="15" t="s">
        <v>497</v>
      </c>
      <c r="B194" s="15" t="s">
        <v>12</v>
      </c>
      <c r="C194" s="15" t="s">
        <v>16</v>
      </c>
      <c r="D194" s="15" t="s">
        <v>52</v>
      </c>
      <c r="E194" s="15" t="s">
        <v>19</v>
      </c>
      <c r="F194" s="15" t="n">
        <v>1</v>
      </c>
      <c r="G194" s="15" t="s">
        <v>158</v>
      </c>
      <c r="H194" s="15"/>
      <c r="I194" s="15" t="s">
        <v>52</v>
      </c>
      <c r="J194" s="15" t="s">
        <v>211</v>
      </c>
      <c r="K194" s="15" t="s">
        <v>498</v>
      </c>
      <c r="L194" s="15"/>
      <c r="M194" s="15"/>
      <c r="N194" s="15"/>
      <c r="O194" s="15"/>
      <c r="P194" s="15" t="n">
        <v>3.468</v>
      </c>
      <c r="Q194" s="15" t="n">
        <v>3.468</v>
      </c>
      <c r="R194" s="15"/>
      <c r="S194" s="15" t="s">
        <v>459</v>
      </c>
      <c r="T194" s="15" t="n">
        <v>118</v>
      </c>
      <c r="U194" s="15"/>
      <c r="V194" s="15"/>
      <c r="W194" s="15"/>
      <c r="X194" s="15" t="s">
        <v>165</v>
      </c>
      <c r="Y194" s="15" t="n">
        <v>34</v>
      </c>
      <c r="Z194" s="15" t="s">
        <v>166</v>
      </c>
      <c r="AA194" s="15"/>
      <c r="AB194" s="15" t="n">
        <v>86</v>
      </c>
      <c r="AC194" s="15" t="n">
        <v>86</v>
      </c>
      <c r="AD194" s="15"/>
      <c r="AE194" s="15"/>
      <c r="AF194" s="15" t="s">
        <v>169</v>
      </c>
      <c r="AG194" s="15"/>
      <c r="AH194" s="24" t="n">
        <f aca="false">IF(R194="",AM194,R194)</f>
        <v>122</v>
      </c>
      <c r="AI194" s="24" t="n">
        <f aca="false">SUMIFS(Permissions!$G$2:$G$3000,Permissions!$B$2:$B$3000,$A194,Permissions!$I$2:$I$3000,"Complete",Permissions!$R$2:$R$3000,"Yes")</f>
        <v>0</v>
      </c>
      <c r="AJ194" s="24" t="n">
        <f aca="false">SUMIFS(Permissions!$G$2:$G$3000,Permissions!$B$2:$B$3000,$A194,Permissions!$I$2:$I$3000,"Under construction",Permissions!$R$2:$R$3000,"Yes")</f>
        <v>122</v>
      </c>
      <c r="AK194" s="24" t="n">
        <f aca="false">SUMIFS(Permissions!$G$2:$G$3000,Permissions!$B$2:$B$3000,$A194,Permissions!$I$2:$I$3000,"Permitted – not started",Permissions!$R$2:$R$3000,"Yes")</f>
        <v>0</v>
      </c>
      <c r="AL194" s="24" t="n">
        <f aca="false">SUMIFS(Permissions!$G$2:$G$3000,Permissions!$B$2:$B$3000,$A194,Permissions!$I$2:$I$3000,"Stalled",Permissions!$R$2:$R$3000,"Yes")</f>
        <v>0</v>
      </c>
      <c r="AM194" s="24" t="n">
        <f aca="false">AI194+AJ194+AK194+AL194</f>
        <v>122</v>
      </c>
      <c r="AN194" s="24" t="n">
        <f aca="false">SUMIFS(Permissions!$G$2:$G$3000,Permissions!$B$2:$B$3000,$A194,Permissions!$I$2:$I$3000,"Expired – not started",Permissions!$R$2:$R$3000,"Yes")</f>
        <v>0</v>
      </c>
      <c r="AO194" s="24" t="n">
        <f aca="false">SUMIFS(Permissions!$G$2:$G$3000,Permissions!$B$2:$B$3000,$A194,Permissions!$I$2:$I$3000,"In planning",Permissions!$R$2:$R$3000,"Yes")</f>
        <v>0</v>
      </c>
      <c r="AP194" s="24" t="n">
        <f aca="false">IF(R194="",0,MAX(R194-AM194,0))</f>
        <v>0</v>
      </c>
      <c r="AQ194" s="25" t="n">
        <f aca="false">AM194+AP194</f>
        <v>122</v>
      </c>
      <c r="AR194" s="24" t="n">
        <f aca="false">SUMIFS(Permissions!$L$2:$L$3000,Permissions!$B$2:$B$3000,$A194,Permissions!$R$2:$R$3000,"Yes",Permissions!$I$2:$I$3000,"&lt;&gt;Expired – not started",Permissions!$I$2:$I$3000,"&lt;&gt;In planning")</f>
        <v>68</v>
      </c>
      <c r="AS194" s="24" t="n">
        <f aca="false">AQ194-AR194</f>
        <v>54</v>
      </c>
      <c r="AT194" s="26" t="n">
        <f aca="false">SUMIFS(Permissions!$AJ$2:$AJ$3000,Permissions!$B$2:$B$3000,$A194,Permissions!$R$2:$R$3000,"Yes")</f>
        <v>28.5</v>
      </c>
      <c r="AU194" s="26" t="n">
        <f aca="false">SUMIFS(Permissions!$AK$2:$AK$3000,Permissions!$B$2:$B$3000,$A194,Permissions!$R$2:$R$3000,"Yes")</f>
        <v>93.5</v>
      </c>
      <c r="AV194" s="26" t="n">
        <f aca="false">SUMIFS(Permissions!$AL$2:$AL$3000,Permissions!$B$2:$B$3000,$A194,Permissions!$R$2:$R$3000,"Yes")</f>
        <v>0</v>
      </c>
      <c r="AW194" s="26" t="n">
        <f aca="false">SUMIFS(Permissions!$AM$2:$AM$3000,Permissions!$B$2:$B$3000,$A194,Permissions!$R$2:$R$3000,"Yes")</f>
        <v>0</v>
      </c>
      <c r="AX194" s="26" t="n">
        <f aca="false">SUMIFS(Permissions!$AN$2:$AN$3000,Permissions!$B$2:$B$3000,$A194,Permissions!$R$2:$R$3000,"Yes")</f>
        <v>0</v>
      </c>
      <c r="AY194" s="26" t="n">
        <f aca="false">SUMIFS(Permissions!$AO$2:$AO$3000,Permissions!$B$2:$B$3000,$A194,Permissions!$R$2:$R$3000,"Yes")</f>
        <v>0</v>
      </c>
      <c r="AZ194" s="24" t="n">
        <f aca="false">COUNTIFS(Permissions!$B$2:$B$3000,$A194,Permissions!$R$2:$R$3000,"Yes")</f>
        <v>2</v>
      </c>
      <c r="BA194" s="24" t="n">
        <f aca="false">SUMIFS(Permissions!$M$2:$M$3000,Permissions!$B$2:$B$3000,$A194,Permissions!$R$2:$R$3000,"Yes")</f>
        <v>68</v>
      </c>
      <c r="BB194" s="24" t="n">
        <f aca="false">SUMIFS(Permissions!$O$2:$O$3000,Permissions!$B$2:$B$3000,$A194,Permissions!$R$2:$R$3000,"Yes")</f>
        <v>0</v>
      </c>
      <c r="BC194" s="27" t="str">
        <f aca="false">IF(AND(AM194&gt;0,AR194&gt;=AM194,AP194=0),"Finished",IF(AR194&gt;0,"Partly built",IF(AM194&gt;0,"Consented – not built","No consent")))</f>
        <v>Partly built</v>
      </c>
      <c r="BD194" s="28" t="str">
        <f aca="false">IF(AND(R194&lt;&gt;"",AM194&gt;1.1*R194),"Consented above capacity",IF(AND(LEFT(B194,8)="Planning",AZ194=0),"Consent parcel with no permission",IF(COUNTIF($A$2:$A$3000,$A194)&gt;1,"Duplicate parcel_id","")))</f>
        <v/>
      </c>
    </row>
    <row r="195" customFormat="false" ht="15" hidden="false" customHeight="false" outlineLevel="0" collapsed="false">
      <c r="A195" s="15" t="s">
        <v>499</v>
      </c>
      <c r="B195" s="15" t="s">
        <v>12</v>
      </c>
      <c r="C195" s="15" t="s">
        <v>16</v>
      </c>
      <c r="D195" s="15" t="s">
        <v>52</v>
      </c>
      <c r="E195" s="15" t="s">
        <v>19</v>
      </c>
      <c r="F195" s="15" t="n">
        <v>1</v>
      </c>
      <c r="G195" s="15" t="s">
        <v>158</v>
      </c>
      <c r="H195" s="15"/>
      <c r="I195" s="15" t="s">
        <v>52</v>
      </c>
      <c r="J195" s="15" t="s">
        <v>211</v>
      </c>
      <c r="K195" s="15" t="s">
        <v>500</v>
      </c>
      <c r="L195" s="15"/>
      <c r="M195" s="15"/>
      <c r="N195" s="15"/>
      <c r="O195" s="15"/>
      <c r="P195" s="15" t="n">
        <v>0.33</v>
      </c>
      <c r="Q195" s="15" t="n">
        <v>0.33</v>
      </c>
      <c r="R195" s="15"/>
      <c r="S195" s="15" t="s">
        <v>459</v>
      </c>
      <c r="T195" s="15" t="n">
        <v>11</v>
      </c>
      <c r="U195" s="15"/>
      <c r="V195" s="15"/>
      <c r="W195" s="15"/>
      <c r="X195" s="15" t="s">
        <v>165</v>
      </c>
      <c r="Y195" s="15" t="n">
        <v>34</v>
      </c>
      <c r="Z195" s="15" t="s">
        <v>166</v>
      </c>
      <c r="AA195" s="15"/>
      <c r="AB195" s="15" t="n">
        <v>12</v>
      </c>
      <c r="AC195" s="15" t="n">
        <v>12</v>
      </c>
      <c r="AD195" s="15"/>
      <c r="AE195" s="15"/>
      <c r="AF195" s="15" t="s">
        <v>169</v>
      </c>
      <c r="AG195" s="15"/>
      <c r="AH195" s="24" t="n">
        <f aca="false">IF(R195="",AM195,R195)</f>
        <v>12</v>
      </c>
      <c r="AI195" s="24" t="n">
        <f aca="false">SUMIFS(Permissions!$G$2:$G$3000,Permissions!$B$2:$B$3000,$A195,Permissions!$I$2:$I$3000,"Complete",Permissions!$R$2:$R$3000,"Yes")</f>
        <v>12</v>
      </c>
      <c r="AJ195" s="24" t="n">
        <f aca="false">SUMIFS(Permissions!$G$2:$G$3000,Permissions!$B$2:$B$3000,$A195,Permissions!$I$2:$I$3000,"Under construction",Permissions!$R$2:$R$3000,"Yes")</f>
        <v>0</v>
      </c>
      <c r="AK195" s="24" t="n">
        <f aca="false">SUMIFS(Permissions!$G$2:$G$3000,Permissions!$B$2:$B$3000,$A195,Permissions!$I$2:$I$3000,"Permitted – not started",Permissions!$R$2:$R$3000,"Yes")</f>
        <v>0</v>
      </c>
      <c r="AL195" s="24" t="n">
        <f aca="false">SUMIFS(Permissions!$G$2:$G$3000,Permissions!$B$2:$B$3000,$A195,Permissions!$I$2:$I$3000,"Stalled",Permissions!$R$2:$R$3000,"Yes")</f>
        <v>0</v>
      </c>
      <c r="AM195" s="24" t="n">
        <f aca="false">AI195+AJ195+AK195+AL195</f>
        <v>12</v>
      </c>
      <c r="AN195" s="24" t="n">
        <f aca="false">SUMIFS(Permissions!$G$2:$G$3000,Permissions!$B$2:$B$3000,$A195,Permissions!$I$2:$I$3000,"Expired – not started",Permissions!$R$2:$R$3000,"Yes")</f>
        <v>0</v>
      </c>
      <c r="AO195" s="24" t="n">
        <f aca="false">SUMIFS(Permissions!$G$2:$G$3000,Permissions!$B$2:$B$3000,$A195,Permissions!$I$2:$I$3000,"In planning",Permissions!$R$2:$R$3000,"Yes")</f>
        <v>0</v>
      </c>
      <c r="AP195" s="24" t="n">
        <f aca="false">IF(R195="",0,MAX(R195-AM195,0))</f>
        <v>0</v>
      </c>
      <c r="AQ195" s="25" t="n">
        <f aca="false">AM195+AP195</f>
        <v>12</v>
      </c>
      <c r="AR195" s="24" t="n">
        <f aca="false">SUMIFS(Permissions!$L$2:$L$3000,Permissions!$B$2:$B$3000,$A195,Permissions!$R$2:$R$3000,"Yes",Permissions!$I$2:$I$3000,"&lt;&gt;Expired – not started",Permissions!$I$2:$I$3000,"&lt;&gt;In planning")</f>
        <v>12</v>
      </c>
      <c r="AS195" s="24" t="n">
        <f aca="false">AQ195-AR195</f>
        <v>0</v>
      </c>
      <c r="AT195" s="26" t="n">
        <f aca="false">SUMIFS(Permissions!$AJ$2:$AJ$3000,Permissions!$B$2:$B$3000,$A195,Permissions!$R$2:$R$3000,"Yes")</f>
        <v>0</v>
      </c>
      <c r="AU195" s="26" t="n">
        <f aca="false">SUMIFS(Permissions!$AK$2:$AK$3000,Permissions!$B$2:$B$3000,$A195,Permissions!$R$2:$R$3000,"Yes")</f>
        <v>0</v>
      </c>
      <c r="AV195" s="26" t="n">
        <f aca="false">SUMIFS(Permissions!$AL$2:$AL$3000,Permissions!$B$2:$B$3000,$A195,Permissions!$R$2:$R$3000,"Yes")</f>
        <v>0</v>
      </c>
      <c r="AW195" s="26" t="n">
        <f aca="false">SUMIFS(Permissions!$AM$2:$AM$3000,Permissions!$B$2:$B$3000,$A195,Permissions!$R$2:$R$3000,"Yes")</f>
        <v>0</v>
      </c>
      <c r="AX195" s="26" t="n">
        <f aca="false">SUMIFS(Permissions!$AN$2:$AN$3000,Permissions!$B$2:$B$3000,$A195,Permissions!$R$2:$R$3000,"Yes")</f>
        <v>0</v>
      </c>
      <c r="AY195" s="26" t="n">
        <f aca="false">SUMIFS(Permissions!$AO$2:$AO$3000,Permissions!$B$2:$B$3000,$A195,Permissions!$R$2:$R$3000,"Yes")</f>
        <v>0</v>
      </c>
      <c r="AZ195" s="24" t="n">
        <f aca="false">COUNTIFS(Permissions!$B$2:$B$3000,$A195,Permissions!$R$2:$R$3000,"Yes")</f>
        <v>1</v>
      </c>
      <c r="BA195" s="24" t="n">
        <f aca="false">SUMIFS(Permissions!$M$2:$M$3000,Permissions!$B$2:$B$3000,$A195,Permissions!$R$2:$R$3000,"Yes")</f>
        <v>12</v>
      </c>
      <c r="BB195" s="24" t="n">
        <f aca="false">SUMIFS(Permissions!$O$2:$O$3000,Permissions!$B$2:$B$3000,$A195,Permissions!$R$2:$R$3000,"Yes")</f>
        <v>0</v>
      </c>
      <c r="BC195" s="27" t="str">
        <f aca="false">IF(AND(AM195&gt;0,AR195&gt;=AM195,AP195=0),"Finished",IF(AR195&gt;0,"Partly built",IF(AM195&gt;0,"Consented – not built","No consent")))</f>
        <v>Finished</v>
      </c>
      <c r="BD195" s="28" t="str">
        <f aca="false">IF(AND(R195&lt;&gt;"",AM195&gt;1.1*R195),"Consented above capacity",IF(AND(LEFT(B195,8)="Planning",AZ195=0),"Consent parcel with no permission",IF(COUNTIF($A$2:$A$3000,$A195)&gt;1,"Duplicate parcel_id","")))</f>
        <v/>
      </c>
    </row>
    <row r="196" customFormat="false" ht="15" hidden="false" customHeight="false" outlineLevel="0" collapsed="false">
      <c r="A196" s="15" t="s">
        <v>501</v>
      </c>
      <c r="B196" s="15" t="s">
        <v>12</v>
      </c>
      <c r="C196" s="15" t="s">
        <v>16</v>
      </c>
      <c r="D196" s="15" t="s">
        <v>52</v>
      </c>
      <c r="E196" s="15" t="s">
        <v>19</v>
      </c>
      <c r="F196" s="15" t="n">
        <v>1</v>
      </c>
      <c r="G196" s="15" t="s">
        <v>158</v>
      </c>
      <c r="H196" s="15"/>
      <c r="I196" s="15" t="s">
        <v>52</v>
      </c>
      <c r="J196" s="15" t="s">
        <v>211</v>
      </c>
      <c r="K196" s="15" t="s">
        <v>502</v>
      </c>
      <c r="L196" s="15"/>
      <c r="M196" s="15"/>
      <c r="N196" s="15"/>
      <c r="O196" s="15"/>
      <c r="P196" s="15" t="n">
        <v>0.333</v>
      </c>
      <c r="Q196" s="15" t="n">
        <v>0.333</v>
      </c>
      <c r="R196" s="15"/>
      <c r="S196" s="15" t="s">
        <v>459</v>
      </c>
      <c r="T196" s="15" t="n">
        <v>11</v>
      </c>
      <c r="U196" s="15"/>
      <c r="V196" s="15"/>
      <c r="W196" s="15"/>
      <c r="X196" s="15" t="s">
        <v>165</v>
      </c>
      <c r="Y196" s="15" t="n">
        <v>34</v>
      </c>
      <c r="Z196" s="15" t="s">
        <v>166</v>
      </c>
      <c r="AA196" s="15"/>
      <c r="AB196" s="15" t="n">
        <v>6</v>
      </c>
      <c r="AC196" s="15" t="n">
        <v>6</v>
      </c>
      <c r="AD196" s="15"/>
      <c r="AE196" s="15"/>
      <c r="AF196" s="15" t="s">
        <v>169</v>
      </c>
      <c r="AG196" s="15"/>
      <c r="AH196" s="24" t="n">
        <f aca="false">IF(R196="",AM196,R196)</f>
        <v>6</v>
      </c>
      <c r="AI196" s="24" t="n">
        <f aca="false">SUMIFS(Permissions!$G$2:$G$3000,Permissions!$B$2:$B$3000,$A196,Permissions!$I$2:$I$3000,"Complete",Permissions!$R$2:$R$3000,"Yes")</f>
        <v>6</v>
      </c>
      <c r="AJ196" s="24" t="n">
        <f aca="false">SUMIFS(Permissions!$G$2:$G$3000,Permissions!$B$2:$B$3000,$A196,Permissions!$I$2:$I$3000,"Under construction",Permissions!$R$2:$R$3000,"Yes")</f>
        <v>0</v>
      </c>
      <c r="AK196" s="24" t="n">
        <f aca="false">SUMIFS(Permissions!$G$2:$G$3000,Permissions!$B$2:$B$3000,$A196,Permissions!$I$2:$I$3000,"Permitted – not started",Permissions!$R$2:$R$3000,"Yes")</f>
        <v>0</v>
      </c>
      <c r="AL196" s="24" t="n">
        <f aca="false">SUMIFS(Permissions!$G$2:$G$3000,Permissions!$B$2:$B$3000,$A196,Permissions!$I$2:$I$3000,"Stalled",Permissions!$R$2:$R$3000,"Yes")</f>
        <v>0</v>
      </c>
      <c r="AM196" s="24" t="n">
        <f aca="false">AI196+AJ196+AK196+AL196</f>
        <v>6</v>
      </c>
      <c r="AN196" s="24" t="n">
        <f aca="false">SUMIFS(Permissions!$G$2:$G$3000,Permissions!$B$2:$B$3000,$A196,Permissions!$I$2:$I$3000,"Expired – not started",Permissions!$R$2:$R$3000,"Yes")</f>
        <v>0</v>
      </c>
      <c r="AO196" s="24" t="n">
        <f aca="false">SUMIFS(Permissions!$G$2:$G$3000,Permissions!$B$2:$B$3000,$A196,Permissions!$I$2:$I$3000,"In planning",Permissions!$R$2:$R$3000,"Yes")</f>
        <v>0</v>
      </c>
      <c r="AP196" s="24" t="n">
        <f aca="false">IF(R196="",0,MAX(R196-AM196,0))</f>
        <v>0</v>
      </c>
      <c r="AQ196" s="25" t="n">
        <f aca="false">AM196+AP196</f>
        <v>6</v>
      </c>
      <c r="AR196" s="24" t="n">
        <f aca="false">SUMIFS(Permissions!$L$2:$L$3000,Permissions!$B$2:$B$3000,$A196,Permissions!$R$2:$R$3000,"Yes",Permissions!$I$2:$I$3000,"&lt;&gt;Expired – not started",Permissions!$I$2:$I$3000,"&lt;&gt;In planning")</f>
        <v>6</v>
      </c>
      <c r="AS196" s="24" t="n">
        <f aca="false">AQ196-AR196</f>
        <v>0</v>
      </c>
      <c r="AT196" s="26" t="n">
        <f aca="false">SUMIFS(Permissions!$AJ$2:$AJ$3000,Permissions!$B$2:$B$3000,$A196,Permissions!$R$2:$R$3000,"Yes")</f>
        <v>0</v>
      </c>
      <c r="AU196" s="26" t="n">
        <f aca="false">SUMIFS(Permissions!$AK$2:$AK$3000,Permissions!$B$2:$B$3000,$A196,Permissions!$R$2:$R$3000,"Yes")</f>
        <v>0</v>
      </c>
      <c r="AV196" s="26" t="n">
        <f aca="false">SUMIFS(Permissions!$AL$2:$AL$3000,Permissions!$B$2:$B$3000,$A196,Permissions!$R$2:$R$3000,"Yes")</f>
        <v>0</v>
      </c>
      <c r="AW196" s="26" t="n">
        <f aca="false">SUMIFS(Permissions!$AM$2:$AM$3000,Permissions!$B$2:$B$3000,$A196,Permissions!$R$2:$R$3000,"Yes")</f>
        <v>0</v>
      </c>
      <c r="AX196" s="26" t="n">
        <f aca="false">SUMIFS(Permissions!$AN$2:$AN$3000,Permissions!$B$2:$B$3000,$A196,Permissions!$R$2:$R$3000,"Yes")</f>
        <v>0</v>
      </c>
      <c r="AY196" s="26" t="n">
        <f aca="false">SUMIFS(Permissions!$AO$2:$AO$3000,Permissions!$B$2:$B$3000,$A196,Permissions!$R$2:$R$3000,"Yes")</f>
        <v>0</v>
      </c>
      <c r="AZ196" s="24" t="n">
        <f aca="false">COUNTIFS(Permissions!$B$2:$B$3000,$A196,Permissions!$R$2:$R$3000,"Yes")</f>
        <v>1</v>
      </c>
      <c r="BA196" s="24" t="n">
        <f aca="false">SUMIFS(Permissions!$M$2:$M$3000,Permissions!$B$2:$B$3000,$A196,Permissions!$R$2:$R$3000,"Yes")</f>
        <v>6</v>
      </c>
      <c r="BB196" s="24" t="n">
        <f aca="false">SUMIFS(Permissions!$O$2:$O$3000,Permissions!$B$2:$B$3000,$A196,Permissions!$R$2:$R$3000,"Yes")</f>
        <v>0</v>
      </c>
      <c r="BC196" s="27" t="str">
        <f aca="false">IF(AND(AM196&gt;0,AR196&gt;=AM196,AP196=0),"Finished",IF(AR196&gt;0,"Partly built",IF(AM196&gt;0,"Consented – not built","No consent")))</f>
        <v>Finished</v>
      </c>
      <c r="BD196" s="28" t="str">
        <f aca="false">IF(AND(R196&lt;&gt;"",AM196&gt;1.1*R196),"Consented above capacity",IF(AND(LEFT(B196,8)="Planning",AZ196=0),"Consent parcel with no permission",IF(COUNTIF($A$2:$A$3000,$A196)&gt;1,"Duplicate parcel_id","")))</f>
        <v/>
      </c>
    </row>
    <row r="197" customFormat="false" ht="15" hidden="false" customHeight="false" outlineLevel="0" collapsed="false">
      <c r="A197" s="15" t="s">
        <v>503</v>
      </c>
      <c r="B197" s="15" t="s">
        <v>12</v>
      </c>
      <c r="C197" s="15" t="s">
        <v>16</v>
      </c>
      <c r="D197" s="15" t="s">
        <v>52</v>
      </c>
      <c r="E197" s="15" t="s">
        <v>19</v>
      </c>
      <c r="F197" s="15" t="n">
        <v>1</v>
      </c>
      <c r="G197" s="15" t="s">
        <v>158</v>
      </c>
      <c r="H197" s="15"/>
      <c r="I197" s="15" t="s">
        <v>52</v>
      </c>
      <c r="J197" s="15" t="s">
        <v>211</v>
      </c>
      <c r="K197" s="15" t="s">
        <v>504</v>
      </c>
      <c r="L197" s="15"/>
      <c r="M197" s="15"/>
      <c r="N197" s="15"/>
      <c r="O197" s="15"/>
      <c r="P197" s="15" t="n">
        <v>0.241</v>
      </c>
      <c r="Q197" s="15" t="n">
        <v>0.241</v>
      </c>
      <c r="R197" s="15"/>
      <c r="S197" s="15" t="s">
        <v>459</v>
      </c>
      <c r="T197" s="15" t="n">
        <v>8</v>
      </c>
      <c r="U197" s="15"/>
      <c r="V197" s="15"/>
      <c r="W197" s="15"/>
      <c r="X197" s="15" t="s">
        <v>165</v>
      </c>
      <c r="Y197" s="15" t="n">
        <v>34</v>
      </c>
      <c r="Z197" s="15" t="s">
        <v>166</v>
      </c>
      <c r="AA197" s="15"/>
      <c r="AB197" s="15" t="n">
        <v>0</v>
      </c>
      <c r="AC197" s="15" t="n">
        <v>0</v>
      </c>
      <c r="AD197" s="15"/>
      <c r="AE197" s="15"/>
      <c r="AF197" s="15" t="s">
        <v>169</v>
      </c>
      <c r="AG197" s="15"/>
      <c r="AH197" s="24" t="n">
        <f aca="false">IF(R197="",AM197,R197)</f>
        <v>8</v>
      </c>
      <c r="AI197" s="24" t="n">
        <f aca="false">SUMIFS(Permissions!$G$2:$G$3000,Permissions!$B$2:$B$3000,$A197,Permissions!$I$2:$I$3000,"Complete",Permissions!$R$2:$R$3000,"Yes")</f>
        <v>0</v>
      </c>
      <c r="AJ197" s="24" t="n">
        <f aca="false">SUMIFS(Permissions!$G$2:$G$3000,Permissions!$B$2:$B$3000,$A197,Permissions!$I$2:$I$3000,"Under construction",Permissions!$R$2:$R$3000,"Yes")</f>
        <v>8</v>
      </c>
      <c r="AK197" s="24" t="n">
        <f aca="false">SUMIFS(Permissions!$G$2:$G$3000,Permissions!$B$2:$B$3000,$A197,Permissions!$I$2:$I$3000,"Permitted – not started",Permissions!$R$2:$R$3000,"Yes")</f>
        <v>0</v>
      </c>
      <c r="AL197" s="24" t="n">
        <f aca="false">SUMIFS(Permissions!$G$2:$G$3000,Permissions!$B$2:$B$3000,$A197,Permissions!$I$2:$I$3000,"Stalled",Permissions!$R$2:$R$3000,"Yes")</f>
        <v>0</v>
      </c>
      <c r="AM197" s="24" t="n">
        <f aca="false">AI197+AJ197+AK197+AL197</f>
        <v>8</v>
      </c>
      <c r="AN197" s="24" t="n">
        <f aca="false">SUMIFS(Permissions!$G$2:$G$3000,Permissions!$B$2:$B$3000,$A197,Permissions!$I$2:$I$3000,"Expired – not started",Permissions!$R$2:$R$3000,"Yes")</f>
        <v>0</v>
      </c>
      <c r="AO197" s="24" t="n">
        <f aca="false">SUMIFS(Permissions!$G$2:$G$3000,Permissions!$B$2:$B$3000,$A197,Permissions!$I$2:$I$3000,"In planning",Permissions!$R$2:$R$3000,"Yes")</f>
        <v>0</v>
      </c>
      <c r="AP197" s="24" t="n">
        <f aca="false">IF(R197="",0,MAX(R197-AM197,0))</f>
        <v>0</v>
      </c>
      <c r="AQ197" s="25" t="n">
        <f aca="false">AM197+AP197</f>
        <v>8</v>
      </c>
      <c r="AR197" s="24" t="n">
        <f aca="false">SUMIFS(Permissions!$L$2:$L$3000,Permissions!$B$2:$B$3000,$A197,Permissions!$R$2:$R$3000,"Yes",Permissions!$I$2:$I$3000,"&lt;&gt;Expired – not started",Permissions!$I$2:$I$3000,"&lt;&gt;In planning")</f>
        <v>0</v>
      </c>
      <c r="AS197" s="24" t="n">
        <f aca="false">AQ197-AR197</f>
        <v>8</v>
      </c>
      <c r="AT197" s="26" t="n">
        <f aca="false">SUMIFS(Permissions!$AJ$2:$AJ$3000,Permissions!$B$2:$B$3000,$A197,Permissions!$R$2:$R$3000,"Yes")</f>
        <v>1.9</v>
      </c>
      <c r="AU197" s="26" t="n">
        <f aca="false">SUMIFS(Permissions!$AK$2:$AK$3000,Permissions!$B$2:$B$3000,$A197,Permissions!$R$2:$R$3000,"Yes")</f>
        <v>6.1</v>
      </c>
      <c r="AV197" s="26" t="n">
        <f aca="false">SUMIFS(Permissions!$AL$2:$AL$3000,Permissions!$B$2:$B$3000,$A197,Permissions!$R$2:$R$3000,"Yes")</f>
        <v>0</v>
      </c>
      <c r="AW197" s="26" t="n">
        <f aca="false">SUMIFS(Permissions!$AM$2:$AM$3000,Permissions!$B$2:$B$3000,$A197,Permissions!$R$2:$R$3000,"Yes")</f>
        <v>0</v>
      </c>
      <c r="AX197" s="26" t="n">
        <f aca="false">SUMIFS(Permissions!$AN$2:$AN$3000,Permissions!$B$2:$B$3000,$A197,Permissions!$R$2:$R$3000,"Yes")</f>
        <v>0</v>
      </c>
      <c r="AY197" s="26" t="n">
        <f aca="false">SUMIFS(Permissions!$AO$2:$AO$3000,Permissions!$B$2:$B$3000,$A197,Permissions!$R$2:$R$3000,"Yes")</f>
        <v>0</v>
      </c>
      <c r="AZ197" s="24" t="n">
        <f aca="false">COUNTIFS(Permissions!$B$2:$B$3000,$A197,Permissions!$R$2:$R$3000,"Yes")</f>
        <v>1</v>
      </c>
      <c r="BA197" s="24" t="n">
        <f aca="false">SUMIFS(Permissions!$M$2:$M$3000,Permissions!$B$2:$B$3000,$A197,Permissions!$R$2:$R$3000,"Yes")</f>
        <v>0</v>
      </c>
      <c r="BB197" s="24" t="n">
        <f aca="false">SUMIFS(Permissions!$O$2:$O$3000,Permissions!$B$2:$B$3000,$A197,Permissions!$R$2:$R$3000,"Yes")</f>
        <v>0</v>
      </c>
      <c r="BC197" s="27" t="str">
        <f aca="false">IF(AND(AM197&gt;0,AR197&gt;=AM197,AP197=0),"Finished",IF(AR197&gt;0,"Partly built",IF(AM197&gt;0,"Consented – not built","No consent")))</f>
        <v>Consented – not built</v>
      </c>
      <c r="BD197" s="28" t="str">
        <f aca="false">IF(AND(R197&lt;&gt;"",AM197&gt;1.1*R197),"Consented above capacity",IF(AND(LEFT(B197,8)="Planning",AZ197=0),"Consent parcel with no permission",IF(COUNTIF($A$2:$A$3000,$A197)&gt;1,"Duplicate parcel_id","")))</f>
        <v/>
      </c>
    </row>
    <row r="198" customFormat="false" ht="15" hidden="false" customHeight="false" outlineLevel="0" collapsed="false">
      <c r="A198" s="15" t="s">
        <v>505</v>
      </c>
      <c r="B198" s="15" t="s">
        <v>12</v>
      </c>
      <c r="C198" s="15" t="s">
        <v>16</v>
      </c>
      <c r="D198" s="15" t="s">
        <v>52</v>
      </c>
      <c r="E198" s="15" t="s">
        <v>19</v>
      </c>
      <c r="F198" s="15" t="n">
        <v>1</v>
      </c>
      <c r="G198" s="15" t="s">
        <v>158</v>
      </c>
      <c r="H198" s="15"/>
      <c r="I198" s="15" t="s">
        <v>52</v>
      </c>
      <c r="J198" s="15" t="s">
        <v>211</v>
      </c>
      <c r="K198" s="15" t="s">
        <v>506</v>
      </c>
      <c r="L198" s="15"/>
      <c r="M198" s="15"/>
      <c r="N198" s="15"/>
      <c r="O198" s="15"/>
      <c r="P198" s="15" t="n">
        <v>1.262</v>
      </c>
      <c r="Q198" s="15" t="n">
        <v>1.262</v>
      </c>
      <c r="R198" s="15"/>
      <c r="S198" s="15" t="s">
        <v>459</v>
      </c>
      <c r="T198" s="15" t="n">
        <v>43</v>
      </c>
      <c r="U198" s="15"/>
      <c r="V198" s="15"/>
      <c r="W198" s="15"/>
      <c r="X198" s="15" t="s">
        <v>165</v>
      </c>
      <c r="Y198" s="15" t="n">
        <v>34</v>
      </c>
      <c r="Z198" s="15" t="s">
        <v>166</v>
      </c>
      <c r="AA198" s="15"/>
      <c r="AB198" s="15" t="n">
        <v>11</v>
      </c>
      <c r="AC198" s="15" t="n">
        <v>0</v>
      </c>
      <c r="AD198" s="15"/>
      <c r="AE198" s="15"/>
      <c r="AF198" s="15" t="s">
        <v>169</v>
      </c>
      <c r="AG198" s="15"/>
      <c r="AH198" s="24" t="n">
        <f aca="false">IF(R198="",AM198,R198)</f>
        <v>12</v>
      </c>
      <c r="AI198" s="24" t="n">
        <f aca="false">SUMIFS(Permissions!$G$2:$G$3000,Permissions!$B$2:$B$3000,$A198,Permissions!$I$2:$I$3000,"Complete",Permissions!$R$2:$R$3000,"Yes")</f>
        <v>12</v>
      </c>
      <c r="AJ198" s="24" t="n">
        <f aca="false">SUMIFS(Permissions!$G$2:$G$3000,Permissions!$B$2:$B$3000,$A198,Permissions!$I$2:$I$3000,"Under construction",Permissions!$R$2:$R$3000,"Yes")</f>
        <v>0</v>
      </c>
      <c r="AK198" s="24" t="n">
        <f aca="false">SUMIFS(Permissions!$G$2:$G$3000,Permissions!$B$2:$B$3000,$A198,Permissions!$I$2:$I$3000,"Permitted – not started",Permissions!$R$2:$R$3000,"Yes")</f>
        <v>0</v>
      </c>
      <c r="AL198" s="24" t="n">
        <f aca="false">SUMIFS(Permissions!$G$2:$G$3000,Permissions!$B$2:$B$3000,$A198,Permissions!$I$2:$I$3000,"Stalled",Permissions!$R$2:$R$3000,"Yes")</f>
        <v>0</v>
      </c>
      <c r="AM198" s="24" t="n">
        <f aca="false">AI198+AJ198+AK198+AL198</f>
        <v>12</v>
      </c>
      <c r="AN198" s="24" t="n">
        <f aca="false">SUMIFS(Permissions!$G$2:$G$3000,Permissions!$B$2:$B$3000,$A198,Permissions!$I$2:$I$3000,"Expired – not started",Permissions!$R$2:$R$3000,"Yes")</f>
        <v>0</v>
      </c>
      <c r="AO198" s="24" t="n">
        <f aca="false">SUMIFS(Permissions!$G$2:$G$3000,Permissions!$B$2:$B$3000,$A198,Permissions!$I$2:$I$3000,"In planning",Permissions!$R$2:$R$3000,"Yes")</f>
        <v>0</v>
      </c>
      <c r="AP198" s="24" t="n">
        <f aca="false">IF(R198="",0,MAX(R198-AM198,0))</f>
        <v>0</v>
      </c>
      <c r="AQ198" s="25" t="n">
        <f aca="false">AM198+AP198</f>
        <v>12</v>
      </c>
      <c r="AR198" s="24" t="n">
        <f aca="false">SUMIFS(Permissions!$L$2:$L$3000,Permissions!$B$2:$B$3000,$A198,Permissions!$R$2:$R$3000,"Yes",Permissions!$I$2:$I$3000,"&lt;&gt;Expired – not started",Permissions!$I$2:$I$3000,"&lt;&gt;In planning")</f>
        <v>12</v>
      </c>
      <c r="AS198" s="24" t="n">
        <f aca="false">AQ198-AR198</f>
        <v>0</v>
      </c>
      <c r="AT198" s="26" t="n">
        <f aca="false">SUMIFS(Permissions!$AJ$2:$AJ$3000,Permissions!$B$2:$B$3000,$A198,Permissions!$R$2:$R$3000,"Yes")</f>
        <v>0</v>
      </c>
      <c r="AU198" s="26" t="n">
        <f aca="false">SUMIFS(Permissions!$AK$2:$AK$3000,Permissions!$B$2:$B$3000,$A198,Permissions!$R$2:$R$3000,"Yes")</f>
        <v>0</v>
      </c>
      <c r="AV198" s="26" t="n">
        <f aca="false">SUMIFS(Permissions!$AL$2:$AL$3000,Permissions!$B$2:$B$3000,$A198,Permissions!$R$2:$R$3000,"Yes")</f>
        <v>0</v>
      </c>
      <c r="AW198" s="26" t="n">
        <f aca="false">SUMIFS(Permissions!$AM$2:$AM$3000,Permissions!$B$2:$B$3000,$A198,Permissions!$R$2:$R$3000,"Yes")</f>
        <v>0</v>
      </c>
      <c r="AX198" s="26" t="n">
        <f aca="false">SUMIFS(Permissions!$AN$2:$AN$3000,Permissions!$B$2:$B$3000,$A198,Permissions!$R$2:$R$3000,"Yes")</f>
        <v>0</v>
      </c>
      <c r="AY198" s="26" t="n">
        <f aca="false">SUMIFS(Permissions!$AO$2:$AO$3000,Permissions!$B$2:$B$3000,$A198,Permissions!$R$2:$R$3000,"Yes")</f>
        <v>0</v>
      </c>
      <c r="AZ198" s="24" t="n">
        <f aca="false">COUNTIFS(Permissions!$B$2:$B$3000,$A198,Permissions!$R$2:$R$3000,"Yes")</f>
        <v>1</v>
      </c>
      <c r="BA198" s="24" t="n">
        <f aca="false">SUMIFS(Permissions!$M$2:$M$3000,Permissions!$B$2:$B$3000,$A198,Permissions!$R$2:$R$3000,"Yes")</f>
        <v>11</v>
      </c>
      <c r="BB198" s="24" t="n">
        <f aca="false">SUMIFS(Permissions!$O$2:$O$3000,Permissions!$B$2:$B$3000,$A198,Permissions!$R$2:$R$3000,"Yes")</f>
        <v>0</v>
      </c>
      <c r="BC198" s="27" t="str">
        <f aca="false">IF(AND(AM198&gt;0,AR198&gt;=AM198,AP198=0),"Finished",IF(AR198&gt;0,"Partly built",IF(AM198&gt;0,"Consented – not built","No consent")))</f>
        <v>Finished</v>
      </c>
      <c r="BD198" s="28" t="str">
        <f aca="false">IF(AND(R198&lt;&gt;"",AM198&gt;1.1*R198),"Consented above capacity",IF(AND(LEFT(B198,8)="Planning",AZ198=0),"Consent parcel with no permission",IF(COUNTIF($A$2:$A$3000,$A198)&gt;1,"Duplicate parcel_id","")))</f>
        <v/>
      </c>
    </row>
    <row r="199" customFormat="false" ht="15" hidden="false" customHeight="false" outlineLevel="0" collapsed="false">
      <c r="A199" s="15" t="s">
        <v>507</v>
      </c>
      <c r="B199" s="15" t="s">
        <v>12</v>
      </c>
      <c r="C199" s="15" t="s">
        <v>16</v>
      </c>
      <c r="D199" s="15" t="s">
        <v>52</v>
      </c>
      <c r="E199" s="15" t="s">
        <v>19</v>
      </c>
      <c r="F199" s="15" t="n">
        <v>1</v>
      </c>
      <c r="G199" s="15" t="s">
        <v>158</v>
      </c>
      <c r="H199" s="15"/>
      <c r="I199" s="15" t="s">
        <v>52</v>
      </c>
      <c r="J199" s="15" t="s">
        <v>211</v>
      </c>
      <c r="K199" s="15" t="s">
        <v>508</v>
      </c>
      <c r="L199" s="15"/>
      <c r="M199" s="15"/>
      <c r="N199" s="15"/>
      <c r="O199" s="15"/>
      <c r="P199" s="15" t="n">
        <v>1.491</v>
      </c>
      <c r="Q199" s="15" t="n">
        <v>1.491</v>
      </c>
      <c r="R199" s="15"/>
      <c r="S199" s="15" t="s">
        <v>459</v>
      </c>
      <c r="T199" s="15" t="n">
        <v>51</v>
      </c>
      <c r="U199" s="15"/>
      <c r="V199" s="15"/>
      <c r="W199" s="15"/>
      <c r="X199" s="15" t="s">
        <v>165</v>
      </c>
      <c r="Y199" s="15" t="n">
        <v>34</v>
      </c>
      <c r="Z199" s="15" t="s">
        <v>166</v>
      </c>
      <c r="AA199" s="15"/>
      <c r="AB199" s="15" t="n">
        <v>63</v>
      </c>
      <c r="AC199" s="15" t="n">
        <v>63</v>
      </c>
      <c r="AD199" s="15"/>
      <c r="AE199" s="15"/>
      <c r="AF199" s="15" t="s">
        <v>169</v>
      </c>
      <c r="AG199" s="15"/>
      <c r="AH199" s="24" t="n">
        <f aca="false">IF(R199="",AM199,R199)</f>
        <v>62</v>
      </c>
      <c r="AI199" s="24" t="n">
        <f aca="false">SUMIFS(Permissions!$G$2:$G$3000,Permissions!$B$2:$B$3000,$A199,Permissions!$I$2:$I$3000,"Complete",Permissions!$R$2:$R$3000,"Yes")</f>
        <v>62</v>
      </c>
      <c r="AJ199" s="24" t="n">
        <f aca="false">SUMIFS(Permissions!$G$2:$G$3000,Permissions!$B$2:$B$3000,$A199,Permissions!$I$2:$I$3000,"Under construction",Permissions!$R$2:$R$3000,"Yes")</f>
        <v>0</v>
      </c>
      <c r="AK199" s="24" t="n">
        <f aca="false">SUMIFS(Permissions!$G$2:$G$3000,Permissions!$B$2:$B$3000,$A199,Permissions!$I$2:$I$3000,"Permitted – not started",Permissions!$R$2:$R$3000,"Yes")</f>
        <v>0</v>
      </c>
      <c r="AL199" s="24" t="n">
        <f aca="false">SUMIFS(Permissions!$G$2:$G$3000,Permissions!$B$2:$B$3000,$A199,Permissions!$I$2:$I$3000,"Stalled",Permissions!$R$2:$R$3000,"Yes")</f>
        <v>0</v>
      </c>
      <c r="AM199" s="24" t="n">
        <f aca="false">AI199+AJ199+AK199+AL199</f>
        <v>62</v>
      </c>
      <c r="AN199" s="24" t="n">
        <f aca="false">SUMIFS(Permissions!$G$2:$G$3000,Permissions!$B$2:$B$3000,$A199,Permissions!$I$2:$I$3000,"Expired – not started",Permissions!$R$2:$R$3000,"Yes")</f>
        <v>0</v>
      </c>
      <c r="AO199" s="24" t="n">
        <f aca="false">SUMIFS(Permissions!$G$2:$G$3000,Permissions!$B$2:$B$3000,$A199,Permissions!$I$2:$I$3000,"In planning",Permissions!$R$2:$R$3000,"Yes")</f>
        <v>0</v>
      </c>
      <c r="AP199" s="24" t="n">
        <f aca="false">IF(R199="",0,MAX(R199-AM199,0))</f>
        <v>0</v>
      </c>
      <c r="AQ199" s="25" t="n">
        <f aca="false">AM199+AP199</f>
        <v>62</v>
      </c>
      <c r="AR199" s="24" t="n">
        <f aca="false">SUMIFS(Permissions!$L$2:$L$3000,Permissions!$B$2:$B$3000,$A199,Permissions!$R$2:$R$3000,"Yes",Permissions!$I$2:$I$3000,"&lt;&gt;Expired – not started",Permissions!$I$2:$I$3000,"&lt;&gt;In planning")</f>
        <v>62</v>
      </c>
      <c r="AS199" s="24" t="n">
        <f aca="false">AQ199-AR199</f>
        <v>0</v>
      </c>
      <c r="AT199" s="26" t="n">
        <f aca="false">SUMIFS(Permissions!$AJ$2:$AJ$3000,Permissions!$B$2:$B$3000,$A199,Permissions!$R$2:$R$3000,"Yes")</f>
        <v>0</v>
      </c>
      <c r="AU199" s="26" t="n">
        <f aca="false">SUMIFS(Permissions!$AK$2:$AK$3000,Permissions!$B$2:$B$3000,$A199,Permissions!$R$2:$R$3000,"Yes")</f>
        <v>0</v>
      </c>
      <c r="AV199" s="26" t="n">
        <f aca="false">SUMIFS(Permissions!$AL$2:$AL$3000,Permissions!$B$2:$B$3000,$A199,Permissions!$R$2:$R$3000,"Yes")</f>
        <v>0</v>
      </c>
      <c r="AW199" s="26" t="n">
        <f aca="false">SUMIFS(Permissions!$AM$2:$AM$3000,Permissions!$B$2:$B$3000,$A199,Permissions!$R$2:$R$3000,"Yes")</f>
        <v>0</v>
      </c>
      <c r="AX199" s="26" t="n">
        <f aca="false">SUMIFS(Permissions!$AN$2:$AN$3000,Permissions!$B$2:$B$3000,$A199,Permissions!$R$2:$R$3000,"Yes")</f>
        <v>0</v>
      </c>
      <c r="AY199" s="26" t="n">
        <f aca="false">SUMIFS(Permissions!$AO$2:$AO$3000,Permissions!$B$2:$B$3000,$A199,Permissions!$R$2:$R$3000,"Yes")</f>
        <v>0</v>
      </c>
      <c r="AZ199" s="24" t="n">
        <f aca="false">COUNTIFS(Permissions!$B$2:$B$3000,$A199,Permissions!$R$2:$R$3000,"Yes")</f>
        <v>1</v>
      </c>
      <c r="BA199" s="24" t="n">
        <f aca="false">SUMIFS(Permissions!$M$2:$M$3000,Permissions!$B$2:$B$3000,$A199,Permissions!$R$2:$R$3000,"Yes")</f>
        <v>62</v>
      </c>
      <c r="BB199" s="24" t="n">
        <f aca="false">SUMIFS(Permissions!$O$2:$O$3000,Permissions!$B$2:$B$3000,$A199,Permissions!$R$2:$R$3000,"Yes")</f>
        <v>0</v>
      </c>
      <c r="BC199" s="27" t="str">
        <f aca="false">IF(AND(AM199&gt;0,AR199&gt;=AM199,AP199=0),"Finished",IF(AR199&gt;0,"Partly built",IF(AM199&gt;0,"Consented – not built","No consent")))</f>
        <v>Finished</v>
      </c>
      <c r="BD199" s="28" t="str">
        <f aca="false">IF(AND(R199&lt;&gt;"",AM199&gt;1.1*R199),"Consented above capacity",IF(AND(LEFT(B199,8)="Planning",AZ199=0),"Consent parcel with no permission",IF(COUNTIF($A$2:$A$3000,$A199)&gt;1,"Duplicate parcel_id","")))</f>
        <v/>
      </c>
    </row>
    <row r="200" customFormat="false" ht="15" hidden="false" customHeight="false" outlineLevel="0" collapsed="false">
      <c r="A200" s="15" t="s">
        <v>509</v>
      </c>
      <c r="B200" s="15" t="s">
        <v>12</v>
      </c>
      <c r="C200" s="15" t="s">
        <v>16</v>
      </c>
      <c r="D200" s="15" t="s">
        <v>52</v>
      </c>
      <c r="E200" s="15" t="s">
        <v>19</v>
      </c>
      <c r="F200" s="15" t="n">
        <v>1</v>
      </c>
      <c r="G200" s="15" t="s">
        <v>158</v>
      </c>
      <c r="H200" s="15"/>
      <c r="I200" s="15" t="s">
        <v>52</v>
      </c>
      <c r="J200" s="15" t="s">
        <v>211</v>
      </c>
      <c r="K200" s="15" t="s">
        <v>510</v>
      </c>
      <c r="L200" s="15"/>
      <c r="M200" s="15"/>
      <c r="N200" s="15"/>
      <c r="O200" s="15"/>
      <c r="P200" s="15" t="n">
        <v>0.162</v>
      </c>
      <c r="Q200" s="15" t="n">
        <v>0.162</v>
      </c>
      <c r="R200" s="15"/>
      <c r="S200" s="15" t="s">
        <v>459</v>
      </c>
      <c r="T200" s="15" t="n">
        <v>6</v>
      </c>
      <c r="U200" s="15"/>
      <c r="V200" s="15"/>
      <c r="W200" s="15"/>
      <c r="X200" s="15" t="s">
        <v>165</v>
      </c>
      <c r="Y200" s="15" t="n">
        <v>34</v>
      </c>
      <c r="Z200" s="15" t="s">
        <v>166</v>
      </c>
      <c r="AA200" s="15"/>
      <c r="AB200" s="15" t="n">
        <v>3</v>
      </c>
      <c r="AC200" s="15" t="n">
        <v>3</v>
      </c>
      <c r="AD200" s="15"/>
      <c r="AE200" s="15"/>
      <c r="AF200" s="15" t="s">
        <v>169</v>
      </c>
      <c r="AG200" s="15"/>
      <c r="AH200" s="24" t="n">
        <f aca="false">IF(R200="",AM200,R200)</f>
        <v>3</v>
      </c>
      <c r="AI200" s="24" t="n">
        <f aca="false">SUMIFS(Permissions!$G$2:$G$3000,Permissions!$B$2:$B$3000,$A200,Permissions!$I$2:$I$3000,"Complete",Permissions!$R$2:$R$3000,"Yes")</f>
        <v>3</v>
      </c>
      <c r="AJ200" s="24" t="n">
        <f aca="false">SUMIFS(Permissions!$G$2:$G$3000,Permissions!$B$2:$B$3000,$A200,Permissions!$I$2:$I$3000,"Under construction",Permissions!$R$2:$R$3000,"Yes")</f>
        <v>0</v>
      </c>
      <c r="AK200" s="24" t="n">
        <f aca="false">SUMIFS(Permissions!$G$2:$G$3000,Permissions!$B$2:$B$3000,$A200,Permissions!$I$2:$I$3000,"Permitted – not started",Permissions!$R$2:$R$3000,"Yes")</f>
        <v>0</v>
      </c>
      <c r="AL200" s="24" t="n">
        <f aca="false">SUMIFS(Permissions!$G$2:$G$3000,Permissions!$B$2:$B$3000,$A200,Permissions!$I$2:$I$3000,"Stalled",Permissions!$R$2:$R$3000,"Yes")</f>
        <v>0</v>
      </c>
      <c r="AM200" s="24" t="n">
        <f aca="false">AI200+AJ200+AK200+AL200</f>
        <v>3</v>
      </c>
      <c r="AN200" s="24" t="n">
        <f aca="false">SUMIFS(Permissions!$G$2:$G$3000,Permissions!$B$2:$B$3000,$A200,Permissions!$I$2:$I$3000,"Expired – not started",Permissions!$R$2:$R$3000,"Yes")</f>
        <v>0</v>
      </c>
      <c r="AO200" s="24" t="n">
        <f aca="false">SUMIFS(Permissions!$G$2:$G$3000,Permissions!$B$2:$B$3000,$A200,Permissions!$I$2:$I$3000,"In planning",Permissions!$R$2:$R$3000,"Yes")</f>
        <v>0</v>
      </c>
      <c r="AP200" s="24" t="n">
        <f aca="false">IF(R200="",0,MAX(R200-AM200,0))</f>
        <v>0</v>
      </c>
      <c r="AQ200" s="25" t="n">
        <f aca="false">AM200+AP200</f>
        <v>3</v>
      </c>
      <c r="AR200" s="24" t="n">
        <f aca="false">SUMIFS(Permissions!$L$2:$L$3000,Permissions!$B$2:$B$3000,$A200,Permissions!$R$2:$R$3000,"Yes",Permissions!$I$2:$I$3000,"&lt;&gt;Expired – not started",Permissions!$I$2:$I$3000,"&lt;&gt;In planning")</f>
        <v>3</v>
      </c>
      <c r="AS200" s="24" t="n">
        <f aca="false">AQ200-AR200</f>
        <v>0</v>
      </c>
      <c r="AT200" s="26" t="n">
        <f aca="false">SUMIFS(Permissions!$AJ$2:$AJ$3000,Permissions!$B$2:$B$3000,$A200,Permissions!$R$2:$R$3000,"Yes")</f>
        <v>0</v>
      </c>
      <c r="AU200" s="26" t="n">
        <f aca="false">SUMIFS(Permissions!$AK$2:$AK$3000,Permissions!$B$2:$B$3000,$A200,Permissions!$R$2:$R$3000,"Yes")</f>
        <v>0</v>
      </c>
      <c r="AV200" s="26" t="n">
        <f aca="false">SUMIFS(Permissions!$AL$2:$AL$3000,Permissions!$B$2:$B$3000,$A200,Permissions!$R$2:$R$3000,"Yes")</f>
        <v>0</v>
      </c>
      <c r="AW200" s="26" t="n">
        <f aca="false">SUMIFS(Permissions!$AM$2:$AM$3000,Permissions!$B$2:$B$3000,$A200,Permissions!$R$2:$R$3000,"Yes")</f>
        <v>0</v>
      </c>
      <c r="AX200" s="26" t="n">
        <f aca="false">SUMIFS(Permissions!$AN$2:$AN$3000,Permissions!$B$2:$B$3000,$A200,Permissions!$R$2:$R$3000,"Yes")</f>
        <v>0</v>
      </c>
      <c r="AY200" s="26" t="n">
        <f aca="false">SUMIFS(Permissions!$AO$2:$AO$3000,Permissions!$B$2:$B$3000,$A200,Permissions!$R$2:$R$3000,"Yes")</f>
        <v>0</v>
      </c>
      <c r="AZ200" s="24" t="n">
        <f aca="false">COUNTIFS(Permissions!$B$2:$B$3000,$A200,Permissions!$R$2:$R$3000,"Yes")</f>
        <v>1</v>
      </c>
      <c r="BA200" s="24" t="n">
        <f aca="false">SUMIFS(Permissions!$M$2:$M$3000,Permissions!$B$2:$B$3000,$A200,Permissions!$R$2:$R$3000,"Yes")</f>
        <v>3</v>
      </c>
      <c r="BB200" s="24" t="n">
        <f aca="false">SUMIFS(Permissions!$O$2:$O$3000,Permissions!$B$2:$B$3000,$A200,Permissions!$R$2:$R$3000,"Yes")</f>
        <v>0</v>
      </c>
      <c r="BC200" s="27" t="str">
        <f aca="false">IF(AND(AM200&gt;0,AR200&gt;=AM200,AP200=0),"Finished",IF(AR200&gt;0,"Partly built",IF(AM200&gt;0,"Consented – not built","No consent")))</f>
        <v>Finished</v>
      </c>
      <c r="BD200" s="28" t="str">
        <f aca="false">IF(AND(R200&lt;&gt;"",AM200&gt;1.1*R200),"Consented above capacity",IF(AND(LEFT(B200,8)="Planning",AZ200=0),"Consent parcel with no permission",IF(COUNTIF($A$2:$A$3000,$A200)&gt;1,"Duplicate parcel_id","")))</f>
        <v/>
      </c>
    </row>
    <row r="201" customFormat="false" ht="15" hidden="false" customHeight="false" outlineLevel="0" collapsed="false">
      <c r="A201" s="15" t="s">
        <v>511</v>
      </c>
      <c r="B201" s="15" t="s">
        <v>12</v>
      </c>
      <c r="C201" s="15" t="s">
        <v>16</v>
      </c>
      <c r="D201" s="15" t="s">
        <v>52</v>
      </c>
      <c r="E201" s="15" t="s">
        <v>19</v>
      </c>
      <c r="F201" s="15" t="n">
        <v>1</v>
      </c>
      <c r="G201" s="15" t="s">
        <v>158</v>
      </c>
      <c r="H201" s="15"/>
      <c r="I201" s="15" t="s">
        <v>52</v>
      </c>
      <c r="J201" s="15" t="s">
        <v>211</v>
      </c>
      <c r="K201" s="15" t="s">
        <v>512</v>
      </c>
      <c r="L201" s="15"/>
      <c r="M201" s="15"/>
      <c r="N201" s="15"/>
      <c r="O201" s="15"/>
      <c r="P201" s="15" t="n">
        <v>8.757</v>
      </c>
      <c r="Q201" s="15" t="n">
        <v>8.757</v>
      </c>
      <c r="R201" s="15"/>
      <c r="S201" s="15" t="s">
        <v>459</v>
      </c>
      <c r="T201" s="15" t="n">
        <v>298</v>
      </c>
      <c r="U201" s="15"/>
      <c r="V201" s="15"/>
      <c r="W201" s="15"/>
      <c r="X201" s="15" t="s">
        <v>165</v>
      </c>
      <c r="Y201" s="15" t="n">
        <v>34</v>
      </c>
      <c r="Z201" s="15" t="s">
        <v>166</v>
      </c>
      <c r="AA201" s="15"/>
      <c r="AB201" s="15" t="n">
        <v>219</v>
      </c>
      <c r="AC201" s="15" t="n">
        <v>219</v>
      </c>
      <c r="AD201" s="15"/>
      <c r="AE201" s="15"/>
      <c r="AF201" s="15" t="s">
        <v>169</v>
      </c>
      <c r="AG201" s="15"/>
      <c r="AH201" s="24" t="n">
        <f aca="false">IF(R201="",AM201,R201)</f>
        <v>385</v>
      </c>
      <c r="AI201" s="24" t="n">
        <f aca="false">SUMIFS(Permissions!$G$2:$G$3000,Permissions!$B$2:$B$3000,$A201,Permissions!$I$2:$I$3000,"Complete",Permissions!$R$2:$R$3000,"Yes")</f>
        <v>197</v>
      </c>
      <c r="AJ201" s="24" t="n">
        <f aca="false">SUMIFS(Permissions!$G$2:$G$3000,Permissions!$B$2:$B$3000,$A201,Permissions!$I$2:$I$3000,"Under construction",Permissions!$R$2:$R$3000,"Yes")</f>
        <v>188</v>
      </c>
      <c r="AK201" s="24" t="n">
        <f aca="false">SUMIFS(Permissions!$G$2:$G$3000,Permissions!$B$2:$B$3000,$A201,Permissions!$I$2:$I$3000,"Permitted – not started",Permissions!$R$2:$R$3000,"Yes")</f>
        <v>0</v>
      </c>
      <c r="AL201" s="24" t="n">
        <f aca="false">SUMIFS(Permissions!$G$2:$G$3000,Permissions!$B$2:$B$3000,$A201,Permissions!$I$2:$I$3000,"Stalled",Permissions!$R$2:$R$3000,"Yes")</f>
        <v>0</v>
      </c>
      <c r="AM201" s="24" t="n">
        <f aca="false">AI201+AJ201+AK201+AL201</f>
        <v>385</v>
      </c>
      <c r="AN201" s="24" t="n">
        <f aca="false">SUMIFS(Permissions!$G$2:$G$3000,Permissions!$B$2:$B$3000,$A201,Permissions!$I$2:$I$3000,"Expired – not started",Permissions!$R$2:$R$3000,"Yes")</f>
        <v>0</v>
      </c>
      <c r="AO201" s="24" t="n">
        <f aca="false">SUMIFS(Permissions!$G$2:$G$3000,Permissions!$B$2:$B$3000,$A201,Permissions!$I$2:$I$3000,"In planning",Permissions!$R$2:$R$3000,"Yes")</f>
        <v>0</v>
      </c>
      <c r="AP201" s="24" t="n">
        <f aca="false">IF(R201="",0,MAX(R201-AM201,0))</f>
        <v>0</v>
      </c>
      <c r="AQ201" s="25" t="n">
        <f aca="false">AM201+AP201</f>
        <v>385</v>
      </c>
      <c r="AR201" s="24" t="n">
        <f aca="false">SUMIFS(Permissions!$L$2:$L$3000,Permissions!$B$2:$B$3000,$A201,Permissions!$R$2:$R$3000,"Yes",Permissions!$I$2:$I$3000,"&lt;&gt;Expired – not started",Permissions!$I$2:$I$3000,"&lt;&gt;In planning")</f>
        <v>243</v>
      </c>
      <c r="AS201" s="24" t="n">
        <f aca="false">AQ201-AR201</f>
        <v>142</v>
      </c>
      <c r="AT201" s="26" t="n">
        <f aca="false">SUMIFS(Permissions!$AJ$2:$AJ$3000,Permissions!$B$2:$B$3000,$A201,Permissions!$R$2:$R$3000,"Yes")</f>
        <v>43.8</v>
      </c>
      <c r="AU201" s="26" t="n">
        <f aca="false">SUMIFS(Permissions!$AK$2:$AK$3000,Permissions!$B$2:$B$3000,$A201,Permissions!$R$2:$R$3000,"Yes")</f>
        <v>144.2</v>
      </c>
      <c r="AV201" s="26" t="n">
        <f aca="false">SUMIFS(Permissions!$AL$2:$AL$3000,Permissions!$B$2:$B$3000,$A201,Permissions!$R$2:$R$3000,"Yes")</f>
        <v>0</v>
      </c>
      <c r="AW201" s="26" t="n">
        <f aca="false">SUMIFS(Permissions!$AM$2:$AM$3000,Permissions!$B$2:$B$3000,$A201,Permissions!$R$2:$R$3000,"Yes")</f>
        <v>0</v>
      </c>
      <c r="AX201" s="26" t="n">
        <f aca="false">SUMIFS(Permissions!$AN$2:$AN$3000,Permissions!$B$2:$B$3000,$A201,Permissions!$R$2:$R$3000,"Yes")</f>
        <v>0</v>
      </c>
      <c r="AY201" s="26" t="n">
        <f aca="false">SUMIFS(Permissions!$AO$2:$AO$3000,Permissions!$B$2:$B$3000,$A201,Permissions!$R$2:$R$3000,"Yes")</f>
        <v>0</v>
      </c>
      <c r="AZ201" s="24" t="n">
        <f aca="false">COUNTIFS(Permissions!$B$2:$B$3000,$A201,Permissions!$R$2:$R$3000,"Yes")</f>
        <v>4</v>
      </c>
      <c r="BA201" s="24" t="n">
        <f aca="false">SUMIFS(Permissions!$M$2:$M$3000,Permissions!$B$2:$B$3000,$A201,Permissions!$R$2:$R$3000,"Yes")</f>
        <v>169</v>
      </c>
      <c r="BB201" s="24" t="n">
        <f aca="false">SUMIFS(Permissions!$O$2:$O$3000,Permissions!$B$2:$B$3000,$A201,Permissions!$R$2:$R$3000,"Yes")</f>
        <v>0</v>
      </c>
      <c r="BC201" s="27" t="str">
        <f aca="false">IF(AND(AM201&gt;0,AR201&gt;=AM201,AP201=0),"Finished",IF(AR201&gt;0,"Partly built",IF(AM201&gt;0,"Consented – not built","No consent")))</f>
        <v>Partly built</v>
      </c>
      <c r="BD201" s="28" t="str">
        <f aca="false">IF(AND(R201&lt;&gt;"",AM201&gt;1.1*R201),"Consented above capacity",IF(AND(LEFT(B201,8)="Planning",AZ201=0),"Consent parcel with no permission",IF(COUNTIF($A$2:$A$3000,$A201)&gt;1,"Duplicate parcel_id","")))</f>
        <v/>
      </c>
    </row>
    <row r="202" customFormat="false" ht="15" hidden="false" customHeight="false" outlineLevel="0" collapsed="false">
      <c r="A202" s="15" t="s">
        <v>513</v>
      </c>
      <c r="B202" s="15" t="s">
        <v>12</v>
      </c>
      <c r="C202" s="15" t="s">
        <v>16</v>
      </c>
      <c r="D202" s="15" t="s">
        <v>52</v>
      </c>
      <c r="E202" s="15" t="s">
        <v>19</v>
      </c>
      <c r="F202" s="15" t="n">
        <v>1</v>
      </c>
      <c r="G202" s="15" t="s">
        <v>158</v>
      </c>
      <c r="H202" s="15"/>
      <c r="I202" s="15" t="s">
        <v>52</v>
      </c>
      <c r="J202" s="15" t="s">
        <v>211</v>
      </c>
      <c r="K202" s="15" t="s">
        <v>514</v>
      </c>
      <c r="L202" s="15"/>
      <c r="M202" s="15"/>
      <c r="N202" s="15"/>
      <c r="O202" s="15"/>
      <c r="P202" s="15" t="n">
        <v>3.249</v>
      </c>
      <c r="Q202" s="15" t="n">
        <v>3.249</v>
      </c>
      <c r="R202" s="15"/>
      <c r="S202" s="15" t="s">
        <v>459</v>
      </c>
      <c r="T202" s="15" t="n">
        <v>110</v>
      </c>
      <c r="U202" s="15"/>
      <c r="V202" s="15"/>
      <c r="W202" s="15"/>
      <c r="X202" s="15" t="s">
        <v>165</v>
      </c>
      <c r="Y202" s="15" t="n">
        <v>34</v>
      </c>
      <c r="Z202" s="15" t="s">
        <v>166</v>
      </c>
      <c r="AA202" s="15"/>
      <c r="AB202" s="15" t="n">
        <v>101</v>
      </c>
      <c r="AC202" s="15" t="n">
        <v>101</v>
      </c>
      <c r="AD202" s="15"/>
      <c r="AE202" s="15"/>
      <c r="AF202" s="15" t="s">
        <v>169</v>
      </c>
      <c r="AG202" s="15"/>
      <c r="AH202" s="24" t="n">
        <f aca="false">IF(R202="",AM202,R202)</f>
        <v>100</v>
      </c>
      <c r="AI202" s="24" t="n">
        <f aca="false">SUMIFS(Permissions!$G$2:$G$3000,Permissions!$B$2:$B$3000,$A202,Permissions!$I$2:$I$3000,"Complete",Permissions!$R$2:$R$3000,"Yes")</f>
        <v>38</v>
      </c>
      <c r="AJ202" s="24" t="n">
        <f aca="false">SUMIFS(Permissions!$G$2:$G$3000,Permissions!$B$2:$B$3000,$A202,Permissions!$I$2:$I$3000,"Under construction",Permissions!$R$2:$R$3000,"Yes")</f>
        <v>62</v>
      </c>
      <c r="AK202" s="24" t="n">
        <f aca="false">SUMIFS(Permissions!$G$2:$G$3000,Permissions!$B$2:$B$3000,$A202,Permissions!$I$2:$I$3000,"Permitted – not started",Permissions!$R$2:$R$3000,"Yes")</f>
        <v>0</v>
      </c>
      <c r="AL202" s="24" t="n">
        <f aca="false">SUMIFS(Permissions!$G$2:$G$3000,Permissions!$B$2:$B$3000,$A202,Permissions!$I$2:$I$3000,"Stalled",Permissions!$R$2:$R$3000,"Yes")</f>
        <v>0</v>
      </c>
      <c r="AM202" s="24" t="n">
        <f aca="false">AI202+AJ202+AK202+AL202</f>
        <v>100</v>
      </c>
      <c r="AN202" s="24" t="n">
        <f aca="false">SUMIFS(Permissions!$G$2:$G$3000,Permissions!$B$2:$B$3000,$A202,Permissions!$I$2:$I$3000,"Expired – not started",Permissions!$R$2:$R$3000,"Yes")</f>
        <v>0</v>
      </c>
      <c r="AO202" s="24" t="n">
        <f aca="false">SUMIFS(Permissions!$G$2:$G$3000,Permissions!$B$2:$B$3000,$A202,Permissions!$I$2:$I$3000,"In planning",Permissions!$R$2:$R$3000,"Yes")</f>
        <v>0</v>
      </c>
      <c r="AP202" s="24" t="n">
        <f aca="false">IF(R202="",0,MAX(R202-AM202,0))</f>
        <v>0</v>
      </c>
      <c r="AQ202" s="25" t="n">
        <f aca="false">AM202+AP202</f>
        <v>100</v>
      </c>
      <c r="AR202" s="24" t="n">
        <f aca="false">SUMIFS(Permissions!$L$2:$L$3000,Permissions!$B$2:$B$3000,$A202,Permissions!$R$2:$R$3000,"Yes",Permissions!$I$2:$I$3000,"&lt;&gt;Expired – not started",Permissions!$I$2:$I$3000,"&lt;&gt;In planning")</f>
        <v>61</v>
      </c>
      <c r="AS202" s="24" t="n">
        <f aca="false">AQ202-AR202</f>
        <v>39</v>
      </c>
      <c r="AT202" s="26" t="n">
        <f aca="false">SUMIFS(Permissions!$AJ$2:$AJ$3000,Permissions!$B$2:$B$3000,$A202,Permissions!$R$2:$R$3000,"Yes")</f>
        <v>14.4</v>
      </c>
      <c r="AU202" s="26" t="n">
        <f aca="false">SUMIFS(Permissions!$AK$2:$AK$3000,Permissions!$B$2:$B$3000,$A202,Permissions!$R$2:$R$3000,"Yes")</f>
        <v>47.6</v>
      </c>
      <c r="AV202" s="26" t="n">
        <f aca="false">SUMIFS(Permissions!$AL$2:$AL$3000,Permissions!$B$2:$B$3000,$A202,Permissions!$R$2:$R$3000,"Yes")</f>
        <v>0</v>
      </c>
      <c r="AW202" s="26" t="n">
        <f aca="false">SUMIFS(Permissions!$AM$2:$AM$3000,Permissions!$B$2:$B$3000,$A202,Permissions!$R$2:$R$3000,"Yes")</f>
        <v>0</v>
      </c>
      <c r="AX202" s="26" t="n">
        <f aca="false">SUMIFS(Permissions!$AN$2:$AN$3000,Permissions!$B$2:$B$3000,$A202,Permissions!$R$2:$R$3000,"Yes")</f>
        <v>0</v>
      </c>
      <c r="AY202" s="26" t="n">
        <f aca="false">SUMIFS(Permissions!$AO$2:$AO$3000,Permissions!$B$2:$B$3000,$A202,Permissions!$R$2:$R$3000,"Yes")</f>
        <v>0</v>
      </c>
      <c r="AZ202" s="24" t="n">
        <f aca="false">COUNTIFS(Permissions!$B$2:$B$3000,$A202,Permissions!$R$2:$R$3000,"Yes")</f>
        <v>2</v>
      </c>
      <c r="BA202" s="24" t="n">
        <f aca="false">SUMIFS(Permissions!$M$2:$M$3000,Permissions!$B$2:$B$3000,$A202,Permissions!$R$2:$R$3000,"Yes")</f>
        <v>61</v>
      </c>
      <c r="BB202" s="24" t="n">
        <f aca="false">SUMIFS(Permissions!$O$2:$O$3000,Permissions!$B$2:$B$3000,$A202,Permissions!$R$2:$R$3000,"Yes")</f>
        <v>0</v>
      </c>
      <c r="BC202" s="27" t="str">
        <f aca="false">IF(AND(AM202&gt;0,AR202&gt;=AM202,AP202=0),"Finished",IF(AR202&gt;0,"Partly built",IF(AM202&gt;0,"Consented – not built","No consent")))</f>
        <v>Partly built</v>
      </c>
      <c r="BD202" s="28" t="str">
        <f aca="false">IF(AND(R202&lt;&gt;"",AM202&gt;1.1*R202),"Consented above capacity",IF(AND(LEFT(B202,8)="Planning",AZ202=0),"Consent parcel with no permission",IF(COUNTIF($A$2:$A$3000,$A202)&gt;1,"Duplicate parcel_id","")))</f>
        <v/>
      </c>
    </row>
    <row r="203" customFormat="false" ht="15" hidden="false" customHeight="false" outlineLevel="0" collapsed="false">
      <c r="A203" s="15" t="s">
        <v>515</v>
      </c>
      <c r="B203" s="15" t="s">
        <v>12</v>
      </c>
      <c r="C203" s="15" t="s">
        <v>16</v>
      </c>
      <c r="D203" s="15" t="s">
        <v>52</v>
      </c>
      <c r="E203" s="15" t="s">
        <v>19</v>
      </c>
      <c r="F203" s="15" t="n">
        <v>1</v>
      </c>
      <c r="G203" s="15" t="s">
        <v>158</v>
      </c>
      <c r="H203" s="15"/>
      <c r="I203" s="15" t="s">
        <v>52</v>
      </c>
      <c r="J203" s="15" t="s">
        <v>211</v>
      </c>
      <c r="K203" s="15" t="s">
        <v>516</v>
      </c>
      <c r="L203" s="15"/>
      <c r="M203" s="15"/>
      <c r="N203" s="15"/>
      <c r="O203" s="15"/>
      <c r="P203" s="15" t="n">
        <v>0.085</v>
      </c>
      <c r="Q203" s="15" t="n">
        <v>0.085</v>
      </c>
      <c r="R203" s="15"/>
      <c r="S203" s="15" t="s">
        <v>459</v>
      </c>
      <c r="T203" s="15" t="n">
        <v>3</v>
      </c>
      <c r="U203" s="15"/>
      <c r="V203" s="15"/>
      <c r="W203" s="15"/>
      <c r="X203" s="15" t="s">
        <v>165</v>
      </c>
      <c r="Y203" s="15" t="n">
        <v>34</v>
      </c>
      <c r="Z203" s="15" t="s">
        <v>166</v>
      </c>
      <c r="AA203" s="15"/>
      <c r="AB203" s="15" t="n">
        <v>1</v>
      </c>
      <c r="AC203" s="15" t="n">
        <v>1</v>
      </c>
      <c r="AD203" s="15"/>
      <c r="AE203" s="15"/>
      <c r="AF203" s="15" t="s">
        <v>169</v>
      </c>
      <c r="AG203" s="15"/>
      <c r="AH203" s="24" t="n">
        <f aca="false">IF(R203="",AM203,R203)</f>
        <v>2</v>
      </c>
      <c r="AI203" s="24" t="n">
        <f aca="false">SUMIFS(Permissions!$G$2:$G$3000,Permissions!$B$2:$B$3000,$A203,Permissions!$I$2:$I$3000,"Complete",Permissions!$R$2:$R$3000,"Yes")</f>
        <v>0</v>
      </c>
      <c r="AJ203" s="24" t="n">
        <f aca="false">SUMIFS(Permissions!$G$2:$G$3000,Permissions!$B$2:$B$3000,$A203,Permissions!$I$2:$I$3000,"Under construction",Permissions!$R$2:$R$3000,"Yes")</f>
        <v>2</v>
      </c>
      <c r="AK203" s="24" t="n">
        <f aca="false">SUMIFS(Permissions!$G$2:$G$3000,Permissions!$B$2:$B$3000,$A203,Permissions!$I$2:$I$3000,"Permitted – not started",Permissions!$R$2:$R$3000,"Yes")</f>
        <v>0</v>
      </c>
      <c r="AL203" s="24" t="n">
        <f aca="false">SUMIFS(Permissions!$G$2:$G$3000,Permissions!$B$2:$B$3000,$A203,Permissions!$I$2:$I$3000,"Stalled",Permissions!$R$2:$R$3000,"Yes")</f>
        <v>0</v>
      </c>
      <c r="AM203" s="24" t="n">
        <f aca="false">AI203+AJ203+AK203+AL203</f>
        <v>2</v>
      </c>
      <c r="AN203" s="24" t="n">
        <f aca="false">SUMIFS(Permissions!$G$2:$G$3000,Permissions!$B$2:$B$3000,$A203,Permissions!$I$2:$I$3000,"Expired – not started",Permissions!$R$2:$R$3000,"Yes")</f>
        <v>0</v>
      </c>
      <c r="AO203" s="24" t="n">
        <f aca="false">SUMIFS(Permissions!$G$2:$G$3000,Permissions!$B$2:$B$3000,$A203,Permissions!$I$2:$I$3000,"In planning",Permissions!$R$2:$R$3000,"Yes")</f>
        <v>0</v>
      </c>
      <c r="AP203" s="24" t="n">
        <f aca="false">IF(R203="",0,MAX(R203-AM203,0))</f>
        <v>0</v>
      </c>
      <c r="AQ203" s="25" t="n">
        <f aca="false">AM203+AP203</f>
        <v>2</v>
      </c>
      <c r="AR203" s="24" t="n">
        <f aca="false">SUMIFS(Permissions!$L$2:$L$3000,Permissions!$B$2:$B$3000,$A203,Permissions!$R$2:$R$3000,"Yes",Permissions!$I$2:$I$3000,"&lt;&gt;Expired – not started",Permissions!$I$2:$I$3000,"&lt;&gt;In planning")</f>
        <v>1</v>
      </c>
      <c r="AS203" s="24" t="n">
        <f aca="false">AQ203-AR203</f>
        <v>1</v>
      </c>
      <c r="AT203" s="26" t="n">
        <f aca="false">SUMIFS(Permissions!$AJ$2:$AJ$3000,Permissions!$B$2:$B$3000,$A203,Permissions!$R$2:$R$3000,"Yes")</f>
        <v>0.5</v>
      </c>
      <c r="AU203" s="26" t="n">
        <f aca="false">SUMIFS(Permissions!$AK$2:$AK$3000,Permissions!$B$2:$B$3000,$A203,Permissions!$R$2:$R$3000,"Yes")</f>
        <v>1.5</v>
      </c>
      <c r="AV203" s="26" t="n">
        <f aca="false">SUMIFS(Permissions!$AL$2:$AL$3000,Permissions!$B$2:$B$3000,$A203,Permissions!$R$2:$R$3000,"Yes")</f>
        <v>0</v>
      </c>
      <c r="AW203" s="26" t="n">
        <f aca="false">SUMIFS(Permissions!$AM$2:$AM$3000,Permissions!$B$2:$B$3000,$A203,Permissions!$R$2:$R$3000,"Yes")</f>
        <v>0</v>
      </c>
      <c r="AX203" s="26" t="n">
        <f aca="false">SUMIFS(Permissions!$AN$2:$AN$3000,Permissions!$B$2:$B$3000,$A203,Permissions!$R$2:$R$3000,"Yes")</f>
        <v>0</v>
      </c>
      <c r="AY203" s="26" t="n">
        <f aca="false">SUMIFS(Permissions!$AO$2:$AO$3000,Permissions!$B$2:$B$3000,$A203,Permissions!$R$2:$R$3000,"Yes")</f>
        <v>0</v>
      </c>
      <c r="AZ203" s="24" t="n">
        <f aca="false">COUNTIFS(Permissions!$B$2:$B$3000,$A203,Permissions!$R$2:$R$3000,"Yes")</f>
        <v>1</v>
      </c>
      <c r="BA203" s="24" t="n">
        <f aca="false">SUMIFS(Permissions!$M$2:$M$3000,Permissions!$B$2:$B$3000,$A203,Permissions!$R$2:$R$3000,"Yes")</f>
        <v>1</v>
      </c>
      <c r="BB203" s="24" t="n">
        <f aca="false">SUMIFS(Permissions!$O$2:$O$3000,Permissions!$B$2:$B$3000,$A203,Permissions!$R$2:$R$3000,"Yes")</f>
        <v>0</v>
      </c>
      <c r="BC203" s="27" t="str">
        <f aca="false">IF(AND(AM203&gt;0,AR203&gt;=AM203,AP203=0),"Finished",IF(AR203&gt;0,"Partly built",IF(AM203&gt;0,"Consented – not built","No consent")))</f>
        <v>Partly built</v>
      </c>
      <c r="BD203" s="28" t="str">
        <f aca="false">IF(AND(R203&lt;&gt;"",AM203&gt;1.1*R203),"Consented above capacity",IF(AND(LEFT(B203,8)="Planning",AZ203=0),"Consent parcel with no permission",IF(COUNTIF($A$2:$A$3000,$A203)&gt;1,"Duplicate parcel_id","")))</f>
        <v/>
      </c>
    </row>
    <row r="204" customFormat="false" ht="15" hidden="false" customHeight="false" outlineLevel="0" collapsed="false">
      <c r="A204" s="15" t="s">
        <v>517</v>
      </c>
      <c r="B204" s="15" t="s">
        <v>12</v>
      </c>
      <c r="C204" s="15" t="s">
        <v>16</v>
      </c>
      <c r="D204" s="15" t="s">
        <v>52</v>
      </c>
      <c r="E204" s="15" t="s">
        <v>19</v>
      </c>
      <c r="F204" s="15" t="n">
        <v>1</v>
      </c>
      <c r="G204" s="15" t="s">
        <v>158</v>
      </c>
      <c r="H204" s="15"/>
      <c r="I204" s="15" t="s">
        <v>52</v>
      </c>
      <c r="J204" s="15" t="s">
        <v>211</v>
      </c>
      <c r="K204" s="15" t="s">
        <v>518</v>
      </c>
      <c r="L204" s="15"/>
      <c r="M204" s="15"/>
      <c r="N204" s="15"/>
      <c r="O204" s="15"/>
      <c r="P204" s="15" t="n">
        <v>0.81</v>
      </c>
      <c r="Q204" s="15" t="n">
        <v>0.81</v>
      </c>
      <c r="R204" s="15"/>
      <c r="S204" s="15" t="s">
        <v>459</v>
      </c>
      <c r="T204" s="15" t="n">
        <v>28</v>
      </c>
      <c r="U204" s="15"/>
      <c r="V204" s="15"/>
      <c r="W204" s="15"/>
      <c r="X204" s="15" t="s">
        <v>165</v>
      </c>
      <c r="Y204" s="15" t="n">
        <v>34</v>
      </c>
      <c r="Z204" s="15" t="s">
        <v>166</v>
      </c>
      <c r="AA204" s="15"/>
      <c r="AB204" s="15" t="n">
        <v>13</v>
      </c>
      <c r="AC204" s="15" t="n">
        <v>13</v>
      </c>
      <c r="AD204" s="15"/>
      <c r="AE204" s="15"/>
      <c r="AF204" s="15" t="s">
        <v>169</v>
      </c>
      <c r="AG204" s="15"/>
      <c r="AH204" s="24" t="n">
        <f aca="false">IF(R204="",AM204,R204)</f>
        <v>14</v>
      </c>
      <c r="AI204" s="24" t="n">
        <f aca="false">SUMIFS(Permissions!$G$2:$G$3000,Permissions!$B$2:$B$3000,$A204,Permissions!$I$2:$I$3000,"Complete",Permissions!$R$2:$R$3000,"Yes")</f>
        <v>0</v>
      </c>
      <c r="AJ204" s="24" t="n">
        <f aca="false">SUMIFS(Permissions!$G$2:$G$3000,Permissions!$B$2:$B$3000,$A204,Permissions!$I$2:$I$3000,"Under construction",Permissions!$R$2:$R$3000,"Yes")</f>
        <v>14</v>
      </c>
      <c r="AK204" s="24" t="n">
        <f aca="false">SUMIFS(Permissions!$G$2:$G$3000,Permissions!$B$2:$B$3000,$A204,Permissions!$I$2:$I$3000,"Permitted – not started",Permissions!$R$2:$R$3000,"Yes")</f>
        <v>0</v>
      </c>
      <c r="AL204" s="24" t="n">
        <f aca="false">SUMIFS(Permissions!$G$2:$G$3000,Permissions!$B$2:$B$3000,$A204,Permissions!$I$2:$I$3000,"Stalled",Permissions!$R$2:$R$3000,"Yes")</f>
        <v>0</v>
      </c>
      <c r="AM204" s="24" t="n">
        <f aca="false">AI204+AJ204+AK204+AL204</f>
        <v>14</v>
      </c>
      <c r="AN204" s="24" t="n">
        <f aca="false">SUMIFS(Permissions!$G$2:$G$3000,Permissions!$B$2:$B$3000,$A204,Permissions!$I$2:$I$3000,"Expired – not started",Permissions!$R$2:$R$3000,"Yes")</f>
        <v>0</v>
      </c>
      <c r="AO204" s="24" t="n">
        <f aca="false">SUMIFS(Permissions!$G$2:$G$3000,Permissions!$B$2:$B$3000,$A204,Permissions!$I$2:$I$3000,"In planning",Permissions!$R$2:$R$3000,"Yes")</f>
        <v>0</v>
      </c>
      <c r="AP204" s="24" t="n">
        <f aca="false">IF(R204="",0,MAX(R204-AM204,0))</f>
        <v>0</v>
      </c>
      <c r="AQ204" s="25" t="n">
        <f aca="false">AM204+AP204</f>
        <v>14</v>
      </c>
      <c r="AR204" s="24" t="n">
        <f aca="false">SUMIFS(Permissions!$L$2:$L$3000,Permissions!$B$2:$B$3000,$A204,Permissions!$R$2:$R$3000,"Yes",Permissions!$I$2:$I$3000,"&lt;&gt;Expired – not started",Permissions!$I$2:$I$3000,"&lt;&gt;In planning")</f>
        <v>0</v>
      </c>
      <c r="AS204" s="24" t="n">
        <f aca="false">AQ204-AR204</f>
        <v>14</v>
      </c>
      <c r="AT204" s="26" t="n">
        <f aca="false">SUMIFS(Permissions!$AJ$2:$AJ$3000,Permissions!$B$2:$B$3000,$A204,Permissions!$R$2:$R$3000,"Yes")</f>
        <v>3.3</v>
      </c>
      <c r="AU204" s="26" t="n">
        <f aca="false">SUMIFS(Permissions!$AK$2:$AK$3000,Permissions!$B$2:$B$3000,$A204,Permissions!$R$2:$R$3000,"Yes")</f>
        <v>10.7</v>
      </c>
      <c r="AV204" s="26" t="n">
        <f aca="false">SUMIFS(Permissions!$AL$2:$AL$3000,Permissions!$B$2:$B$3000,$A204,Permissions!$R$2:$R$3000,"Yes")</f>
        <v>0</v>
      </c>
      <c r="AW204" s="26" t="n">
        <f aca="false">SUMIFS(Permissions!$AM$2:$AM$3000,Permissions!$B$2:$B$3000,$A204,Permissions!$R$2:$R$3000,"Yes")</f>
        <v>0</v>
      </c>
      <c r="AX204" s="26" t="n">
        <f aca="false">SUMIFS(Permissions!$AN$2:$AN$3000,Permissions!$B$2:$B$3000,$A204,Permissions!$R$2:$R$3000,"Yes")</f>
        <v>0</v>
      </c>
      <c r="AY204" s="26" t="n">
        <f aca="false">SUMIFS(Permissions!$AO$2:$AO$3000,Permissions!$B$2:$B$3000,$A204,Permissions!$R$2:$R$3000,"Yes")</f>
        <v>0</v>
      </c>
      <c r="AZ204" s="24" t="n">
        <f aca="false">COUNTIFS(Permissions!$B$2:$B$3000,$A204,Permissions!$R$2:$R$3000,"Yes")</f>
        <v>1</v>
      </c>
      <c r="BA204" s="24" t="n">
        <f aca="false">SUMIFS(Permissions!$M$2:$M$3000,Permissions!$B$2:$B$3000,$A204,Permissions!$R$2:$R$3000,"Yes")</f>
        <v>0</v>
      </c>
      <c r="BB204" s="24" t="n">
        <f aca="false">SUMIFS(Permissions!$O$2:$O$3000,Permissions!$B$2:$B$3000,$A204,Permissions!$R$2:$R$3000,"Yes")</f>
        <v>0</v>
      </c>
      <c r="BC204" s="27" t="str">
        <f aca="false">IF(AND(AM204&gt;0,AR204&gt;=AM204,AP204=0),"Finished",IF(AR204&gt;0,"Partly built",IF(AM204&gt;0,"Consented – not built","No consent")))</f>
        <v>Consented – not built</v>
      </c>
      <c r="BD204" s="28" t="str">
        <f aca="false">IF(AND(R204&lt;&gt;"",AM204&gt;1.1*R204),"Consented above capacity",IF(AND(LEFT(B204,8)="Planning",AZ204=0),"Consent parcel with no permission",IF(COUNTIF($A$2:$A$3000,$A204)&gt;1,"Duplicate parcel_id","")))</f>
        <v/>
      </c>
    </row>
    <row r="205" customFormat="false" ht="15" hidden="false" customHeight="false" outlineLevel="0" collapsed="false">
      <c r="A205" s="15" t="s">
        <v>519</v>
      </c>
      <c r="B205" s="15" t="s">
        <v>12</v>
      </c>
      <c r="C205" s="15" t="s">
        <v>16</v>
      </c>
      <c r="D205" s="15" t="s">
        <v>52</v>
      </c>
      <c r="E205" s="15" t="s">
        <v>19</v>
      </c>
      <c r="F205" s="15" t="n">
        <v>1</v>
      </c>
      <c r="G205" s="15" t="s">
        <v>158</v>
      </c>
      <c r="H205" s="15"/>
      <c r="I205" s="15" t="s">
        <v>52</v>
      </c>
      <c r="J205" s="15" t="s">
        <v>211</v>
      </c>
      <c r="K205" s="15" t="s">
        <v>520</v>
      </c>
      <c r="L205" s="15"/>
      <c r="M205" s="15"/>
      <c r="N205" s="15"/>
      <c r="O205" s="15"/>
      <c r="P205" s="15" t="n">
        <v>3.097</v>
      </c>
      <c r="Q205" s="15" t="n">
        <v>3.097</v>
      </c>
      <c r="R205" s="15"/>
      <c r="S205" s="15" t="s">
        <v>459</v>
      </c>
      <c r="T205" s="15" t="n">
        <v>105</v>
      </c>
      <c r="U205" s="15"/>
      <c r="V205" s="15"/>
      <c r="W205" s="15"/>
      <c r="X205" s="15" t="s">
        <v>165</v>
      </c>
      <c r="Y205" s="15" t="n">
        <v>34</v>
      </c>
      <c r="Z205" s="15" t="s">
        <v>166</v>
      </c>
      <c r="AA205" s="15"/>
      <c r="AB205" s="15" t="n">
        <v>57</v>
      </c>
      <c r="AC205" s="15" t="n">
        <v>56</v>
      </c>
      <c r="AD205" s="15"/>
      <c r="AE205" s="15"/>
      <c r="AF205" s="15" t="s">
        <v>169</v>
      </c>
      <c r="AG205" s="15"/>
      <c r="AH205" s="24" t="n">
        <f aca="false">IF(R205="",AM205,R205)</f>
        <v>122</v>
      </c>
      <c r="AI205" s="24" t="n">
        <f aca="false">SUMIFS(Permissions!$G$2:$G$3000,Permissions!$B$2:$B$3000,$A205,Permissions!$I$2:$I$3000,"Complete",Permissions!$R$2:$R$3000,"Yes")</f>
        <v>0</v>
      </c>
      <c r="AJ205" s="24" t="n">
        <f aca="false">SUMIFS(Permissions!$G$2:$G$3000,Permissions!$B$2:$B$3000,$A205,Permissions!$I$2:$I$3000,"Under construction",Permissions!$R$2:$R$3000,"Yes")</f>
        <v>122</v>
      </c>
      <c r="AK205" s="24" t="n">
        <f aca="false">SUMIFS(Permissions!$G$2:$G$3000,Permissions!$B$2:$B$3000,$A205,Permissions!$I$2:$I$3000,"Permitted – not started",Permissions!$R$2:$R$3000,"Yes")</f>
        <v>0</v>
      </c>
      <c r="AL205" s="24" t="n">
        <f aca="false">SUMIFS(Permissions!$G$2:$G$3000,Permissions!$B$2:$B$3000,$A205,Permissions!$I$2:$I$3000,"Stalled",Permissions!$R$2:$R$3000,"Yes")</f>
        <v>0</v>
      </c>
      <c r="AM205" s="24" t="n">
        <f aca="false">AI205+AJ205+AK205+AL205</f>
        <v>122</v>
      </c>
      <c r="AN205" s="24" t="n">
        <f aca="false">SUMIFS(Permissions!$G$2:$G$3000,Permissions!$B$2:$B$3000,$A205,Permissions!$I$2:$I$3000,"Expired – not started",Permissions!$R$2:$R$3000,"Yes")</f>
        <v>0</v>
      </c>
      <c r="AO205" s="24" t="n">
        <f aca="false">SUMIFS(Permissions!$G$2:$G$3000,Permissions!$B$2:$B$3000,$A205,Permissions!$I$2:$I$3000,"In planning",Permissions!$R$2:$R$3000,"Yes")</f>
        <v>0</v>
      </c>
      <c r="AP205" s="24" t="n">
        <f aca="false">IF(R205="",0,MAX(R205-AM205,0))</f>
        <v>0</v>
      </c>
      <c r="AQ205" s="25" t="n">
        <f aca="false">AM205+AP205</f>
        <v>122</v>
      </c>
      <c r="AR205" s="24" t="n">
        <f aca="false">SUMIFS(Permissions!$L$2:$L$3000,Permissions!$B$2:$B$3000,$A205,Permissions!$R$2:$R$3000,"Yes",Permissions!$I$2:$I$3000,"&lt;&gt;Expired – not started",Permissions!$I$2:$I$3000,"&lt;&gt;In planning")</f>
        <v>0</v>
      </c>
      <c r="AS205" s="24" t="n">
        <f aca="false">AQ205-AR205</f>
        <v>122</v>
      </c>
      <c r="AT205" s="26" t="n">
        <f aca="false">SUMIFS(Permissions!$AJ$2:$AJ$3000,Permissions!$B$2:$B$3000,$A205,Permissions!$R$2:$R$3000,"Yes")</f>
        <v>28.4</v>
      </c>
      <c r="AU205" s="26" t="n">
        <f aca="false">SUMIFS(Permissions!$AK$2:$AK$3000,Permissions!$B$2:$B$3000,$A205,Permissions!$R$2:$R$3000,"Yes")</f>
        <v>93.6</v>
      </c>
      <c r="AV205" s="26" t="n">
        <f aca="false">SUMIFS(Permissions!$AL$2:$AL$3000,Permissions!$B$2:$B$3000,$A205,Permissions!$R$2:$R$3000,"Yes")</f>
        <v>0</v>
      </c>
      <c r="AW205" s="26" t="n">
        <f aca="false">SUMIFS(Permissions!$AM$2:$AM$3000,Permissions!$B$2:$B$3000,$A205,Permissions!$R$2:$R$3000,"Yes")</f>
        <v>0</v>
      </c>
      <c r="AX205" s="26" t="n">
        <f aca="false">SUMIFS(Permissions!$AN$2:$AN$3000,Permissions!$B$2:$B$3000,$A205,Permissions!$R$2:$R$3000,"Yes")</f>
        <v>0</v>
      </c>
      <c r="AY205" s="26" t="n">
        <f aca="false">SUMIFS(Permissions!$AO$2:$AO$3000,Permissions!$B$2:$B$3000,$A205,Permissions!$R$2:$R$3000,"Yes")</f>
        <v>0</v>
      </c>
      <c r="AZ205" s="24" t="n">
        <f aca="false">COUNTIFS(Permissions!$B$2:$B$3000,$A205,Permissions!$R$2:$R$3000,"Yes")</f>
        <v>1</v>
      </c>
      <c r="BA205" s="24" t="n">
        <f aca="false">SUMIFS(Permissions!$M$2:$M$3000,Permissions!$B$2:$B$3000,$A205,Permissions!$R$2:$R$3000,"Yes")</f>
        <v>0</v>
      </c>
      <c r="BB205" s="24" t="n">
        <f aca="false">SUMIFS(Permissions!$O$2:$O$3000,Permissions!$B$2:$B$3000,$A205,Permissions!$R$2:$R$3000,"Yes")</f>
        <v>0</v>
      </c>
      <c r="BC205" s="27" t="str">
        <f aca="false">IF(AND(AM205&gt;0,AR205&gt;=AM205,AP205=0),"Finished",IF(AR205&gt;0,"Partly built",IF(AM205&gt;0,"Consented – not built","No consent")))</f>
        <v>Consented – not built</v>
      </c>
      <c r="BD205" s="28" t="str">
        <f aca="false">IF(AND(R205&lt;&gt;"",AM205&gt;1.1*R205),"Consented above capacity",IF(AND(LEFT(B205,8)="Planning",AZ205=0),"Consent parcel with no permission",IF(COUNTIF($A$2:$A$3000,$A205)&gt;1,"Duplicate parcel_id","")))</f>
        <v/>
      </c>
    </row>
    <row r="206" customFormat="false" ht="15" hidden="false" customHeight="false" outlineLevel="0" collapsed="false">
      <c r="A206" s="15" t="s">
        <v>521</v>
      </c>
      <c r="B206" s="15" t="s">
        <v>12</v>
      </c>
      <c r="C206" s="15" t="s">
        <v>16</v>
      </c>
      <c r="D206" s="15" t="s">
        <v>52</v>
      </c>
      <c r="E206" s="15" t="s">
        <v>19</v>
      </c>
      <c r="F206" s="15" t="n">
        <v>1</v>
      </c>
      <c r="G206" s="15" t="s">
        <v>158</v>
      </c>
      <c r="H206" s="15"/>
      <c r="I206" s="15" t="s">
        <v>52</v>
      </c>
      <c r="J206" s="15" t="s">
        <v>211</v>
      </c>
      <c r="K206" s="15" t="s">
        <v>522</v>
      </c>
      <c r="L206" s="15"/>
      <c r="M206" s="15"/>
      <c r="N206" s="15"/>
      <c r="O206" s="15"/>
      <c r="P206" s="15" t="n">
        <v>0.196</v>
      </c>
      <c r="Q206" s="15" t="n">
        <v>0.196</v>
      </c>
      <c r="R206" s="15"/>
      <c r="S206" s="15" t="s">
        <v>459</v>
      </c>
      <c r="T206" s="15" t="n">
        <v>7</v>
      </c>
      <c r="U206" s="15"/>
      <c r="V206" s="15"/>
      <c r="W206" s="15"/>
      <c r="X206" s="15" t="s">
        <v>165</v>
      </c>
      <c r="Y206" s="15" t="n">
        <v>34</v>
      </c>
      <c r="Z206" s="15" t="s">
        <v>166</v>
      </c>
      <c r="AA206" s="15"/>
      <c r="AB206" s="15" t="n">
        <v>0</v>
      </c>
      <c r="AC206" s="15" t="n">
        <v>0</v>
      </c>
      <c r="AD206" s="15"/>
      <c r="AE206" s="15" t="s">
        <v>486</v>
      </c>
      <c r="AF206" s="15" t="s">
        <v>169</v>
      </c>
      <c r="AG206" s="15"/>
      <c r="AH206" s="24" t="n">
        <f aca="false">IF(R206="",AM206,R206)</f>
        <v>6</v>
      </c>
      <c r="AI206" s="24" t="n">
        <f aca="false">SUMIFS(Permissions!$G$2:$G$3000,Permissions!$B$2:$B$3000,$A206,Permissions!$I$2:$I$3000,"Complete",Permissions!$R$2:$R$3000,"Yes")</f>
        <v>0</v>
      </c>
      <c r="AJ206" s="24" t="n">
        <f aca="false">SUMIFS(Permissions!$G$2:$G$3000,Permissions!$B$2:$B$3000,$A206,Permissions!$I$2:$I$3000,"Under construction",Permissions!$R$2:$R$3000,"Yes")</f>
        <v>6</v>
      </c>
      <c r="AK206" s="24" t="n">
        <f aca="false">SUMIFS(Permissions!$G$2:$G$3000,Permissions!$B$2:$B$3000,$A206,Permissions!$I$2:$I$3000,"Permitted – not started",Permissions!$R$2:$R$3000,"Yes")</f>
        <v>0</v>
      </c>
      <c r="AL206" s="24" t="n">
        <f aca="false">SUMIFS(Permissions!$G$2:$G$3000,Permissions!$B$2:$B$3000,$A206,Permissions!$I$2:$I$3000,"Stalled",Permissions!$R$2:$R$3000,"Yes")</f>
        <v>0</v>
      </c>
      <c r="AM206" s="24" t="n">
        <f aca="false">AI206+AJ206+AK206+AL206</f>
        <v>6</v>
      </c>
      <c r="AN206" s="24" t="n">
        <f aca="false">SUMIFS(Permissions!$G$2:$G$3000,Permissions!$B$2:$B$3000,$A206,Permissions!$I$2:$I$3000,"Expired – not started",Permissions!$R$2:$R$3000,"Yes")</f>
        <v>0</v>
      </c>
      <c r="AO206" s="24" t="n">
        <f aca="false">SUMIFS(Permissions!$G$2:$G$3000,Permissions!$B$2:$B$3000,$A206,Permissions!$I$2:$I$3000,"In planning",Permissions!$R$2:$R$3000,"Yes")</f>
        <v>0</v>
      </c>
      <c r="AP206" s="24" t="n">
        <f aca="false">IF(R206="",0,MAX(R206-AM206,0))</f>
        <v>0</v>
      </c>
      <c r="AQ206" s="25" t="n">
        <f aca="false">AM206+AP206</f>
        <v>6</v>
      </c>
      <c r="AR206" s="24" t="n">
        <f aca="false">SUMIFS(Permissions!$L$2:$L$3000,Permissions!$B$2:$B$3000,$A206,Permissions!$R$2:$R$3000,"Yes",Permissions!$I$2:$I$3000,"&lt;&gt;Expired – not started",Permissions!$I$2:$I$3000,"&lt;&gt;In planning")</f>
        <v>0</v>
      </c>
      <c r="AS206" s="24" t="n">
        <f aca="false">AQ206-AR206</f>
        <v>6</v>
      </c>
      <c r="AT206" s="26" t="n">
        <f aca="false">SUMIFS(Permissions!$AJ$2:$AJ$3000,Permissions!$B$2:$B$3000,$A206,Permissions!$R$2:$R$3000,"Yes")</f>
        <v>0</v>
      </c>
      <c r="AU206" s="26" t="n">
        <f aca="false">SUMIFS(Permissions!$AK$2:$AK$3000,Permissions!$B$2:$B$3000,$A206,Permissions!$R$2:$R$3000,"Yes")</f>
        <v>4.7</v>
      </c>
      <c r="AV206" s="26" t="n">
        <f aca="false">SUMIFS(Permissions!$AL$2:$AL$3000,Permissions!$B$2:$B$3000,$A206,Permissions!$R$2:$R$3000,"Yes")</f>
        <v>1.3</v>
      </c>
      <c r="AW206" s="26" t="n">
        <f aca="false">SUMIFS(Permissions!$AM$2:$AM$3000,Permissions!$B$2:$B$3000,$A206,Permissions!$R$2:$R$3000,"Yes")</f>
        <v>0</v>
      </c>
      <c r="AX206" s="26" t="n">
        <f aca="false">SUMIFS(Permissions!$AN$2:$AN$3000,Permissions!$B$2:$B$3000,$A206,Permissions!$R$2:$R$3000,"Yes")</f>
        <v>0</v>
      </c>
      <c r="AY206" s="26" t="n">
        <f aca="false">SUMIFS(Permissions!$AO$2:$AO$3000,Permissions!$B$2:$B$3000,$A206,Permissions!$R$2:$R$3000,"Yes")</f>
        <v>0</v>
      </c>
      <c r="AZ206" s="24" t="n">
        <f aca="false">COUNTIFS(Permissions!$B$2:$B$3000,$A206,Permissions!$R$2:$R$3000,"Yes")</f>
        <v>1</v>
      </c>
      <c r="BA206" s="24" t="n">
        <f aca="false">SUMIFS(Permissions!$M$2:$M$3000,Permissions!$B$2:$B$3000,$A206,Permissions!$R$2:$R$3000,"Yes")</f>
        <v>0</v>
      </c>
      <c r="BB206" s="24" t="n">
        <f aca="false">SUMIFS(Permissions!$O$2:$O$3000,Permissions!$B$2:$B$3000,$A206,Permissions!$R$2:$R$3000,"Yes")</f>
        <v>0</v>
      </c>
      <c r="BC206" s="27" t="str">
        <f aca="false">IF(AND(AM206&gt;0,AR206&gt;=AM206,AP206=0),"Finished",IF(AR206&gt;0,"Partly built",IF(AM206&gt;0,"Consented – not built","No consent")))</f>
        <v>Consented – not built</v>
      </c>
      <c r="BD206" s="28" t="str">
        <f aca="false">IF(AND(R206&lt;&gt;"",AM206&gt;1.1*R206),"Consented above capacity",IF(AND(LEFT(B206,8)="Planning",AZ206=0),"Consent parcel with no permission",IF(COUNTIF($A$2:$A$3000,$A206)&gt;1,"Duplicate parcel_id","")))</f>
        <v/>
      </c>
    </row>
    <row r="207" customFormat="false" ht="15" hidden="false" customHeight="false" outlineLevel="0" collapsed="false">
      <c r="A207" s="15" t="s">
        <v>523</v>
      </c>
      <c r="B207" s="15" t="s">
        <v>12</v>
      </c>
      <c r="C207" s="15" t="s">
        <v>16</v>
      </c>
      <c r="D207" s="15" t="s">
        <v>52</v>
      </c>
      <c r="E207" s="15" t="s">
        <v>19</v>
      </c>
      <c r="F207" s="15" t="n">
        <v>1</v>
      </c>
      <c r="G207" s="15" t="s">
        <v>158</v>
      </c>
      <c r="H207" s="15"/>
      <c r="I207" s="15" t="s">
        <v>52</v>
      </c>
      <c r="J207" s="15" t="s">
        <v>211</v>
      </c>
      <c r="K207" s="15" t="s">
        <v>524</v>
      </c>
      <c r="L207" s="15"/>
      <c r="M207" s="15"/>
      <c r="N207" s="15"/>
      <c r="O207" s="15"/>
      <c r="P207" s="15" t="n">
        <v>0.196</v>
      </c>
      <c r="Q207" s="15" t="n">
        <v>0.196</v>
      </c>
      <c r="R207" s="15"/>
      <c r="S207" s="15" t="s">
        <v>459</v>
      </c>
      <c r="T207" s="15" t="n">
        <v>7</v>
      </c>
      <c r="U207" s="15"/>
      <c r="V207" s="15"/>
      <c r="W207" s="15"/>
      <c r="X207" s="15" t="s">
        <v>165</v>
      </c>
      <c r="Y207" s="15" t="n">
        <v>34</v>
      </c>
      <c r="Z207" s="15" t="s">
        <v>166</v>
      </c>
      <c r="AA207" s="15"/>
      <c r="AB207" s="15" t="n">
        <v>6</v>
      </c>
      <c r="AC207" s="15" t="n">
        <v>5</v>
      </c>
      <c r="AD207" s="15"/>
      <c r="AE207" s="15" t="s">
        <v>486</v>
      </c>
      <c r="AF207" s="15" t="s">
        <v>169</v>
      </c>
      <c r="AG207" s="15"/>
      <c r="AH207" s="24" t="n">
        <f aca="false">IF(R207="",AM207,R207)</f>
        <v>4</v>
      </c>
      <c r="AI207" s="24" t="n">
        <f aca="false">SUMIFS(Permissions!$G$2:$G$3000,Permissions!$B$2:$B$3000,$A207,Permissions!$I$2:$I$3000,"Complete",Permissions!$R$2:$R$3000,"Yes")</f>
        <v>0</v>
      </c>
      <c r="AJ207" s="24" t="n">
        <f aca="false">SUMIFS(Permissions!$G$2:$G$3000,Permissions!$B$2:$B$3000,$A207,Permissions!$I$2:$I$3000,"Under construction",Permissions!$R$2:$R$3000,"Yes")</f>
        <v>0</v>
      </c>
      <c r="AK207" s="24" t="n">
        <f aca="false">SUMIFS(Permissions!$G$2:$G$3000,Permissions!$B$2:$B$3000,$A207,Permissions!$I$2:$I$3000,"Permitted – not started",Permissions!$R$2:$R$3000,"Yes")</f>
        <v>4</v>
      </c>
      <c r="AL207" s="24" t="n">
        <f aca="false">SUMIFS(Permissions!$G$2:$G$3000,Permissions!$B$2:$B$3000,$A207,Permissions!$I$2:$I$3000,"Stalled",Permissions!$R$2:$R$3000,"Yes")</f>
        <v>0</v>
      </c>
      <c r="AM207" s="24" t="n">
        <f aca="false">AI207+AJ207+AK207+AL207</f>
        <v>4</v>
      </c>
      <c r="AN207" s="24" t="n">
        <f aca="false">SUMIFS(Permissions!$G$2:$G$3000,Permissions!$B$2:$B$3000,$A207,Permissions!$I$2:$I$3000,"Expired – not started",Permissions!$R$2:$R$3000,"Yes")</f>
        <v>0</v>
      </c>
      <c r="AO207" s="24" t="n">
        <f aca="false">SUMIFS(Permissions!$G$2:$G$3000,Permissions!$B$2:$B$3000,$A207,Permissions!$I$2:$I$3000,"In planning",Permissions!$R$2:$R$3000,"Yes")</f>
        <v>0</v>
      </c>
      <c r="AP207" s="24" t="n">
        <f aca="false">IF(R207="",0,MAX(R207-AM207,0))</f>
        <v>0</v>
      </c>
      <c r="AQ207" s="25" t="n">
        <f aca="false">AM207+AP207</f>
        <v>4</v>
      </c>
      <c r="AR207" s="24" t="n">
        <f aca="false">SUMIFS(Permissions!$L$2:$L$3000,Permissions!$B$2:$B$3000,$A207,Permissions!$R$2:$R$3000,"Yes",Permissions!$I$2:$I$3000,"&lt;&gt;Expired – not started",Permissions!$I$2:$I$3000,"&lt;&gt;In planning")</f>
        <v>0</v>
      </c>
      <c r="AS207" s="24" t="n">
        <f aca="false">AQ207-AR207</f>
        <v>4</v>
      </c>
      <c r="AT207" s="26" t="n">
        <f aca="false">SUMIFS(Permissions!$AJ$2:$AJ$3000,Permissions!$B$2:$B$3000,$A207,Permissions!$R$2:$R$3000,"Yes")</f>
        <v>0</v>
      </c>
      <c r="AU207" s="26" t="n">
        <f aca="false">SUMIFS(Permissions!$AK$2:$AK$3000,Permissions!$B$2:$B$3000,$A207,Permissions!$R$2:$R$3000,"Yes")</f>
        <v>0</v>
      </c>
      <c r="AV207" s="26" t="n">
        <f aca="false">SUMIFS(Permissions!$AL$2:$AL$3000,Permissions!$B$2:$B$3000,$A207,Permissions!$R$2:$R$3000,"Yes")</f>
        <v>1.2</v>
      </c>
      <c r="AW207" s="26" t="n">
        <f aca="false">SUMIFS(Permissions!$AM$2:$AM$3000,Permissions!$B$2:$B$3000,$A207,Permissions!$R$2:$R$3000,"Yes")</f>
        <v>2.8</v>
      </c>
      <c r="AX207" s="26" t="n">
        <f aca="false">SUMIFS(Permissions!$AN$2:$AN$3000,Permissions!$B$2:$B$3000,$A207,Permissions!$R$2:$R$3000,"Yes")</f>
        <v>0</v>
      </c>
      <c r="AY207" s="26" t="n">
        <f aca="false">SUMIFS(Permissions!$AO$2:$AO$3000,Permissions!$B$2:$B$3000,$A207,Permissions!$R$2:$R$3000,"Yes")</f>
        <v>0</v>
      </c>
      <c r="AZ207" s="24" t="n">
        <f aca="false">COUNTIFS(Permissions!$B$2:$B$3000,$A207,Permissions!$R$2:$R$3000,"Yes")</f>
        <v>1</v>
      </c>
      <c r="BA207" s="24" t="n">
        <f aca="false">SUMIFS(Permissions!$M$2:$M$3000,Permissions!$B$2:$B$3000,$A207,Permissions!$R$2:$R$3000,"Yes")</f>
        <v>0</v>
      </c>
      <c r="BB207" s="24" t="n">
        <f aca="false">SUMIFS(Permissions!$O$2:$O$3000,Permissions!$B$2:$B$3000,$A207,Permissions!$R$2:$R$3000,"Yes")</f>
        <v>0</v>
      </c>
      <c r="BC207" s="27" t="str">
        <f aca="false">IF(AND(AM207&gt;0,AR207&gt;=AM207,AP207=0),"Finished",IF(AR207&gt;0,"Partly built",IF(AM207&gt;0,"Consented – not built","No consent")))</f>
        <v>Consented – not built</v>
      </c>
      <c r="BD207" s="28" t="str">
        <f aca="false">IF(AND(R207&lt;&gt;"",AM207&gt;1.1*R207),"Consented above capacity",IF(AND(LEFT(B207,8)="Planning",AZ207=0),"Consent parcel with no permission",IF(COUNTIF($A$2:$A$3000,$A207)&gt;1,"Duplicate parcel_id","")))</f>
        <v/>
      </c>
    </row>
    <row r="208" customFormat="false" ht="15" hidden="false" customHeight="false" outlineLevel="0" collapsed="false">
      <c r="A208" s="15" t="s">
        <v>525</v>
      </c>
      <c r="B208" s="15" t="s">
        <v>12</v>
      </c>
      <c r="C208" s="15" t="s">
        <v>16</v>
      </c>
      <c r="D208" s="15" t="s">
        <v>52</v>
      </c>
      <c r="E208" s="15" t="s">
        <v>19</v>
      </c>
      <c r="F208" s="15" t="n">
        <v>1</v>
      </c>
      <c r="G208" s="15" t="s">
        <v>158</v>
      </c>
      <c r="H208" s="15"/>
      <c r="I208" s="15" t="s">
        <v>52</v>
      </c>
      <c r="J208" s="15" t="s">
        <v>211</v>
      </c>
      <c r="K208" s="15" t="s">
        <v>526</v>
      </c>
      <c r="L208" s="15"/>
      <c r="M208" s="15"/>
      <c r="N208" s="15"/>
      <c r="O208" s="15"/>
      <c r="P208" s="15" t="n">
        <v>18.97</v>
      </c>
      <c r="Q208" s="15" t="n">
        <v>18.97</v>
      </c>
      <c r="R208" s="15"/>
      <c r="S208" s="15" t="s">
        <v>459</v>
      </c>
      <c r="T208" s="15" t="n">
        <v>645</v>
      </c>
      <c r="U208" s="15"/>
      <c r="V208" s="15"/>
      <c r="W208" s="15"/>
      <c r="X208" s="15" t="s">
        <v>165</v>
      </c>
      <c r="Y208" s="15" t="n">
        <v>34</v>
      </c>
      <c r="Z208" s="15" t="s">
        <v>166</v>
      </c>
      <c r="AA208" s="15"/>
      <c r="AB208" s="15" t="n">
        <v>383</v>
      </c>
      <c r="AC208" s="15" t="n">
        <v>339</v>
      </c>
      <c r="AD208" s="15"/>
      <c r="AE208" s="15"/>
      <c r="AF208" s="15" t="s">
        <v>169</v>
      </c>
      <c r="AG208" s="15"/>
      <c r="AH208" s="24" t="n">
        <f aca="false">IF(R208="",AM208,R208)</f>
        <v>298</v>
      </c>
      <c r="AI208" s="24" t="n">
        <f aca="false">SUMIFS(Permissions!$G$2:$G$3000,Permissions!$B$2:$B$3000,$A208,Permissions!$I$2:$I$3000,"Complete",Permissions!$R$2:$R$3000,"Yes")</f>
        <v>298</v>
      </c>
      <c r="AJ208" s="24" t="n">
        <f aca="false">SUMIFS(Permissions!$G$2:$G$3000,Permissions!$B$2:$B$3000,$A208,Permissions!$I$2:$I$3000,"Under construction",Permissions!$R$2:$R$3000,"Yes")</f>
        <v>0</v>
      </c>
      <c r="AK208" s="24" t="n">
        <f aca="false">SUMIFS(Permissions!$G$2:$G$3000,Permissions!$B$2:$B$3000,$A208,Permissions!$I$2:$I$3000,"Permitted – not started",Permissions!$R$2:$R$3000,"Yes")</f>
        <v>0</v>
      </c>
      <c r="AL208" s="24" t="n">
        <f aca="false">SUMIFS(Permissions!$G$2:$G$3000,Permissions!$B$2:$B$3000,$A208,Permissions!$I$2:$I$3000,"Stalled",Permissions!$R$2:$R$3000,"Yes")</f>
        <v>0</v>
      </c>
      <c r="AM208" s="24" t="n">
        <f aca="false">AI208+AJ208+AK208+AL208</f>
        <v>298</v>
      </c>
      <c r="AN208" s="24" t="n">
        <f aca="false">SUMIFS(Permissions!$G$2:$G$3000,Permissions!$B$2:$B$3000,$A208,Permissions!$I$2:$I$3000,"Expired – not started",Permissions!$R$2:$R$3000,"Yes")</f>
        <v>0</v>
      </c>
      <c r="AO208" s="24" t="n">
        <f aca="false">SUMIFS(Permissions!$G$2:$G$3000,Permissions!$B$2:$B$3000,$A208,Permissions!$I$2:$I$3000,"In planning",Permissions!$R$2:$R$3000,"Yes")</f>
        <v>0</v>
      </c>
      <c r="AP208" s="24" t="n">
        <f aca="false">IF(R208="",0,MAX(R208-AM208,0))</f>
        <v>0</v>
      </c>
      <c r="AQ208" s="25" t="n">
        <f aca="false">AM208+AP208</f>
        <v>298</v>
      </c>
      <c r="AR208" s="24" t="n">
        <f aca="false">SUMIFS(Permissions!$L$2:$L$3000,Permissions!$B$2:$B$3000,$A208,Permissions!$R$2:$R$3000,"Yes",Permissions!$I$2:$I$3000,"&lt;&gt;Expired – not started",Permissions!$I$2:$I$3000,"&lt;&gt;In planning")</f>
        <v>298</v>
      </c>
      <c r="AS208" s="24" t="n">
        <f aca="false">AQ208-AR208</f>
        <v>0</v>
      </c>
      <c r="AT208" s="26" t="n">
        <f aca="false">SUMIFS(Permissions!$AJ$2:$AJ$3000,Permissions!$B$2:$B$3000,$A208,Permissions!$R$2:$R$3000,"Yes")</f>
        <v>0</v>
      </c>
      <c r="AU208" s="26" t="n">
        <f aca="false">SUMIFS(Permissions!$AK$2:$AK$3000,Permissions!$B$2:$B$3000,$A208,Permissions!$R$2:$R$3000,"Yes")</f>
        <v>0</v>
      </c>
      <c r="AV208" s="26" t="n">
        <f aca="false">SUMIFS(Permissions!$AL$2:$AL$3000,Permissions!$B$2:$B$3000,$A208,Permissions!$R$2:$R$3000,"Yes")</f>
        <v>0</v>
      </c>
      <c r="AW208" s="26" t="n">
        <f aca="false">SUMIFS(Permissions!$AM$2:$AM$3000,Permissions!$B$2:$B$3000,$A208,Permissions!$R$2:$R$3000,"Yes")</f>
        <v>0</v>
      </c>
      <c r="AX208" s="26" t="n">
        <f aca="false">SUMIFS(Permissions!$AN$2:$AN$3000,Permissions!$B$2:$B$3000,$A208,Permissions!$R$2:$R$3000,"Yes")</f>
        <v>0</v>
      </c>
      <c r="AY208" s="26" t="n">
        <f aca="false">SUMIFS(Permissions!$AO$2:$AO$3000,Permissions!$B$2:$B$3000,$A208,Permissions!$R$2:$R$3000,"Yes")</f>
        <v>0</v>
      </c>
      <c r="AZ208" s="24" t="n">
        <f aca="false">COUNTIFS(Permissions!$B$2:$B$3000,$A208,Permissions!$R$2:$R$3000,"Yes")</f>
        <v>4</v>
      </c>
      <c r="BA208" s="24" t="n">
        <f aca="false">SUMIFS(Permissions!$M$2:$M$3000,Permissions!$B$2:$B$3000,$A208,Permissions!$R$2:$R$3000,"Yes")</f>
        <v>297</v>
      </c>
      <c r="BB208" s="24" t="n">
        <f aca="false">SUMIFS(Permissions!$O$2:$O$3000,Permissions!$B$2:$B$3000,$A208,Permissions!$R$2:$R$3000,"Yes")</f>
        <v>0</v>
      </c>
      <c r="BC208" s="27" t="str">
        <f aca="false">IF(AND(AM208&gt;0,AR208&gt;=AM208,AP208=0),"Finished",IF(AR208&gt;0,"Partly built",IF(AM208&gt;0,"Consented – not built","No consent")))</f>
        <v>Finished</v>
      </c>
      <c r="BD208" s="28" t="str">
        <f aca="false">IF(AND(R208&lt;&gt;"",AM208&gt;1.1*R208),"Consented above capacity",IF(AND(LEFT(B208,8)="Planning",AZ208=0),"Consent parcel with no permission",IF(COUNTIF($A$2:$A$3000,$A208)&gt;1,"Duplicate parcel_id","")))</f>
        <v/>
      </c>
    </row>
    <row r="209" customFormat="false" ht="15" hidden="false" customHeight="false" outlineLevel="0" collapsed="false">
      <c r="A209" s="15" t="s">
        <v>527</v>
      </c>
      <c r="B209" s="15" t="s">
        <v>12</v>
      </c>
      <c r="C209" s="15" t="s">
        <v>16</v>
      </c>
      <c r="D209" s="15" t="s">
        <v>53</v>
      </c>
      <c r="E209" s="15" t="s">
        <v>19</v>
      </c>
      <c r="F209" s="15" t="n">
        <v>1</v>
      </c>
      <c r="G209" s="15" t="s">
        <v>158</v>
      </c>
      <c r="H209" s="15"/>
      <c r="I209" s="15" t="s">
        <v>53</v>
      </c>
      <c r="J209" s="15" t="s">
        <v>211</v>
      </c>
      <c r="K209" s="15" t="s">
        <v>528</v>
      </c>
      <c r="L209" s="15"/>
      <c r="M209" s="15"/>
      <c r="N209" s="15"/>
      <c r="O209" s="15"/>
      <c r="P209" s="15" t="n">
        <v>0.286</v>
      </c>
      <c r="Q209" s="15" t="n">
        <v>0.286</v>
      </c>
      <c r="R209" s="15"/>
      <c r="S209" s="15" t="s">
        <v>459</v>
      </c>
      <c r="T209" s="15" t="n">
        <v>29</v>
      </c>
      <c r="U209" s="15"/>
      <c r="V209" s="15"/>
      <c r="W209" s="15"/>
      <c r="X209" s="15" t="s">
        <v>236</v>
      </c>
      <c r="Y209" s="15" t="n">
        <v>101</v>
      </c>
      <c r="Z209" s="15" t="s">
        <v>237</v>
      </c>
      <c r="AA209" s="15"/>
      <c r="AB209" s="15" t="n">
        <v>13</v>
      </c>
      <c r="AC209" s="15" t="n">
        <v>13</v>
      </c>
      <c r="AD209" s="15"/>
      <c r="AE209" s="15"/>
      <c r="AF209" s="15" t="s">
        <v>169</v>
      </c>
      <c r="AG209" s="15"/>
      <c r="AH209" s="24" t="n">
        <f aca="false">IF(R209="",AM209,R209)</f>
        <v>13</v>
      </c>
      <c r="AI209" s="24" t="n">
        <f aca="false">SUMIFS(Permissions!$G$2:$G$3000,Permissions!$B$2:$B$3000,$A209,Permissions!$I$2:$I$3000,"Complete",Permissions!$R$2:$R$3000,"Yes")</f>
        <v>13</v>
      </c>
      <c r="AJ209" s="24" t="n">
        <f aca="false">SUMIFS(Permissions!$G$2:$G$3000,Permissions!$B$2:$B$3000,$A209,Permissions!$I$2:$I$3000,"Under construction",Permissions!$R$2:$R$3000,"Yes")</f>
        <v>0</v>
      </c>
      <c r="AK209" s="24" t="n">
        <f aca="false">SUMIFS(Permissions!$G$2:$G$3000,Permissions!$B$2:$B$3000,$A209,Permissions!$I$2:$I$3000,"Permitted – not started",Permissions!$R$2:$R$3000,"Yes")</f>
        <v>0</v>
      </c>
      <c r="AL209" s="24" t="n">
        <f aca="false">SUMIFS(Permissions!$G$2:$G$3000,Permissions!$B$2:$B$3000,$A209,Permissions!$I$2:$I$3000,"Stalled",Permissions!$R$2:$R$3000,"Yes")</f>
        <v>0</v>
      </c>
      <c r="AM209" s="24" t="n">
        <f aca="false">AI209+AJ209+AK209+AL209</f>
        <v>13</v>
      </c>
      <c r="AN209" s="24" t="n">
        <f aca="false">SUMIFS(Permissions!$G$2:$G$3000,Permissions!$B$2:$B$3000,$A209,Permissions!$I$2:$I$3000,"Expired – not started",Permissions!$R$2:$R$3000,"Yes")</f>
        <v>0</v>
      </c>
      <c r="AO209" s="24" t="n">
        <f aca="false">SUMIFS(Permissions!$G$2:$G$3000,Permissions!$B$2:$B$3000,$A209,Permissions!$I$2:$I$3000,"In planning",Permissions!$R$2:$R$3000,"Yes")</f>
        <v>0</v>
      </c>
      <c r="AP209" s="24" t="n">
        <f aca="false">IF(R209="",0,MAX(R209-AM209,0))</f>
        <v>0</v>
      </c>
      <c r="AQ209" s="25" t="n">
        <f aca="false">AM209+AP209</f>
        <v>13</v>
      </c>
      <c r="AR209" s="24" t="n">
        <f aca="false">SUMIFS(Permissions!$L$2:$L$3000,Permissions!$B$2:$B$3000,$A209,Permissions!$R$2:$R$3000,"Yes",Permissions!$I$2:$I$3000,"&lt;&gt;Expired – not started",Permissions!$I$2:$I$3000,"&lt;&gt;In planning")</f>
        <v>13</v>
      </c>
      <c r="AS209" s="24" t="n">
        <f aca="false">AQ209-AR209</f>
        <v>0</v>
      </c>
      <c r="AT209" s="26" t="n">
        <f aca="false">SUMIFS(Permissions!$AJ$2:$AJ$3000,Permissions!$B$2:$B$3000,$A209,Permissions!$R$2:$R$3000,"Yes")</f>
        <v>0</v>
      </c>
      <c r="AU209" s="26" t="n">
        <f aca="false">SUMIFS(Permissions!$AK$2:$AK$3000,Permissions!$B$2:$B$3000,$A209,Permissions!$R$2:$R$3000,"Yes")</f>
        <v>0</v>
      </c>
      <c r="AV209" s="26" t="n">
        <f aca="false">SUMIFS(Permissions!$AL$2:$AL$3000,Permissions!$B$2:$B$3000,$A209,Permissions!$R$2:$R$3000,"Yes")</f>
        <v>0</v>
      </c>
      <c r="AW209" s="26" t="n">
        <f aca="false">SUMIFS(Permissions!$AM$2:$AM$3000,Permissions!$B$2:$B$3000,$A209,Permissions!$R$2:$R$3000,"Yes")</f>
        <v>0</v>
      </c>
      <c r="AX209" s="26" t="n">
        <f aca="false">SUMIFS(Permissions!$AN$2:$AN$3000,Permissions!$B$2:$B$3000,$A209,Permissions!$R$2:$R$3000,"Yes")</f>
        <v>0</v>
      </c>
      <c r="AY209" s="26" t="n">
        <f aca="false">SUMIFS(Permissions!$AO$2:$AO$3000,Permissions!$B$2:$B$3000,$A209,Permissions!$R$2:$R$3000,"Yes")</f>
        <v>0</v>
      </c>
      <c r="AZ209" s="24" t="n">
        <f aca="false">COUNTIFS(Permissions!$B$2:$B$3000,$A209,Permissions!$R$2:$R$3000,"Yes")</f>
        <v>1</v>
      </c>
      <c r="BA209" s="24" t="n">
        <f aca="false">SUMIFS(Permissions!$M$2:$M$3000,Permissions!$B$2:$B$3000,$A209,Permissions!$R$2:$R$3000,"Yes")</f>
        <v>13</v>
      </c>
      <c r="BB209" s="24" t="n">
        <f aca="false">SUMIFS(Permissions!$O$2:$O$3000,Permissions!$B$2:$B$3000,$A209,Permissions!$R$2:$R$3000,"Yes")</f>
        <v>0</v>
      </c>
      <c r="BC209" s="27" t="str">
        <f aca="false">IF(AND(AM209&gt;0,AR209&gt;=AM209,AP209=0),"Finished",IF(AR209&gt;0,"Partly built",IF(AM209&gt;0,"Consented – not built","No consent")))</f>
        <v>Finished</v>
      </c>
      <c r="BD209" s="28" t="str">
        <f aca="false">IF(AND(R209&lt;&gt;"",AM209&gt;1.1*R209),"Consented above capacity",IF(AND(LEFT(B209,8)="Planning",AZ209=0),"Consent parcel with no permission",IF(COUNTIF($A$2:$A$3000,$A209)&gt;1,"Duplicate parcel_id","")))</f>
        <v/>
      </c>
    </row>
    <row r="210" customFormat="false" ht="15" hidden="false" customHeight="false" outlineLevel="0" collapsed="false">
      <c r="A210" s="15" t="s">
        <v>529</v>
      </c>
      <c r="B210" s="15" t="s">
        <v>12</v>
      </c>
      <c r="C210" s="15" t="s">
        <v>16</v>
      </c>
      <c r="D210" s="15" t="s">
        <v>53</v>
      </c>
      <c r="E210" s="15" t="s">
        <v>19</v>
      </c>
      <c r="F210" s="15" t="n">
        <v>1</v>
      </c>
      <c r="G210" s="15" t="s">
        <v>158</v>
      </c>
      <c r="H210" s="15"/>
      <c r="I210" s="15" t="s">
        <v>53</v>
      </c>
      <c r="J210" s="15" t="s">
        <v>159</v>
      </c>
      <c r="K210" s="15" t="s">
        <v>530</v>
      </c>
      <c r="L210" s="15"/>
      <c r="M210" s="15"/>
      <c r="N210" s="15"/>
      <c r="O210" s="15"/>
      <c r="P210" s="15" t="n">
        <v>0.085</v>
      </c>
      <c r="Q210" s="15" t="n">
        <v>0.085</v>
      </c>
      <c r="R210" s="15"/>
      <c r="S210" s="15" t="s">
        <v>459</v>
      </c>
      <c r="T210" s="15" t="n">
        <v>9</v>
      </c>
      <c r="U210" s="15"/>
      <c r="V210" s="15"/>
      <c r="W210" s="15"/>
      <c r="X210" s="15" t="s">
        <v>236</v>
      </c>
      <c r="Y210" s="15" t="n">
        <v>101</v>
      </c>
      <c r="Z210" s="15" t="s">
        <v>237</v>
      </c>
      <c r="AA210" s="15"/>
      <c r="AB210" s="15" t="n">
        <v>50</v>
      </c>
      <c r="AC210" s="15" t="n">
        <v>0</v>
      </c>
      <c r="AD210" s="15"/>
      <c r="AE210" s="15"/>
      <c r="AF210" s="15" t="s">
        <v>169</v>
      </c>
      <c r="AG210" s="15"/>
      <c r="AH210" s="24" t="n">
        <f aca="false">IF(R210="",AM210,R210)</f>
        <v>14</v>
      </c>
      <c r="AI210" s="24" t="n">
        <f aca="false">SUMIFS(Permissions!$G$2:$G$3000,Permissions!$B$2:$B$3000,$A210,Permissions!$I$2:$I$3000,"Complete",Permissions!$R$2:$R$3000,"Yes")</f>
        <v>14</v>
      </c>
      <c r="AJ210" s="24" t="n">
        <f aca="false">SUMIFS(Permissions!$G$2:$G$3000,Permissions!$B$2:$B$3000,$A210,Permissions!$I$2:$I$3000,"Under construction",Permissions!$R$2:$R$3000,"Yes")</f>
        <v>0</v>
      </c>
      <c r="AK210" s="24" t="n">
        <f aca="false">SUMIFS(Permissions!$G$2:$G$3000,Permissions!$B$2:$B$3000,$A210,Permissions!$I$2:$I$3000,"Permitted – not started",Permissions!$R$2:$R$3000,"Yes")</f>
        <v>0</v>
      </c>
      <c r="AL210" s="24" t="n">
        <f aca="false">SUMIFS(Permissions!$G$2:$G$3000,Permissions!$B$2:$B$3000,$A210,Permissions!$I$2:$I$3000,"Stalled",Permissions!$R$2:$R$3000,"Yes")</f>
        <v>0</v>
      </c>
      <c r="AM210" s="24" t="n">
        <f aca="false">AI210+AJ210+AK210+AL210</f>
        <v>14</v>
      </c>
      <c r="AN210" s="24" t="n">
        <f aca="false">SUMIFS(Permissions!$G$2:$G$3000,Permissions!$B$2:$B$3000,$A210,Permissions!$I$2:$I$3000,"Expired – not started",Permissions!$R$2:$R$3000,"Yes")</f>
        <v>0</v>
      </c>
      <c r="AO210" s="24" t="n">
        <f aca="false">SUMIFS(Permissions!$G$2:$G$3000,Permissions!$B$2:$B$3000,$A210,Permissions!$I$2:$I$3000,"In planning",Permissions!$R$2:$R$3000,"Yes")</f>
        <v>0</v>
      </c>
      <c r="AP210" s="24" t="n">
        <f aca="false">IF(R210="",0,MAX(R210-AM210,0))</f>
        <v>0</v>
      </c>
      <c r="AQ210" s="25" t="n">
        <f aca="false">AM210+AP210</f>
        <v>14</v>
      </c>
      <c r="AR210" s="24" t="n">
        <f aca="false">SUMIFS(Permissions!$L$2:$L$3000,Permissions!$B$2:$B$3000,$A210,Permissions!$R$2:$R$3000,"Yes",Permissions!$I$2:$I$3000,"&lt;&gt;Expired – not started",Permissions!$I$2:$I$3000,"&lt;&gt;In planning")</f>
        <v>14</v>
      </c>
      <c r="AS210" s="24" t="n">
        <f aca="false">AQ210-AR210</f>
        <v>0</v>
      </c>
      <c r="AT210" s="26" t="n">
        <f aca="false">SUMIFS(Permissions!$AJ$2:$AJ$3000,Permissions!$B$2:$B$3000,$A210,Permissions!$R$2:$R$3000,"Yes")</f>
        <v>0</v>
      </c>
      <c r="AU210" s="26" t="n">
        <f aca="false">SUMIFS(Permissions!$AK$2:$AK$3000,Permissions!$B$2:$B$3000,$A210,Permissions!$R$2:$R$3000,"Yes")</f>
        <v>0</v>
      </c>
      <c r="AV210" s="26" t="n">
        <f aca="false">SUMIFS(Permissions!$AL$2:$AL$3000,Permissions!$B$2:$B$3000,$A210,Permissions!$R$2:$R$3000,"Yes")</f>
        <v>0</v>
      </c>
      <c r="AW210" s="26" t="n">
        <f aca="false">SUMIFS(Permissions!$AM$2:$AM$3000,Permissions!$B$2:$B$3000,$A210,Permissions!$R$2:$R$3000,"Yes")</f>
        <v>0</v>
      </c>
      <c r="AX210" s="26" t="n">
        <f aca="false">SUMIFS(Permissions!$AN$2:$AN$3000,Permissions!$B$2:$B$3000,$A210,Permissions!$R$2:$R$3000,"Yes")</f>
        <v>0</v>
      </c>
      <c r="AY210" s="26" t="n">
        <f aca="false">SUMIFS(Permissions!$AO$2:$AO$3000,Permissions!$B$2:$B$3000,$A210,Permissions!$R$2:$R$3000,"Yes")</f>
        <v>0</v>
      </c>
      <c r="AZ210" s="24" t="n">
        <f aca="false">COUNTIFS(Permissions!$B$2:$B$3000,$A210,Permissions!$R$2:$R$3000,"Yes")</f>
        <v>1</v>
      </c>
      <c r="BA210" s="24" t="n">
        <f aca="false">SUMIFS(Permissions!$M$2:$M$3000,Permissions!$B$2:$B$3000,$A210,Permissions!$R$2:$R$3000,"Yes")</f>
        <v>0</v>
      </c>
      <c r="BB210" s="24" t="n">
        <f aca="false">SUMIFS(Permissions!$O$2:$O$3000,Permissions!$B$2:$B$3000,$A210,Permissions!$R$2:$R$3000,"Yes")</f>
        <v>0</v>
      </c>
      <c r="BC210" s="27" t="str">
        <f aca="false">IF(AND(AM210&gt;0,AR210&gt;=AM210,AP210=0),"Finished",IF(AR210&gt;0,"Partly built",IF(AM210&gt;0,"Consented – not built","No consent")))</f>
        <v>Finished</v>
      </c>
      <c r="BD210" s="28" t="str">
        <f aca="false">IF(AND(R210&lt;&gt;"",AM210&gt;1.1*R210),"Consented above capacity",IF(AND(LEFT(B210,8)="Planning",AZ210=0),"Consent parcel with no permission",IF(COUNTIF($A$2:$A$3000,$A210)&gt;1,"Duplicate parcel_id","")))</f>
        <v/>
      </c>
    </row>
    <row r="211" customFormat="false" ht="15" hidden="false" customHeight="false" outlineLevel="0" collapsed="false">
      <c r="A211" s="15" t="s">
        <v>531</v>
      </c>
      <c r="B211" s="15" t="s">
        <v>12</v>
      </c>
      <c r="C211" s="15" t="s">
        <v>16</v>
      </c>
      <c r="D211" s="15" t="s">
        <v>53</v>
      </c>
      <c r="E211" s="15" t="s">
        <v>19</v>
      </c>
      <c r="F211" s="15" t="n">
        <v>1</v>
      </c>
      <c r="G211" s="15" t="s">
        <v>158</v>
      </c>
      <c r="H211" s="15"/>
      <c r="I211" s="15" t="s">
        <v>53</v>
      </c>
      <c r="J211" s="15" t="s">
        <v>182</v>
      </c>
      <c r="K211" s="15" t="s">
        <v>532</v>
      </c>
      <c r="L211" s="15"/>
      <c r="M211" s="15"/>
      <c r="N211" s="15"/>
      <c r="O211" s="15"/>
      <c r="P211" s="15" t="n">
        <v>0.167</v>
      </c>
      <c r="Q211" s="15" t="n">
        <v>0.167</v>
      </c>
      <c r="R211" s="15"/>
      <c r="S211" s="15" t="s">
        <v>459</v>
      </c>
      <c r="T211" s="15" t="n">
        <v>17</v>
      </c>
      <c r="U211" s="15"/>
      <c r="V211" s="15"/>
      <c r="W211" s="15"/>
      <c r="X211" s="15" t="s">
        <v>236</v>
      </c>
      <c r="Y211" s="15" t="n">
        <v>101</v>
      </c>
      <c r="Z211" s="15" t="s">
        <v>237</v>
      </c>
      <c r="AA211" s="15"/>
      <c r="AB211" s="15" t="n">
        <v>14</v>
      </c>
      <c r="AC211" s="15" t="n">
        <v>13</v>
      </c>
      <c r="AD211" s="15"/>
      <c r="AE211" s="15"/>
      <c r="AF211" s="15" t="s">
        <v>169</v>
      </c>
      <c r="AG211" s="15"/>
      <c r="AH211" s="24" t="n">
        <f aca="false">IF(R211="",AM211,R211)</f>
        <v>14</v>
      </c>
      <c r="AI211" s="24" t="n">
        <f aca="false">SUMIFS(Permissions!$G$2:$G$3000,Permissions!$B$2:$B$3000,$A211,Permissions!$I$2:$I$3000,"Complete",Permissions!$R$2:$R$3000,"Yes")</f>
        <v>14</v>
      </c>
      <c r="AJ211" s="24" t="n">
        <f aca="false">SUMIFS(Permissions!$G$2:$G$3000,Permissions!$B$2:$B$3000,$A211,Permissions!$I$2:$I$3000,"Under construction",Permissions!$R$2:$R$3000,"Yes")</f>
        <v>0</v>
      </c>
      <c r="AK211" s="24" t="n">
        <f aca="false">SUMIFS(Permissions!$G$2:$G$3000,Permissions!$B$2:$B$3000,$A211,Permissions!$I$2:$I$3000,"Permitted – not started",Permissions!$R$2:$R$3000,"Yes")</f>
        <v>0</v>
      </c>
      <c r="AL211" s="24" t="n">
        <f aca="false">SUMIFS(Permissions!$G$2:$G$3000,Permissions!$B$2:$B$3000,$A211,Permissions!$I$2:$I$3000,"Stalled",Permissions!$R$2:$R$3000,"Yes")</f>
        <v>0</v>
      </c>
      <c r="AM211" s="24" t="n">
        <f aca="false">AI211+AJ211+AK211+AL211</f>
        <v>14</v>
      </c>
      <c r="AN211" s="24" t="n">
        <f aca="false">SUMIFS(Permissions!$G$2:$G$3000,Permissions!$B$2:$B$3000,$A211,Permissions!$I$2:$I$3000,"Expired – not started",Permissions!$R$2:$R$3000,"Yes")</f>
        <v>0</v>
      </c>
      <c r="AO211" s="24" t="n">
        <f aca="false">SUMIFS(Permissions!$G$2:$G$3000,Permissions!$B$2:$B$3000,$A211,Permissions!$I$2:$I$3000,"In planning",Permissions!$R$2:$R$3000,"Yes")</f>
        <v>0</v>
      </c>
      <c r="AP211" s="24" t="n">
        <f aca="false">IF(R211="",0,MAX(R211-AM211,0))</f>
        <v>0</v>
      </c>
      <c r="AQ211" s="25" t="n">
        <f aca="false">AM211+AP211</f>
        <v>14</v>
      </c>
      <c r="AR211" s="24" t="n">
        <f aca="false">SUMIFS(Permissions!$L$2:$L$3000,Permissions!$B$2:$B$3000,$A211,Permissions!$R$2:$R$3000,"Yes",Permissions!$I$2:$I$3000,"&lt;&gt;Expired – not started",Permissions!$I$2:$I$3000,"&lt;&gt;In planning")</f>
        <v>14</v>
      </c>
      <c r="AS211" s="24" t="n">
        <f aca="false">AQ211-AR211</f>
        <v>0</v>
      </c>
      <c r="AT211" s="26" t="n">
        <f aca="false">SUMIFS(Permissions!$AJ$2:$AJ$3000,Permissions!$B$2:$B$3000,$A211,Permissions!$R$2:$R$3000,"Yes")</f>
        <v>0</v>
      </c>
      <c r="AU211" s="26" t="n">
        <f aca="false">SUMIFS(Permissions!$AK$2:$AK$3000,Permissions!$B$2:$B$3000,$A211,Permissions!$R$2:$R$3000,"Yes")</f>
        <v>0</v>
      </c>
      <c r="AV211" s="26" t="n">
        <f aca="false">SUMIFS(Permissions!$AL$2:$AL$3000,Permissions!$B$2:$B$3000,$A211,Permissions!$R$2:$R$3000,"Yes")</f>
        <v>0</v>
      </c>
      <c r="AW211" s="26" t="n">
        <f aca="false">SUMIFS(Permissions!$AM$2:$AM$3000,Permissions!$B$2:$B$3000,$A211,Permissions!$R$2:$R$3000,"Yes")</f>
        <v>0</v>
      </c>
      <c r="AX211" s="26" t="n">
        <f aca="false">SUMIFS(Permissions!$AN$2:$AN$3000,Permissions!$B$2:$B$3000,$A211,Permissions!$R$2:$R$3000,"Yes")</f>
        <v>0</v>
      </c>
      <c r="AY211" s="26" t="n">
        <f aca="false">SUMIFS(Permissions!$AO$2:$AO$3000,Permissions!$B$2:$B$3000,$A211,Permissions!$R$2:$R$3000,"Yes")</f>
        <v>0</v>
      </c>
      <c r="AZ211" s="24" t="n">
        <f aca="false">COUNTIFS(Permissions!$B$2:$B$3000,$A211,Permissions!$R$2:$R$3000,"Yes")</f>
        <v>1</v>
      </c>
      <c r="BA211" s="24" t="n">
        <f aca="false">SUMIFS(Permissions!$M$2:$M$3000,Permissions!$B$2:$B$3000,$A211,Permissions!$R$2:$R$3000,"Yes")</f>
        <v>14</v>
      </c>
      <c r="BB211" s="24" t="n">
        <f aca="false">SUMIFS(Permissions!$O$2:$O$3000,Permissions!$B$2:$B$3000,$A211,Permissions!$R$2:$R$3000,"Yes")</f>
        <v>0</v>
      </c>
      <c r="BC211" s="27" t="str">
        <f aca="false">IF(AND(AM211&gt;0,AR211&gt;=AM211,AP211=0),"Finished",IF(AR211&gt;0,"Partly built",IF(AM211&gt;0,"Consented – not built","No consent")))</f>
        <v>Finished</v>
      </c>
      <c r="BD211" s="28" t="str">
        <f aca="false">IF(AND(R211&lt;&gt;"",AM211&gt;1.1*R211),"Consented above capacity",IF(AND(LEFT(B211,8)="Planning",AZ211=0),"Consent parcel with no permission",IF(COUNTIF($A$2:$A$3000,$A211)&gt;1,"Duplicate parcel_id","")))</f>
        <v/>
      </c>
    </row>
    <row r="212" customFormat="false" ht="15" hidden="false" customHeight="false" outlineLevel="0" collapsed="false">
      <c r="A212" s="15" t="s">
        <v>533</v>
      </c>
      <c r="B212" s="15" t="s">
        <v>12</v>
      </c>
      <c r="C212" s="15" t="s">
        <v>16</v>
      </c>
      <c r="D212" s="15" t="s">
        <v>53</v>
      </c>
      <c r="E212" s="15" t="s">
        <v>19</v>
      </c>
      <c r="F212" s="15" t="n">
        <v>1</v>
      </c>
      <c r="G212" s="15" t="s">
        <v>158</v>
      </c>
      <c r="H212" s="15"/>
      <c r="I212" s="15" t="s">
        <v>53</v>
      </c>
      <c r="J212" s="15" t="s">
        <v>159</v>
      </c>
      <c r="K212" s="15" t="s">
        <v>534</v>
      </c>
      <c r="L212" s="15"/>
      <c r="M212" s="15"/>
      <c r="N212" s="15"/>
      <c r="O212" s="15"/>
      <c r="P212" s="15" t="n">
        <v>0.409</v>
      </c>
      <c r="Q212" s="15" t="n">
        <v>0.409</v>
      </c>
      <c r="R212" s="15"/>
      <c r="S212" s="15" t="s">
        <v>459</v>
      </c>
      <c r="T212" s="15" t="n">
        <v>41</v>
      </c>
      <c r="U212" s="15"/>
      <c r="V212" s="15"/>
      <c r="W212" s="15"/>
      <c r="X212" s="15" t="s">
        <v>236</v>
      </c>
      <c r="Y212" s="15" t="n">
        <v>101</v>
      </c>
      <c r="Z212" s="15" t="s">
        <v>237</v>
      </c>
      <c r="AA212" s="15"/>
      <c r="AB212" s="15" t="n">
        <v>35</v>
      </c>
      <c r="AC212" s="15" t="n">
        <v>0</v>
      </c>
      <c r="AD212" s="15"/>
      <c r="AE212" s="15"/>
      <c r="AF212" s="15" t="s">
        <v>169</v>
      </c>
      <c r="AG212" s="15"/>
      <c r="AH212" s="24" t="n">
        <f aca="false">IF(R212="",AM212,R212)</f>
        <v>35</v>
      </c>
      <c r="AI212" s="24" t="n">
        <f aca="false">SUMIFS(Permissions!$G$2:$G$3000,Permissions!$B$2:$B$3000,$A212,Permissions!$I$2:$I$3000,"Complete",Permissions!$R$2:$R$3000,"Yes")</f>
        <v>35</v>
      </c>
      <c r="AJ212" s="24" t="n">
        <f aca="false">SUMIFS(Permissions!$G$2:$G$3000,Permissions!$B$2:$B$3000,$A212,Permissions!$I$2:$I$3000,"Under construction",Permissions!$R$2:$R$3000,"Yes")</f>
        <v>0</v>
      </c>
      <c r="AK212" s="24" t="n">
        <f aca="false">SUMIFS(Permissions!$G$2:$G$3000,Permissions!$B$2:$B$3000,$A212,Permissions!$I$2:$I$3000,"Permitted – not started",Permissions!$R$2:$R$3000,"Yes")</f>
        <v>0</v>
      </c>
      <c r="AL212" s="24" t="n">
        <f aca="false">SUMIFS(Permissions!$G$2:$G$3000,Permissions!$B$2:$B$3000,$A212,Permissions!$I$2:$I$3000,"Stalled",Permissions!$R$2:$R$3000,"Yes")</f>
        <v>0</v>
      </c>
      <c r="AM212" s="24" t="n">
        <f aca="false">AI212+AJ212+AK212+AL212</f>
        <v>35</v>
      </c>
      <c r="AN212" s="24" t="n">
        <f aca="false">SUMIFS(Permissions!$G$2:$G$3000,Permissions!$B$2:$B$3000,$A212,Permissions!$I$2:$I$3000,"Expired – not started",Permissions!$R$2:$R$3000,"Yes")</f>
        <v>0</v>
      </c>
      <c r="AO212" s="24" t="n">
        <f aca="false">SUMIFS(Permissions!$G$2:$G$3000,Permissions!$B$2:$B$3000,$A212,Permissions!$I$2:$I$3000,"In planning",Permissions!$R$2:$R$3000,"Yes")</f>
        <v>0</v>
      </c>
      <c r="AP212" s="24" t="n">
        <f aca="false">IF(R212="",0,MAX(R212-AM212,0))</f>
        <v>0</v>
      </c>
      <c r="AQ212" s="25" t="n">
        <f aca="false">AM212+AP212</f>
        <v>35</v>
      </c>
      <c r="AR212" s="24" t="n">
        <f aca="false">SUMIFS(Permissions!$L$2:$L$3000,Permissions!$B$2:$B$3000,$A212,Permissions!$R$2:$R$3000,"Yes",Permissions!$I$2:$I$3000,"&lt;&gt;Expired – not started",Permissions!$I$2:$I$3000,"&lt;&gt;In planning")</f>
        <v>35</v>
      </c>
      <c r="AS212" s="24" t="n">
        <f aca="false">AQ212-AR212</f>
        <v>0</v>
      </c>
      <c r="AT212" s="26" t="n">
        <f aca="false">SUMIFS(Permissions!$AJ$2:$AJ$3000,Permissions!$B$2:$B$3000,$A212,Permissions!$R$2:$R$3000,"Yes")</f>
        <v>0</v>
      </c>
      <c r="AU212" s="26" t="n">
        <f aca="false">SUMIFS(Permissions!$AK$2:$AK$3000,Permissions!$B$2:$B$3000,$A212,Permissions!$R$2:$R$3000,"Yes")</f>
        <v>0</v>
      </c>
      <c r="AV212" s="26" t="n">
        <f aca="false">SUMIFS(Permissions!$AL$2:$AL$3000,Permissions!$B$2:$B$3000,$A212,Permissions!$R$2:$R$3000,"Yes")</f>
        <v>0</v>
      </c>
      <c r="AW212" s="26" t="n">
        <f aca="false">SUMIFS(Permissions!$AM$2:$AM$3000,Permissions!$B$2:$B$3000,$A212,Permissions!$R$2:$R$3000,"Yes")</f>
        <v>0</v>
      </c>
      <c r="AX212" s="26" t="n">
        <f aca="false">SUMIFS(Permissions!$AN$2:$AN$3000,Permissions!$B$2:$B$3000,$A212,Permissions!$R$2:$R$3000,"Yes")</f>
        <v>0</v>
      </c>
      <c r="AY212" s="26" t="n">
        <f aca="false">SUMIFS(Permissions!$AO$2:$AO$3000,Permissions!$B$2:$B$3000,$A212,Permissions!$R$2:$R$3000,"Yes")</f>
        <v>0</v>
      </c>
      <c r="AZ212" s="24" t="n">
        <f aca="false">COUNTIFS(Permissions!$B$2:$B$3000,$A212,Permissions!$R$2:$R$3000,"Yes")</f>
        <v>1</v>
      </c>
      <c r="BA212" s="24" t="n">
        <f aca="false">SUMIFS(Permissions!$M$2:$M$3000,Permissions!$B$2:$B$3000,$A212,Permissions!$R$2:$R$3000,"Yes")</f>
        <v>0</v>
      </c>
      <c r="BB212" s="24" t="n">
        <f aca="false">SUMIFS(Permissions!$O$2:$O$3000,Permissions!$B$2:$B$3000,$A212,Permissions!$R$2:$R$3000,"Yes")</f>
        <v>0</v>
      </c>
      <c r="BC212" s="27" t="str">
        <f aca="false">IF(AND(AM212&gt;0,AR212&gt;=AM212,AP212=0),"Finished",IF(AR212&gt;0,"Partly built",IF(AM212&gt;0,"Consented – not built","No consent")))</f>
        <v>Finished</v>
      </c>
      <c r="BD212" s="28" t="str">
        <f aca="false">IF(AND(R212&lt;&gt;"",AM212&gt;1.1*R212),"Consented above capacity",IF(AND(LEFT(B212,8)="Planning",AZ212=0),"Consent parcel with no permission",IF(COUNTIF($A$2:$A$3000,$A212)&gt;1,"Duplicate parcel_id","")))</f>
        <v/>
      </c>
    </row>
    <row r="213" customFormat="false" ht="15" hidden="false" customHeight="false" outlineLevel="0" collapsed="false">
      <c r="A213" s="15" t="s">
        <v>535</v>
      </c>
      <c r="B213" s="15" t="s">
        <v>12</v>
      </c>
      <c r="C213" s="15" t="s">
        <v>16</v>
      </c>
      <c r="D213" s="15" t="s">
        <v>53</v>
      </c>
      <c r="E213" s="15" t="s">
        <v>19</v>
      </c>
      <c r="F213" s="15" t="n">
        <v>1</v>
      </c>
      <c r="G213" s="15" t="s">
        <v>158</v>
      </c>
      <c r="H213" s="15"/>
      <c r="I213" s="15" t="s">
        <v>53</v>
      </c>
      <c r="J213" s="15" t="s">
        <v>159</v>
      </c>
      <c r="K213" s="15" t="s">
        <v>536</v>
      </c>
      <c r="L213" s="15"/>
      <c r="M213" s="15"/>
      <c r="N213" s="15"/>
      <c r="O213" s="15"/>
      <c r="P213" s="15" t="n">
        <v>0.015</v>
      </c>
      <c r="Q213" s="15" t="n">
        <v>0.015</v>
      </c>
      <c r="R213" s="15"/>
      <c r="S213" s="15" t="s">
        <v>459</v>
      </c>
      <c r="T213" s="15" t="n">
        <v>2</v>
      </c>
      <c r="U213" s="15"/>
      <c r="V213" s="15"/>
      <c r="W213" s="15"/>
      <c r="X213" s="15" t="s">
        <v>236</v>
      </c>
      <c r="Y213" s="15" t="n">
        <v>101</v>
      </c>
      <c r="Z213" s="15" t="s">
        <v>237</v>
      </c>
      <c r="AA213" s="15"/>
      <c r="AB213" s="15" t="n">
        <v>0</v>
      </c>
      <c r="AC213" s="15" t="n">
        <v>0</v>
      </c>
      <c r="AD213" s="15"/>
      <c r="AE213" s="15"/>
      <c r="AF213" s="15" t="s">
        <v>169</v>
      </c>
      <c r="AG213" s="15"/>
      <c r="AH213" s="24" t="n">
        <f aca="false">IF(R213="",AM213,R213)</f>
        <v>5</v>
      </c>
      <c r="AI213" s="24" t="n">
        <f aca="false">SUMIFS(Permissions!$G$2:$G$3000,Permissions!$B$2:$B$3000,$A213,Permissions!$I$2:$I$3000,"Complete",Permissions!$R$2:$R$3000,"Yes")</f>
        <v>0</v>
      </c>
      <c r="AJ213" s="24" t="n">
        <f aca="false">SUMIFS(Permissions!$G$2:$G$3000,Permissions!$B$2:$B$3000,$A213,Permissions!$I$2:$I$3000,"Under construction",Permissions!$R$2:$R$3000,"Yes")</f>
        <v>5</v>
      </c>
      <c r="AK213" s="24" t="n">
        <f aca="false">SUMIFS(Permissions!$G$2:$G$3000,Permissions!$B$2:$B$3000,$A213,Permissions!$I$2:$I$3000,"Permitted – not started",Permissions!$R$2:$R$3000,"Yes")</f>
        <v>0</v>
      </c>
      <c r="AL213" s="24" t="n">
        <f aca="false">SUMIFS(Permissions!$G$2:$G$3000,Permissions!$B$2:$B$3000,$A213,Permissions!$I$2:$I$3000,"Stalled",Permissions!$R$2:$R$3000,"Yes")</f>
        <v>0</v>
      </c>
      <c r="AM213" s="24" t="n">
        <f aca="false">AI213+AJ213+AK213+AL213</f>
        <v>5</v>
      </c>
      <c r="AN213" s="24" t="n">
        <f aca="false">SUMIFS(Permissions!$G$2:$G$3000,Permissions!$B$2:$B$3000,$A213,Permissions!$I$2:$I$3000,"Expired – not started",Permissions!$R$2:$R$3000,"Yes")</f>
        <v>0</v>
      </c>
      <c r="AO213" s="24" t="n">
        <f aca="false">SUMIFS(Permissions!$G$2:$G$3000,Permissions!$B$2:$B$3000,$A213,Permissions!$I$2:$I$3000,"In planning",Permissions!$R$2:$R$3000,"Yes")</f>
        <v>0</v>
      </c>
      <c r="AP213" s="24" t="n">
        <f aca="false">IF(R213="",0,MAX(R213-AM213,0))</f>
        <v>0</v>
      </c>
      <c r="AQ213" s="25" t="n">
        <f aca="false">AM213+AP213</f>
        <v>5</v>
      </c>
      <c r="AR213" s="24" t="n">
        <f aca="false">SUMIFS(Permissions!$L$2:$L$3000,Permissions!$B$2:$B$3000,$A213,Permissions!$R$2:$R$3000,"Yes",Permissions!$I$2:$I$3000,"&lt;&gt;Expired – not started",Permissions!$I$2:$I$3000,"&lt;&gt;In planning")</f>
        <v>0</v>
      </c>
      <c r="AS213" s="24" t="n">
        <f aca="false">AQ213-AR213</f>
        <v>5</v>
      </c>
      <c r="AT213" s="26" t="n">
        <f aca="false">SUMIFS(Permissions!$AJ$2:$AJ$3000,Permissions!$B$2:$B$3000,$A213,Permissions!$R$2:$R$3000,"Yes")</f>
        <v>1.2</v>
      </c>
      <c r="AU213" s="26" t="n">
        <f aca="false">SUMIFS(Permissions!$AK$2:$AK$3000,Permissions!$B$2:$B$3000,$A213,Permissions!$R$2:$R$3000,"Yes")</f>
        <v>3.8</v>
      </c>
      <c r="AV213" s="26" t="n">
        <f aca="false">SUMIFS(Permissions!$AL$2:$AL$3000,Permissions!$B$2:$B$3000,$A213,Permissions!$R$2:$R$3000,"Yes")</f>
        <v>0</v>
      </c>
      <c r="AW213" s="26" t="n">
        <f aca="false">SUMIFS(Permissions!$AM$2:$AM$3000,Permissions!$B$2:$B$3000,$A213,Permissions!$R$2:$R$3000,"Yes")</f>
        <v>0</v>
      </c>
      <c r="AX213" s="26" t="n">
        <f aca="false">SUMIFS(Permissions!$AN$2:$AN$3000,Permissions!$B$2:$B$3000,$A213,Permissions!$R$2:$R$3000,"Yes")</f>
        <v>0</v>
      </c>
      <c r="AY213" s="26" t="n">
        <f aca="false">SUMIFS(Permissions!$AO$2:$AO$3000,Permissions!$B$2:$B$3000,$A213,Permissions!$R$2:$R$3000,"Yes")</f>
        <v>0</v>
      </c>
      <c r="AZ213" s="24" t="n">
        <f aca="false">COUNTIFS(Permissions!$B$2:$B$3000,$A213,Permissions!$R$2:$R$3000,"Yes")</f>
        <v>1</v>
      </c>
      <c r="BA213" s="24" t="n">
        <f aca="false">SUMIFS(Permissions!$M$2:$M$3000,Permissions!$B$2:$B$3000,$A213,Permissions!$R$2:$R$3000,"Yes")</f>
        <v>0</v>
      </c>
      <c r="BB213" s="24" t="n">
        <f aca="false">SUMIFS(Permissions!$O$2:$O$3000,Permissions!$B$2:$B$3000,$A213,Permissions!$R$2:$R$3000,"Yes")</f>
        <v>0</v>
      </c>
      <c r="BC213" s="27" t="str">
        <f aca="false">IF(AND(AM213&gt;0,AR213&gt;=AM213,AP213=0),"Finished",IF(AR213&gt;0,"Partly built",IF(AM213&gt;0,"Consented – not built","No consent")))</f>
        <v>Consented – not built</v>
      </c>
      <c r="BD213" s="28" t="str">
        <f aca="false">IF(AND(R213&lt;&gt;"",AM213&gt;1.1*R213),"Consented above capacity",IF(AND(LEFT(B213,8)="Planning",AZ213=0),"Consent parcel with no permission",IF(COUNTIF($A$2:$A$3000,$A213)&gt;1,"Duplicate parcel_id","")))</f>
        <v/>
      </c>
    </row>
    <row r="214" customFormat="false" ht="15" hidden="false" customHeight="false" outlineLevel="0" collapsed="false">
      <c r="A214" s="15" t="s">
        <v>537</v>
      </c>
      <c r="B214" s="15" t="s">
        <v>12</v>
      </c>
      <c r="C214" s="15" t="s">
        <v>16</v>
      </c>
      <c r="D214" s="15" t="s">
        <v>53</v>
      </c>
      <c r="E214" s="15" t="s">
        <v>19</v>
      </c>
      <c r="F214" s="15" t="n">
        <v>1</v>
      </c>
      <c r="G214" s="15" t="s">
        <v>158</v>
      </c>
      <c r="H214" s="15"/>
      <c r="I214" s="15" t="s">
        <v>53</v>
      </c>
      <c r="J214" s="15" t="s">
        <v>182</v>
      </c>
      <c r="K214" s="15" t="s">
        <v>538</v>
      </c>
      <c r="L214" s="15"/>
      <c r="M214" s="15"/>
      <c r="N214" s="15"/>
      <c r="O214" s="15"/>
      <c r="P214" s="15" t="n">
        <v>0.023</v>
      </c>
      <c r="Q214" s="15" t="n">
        <v>0.023</v>
      </c>
      <c r="R214" s="15"/>
      <c r="S214" s="15" t="s">
        <v>459</v>
      </c>
      <c r="T214" s="15" t="n">
        <v>2</v>
      </c>
      <c r="U214" s="15"/>
      <c r="V214" s="15"/>
      <c r="W214" s="15"/>
      <c r="X214" s="15" t="s">
        <v>236</v>
      </c>
      <c r="Y214" s="15" t="n">
        <v>101</v>
      </c>
      <c r="Z214" s="15" t="s">
        <v>237</v>
      </c>
      <c r="AA214" s="15"/>
      <c r="AB214" s="15" t="n">
        <v>3</v>
      </c>
      <c r="AC214" s="15" t="n">
        <v>2</v>
      </c>
      <c r="AD214" s="15"/>
      <c r="AE214" s="15"/>
      <c r="AF214" s="15" t="s">
        <v>169</v>
      </c>
      <c r="AG214" s="15"/>
      <c r="AH214" s="24" t="n">
        <f aca="false">IF(R214="",AM214,R214)</f>
        <v>3</v>
      </c>
      <c r="AI214" s="24" t="n">
        <f aca="false">SUMIFS(Permissions!$G$2:$G$3000,Permissions!$B$2:$B$3000,$A214,Permissions!$I$2:$I$3000,"Complete",Permissions!$R$2:$R$3000,"Yes")</f>
        <v>3</v>
      </c>
      <c r="AJ214" s="24" t="n">
        <f aca="false">SUMIFS(Permissions!$G$2:$G$3000,Permissions!$B$2:$B$3000,$A214,Permissions!$I$2:$I$3000,"Under construction",Permissions!$R$2:$R$3000,"Yes")</f>
        <v>0</v>
      </c>
      <c r="AK214" s="24" t="n">
        <f aca="false">SUMIFS(Permissions!$G$2:$G$3000,Permissions!$B$2:$B$3000,$A214,Permissions!$I$2:$I$3000,"Permitted – not started",Permissions!$R$2:$R$3000,"Yes")</f>
        <v>0</v>
      </c>
      <c r="AL214" s="24" t="n">
        <f aca="false">SUMIFS(Permissions!$G$2:$G$3000,Permissions!$B$2:$B$3000,$A214,Permissions!$I$2:$I$3000,"Stalled",Permissions!$R$2:$R$3000,"Yes")</f>
        <v>0</v>
      </c>
      <c r="AM214" s="24" t="n">
        <f aca="false">AI214+AJ214+AK214+AL214</f>
        <v>3</v>
      </c>
      <c r="AN214" s="24" t="n">
        <f aca="false">SUMIFS(Permissions!$G$2:$G$3000,Permissions!$B$2:$B$3000,$A214,Permissions!$I$2:$I$3000,"Expired – not started",Permissions!$R$2:$R$3000,"Yes")</f>
        <v>0</v>
      </c>
      <c r="AO214" s="24" t="n">
        <f aca="false">SUMIFS(Permissions!$G$2:$G$3000,Permissions!$B$2:$B$3000,$A214,Permissions!$I$2:$I$3000,"In planning",Permissions!$R$2:$R$3000,"Yes")</f>
        <v>0</v>
      </c>
      <c r="AP214" s="24" t="n">
        <f aca="false">IF(R214="",0,MAX(R214-AM214,0))</f>
        <v>0</v>
      </c>
      <c r="AQ214" s="25" t="n">
        <f aca="false">AM214+AP214</f>
        <v>3</v>
      </c>
      <c r="AR214" s="24" t="n">
        <f aca="false">SUMIFS(Permissions!$L$2:$L$3000,Permissions!$B$2:$B$3000,$A214,Permissions!$R$2:$R$3000,"Yes",Permissions!$I$2:$I$3000,"&lt;&gt;Expired – not started",Permissions!$I$2:$I$3000,"&lt;&gt;In planning")</f>
        <v>3</v>
      </c>
      <c r="AS214" s="24" t="n">
        <f aca="false">AQ214-AR214</f>
        <v>0</v>
      </c>
      <c r="AT214" s="26" t="n">
        <f aca="false">SUMIFS(Permissions!$AJ$2:$AJ$3000,Permissions!$B$2:$B$3000,$A214,Permissions!$R$2:$R$3000,"Yes")</f>
        <v>0</v>
      </c>
      <c r="AU214" s="26" t="n">
        <f aca="false">SUMIFS(Permissions!$AK$2:$AK$3000,Permissions!$B$2:$B$3000,$A214,Permissions!$R$2:$R$3000,"Yes")</f>
        <v>0</v>
      </c>
      <c r="AV214" s="26" t="n">
        <f aca="false">SUMIFS(Permissions!$AL$2:$AL$3000,Permissions!$B$2:$B$3000,$A214,Permissions!$R$2:$R$3000,"Yes")</f>
        <v>0</v>
      </c>
      <c r="AW214" s="26" t="n">
        <f aca="false">SUMIFS(Permissions!$AM$2:$AM$3000,Permissions!$B$2:$B$3000,$A214,Permissions!$R$2:$R$3000,"Yes")</f>
        <v>0</v>
      </c>
      <c r="AX214" s="26" t="n">
        <f aca="false">SUMIFS(Permissions!$AN$2:$AN$3000,Permissions!$B$2:$B$3000,$A214,Permissions!$R$2:$R$3000,"Yes")</f>
        <v>0</v>
      </c>
      <c r="AY214" s="26" t="n">
        <f aca="false">SUMIFS(Permissions!$AO$2:$AO$3000,Permissions!$B$2:$B$3000,$A214,Permissions!$R$2:$R$3000,"Yes")</f>
        <v>0</v>
      </c>
      <c r="AZ214" s="24" t="n">
        <f aca="false">COUNTIFS(Permissions!$B$2:$B$3000,$A214,Permissions!$R$2:$R$3000,"Yes")</f>
        <v>1</v>
      </c>
      <c r="BA214" s="24" t="n">
        <f aca="false">SUMIFS(Permissions!$M$2:$M$3000,Permissions!$B$2:$B$3000,$A214,Permissions!$R$2:$R$3000,"Yes")</f>
        <v>3</v>
      </c>
      <c r="BB214" s="24" t="n">
        <f aca="false">SUMIFS(Permissions!$O$2:$O$3000,Permissions!$B$2:$B$3000,$A214,Permissions!$R$2:$R$3000,"Yes")</f>
        <v>0</v>
      </c>
      <c r="BC214" s="27" t="str">
        <f aca="false">IF(AND(AM214&gt;0,AR214&gt;=AM214,AP214=0),"Finished",IF(AR214&gt;0,"Partly built",IF(AM214&gt;0,"Consented – not built","No consent")))</f>
        <v>Finished</v>
      </c>
      <c r="BD214" s="28" t="str">
        <f aca="false">IF(AND(R214&lt;&gt;"",AM214&gt;1.1*R214),"Consented above capacity",IF(AND(LEFT(B214,8)="Planning",AZ214=0),"Consent parcel with no permission",IF(COUNTIF($A$2:$A$3000,$A214)&gt;1,"Duplicate parcel_id","")))</f>
        <v/>
      </c>
    </row>
    <row r="215" customFormat="false" ht="15" hidden="false" customHeight="false" outlineLevel="0" collapsed="false">
      <c r="A215" s="15" t="s">
        <v>539</v>
      </c>
      <c r="B215" s="15" t="s">
        <v>12</v>
      </c>
      <c r="C215" s="15" t="s">
        <v>16</v>
      </c>
      <c r="D215" s="15" t="s">
        <v>53</v>
      </c>
      <c r="E215" s="15" t="s">
        <v>19</v>
      </c>
      <c r="F215" s="15" t="n">
        <v>1</v>
      </c>
      <c r="G215" s="15" t="s">
        <v>158</v>
      </c>
      <c r="H215" s="15"/>
      <c r="I215" s="15" t="s">
        <v>53</v>
      </c>
      <c r="J215" s="15" t="s">
        <v>159</v>
      </c>
      <c r="K215" s="15" t="s">
        <v>540</v>
      </c>
      <c r="L215" s="15"/>
      <c r="M215" s="15"/>
      <c r="N215" s="15"/>
      <c r="O215" s="15"/>
      <c r="P215" s="15" t="n">
        <v>0.037</v>
      </c>
      <c r="Q215" s="15" t="n">
        <v>0.037</v>
      </c>
      <c r="R215" s="15"/>
      <c r="S215" s="15" t="s">
        <v>459</v>
      </c>
      <c r="T215" s="15" t="n">
        <v>4</v>
      </c>
      <c r="U215" s="15"/>
      <c r="V215" s="15"/>
      <c r="W215" s="15"/>
      <c r="X215" s="15" t="s">
        <v>236</v>
      </c>
      <c r="Y215" s="15" t="n">
        <v>101</v>
      </c>
      <c r="Z215" s="15" t="s">
        <v>237</v>
      </c>
      <c r="AA215" s="15"/>
      <c r="AB215" s="15" t="n">
        <v>0</v>
      </c>
      <c r="AC215" s="15" t="n">
        <v>0</v>
      </c>
      <c r="AD215" s="15"/>
      <c r="AE215" s="15"/>
      <c r="AF215" s="15" t="s">
        <v>169</v>
      </c>
      <c r="AG215" s="15"/>
      <c r="AH215" s="24" t="n">
        <f aca="false">IF(R215="",AM215,R215)</f>
        <v>2</v>
      </c>
      <c r="AI215" s="24" t="n">
        <f aca="false">SUMIFS(Permissions!$G$2:$G$3000,Permissions!$B$2:$B$3000,$A215,Permissions!$I$2:$I$3000,"Complete",Permissions!$R$2:$R$3000,"Yes")</f>
        <v>0</v>
      </c>
      <c r="AJ215" s="24" t="n">
        <f aca="false">SUMIFS(Permissions!$G$2:$G$3000,Permissions!$B$2:$B$3000,$A215,Permissions!$I$2:$I$3000,"Under construction",Permissions!$R$2:$R$3000,"Yes")</f>
        <v>2</v>
      </c>
      <c r="AK215" s="24" t="n">
        <f aca="false">SUMIFS(Permissions!$G$2:$G$3000,Permissions!$B$2:$B$3000,$A215,Permissions!$I$2:$I$3000,"Permitted – not started",Permissions!$R$2:$R$3000,"Yes")</f>
        <v>0</v>
      </c>
      <c r="AL215" s="24" t="n">
        <f aca="false">SUMIFS(Permissions!$G$2:$G$3000,Permissions!$B$2:$B$3000,$A215,Permissions!$I$2:$I$3000,"Stalled",Permissions!$R$2:$R$3000,"Yes")</f>
        <v>0</v>
      </c>
      <c r="AM215" s="24" t="n">
        <f aca="false">AI215+AJ215+AK215+AL215</f>
        <v>2</v>
      </c>
      <c r="AN215" s="24" t="n">
        <f aca="false">SUMIFS(Permissions!$G$2:$G$3000,Permissions!$B$2:$B$3000,$A215,Permissions!$I$2:$I$3000,"Expired – not started",Permissions!$R$2:$R$3000,"Yes")</f>
        <v>0</v>
      </c>
      <c r="AO215" s="24" t="n">
        <f aca="false">SUMIFS(Permissions!$G$2:$G$3000,Permissions!$B$2:$B$3000,$A215,Permissions!$I$2:$I$3000,"In planning",Permissions!$R$2:$R$3000,"Yes")</f>
        <v>0</v>
      </c>
      <c r="AP215" s="24" t="n">
        <f aca="false">IF(R215="",0,MAX(R215-AM215,0))</f>
        <v>0</v>
      </c>
      <c r="AQ215" s="25" t="n">
        <f aca="false">AM215+AP215</f>
        <v>2</v>
      </c>
      <c r="AR215" s="24" t="n">
        <f aca="false">SUMIFS(Permissions!$L$2:$L$3000,Permissions!$B$2:$B$3000,$A215,Permissions!$R$2:$R$3000,"Yes",Permissions!$I$2:$I$3000,"&lt;&gt;Expired – not started",Permissions!$I$2:$I$3000,"&lt;&gt;In planning")</f>
        <v>0</v>
      </c>
      <c r="AS215" s="24" t="n">
        <f aca="false">AQ215-AR215</f>
        <v>2</v>
      </c>
      <c r="AT215" s="26" t="n">
        <f aca="false">SUMIFS(Permissions!$AJ$2:$AJ$3000,Permissions!$B$2:$B$3000,$A215,Permissions!$R$2:$R$3000,"Yes")</f>
        <v>0.5</v>
      </c>
      <c r="AU215" s="26" t="n">
        <f aca="false">SUMIFS(Permissions!$AK$2:$AK$3000,Permissions!$B$2:$B$3000,$A215,Permissions!$R$2:$R$3000,"Yes")</f>
        <v>1.5</v>
      </c>
      <c r="AV215" s="26" t="n">
        <f aca="false">SUMIFS(Permissions!$AL$2:$AL$3000,Permissions!$B$2:$B$3000,$A215,Permissions!$R$2:$R$3000,"Yes")</f>
        <v>0</v>
      </c>
      <c r="AW215" s="26" t="n">
        <f aca="false">SUMIFS(Permissions!$AM$2:$AM$3000,Permissions!$B$2:$B$3000,$A215,Permissions!$R$2:$R$3000,"Yes")</f>
        <v>0</v>
      </c>
      <c r="AX215" s="26" t="n">
        <f aca="false">SUMIFS(Permissions!$AN$2:$AN$3000,Permissions!$B$2:$B$3000,$A215,Permissions!$R$2:$R$3000,"Yes")</f>
        <v>0</v>
      </c>
      <c r="AY215" s="26" t="n">
        <f aca="false">SUMIFS(Permissions!$AO$2:$AO$3000,Permissions!$B$2:$B$3000,$A215,Permissions!$R$2:$R$3000,"Yes")</f>
        <v>0</v>
      </c>
      <c r="AZ215" s="24" t="n">
        <f aca="false">COUNTIFS(Permissions!$B$2:$B$3000,$A215,Permissions!$R$2:$R$3000,"Yes")</f>
        <v>1</v>
      </c>
      <c r="BA215" s="24" t="n">
        <f aca="false">SUMIFS(Permissions!$M$2:$M$3000,Permissions!$B$2:$B$3000,$A215,Permissions!$R$2:$R$3000,"Yes")</f>
        <v>0</v>
      </c>
      <c r="BB215" s="24" t="n">
        <f aca="false">SUMIFS(Permissions!$O$2:$O$3000,Permissions!$B$2:$B$3000,$A215,Permissions!$R$2:$R$3000,"Yes")</f>
        <v>0</v>
      </c>
      <c r="BC215" s="27" t="str">
        <f aca="false">IF(AND(AM215&gt;0,AR215&gt;=AM215,AP215=0),"Finished",IF(AR215&gt;0,"Partly built",IF(AM215&gt;0,"Consented – not built","No consent")))</f>
        <v>Consented – not built</v>
      </c>
      <c r="BD215" s="28" t="str">
        <f aca="false">IF(AND(R215&lt;&gt;"",AM215&gt;1.1*R215),"Consented above capacity",IF(AND(LEFT(B215,8)="Planning",AZ215=0),"Consent parcel with no permission",IF(COUNTIF($A$2:$A$3000,$A215)&gt;1,"Duplicate parcel_id","")))</f>
        <v/>
      </c>
    </row>
    <row r="216" customFormat="false" ht="15" hidden="false" customHeight="false" outlineLevel="0" collapsed="false">
      <c r="A216" s="15" t="s">
        <v>541</v>
      </c>
      <c r="B216" s="15" t="s">
        <v>12</v>
      </c>
      <c r="C216" s="15" t="s">
        <v>16</v>
      </c>
      <c r="D216" s="15" t="s">
        <v>53</v>
      </c>
      <c r="E216" s="15" t="s">
        <v>19</v>
      </c>
      <c r="F216" s="15" t="n">
        <v>1</v>
      </c>
      <c r="G216" s="15" t="s">
        <v>158</v>
      </c>
      <c r="H216" s="15"/>
      <c r="I216" s="15" t="s">
        <v>53</v>
      </c>
      <c r="J216" s="15" t="s">
        <v>159</v>
      </c>
      <c r="K216" s="15" t="s">
        <v>542</v>
      </c>
      <c r="L216" s="15"/>
      <c r="M216" s="15"/>
      <c r="N216" s="15"/>
      <c r="O216" s="15"/>
      <c r="P216" s="15" t="n">
        <v>0.029</v>
      </c>
      <c r="Q216" s="15" t="n">
        <v>0.029</v>
      </c>
      <c r="R216" s="15" t="n">
        <v>3</v>
      </c>
      <c r="S216" s="15" t="s">
        <v>491</v>
      </c>
      <c r="T216" s="15" t="n">
        <v>3</v>
      </c>
      <c r="U216" s="15"/>
      <c r="V216" s="15"/>
      <c r="W216" s="15"/>
      <c r="X216" s="15" t="s">
        <v>236</v>
      </c>
      <c r="Y216" s="15" t="n">
        <v>101</v>
      </c>
      <c r="Z216" s="15" t="s">
        <v>240</v>
      </c>
      <c r="AA216" s="15"/>
      <c r="AB216" s="15" t="n">
        <v>0</v>
      </c>
      <c r="AC216" s="15" t="n">
        <v>0</v>
      </c>
      <c r="AD216" s="15"/>
      <c r="AE216" s="15"/>
      <c r="AF216" s="15" t="s">
        <v>169</v>
      </c>
      <c r="AG216" s="15"/>
      <c r="AH216" s="24" t="n">
        <f aca="false">IF(R216="",AM216,R216)</f>
        <v>3</v>
      </c>
      <c r="AI216" s="24" t="n">
        <f aca="false">SUMIFS(Permissions!$G$2:$G$3000,Permissions!$B$2:$B$3000,$A216,Permissions!$I$2:$I$3000,"Complete",Permissions!$R$2:$R$3000,"Yes")</f>
        <v>0</v>
      </c>
      <c r="AJ216" s="24" t="n">
        <f aca="false">SUMIFS(Permissions!$G$2:$G$3000,Permissions!$B$2:$B$3000,$A216,Permissions!$I$2:$I$3000,"Under construction",Permissions!$R$2:$R$3000,"Yes")</f>
        <v>0</v>
      </c>
      <c r="AK216" s="24" t="n">
        <f aca="false">SUMIFS(Permissions!$G$2:$G$3000,Permissions!$B$2:$B$3000,$A216,Permissions!$I$2:$I$3000,"Permitted – not started",Permissions!$R$2:$R$3000,"Yes")</f>
        <v>0</v>
      </c>
      <c r="AL216" s="24" t="n">
        <f aca="false">SUMIFS(Permissions!$G$2:$G$3000,Permissions!$B$2:$B$3000,$A216,Permissions!$I$2:$I$3000,"Stalled",Permissions!$R$2:$R$3000,"Yes")</f>
        <v>0</v>
      </c>
      <c r="AM216" s="24" t="n">
        <f aca="false">AI216+AJ216+AK216+AL216</f>
        <v>0</v>
      </c>
      <c r="AN216" s="24" t="n">
        <f aca="false">SUMIFS(Permissions!$G$2:$G$3000,Permissions!$B$2:$B$3000,$A216,Permissions!$I$2:$I$3000,"Expired – not started",Permissions!$R$2:$R$3000,"Yes")</f>
        <v>0</v>
      </c>
      <c r="AO216" s="24" t="n">
        <f aca="false">SUMIFS(Permissions!$G$2:$G$3000,Permissions!$B$2:$B$3000,$A216,Permissions!$I$2:$I$3000,"In planning",Permissions!$R$2:$R$3000,"Yes")</f>
        <v>0</v>
      </c>
      <c r="AP216" s="24" t="n">
        <f aca="false">IF(R216="",0,MAX(R216-AM216,0))</f>
        <v>3</v>
      </c>
      <c r="AQ216" s="25" t="n">
        <f aca="false">AM216+AP216</f>
        <v>3</v>
      </c>
      <c r="AR216" s="24" t="n">
        <f aca="false">SUMIFS(Permissions!$L$2:$L$3000,Permissions!$B$2:$B$3000,$A216,Permissions!$R$2:$R$3000,"Yes",Permissions!$I$2:$I$3000,"&lt;&gt;Expired – not started",Permissions!$I$2:$I$3000,"&lt;&gt;In planning")</f>
        <v>0</v>
      </c>
      <c r="AS216" s="24" t="n">
        <f aca="false">AQ216-AR216</f>
        <v>3</v>
      </c>
      <c r="AT216" s="26" t="n">
        <f aca="false">SUMIFS(Permissions!$AJ$2:$AJ$3000,Permissions!$B$2:$B$3000,$A216,Permissions!$R$2:$R$3000,"Yes")</f>
        <v>0</v>
      </c>
      <c r="AU216" s="26" t="n">
        <f aca="false">SUMIFS(Permissions!$AK$2:$AK$3000,Permissions!$B$2:$B$3000,$A216,Permissions!$R$2:$R$3000,"Yes")</f>
        <v>0</v>
      </c>
      <c r="AV216" s="26" t="n">
        <f aca="false">SUMIFS(Permissions!$AL$2:$AL$3000,Permissions!$B$2:$B$3000,$A216,Permissions!$R$2:$R$3000,"Yes")</f>
        <v>0</v>
      </c>
      <c r="AW216" s="26" t="n">
        <f aca="false">SUMIFS(Permissions!$AM$2:$AM$3000,Permissions!$B$2:$B$3000,$A216,Permissions!$R$2:$R$3000,"Yes")</f>
        <v>0</v>
      </c>
      <c r="AX216" s="26" t="n">
        <f aca="false">SUMIFS(Permissions!$AN$2:$AN$3000,Permissions!$B$2:$B$3000,$A216,Permissions!$R$2:$R$3000,"Yes")</f>
        <v>0</v>
      </c>
      <c r="AY216" s="26" t="n">
        <f aca="false">SUMIFS(Permissions!$AO$2:$AO$3000,Permissions!$B$2:$B$3000,$A216,Permissions!$R$2:$R$3000,"Yes")</f>
        <v>0</v>
      </c>
      <c r="AZ216" s="24" t="n">
        <f aca="false">COUNTIFS(Permissions!$B$2:$B$3000,$A216,Permissions!$R$2:$R$3000,"Yes")</f>
        <v>1</v>
      </c>
      <c r="BA216" s="24" t="n">
        <f aca="false">SUMIFS(Permissions!$M$2:$M$3000,Permissions!$B$2:$B$3000,$A216,Permissions!$R$2:$R$3000,"Yes")</f>
        <v>0</v>
      </c>
      <c r="BB216" s="24" t="n">
        <f aca="false">SUMIFS(Permissions!$O$2:$O$3000,Permissions!$B$2:$B$3000,$A216,Permissions!$R$2:$R$3000,"Yes")</f>
        <v>0</v>
      </c>
      <c r="BC216" s="27" t="str">
        <f aca="false">IF(AND(AM216&gt;0,AR216&gt;=AM216,AP216=0),"Finished",IF(AR216&gt;0,"Partly built",IF(AM216&gt;0,"Consented – not built","No consent")))</f>
        <v>No consent</v>
      </c>
      <c r="BD216" s="28" t="str">
        <f aca="false">IF(AND(R216&lt;&gt;"",AM216&gt;1.1*R216),"Consented above capacity",IF(AND(LEFT(B216,8)="Planning",AZ216=0),"Consent parcel with no permission",IF(COUNTIF($A$2:$A$3000,$A216)&gt;1,"Duplicate parcel_id","")))</f>
        <v/>
      </c>
    </row>
    <row r="217" customFormat="false" ht="15" hidden="false" customHeight="false" outlineLevel="0" collapsed="false">
      <c r="A217" s="15" t="s">
        <v>543</v>
      </c>
      <c r="B217" s="15" t="s">
        <v>12</v>
      </c>
      <c r="C217" s="15" t="s">
        <v>16</v>
      </c>
      <c r="D217" s="15" t="s">
        <v>53</v>
      </c>
      <c r="E217" s="15" t="s">
        <v>19</v>
      </c>
      <c r="F217" s="15" t="n">
        <v>1</v>
      </c>
      <c r="G217" s="15" t="s">
        <v>158</v>
      </c>
      <c r="H217" s="15"/>
      <c r="I217" s="15" t="s">
        <v>53</v>
      </c>
      <c r="J217" s="15" t="s">
        <v>159</v>
      </c>
      <c r="K217" s="15" t="s">
        <v>544</v>
      </c>
      <c r="L217" s="15"/>
      <c r="M217" s="15"/>
      <c r="N217" s="15"/>
      <c r="O217" s="15"/>
      <c r="P217" s="15" t="n">
        <v>0.047</v>
      </c>
      <c r="Q217" s="15" t="n">
        <v>0.047</v>
      </c>
      <c r="R217" s="15" t="n">
        <v>15</v>
      </c>
      <c r="S217" s="15" t="s">
        <v>472</v>
      </c>
      <c r="T217" s="15" t="n">
        <v>5</v>
      </c>
      <c r="U217" s="15"/>
      <c r="V217" s="15"/>
      <c r="W217" s="15"/>
      <c r="X217" s="15" t="s">
        <v>236</v>
      </c>
      <c r="Y217" s="15" t="n">
        <v>101</v>
      </c>
      <c r="Z217" s="15" t="s">
        <v>237</v>
      </c>
      <c r="AA217" s="15"/>
      <c r="AB217" s="15" t="n">
        <v>27</v>
      </c>
      <c r="AC217" s="15" t="n">
        <v>0</v>
      </c>
      <c r="AD217" s="15"/>
      <c r="AE217" s="15"/>
      <c r="AF217" s="15" t="s">
        <v>169</v>
      </c>
      <c r="AG217" s="15"/>
      <c r="AH217" s="24" t="n">
        <f aca="false">IF(R217="",AM217,R217)</f>
        <v>15</v>
      </c>
      <c r="AI217" s="24" t="n">
        <f aca="false">SUMIFS(Permissions!$G$2:$G$3000,Permissions!$B$2:$B$3000,$A217,Permissions!$I$2:$I$3000,"Complete",Permissions!$R$2:$R$3000,"Yes")</f>
        <v>0</v>
      </c>
      <c r="AJ217" s="24" t="n">
        <f aca="false">SUMIFS(Permissions!$G$2:$G$3000,Permissions!$B$2:$B$3000,$A217,Permissions!$I$2:$I$3000,"Under construction",Permissions!$R$2:$R$3000,"Yes")</f>
        <v>0</v>
      </c>
      <c r="AK217" s="24" t="n">
        <f aca="false">SUMIFS(Permissions!$G$2:$G$3000,Permissions!$B$2:$B$3000,$A217,Permissions!$I$2:$I$3000,"Permitted – not started",Permissions!$R$2:$R$3000,"Yes")</f>
        <v>0</v>
      </c>
      <c r="AL217" s="24" t="n">
        <f aca="false">SUMIFS(Permissions!$G$2:$G$3000,Permissions!$B$2:$B$3000,$A217,Permissions!$I$2:$I$3000,"Stalled",Permissions!$R$2:$R$3000,"Yes")</f>
        <v>0</v>
      </c>
      <c r="AM217" s="24" t="n">
        <f aca="false">AI217+AJ217+AK217+AL217</f>
        <v>0</v>
      </c>
      <c r="AN217" s="24" t="n">
        <f aca="false">SUMIFS(Permissions!$G$2:$G$3000,Permissions!$B$2:$B$3000,$A217,Permissions!$I$2:$I$3000,"Expired – not started",Permissions!$R$2:$R$3000,"Yes")</f>
        <v>15</v>
      </c>
      <c r="AO217" s="24" t="n">
        <f aca="false">SUMIFS(Permissions!$G$2:$G$3000,Permissions!$B$2:$B$3000,$A217,Permissions!$I$2:$I$3000,"In planning",Permissions!$R$2:$R$3000,"Yes")</f>
        <v>0</v>
      </c>
      <c r="AP217" s="24" t="n">
        <f aca="false">IF(R217="",0,MAX(R217-AM217,0))</f>
        <v>15</v>
      </c>
      <c r="AQ217" s="25" t="n">
        <f aca="false">AM217+AP217</f>
        <v>15</v>
      </c>
      <c r="AR217" s="24" t="n">
        <f aca="false">SUMIFS(Permissions!$L$2:$L$3000,Permissions!$B$2:$B$3000,$A217,Permissions!$R$2:$R$3000,"Yes",Permissions!$I$2:$I$3000,"&lt;&gt;Expired – not started",Permissions!$I$2:$I$3000,"&lt;&gt;In planning")</f>
        <v>0</v>
      </c>
      <c r="AS217" s="24" t="n">
        <f aca="false">AQ217-AR217</f>
        <v>15</v>
      </c>
      <c r="AT217" s="26" t="n">
        <f aca="false">SUMIFS(Permissions!$AJ$2:$AJ$3000,Permissions!$B$2:$B$3000,$A217,Permissions!$R$2:$R$3000,"Yes")</f>
        <v>0</v>
      </c>
      <c r="AU217" s="26" t="n">
        <f aca="false">SUMIFS(Permissions!$AK$2:$AK$3000,Permissions!$B$2:$B$3000,$A217,Permissions!$R$2:$R$3000,"Yes")</f>
        <v>0</v>
      </c>
      <c r="AV217" s="26" t="n">
        <f aca="false">SUMIFS(Permissions!$AL$2:$AL$3000,Permissions!$B$2:$B$3000,$A217,Permissions!$R$2:$R$3000,"Yes")</f>
        <v>0</v>
      </c>
      <c r="AW217" s="26" t="n">
        <f aca="false">SUMIFS(Permissions!$AM$2:$AM$3000,Permissions!$B$2:$B$3000,$A217,Permissions!$R$2:$R$3000,"Yes")</f>
        <v>0</v>
      </c>
      <c r="AX217" s="26" t="n">
        <f aca="false">SUMIFS(Permissions!$AN$2:$AN$3000,Permissions!$B$2:$B$3000,$A217,Permissions!$R$2:$R$3000,"Yes")</f>
        <v>0</v>
      </c>
      <c r="AY217" s="26" t="n">
        <f aca="false">SUMIFS(Permissions!$AO$2:$AO$3000,Permissions!$B$2:$B$3000,$A217,Permissions!$R$2:$R$3000,"Yes")</f>
        <v>0</v>
      </c>
      <c r="AZ217" s="24" t="n">
        <f aca="false">COUNTIFS(Permissions!$B$2:$B$3000,$A217,Permissions!$R$2:$R$3000,"Yes")</f>
        <v>1</v>
      </c>
      <c r="BA217" s="24" t="n">
        <f aca="false">SUMIFS(Permissions!$M$2:$M$3000,Permissions!$B$2:$B$3000,$A217,Permissions!$R$2:$R$3000,"Yes")</f>
        <v>0</v>
      </c>
      <c r="BB217" s="24" t="n">
        <f aca="false">SUMIFS(Permissions!$O$2:$O$3000,Permissions!$B$2:$B$3000,$A217,Permissions!$R$2:$R$3000,"Yes")</f>
        <v>0</v>
      </c>
      <c r="BC217" s="27" t="str">
        <f aca="false">IF(AND(AM217&gt;0,AR217&gt;=AM217,AP217=0),"Finished",IF(AR217&gt;0,"Partly built",IF(AM217&gt;0,"Consented – not built","No consent")))</f>
        <v>No consent</v>
      </c>
      <c r="BD217" s="28" t="str">
        <f aca="false">IF(AND(R217&lt;&gt;"",AM217&gt;1.1*R217),"Consented above capacity",IF(AND(LEFT(B217,8)="Planning",AZ217=0),"Consent parcel with no permission",IF(COUNTIF($A$2:$A$3000,$A217)&gt;1,"Duplicate parcel_id","")))</f>
        <v/>
      </c>
    </row>
    <row r="218" customFormat="false" ht="15" hidden="false" customHeight="false" outlineLevel="0" collapsed="false">
      <c r="A218" s="15" t="s">
        <v>545</v>
      </c>
      <c r="B218" s="15" t="s">
        <v>12</v>
      </c>
      <c r="C218" s="15" t="s">
        <v>16</v>
      </c>
      <c r="D218" s="15" t="s">
        <v>53</v>
      </c>
      <c r="E218" s="15" t="s">
        <v>19</v>
      </c>
      <c r="F218" s="15" t="n">
        <v>1</v>
      </c>
      <c r="G218" s="15" t="s">
        <v>158</v>
      </c>
      <c r="H218" s="15"/>
      <c r="I218" s="15" t="s">
        <v>53</v>
      </c>
      <c r="J218" s="15" t="s">
        <v>159</v>
      </c>
      <c r="K218" s="15" t="s">
        <v>546</v>
      </c>
      <c r="L218" s="15"/>
      <c r="M218" s="15"/>
      <c r="N218" s="15"/>
      <c r="O218" s="15"/>
      <c r="P218" s="15" t="n">
        <v>0.048</v>
      </c>
      <c r="Q218" s="15" t="n">
        <v>0.048</v>
      </c>
      <c r="R218" s="15"/>
      <c r="S218" s="15" t="s">
        <v>459</v>
      </c>
      <c r="T218" s="15" t="n">
        <v>5</v>
      </c>
      <c r="U218" s="15"/>
      <c r="V218" s="15"/>
      <c r="W218" s="15"/>
      <c r="X218" s="15" t="s">
        <v>236</v>
      </c>
      <c r="Y218" s="15" t="n">
        <v>101</v>
      </c>
      <c r="Z218" s="15" t="s">
        <v>237</v>
      </c>
      <c r="AA218" s="15"/>
      <c r="AB218" s="15" t="n">
        <v>0</v>
      </c>
      <c r="AC218" s="15" t="n">
        <v>0</v>
      </c>
      <c r="AD218" s="15"/>
      <c r="AE218" s="15"/>
      <c r="AF218" s="15" t="s">
        <v>169</v>
      </c>
      <c r="AG218" s="15"/>
      <c r="AH218" s="24" t="n">
        <f aca="false">IF(R218="",AM218,R218)</f>
        <v>14</v>
      </c>
      <c r="AI218" s="24" t="n">
        <f aca="false">SUMIFS(Permissions!$G$2:$G$3000,Permissions!$B$2:$B$3000,$A218,Permissions!$I$2:$I$3000,"Complete",Permissions!$R$2:$R$3000,"Yes")</f>
        <v>0</v>
      </c>
      <c r="AJ218" s="24" t="n">
        <f aca="false">SUMIFS(Permissions!$G$2:$G$3000,Permissions!$B$2:$B$3000,$A218,Permissions!$I$2:$I$3000,"Under construction",Permissions!$R$2:$R$3000,"Yes")</f>
        <v>0</v>
      </c>
      <c r="AK218" s="24" t="n">
        <f aca="false">SUMIFS(Permissions!$G$2:$G$3000,Permissions!$B$2:$B$3000,$A218,Permissions!$I$2:$I$3000,"Permitted – not started",Permissions!$R$2:$R$3000,"Yes")</f>
        <v>14</v>
      </c>
      <c r="AL218" s="24" t="n">
        <f aca="false">SUMIFS(Permissions!$G$2:$G$3000,Permissions!$B$2:$B$3000,$A218,Permissions!$I$2:$I$3000,"Stalled",Permissions!$R$2:$R$3000,"Yes")</f>
        <v>0</v>
      </c>
      <c r="AM218" s="24" t="n">
        <f aca="false">AI218+AJ218+AK218+AL218</f>
        <v>14</v>
      </c>
      <c r="AN218" s="24" t="n">
        <f aca="false">SUMIFS(Permissions!$G$2:$G$3000,Permissions!$B$2:$B$3000,$A218,Permissions!$I$2:$I$3000,"Expired – not started",Permissions!$R$2:$R$3000,"Yes")</f>
        <v>0</v>
      </c>
      <c r="AO218" s="24" t="n">
        <f aca="false">SUMIFS(Permissions!$G$2:$G$3000,Permissions!$B$2:$B$3000,$A218,Permissions!$I$2:$I$3000,"In planning",Permissions!$R$2:$R$3000,"Yes")</f>
        <v>0</v>
      </c>
      <c r="AP218" s="24" t="n">
        <f aca="false">IF(R218="",0,MAX(R218-AM218,0))</f>
        <v>0</v>
      </c>
      <c r="AQ218" s="25" t="n">
        <f aca="false">AM218+AP218</f>
        <v>14</v>
      </c>
      <c r="AR218" s="24" t="n">
        <f aca="false">SUMIFS(Permissions!$L$2:$L$3000,Permissions!$B$2:$B$3000,$A218,Permissions!$R$2:$R$3000,"Yes",Permissions!$I$2:$I$3000,"&lt;&gt;Expired – not started",Permissions!$I$2:$I$3000,"&lt;&gt;In planning")</f>
        <v>0</v>
      </c>
      <c r="AS218" s="24" t="n">
        <f aca="false">AQ218-AR218</f>
        <v>14</v>
      </c>
      <c r="AT218" s="26" t="n">
        <f aca="false">SUMIFS(Permissions!$AJ$2:$AJ$3000,Permissions!$B$2:$B$3000,$A218,Permissions!$R$2:$R$3000,"Yes")</f>
        <v>0</v>
      </c>
      <c r="AU218" s="26" t="n">
        <f aca="false">SUMIFS(Permissions!$AK$2:$AK$3000,Permissions!$B$2:$B$3000,$A218,Permissions!$R$2:$R$3000,"Yes")</f>
        <v>0</v>
      </c>
      <c r="AV218" s="26" t="n">
        <f aca="false">SUMIFS(Permissions!$AL$2:$AL$3000,Permissions!$B$2:$B$3000,$A218,Permissions!$R$2:$R$3000,"Yes")</f>
        <v>8.2</v>
      </c>
      <c r="AW218" s="26" t="n">
        <f aca="false">SUMIFS(Permissions!$AM$2:$AM$3000,Permissions!$B$2:$B$3000,$A218,Permissions!$R$2:$R$3000,"Yes")</f>
        <v>5.8</v>
      </c>
      <c r="AX218" s="26" t="n">
        <f aca="false">SUMIFS(Permissions!$AN$2:$AN$3000,Permissions!$B$2:$B$3000,$A218,Permissions!$R$2:$R$3000,"Yes")</f>
        <v>0</v>
      </c>
      <c r="AY218" s="26" t="n">
        <f aca="false">SUMIFS(Permissions!$AO$2:$AO$3000,Permissions!$B$2:$B$3000,$A218,Permissions!$R$2:$R$3000,"Yes")</f>
        <v>0</v>
      </c>
      <c r="AZ218" s="24" t="n">
        <f aca="false">COUNTIFS(Permissions!$B$2:$B$3000,$A218,Permissions!$R$2:$R$3000,"Yes")</f>
        <v>1</v>
      </c>
      <c r="BA218" s="24" t="n">
        <f aca="false">SUMIFS(Permissions!$M$2:$M$3000,Permissions!$B$2:$B$3000,$A218,Permissions!$R$2:$R$3000,"Yes")</f>
        <v>0</v>
      </c>
      <c r="BB218" s="24" t="n">
        <f aca="false">SUMIFS(Permissions!$O$2:$O$3000,Permissions!$B$2:$B$3000,$A218,Permissions!$R$2:$R$3000,"Yes")</f>
        <v>0</v>
      </c>
      <c r="BC218" s="27" t="str">
        <f aca="false">IF(AND(AM218&gt;0,AR218&gt;=AM218,AP218=0),"Finished",IF(AR218&gt;0,"Partly built",IF(AM218&gt;0,"Consented – not built","No consent")))</f>
        <v>Consented – not built</v>
      </c>
      <c r="BD218" s="28" t="str">
        <f aca="false">IF(AND(R218&lt;&gt;"",AM218&gt;1.1*R218),"Consented above capacity",IF(AND(LEFT(B218,8)="Planning",AZ218=0),"Consent parcel with no permission",IF(COUNTIF($A$2:$A$3000,$A218)&gt;1,"Duplicate parcel_id","")))</f>
        <v/>
      </c>
    </row>
    <row r="219" customFormat="false" ht="15" hidden="false" customHeight="false" outlineLevel="0" collapsed="false">
      <c r="A219" s="15" t="s">
        <v>547</v>
      </c>
      <c r="B219" s="15" t="s">
        <v>12</v>
      </c>
      <c r="C219" s="15" t="s">
        <v>16</v>
      </c>
      <c r="D219" s="15" t="s">
        <v>53</v>
      </c>
      <c r="E219" s="15" t="s">
        <v>19</v>
      </c>
      <c r="F219" s="15" t="n">
        <v>1</v>
      </c>
      <c r="G219" s="15" t="s">
        <v>158</v>
      </c>
      <c r="H219" s="15"/>
      <c r="I219" s="15" t="s">
        <v>53</v>
      </c>
      <c r="J219" s="15" t="s">
        <v>159</v>
      </c>
      <c r="K219" s="15" t="s">
        <v>548</v>
      </c>
      <c r="L219" s="15"/>
      <c r="M219" s="15"/>
      <c r="N219" s="15"/>
      <c r="O219" s="15"/>
      <c r="P219" s="15" t="n">
        <v>0.074</v>
      </c>
      <c r="Q219" s="15" t="n">
        <v>0.074</v>
      </c>
      <c r="R219" s="15"/>
      <c r="S219" s="15" t="s">
        <v>459</v>
      </c>
      <c r="T219" s="15" t="n">
        <v>7</v>
      </c>
      <c r="U219" s="15"/>
      <c r="V219" s="15"/>
      <c r="W219" s="15"/>
      <c r="X219" s="15" t="s">
        <v>236</v>
      </c>
      <c r="Y219" s="15" t="n">
        <v>101</v>
      </c>
      <c r="Z219" s="15" t="s">
        <v>237</v>
      </c>
      <c r="AA219" s="15"/>
      <c r="AB219" s="15" t="n">
        <v>1</v>
      </c>
      <c r="AC219" s="15" t="n">
        <v>0</v>
      </c>
      <c r="AD219" s="15"/>
      <c r="AE219" s="15"/>
      <c r="AF219" s="15" t="s">
        <v>169</v>
      </c>
      <c r="AG219" s="15"/>
      <c r="AH219" s="24" t="n">
        <f aca="false">IF(R219="",AM219,R219)</f>
        <v>74</v>
      </c>
      <c r="AI219" s="24" t="n">
        <f aca="false">SUMIFS(Permissions!$G$2:$G$3000,Permissions!$B$2:$B$3000,$A219,Permissions!$I$2:$I$3000,"Complete",Permissions!$R$2:$R$3000,"Yes")</f>
        <v>0</v>
      </c>
      <c r="AJ219" s="24" t="n">
        <f aca="false">SUMIFS(Permissions!$G$2:$G$3000,Permissions!$B$2:$B$3000,$A219,Permissions!$I$2:$I$3000,"Under construction",Permissions!$R$2:$R$3000,"Yes")</f>
        <v>0</v>
      </c>
      <c r="AK219" s="24" t="n">
        <f aca="false">SUMIFS(Permissions!$G$2:$G$3000,Permissions!$B$2:$B$3000,$A219,Permissions!$I$2:$I$3000,"Permitted – not started",Permissions!$R$2:$R$3000,"Yes")</f>
        <v>74</v>
      </c>
      <c r="AL219" s="24" t="n">
        <f aca="false">SUMIFS(Permissions!$G$2:$G$3000,Permissions!$B$2:$B$3000,$A219,Permissions!$I$2:$I$3000,"Stalled",Permissions!$R$2:$R$3000,"Yes")</f>
        <v>0</v>
      </c>
      <c r="AM219" s="24" t="n">
        <f aca="false">AI219+AJ219+AK219+AL219</f>
        <v>74</v>
      </c>
      <c r="AN219" s="24" t="n">
        <f aca="false">SUMIFS(Permissions!$G$2:$G$3000,Permissions!$B$2:$B$3000,$A219,Permissions!$I$2:$I$3000,"Expired – not started",Permissions!$R$2:$R$3000,"Yes")</f>
        <v>0</v>
      </c>
      <c r="AO219" s="24" t="n">
        <f aca="false">SUMIFS(Permissions!$G$2:$G$3000,Permissions!$B$2:$B$3000,$A219,Permissions!$I$2:$I$3000,"In planning",Permissions!$R$2:$R$3000,"Yes")</f>
        <v>0</v>
      </c>
      <c r="AP219" s="24" t="n">
        <f aca="false">IF(R219="",0,MAX(R219-AM219,0))</f>
        <v>0</v>
      </c>
      <c r="AQ219" s="25" t="n">
        <f aca="false">AM219+AP219</f>
        <v>74</v>
      </c>
      <c r="AR219" s="24" t="n">
        <f aca="false">SUMIFS(Permissions!$L$2:$L$3000,Permissions!$B$2:$B$3000,$A219,Permissions!$R$2:$R$3000,"Yes",Permissions!$I$2:$I$3000,"&lt;&gt;Expired – not started",Permissions!$I$2:$I$3000,"&lt;&gt;In planning")</f>
        <v>0</v>
      </c>
      <c r="AS219" s="24" t="n">
        <f aca="false">AQ219-AR219</f>
        <v>74</v>
      </c>
      <c r="AT219" s="26" t="n">
        <f aca="false">SUMIFS(Permissions!$AJ$2:$AJ$3000,Permissions!$B$2:$B$3000,$A219,Permissions!$R$2:$R$3000,"Yes")</f>
        <v>0</v>
      </c>
      <c r="AU219" s="26" t="n">
        <f aca="false">SUMIFS(Permissions!$AK$2:$AK$3000,Permissions!$B$2:$B$3000,$A219,Permissions!$R$2:$R$3000,"Yes")</f>
        <v>0</v>
      </c>
      <c r="AV219" s="26" t="n">
        <f aca="false">SUMIFS(Permissions!$AL$2:$AL$3000,Permissions!$B$2:$B$3000,$A219,Permissions!$R$2:$R$3000,"Yes")</f>
        <v>54.4</v>
      </c>
      <c r="AW219" s="26" t="n">
        <f aca="false">SUMIFS(Permissions!$AM$2:$AM$3000,Permissions!$B$2:$B$3000,$A219,Permissions!$R$2:$R$3000,"Yes")</f>
        <v>19.6</v>
      </c>
      <c r="AX219" s="26" t="n">
        <f aca="false">SUMIFS(Permissions!$AN$2:$AN$3000,Permissions!$B$2:$B$3000,$A219,Permissions!$R$2:$R$3000,"Yes")</f>
        <v>0</v>
      </c>
      <c r="AY219" s="26" t="n">
        <f aca="false">SUMIFS(Permissions!$AO$2:$AO$3000,Permissions!$B$2:$B$3000,$A219,Permissions!$R$2:$R$3000,"Yes")</f>
        <v>0</v>
      </c>
      <c r="AZ219" s="24" t="n">
        <f aca="false">COUNTIFS(Permissions!$B$2:$B$3000,$A219,Permissions!$R$2:$R$3000,"Yes")</f>
        <v>2</v>
      </c>
      <c r="BA219" s="24" t="n">
        <f aca="false">SUMIFS(Permissions!$M$2:$M$3000,Permissions!$B$2:$B$3000,$A219,Permissions!$R$2:$R$3000,"Yes")</f>
        <v>0</v>
      </c>
      <c r="BB219" s="24" t="n">
        <f aca="false">SUMIFS(Permissions!$O$2:$O$3000,Permissions!$B$2:$B$3000,$A219,Permissions!$R$2:$R$3000,"Yes")</f>
        <v>0</v>
      </c>
      <c r="BC219" s="27" t="str">
        <f aca="false">IF(AND(AM219&gt;0,AR219&gt;=AM219,AP219=0),"Finished",IF(AR219&gt;0,"Partly built",IF(AM219&gt;0,"Consented – not built","No consent")))</f>
        <v>Consented – not built</v>
      </c>
      <c r="BD219" s="28" t="str">
        <f aca="false">IF(AND(R219&lt;&gt;"",AM219&gt;1.1*R219),"Consented above capacity",IF(AND(LEFT(B219,8)="Planning",AZ219=0),"Consent parcel with no permission",IF(COUNTIF($A$2:$A$3000,$A219)&gt;1,"Duplicate parcel_id","")))</f>
        <v/>
      </c>
    </row>
    <row r="220" customFormat="false" ht="15" hidden="false" customHeight="false" outlineLevel="0" collapsed="false">
      <c r="A220" s="15" t="s">
        <v>549</v>
      </c>
      <c r="B220" s="15" t="s">
        <v>12</v>
      </c>
      <c r="C220" s="15" t="s">
        <v>16</v>
      </c>
      <c r="D220" s="15" t="s">
        <v>53</v>
      </c>
      <c r="E220" s="15" t="s">
        <v>19</v>
      </c>
      <c r="F220" s="15" t="n">
        <v>1</v>
      </c>
      <c r="G220" s="15" t="s">
        <v>158</v>
      </c>
      <c r="H220" s="15"/>
      <c r="I220" s="15" t="s">
        <v>53</v>
      </c>
      <c r="J220" s="15" t="s">
        <v>159</v>
      </c>
      <c r="K220" s="15" t="s">
        <v>550</v>
      </c>
      <c r="L220" s="15"/>
      <c r="M220" s="15"/>
      <c r="N220" s="15"/>
      <c r="O220" s="15"/>
      <c r="P220" s="15" t="n">
        <v>0.077</v>
      </c>
      <c r="Q220" s="15" t="n">
        <v>0.077</v>
      </c>
      <c r="R220" s="15"/>
      <c r="S220" s="15" t="s">
        <v>459</v>
      </c>
      <c r="T220" s="15" t="n">
        <v>8</v>
      </c>
      <c r="U220" s="15"/>
      <c r="V220" s="15"/>
      <c r="W220" s="15"/>
      <c r="X220" s="15" t="s">
        <v>236</v>
      </c>
      <c r="Y220" s="15" t="n">
        <v>101</v>
      </c>
      <c r="Z220" s="15" t="s">
        <v>237</v>
      </c>
      <c r="AA220" s="15"/>
      <c r="AB220" s="15" t="n">
        <v>0</v>
      </c>
      <c r="AC220" s="15" t="n">
        <v>0</v>
      </c>
      <c r="AD220" s="15"/>
      <c r="AE220" s="15"/>
      <c r="AF220" s="15" t="s">
        <v>169</v>
      </c>
      <c r="AG220" s="15"/>
      <c r="AH220" s="24" t="n">
        <f aca="false">IF(R220="",AM220,R220)</f>
        <v>29</v>
      </c>
      <c r="AI220" s="24" t="n">
        <f aca="false">SUMIFS(Permissions!$G$2:$G$3000,Permissions!$B$2:$B$3000,$A220,Permissions!$I$2:$I$3000,"Complete",Permissions!$R$2:$R$3000,"Yes")</f>
        <v>0</v>
      </c>
      <c r="AJ220" s="24" t="n">
        <f aca="false">SUMIFS(Permissions!$G$2:$G$3000,Permissions!$B$2:$B$3000,$A220,Permissions!$I$2:$I$3000,"Under construction",Permissions!$R$2:$R$3000,"Yes")</f>
        <v>0</v>
      </c>
      <c r="AK220" s="24" t="n">
        <f aca="false">SUMIFS(Permissions!$G$2:$G$3000,Permissions!$B$2:$B$3000,$A220,Permissions!$I$2:$I$3000,"Permitted – not started",Permissions!$R$2:$R$3000,"Yes")</f>
        <v>29</v>
      </c>
      <c r="AL220" s="24" t="n">
        <f aca="false">SUMIFS(Permissions!$G$2:$G$3000,Permissions!$B$2:$B$3000,$A220,Permissions!$I$2:$I$3000,"Stalled",Permissions!$R$2:$R$3000,"Yes")</f>
        <v>0</v>
      </c>
      <c r="AM220" s="24" t="n">
        <f aca="false">AI220+AJ220+AK220+AL220</f>
        <v>29</v>
      </c>
      <c r="AN220" s="24" t="n">
        <f aca="false">SUMIFS(Permissions!$G$2:$G$3000,Permissions!$B$2:$B$3000,$A220,Permissions!$I$2:$I$3000,"Expired – not started",Permissions!$R$2:$R$3000,"Yes")</f>
        <v>0</v>
      </c>
      <c r="AO220" s="24" t="n">
        <f aca="false">SUMIFS(Permissions!$G$2:$G$3000,Permissions!$B$2:$B$3000,$A220,Permissions!$I$2:$I$3000,"In planning",Permissions!$R$2:$R$3000,"Yes")</f>
        <v>0</v>
      </c>
      <c r="AP220" s="24" t="n">
        <f aca="false">IF(R220="",0,MAX(R220-AM220,0))</f>
        <v>0</v>
      </c>
      <c r="AQ220" s="25" t="n">
        <f aca="false">AM220+AP220</f>
        <v>29</v>
      </c>
      <c r="AR220" s="24" t="n">
        <f aca="false">SUMIFS(Permissions!$L$2:$L$3000,Permissions!$B$2:$B$3000,$A220,Permissions!$R$2:$R$3000,"Yes",Permissions!$I$2:$I$3000,"&lt;&gt;Expired – not started",Permissions!$I$2:$I$3000,"&lt;&gt;In planning")</f>
        <v>0</v>
      </c>
      <c r="AS220" s="24" t="n">
        <f aca="false">AQ220-AR220</f>
        <v>29</v>
      </c>
      <c r="AT220" s="26" t="n">
        <f aca="false">SUMIFS(Permissions!$AJ$2:$AJ$3000,Permissions!$B$2:$B$3000,$A220,Permissions!$R$2:$R$3000,"Yes")</f>
        <v>0</v>
      </c>
      <c r="AU220" s="26" t="n">
        <f aca="false">SUMIFS(Permissions!$AK$2:$AK$3000,Permissions!$B$2:$B$3000,$A220,Permissions!$R$2:$R$3000,"Yes")</f>
        <v>0</v>
      </c>
      <c r="AV220" s="26" t="n">
        <f aca="false">SUMIFS(Permissions!$AL$2:$AL$3000,Permissions!$B$2:$B$3000,$A220,Permissions!$R$2:$R$3000,"Yes")</f>
        <v>22</v>
      </c>
      <c r="AW220" s="26" t="n">
        <f aca="false">SUMIFS(Permissions!$AM$2:$AM$3000,Permissions!$B$2:$B$3000,$A220,Permissions!$R$2:$R$3000,"Yes")</f>
        <v>7</v>
      </c>
      <c r="AX220" s="26" t="n">
        <f aca="false">SUMIFS(Permissions!$AN$2:$AN$3000,Permissions!$B$2:$B$3000,$A220,Permissions!$R$2:$R$3000,"Yes")</f>
        <v>0</v>
      </c>
      <c r="AY220" s="26" t="n">
        <f aca="false">SUMIFS(Permissions!$AO$2:$AO$3000,Permissions!$B$2:$B$3000,$A220,Permissions!$R$2:$R$3000,"Yes")</f>
        <v>0</v>
      </c>
      <c r="AZ220" s="24" t="n">
        <f aca="false">COUNTIFS(Permissions!$B$2:$B$3000,$A220,Permissions!$R$2:$R$3000,"Yes")</f>
        <v>1</v>
      </c>
      <c r="BA220" s="24" t="n">
        <f aca="false">SUMIFS(Permissions!$M$2:$M$3000,Permissions!$B$2:$B$3000,$A220,Permissions!$R$2:$R$3000,"Yes")</f>
        <v>0</v>
      </c>
      <c r="BB220" s="24" t="n">
        <f aca="false">SUMIFS(Permissions!$O$2:$O$3000,Permissions!$B$2:$B$3000,$A220,Permissions!$R$2:$R$3000,"Yes")</f>
        <v>0</v>
      </c>
      <c r="BC220" s="27" t="str">
        <f aca="false">IF(AND(AM220&gt;0,AR220&gt;=AM220,AP220=0),"Finished",IF(AR220&gt;0,"Partly built",IF(AM220&gt;0,"Consented – not built","No consent")))</f>
        <v>Consented – not built</v>
      </c>
      <c r="BD220" s="28" t="str">
        <f aca="false">IF(AND(R220&lt;&gt;"",AM220&gt;1.1*R220),"Consented above capacity",IF(AND(LEFT(B220,8)="Planning",AZ220=0),"Consent parcel with no permission",IF(COUNTIF($A$2:$A$3000,$A220)&gt;1,"Duplicate parcel_id","")))</f>
        <v/>
      </c>
    </row>
    <row r="221" customFormat="false" ht="15" hidden="false" customHeight="false" outlineLevel="0" collapsed="false">
      <c r="A221" s="15" t="s">
        <v>551</v>
      </c>
      <c r="B221" s="15" t="s">
        <v>12</v>
      </c>
      <c r="C221" s="15" t="s">
        <v>16</v>
      </c>
      <c r="D221" s="15" t="s">
        <v>53</v>
      </c>
      <c r="E221" s="15" t="s">
        <v>19</v>
      </c>
      <c r="F221" s="15" t="n">
        <v>1</v>
      </c>
      <c r="G221" s="15" t="s">
        <v>158</v>
      </c>
      <c r="H221" s="15"/>
      <c r="I221" s="15" t="s">
        <v>53</v>
      </c>
      <c r="J221" s="15" t="s">
        <v>159</v>
      </c>
      <c r="K221" s="15" t="s">
        <v>552</v>
      </c>
      <c r="L221" s="15"/>
      <c r="M221" s="15"/>
      <c r="N221" s="15"/>
      <c r="O221" s="15"/>
      <c r="P221" s="15" t="n">
        <v>0.089</v>
      </c>
      <c r="Q221" s="15" t="n">
        <v>0.089</v>
      </c>
      <c r="R221" s="15"/>
      <c r="S221" s="15" t="s">
        <v>459</v>
      </c>
      <c r="T221" s="15" t="n">
        <v>9</v>
      </c>
      <c r="U221" s="15"/>
      <c r="V221" s="15"/>
      <c r="W221" s="15"/>
      <c r="X221" s="15" t="s">
        <v>236</v>
      </c>
      <c r="Y221" s="15" t="n">
        <v>101</v>
      </c>
      <c r="Z221" s="15" t="s">
        <v>237</v>
      </c>
      <c r="AA221" s="15"/>
      <c r="AB221" s="15" t="n">
        <v>2</v>
      </c>
      <c r="AC221" s="15" t="n">
        <v>0</v>
      </c>
      <c r="AD221" s="15"/>
      <c r="AE221" s="15"/>
      <c r="AF221" s="15" t="s">
        <v>169</v>
      </c>
      <c r="AG221" s="15"/>
      <c r="AH221" s="24" t="n">
        <f aca="false">IF(R221="",AM221,R221)</f>
        <v>25</v>
      </c>
      <c r="AI221" s="24" t="n">
        <f aca="false">SUMIFS(Permissions!$G$2:$G$3000,Permissions!$B$2:$B$3000,$A221,Permissions!$I$2:$I$3000,"Complete",Permissions!$R$2:$R$3000,"Yes")</f>
        <v>0</v>
      </c>
      <c r="AJ221" s="24" t="n">
        <f aca="false">SUMIFS(Permissions!$G$2:$G$3000,Permissions!$B$2:$B$3000,$A221,Permissions!$I$2:$I$3000,"Under construction",Permissions!$R$2:$R$3000,"Yes")</f>
        <v>0</v>
      </c>
      <c r="AK221" s="24" t="n">
        <f aca="false">SUMIFS(Permissions!$G$2:$G$3000,Permissions!$B$2:$B$3000,$A221,Permissions!$I$2:$I$3000,"Permitted – not started",Permissions!$R$2:$R$3000,"Yes")</f>
        <v>25</v>
      </c>
      <c r="AL221" s="24" t="n">
        <f aca="false">SUMIFS(Permissions!$G$2:$G$3000,Permissions!$B$2:$B$3000,$A221,Permissions!$I$2:$I$3000,"Stalled",Permissions!$R$2:$R$3000,"Yes")</f>
        <v>0</v>
      </c>
      <c r="AM221" s="24" t="n">
        <f aca="false">AI221+AJ221+AK221+AL221</f>
        <v>25</v>
      </c>
      <c r="AN221" s="24" t="n">
        <f aca="false">SUMIFS(Permissions!$G$2:$G$3000,Permissions!$B$2:$B$3000,$A221,Permissions!$I$2:$I$3000,"Expired – not started",Permissions!$R$2:$R$3000,"Yes")</f>
        <v>0</v>
      </c>
      <c r="AO221" s="24" t="n">
        <f aca="false">SUMIFS(Permissions!$G$2:$G$3000,Permissions!$B$2:$B$3000,$A221,Permissions!$I$2:$I$3000,"In planning",Permissions!$R$2:$R$3000,"Yes")</f>
        <v>0</v>
      </c>
      <c r="AP221" s="24" t="n">
        <f aca="false">IF(R221="",0,MAX(R221-AM221,0))</f>
        <v>0</v>
      </c>
      <c r="AQ221" s="25" t="n">
        <f aca="false">AM221+AP221</f>
        <v>25</v>
      </c>
      <c r="AR221" s="24" t="n">
        <f aca="false">SUMIFS(Permissions!$L$2:$L$3000,Permissions!$B$2:$B$3000,$A221,Permissions!$R$2:$R$3000,"Yes",Permissions!$I$2:$I$3000,"&lt;&gt;Expired – not started",Permissions!$I$2:$I$3000,"&lt;&gt;In planning")</f>
        <v>0</v>
      </c>
      <c r="AS221" s="24" t="n">
        <f aca="false">AQ221-AR221</f>
        <v>25</v>
      </c>
      <c r="AT221" s="26" t="n">
        <f aca="false">SUMIFS(Permissions!$AJ$2:$AJ$3000,Permissions!$B$2:$B$3000,$A221,Permissions!$R$2:$R$3000,"Yes")</f>
        <v>0</v>
      </c>
      <c r="AU221" s="26" t="n">
        <f aca="false">SUMIFS(Permissions!$AK$2:$AK$3000,Permissions!$B$2:$B$3000,$A221,Permissions!$R$2:$R$3000,"Yes")</f>
        <v>0</v>
      </c>
      <c r="AV221" s="26" t="n">
        <f aca="false">SUMIFS(Permissions!$AL$2:$AL$3000,Permissions!$B$2:$B$3000,$A221,Permissions!$R$2:$R$3000,"Yes")</f>
        <v>25</v>
      </c>
      <c r="AW221" s="26" t="n">
        <f aca="false">SUMIFS(Permissions!$AM$2:$AM$3000,Permissions!$B$2:$B$3000,$A221,Permissions!$R$2:$R$3000,"Yes")</f>
        <v>0</v>
      </c>
      <c r="AX221" s="26" t="n">
        <f aca="false">SUMIFS(Permissions!$AN$2:$AN$3000,Permissions!$B$2:$B$3000,$A221,Permissions!$R$2:$R$3000,"Yes")</f>
        <v>0</v>
      </c>
      <c r="AY221" s="26" t="n">
        <f aca="false">SUMIFS(Permissions!$AO$2:$AO$3000,Permissions!$B$2:$B$3000,$A221,Permissions!$R$2:$R$3000,"Yes")</f>
        <v>0</v>
      </c>
      <c r="AZ221" s="24" t="n">
        <f aca="false">COUNTIFS(Permissions!$B$2:$B$3000,$A221,Permissions!$R$2:$R$3000,"Yes")</f>
        <v>1</v>
      </c>
      <c r="BA221" s="24" t="n">
        <f aca="false">SUMIFS(Permissions!$M$2:$M$3000,Permissions!$B$2:$B$3000,$A221,Permissions!$R$2:$R$3000,"Yes")</f>
        <v>0</v>
      </c>
      <c r="BB221" s="24" t="n">
        <f aca="false">SUMIFS(Permissions!$O$2:$O$3000,Permissions!$B$2:$B$3000,$A221,Permissions!$R$2:$R$3000,"Yes")</f>
        <v>0</v>
      </c>
      <c r="BC221" s="27" t="str">
        <f aca="false">IF(AND(AM221&gt;0,AR221&gt;=AM221,AP221=0),"Finished",IF(AR221&gt;0,"Partly built",IF(AM221&gt;0,"Consented – not built","No consent")))</f>
        <v>Consented – not built</v>
      </c>
      <c r="BD221" s="28" t="str">
        <f aca="false">IF(AND(R221&lt;&gt;"",AM221&gt;1.1*R221),"Consented above capacity",IF(AND(LEFT(B221,8)="Planning",AZ221=0),"Consent parcel with no permission",IF(COUNTIF($A$2:$A$3000,$A221)&gt;1,"Duplicate parcel_id","")))</f>
        <v/>
      </c>
    </row>
    <row r="222" customFormat="false" ht="15" hidden="false" customHeight="false" outlineLevel="0" collapsed="false">
      <c r="A222" s="15" t="s">
        <v>553</v>
      </c>
      <c r="B222" s="15" t="s">
        <v>12</v>
      </c>
      <c r="C222" s="15" t="s">
        <v>16</v>
      </c>
      <c r="D222" s="15" t="s">
        <v>53</v>
      </c>
      <c r="E222" s="15" t="s">
        <v>19</v>
      </c>
      <c r="F222" s="15" t="n">
        <v>1</v>
      </c>
      <c r="G222" s="15" t="s">
        <v>158</v>
      </c>
      <c r="H222" s="15"/>
      <c r="I222" s="15" t="s">
        <v>53</v>
      </c>
      <c r="J222" s="15" t="s">
        <v>159</v>
      </c>
      <c r="K222" s="15" t="s">
        <v>554</v>
      </c>
      <c r="L222" s="15"/>
      <c r="M222" s="15"/>
      <c r="N222" s="15"/>
      <c r="O222" s="15"/>
      <c r="P222" s="15" t="n">
        <v>0.079</v>
      </c>
      <c r="Q222" s="15" t="n">
        <v>0.079</v>
      </c>
      <c r="R222" s="15"/>
      <c r="S222" s="15" t="s">
        <v>459</v>
      </c>
      <c r="T222" s="15" t="n">
        <v>8</v>
      </c>
      <c r="U222" s="15"/>
      <c r="V222" s="15"/>
      <c r="W222" s="15"/>
      <c r="X222" s="15" t="s">
        <v>236</v>
      </c>
      <c r="Y222" s="15" t="n">
        <v>101</v>
      </c>
      <c r="Z222" s="15" t="s">
        <v>237</v>
      </c>
      <c r="AA222" s="15"/>
      <c r="AB222" s="15" t="n">
        <v>0</v>
      </c>
      <c r="AC222" s="15" t="n">
        <v>0</v>
      </c>
      <c r="AD222" s="15"/>
      <c r="AE222" s="15"/>
      <c r="AF222" s="15" t="s">
        <v>169</v>
      </c>
      <c r="AG222" s="15"/>
      <c r="AH222" s="24" t="n">
        <f aca="false">IF(R222="",AM222,R222)</f>
        <v>24</v>
      </c>
      <c r="AI222" s="24" t="n">
        <f aca="false">SUMIFS(Permissions!$G$2:$G$3000,Permissions!$B$2:$B$3000,$A222,Permissions!$I$2:$I$3000,"Complete",Permissions!$R$2:$R$3000,"Yes")</f>
        <v>0</v>
      </c>
      <c r="AJ222" s="24" t="n">
        <f aca="false">SUMIFS(Permissions!$G$2:$G$3000,Permissions!$B$2:$B$3000,$A222,Permissions!$I$2:$I$3000,"Under construction",Permissions!$R$2:$R$3000,"Yes")</f>
        <v>0</v>
      </c>
      <c r="AK222" s="24" t="n">
        <f aca="false">SUMIFS(Permissions!$G$2:$G$3000,Permissions!$B$2:$B$3000,$A222,Permissions!$I$2:$I$3000,"Permitted – not started",Permissions!$R$2:$R$3000,"Yes")</f>
        <v>24</v>
      </c>
      <c r="AL222" s="24" t="n">
        <f aca="false">SUMIFS(Permissions!$G$2:$G$3000,Permissions!$B$2:$B$3000,$A222,Permissions!$I$2:$I$3000,"Stalled",Permissions!$R$2:$R$3000,"Yes")</f>
        <v>0</v>
      </c>
      <c r="AM222" s="24" t="n">
        <f aca="false">AI222+AJ222+AK222+AL222</f>
        <v>24</v>
      </c>
      <c r="AN222" s="24" t="n">
        <f aca="false">SUMIFS(Permissions!$G$2:$G$3000,Permissions!$B$2:$B$3000,$A222,Permissions!$I$2:$I$3000,"Expired – not started",Permissions!$R$2:$R$3000,"Yes")</f>
        <v>0</v>
      </c>
      <c r="AO222" s="24" t="n">
        <f aca="false">SUMIFS(Permissions!$G$2:$G$3000,Permissions!$B$2:$B$3000,$A222,Permissions!$I$2:$I$3000,"In planning",Permissions!$R$2:$R$3000,"Yes")</f>
        <v>0</v>
      </c>
      <c r="AP222" s="24" t="n">
        <f aca="false">IF(R222="",0,MAX(R222-AM222,0))</f>
        <v>0</v>
      </c>
      <c r="AQ222" s="25" t="n">
        <f aca="false">AM222+AP222</f>
        <v>24</v>
      </c>
      <c r="AR222" s="24" t="n">
        <f aca="false">SUMIFS(Permissions!$L$2:$L$3000,Permissions!$B$2:$B$3000,$A222,Permissions!$R$2:$R$3000,"Yes",Permissions!$I$2:$I$3000,"&lt;&gt;Expired – not started",Permissions!$I$2:$I$3000,"&lt;&gt;In planning")</f>
        <v>0</v>
      </c>
      <c r="AS222" s="24" t="n">
        <f aca="false">AQ222-AR222</f>
        <v>24</v>
      </c>
      <c r="AT222" s="26" t="n">
        <f aca="false">SUMIFS(Permissions!$AJ$2:$AJ$3000,Permissions!$B$2:$B$3000,$A222,Permissions!$R$2:$R$3000,"Yes")</f>
        <v>0</v>
      </c>
      <c r="AU222" s="26" t="n">
        <f aca="false">SUMIFS(Permissions!$AK$2:$AK$3000,Permissions!$B$2:$B$3000,$A222,Permissions!$R$2:$R$3000,"Yes")</f>
        <v>0</v>
      </c>
      <c r="AV222" s="26" t="n">
        <f aca="false">SUMIFS(Permissions!$AL$2:$AL$3000,Permissions!$B$2:$B$3000,$A222,Permissions!$R$2:$R$3000,"Yes")</f>
        <v>6.2</v>
      </c>
      <c r="AW222" s="26" t="n">
        <f aca="false">SUMIFS(Permissions!$AM$2:$AM$3000,Permissions!$B$2:$B$3000,$A222,Permissions!$R$2:$R$3000,"Yes")</f>
        <v>12.8</v>
      </c>
      <c r="AX222" s="26" t="n">
        <f aca="false">SUMIFS(Permissions!$AN$2:$AN$3000,Permissions!$B$2:$B$3000,$A222,Permissions!$R$2:$R$3000,"Yes")</f>
        <v>5</v>
      </c>
      <c r="AY222" s="26" t="n">
        <f aca="false">SUMIFS(Permissions!$AO$2:$AO$3000,Permissions!$B$2:$B$3000,$A222,Permissions!$R$2:$R$3000,"Yes")</f>
        <v>0</v>
      </c>
      <c r="AZ222" s="24" t="n">
        <f aca="false">COUNTIFS(Permissions!$B$2:$B$3000,$A222,Permissions!$R$2:$R$3000,"Yes")</f>
        <v>1</v>
      </c>
      <c r="BA222" s="24" t="n">
        <f aca="false">SUMIFS(Permissions!$M$2:$M$3000,Permissions!$B$2:$B$3000,$A222,Permissions!$R$2:$R$3000,"Yes")</f>
        <v>0</v>
      </c>
      <c r="BB222" s="24" t="n">
        <f aca="false">SUMIFS(Permissions!$O$2:$O$3000,Permissions!$B$2:$B$3000,$A222,Permissions!$R$2:$R$3000,"Yes")</f>
        <v>0</v>
      </c>
      <c r="BC222" s="27" t="str">
        <f aca="false">IF(AND(AM222&gt;0,AR222&gt;=AM222,AP222=0),"Finished",IF(AR222&gt;0,"Partly built",IF(AM222&gt;0,"Consented – not built","No consent")))</f>
        <v>Consented – not built</v>
      </c>
      <c r="BD222" s="28" t="str">
        <f aca="false">IF(AND(R222&lt;&gt;"",AM222&gt;1.1*R222),"Consented above capacity",IF(AND(LEFT(B222,8)="Planning",AZ222=0),"Consent parcel with no permission",IF(COUNTIF($A$2:$A$3000,$A222)&gt;1,"Duplicate parcel_id","")))</f>
        <v/>
      </c>
    </row>
    <row r="223" customFormat="false" ht="15" hidden="false" customHeight="false" outlineLevel="0" collapsed="false">
      <c r="A223" s="15" t="s">
        <v>555</v>
      </c>
      <c r="B223" s="15" t="s">
        <v>12</v>
      </c>
      <c r="C223" s="15" t="s">
        <v>16</v>
      </c>
      <c r="D223" s="15" t="s">
        <v>53</v>
      </c>
      <c r="E223" s="15" t="s">
        <v>19</v>
      </c>
      <c r="F223" s="15" t="n">
        <v>1</v>
      </c>
      <c r="G223" s="15" t="s">
        <v>158</v>
      </c>
      <c r="H223" s="15"/>
      <c r="I223" s="15" t="s">
        <v>53</v>
      </c>
      <c r="J223" s="15" t="s">
        <v>159</v>
      </c>
      <c r="K223" s="15" t="s">
        <v>556</v>
      </c>
      <c r="L223" s="15"/>
      <c r="M223" s="15"/>
      <c r="N223" s="15"/>
      <c r="O223" s="15"/>
      <c r="P223" s="15" t="n">
        <v>0.072</v>
      </c>
      <c r="Q223" s="15" t="n">
        <v>0.072</v>
      </c>
      <c r="R223" s="15"/>
      <c r="S223" s="15" t="s">
        <v>459</v>
      </c>
      <c r="T223" s="15" t="n">
        <v>7</v>
      </c>
      <c r="U223" s="15"/>
      <c r="V223" s="15"/>
      <c r="W223" s="15"/>
      <c r="X223" s="15" t="s">
        <v>236</v>
      </c>
      <c r="Y223" s="15" t="n">
        <v>101</v>
      </c>
      <c r="Z223" s="15" t="s">
        <v>237</v>
      </c>
      <c r="AA223" s="15"/>
      <c r="AB223" s="15" t="n">
        <v>9</v>
      </c>
      <c r="AC223" s="15" t="n">
        <v>0</v>
      </c>
      <c r="AD223" s="15"/>
      <c r="AE223" s="15"/>
      <c r="AF223" s="15" t="s">
        <v>169</v>
      </c>
      <c r="AG223" s="15"/>
      <c r="AH223" s="24" t="n">
        <f aca="false">IF(R223="",AM223,R223)</f>
        <v>9</v>
      </c>
      <c r="AI223" s="24" t="n">
        <f aca="false">SUMIFS(Permissions!$G$2:$G$3000,Permissions!$B$2:$B$3000,$A223,Permissions!$I$2:$I$3000,"Complete",Permissions!$R$2:$R$3000,"Yes")</f>
        <v>9</v>
      </c>
      <c r="AJ223" s="24" t="n">
        <f aca="false">SUMIFS(Permissions!$G$2:$G$3000,Permissions!$B$2:$B$3000,$A223,Permissions!$I$2:$I$3000,"Under construction",Permissions!$R$2:$R$3000,"Yes")</f>
        <v>0</v>
      </c>
      <c r="AK223" s="24" t="n">
        <f aca="false">SUMIFS(Permissions!$G$2:$G$3000,Permissions!$B$2:$B$3000,$A223,Permissions!$I$2:$I$3000,"Permitted – not started",Permissions!$R$2:$R$3000,"Yes")</f>
        <v>0</v>
      </c>
      <c r="AL223" s="24" t="n">
        <f aca="false">SUMIFS(Permissions!$G$2:$G$3000,Permissions!$B$2:$B$3000,$A223,Permissions!$I$2:$I$3000,"Stalled",Permissions!$R$2:$R$3000,"Yes")</f>
        <v>0</v>
      </c>
      <c r="AM223" s="24" t="n">
        <f aca="false">AI223+AJ223+AK223+AL223</f>
        <v>9</v>
      </c>
      <c r="AN223" s="24" t="n">
        <f aca="false">SUMIFS(Permissions!$G$2:$G$3000,Permissions!$B$2:$B$3000,$A223,Permissions!$I$2:$I$3000,"Expired – not started",Permissions!$R$2:$R$3000,"Yes")</f>
        <v>8</v>
      </c>
      <c r="AO223" s="24" t="n">
        <f aca="false">SUMIFS(Permissions!$G$2:$G$3000,Permissions!$B$2:$B$3000,$A223,Permissions!$I$2:$I$3000,"In planning",Permissions!$R$2:$R$3000,"Yes")</f>
        <v>0</v>
      </c>
      <c r="AP223" s="24" t="n">
        <f aca="false">IF(R223="",0,MAX(R223-AM223,0))</f>
        <v>0</v>
      </c>
      <c r="AQ223" s="25" t="n">
        <f aca="false">AM223+AP223</f>
        <v>9</v>
      </c>
      <c r="AR223" s="24" t="n">
        <f aca="false">SUMIFS(Permissions!$L$2:$L$3000,Permissions!$B$2:$B$3000,$A223,Permissions!$R$2:$R$3000,"Yes",Permissions!$I$2:$I$3000,"&lt;&gt;Expired – not started",Permissions!$I$2:$I$3000,"&lt;&gt;In planning")</f>
        <v>9</v>
      </c>
      <c r="AS223" s="24" t="n">
        <f aca="false">AQ223-AR223</f>
        <v>0</v>
      </c>
      <c r="AT223" s="26" t="n">
        <f aca="false">SUMIFS(Permissions!$AJ$2:$AJ$3000,Permissions!$B$2:$B$3000,$A223,Permissions!$R$2:$R$3000,"Yes")</f>
        <v>0</v>
      </c>
      <c r="AU223" s="26" t="n">
        <f aca="false">SUMIFS(Permissions!$AK$2:$AK$3000,Permissions!$B$2:$B$3000,$A223,Permissions!$R$2:$R$3000,"Yes")</f>
        <v>0</v>
      </c>
      <c r="AV223" s="26" t="n">
        <f aca="false">SUMIFS(Permissions!$AL$2:$AL$3000,Permissions!$B$2:$B$3000,$A223,Permissions!$R$2:$R$3000,"Yes")</f>
        <v>0</v>
      </c>
      <c r="AW223" s="26" t="n">
        <f aca="false">SUMIFS(Permissions!$AM$2:$AM$3000,Permissions!$B$2:$B$3000,$A223,Permissions!$R$2:$R$3000,"Yes")</f>
        <v>0</v>
      </c>
      <c r="AX223" s="26" t="n">
        <f aca="false">SUMIFS(Permissions!$AN$2:$AN$3000,Permissions!$B$2:$B$3000,$A223,Permissions!$R$2:$R$3000,"Yes")</f>
        <v>0</v>
      </c>
      <c r="AY223" s="26" t="n">
        <f aca="false">SUMIFS(Permissions!$AO$2:$AO$3000,Permissions!$B$2:$B$3000,$A223,Permissions!$R$2:$R$3000,"Yes")</f>
        <v>0</v>
      </c>
      <c r="AZ223" s="24" t="n">
        <f aca="false">COUNTIFS(Permissions!$B$2:$B$3000,$A223,Permissions!$R$2:$R$3000,"Yes")</f>
        <v>2</v>
      </c>
      <c r="BA223" s="24" t="n">
        <f aca="false">SUMIFS(Permissions!$M$2:$M$3000,Permissions!$B$2:$B$3000,$A223,Permissions!$R$2:$R$3000,"Yes")</f>
        <v>0</v>
      </c>
      <c r="BB223" s="24" t="n">
        <f aca="false">SUMIFS(Permissions!$O$2:$O$3000,Permissions!$B$2:$B$3000,$A223,Permissions!$R$2:$R$3000,"Yes")</f>
        <v>0</v>
      </c>
      <c r="BC223" s="27" t="str">
        <f aca="false">IF(AND(AM223&gt;0,AR223&gt;=AM223,AP223=0),"Finished",IF(AR223&gt;0,"Partly built",IF(AM223&gt;0,"Consented – not built","No consent")))</f>
        <v>Finished</v>
      </c>
      <c r="BD223" s="28" t="str">
        <f aca="false">IF(AND(R223&lt;&gt;"",AM223&gt;1.1*R223),"Consented above capacity",IF(AND(LEFT(B223,8)="Planning",AZ223=0),"Consent parcel with no permission",IF(COUNTIF($A$2:$A$3000,$A223)&gt;1,"Duplicate parcel_id","")))</f>
        <v/>
      </c>
    </row>
    <row r="224" customFormat="false" ht="15" hidden="false" customHeight="false" outlineLevel="0" collapsed="false">
      <c r="A224" s="15" t="s">
        <v>557</v>
      </c>
      <c r="B224" s="15" t="s">
        <v>12</v>
      </c>
      <c r="C224" s="15" t="s">
        <v>16</v>
      </c>
      <c r="D224" s="15" t="s">
        <v>53</v>
      </c>
      <c r="E224" s="15" t="s">
        <v>19</v>
      </c>
      <c r="F224" s="15" t="n">
        <v>1</v>
      </c>
      <c r="G224" s="15" t="s">
        <v>158</v>
      </c>
      <c r="H224" s="15"/>
      <c r="I224" s="15" t="s">
        <v>53</v>
      </c>
      <c r="J224" s="15" t="s">
        <v>159</v>
      </c>
      <c r="K224" s="15" t="s">
        <v>558</v>
      </c>
      <c r="L224" s="15"/>
      <c r="M224" s="15"/>
      <c r="N224" s="15"/>
      <c r="O224" s="15"/>
      <c r="P224" s="15" t="n">
        <v>0.054</v>
      </c>
      <c r="Q224" s="15" t="n">
        <v>0.054</v>
      </c>
      <c r="R224" s="15"/>
      <c r="S224" s="15" t="s">
        <v>459</v>
      </c>
      <c r="T224" s="15" t="n">
        <v>5</v>
      </c>
      <c r="U224" s="15"/>
      <c r="V224" s="15"/>
      <c r="W224" s="15"/>
      <c r="X224" s="15" t="s">
        <v>236</v>
      </c>
      <c r="Y224" s="15" t="n">
        <v>101</v>
      </c>
      <c r="Z224" s="15" t="s">
        <v>237</v>
      </c>
      <c r="AA224" s="15"/>
      <c r="AB224" s="15" t="n">
        <v>1</v>
      </c>
      <c r="AC224" s="15" t="n">
        <v>0</v>
      </c>
      <c r="AD224" s="15"/>
      <c r="AE224" s="15"/>
      <c r="AF224" s="15" t="s">
        <v>169</v>
      </c>
      <c r="AG224" s="15"/>
      <c r="AH224" s="24" t="n">
        <f aca="false">IF(R224="",AM224,R224)</f>
        <v>13</v>
      </c>
      <c r="AI224" s="24" t="n">
        <f aca="false">SUMIFS(Permissions!$G$2:$G$3000,Permissions!$B$2:$B$3000,$A224,Permissions!$I$2:$I$3000,"Complete",Permissions!$R$2:$R$3000,"Yes")</f>
        <v>0</v>
      </c>
      <c r="AJ224" s="24" t="n">
        <f aca="false">SUMIFS(Permissions!$G$2:$G$3000,Permissions!$B$2:$B$3000,$A224,Permissions!$I$2:$I$3000,"Under construction",Permissions!$R$2:$R$3000,"Yes")</f>
        <v>13</v>
      </c>
      <c r="AK224" s="24" t="n">
        <f aca="false">SUMIFS(Permissions!$G$2:$G$3000,Permissions!$B$2:$B$3000,$A224,Permissions!$I$2:$I$3000,"Permitted – not started",Permissions!$R$2:$R$3000,"Yes")</f>
        <v>0</v>
      </c>
      <c r="AL224" s="24" t="n">
        <f aca="false">SUMIFS(Permissions!$G$2:$G$3000,Permissions!$B$2:$B$3000,$A224,Permissions!$I$2:$I$3000,"Stalled",Permissions!$R$2:$R$3000,"Yes")</f>
        <v>0</v>
      </c>
      <c r="AM224" s="24" t="n">
        <f aca="false">AI224+AJ224+AK224+AL224</f>
        <v>13</v>
      </c>
      <c r="AN224" s="24" t="n">
        <f aca="false">SUMIFS(Permissions!$G$2:$G$3000,Permissions!$B$2:$B$3000,$A224,Permissions!$I$2:$I$3000,"Expired – not started",Permissions!$R$2:$R$3000,"Yes")</f>
        <v>0</v>
      </c>
      <c r="AO224" s="24" t="n">
        <f aca="false">SUMIFS(Permissions!$G$2:$G$3000,Permissions!$B$2:$B$3000,$A224,Permissions!$I$2:$I$3000,"In planning",Permissions!$R$2:$R$3000,"Yes")</f>
        <v>0</v>
      </c>
      <c r="AP224" s="24" t="n">
        <f aca="false">IF(R224="",0,MAX(R224-AM224,0))</f>
        <v>0</v>
      </c>
      <c r="AQ224" s="25" t="n">
        <f aca="false">AM224+AP224</f>
        <v>13</v>
      </c>
      <c r="AR224" s="24" t="n">
        <f aca="false">SUMIFS(Permissions!$L$2:$L$3000,Permissions!$B$2:$B$3000,$A224,Permissions!$R$2:$R$3000,"Yes",Permissions!$I$2:$I$3000,"&lt;&gt;Expired – not started",Permissions!$I$2:$I$3000,"&lt;&gt;In planning")</f>
        <v>0</v>
      </c>
      <c r="AS224" s="24" t="n">
        <f aca="false">AQ224-AR224</f>
        <v>13</v>
      </c>
      <c r="AT224" s="26" t="n">
        <f aca="false">SUMIFS(Permissions!$AJ$2:$AJ$3000,Permissions!$B$2:$B$3000,$A224,Permissions!$R$2:$R$3000,"Yes")</f>
        <v>0</v>
      </c>
      <c r="AU224" s="26" t="n">
        <f aca="false">SUMIFS(Permissions!$AK$2:$AK$3000,Permissions!$B$2:$B$3000,$A224,Permissions!$R$2:$R$3000,"Yes")</f>
        <v>13</v>
      </c>
      <c r="AV224" s="26" t="n">
        <f aca="false">SUMIFS(Permissions!$AL$2:$AL$3000,Permissions!$B$2:$B$3000,$A224,Permissions!$R$2:$R$3000,"Yes")</f>
        <v>0</v>
      </c>
      <c r="AW224" s="26" t="n">
        <f aca="false">SUMIFS(Permissions!$AM$2:$AM$3000,Permissions!$B$2:$B$3000,$A224,Permissions!$R$2:$R$3000,"Yes")</f>
        <v>0</v>
      </c>
      <c r="AX224" s="26" t="n">
        <f aca="false">SUMIFS(Permissions!$AN$2:$AN$3000,Permissions!$B$2:$B$3000,$A224,Permissions!$R$2:$R$3000,"Yes")</f>
        <v>0</v>
      </c>
      <c r="AY224" s="26" t="n">
        <f aca="false">SUMIFS(Permissions!$AO$2:$AO$3000,Permissions!$B$2:$B$3000,$A224,Permissions!$R$2:$R$3000,"Yes")</f>
        <v>0</v>
      </c>
      <c r="AZ224" s="24" t="n">
        <f aca="false">COUNTIFS(Permissions!$B$2:$B$3000,$A224,Permissions!$R$2:$R$3000,"Yes")</f>
        <v>1</v>
      </c>
      <c r="BA224" s="24" t="n">
        <f aca="false">SUMIFS(Permissions!$M$2:$M$3000,Permissions!$B$2:$B$3000,$A224,Permissions!$R$2:$R$3000,"Yes")</f>
        <v>0</v>
      </c>
      <c r="BB224" s="24" t="n">
        <f aca="false">SUMIFS(Permissions!$O$2:$O$3000,Permissions!$B$2:$B$3000,$A224,Permissions!$R$2:$R$3000,"Yes")</f>
        <v>0</v>
      </c>
      <c r="BC224" s="27" t="str">
        <f aca="false">IF(AND(AM224&gt;0,AR224&gt;=AM224,AP224=0),"Finished",IF(AR224&gt;0,"Partly built",IF(AM224&gt;0,"Consented – not built","No consent")))</f>
        <v>Consented – not built</v>
      </c>
      <c r="BD224" s="28" t="str">
        <f aca="false">IF(AND(R224&lt;&gt;"",AM224&gt;1.1*R224),"Consented above capacity",IF(AND(LEFT(B224,8)="Planning",AZ224=0),"Consent parcel with no permission",IF(COUNTIF($A$2:$A$3000,$A224)&gt;1,"Duplicate parcel_id","")))</f>
        <v/>
      </c>
    </row>
    <row r="225" customFormat="false" ht="15" hidden="false" customHeight="false" outlineLevel="0" collapsed="false">
      <c r="A225" s="15" t="s">
        <v>559</v>
      </c>
      <c r="B225" s="15" t="s">
        <v>12</v>
      </c>
      <c r="C225" s="15" t="s">
        <v>16</v>
      </c>
      <c r="D225" s="15" t="s">
        <v>53</v>
      </c>
      <c r="E225" s="15" t="s">
        <v>19</v>
      </c>
      <c r="F225" s="15" t="n">
        <v>1</v>
      </c>
      <c r="G225" s="15" t="s">
        <v>158</v>
      </c>
      <c r="H225" s="15"/>
      <c r="I225" s="15" t="s">
        <v>53</v>
      </c>
      <c r="J225" s="15" t="s">
        <v>182</v>
      </c>
      <c r="K225" s="15" t="s">
        <v>560</v>
      </c>
      <c r="L225" s="15"/>
      <c r="M225" s="15"/>
      <c r="N225" s="15"/>
      <c r="O225" s="15"/>
      <c r="P225" s="15" t="n">
        <v>0.196</v>
      </c>
      <c r="Q225" s="15" t="n">
        <v>0.196</v>
      </c>
      <c r="R225" s="15"/>
      <c r="S225" s="15" t="s">
        <v>459</v>
      </c>
      <c r="T225" s="15" t="n">
        <v>20</v>
      </c>
      <c r="U225" s="15"/>
      <c r="V225" s="15"/>
      <c r="W225" s="15"/>
      <c r="X225" s="15" t="s">
        <v>236</v>
      </c>
      <c r="Y225" s="15" t="n">
        <v>101</v>
      </c>
      <c r="Z225" s="15" t="s">
        <v>237</v>
      </c>
      <c r="AA225" s="15"/>
      <c r="AB225" s="15" t="n">
        <v>0</v>
      </c>
      <c r="AC225" s="15" t="n">
        <v>0</v>
      </c>
      <c r="AD225" s="15"/>
      <c r="AE225" s="15" t="s">
        <v>492</v>
      </c>
      <c r="AF225" s="15" t="s">
        <v>169</v>
      </c>
      <c r="AG225" s="15"/>
      <c r="AH225" s="24" t="n">
        <f aca="false">IF(R225="",AM225,R225)</f>
        <v>4</v>
      </c>
      <c r="AI225" s="24" t="n">
        <f aca="false">SUMIFS(Permissions!$G$2:$G$3000,Permissions!$B$2:$B$3000,$A225,Permissions!$I$2:$I$3000,"Complete",Permissions!$R$2:$R$3000,"Yes")</f>
        <v>0</v>
      </c>
      <c r="AJ225" s="24" t="n">
        <f aca="false">SUMIFS(Permissions!$G$2:$G$3000,Permissions!$B$2:$B$3000,$A225,Permissions!$I$2:$I$3000,"Under construction",Permissions!$R$2:$R$3000,"Yes")</f>
        <v>0</v>
      </c>
      <c r="AK225" s="24" t="n">
        <f aca="false">SUMIFS(Permissions!$G$2:$G$3000,Permissions!$B$2:$B$3000,$A225,Permissions!$I$2:$I$3000,"Permitted – not started",Permissions!$R$2:$R$3000,"Yes")</f>
        <v>4</v>
      </c>
      <c r="AL225" s="24" t="n">
        <f aca="false">SUMIFS(Permissions!$G$2:$G$3000,Permissions!$B$2:$B$3000,$A225,Permissions!$I$2:$I$3000,"Stalled",Permissions!$R$2:$R$3000,"Yes")</f>
        <v>0</v>
      </c>
      <c r="AM225" s="24" t="n">
        <f aca="false">AI225+AJ225+AK225+AL225</f>
        <v>4</v>
      </c>
      <c r="AN225" s="24" t="n">
        <f aca="false">SUMIFS(Permissions!$G$2:$G$3000,Permissions!$B$2:$B$3000,$A225,Permissions!$I$2:$I$3000,"Expired – not started",Permissions!$R$2:$R$3000,"Yes")</f>
        <v>0</v>
      </c>
      <c r="AO225" s="24" t="n">
        <f aca="false">SUMIFS(Permissions!$G$2:$G$3000,Permissions!$B$2:$B$3000,$A225,Permissions!$I$2:$I$3000,"In planning",Permissions!$R$2:$R$3000,"Yes")</f>
        <v>0</v>
      </c>
      <c r="AP225" s="24" t="n">
        <f aca="false">IF(R225="",0,MAX(R225-AM225,0))</f>
        <v>0</v>
      </c>
      <c r="AQ225" s="25" t="n">
        <f aca="false">AM225+AP225</f>
        <v>4</v>
      </c>
      <c r="AR225" s="24" t="n">
        <f aca="false">SUMIFS(Permissions!$L$2:$L$3000,Permissions!$B$2:$B$3000,$A225,Permissions!$R$2:$R$3000,"Yes",Permissions!$I$2:$I$3000,"&lt;&gt;Expired – not started",Permissions!$I$2:$I$3000,"&lt;&gt;In planning")</f>
        <v>0</v>
      </c>
      <c r="AS225" s="24" t="n">
        <f aca="false">AQ225-AR225</f>
        <v>4</v>
      </c>
      <c r="AT225" s="26" t="n">
        <f aca="false">SUMIFS(Permissions!$AJ$2:$AJ$3000,Permissions!$B$2:$B$3000,$A225,Permissions!$R$2:$R$3000,"Yes")</f>
        <v>0</v>
      </c>
      <c r="AU225" s="26" t="n">
        <f aca="false">SUMIFS(Permissions!$AK$2:$AK$3000,Permissions!$B$2:$B$3000,$A225,Permissions!$R$2:$R$3000,"Yes")</f>
        <v>0</v>
      </c>
      <c r="AV225" s="26" t="n">
        <f aca="false">SUMIFS(Permissions!$AL$2:$AL$3000,Permissions!$B$2:$B$3000,$A225,Permissions!$R$2:$R$3000,"Yes")</f>
        <v>2.5</v>
      </c>
      <c r="AW225" s="26" t="n">
        <f aca="false">SUMIFS(Permissions!$AM$2:$AM$3000,Permissions!$B$2:$B$3000,$A225,Permissions!$R$2:$R$3000,"Yes")</f>
        <v>1.5</v>
      </c>
      <c r="AX225" s="26" t="n">
        <f aca="false">SUMIFS(Permissions!$AN$2:$AN$3000,Permissions!$B$2:$B$3000,$A225,Permissions!$R$2:$R$3000,"Yes")</f>
        <v>0</v>
      </c>
      <c r="AY225" s="26" t="n">
        <f aca="false">SUMIFS(Permissions!$AO$2:$AO$3000,Permissions!$B$2:$B$3000,$A225,Permissions!$R$2:$R$3000,"Yes")</f>
        <v>0</v>
      </c>
      <c r="AZ225" s="24" t="n">
        <f aca="false">COUNTIFS(Permissions!$B$2:$B$3000,$A225,Permissions!$R$2:$R$3000,"Yes")</f>
        <v>1</v>
      </c>
      <c r="BA225" s="24" t="n">
        <f aca="false">SUMIFS(Permissions!$M$2:$M$3000,Permissions!$B$2:$B$3000,$A225,Permissions!$R$2:$R$3000,"Yes")</f>
        <v>0</v>
      </c>
      <c r="BB225" s="24" t="n">
        <f aca="false">SUMIFS(Permissions!$O$2:$O$3000,Permissions!$B$2:$B$3000,$A225,Permissions!$R$2:$R$3000,"Yes")</f>
        <v>0</v>
      </c>
      <c r="BC225" s="27" t="str">
        <f aca="false">IF(AND(AM225&gt;0,AR225&gt;=AM225,AP225=0),"Finished",IF(AR225&gt;0,"Partly built",IF(AM225&gt;0,"Consented – not built","No consent")))</f>
        <v>Consented – not built</v>
      </c>
      <c r="BD225" s="28" t="str">
        <f aca="false">IF(AND(R225&lt;&gt;"",AM225&gt;1.1*R225),"Consented above capacity",IF(AND(LEFT(B225,8)="Planning",AZ225=0),"Consent parcel with no permission",IF(COUNTIF($A$2:$A$3000,$A225)&gt;1,"Duplicate parcel_id","")))</f>
        <v/>
      </c>
    </row>
    <row r="226" customFormat="false" ht="15" hidden="false" customHeight="false" outlineLevel="0" collapsed="false">
      <c r="A226" s="15" t="s">
        <v>561</v>
      </c>
      <c r="B226" s="15" t="s">
        <v>12</v>
      </c>
      <c r="C226" s="15" t="s">
        <v>16</v>
      </c>
      <c r="D226" s="15" t="s">
        <v>53</v>
      </c>
      <c r="E226" s="15" t="s">
        <v>19</v>
      </c>
      <c r="F226" s="15" t="n">
        <v>1</v>
      </c>
      <c r="G226" s="15" t="s">
        <v>158</v>
      </c>
      <c r="H226" s="15"/>
      <c r="I226" s="15" t="s">
        <v>53</v>
      </c>
      <c r="J226" s="15" t="s">
        <v>159</v>
      </c>
      <c r="K226" s="15" t="s">
        <v>562</v>
      </c>
      <c r="L226" s="15"/>
      <c r="M226" s="15"/>
      <c r="N226" s="15"/>
      <c r="O226" s="15"/>
      <c r="P226" s="15" t="n">
        <v>0.081</v>
      </c>
      <c r="Q226" s="15" t="n">
        <v>0.081</v>
      </c>
      <c r="R226" s="15"/>
      <c r="S226" s="15" t="s">
        <v>459</v>
      </c>
      <c r="T226" s="15" t="n">
        <v>8</v>
      </c>
      <c r="U226" s="15"/>
      <c r="V226" s="15"/>
      <c r="W226" s="15"/>
      <c r="X226" s="15" t="s">
        <v>236</v>
      </c>
      <c r="Y226" s="15" t="n">
        <v>101</v>
      </c>
      <c r="Z226" s="15" t="s">
        <v>237</v>
      </c>
      <c r="AA226" s="15"/>
      <c r="AB226" s="15" t="n">
        <v>2</v>
      </c>
      <c r="AC226" s="15" t="n">
        <v>0</v>
      </c>
      <c r="AD226" s="15"/>
      <c r="AE226" s="15"/>
      <c r="AF226" s="15" t="s">
        <v>169</v>
      </c>
      <c r="AG226" s="15"/>
      <c r="AH226" s="24" t="n">
        <f aca="false">IF(R226="",AM226,R226)</f>
        <v>24</v>
      </c>
      <c r="AI226" s="24" t="n">
        <f aca="false">SUMIFS(Permissions!$G$2:$G$3000,Permissions!$B$2:$B$3000,$A226,Permissions!$I$2:$I$3000,"Complete",Permissions!$R$2:$R$3000,"Yes")</f>
        <v>0</v>
      </c>
      <c r="AJ226" s="24" t="n">
        <f aca="false">SUMIFS(Permissions!$G$2:$G$3000,Permissions!$B$2:$B$3000,$A226,Permissions!$I$2:$I$3000,"Under construction",Permissions!$R$2:$R$3000,"Yes")</f>
        <v>24</v>
      </c>
      <c r="AK226" s="24" t="n">
        <f aca="false">SUMIFS(Permissions!$G$2:$G$3000,Permissions!$B$2:$B$3000,$A226,Permissions!$I$2:$I$3000,"Permitted – not started",Permissions!$R$2:$R$3000,"Yes")</f>
        <v>0</v>
      </c>
      <c r="AL226" s="24" t="n">
        <f aca="false">SUMIFS(Permissions!$G$2:$G$3000,Permissions!$B$2:$B$3000,$A226,Permissions!$I$2:$I$3000,"Stalled",Permissions!$R$2:$R$3000,"Yes")</f>
        <v>0</v>
      </c>
      <c r="AM226" s="24" t="n">
        <f aca="false">AI226+AJ226+AK226+AL226</f>
        <v>24</v>
      </c>
      <c r="AN226" s="24" t="n">
        <f aca="false">SUMIFS(Permissions!$G$2:$G$3000,Permissions!$B$2:$B$3000,$A226,Permissions!$I$2:$I$3000,"Expired – not started",Permissions!$R$2:$R$3000,"Yes")</f>
        <v>0</v>
      </c>
      <c r="AO226" s="24" t="n">
        <f aca="false">SUMIFS(Permissions!$G$2:$G$3000,Permissions!$B$2:$B$3000,$A226,Permissions!$I$2:$I$3000,"In planning",Permissions!$R$2:$R$3000,"Yes")</f>
        <v>0</v>
      </c>
      <c r="AP226" s="24" t="n">
        <f aca="false">IF(R226="",0,MAX(R226-AM226,0))</f>
        <v>0</v>
      </c>
      <c r="AQ226" s="25" t="n">
        <f aca="false">AM226+AP226</f>
        <v>24</v>
      </c>
      <c r="AR226" s="24" t="n">
        <f aca="false">SUMIFS(Permissions!$L$2:$L$3000,Permissions!$B$2:$B$3000,$A226,Permissions!$R$2:$R$3000,"Yes",Permissions!$I$2:$I$3000,"&lt;&gt;Expired – not started",Permissions!$I$2:$I$3000,"&lt;&gt;In planning")</f>
        <v>0</v>
      </c>
      <c r="AS226" s="24" t="n">
        <f aca="false">AQ226-AR226</f>
        <v>24</v>
      </c>
      <c r="AT226" s="26" t="n">
        <f aca="false">SUMIFS(Permissions!$AJ$2:$AJ$3000,Permissions!$B$2:$B$3000,$A226,Permissions!$R$2:$R$3000,"Yes")</f>
        <v>1.1</v>
      </c>
      <c r="AU226" s="26" t="n">
        <f aca="false">SUMIFS(Permissions!$AK$2:$AK$3000,Permissions!$B$2:$B$3000,$A226,Permissions!$R$2:$R$3000,"Yes")</f>
        <v>12.8</v>
      </c>
      <c r="AV226" s="26" t="n">
        <f aca="false">SUMIFS(Permissions!$AL$2:$AL$3000,Permissions!$B$2:$B$3000,$A226,Permissions!$R$2:$R$3000,"Yes")</f>
        <v>10.1</v>
      </c>
      <c r="AW226" s="26" t="n">
        <f aca="false">SUMIFS(Permissions!$AM$2:$AM$3000,Permissions!$B$2:$B$3000,$A226,Permissions!$R$2:$R$3000,"Yes")</f>
        <v>0</v>
      </c>
      <c r="AX226" s="26" t="n">
        <f aca="false">SUMIFS(Permissions!$AN$2:$AN$3000,Permissions!$B$2:$B$3000,$A226,Permissions!$R$2:$R$3000,"Yes")</f>
        <v>0</v>
      </c>
      <c r="AY226" s="26" t="n">
        <f aca="false">SUMIFS(Permissions!$AO$2:$AO$3000,Permissions!$B$2:$B$3000,$A226,Permissions!$R$2:$R$3000,"Yes")</f>
        <v>0</v>
      </c>
      <c r="AZ226" s="24" t="n">
        <f aca="false">COUNTIFS(Permissions!$B$2:$B$3000,$A226,Permissions!$R$2:$R$3000,"Yes")</f>
        <v>1</v>
      </c>
      <c r="BA226" s="24" t="n">
        <f aca="false">SUMIFS(Permissions!$M$2:$M$3000,Permissions!$B$2:$B$3000,$A226,Permissions!$R$2:$R$3000,"Yes")</f>
        <v>0</v>
      </c>
      <c r="BB226" s="24" t="n">
        <f aca="false">SUMIFS(Permissions!$O$2:$O$3000,Permissions!$B$2:$B$3000,$A226,Permissions!$R$2:$R$3000,"Yes")</f>
        <v>0</v>
      </c>
      <c r="BC226" s="27" t="str">
        <f aca="false">IF(AND(AM226&gt;0,AR226&gt;=AM226,AP226=0),"Finished",IF(AR226&gt;0,"Partly built",IF(AM226&gt;0,"Consented – not built","No consent")))</f>
        <v>Consented – not built</v>
      </c>
      <c r="BD226" s="28" t="str">
        <f aca="false">IF(AND(R226&lt;&gt;"",AM226&gt;1.1*R226),"Consented above capacity",IF(AND(LEFT(B226,8)="Planning",AZ226=0),"Consent parcel with no permission",IF(COUNTIF($A$2:$A$3000,$A226)&gt;1,"Duplicate parcel_id","")))</f>
        <v/>
      </c>
    </row>
    <row r="227" customFormat="false" ht="15" hidden="false" customHeight="false" outlineLevel="0" collapsed="false">
      <c r="A227" s="15" t="s">
        <v>563</v>
      </c>
      <c r="B227" s="15" t="s">
        <v>12</v>
      </c>
      <c r="C227" s="15" t="s">
        <v>16</v>
      </c>
      <c r="D227" s="15" t="s">
        <v>53</v>
      </c>
      <c r="E227" s="15" t="s">
        <v>19</v>
      </c>
      <c r="F227" s="15" t="n">
        <v>1</v>
      </c>
      <c r="G227" s="15" t="s">
        <v>158</v>
      </c>
      <c r="H227" s="15"/>
      <c r="I227" s="15" t="s">
        <v>53</v>
      </c>
      <c r="J227" s="15" t="s">
        <v>159</v>
      </c>
      <c r="K227" s="15" t="s">
        <v>564</v>
      </c>
      <c r="L227" s="15"/>
      <c r="M227" s="15"/>
      <c r="N227" s="15"/>
      <c r="O227" s="15"/>
      <c r="P227" s="15" t="n">
        <v>0.032</v>
      </c>
      <c r="Q227" s="15" t="n">
        <v>0.032</v>
      </c>
      <c r="R227" s="15"/>
      <c r="S227" s="15" t="s">
        <v>459</v>
      </c>
      <c r="T227" s="15" t="n">
        <v>3</v>
      </c>
      <c r="U227" s="15"/>
      <c r="V227" s="15"/>
      <c r="W227" s="15"/>
      <c r="X227" s="15" t="s">
        <v>236</v>
      </c>
      <c r="Y227" s="15" t="n">
        <v>101</v>
      </c>
      <c r="Z227" s="15" t="s">
        <v>237</v>
      </c>
      <c r="AA227" s="15"/>
      <c r="AB227" s="15" t="n">
        <v>1</v>
      </c>
      <c r="AC227" s="15" t="n">
        <v>0</v>
      </c>
      <c r="AD227" s="15"/>
      <c r="AE227" s="15"/>
      <c r="AF227" s="15" t="s">
        <v>169</v>
      </c>
      <c r="AG227" s="15"/>
      <c r="AH227" s="24" t="n">
        <f aca="false">IF(R227="",AM227,R227)</f>
        <v>21</v>
      </c>
      <c r="AI227" s="24" t="n">
        <f aca="false">SUMIFS(Permissions!$G$2:$G$3000,Permissions!$B$2:$B$3000,$A227,Permissions!$I$2:$I$3000,"Complete",Permissions!$R$2:$R$3000,"Yes")</f>
        <v>0</v>
      </c>
      <c r="AJ227" s="24" t="n">
        <f aca="false">SUMIFS(Permissions!$G$2:$G$3000,Permissions!$B$2:$B$3000,$A227,Permissions!$I$2:$I$3000,"Under construction",Permissions!$R$2:$R$3000,"Yes")</f>
        <v>0</v>
      </c>
      <c r="AK227" s="24" t="n">
        <f aca="false">SUMIFS(Permissions!$G$2:$G$3000,Permissions!$B$2:$B$3000,$A227,Permissions!$I$2:$I$3000,"Permitted – not started",Permissions!$R$2:$R$3000,"Yes")</f>
        <v>21</v>
      </c>
      <c r="AL227" s="24" t="n">
        <f aca="false">SUMIFS(Permissions!$G$2:$G$3000,Permissions!$B$2:$B$3000,$A227,Permissions!$I$2:$I$3000,"Stalled",Permissions!$R$2:$R$3000,"Yes")</f>
        <v>0</v>
      </c>
      <c r="AM227" s="24" t="n">
        <f aca="false">AI227+AJ227+AK227+AL227</f>
        <v>21</v>
      </c>
      <c r="AN227" s="24" t="n">
        <f aca="false">SUMIFS(Permissions!$G$2:$G$3000,Permissions!$B$2:$B$3000,$A227,Permissions!$I$2:$I$3000,"Expired – not started",Permissions!$R$2:$R$3000,"Yes")</f>
        <v>0</v>
      </c>
      <c r="AO227" s="24" t="n">
        <f aca="false">SUMIFS(Permissions!$G$2:$G$3000,Permissions!$B$2:$B$3000,$A227,Permissions!$I$2:$I$3000,"In planning",Permissions!$R$2:$R$3000,"Yes")</f>
        <v>0</v>
      </c>
      <c r="AP227" s="24" t="n">
        <f aca="false">IF(R227="",0,MAX(R227-AM227,0))</f>
        <v>0</v>
      </c>
      <c r="AQ227" s="25" t="n">
        <f aca="false">AM227+AP227</f>
        <v>21</v>
      </c>
      <c r="AR227" s="24" t="n">
        <f aca="false">SUMIFS(Permissions!$L$2:$L$3000,Permissions!$B$2:$B$3000,$A227,Permissions!$R$2:$R$3000,"Yes",Permissions!$I$2:$I$3000,"&lt;&gt;Expired – not started",Permissions!$I$2:$I$3000,"&lt;&gt;In planning")</f>
        <v>0</v>
      </c>
      <c r="AS227" s="24" t="n">
        <f aca="false">AQ227-AR227</f>
        <v>21</v>
      </c>
      <c r="AT227" s="26" t="n">
        <f aca="false">SUMIFS(Permissions!$AJ$2:$AJ$3000,Permissions!$B$2:$B$3000,$A227,Permissions!$R$2:$R$3000,"Yes")</f>
        <v>0</v>
      </c>
      <c r="AU227" s="26" t="n">
        <f aca="false">SUMIFS(Permissions!$AK$2:$AK$3000,Permissions!$B$2:$B$3000,$A227,Permissions!$R$2:$R$3000,"Yes")</f>
        <v>0</v>
      </c>
      <c r="AV227" s="26" t="n">
        <f aca="false">SUMIFS(Permissions!$AL$2:$AL$3000,Permissions!$B$2:$B$3000,$A227,Permissions!$R$2:$R$3000,"Yes")</f>
        <v>6.7</v>
      </c>
      <c r="AW227" s="26" t="n">
        <f aca="false">SUMIFS(Permissions!$AM$2:$AM$3000,Permissions!$B$2:$B$3000,$A227,Permissions!$R$2:$R$3000,"Yes")</f>
        <v>13.9</v>
      </c>
      <c r="AX227" s="26" t="n">
        <f aca="false">SUMIFS(Permissions!$AN$2:$AN$3000,Permissions!$B$2:$B$3000,$A227,Permissions!$R$2:$R$3000,"Yes")</f>
        <v>0.5</v>
      </c>
      <c r="AY227" s="26" t="n">
        <f aca="false">SUMIFS(Permissions!$AO$2:$AO$3000,Permissions!$B$2:$B$3000,$A227,Permissions!$R$2:$R$3000,"Yes")</f>
        <v>-0.1</v>
      </c>
      <c r="AZ227" s="24" t="n">
        <f aca="false">COUNTIFS(Permissions!$B$2:$B$3000,$A227,Permissions!$R$2:$R$3000,"Yes")</f>
        <v>1</v>
      </c>
      <c r="BA227" s="24" t="n">
        <f aca="false">SUMIFS(Permissions!$M$2:$M$3000,Permissions!$B$2:$B$3000,$A227,Permissions!$R$2:$R$3000,"Yes")</f>
        <v>0</v>
      </c>
      <c r="BB227" s="24" t="n">
        <f aca="false">SUMIFS(Permissions!$O$2:$O$3000,Permissions!$B$2:$B$3000,$A227,Permissions!$R$2:$R$3000,"Yes")</f>
        <v>0</v>
      </c>
      <c r="BC227" s="27" t="str">
        <f aca="false">IF(AND(AM227&gt;0,AR227&gt;=AM227,AP227=0),"Finished",IF(AR227&gt;0,"Partly built",IF(AM227&gt;0,"Consented – not built","No consent")))</f>
        <v>Consented – not built</v>
      </c>
      <c r="BD227" s="28" t="str">
        <f aca="false">IF(AND(R227&lt;&gt;"",AM227&gt;1.1*R227),"Consented above capacity",IF(AND(LEFT(B227,8)="Planning",AZ227=0),"Consent parcel with no permission",IF(COUNTIF($A$2:$A$3000,$A227)&gt;1,"Duplicate parcel_id","")))</f>
        <v/>
      </c>
    </row>
    <row r="228" customFormat="false" ht="15" hidden="false" customHeight="false" outlineLevel="0" collapsed="false">
      <c r="A228" s="15" t="s">
        <v>565</v>
      </c>
      <c r="B228" s="15" t="s">
        <v>12</v>
      </c>
      <c r="C228" s="15" t="s">
        <v>16</v>
      </c>
      <c r="D228" s="15" t="s">
        <v>53</v>
      </c>
      <c r="E228" s="15" t="s">
        <v>19</v>
      </c>
      <c r="F228" s="15" t="n">
        <v>1</v>
      </c>
      <c r="G228" s="15" t="s">
        <v>158</v>
      </c>
      <c r="H228" s="15"/>
      <c r="I228" s="15" t="s">
        <v>53</v>
      </c>
      <c r="J228" s="15" t="s">
        <v>159</v>
      </c>
      <c r="K228" s="15" t="s">
        <v>566</v>
      </c>
      <c r="L228" s="15"/>
      <c r="M228" s="15"/>
      <c r="N228" s="15"/>
      <c r="O228" s="15"/>
      <c r="P228" s="15" t="n">
        <v>0.008</v>
      </c>
      <c r="Q228" s="15" t="n">
        <v>0.008</v>
      </c>
      <c r="R228" s="15"/>
      <c r="S228" s="15" t="s">
        <v>459</v>
      </c>
      <c r="T228" s="15" t="n">
        <v>1</v>
      </c>
      <c r="U228" s="15"/>
      <c r="V228" s="15"/>
      <c r="W228" s="15"/>
      <c r="X228" s="15" t="s">
        <v>236</v>
      </c>
      <c r="Y228" s="15" t="n">
        <v>101</v>
      </c>
      <c r="Z228" s="15" t="s">
        <v>237</v>
      </c>
      <c r="AA228" s="15"/>
      <c r="AB228" s="15" t="n">
        <v>0</v>
      </c>
      <c r="AC228" s="15" t="n">
        <v>0</v>
      </c>
      <c r="AD228" s="15"/>
      <c r="AE228" s="15"/>
      <c r="AF228" s="15" t="s">
        <v>169</v>
      </c>
      <c r="AG228" s="15"/>
      <c r="AH228" s="24" t="n">
        <f aca="false">IF(R228="",AM228,R228)</f>
        <v>3</v>
      </c>
      <c r="AI228" s="24" t="n">
        <f aca="false">SUMIFS(Permissions!$G$2:$G$3000,Permissions!$B$2:$B$3000,$A228,Permissions!$I$2:$I$3000,"Complete",Permissions!$R$2:$R$3000,"Yes")</f>
        <v>0</v>
      </c>
      <c r="AJ228" s="24" t="n">
        <f aca="false">SUMIFS(Permissions!$G$2:$G$3000,Permissions!$B$2:$B$3000,$A228,Permissions!$I$2:$I$3000,"Under construction",Permissions!$R$2:$R$3000,"Yes")</f>
        <v>3</v>
      </c>
      <c r="AK228" s="24" t="n">
        <f aca="false">SUMIFS(Permissions!$G$2:$G$3000,Permissions!$B$2:$B$3000,$A228,Permissions!$I$2:$I$3000,"Permitted – not started",Permissions!$R$2:$R$3000,"Yes")</f>
        <v>0</v>
      </c>
      <c r="AL228" s="24" t="n">
        <f aca="false">SUMIFS(Permissions!$G$2:$G$3000,Permissions!$B$2:$B$3000,$A228,Permissions!$I$2:$I$3000,"Stalled",Permissions!$R$2:$R$3000,"Yes")</f>
        <v>0</v>
      </c>
      <c r="AM228" s="24" t="n">
        <f aca="false">AI228+AJ228+AK228+AL228</f>
        <v>3</v>
      </c>
      <c r="AN228" s="24" t="n">
        <f aca="false">SUMIFS(Permissions!$G$2:$G$3000,Permissions!$B$2:$B$3000,$A228,Permissions!$I$2:$I$3000,"Expired – not started",Permissions!$R$2:$R$3000,"Yes")</f>
        <v>0</v>
      </c>
      <c r="AO228" s="24" t="n">
        <f aca="false">SUMIFS(Permissions!$G$2:$G$3000,Permissions!$B$2:$B$3000,$A228,Permissions!$I$2:$I$3000,"In planning",Permissions!$R$2:$R$3000,"Yes")</f>
        <v>0</v>
      </c>
      <c r="AP228" s="24" t="n">
        <f aca="false">IF(R228="",0,MAX(R228-AM228,0))</f>
        <v>0</v>
      </c>
      <c r="AQ228" s="25" t="n">
        <f aca="false">AM228+AP228</f>
        <v>3</v>
      </c>
      <c r="AR228" s="24" t="n">
        <f aca="false">SUMIFS(Permissions!$L$2:$L$3000,Permissions!$B$2:$B$3000,$A228,Permissions!$R$2:$R$3000,"Yes",Permissions!$I$2:$I$3000,"&lt;&gt;Expired – not started",Permissions!$I$2:$I$3000,"&lt;&gt;In planning")</f>
        <v>0</v>
      </c>
      <c r="AS228" s="24" t="n">
        <f aca="false">AQ228-AR228</f>
        <v>3</v>
      </c>
      <c r="AT228" s="26" t="n">
        <f aca="false">SUMIFS(Permissions!$AJ$2:$AJ$3000,Permissions!$B$2:$B$3000,$A228,Permissions!$R$2:$R$3000,"Yes")</f>
        <v>0.7</v>
      </c>
      <c r="AU228" s="26" t="n">
        <f aca="false">SUMIFS(Permissions!$AK$2:$AK$3000,Permissions!$B$2:$B$3000,$A228,Permissions!$R$2:$R$3000,"Yes")</f>
        <v>2.3</v>
      </c>
      <c r="AV228" s="26" t="n">
        <f aca="false">SUMIFS(Permissions!$AL$2:$AL$3000,Permissions!$B$2:$B$3000,$A228,Permissions!$R$2:$R$3000,"Yes")</f>
        <v>0</v>
      </c>
      <c r="AW228" s="26" t="n">
        <f aca="false">SUMIFS(Permissions!$AM$2:$AM$3000,Permissions!$B$2:$B$3000,$A228,Permissions!$R$2:$R$3000,"Yes")</f>
        <v>0</v>
      </c>
      <c r="AX228" s="26" t="n">
        <f aca="false">SUMIFS(Permissions!$AN$2:$AN$3000,Permissions!$B$2:$B$3000,$A228,Permissions!$R$2:$R$3000,"Yes")</f>
        <v>0</v>
      </c>
      <c r="AY228" s="26" t="n">
        <f aca="false">SUMIFS(Permissions!$AO$2:$AO$3000,Permissions!$B$2:$B$3000,$A228,Permissions!$R$2:$R$3000,"Yes")</f>
        <v>0</v>
      </c>
      <c r="AZ228" s="24" t="n">
        <f aca="false">COUNTIFS(Permissions!$B$2:$B$3000,$A228,Permissions!$R$2:$R$3000,"Yes")</f>
        <v>1</v>
      </c>
      <c r="BA228" s="24" t="n">
        <f aca="false">SUMIFS(Permissions!$M$2:$M$3000,Permissions!$B$2:$B$3000,$A228,Permissions!$R$2:$R$3000,"Yes")</f>
        <v>0</v>
      </c>
      <c r="BB228" s="24" t="n">
        <f aca="false">SUMIFS(Permissions!$O$2:$O$3000,Permissions!$B$2:$B$3000,$A228,Permissions!$R$2:$R$3000,"Yes")</f>
        <v>0</v>
      </c>
      <c r="BC228" s="27" t="str">
        <f aca="false">IF(AND(AM228&gt;0,AR228&gt;=AM228,AP228=0),"Finished",IF(AR228&gt;0,"Partly built",IF(AM228&gt;0,"Consented – not built","No consent")))</f>
        <v>Consented – not built</v>
      </c>
      <c r="BD228" s="28" t="str">
        <f aca="false">IF(AND(R228&lt;&gt;"",AM228&gt;1.1*R228),"Consented above capacity",IF(AND(LEFT(B228,8)="Planning",AZ228=0),"Consent parcel with no permission",IF(COUNTIF($A$2:$A$3000,$A228)&gt;1,"Duplicate parcel_id","")))</f>
        <v/>
      </c>
    </row>
    <row r="229" customFormat="false" ht="15" hidden="false" customHeight="false" outlineLevel="0" collapsed="false">
      <c r="A229" s="15" t="s">
        <v>567</v>
      </c>
      <c r="B229" s="15" t="s">
        <v>12</v>
      </c>
      <c r="C229" s="15" t="s">
        <v>16</v>
      </c>
      <c r="D229" s="15" t="s">
        <v>53</v>
      </c>
      <c r="E229" s="15" t="s">
        <v>19</v>
      </c>
      <c r="F229" s="15" t="n">
        <v>1</v>
      </c>
      <c r="G229" s="15" t="s">
        <v>158</v>
      </c>
      <c r="H229" s="15"/>
      <c r="I229" s="15" t="s">
        <v>53</v>
      </c>
      <c r="J229" s="15" t="s">
        <v>159</v>
      </c>
      <c r="K229" s="15" t="s">
        <v>568</v>
      </c>
      <c r="L229" s="15"/>
      <c r="M229" s="15"/>
      <c r="N229" s="15"/>
      <c r="O229" s="15"/>
      <c r="P229" s="15" t="n">
        <v>0.026</v>
      </c>
      <c r="Q229" s="15" t="n">
        <v>0.026</v>
      </c>
      <c r="R229" s="15"/>
      <c r="S229" s="15" t="s">
        <v>459</v>
      </c>
      <c r="T229" s="15" t="n">
        <v>3</v>
      </c>
      <c r="U229" s="15"/>
      <c r="V229" s="15"/>
      <c r="W229" s="15"/>
      <c r="X229" s="15" t="s">
        <v>236</v>
      </c>
      <c r="Y229" s="15" t="n">
        <v>101</v>
      </c>
      <c r="Z229" s="15" t="s">
        <v>237</v>
      </c>
      <c r="AA229" s="15"/>
      <c r="AB229" s="15" t="n">
        <v>0</v>
      </c>
      <c r="AC229" s="15" t="n">
        <v>0</v>
      </c>
      <c r="AD229" s="15"/>
      <c r="AE229" s="15"/>
      <c r="AF229" s="15" t="s">
        <v>169</v>
      </c>
      <c r="AG229" s="15"/>
      <c r="AH229" s="24" t="n">
        <f aca="false">IF(R229="",AM229,R229)</f>
        <v>8</v>
      </c>
      <c r="AI229" s="24" t="n">
        <f aca="false">SUMIFS(Permissions!$G$2:$G$3000,Permissions!$B$2:$B$3000,$A229,Permissions!$I$2:$I$3000,"Complete",Permissions!$R$2:$R$3000,"Yes")</f>
        <v>0</v>
      </c>
      <c r="AJ229" s="24" t="n">
        <f aca="false">SUMIFS(Permissions!$G$2:$G$3000,Permissions!$B$2:$B$3000,$A229,Permissions!$I$2:$I$3000,"Under construction",Permissions!$R$2:$R$3000,"Yes")</f>
        <v>8</v>
      </c>
      <c r="AK229" s="24" t="n">
        <f aca="false">SUMIFS(Permissions!$G$2:$G$3000,Permissions!$B$2:$B$3000,$A229,Permissions!$I$2:$I$3000,"Permitted – not started",Permissions!$R$2:$R$3000,"Yes")</f>
        <v>0</v>
      </c>
      <c r="AL229" s="24" t="n">
        <f aca="false">SUMIFS(Permissions!$G$2:$G$3000,Permissions!$B$2:$B$3000,$A229,Permissions!$I$2:$I$3000,"Stalled",Permissions!$R$2:$R$3000,"Yes")</f>
        <v>0</v>
      </c>
      <c r="AM229" s="24" t="n">
        <f aca="false">AI229+AJ229+AK229+AL229</f>
        <v>8</v>
      </c>
      <c r="AN229" s="24" t="n">
        <f aca="false">SUMIFS(Permissions!$G$2:$G$3000,Permissions!$B$2:$B$3000,$A229,Permissions!$I$2:$I$3000,"Expired – not started",Permissions!$R$2:$R$3000,"Yes")</f>
        <v>0</v>
      </c>
      <c r="AO229" s="24" t="n">
        <f aca="false">SUMIFS(Permissions!$G$2:$G$3000,Permissions!$B$2:$B$3000,$A229,Permissions!$I$2:$I$3000,"In planning",Permissions!$R$2:$R$3000,"Yes")</f>
        <v>0</v>
      </c>
      <c r="AP229" s="24" t="n">
        <f aca="false">IF(R229="",0,MAX(R229-AM229,0))</f>
        <v>0</v>
      </c>
      <c r="AQ229" s="25" t="n">
        <f aca="false">AM229+AP229</f>
        <v>8</v>
      </c>
      <c r="AR229" s="24" t="n">
        <f aca="false">SUMIFS(Permissions!$L$2:$L$3000,Permissions!$B$2:$B$3000,$A229,Permissions!$R$2:$R$3000,"Yes",Permissions!$I$2:$I$3000,"&lt;&gt;Expired – not started",Permissions!$I$2:$I$3000,"&lt;&gt;In planning")</f>
        <v>0</v>
      </c>
      <c r="AS229" s="24" t="n">
        <f aca="false">AQ229-AR229</f>
        <v>8</v>
      </c>
      <c r="AT229" s="26" t="n">
        <f aca="false">SUMIFS(Permissions!$AJ$2:$AJ$3000,Permissions!$B$2:$B$3000,$A229,Permissions!$R$2:$R$3000,"Yes")</f>
        <v>1.9</v>
      </c>
      <c r="AU229" s="26" t="n">
        <f aca="false">SUMIFS(Permissions!$AK$2:$AK$3000,Permissions!$B$2:$B$3000,$A229,Permissions!$R$2:$R$3000,"Yes")</f>
        <v>6.1</v>
      </c>
      <c r="AV229" s="26" t="n">
        <f aca="false">SUMIFS(Permissions!$AL$2:$AL$3000,Permissions!$B$2:$B$3000,$A229,Permissions!$R$2:$R$3000,"Yes")</f>
        <v>0</v>
      </c>
      <c r="AW229" s="26" t="n">
        <f aca="false">SUMIFS(Permissions!$AM$2:$AM$3000,Permissions!$B$2:$B$3000,$A229,Permissions!$R$2:$R$3000,"Yes")</f>
        <v>0</v>
      </c>
      <c r="AX229" s="26" t="n">
        <f aca="false">SUMIFS(Permissions!$AN$2:$AN$3000,Permissions!$B$2:$B$3000,$A229,Permissions!$R$2:$R$3000,"Yes")</f>
        <v>0</v>
      </c>
      <c r="AY229" s="26" t="n">
        <f aca="false">SUMIFS(Permissions!$AO$2:$AO$3000,Permissions!$B$2:$B$3000,$A229,Permissions!$R$2:$R$3000,"Yes")</f>
        <v>0</v>
      </c>
      <c r="AZ229" s="24" t="n">
        <f aca="false">COUNTIFS(Permissions!$B$2:$B$3000,$A229,Permissions!$R$2:$R$3000,"Yes")</f>
        <v>1</v>
      </c>
      <c r="BA229" s="24" t="n">
        <f aca="false">SUMIFS(Permissions!$M$2:$M$3000,Permissions!$B$2:$B$3000,$A229,Permissions!$R$2:$R$3000,"Yes")</f>
        <v>0</v>
      </c>
      <c r="BB229" s="24" t="n">
        <f aca="false">SUMIFS(Permissions!$O$2:$O$3000,Permissions!$B$2:$B$3000,$A229,Permissions!$R$2:$R$3000,"Yes")</f>
        <v>0</v>
      </c>
      <c r="BC229" s="27" t="str">
        <f aca="false">IF(AND(AM229&gt;0,AR229&gt;=AM229,AP229=0),"Finished",IF(AR229&gt;0,"Partly built",IF(AM229&gt;0,"Consented – not built","No consent")))</f>
        <v>Consented – not built</v>
      </c>
      <c r="BD229" s="28" t="str">
        <f aca="false">IF(AND(R229&lt;&gt;"",AM229&gt;1.1*R229),"Consented above capacity",IF(AND(LEFT(B229,8)="Planning",AZ229=0),"Consent parcel with no permission",IF(COUNTIF($A$2:$A$3000,$A229)&gt;1,"Duplicate parcel_id","")))</f>
        <v/>
      </c>
    </row>
    <row r="230" customFormat="false" ht="15" hidden="false" customHeight="false" outlineLevel="0" collapsed="false">
      <c r="A230" s="15" t="s">
        <v>569</v>
      </c>
      <c r="B230" s="15" t="s">
        <v>12</v>
      </c>
      <c r="C230" s="15" t="s">
        <v>16</v>
      </c>
      <c r="D230" s="15" t="s">
        <v>53</v>
      </c>
      <c r="E230" s="15" t="s">
        <v>19</v>
      </c>
      <c r="F230" s="15" t="n">
        <v>1</v>
      </c>
      <c r="G230" s="15" t="s">
        <v>158</v>
      </c>
      <c r="H230" s="15"/>
      <c r="I230" s="15" t="s">
        <v>53</v>
      </c>
      <c r="J230" s="15" t="s">
        <v>159</v>
      </c>
      <c r="K230" s="15" t="s">
        <v>570</v>
      </c>
      <c r="L230" s="15"/>
      <c r="M230" s="15"/>
      <c r="N230" s="15"/>
      <c r="O230" s="15"/>
      <c r="P230" s="15" t="n">
        <v>0.031</v>
      </c>
      <c r="Q230" s="15" t="n">
        <v>0.031</v>
      </c>
      <c r="R230" s="15"/>
      <c r="S230" s="15" t="s">
        <v>459</v>
      </c>
      <c r="T230" s="15" t="n">
        <v>3</v>
      </c>
      <c r="U230" s="15"/>
      <c r="V230" s="15"/>
      <c r="W230" s="15"/>
      <c r="X230" s="15" t="s">
        <v>236</v>
      </c>
      <c r="Y230" s="15" t="n">
        <v>101</v>
      </c>
      <c r="Z230" s="15" t="s">
        <v>237</v>
      </c>
      <c r="AA230" s="15"/>
      <c r="AB230" s="15" t="n">
        <v>0</v>
      </c>
      <c r="AC230" s="15" t="n">
        <v>0</v>
      </c>
      <c r="AD230" s="15"/>
      <c r="AE230" s="15"/>
      <c r="AF230" s="15" t="s">
        <v>169</v>
      </c>
      <c r="AG230" s="15"/>
      <c r="AH230" s="24" t="n">
        <f aca="false">IF(R230="",AM230,R230)</f>
        <v>8</v>
      </c>
      <c r="AI230" s="24" t="n">
        <f aca="false">SUMIFS(Permissions!$G$2:$G$3000,Permissions!$B$2:$B$3000,$A230,Permissions!$I$2:$I$3000,"Complete",Permissions!$R$2:$R$3000,"Yes")</f>
        <v>0</v>
      </c>
      <c r="AJ230" s="24" t="n">
        <f aca="false">SUMIFS(Permissions!$G$2:$G$3000,Permissions!$B$2:$B$3000,$A230,Permissions!$I$2:$I$3000,"Under construction",Permissions!$R$2:$R$3000,"Yes")</f>
        <v>0</v>
      </c>
      <c r="AK230" s="24" t="n">
        <f aca="false">SUMIFS(Permissions!$G$2:$G$3000,Permissions!$B$2:$B$3000,$A230,Permissions!$I$2:$I$3000,"Permitted – not started",Permissions!$R$2:$R$3000,"Yes")</f>
        <v>8</v>
      </c>
      <c r="AL230" s="24" t="n">
        <f aca="false">SUMIFS(Permissions!$G$2:$G$3000,Permissions!$B$2:$B$3000,$A230,Permissions!$I$2:$I$3000,"Stalled",Permissions!$R$2:$R$3000,"Yes")</f>
        <v>0</v>
      </c>
      <c r="AM230" s="24" t="n">
        <f aca="false">AI230+AJ230+AK230+AL230</f>
        <v>8</v>
      </c>
      <c r="AN230" s="24" t="n">
        <f aca="false">SUMIFS(Permissions!$G$2:$G$3000,Permissions!$B$2:$B$3000,$A230,Permissions!$I$2:$I$3000,"Expired – not started",Permissions!$R$2:$R$3000,"Yes")</f>
        <v>0</v>
      </c>
      <c r="AO230" s="24" t="n">
        <f aca="false">SUMIFS(Permissions!$G$2:$G$3000,Permissions!$B$2:$B$3000,$A230,Permissions!$I$2:$I$3000,"In planning",Permissions!$R$2:$R$3000,"Yes")</f>
        <v>0</v>
      </c>
      <c r="AP230" s="24" t="n">
        <f aca="false">IF(R230="",0,MAX(R230-AM230,0))</f>
        <v>0</v>
      </c>
      <c r="AQ230" s="25" t="n">
        <f aca="false">AM230+AP230</f>
        <v>8</v>
      </c>
      <c r="AR230" s="24" t="n">
        <f aca="false">SUMIFS(Permissions!$L$2:$L$3000,Permissions!$B$2:$B$3000,$A230,Permissions!$R$2:$R$3000,"Yes",Permissions!$I$2:$I$3000,"&lt;&gt;Expired – not started",Permissions!$I$2:$I$3000,"&lt;&gt;In planning")</f>
        <v>0</v>
      </c>
      <c r="AS230" s="24" t="n">
        <f aca="false">AQ230-AR230</f>
        <v>8</v>
      </c>
      <c r="AT230" s="26" t="n">
        <f aca="false">SUMIFS(Permissions!$AJ$2:$AJ$3000,Permissions!$B$2:$B$3000,$A230,Permissions!$R$2:$R$3000,"Yes")</f>
        <v>0</v>
      </c>
      <c r="AU230" s="26" t="n">
        <f aca="false">SUMIFS(Permissions!$AK$2:$AK$3000,Permissions!$B$2:$B$3000,$A230,Permissions!$R$2:$R$3000,"Yes")</f>
        <v>0</v>
      </c>
      <c r="AV230" s="26" t="n">
        <f aca="false">SUMIFS(Permissions!$AL$2:$AL$3000,Permissions!$B$2:$B$3000,$A230,Permissions!$R$2:$R$3000,"Yes")</f>
        <v>4</v>
      </c>
      <c r="AW230" s="26" t="n">
        <f aca="false">SUMIFS(Permissions!$AM$2:$AM$3000,Permissions!$B$2:$B$3000,$A230,Permissions!$R$2:$R$3000,"Yes")</f>
        <v>4</v>
      </c>
      <c r="AX230" s="26" t="n">
        <f aca="false">SUMIFS(Permissions!$AN$2:$AN$3000,Permissions!$B$2:$B$3000,$A230,Permissions!$R$2:$R$3000,"Yes")</f>
        <v>0</v>
      </c>
      <c r="AY230" s="26" t="n">
        <f aca="false">SUMIFS(Permissions!$AO$2:$AO$3000,Permissions!$B$2:$B$3000,$A230,Permissions!$R$2:$R$3000,"Yes")</f>
        <v>0</v>
      </c>
      <c r="AZ230" s="24" t="n">
        <f aca="false">COUNTIFS(Permissions!$B$2:$B$3000,$A230,Permissions!$R$2:$R$3000,"Yes")</f>
        <v>1</v>
      </c>
      <c r="BA230" s="24" t="n">
        <f aca="false">SUMIFS(Permissions!$M$2:$M$3000,Permissions!$B$2:$B$3000,$A230,Permissions!$R$2:$R$3000,"Yes")</f>
        <v>0</v>
      </c>
      <c r="BB230" s="24" t="n">
        <f aca="false">SUMIFS(Permissions!$O$2:$O$3000,Permissions!$B$2:$B$3000,$A230,Permissions!$R$2:$R$3000,"Yes")</f>
        <v>0</v>
      </c>
      <c r="BC230" s="27" t="str">
        <f aca="false">IF(AND(AM230&gt;0,AR230&gt;=AM230,AP230=0),"Finished",IF(AR230&gt;0,"Partly built",IF(AM230&gt;0,"Consented – not built","No consent")))</f>
        <v>Consented – not built</v>
      </c>
      <c r="BD230" s="28" t="str">
        <f aca="false">IF(AND(R230&lt;&gt;"",AM230&gt;1.1*R230),"Consented above capacity",IF(AND(LEFT(B230,8)="Planning",AZ230=0),"Consent parcel with no permission",IF(COUNTIF($A$2:$A$3000,$A230)&gt;1,"Duplicate parcel_id","")))</f>
        <v/>
      </c>
    </row>
    <row r="231" customFormat="false" ht="15" hidden="false" customHeight="false" outlineLevel="0" collapsed="false">
      <c r="A231" s="15" t="s">
        <v>571</v>
      </c>
      <c r="B231" s="15" t="s">
        <v>12</v>
      </c>
      <c r="C231" s="15" t="s">
        <v>16</v>
      </c>
      <c r="D231" s="15" t="s">
        <v>53</v>
      </c>
      <c r="E231" s="15" t="s">
        <v>19</v>
      </c>
      <c r="F231" s="15" t="n">
        <v>1</v>
      </c>
      <c r="G231" s="15" t="s">
        <v>158</v>
      </c>
      <c r="H231" s="15"/>
      <c r="I231" s="15" t="s">
        <v>53</v>
      </c>
      <c r="J231" s="15" t="s">
        <v>159</v>
      </c>
      <c r="K231" s="15" t="s">
        <v>572</v>
      </c>
      <c r="L231" s="15"/>
      <c r="M231" s="15"/>
      <c r="N231" s="15"/>
      <c r="O231" s="15"/>
      <c r="P231" s="15" t="n">
        <v>0.045</v>
      </c>
      <c r="Q231" s="15" t="n">
        <v>0.045</v>
      </c>
      <c r="R231" s="15"/>
      <c r="S231" s="15" t="s">
        <v>459</v>
      </c>
      <c r="T231" s="15" t="n">
        <v>5</v>
      </c>
      <c r="U231" s="15"/>
      <c r="V231" s="15"/>
      <c r="W231" s="15"/>
      <c r="X231" s="15" t="s">
        <v>236</v>
      </c>
      <c r="Y231" s="15" t="n">
        <v>101</v>
      </c>
      <c r="Z231" s="15" t="s">
        <v>237</v>
      </c>
      <c r="AA231" s="15"/>
      <c r="AB231" s="15" t="n">
        <v>6</v>
      </c>
      <c r="AC231" s="15" t="n">
        <v>0</v>
      </c>
      <c r="AD231" s="15"/>
      <c r="AE231" s="15"/>
      <c r="AF231" s="15" t="s">
        <v>169</v>
      </c>
      <c r="AG231" s="15"/>
      <c r="AH231" s="24" t="n">
        <f aca="false">IF(R231="",AM231,R231)</f>
        <v>7</v>
      </c>
      <c r="AI231" s="24" t="n">
        <f aca="false">SUMIFS(Permissions!$G$2:$G$3000,Permissions!$B$2:$B$3000,$A231,Permissions!$I$2:$I$3000,"Complete",Permissions!$R$2:$R$3000,"Yes")</f>
        <v>0</v>
      </c>
      <c r="AJ231" s="24" t="n">
        <f aca="false">SUMIFS(Permissions!$G$2:$G$3000,Permissions!$B$2:$B$3000,$A231,Permissions!$I$2:$I$3000,"Under construction",Permissions!$R$2:$R$3000,"Yes")</f>
        <v>7</v>
      </c>
      <c r="AK231" s="24" t="n">
        <f aca="false">SUMIFS(Permissions!$G$2:$G$3000,Permissions!$B$2:$B$3000,$A231,Permissions!$I$2:$I$3000,"Permitted – not started",Permissions!$R$2:$R$3000,"Yes")</f>
        <v>0</v>
      </c>
      <c r="AL231" s="24" t="n">
        <f aca="false">SUMIFS(Permissions!$G$2:$G$3000,Permissions!$B$2:$B$3000,$A231,Permissions!$I$2:$I$3000,"Stalled",Permissions!$R$2:$R$3000,"Yes")</f>
        <v>0</v>
      </c>
      <c r="AM231" s="24" t="n">
        <f aca="false">AI231+AJ231+AK231+AL231</f>
        <v>7</v>
      </c>
      <c r="AN231" s="24" t="n">
        <f aca="false">SUMIFS(Permissions!$G$2:$G$3000,Permissions!$B$2:$B$3000,$A231,Permissions!$I$2:$I$3000,"Expired – not started",Permissions!$R$2:$R$3000,"Yes")</f>
        <v>0</v>
      </c>
      <c r="AO231" s="24" t="n">
        <f aca="false">SUMIFS(Permissions!$G$2:$G$3000,Permissions!$B$2:$B$3000,$A231,Permissions!$I$2:$I$3000,"In planning",Permissions!$R$2:$R$3000,"Yes")</f>
        <v>0</v>
      </c>
      <c r="AP231" s="24" t="n">
        <f aca="false">IF(R231="",0,MAX(R231-AM231,0))</f>
        <v>0</v>
      </c>
      <c r="AQ231" s="25" t="n">
        <f aca="false">AM231+AP231</f>
        <v>7</v>
      </c>
      <c r="AR231" s="24" t="n">
        <f aca="false">SUMIFS(Permissions!$L$2:$L$3000,Permissions!$B$2:$B$3000,$A231,Permissions!$R$2:$R$3000,"Yes",Permissions!$I$2:$I$3000,"&lt;&gt;Expired – not started",Permissions!$I$2:$I$3000,"&lt;&gt;In planning")</f>
        <v>0</v>
      </c>
      <c r="AS231" s="24" t="n">
        <f aca="false">AQ231-AR231</f>
        <v>7</v>
      </c>
      <c r="AT231" s="26" t="n">
        <f aca="false">SUMIFS(Permissions!$AJ$2:$AJ$3000,Permissions!$B$2:$B$3000,$A231,Permissions!$R$2:$R$3000,"Yes")</f>
        <v>0</v>
      </c>
      <c r="AU231" s="26" t="n">
        <f aca="false">SUMIFS(Permissions!$AK$2:$AK$3000,Permissions!$B$2:$B$3000,$A231,Permissions!$R$2:$R$3000,"Yes")</f>
        <v>5.8</v>
      </c>
      <c r="AV231" s="26" t="n">
        <f aca="false">SUMIFS(Permissions!$AL$2:$AL$3000,Permissions!$B$2:$B$3000,$A231,Permissions!$R$2:$R$3000,"Yes")</f>
        <v>1.2</v>
      </c>
      <c r="AW231" s="26" t="n">
        <f aca="false">SUMIFS(Permissions!$AM$2:$AM$3000,Permissions!$B$2:$B$3000,$A231,Permissions!$R$2:$R$3000,"Yes")</f>
        <v>0</v>
      </c>
      <c r="AX231" s="26" t="n">
        <f aca="false">SUMIFS(Permissions!$AN$2:$AN$3000,Permissions!$B$2:$B$3000,$A231,Permissions!$R$2:$R$3000,"Yes")</f>
        <v>0</v>
      </c>
      <c r="AY231" s="26" t="n">
        <f aca="false">SUMIFS(Permissions!$AO$2:$AO$3000,Permissions!$B$2:$B$3000,$A231,Permissions!$R$2:$R$3000,"Yes")</f>
        <v>0</v>
      </c>
      <c r="AZ231" s="24" t="n">
        <f aca="false">COUNTIFS(Permissions!$B$2:$B$3000,$A231,Permissions!$R$2:$R$3000,"Yes")</f>
        <v>1</v>
      </c>
      <c r="BA231" s="24" t="n">
        <f aca="false">SUMIFS(Permissions!$M$2:$M$3000,Permissions!$B$2:$B$3000,$A231,Permissions!$R$2:$R$3000,"Yes")</f>
        <v>0</v>
      </c>
      <c r="BB231" s="24" t="n">
        <f aca="false">SUMIFS(Permissions!$O$2:$O$3000,Permissions!$B$2:$B$3000,$A231,Permissions!$R$2:$R$3000,"Yes")</f>
        <v>0</v>
      </c>
      <c r="BC231" s="27" t="str">
        <f aca="false">IF(AND(AM231&gt;0,AR231&gt;=AM231,AP231=0),"Finished",IF(AR231&gt;0,"Partly built",IF(AM231&gt;0,"Consented – not built","No consent")))</f>
        <v>Consented – not built</v>
      </c>
      <c r="BD231" s="28" t="str">
        <f aca="false">IF(AND(R231&lt;&gt;"",AM231&gt;1.1*R231),"Consented above capacity",IF(AND(LEFT(B231,8)="Planning",AZ231=0),"Consent parcel with no permission",IF(COUNTIF($A$2:$A$3000,$A231)&gt;1,"Duplicate parcel_id","")))</f>
        <v/>
      </c>
    </row>
    <row r="232" customFormat="false" ht="15" hidden="false" customHeight="false" outlineLevel="0" collapsed="false">
      <c r="A232" s="15" t="s">
        <v>573</v>
      </c>
      <c r="B232" s="15" t="s">
        <v>12</v>
      </c>
      <c r="C232" s="15" t="s">
        <v>16</v>
      </c>
      <c r="D232" s="15" t="s">
        <v>53</v>
      </c>
      <c r="E232" s="15" t="s">
        <v>19</v>
      </c>
      <c r="F232" s="15" t="n">
        <v>1</v>
      </c>
      <c r="G232" s="15" t="s">
        <v>158</v>
      </c>
      <c r="H232" s="15"/>
      <c r="I232" s="15" t="s">
        <v>53</v>
      </c>
      <c r="J232" s="15" t="s">
        <v>159</v>
      </c>
      <c r="K232" s="15" t="s">
        <v>574</v>
      </c>
      <c r="L232" s="15"/>
      <c r="M232" s="15"/>
      <c r="N232" s="15"/>
      <c r="O232" s="15"/>
      <c r="P232" s="15" t="n">
        <v>0.129</v>
      </c>
      <c r="Q232" s="15" t="n">
        <v>0.129</v>
      </c>
      <c r="R232" s="15"/>
      <c r="S232" s="15" t="s">
        <v>459</v>
      </c>
      <c r="T232" s="15" t="n">
        <v>13</v>
      </c>
      <c r="U232" s="15"/>
      <c r="V232" s="15"/>
      <c r="W232" s="15"/>
      <c r="X232" s="15" t="s">
        <v>236</v>
      </c>
      <c r="Y232" s="15" t="n">
        <v>101</v>
      </c>
      <c r="Z232" s="15" t="s">
        <v>237</v>
      </c>
      <c r="AA232" s="15"/>
      <c r="AB232" s="15" t="n">
        <v>0</v>
      </c>
      <c r="AC232" s="15" t="n">
        <v>0</v>
      </c>
      <c r="AD232" s="15"/>
      <c r="AE232" s="15"/>
      <c r="AF232" s="15" t="s">
        <v>169</v>
      </c>
      <c r="AG232" s="15"/>
      <c r="AH232" s="24" t="n">
        <f aca="false">IF(R232="",AM232,R232)</f>
        <v>40</v>
      </c>
      <c r="AI232" s="24" t="n">
        <f aca="false">SUMIFS(Permissions!$G$2:$G$3000,Permissions!$B$2:$B$3000,$A232,Permissions!$I$2:$I$3000,"Complete",Permissions!$R$2:$R$3000,"Yes")</f>
        <v>0</v>
      </c>
      <c r="AJ232" s="24" t="n">
        <f aca="false">SUMIFS(Permissions!$G$2:$G$3000,Permissions!$B$2:$B$3000,$A232,Permissions!$I$2:$I$3000,"Under construction",Permissions!$R$2:$R$3000,"Yes")</f>
        <v>0</v>
      </c>
      <c r="AK232" s="24" t="n">
        <f aca="false">SUMIFS(Permissions!$G$2:$G$3000,Permissions!$B$2:$B$3000,$A232,Permissions!$I$2:$I$3000,"Permitted – not started",Permissions!$R$2:$R$3000,"Yes")</f>
        <v>40</v>
      </c>
      <c r="AL232" s="24" t="n">
        <f aca="false">SUMIFS(Permissions!$G$2:$G$3000,Permissions!$B$2:$B$3000,$A232,Permissions!$I$2:$I$3000,"Stalled",Permissions!$R$2:$R$3000,"Yes")</f>
        <v>0</v>
      </c>
      <c r="AM232" s="24" t="n">
        <f aca="false">AI232+AJ232+AK232+AL232</f>
        <v>40</v>
      </c>
      <c r="AN232" s="24" t="n">
        <f aca="false">SUMIFS(Permissions!$G$2:$G$3000,Permissions!$B$2:$B$3000,$A232,Permissions!$I$2:$I$3000,"Expired – not started",Permissions!$R$2:$R$3000,"Yes")</f>
        <v>0</v>
      </c>
      <c r="AO232" s="24" t="n">
        <f aca="false">SUMIFS(Permissions!$G$2:$G$3000,Permissions!$B$2:$B$3000,$A232,Permissions!$I$2:$I$3000,"In planning",Permissions!$R$2:$R$3000,"Yes")</f>
        <v>0</v>
      </c>
      <c r="AP232" s="24" t="n">
        <f aca="false">IF(R232="",0,MAX(R232-AM232,0))</f>
        <v>0</v>
      </c>
      <c r="AQ232" s="25" t="n">
        <f aca="false">AM232+AP232</f>
        <v>40</v>
      </c>
      <c r="AR232" s="24" t="n">
        <f aca="false">SUMIFS(Permissions!$L$2:$L$3000,Permissions!$B$2:$B$3000,$A232,Permissions!$R$2:$R$3000,"Yes",Permissions!$I$2:$I$3000,"&lt;&gt;Expired – not started",Permissions!$I$2:$I$3000,"&lt;&gt;In planning")</f>
        <v>0</v>
      </c>
      <c r="AS232" s="24" t="n">
        <f aca="false">AQ232-AR232</f>
        <v>40</v>
      </c>
      <c r="AT232" s="26" t="n">
        <f aca="false">SUMIFS(Permissions!$AJ$2:$AJ$3000,Permissions!$B$2:$B$3000,$A232,Permissions!$R$2:$R$3000,"Yes")</f>
        <v>0</v>
      </c>
      <c r="AU232" s="26" t="n">
        <f aca="false">SUMIFS(Permissions!$AK$2:$AK$3000,Permissions!$B$2:$B$3000,$A232,Permissions!$R$2:$R$3000,"Yes")</f>
        <v>0</v>
      </c>
      <c r="AV232" s="26" t="n">
        <f aca="false">SUMIFS(Permissions!$AL$2:$AL$3000,Permissions!$B$2:$B$3000,$A232,Permissions!$R$2:$R$3000,"Yes")</f>
        <v>22</v>
      </c>
      <c r="AW232" s="26" t="n">
        <f aca="false">SUMIFS(Permissions!$AM$2:$AM$3000,Permissions!$B$2:$B$3000,$A232,Permissions!$R$2:$R$3000,"Yes")</f>
        <v>18</v>
      </c>
      <c r="AX232" s="26" t="n">
        <f aca="false">SUMIFS(Permissions!$AN$2:$AN$3000,Permissions!$B$2:$B$3000,$A232,Permissions!$R$2:$R$3000,"Yes")</f>
        <v>0</v>
      </c>
      <c r="AY232" s="26" t="n">
        <f aca="false">SUMIFS(Permissions!$AO$2:$AO$3000,Permissions!$B$2:$B$3000,$A232,Permissions!$R$2:$R$3000,"Yes")</f>
        <v>0</v>
      </c>
      <c r="AZ232" s="24" t="n">
        <f aca="false">COUNTIFS(Permissions!$B$2:$B$3000,$A232,Permissions!$R$2:$R$3000,"Yes")</f>
        <v>1</v>
      </c>
      <c r="BA232" s="24" t="n">
        <f aca="false">SUMIFS(Permissions!$M$2:$M$3000,Permissions!$B$2:$B$3000,$A232,Permissions!$R$2:$R$3000,"Yes")</f>
        <v>0</v>
      </c>
      <c r="BB232" s="24" t="n">
        <f aca="false">SUMIFS(Permissions!$O$2:$O$3000,Permissions!$B$2:$B$3000,$A232,Permissions!$R$2:$R$3000,"Yes")</f>
        <v>0</v>
      </c>
      <c r="BC232" s="27" t="str">
        <f aca="false">IF(AND(AM232&gt;0,AR232&gt;=AM232,AP232=0),"Finished",IF(AR232&gt;0,"Partly built",IF(AM232&gt;0,"Consented – not built","No consent")))</f>
        <v>Consented – not built</v>
      </c>
      <c r="BD232" s="28" t="str">
        <f aca="false">IF(AND(R232&lt;&gt;"",AM232&gt;1.1*R232),"Consented above capacity",IF(AND(LEFT(B232,8)="Planning",AZ232=0),"Consent parcel with no permission",IF(COUNTIF($A$2:$A$3000,$A232)&gt;1,"Duplicate parcel_id","")))</f>
        <v/>
      </c>
    </row>
    <row r="233" customFormat="false" ht="15" hidden="false" customHeight="false" outlineLevel="0" collapsed="false">
      <c r="A233" s="15" t="s">
        <v>575</v>
      </c>
      <c r="B233" s="15" t="s">
        <v>12</v>
      </c>
      <c r="C233" s="15" t="s">
        <v>16</v>
      </c>
      <c r="D233" s="15" t="s">
        <v>53</v>
      </c>
      <c r="E233" s="15" t="s">
        <v>19</v>
      </c>
      <c r="F233" s="15" t="n">
        <v>1</v>
      </c>
      <c r="G233" s="15" t="s">
        <v>158</v>
      </c>
      <c r="H233" s="15"/>
      <c r="I233" s="15" t="s">
        <v>53</v>
      </c>
      <c r="J233" s="15" t="s">
        <v>182</v>
      </c>
      <c r="K233" s="15" t="s">
        <v>576</v>
      </c>
      <c r="L233" s="15"/>
      <c r="M233" s="15"/>
      <c r="N233" s="15"/>
      <c r="O233" s="15"/>
      <c r="P233" s="15" t="n">
        <v>0.054</v>
      </c>
      <c r="Q233" s="15" t="n">
        <v>0.054</v>
      </c>
      <c r="R233" s="15"/>
      <c r="S233" s="15" t="s">
        <v>459</v>
      </c>
      <c r="T233" s="15" t="n">
        <v>5</v>
      </c>
      <c r="U233" s="15"/>
      <c r="V233" s="15"/>
      <c r="W233" s="15"/>
      <c r="X233" s="15" t="s">
        <v>236</v>
      </c>
      <c r="Y233" s="15" t="n">
        <v>101</v>
      </c>
      <c r="Z233" s="15" t="s">
        <v>237</v>
      </c>
      <c r="AA233" s="15"/>
      <c r="AB233" s="15" t="n">
        <v>0</v>
      </c>
      <c r="AC233" s="15" t="n">
        <v>0</v>
      </c>
      <c r="AD233" s="15"/>
      <c r="AE233" s="15"/>
      <c r="AF233" s="15" t="s">
        <v>169</v>
      </c>
      <c r="AG233" s="15"/>
      <c r="AH233" s="24" t="n">
        <f aca="false">IF(R233="",AM233,R233)</f>
        <v>15</v>
      </c>
      <c r="AI233" s="24" t="n">
        <f aca="false">SUMIFS(Permissions!$G$2:$G$3000,Permissions!$B$2:$B$3000,$A233,Permissions!$I$2:$I$3000,"Complete",Permissions!$R$2:$R$3000,"Yes")</f>
        <v>0</v>
      </c>
      <c r="AJ233" s="24" t="n">
        <f aca="false">SUMIFS(Permissions!$G$2:$G$3000,Permissions!$B$2:$B$3000,$A233,Permissions!$I$2:$I$3000,"Under construction",Permissions!$R$2:$R$3000,"Yes")</f>
        <v>0</v>
      </c>
      <c r="AK233" s="24" t="n">
        <f aca="false">SUMIFS(Permissions!$G$2:$G$3000,Permissions!$B$2:$B$3000,$A233,Permissions!$I$2:$I$3000,"Permitted – not started",Permissions!$R$2:$R$3000,"Yes")</f>
        <v>15</v>
      </c>
      <c r="AL233" s="24" t="n">
        <f aca="false">SUMIFS(Permissions!$G$2:$G$3000,Permissions!$B$2:$B$3000,$A233,Permissions!$I$2:$I$3000,"Stalled",Permissions!$R$2:$R$3000,"Yes")</f>
        <v>0</v>
      </c>
      <c r="AM233" s="24" t="n">
        <f aca="false">AI233+AJ233+AK233+AL233</f>
        <v>15</v>
      </c>
      <c r="AN233" s="24" t="n">
        <f aca="false">SUMIFS(Permissions!$G$2:$G$3000,Permissions!$B$2:$B$3000,$A233,Permissions!$I$2:$I$3000,"Expired – not started",Permissions!$R$2:$R$3000,"Yes")</f>
        <v>0</v>
      </c>
      <c r="AO233" s="24" t="n">
        <f aca="false">SUMIFS(Permissions!$G$2:$G$3000,Permissions!$B$2:$B$3000,$A233,Permissions!$I$2:$I$3000,"In planning",Permissions!$R$2:$R$3000,"Yes")</f>
        <v>0</v>
      </c>
      <c r="AP233" s="24" t="n">
        <f aca="false">IF(R233="",0,MAX(R233-AM233,0))</f>
        <v>0</v>
      </c>
      <c r="AQ233" s="25" t="n">
        <f aca="false">AM233+AP233</f>
        <v>15</v>
      </c>
      <c r="AR233" s="24" t="n">
        <f aca="false">SUMIFS(Permissions!$L$2:$L$3000,Permissions!$B$2:$B$3000,$A233,Permissions!$R$2:$R$3000,"Yes",Permissions!$I$2:$I$3000,"&lt;&gt;Expired – not started",Permissions!$I$2:$I$3000,"&lt;&gt;In planning")</f>
        <v>0</v>
      </c>
      <c r="AS233" s="24" t="n">
        <f aca="false">AQ233-AR233</f>
        <v>15</v>
      </c>
      <c r="AT233" s="26" t="n">
        <f aca="false">SUMIFS(Permissions!$AJ$2:$AJ$3000,Permissions!$B$2:$B$3000,$A233,Permissions!$R$2:$R$3000,"Yes")</f>
        <v>0</v>
      </c>
      <c r="AU233" s="26" t="n">
        <f aca="false">SUMIFS(Permissions!$AK$2:$AK$3000,Permissions!$B$2:$B$3000,$A233,Permissions!$R$2:$R$3000,"Yes")</f>
        <v>0</v>
      </c>
      <c r="AV233" s="26" t="n">
        <f aca="false">SUMIFS(Permissions!$AL$2:$AL$3000,Permissions!$B$2:$B$3000,$A233,Permissions!$R$2:$R$3000,"Yes")</f>
        <v>8.8</v>
      </c>
      <c r="AW233" s="26" t="n">
        <f aca="false">SUMIFS(Permissions!$AM$2:$AM$3000,Permissions!$B$2:$B$3000,$A233,Permissions!$R$2:$R$3000,"Yes")</f>
        <v>6.2</v>
      </c>
      <c r="AX233" s="26" t="n">
        <f aca="false">SUMIFS(Permissions!$AN$2:$AN$3000,Permissions!$B$2:$B$3000,$A233,Permissions!$R$2:$R$3000,"Yes")</f>
        <v>0</v>
      </c>
      <c r="AY233" s="26" t="n">
        <f aca="false">SUMIFS(Permissions!$AO$2:$AO$3000,Permissions!$B$2:$B$3000,$A233,Permissions!$R$2:$R$3000,"Yes")</f>
        <v>0</v>
      </c>
      <c r="AZ233" s="24" t="n">
        <f aca="false">COUNTIFS(Permissions!$B$2:$B$3000,$A233,Permissions!$R$2:$R$3000,"Yes")</f>
        <v>1</v>
      </c>
      <c r="BA233" s="24" t="n">
        <f aca="false">SUMIFS(Permissions!$M$2:$M$3000,Permissions!$B$2:$B$3000,$A233,Permissions!$R$2:$R$3000,"Yes")</f>
        <v>0</v>
      </c>
      <c r="BB233" s="24" t="n">
        <f aca="false">SUMIFS(Permissions!$O$2:$O$3000,Permissions!$B$2:$B$3000,$A233,Permissions!$R$2:$R$3000,"Yes")</f>
        <v>0</v>
      </c>
      <c r="BC233" s="27" t="str">
        <f aca="false">IF(AND(AM233&gt;0,AR233&gt;=AM233,AP233=0),"Finished",IF(AR233&gt;0,"Partly built",IF(AM233&gt;0,"Consented – not built","No consent")))</f>
        <v>Consented – not built</v>
      </c>
      <c r="BD233" s="28" t="str">
        <f aca="false">IF(AND(R233&lt;&gt;"",AM233&gt;1.1*R233),"Consented above capacity",IF(AND(LEFT(B233,8)="Planning",AZ233=0),"Consent parcel with no permission",IF(COUNTIF($A$2:$A$3000,$A233)&gt;1,"Duplicate parcel_id","")))</f>
        <v/>
      </c>
    </row>
    <row r="234" customFormat="false" ht="15" hidden="false" customHeight="false" outlineLevel="0" collapsed="false">
      <c r="A234" s="15" t="s">
        <v>577</v>
      </c>
      <c r="B234" s="15" t="s">
        <v>12</v>
      </c>
      <c r="C234" s="15" t="s">
        <v>16</v>
      </c>
      <c r="D234" s="15" t="s">
        <v>53</v>
      </c>
      <c r="E234" s="15" t="s">
        <v>19</v>
      </c>
      <c r="F234" s="15" t="n">
        <v>1</v>
      </c>
      <c r="G234" s="15" t="s">
        <v>158</v>
      </c>
      <c r="H234" s="15"/>
      <c r="I234" s="15" t="s">
        <v>53</v>
      </c>
      <c r="J234" s="15" t="s">
        <v>159</v>
      </c>
      <c r="K234" s="15" t="s">
        <v>578</v>
      </c>
      <c r="L234" s="15"/>
      <c r="M234" s="15"/>
      <c r="N234" s="15"/>
      <c r="O234" s="15"/>
      <c r="P234" s="15" t="n">
        <v>0.022</v>
      </c>
      <c r="Q234" s="15" t="n">
        <v>0.022</v>
      </c>
      <c r="R234" s="15"/>
      <c r="S234" s="15" t="s">
        <v>459</v>
      </c>
      <c r="T234" s="15" t="n">
        <v>2</v>
      </c>
      <c r="U234" s="15"/>
      <c r="V234" s="15"/>
      <c r="W234" s="15"/>
      <c r="X234" s="15" t="s">
        <v>236</v>
      </c>
      <c r="Y234" s="15" t="n">
        <v>101</v>
      </c>
      <c r="Z234" s="15" t="s">
        <v>237</v>
      </c>
      <c r="AA234" s="15"/>
      <c r="AB234" s="15" t="n">
        <v>0</v>
      </c>
      <c r="AC234" s="15" t="n">
        <v>0</v>
      </c>
      <c r="AD234" s="15"/>
      <c r="AE234" s="15"/>
      <c r="AF234" s="15" t="s">
        <v>169</v>
      </c>
      <c r="AG234" s="15"/>
      <c r="AH234" s="24" t="n">
        <f aca="false">IF(R234="",AM234,R234)</f>
        <v>6</v>
      </c>
      <c r="AI234" s="24" t="n">
        <f aca="false">SUMIFS(Permissions!$G$2:$G$3000,Permissions!$B$2:$B$3000,$A234,Permissions!$I$2:$I$3000,"Complete",Permissions!$R$2:$R$3000,"Yes")</f>
        <v>0</v>
      </c>
      <c r="AJ234" s="24" t="n">
        <f aca="false">SUMIFS(Permissions!$G$2:$G$3000,Permissions!$B$2:$B$3000,$A234,Permissions!$I$2:$I$3000,"Under construction",Permissions!$R$2:$R$3000,"Yes")</f>
        <v>6</v>
      </c>
      <c r="AK234" s="24" t="n">
        <f aca="false">SUMIFS(Permissions!$G$2:$G$3000,Permissions!$B$2:$B$3000,$A234,Permissions!$I$2:$I$3000,"Permitted – not started",Permissions!$R$2:$R$3000,"Yes")</f>
        <v>0</v>
      </c>
      <c r="AL234" s="24" t="n">
        <f aca="false">SUMIFS(Permissions!$G$2:$G$3000,Permissions!$B$2:$B$3000,$A234,Permissions!$I$2:$I$3000,"Stalled",Permissions!$R$2:$R$3000,"Yes")</f>
        <v>0</v>
      </c>
      <c r="AM234" s="24" t="n">
        <f aca="false">AI234+AJ234+AK234+AL234</f>
        <v>6</v>
      </c>
      <c r="AN234" s="24" t="n">
        <f aca="false">SUMIFS(Permissions!$G$2:$G$3000,Permissions!$B$2:$B$3000,$A234,Permissions!$I$2:$I$3000,"Expired – not started",Permissions!$R$2:$R$3000,"Yes")</f>
        <v>0</v>
      </c>
      <c r="AO234" s="24" t="n">
        <f aca="false">SUMIFS(Permissions!$G$2:$G$3000,Permissions!$B$2:$B$3000,$A234,Permissions!$I$2:$I$3000,"In planning",Permissions!$R$2:$R$3000,"Yes")</f>
        <v>0</v>
      </c>
      <c r="AP234" s="24" t="n">
        <f aca="false">IF(R234="",0,MAX(R234-AM234,0))</f>
        <v>0</v>
      </c>
      <c r="AQ234" s="25" t="n">
        <f aca="false">AM234+AP234</f>
        <v>6</v>
      </c>
      <c r="AR234" s="24" t="n">
        <f aca="false">SUMIFS(Permissions!$L$2:$L$3000,Permissions!$B$2:$B$3000,$A234,Permissions!$R$2:$R$3000,"Yes",Permissions!$I$2:$I$3000,"&lt;&gt;Expired – not started",Permissions!$I$2:$I$3000,"&lt;&gt;In planning")</f>
        <v>0</v>
      </c>
      <c r="AS234" s="24" t="n">
        <f aca="false">AQ234-AR234</f>
        <v>6</v>
      </c>
      <c r="AT234" s="26" t="n">
        <f aca="false">SUMIFS(Permissions!$AJ$2:$AJ$3000,Permissions!$B$2:$B$3000,$A234,Permissions!$R$2:$R$3000,"Yes")</f>
        <v>0</v>
      </c>
      <c r="AU234" s="26" t="n">
        <f aca="false">SUMIFS(Permissions!$AK$2:$AK$3000,Permissions!$B$2:$B$3000,$A234,Permissions!$R$2:$R$3000,"Yes")</f>
        <v>6</v>
      </c>
      <c r="AV234" s="26" t="n">
        <f aca="false">SUMIFS(Permissions!$AL$2:$AL$3000,Permissions!$B$2:$B$3000,$A234,Permissions!$R$2:$R$3000,"Yes")</f>
        <v>0</v>
      </c>
      <c r="AW234" s="26" t="n">
        <f aca="false">SUMIFS(Permissions!$AM$2:$AM$3000,Permissions!$B$2:$B$3000,$A234,Permissions!$R$2:$R$3000,"Yes")</f>
        <v>0</v>
      </c>
      <c r="AX234" s="26" t="n">
        <f aca="false">SUMIFS(Permissions!$AN$2:$AN$3000,Permissions!$B$2:$B$3000,$A234,Permissions!$R$2:$R$3000,"Yes")</f>
        <v>0</v>
      </c>
      <c r="AY234" s="26" t="n">
        <f aca="false">SUMIFS(Permissions!$AO$2:$AO$3000,Permissions!$B$2:$B$3000,$A234,Permissions!$R$2:$R$3000,"Yes")</f>
        <v>0</v>
      </c>
      <c r="AZ234" s="24" t="n">
        <f aca="false">COUNTIFS(Permissions!$B$2:$B$3000,$A234,Permissions!$R$2:$R$3000,"Yes")</f>
        <v>1</v>
      </c>
      <c r="BA234" s="24" t="n">
        <f aca="false">SUMIFS(Permissions!$M$2:$M$3000,Permissions!$B$2:$B$3000,$A234,Permissions!$R$2:$R$3000,"Yes")</f>
        <v>0</v>
      </c>
      <c r="BB234" s="24" t="n">
        <f aca="false">SUMIFS(Permissions!$O$2:$O$3000,Permissions!$B$2:$B$3000,$A234,Permissions!$R$2:$R$3000,"Yes")</f>
        <v>0</v>
      </c>
      <c r="BC234" s="27" t="str">
        <f aca="false">IF(AND(AM234&gt;0,AR234&gt;=AM234,AP234=0),"Finished",IF(AR234&gt;0,"Partly built",IF(AM234&gt;0,"Consented – not built","No consent")))</f>
        <v>Consented – not built</v>
      </c>
      <c r="BD234" s="28" t="str">
        <f aca="false">IF(AND(R234&lt;&gt;"",AM234&gt;1.1*R234),"Consented above capacity",IF(AND(LEFT(B234,8)="Planning",AZ234=0),"Consent parcel with no permission",IF(COUNTIF($A$2:$A$3000,$A234)&gt;1,"Duplicate parcel_id","")))</f>
        <v/>
      </c>
    </row>
    <row r="235" customFormat="false" ht="15" hidden="false" customHeight="false" outlineLevel="0" collapsed="false">
      <c r="A235" s="15" t="s">
        <v>579</v>
      </c>
      <c r="B235" s="15" t="s">
        <v>12</v>
      </c>
      <c r="C235" s="15" t="s">
        <v>16</v>
      </c>
      <c r="D235" s="15" t="s">
        <v>53</v>
      </c>
      <c r="E235" s="15" t="s">
        <v>19</v>
      </c>
      <c r="F235" s="15" t="n">
        <v>1</v>
      </c>
      <c r="G235" s="15" t="s">
        <v>158</v>
      </c>
      <c r="H235" s="15"/>
      <c r="I235" s="15" t="s">
        <v>53</v>
      </c>
      <c r="J235" s="15" t="s">
        <v>182</v>
      </c>
      <c r="K235" s="15" t="s">
        <v>580</v>
      </c>
      <c r="L235" s="15"/>
      <c r="M235" s="15"/>
      <c r="N235" s="15"/>
      <c r="O235" s="15"/>
      <c r="P235" s="15" t="n">
        <v>0.036</v>
      </c>
      <c r="Q235" s="15" t="n">
        <v>0.036</v>
      </c>
      <c r="R235" s="15"/>
      <c r="S235" s="15" t="s">
        <v>459</v>
      </c>
      <c r="T235" s="15" t="n">
        <v>4</v>
      </c>
      <c r="U235" s="15"/>
      <c r="V235" s="15"/>
      <c r="W235" s="15"/>
      <c r="X235" s="15" t="s">
        <v>236</v>
      </c>
      <c r="Y235" s="15" t="n">
        <v>101</v>
      </c>
      <c r="Z235" s="15" t="s">
        <v>237</v>
      </c>
      <c r="AA235" s="15"/>
      <c r="AB235" s="15" t="n">
        <v>4</v>
      </c>
      <c r="AC235" s="15" t="n">
        <v>0</v>
      </c>
      <c r="AD235" s="15"/>
      <c r="AE235" s="15"/>
      <c r="AF235" s="15" t="s">
        <v>169</v>
      </c>
      <c r="AG235" s="15"/>
      <c r="AH235" s="24" t="n">
        <f aca="false">IF(R235="",AM235,R235)</f>
        <v>7</v>
      </c>
      <c r="AI235" s="24" t="n">
        <f aca="false">SUMIFS(Permissions!$G$2:$G$3000,Permissions!$B$2:$B$3000,$A235,Permissions!$I$2:$I$3000,"Complete",Permissions!$R$2:$R$3000,"Yes")</f>
        <v>0</v>
      </c>
      <c r="AJ235" s="24" t="n">
        <f aca="false">SUMIFS(Permissions!$G$2:$G$3000,Permissions!$B$2:$B$3000,$A235,Permissions!$I$2:$I$3000,"Under construction",Permissions!$R$2:$R$3000,"Yes")</f>
        <v>7</v>
      </c>
      <c r="AK235" s="24" t="n">
        <f aca="false">SUMIFS(Permissions!$G$2:$G$3000,Permissions!$B$2:$B$3000,$A235,Permissions!$I$2:$I$3000,"Permitted – not started",Permissions!$R$2:$R$3000,"Yes")</f>
        <v>0</v>
      </c>
      <c r="AL235" s="24" t="n">
        <f aca="false">SUMIFS(Permissions!$G$2:$G$3000,Permissions!$B$2:$B$3000,$A235,Permissions!$I$2:$I$3000,"Stalled",Permissions!$R$2:$R$3000,"Yes")</f>
        <v>0</v>
      </c>
      <c r="AM235" s="24" t="n">
        <f aca="false">AI235+AJ235+AK235+AL235</f>
        <v>7</v>
      </c>
      <c r="AN235" s="24" t="n">
        <f aca="false">SUMIFS(Permissions!$G$2:$G$3000,Permissions!$B$2:$B$3000,$A235,Permissions!$I$2:$I$3000,"Expired – not started",Permissions!$R$2:$R$3000,"Yes")</f>
        <v>0</v>
      </c>
      <c r="AO235" s="24" t="n">
        <f aca="false">SUMIFS(Permissions!$G$2:$G$3000,Permissions!$B$2:$B$3000,$A235,Permissions!$I$2:$I$3000,"In planning",Permissions!$R$2:$R$3000,"Yes")</f>
        <v>0</v>
      </c>
      <c r="AP235" s="24" t="n">
        <f aca="false">IF(R235="",0,MAX(R235-AM235,0))</f>
        <v>0</v>
      </c>
      <c r="AQ235" s="25" t="n">
        <f aca="false">AM235+AP235</f>
        <v>7</v>
      </c>
      <c r="AR235" s="24" t="n">
        <f aca="false">SUMIFS(Permissions!$L$2:$L$3000,Permissions!$B$2:$B$3000,$A235,Permissions!$R$2:$R$3000,"Yes",Permissions!$I$2:$I$3000,"&lt;&gt;Expired – not started",Permissions!$I$2:$I$3000,"&lt;&gt;In planning")</f>
        <v>0</v>
      </c>
      <c r="AS235" s="24" t="n">
        <f aca="false">AQ235-AR235</f>
        <v>7</v>
      </c>
      <c r="AT235" s="26" t="n">
        <f aca="false">SUMIFS(Permissions!$AJ$2:$AJ$3000,Permissions!$B$2:$B$3000,$A235,Permissions!$R$2:$R$3000,"Yes")</f>
        <v>0</v>
      </c>
      <c r="AU235" s="26" t="n">
        <f aca="false">SUMIFS(Permissions!$AK$2:$AK$3000,Permissions!$B$2:$B$3000,$A235,Permissions!$R$2:$R$3000,"Yes")</f>
        <v>6.6</v>
      </c>
      <c r="AV235" s="26" t="n">
        <f aca="false">SUMIFS(Permissions!$AL$2:$AL$3000,Permissions!$B$2:$B$3000,$A235,Permissions!$R$2:$R$3000,"Yes")</f>
        <v>0.4</v>
      </c>
      <c r="AW235" s="26" t="n">
        <f aca="false">SUMIFS(Permissions!$AM$2:$AM$3000,Permissions!$B$2:$B$3000,$A235,Permissions!$R$2:$R$3000,"Yes")</f>
        <v>0</v>
      </c>
      <c r="AX235" s="26" t="n">
        <f aca="false">SUMIFS(Permissions!$AN$2:$AN$3000,Permissions!$B$2:$B$3000,$A235,Permissions!$R$2:$R$3000,"Yes")</f>
        <v>0</v>
      </c>
      <c r="AY235" s="26" t="n">
        <f aca="false">SUMIFS(Permissions!$AO$2:$AO$3000,Permissions!$B$2:$B$3000,$A235,Permissions!$R$2:$R$3000,"Yes")</f>
        <v>0</v>
      </c>
      <c r="AZ235" s="24" t="n">
        <f aca="false">COUNTIFS(Permissions!$B$2:$B$3000,$A235,Permissions!$R$2:$R$3000,"Yes")</f>
        <v>1</v>
      </c>
      <c r="BA235" s="24" t="n">
        <f aca="false">SUMIFS(Permissions!$M$2:$M$3000,Permissions!$B$2:$B$3000,$A235,Permissions!$R$2:$R$3000,"Yes")</f>
        <v>0</v>
      </c>
      <c r="BB235" s="24" t="n">
        <f aca="false">SUMIFS(Permissions!$O$2:$O$3000,Permissions!$B$2:$B$3000,$A235,Permissions!$R$2:$R$3000,"Yes")</f>
        <v>0</v>
      </c>
      <c r="BC235" s="27" t="str">
        <f aca="false">IF(AND(AM235&gt;0,AR235&gt;=AM235,AP235=0),"Finished",IF(AR235&gt;0,"Partly built",IF(AM235&gt;0,"Consented – not built","No consent")))</f>
        <v>Consented – not built</v>
      </c>
      <c r="BD235" s="28" t="str">
        <f aca="false">IF(AND(R235&lt;&gt;"",AM235&gt;1.1*R235),"Consented above capacity",IF(AND(LEFT(B235,8)="Planning",AZ235=0),"Consent parcel with no permission",IF(COUNTIF($A$2:$A$3000,$A235)&gt;1,"Duplicate parcel_id","")))</f>
        <v/>
      </c>
    </row>
    <row r="236" customFormat="false" ht="15" hidden="false" customHeight="false" outlineLevel="0" collapsed="false">
      <c r="A236" s="15" t="s">
        <v>581</v>
      </c>
      <c r="B236" s="15" t="s">
        <v>12</v>
      </c>
      <c r="C236" s="15" t="s">
        <v>16</v>
      </c>
      <c r="D236" s="15" t="s">
        <v>53</v>
      </c>
      <c r="E236" s="15" t="s">
        <v>19</v>
      </c>
      <c r="F236" s="15" t="n">
        <v>1</v>
      </c>
      <c r="G236" s="15" t="s">
        <v>158</v>
      </c>
      <c r="H236" s="15"/>
      <c r="I236" s="15" t="s">
        <v>53</v>
      </c>
      <c r="J236" s="15" t="s">
        <v>159</v>
      </c>
      <c r="K236" s="15" t="s">
        <v>582</v>
      </c>
      <c r="L236" s="15"/>
      <c r="M236" s="15"/>
      <c r="N236" s="15"/>
      <c r="O236" s="15"/>
      <c r="P236" s="15" t="n">
        <v>0.032</v>
      </c>
      <c r="Q236" s="15" t="n">
        <v>0.032</v>
      </c>
      <c r="R236" s="15"/>
      <c r="S236" s="15" t="s">
        <v>459</v>
      </c>
      <c r="T236" s="15" t="n">
        <v>3</v>
      </c>
      <c r="U236" s="15"/>
      <c r="V236" s="15"/>
      <c r="W236" s="15"/>
      <c r="X236" s="15" t="s">
        <v>236</v>
      </c>
      <c r="Y236" s="15" t="n">
        <v>101</v>
      </c>
      <c r="Z236" s="15" t="s">
        <v>237</v>
      </c>
      <c r="AA236" s="15"/>
      <c r="AB236" s="15" t="n">
        <v>0</v>
      </c>
      <c r="AC236" s="15" t="n">
        <v>0</v>
      </c>
      <c r="AD236" s="15"/>
      <c r="AE236" s="15"/>
      <c r="AF236" s="15" t="s">
        <v>169</v>
      </c>
      <c r="AG236" s="15"/>
      <c r="AH236" s="24" t="n">
        <f aca="false">IF(R236="",AM236,R236)</f>
        <v>16</v>
      </c>
      <c r="AI236" s="24" t="n">
        <f aca="false">SUMIFS(Permissions!$G$2:$G$3000,Permissions!$B$2:$B$3000,$A236,Permissions!$I$2:$I$3000,"Complete",Permissions!$R$2:$R$3000,"Yes")</f>
        <v>0</v>
      </c>
      <c r="AJ236" s="24" t="n">
        <f aca="false">SUMIFS(Permissions!$G$2:$G$3000,Permissions!$B$2:$B$3000,$A236,Permissions!$I$2:$I$3000,"Under construction",Permissions!$R$2:$R$3000,"Yes")</f>
        <v>0</v>
      </c>
      <c r="AK236" s="24" t="n">
        <f aca="false">SUMIFS(Permissions!$G$2:$G$3000,Permissions!$B$2:$B$3000,$A236,Permissions!$I$2:$I$3000,"Permitted – not started",Permissions!$R$2:$R$3000,"Yes")</f>
        <v>16</v>
      </c>
      <c r="AL236" s="24" t="n">
        <f aca="false">SUMIFS(Permissions!$G$2:$G$3000,Permissions!$B$2:$B$3000,$A236,Permissions!$I$2:$I$3000,"Stalled",Permissions!$R$2:$R$3000,"Yes")</f>
        <v>0</v>
      </c>
      <c r="AM236" s="24" t="n">
        <f aca="false">AI236+AJ236+AK236+AL236</f>
        <v>16</v>
      </c>
      <c r="AN236" s="24" t="n">
        <f aca="false">SUMIFS(Permissions!$G$2:$G$3000,Permissions!$B$2:$B$3000,$A236,Permissions!$I$2:$I$3000,"Expired – not started",Permissions!$R$2:$R$3000,"Yes")</f>
        <v>0</v>
      </c>
      <c r="AO236" s="24" t="n">
        <f aca="false">SUMIFS(Permissions!$G$2:$G$3000,Permissions!$B$2:$B$3000,$A236,Permissions!$I$2:$I$3000,"In planning",Permissions!$R$2:$R$3000,"Yes")</f>
        <v>0</v>
      </c>
      <c r="AP236" s="24" t="n">
        <f aca="false">IF(R236="",0,MAX(R236-AM236,0))</f>
        <v>0</v>
      </c>
      <c r="AQ236" s="25" t="n">
        <f aca="false">AM236+AP236</f>
        <v>16</v>
      </c>
      <c r="AR236" s="24" t="n">
        <f aca="false">SUMIFS(Permissions!$L$2:$L$3000,Permissions!$B$2:$B$3000,$A236,Permissions!$R$2:$R$3000,"Yes",Permissions!$I$2:$I$3000,"&lt;&gt;Expired – not started",Permissions!$I$2:$I$3000,"&lt;&gt;In planning")</f>
        <v>0</v>
      </c>
      <c r="AS236" s="24" t="n">
        <f aca="false">AQ236-AR236</f>
        <v>16</v>
      </c>
      <c r="AT236" s="26" t="n">
        <f aca="false">SUMIFS(Permissions!$AJ$2:$AJ$3000,Permissions!$B$2:$B$3000,$A236,Permissions!$R$2:$R$3000,"Yes")</f>
        <v>0</v>
      </c>
      <c r="AU236" s="26" t="n">
        <f aca="false">SUMIFS(Permissions!$AK$2:$AK$3000,Permissions!$B$2:$B$3000,$A236,Permissions!$R$2:$R$3000,"Yes")</f>
        <v>0</v>
      </c>
      <c r="AV236" s="26" t="n">
        <f aca="false">SUMIFS(Permissions!$AL$2:$AL$3000,Permissions!$B$2:$B$3000,$A236,Permissions!$R$2:$R$3000,"Yes")</f>
        <v>3.1</v>
      </c>
      <c r="AW236" s="26" t="n">
        <f aca="false">SUMIFS(Permissions!$AM$2:$AM$3000,Permissions!$B$2:$B$3000,$A236,Permissions!$R$2:$R$3000,"Yes")</f>
        <v>12.9</v>
      </c>
      <c r="AX236" s="26" t="n">
        <f aca="false">SUMIFS(Permissions!$AN$2:$AN$3000,Permissions!$B$2:$B$3000,$A236,Permissions!$R$2:$R$3000,"Yes")</f>
        <v>0</v>
      </c>
      <c r="AY236" s="26" t="n">
        <f aca="false">SUMIFS(Permissions!$AO$2:$AO$3000,Permissions!$B$2:$B$3000,$A236,Permissions!$R$2:$R$3000,"Yes")</f>
        <v>0</v>
      </c>
      <c r="AZ236" s="24" t="n">
        <f aca="false">COUNTIFS(Permissions!$B$2:$B$3000,$A236,Permissions!$R$2:$R$3000,"Yes")</f>
        <v>1</v>
      </c>
      <c r="BA236" s="24" t="n">
        <f aca="false">SUMIFS(Permissions!$M$2:$M$3000,Permissions!$B$2:$B$3000,$A236,Permissions!$R$2:$R$3000,"Yes")</f>
        <v>0</v>
      </c>
      <c r="BB236" s="24" t="n">
        <f aca="false">SUMIFS(Permissions!$O$2:$O$3000,Permissions!$B$2:$B$3000,$A236,Permissions!$R$2:$R$3000,"Yes")</f>
        <v>0</v>
      </c>
      <c r="BC236" s="27" t="str">
        <f aca="false">IF(AND(AM236&gt;0,AR236&gt;=AM236,AP236=0),"Finished",IF(AR236&gt;0,"Partly built",IF(AM236&gt;0,"Consented – not built","No consent")))</f>
        <v>Consented – not built</v>
      </c>
      <c r="BD236" s="28" t="str">
        <f aca="false">IF(AND(R236&lt;&gt;"",AM236&gt;1.1*R236),"Consented above capacity",IF(AND(LEFT(B236,8)="Planning",AZ236=0),"Consent parcel with no permission",IF(COUNTIF($A$2:$A$3000,$A236)&gt;1,"Duplicate parcel_id","")))</f>
        <v/>
      </c>
    </row>
    <row r="237" customFormat="false" ht="15" hidden="false" customHeight="false" outlineLevel="0" collapsed="false">
      <c r="A237" s="15" t="s">
        <v>583</v>
      </c>
      <c r="B237" s="15" t="s">
        <v>12</v>
      </c>
      <c r="C237" s="15" t="s">
        <v>16</v>
      </c>
      <c r="D237" s="15" t="s">
        <v>53</v>
      </c>
      <c r="E237" s="15" t="s">
        <v>19</v>
      </c>
      <c r="F237" s="15" t="n">
        <v>1</v>
      </c>
      <c r="G237" s="15" t="s">
        <v>158</v>
      </c>
      <c r="H237" s="15"/>
      <c r="I237" s="15" t="s">
        <v>53</v>
      </c>
      <c r="J237" s="15" t="s">
        <v>159</v>
      </c>
      <c r="K237" s="15" t="s">
        <v>584</v>
      </c>
      <c r="L237" s="15"/>
      <c r="M237" s="15"/>
      <c r="N237" s="15"/>
      <c r="O237" s="15"/>
      <c r="P237" s="15" t="n">
        <v>0.126</v>
      </c>
      <c r="Q237" s="15" t="n">
        <v>0.126</v>
      </c>
      <c r="R237" s="15"/>
      <c r="S237" s="15" t="s">
        <v>459</v>
      </c>
      <c r="T237" s="15" t="n">
        <v>13</v>
      </c>
      <c r="U237" s="15"/>
      <c r="V237" s="15"/>
      <c r="W237" s="15"/>
      <c r="X237" s="15" t="s">
        <v>236</v>
      </c>
      <c r="Y237" s="15" t="n">
        <v>101</v>
      </c>
      <c r="Z237" s="15" t="s">
        <v>237</v>
      </c>
      <c r="AA237" s="15"/>
      <c r="AB237" s="15" t="n">
        <v>0</v>
      </c>
      <c r="AC237" s="15" t="n">
        <v>0</v>
      </c>
      <c r="AD237" s="15"/>
      <c r="AE237" s="15"/>
      <c r="AF237" s="15" t="s">
        <v>169</v>
      </c>
      <c r="AG237" s="15"/>
      <c r="AH237" s="24" t="n">
        <f aca="false">IF(R237="",AM237,R237)</f>
        <v>48</v>
      </c>
      <c r="AI237" s="24" t="n">
        <f aca="false">SUMIFS(Permissions!$G$2:$G$3000,Permissions!$B$2:$B$3000,$A237,Permissions!$I$2:$I$3000,"Complete",Permissions!$R$2:$R$3000,"Yes")</f>
        <v>0</v>
      </c>
      <c r="AJ237" s="24" t="n">
        <f aca="false">SUMIFS(Permissions!$G$2:$G$3000,Permissions!$B$2:$B$3000,$A237,Permissions!$I$2:$I$3000,"Under construction",Permissions!$R$2:$R$3000,"Yes")</f>
        <v>0</v>
      </c>
      <c r="AK237" s="24" t="n">
        <f aca="false">SUMIFS(Permissions!$G$2:$G$3000,Permissions!$B$2:$B$3000,$A237,Permissions!$I$2:$I$3000,"Permitted – not started",Permissions!$R$2:$R$3000,"Yes")</f>
        <v>48</v>
      </c>
      <c r="AL237" s="24" t="n">
        <f aca="false">SUMIFS(Permissions!$G$2:$G$3000,Permissions!$B$2:$B$3000,$A237,Permissions!$I$2:$I$3000,"Stalled",Permissions!$R$2:$R$3000,"Yes")</f>
        <v>0</v>
      </c>
      <c r="AM237" s="24" t="n">
        <f aca="false">AI237+AJ237+AK237+AL237</f>
        <v>48</v>
      </c>
      <c r="AN237" s="24" t="n">
        <f aca="false">SUMIFS(Permissions!$G$2:$G$3000,Permissions!$B$2:$B$3000,$A237,Permissions!$I$2:$I$3000,"Expired – not started",Permissions!$R$2:$R$3000,"Yes")</f>
        <v>0</v>
      </c>
      <c r="AO237" s="24" t="n">
        <f aca="false">SUMIFS(Permissions!$G$2:$G$3000,Permissions!$B$2:$B$3000,$A237,Permissions!$I$2:$I$3000,"In planning",Permissions!$R$2:$R$3000,"Yes")</f>
        <v>0</v>
      </c>
      <c r="AP237" s="24" t="n">
        <f aca="false">IF(R237="",0,MAX(R237-AM237,0))</f>
        <v>0</v>
      </c>
      <c r="AQ237" s="25" t="n">
        <f aca="false">AM237+AP237</f>
        <v>48</v>
      </c>
      <c r="AR237" s="24" t="n">
        <f aca="false">SUMIFS(Permissions!$L$2:$L$3000,Permissions!$B$2:$B$3000,$A237,Permissions!$R$2:$R$3000,"Yes",Permissions!$I$2:$I$3000,"&lt;&gt;Expired – not started",Permissions!$I$2:$I$3000,"&lt;&gt;In planning")</f>
        <v>0</v>
      </c>
      <c r="AS237" s="24" t="n">
        <f aca="false">AQ237-AR237</f>
        <v>48</v>
      </c>
      <c r="AT237" s="26" t="n">
        <f aca="false">SUMIFS(Permissions!$AJ$2:$AJ$3000,Permissions!$B$2:$B$3000,$A237,Permissions!$R$2:$R$3000,"Yes")</f>
        <v>0</v>
      </c>
      <c r="AU237" s="26" t="n">
        <f aca="false">SUMIFS(Permissions!$AK$2:$AK$3000,Permissions!$B$2:$B$3000,$A237,Permissions!$R$2:$R$3000,"Yes")</f>
        <v>0</v>
      </c>
      <c r="AV237" s="26" t="n">
        <f aca="false">SUMIFS(Permissions!$AL$2:$AL$3000,Permissions!$B$2:$B$3000,$A237,Permissions!$R$2:$R$3000,"Yes")</f>
        <v>20.5</v>
      </c>
      <c r="AW237" s="26" t="n">
        <f aca="false">SUMIFS(Permissions!$AM$2:$AM$3000,Permissions!$B$2:$B$3000,$A237,Permissions!$R$2:$R$3000,"Yes")</f>
        <v>27.5</v>
      </c>
      <c r="AX237" s="26" t="n">
        <f aca="false">SUMIFS(Permissions!$AN$2:$AN$3000,Permissions!$B$2:$B$3000,$A237,Permissions!$R$2:$R$3000,"Yes")</f>
        <v>0</v>
      </c>
      <c r="AY237" s="26" t="n">
        <f aca="false">SUMIFS(Permissions!$AO$2:$AO$3000,Permissions!$B$2:$B$3000,$A237,Permissions!$R$2:$R$3000,"Yes")</f>
        <v>0</v>
      </c>
      <c r="AZ237" s="24" t="n">
        <f aca="false">COUNTIFS(Permissions!$B$2:$B$3000,$A237,Permissions!$R$2:$R$3000,"Yes")</f>
        <v>1</v>
      </c>
      <c r="BA237" s="24" t="n">
        <f aca="false">SUMIFS(Permissions!$M$2:$M$3000,Permissions!$B$2:$B$3000,$A237,Permissions!$R$2:$R$3000,"Yes")</f>
        <v>0</v>
      </c>
      <c r="BB237" s="24" t="n">
        <f aca="false">SUMIFS(Permissions!$O$2:$O$3000,Permissions!$B$2:$B$3000,$A237,Permissions!$R$2:$R$3000,"Yes")</f>
        <v>0</v>
      </c>
      <c r="BC237" s="27" t="str">
        <f aca="false">IF(AND(AM237&gt;0,AR237&gt;=AM237,AP237=0),"Finished",IF(AR237&gt;0,"Partly built",IF(AM237&gt;0,"Consented – not built","No consent")))</f>
        <v>Consented – not built</v>
      </c>
      <c r="BD237" s="28" t="str">
        <f aca="false">IF(AND(R237&lt;&gt;"",AM237&gt;1.1*R237),"Consented above capacity",IF(AND(LEFT(B237,8)="Planning",AZ237=0),"Consent parcel with no permission",IF(COUNTIF($A$2:$A$3000,$A237)&gt;1,"Duplicate parcel_id","")))</f>
        <v/>
      </c>
    </row>
    <row r="238" customFormat="false" ht="15" hidden="false" customHeight="false" outlineLevel="0" collapsed="false">
      <c r="A238" s="15" t="s">
        <v>585</v>
      </c>
      <c r="B238" s="15" t="s">
        <v>12</v>
      </c>
      <c r="C238" s="15" t="s">
        <v>16</v>
      </c>
      <c r="D238" s="15" t="s">
        <v>53</v>
      </c>
      <c r="E238" s="15" t="s">
        <v>19</v>
      </c>
      <c r="F238" s="15" t="n">
        <v>1</v>
      </c>
      <c r="G238" s="15" t="s">
        <v>158</v>
      </c>
      <c r="H238" s="15"/>
      <c r="I238" s="15" t="s">
        <v>53</v>
      </c>
      <c r="J238" s="15" t="s">
        <v>159</v>
      </c>
      <c r="K238" s="15" t="s">
        <v>586</v>
      </c>
      <c r="L238" s="15"/>
      <c r="M238" s="15"/>
      <c r="N238" s="15"/>
      <c r="O238" s="15"/>
      <c r="P238" s="15" t="n">
        <v>0.024</v>
      </c>
      <c r="Q238" s="15" t="n">
        <v>0.024</v>
      </c>
      <c r="R238" s="15"/>
      <c r="S238" s="15" t="s">
        <v>459</v>
      </c>
      <c r="T238" s="15" t="n">
        <v>2</v>
      </c>
      <c r="U238" s="15"/>
      <c r="V238" s="15"/>
      <c r="W238" s="15"/>
      <c r="X238" s="15" t="s">
        <v>236</v>
      </c>
      <c r="Y238" s="15" t="n">
        <v>101</v>
      </c>
      <c r="Z238" s="15" t="s">
        <v>237</v>
      </c>
      <c r="AA238" s="15"/>
      <c r="AB238" s="15" t="n">
        <v>10</v>
      </c>
      <c r="AC238" s="15" t="n">
        <v>0</v>
      </c>
      <c r="AD238" s="15"/>
      <c r="AE238" s="15"/>
      <c r="AF238" s="15" t="s">
        <v>169</v>
      </c>
      <c r="AG238" s="15"/>
      <c r="AH238" s="24" t="n">
        <f aca="false">IF(R238="",AM238,R238)</f>
        <v>6</v>
      </c>
      <c r="AI238" s="24" t="n">
        <f aca="false">SUMIFS(Permissions!$G$2:$G$3000,Permissions!$B$2:$B$3000,$A238,Permissions!$I$2:$I$3000,"Complete",Permissions!$R$2:$R$3000,"Yes")</f>
        <v>0</v>
      </c>
      <c r="AJ238" s="24" t="n">
        <f aca="false">SUMIFS(Permissions!$G$2:$G$3000,Permissions!$B$2:$B$3000,$A238,Permissions!$I$2:$I$3000,"Under construction",Permissions!$R$2:$R$3000,"Yes")</f>
        <v>0</v>
      </c>
      <c r="AK238" s="24" t="n">
        <f aca="false">SUMIFS(Permissions!$G$2:$G$3000,Permissions!$B$2:$B$3000,$A238,Permissions!$I$2:$I$3000,"Permitted – not started",Permissions!$R$2:$R$3000,"Yes")</f>
        <v>6</v>
      </c>
      <c r="AL238" s="24" t="n">
        <f aca="false">SUMIFS(Permissions!$G$2:$G$3000,Permissions!$B$2:$B$3000,$A238,Permissions!$I$2:$I$3000,"Stalled",Permissions!$R$2:$R$3000,"Yes")</f>
        <v>0</v>
      </c>
      <c r="AM238" s="24" t="n">
        <f aca="false">AI238+AJ238+AK238+AL238</f>
        <v>6</v>
      </c>
      <c r="AN238" s="24" t="n">
        <f aca="false">SUMIFS(Permissions!$G$2:$G$3000,Permissions!$B$2:$B$3000,$A238,Permissions!$I$2:$I$3000,"Expired – not started",Permissions!$R$2:$R$3000,"Yes")</f>
        <v>0</v>
      </c>
      <c r="AO238" s="24" t="n">
        <f aca="false">SUMIFS(Permissions!$G$2:$G$3000,Permissions!$B$2:$B$3000,$A238,Permissions!$I$2:$I$3000,"In planning",Permissions!$R$2:$R$3000,"Yes")</f>
        <v>0</v>
      </c>
      <c r="AP238" s="24" t="n">
        <f aca="false">IF(R238="",0,MAX(R238-AM238,0))</f>
        <v>0</v>
      </c>
      <c r="AQ238" s="25" t="n">
        <f aca="false">AM238+AP238</f>
        <v>6</v>
      </c>
      <c r="AR238" s="24" t="n">
        <f aca="false">SUMIFS(Permissions!$L$2:$L$3000,Permissions!$B$2:$B$3000,$A238,Permissions!$R$2:$R$3000,"Yes",Permissions!$I$2:$I$3000,"&lt;&gt;Expired – not started",Permissions!$I$2:$I$3000,"&lt;&gt;In planning")</f>
        <v>0</v>
      </c>
      <c r="AS238" s="24" t="n">
        <f aca="false">AQ238-AR238</f>
        <v>6</v>
      </c>
      <c r="AT238" s="26" t="n">
        <f aca="false">SUMIFS(Permissions!$AJ$2:$AJ$3000,Permissions!$B$2:$B$3000,$A238,Permissions!$R$2:$R$3000,"Yes")</f>
        <v>0</v>
      </c>
      <c r="AU238" s="26" t="n">
        <f aca="false">SUMIFS(Permissions!$AK$2:$AK$3000,Permissions!$B$2:$B$3000,$A238,Permissions!$R$2:$R$3000,"Yes")</f>
        <v>0</v>
      </c>
      <c r="AV238" s="26" t="n">
        <f aca="false">SUMIFS(Permissions!$AL$2:$AL$3000,Permissions!$B$2:$B$3000,$A238,Permissions!$R$2:$R$3000,"Yes")</f>
        <v>4.5</v>
      </c>
      <c r="AW238" s="26" t="n">
        <f aca="false">SUMIFS(Permissions!$AM$2:$AM$3000,Permissions!$B$2:$B$3000,$A238,Permissions!$R$2:$R$3000,"Yes")</f>
        <v>1.5</v>
      </c>
      <c r="AX238" s="26" t="n">
        <f aca="false">SUMIFS(Permissions!$AN$2:$AN$3000,Permissions!$B$2:$B$3000,$A238,Permissions!$R$2:$R$3000,"Yes")</f>
        <v>0</v>
      </c>
      <c r="AY238" s="26" t="n">
        <f aca="false">SUMIFS(Permissions!$AO$2:$AO$3000,Permissions!$B$2:$B$3000,$A238,Permissions!$R$2:$R$3000,"Yes")</f>
        <v>0</v>
      </c>
      <c r="AZ238" s="24" t="n">
        <f aca="false">COUNTIFS(Permissions!$B$2:$B$3000,$A238,Permissions!$R$2:$R$3000,"Yes")</f>
        <v>1</v>
      </c>
      <c r="BA238" s="24" t="n">
        <f aca="false">SUMIFS(Permissions!$M$2:$M$3000,Permissions!$B$2:$B$3000,$A238,Permissions!$R$2:$R$3000,"Yes")</f>
        <v>0</v>
      </c>
      <c r="BB238" s="24" t="n">
        <f aca="false">SUMIFS(Permissions!$O$2:$O$3000,Permissions!$B$2:$B$3000,$A238,Permissions!$R$2:$R$3000,"Yes")</f>
        <v>0</v>
      </c>
      <c r="BC238" s="27" t="str">
        <f aca="false">IF(AND(AM238&gt;0,AR238&gt;=AM238,AP238=0),"Finished",IF(AR238&gt;0,"Partly built",IF(AM238&gt;0,"Consented – not built","No consent")))</f>
        <v>Consented – not built</v>
      </c>
      <c r="BD238" s="28" t="str">
        <f aca="false">IF(AND(R238&lt;&gt;"",AM238&gt;1.1*R238),"Consented above capacity",IF(AND(LEFT(B238,8)="Planning",AZ238=0),"Consent parcel with no permission",IF(COUNTIF($A$2:$A$3000,$A238)&gt;1,"Duplicate parcel_id","")))</f>
        <v/>
      </c>
    </row>
    <row r="239" customFormat="false" ht="15" hidden="false" customHeight="false" outlineLevel="0" collapsed="false">
      <c r="A239" s="15" t="s">
        <v>587</v>
      </c>
      <c r="B239" s="15" t="s">
        <v>12</v>
      </c>
      <c r="C239" s="15" t="s">
        <v>16</v>
      </c>
      <c r="D239" s="15" t="s">
        <v>53</v>
      </c>
      <c r="E239" s="15" t="s">
        <v>19</v>
      </c>
      <c r="F239" s="15" t="n">
        <v>1</v>
      </c>
      <c r="G239" s="15" t="s">
        <v>158</v>
      </c>
      <c r="H239" s="15"/>
      <c r="I239" s="15" t="s">
        <v>53</v>
      </c>
      <c r="J239" s="15" t="s">
        <v>159</v>
      </c>
      <c r="K239" s="15" t="s">
        <v>588</v>
      </c>
      <c r="L239" s="15"/>
      <c r="M239" s="15"/>
      <c r="N239" s="15"/>
      <c r="O239" s="15"/>
      <c r="P239" s="15" t="n">
        <v>0.058</v>
      </c>
      <c r="Q239" s="15" t="n">
        <v>0.058</v>
      </c>
      <c r="R239" s="15"/>
      <c r="S239" s="15" t="s">
        <v>459</v>
      </c>
      <c r="T239" s="15" t="n">
        <v>6</v>
      </c>
      <c r="U239" s="15"/>
      <c r="V239" s="15"/>
      <c r="W239" s="15"/>
      <c r="X239" s="15" t="s">
        <v>236</v>
      </c>
      <c r="Y239" s="15" t="n">
        <v>101</v>
      </c>
      <c r="Z239" s="15" t="s">
        <v>237</v>
      </c>
      <c r="AA239" s="15"/>
      <c r="AB239" s="15" t="n">
        <v>0</v>
      </c>
      <c r="AC239" s="15" t="n">
        <v>0</v>
      </c>
      <c r="AD239" s="15"/>
      <c r="AE239" s="15"/>
      <c r="AF239" s="15" t="s">
        <v>169</v>
      </c>
      <c r="AG239" s="15"/>
      <c r="AH239" s="24" t="n">
        <f aca="false">IF(R239="",AM239,R239)</f>
        <v>22</v>
      </c>
      <c r="AI239" s="24" t="n">
        <f aca="false">SUMIFS(Permissions!$G$2:$G$3000,Permissions!$B$2:$B$3000,$A239,Permissions!$I$2:$I$3000,"Complete",Permissions!$R$2:$R$3000,"Yes")</f>
        <v>0</v>
      </c>
      <c r="AJ239" s="24" t="n">
        <f aca="false">SUMIFS(Permissions!$G$2:$G$3000,Permissions!$B$2:$B$3000,$A239,Permissions!$I$2:$I$3000,"Under construction",Permissions!$R$2:$R$3000,"Yes")</f>
        <v>0</v>
      </c>
      <c r="AK239" s="24" t="n">
        <f aca="false">SUMIFS(Permissions!$G$2:$G$3000,Permissions!$B$2:$B$3000,$A239,Permissions!$I$2:$I$3000,"Permitted – not started",Permissions!$R$2:$R$3000,"Yes")</f>
        <v>22</v>
      </c>
      <c r="AL239" s="24" t="n">
        <f aca="false">SUMIFS(Permissions!$G$2:$G$3000,Permissions!$B$2:$B$3000,$A239,Permissions!$I$2:$I$3000,"Stalled",Permissions!$R$2:$R$3000,"Yes")</f>
        <v>0</v>
      </c>
      <c r="AM239" s="24" t="n">
        <f aca="false">AI239+AJ239+AK239+AL239</f>
        <v>22</v>
      </c>
      <c r="AN239" s="24" t="n">
        <f aca="false">SUMIFS(Permissions!$G$2:$G$3000,Permissions!$B$2:$B$3000,$A239,Permissions!$I$2:$I$3000,"Expired – not started",Permissions!$R$2:$R$3000,"Yes")</f>
        <v>0</v>
      </c>
      <c r="AO239" s="24" t="n">
        <f aca="false">SUMIFS(Permissions!$G$2:$G$3000,Permissions!$B$2:$B$3000,$A239,Permissions!$I$2:$I$3000,"In planning",Permissions!$R$2:$R$3000,"Yes")</f>
        <v>0</v>
      </c>
      <c r="AP239" s="24" t="n">
        <f aca="false">IF(R239="",0,MAX(R239-AM239,0))</f>
        <v>0</v>
      </c>
      <c r="AQ239" s="25" t="n">
        <f aca="false">AM239+AP239</f>
        <v>22</v>
      </c>
      <c r="AR239" s="24" t="n">
        <f aca="false">SUMIFS(Permissions!$L$2:$L$3000,Permissions!$B$2:$B$3000,$A239,Permissions!$R$2:$R$3000,"Yes",Permissions!$I$2:$I$3000,"&lt;&gt;Expired – not started",Permissions!$I$2:$I$3000,"&lt;&gt;In planning")</f>
        <v>0</v>
      </c>
      <c r="AS239" s="24" t="n">
        <f aca="false">AQ239-AR239</f>
        <v>22</v>
      </c>
      <c r="AT239" s="26" t="n">
        <f aca="false">SUMIFS(Permissions!$AJ$2:$AJ$3000,Permissions!$B$2:$B$3000,$A239,Permissions!$R$2:$R$3000,"Yes")</f>
        <v>0</v>
      </c>
      <c r="AU239" s="26" t="n">
        <f aca="false">SUMIFS(Permissions!$AK$2:$AK$3000,Permissions!$B$2:$B$3000,$A239,Permissions!$R$2:$R$3000,"Yes")</f>
        <v>0</v>
      </c>
      <c r="AV239" s="26" t="n">
        <f aca="false">SUMIFS(Permissions!$AL$2:$AL$3000,Permissions!$B$2:$B$3000,$A239,Permissions!$R$2:$R$3000,"Yes")</f>
        <v>2.4</v>
      </c>
      <c r="AW239" s="26" t="n">
        <f aca="false">SUMIFS(Permissions!$AM$2:$AM$3000,Permissions!$B$2:$B$3000,$A239,Permissions!$R$2:$R$3000,"Yes")</f>
        <v>13.5</v>
      </c>
      <c r="AX239" s="26" t="n">
        <f aca="false">SUMIFS(Permissions!$AN$2:$AN$3000,Permissions!$B$2:$B$3000,$A239,Permissions!$R$2:$R$3000,"Yes")</f>
        <v>6.2</v>
      </c>
      <c r="AY239" s="26" t="n">
        <f aca="false">SUMIFS(Permissions!$AO$2:$AO$3000,Permissions!$B$2:$B$3000,$A239,Permissions!$R$2:$R$3000,"Yes")</f>
        <v>-0.1</v>
      </c>
      <c r="AZ239" s="24" t="n">
        <f aca="false">COUNTIFS(Permissions!$B$2:$B$3000,$A239,Permissions!$R$2:$R$3000,"Yes")</f>
        <v>1</v>
      </c>
      <c r="BA239" s="24" t="n">
        <f aca="false">SUMIFS(Permissions!$M$2:$M$3000,Permissions!$B$2:$B$3000,$A239,Permissions!$R$2:$R$3000,"Yes")</f>
        <v>0</v>
      </c>
      <c r="BB239" s="24" t="n">
        <f aca="false">SUMIFS(Permissions!$O$2:$O$3000,Permissions!$B$2:$B$3000,$A239,Permissions!$R$2:$R$3000,"Yes")</f>
        <v>0</v>
      </c>
      <c r="BC239" s="27" t="str">
        <f aca="false">IF(AND(AM239&gt;0,AR239&gt;=AM239,AP239=0),"Finished",IF(AR239&gt;0,"Partly built",IF(AM239&gt;0,"Consented – not built","No consent")))</f>
        <v>Consented – not built</v>
      </c>
      <c r="BD239" s="28" t="str">
        <f aca="false">IF(AND(R239&lt;&gt;"",AM239&gt;1.1*R239),"Consented above capacity",IF(AND(LEFT(B239,8)="Planning",AZ239=0),"Consent parcel with no permission",IF(COUNTIF($A$2:$A$3000,$A239)&gt;1,"Duplicate parcel_id","")))</f>
        <v/>
      </c>
    </row>
    <row r="240" customFormat="false" ht="15" hidden="false" customHeight="false" outlineLevel="0" collapsed="false">
      <c r="A240" s="15" t="s">
        <v>589</v>
      </c>
      <c r="B240" s="15" t="s">
        <v>12</v>
      </c>
      <c r="C240" s="15" t="s">
        <v>16</v>
      </c>
      <c r="D240" s="15" t="s">
        <v>53</v>
      </c>
      <c r="E240" s="15" t="s">
        <v>19</v>
      </c>
      <c r="F240" s="15" t="n">
        <v>1</v>
      </c>
      <c r="G240" s="15" t="s">
        <v>158</v>
      </c>
      <c r="H240" s="15"/>
      <c r="I240" s="15" t="s">
        <v>53</v>
      </c>
      <c r="J240" s="15" t="s">
        <v>159</v>
      </c>
      <c r="K240" s="15" t="s">
        <v>590</v>
      </c>
      <c r="L240" s="15"/>
      <c r="M240" s="15"/>
      <c r="N240" s="15"/>
      <c r="O240" s="15"/>
      <c r="P240" s="15" t="n">
        <v>0.206</v>
      </c>
      <c r="Q240" s="15" t="n">
        <v>0.206</v>
      </c>
      <c r="R240" s="15"/>
      <c r="S240" s="15" t="s">
        <v>459</v>
      </c>
      <c r="T240" s="15" t="n">
        <v>21</v>
      </c>
      <c r="U240" s="15"/>
      <c r="V240" s="15"/>
      <c r="W240" s="15"/>
      <c r="X240" s="15" t="s">
        <v>236</v>
      </c>
      <c r="Y240" s="15" t="n">
        <v>101</v>
      </c>
      <c r="Z240" s="15" t="s">
        <v>237</v>
      </c>
      <c r="AA240" s="15"/>
      <c r="AB240" s="15" t="n">
        <v>4</v>
      </c>
      <c r="AC240" s="15" t="n">
        <v>0</v>
      </c>
      <c r="AD240" s="15"/>
      <c r="AE240" s="15"/>
      <c r="AF240" s="15" t="s">
        <v>169</v>
      </c>
      <c r="AG240" s="15"/>
      <c r="AH240" s="24" t="n">
        <f aca="false">IF(R240="",AM240,R240)</f>
        <v>76</v>
      </c>
      <c r="AI240" s="24" t="n">
        <f aca="false">SUMIFS(Permissions!$G$2:$G$3000,Permissions!$B$2:$B$3000,$A240,Permissions!$I$2:$I$3000,"Complete",Permissions!$R$2:$R$3000,"Yes")</f>
        <v>0</v>
      </c>
      <c r="AJ240" s="24" t="n">
        <f aca="false">SUMIFS(Permissions!$G$2:$G$3000,Permissions!$B$2:$B$3000,$A240,Permissions!$I$2:$I$3000,"Under construction",Permissions!$R$2:$R$3000,"Yes")</f>
        <v>0</v>
      </c>
      <c r="AK240" s="24" t="n">
        <f aca="false">SUMIFS(Permissions!$G$2:$G$3000,Permissions!$B$2:$B$3000,$A240,Permissions!$I$2:$I$3000,"Permitted – not started",Permissions!$R$2:$R$3000,"Yes")</f>
        <v>76</v>
      </c>
      <c r="AL240" s="24" t="n">
        <f aca="false">SUMIFS(Permissions!$G$2:$G$3000,Permissions!$B$2:$B$3000,$A240,Permissions!$I$2:$I$3000,"Stalled",Permissions!$R$2:$R$3000,"Yes")</f>
        <v>0</v>
      </c>
      <c r="AM240" s="24" t="n">
        <f aca="false">AI240+AJ240+AK240+AL240</f>
        <v>76</v>
      </c>
      <c r="AN240" s="24" t="n">
        <f aca="false">SUMIFS(Permissions!$G$2:$G$3000,Permissions!$B$2:$B$3000,$A240,Permissions!$I$2:$I$3000,"Expired – not started",Permissions!$R$2:$R$3000,"Yes")</f>
        <v>24</v>
      </c>
      <c r="AO240" s="24" t="n">
        <f aca="false">SUMIFS(Permissions!$G$2:$G$3000,Permissions!$B$2:$B$3000,$A240,Permissions!$I$2:$I$3000,"In planning",Permissions!$R$2:$R$3000,"Yes")</f>
        <v>0</v>
      </c>
      <c r="AP240" s="24" t="n">
        <f aca="false">IF(R240="",0,MAX(R240-AM240,0))</f>
        <v>0</v>
      </c>
      <c r="AQ240" s="25" t="n">
        <f aca="false">AM240+AP240</f>
        <v>76</v>
      </c>
      <c r="AR240" s="24" t="n">
        <f aca="false">SUMIFS(Permissions!$L$2:$L$3000,Permissions!$B$2:$B$3000,$A240,Permissions!$R$2:$R$3000,"Yes",Permissions!$I$2:$I$3000,"&lt;&gt;Expired – not started",Permissions!$I$2:$I$3000,"&lt;&gt;In planning")</f>
        <v>0</v>
      </c>
      <c r="AS240" s="24" t="n">
        <f aca="false">AQ240-AR240</f>
        <v>76</v>
      </c>
      <c r="AT240" s="26" t="n">
        <f aca="false">SUMIFS(Permissions!$AJ$2:$AJ$3000,Permissions!$B$2:$B$3000,$A240,Permissions!$R$2:$R$3000,"Yes")</f>
        <v>0</v>
      </c>
      <c r="AU240" s="26" t="n">
        <f aca="false">SUMIFS(Permissions!$AK$2:$AK$3000,Permissions!$B$2:$B$3000,$A240,Permissions!$R$2:$R$3000,"Yes")</f>
        <v>0</v>
      </c>
      <c r="AV240" s="26" t="n">
        <f aca="false">SUMIFS(Permissions!$AL$2:$AL$3000,Permissions!$B$2:$B$3000,$A240,Permissions!$R$2:$R$3000,"Yes")</f>
        <v>26.3</v>
      </c>
      <c r="AW240" s="26" t="n">
        <f aca="false">SUMIFS(Permissions!$AM$2:$AM$3000,Permissions!$B$2:$B$3000,$A240,Permissions!$R$2:$R$3000,"Yes")</f>
        <v>49.7</v>
      </c>
      <c r="AX240" s="26" t="n">
        <f aca="false">SUMIFS(Permissions!$AN$2:$AN$3000,Permissions!$B$2:$B$3000,$A240,Permissions!$R$2:$R$3000,"Yes")</f>
        <v>0</v>
      </c>
      <c r="AY240" s="26" t="n">
        <f aca="false">SUMIFS(Permissions!$AO$2:$AO$3000,Permissions!$B$2:$B$3000,$A240,Permissions!$R$2:$R$3000,"Yes")</f>
        <v>0</v>
      </c>
      <c r="AZ240" s="24" t="n">
        <f aca="false">COUNTIFS(Permissions!$B$2:$B$3000,$A240,Permissions!$R$2:$R$3000,"Yes")</f>
        <v>2</v>
      </c>
      <c r="BA240" s="24" t="n">
        <f aca="false">SUMIFS(Permissions!$M$2:$M$3000,Permissions!$B$2:$B$3000,$A240,Permissions!$R$2:$R$3000,"Yes")</f>
        <v>0</v>
      </c>
      <c r="BB240" s="24" t="n">
        <f aca="false">SUMIFS(Permissions!$O$2:$O$3000,Permissions!$B$2:$B$3000,$A240,Permissions!$R$2:$R$3000,"Yes")</f>
        <v>0</v>
      </c>
      <c r="BC240" s="27" t="str">
        <f aca="false">IF(AND(AM240&gt;0,AR240&gt;=AM240,AP240=0),"Finished",IF(AR240&gt;0,"Partly built",IF(AM240&gt;0,"Consented – not built","No consent")))</f>
        <v>Consented – not built</v>
      </c>
      <c r="BD240" s="28" t="str">
        <f aca="false">IF(AND(R240&lt;&gt;"",AM240&gt;1.1*R240),"Consented above capacity",IF(AND(LEFT(B240,8)="Planning",AZ240=0),"Consent parcel with no permission",IF(COUNTIF($A$2:$A$3000,$A240)&gt;1,"Duplicate parcel_id","")))</f>
        <v/>
      </c>
    </row>
    <row r="241" customFormat="false" ht="15" hidden="false" customHeight="false" outlineLevel="0" collapsed="false">
      <c r="A241" s="15" t="s">
        <v>591</v>
      </c>
      <c r="B241" s="15" t="s">
        <v>12</v>
      </c>
      <c r="C241" s="15" t="s">
        <v>16</v>
      </c>
      <c r="D241" s="15" t="s">
        <v>53</v>
      </c>
      <c r="E241" s="15" t="s">
        <v>19</v>
      </c>
      <c r="F241" s="15" t="n">
        <v>0.91</v>
      </c>
      <c r="G241" s="15" t="s">
        <v>158</v>
      </c>
      <c r="H241" s="15"/>
      <c r="I241" s="15" t="s">
        <v>53</v>
      </c>
      <c r="J241" s="15" t="s">
        <v>182</v>
      </c>
      <c r="K241" s="15" t="s">
        <v>592</v>
      </c>
      <c r="L241" s="15"/>
      <c r="M241" s="15"/>
      <c r="N241" s="15"/>
      <c r="O241" s="15"/>
      <c r="P241" s="15" t="n">
        <v>0.196</v>
      </c>
      <c r="Q241" s="15" t="n">
        <v>0.196</v>
      </c>
      <c r="R241" s="15" t="n">
        <v>13</v>
      </c>
      <c r="S241" s="15" t="s">
        <v>485</v>
      </c>
      <c r="T241" s="15" t="n">
        <v>20</v>
      </c>
      <c r="U241" s="15"/>
      <c r="V241" s="15"/>
      <c r="W241" s="15"/>
      <c r="X241" s="15" t="s">
        <v>236</v>
      </c>
      <c r="Y241" s="15" t="n">
        <v>101</v>
      </c>
      <c r="Z241" s="15" t="s">
        <v>237</v>
      </c>
      <c r="AA241" s="15"/>
      <c r="AB241" s="15" t="n">
        <v>2</v>
      </c>
      <c r="AC241" s="15" t="n">
        <v>0</v>
      </c>
      <c r="AD241" s="15"/>
      <c r="AE241" s="15" t="s">
        <v>486</v>
      </c>
      <c r="AF241" s="15" t="s">
        <v>169</v>
      </c>
      <c r="AG241" s="15"/>
      <c r="AH241" s="24" t="n">
        <f aca="false">IF(R241="",AM241,R241)</f>
        <v>13</v>
      </c>
      <c r="AI241" s="24" t="n">
        <f aca="false">SUMIFS(Permissions!$G$2:$G$3000,Permissions!$B$2:$B$3000,$A241,Permissions!$I$2:$I$3000,"Complete",Permissions!$R$2:$R$3000,"Yes")</f>
        <v>0</v>
      </c>
      <c r="AJ241" s="24" t="n">
        <f aca="false">SUMIFS(Permissions!$G$2:$G$3000,Permissions!$B$2:$B$3000,$A241,Permissions!$I$2:$I$3000,"Under construction",Permissions!$R$2:$R$3000,"Yes")</f>
        <v>0</v>
      </c>
      <c r="AK241" s="24" t="n">
        <f aca="false">SUMIFS(Permissions!$G$2:$G$3000,Permissions!$B$2:$B$3000,$A241,Permissions!$I$2:$I$3000,"Permitted – not started",Permissions!$R$2:$R$3000,"Yes")</f>
        <v>0</v>
      </c>
      <c r="AL241" s="24" t="n">
        <f aca="false">SUMIFS(Permissions!$G$2:$G$3000,Permissions!$B$2:$B$3000,$A241,Permissions!$I$2:$I$3000,"Stalled",Permissions!$R$2:$R$3000,"Yes")</f>
        <v>0</v>
      </c>
      <c r="AM241" s="24" t="n">
        <f aca="false">AI241+AJ241+AK241+AL241</f>
        <v>0</v>
      </c>
      <c r="AN241" s="24" t="n">
        <f aca="false">SUMIFS(Permissions!$G$2:$G$3000,Permissions!$B$2:$B$3000,$A241,Permissions!$I$2:$I$3000,"Expired – not started",Permissions!$R$2:$R$3000,"Yes")</f>
        <v>0</v>
      </c>
      <c r="AO241" s="24" t="n">
        <f aca="false">SUMIFS(Permissions!$G$2:$G$3000,Permissions!$B$2:$B$3000,$A241,Permissions!$I$2:$I$3000,"In planning",Permissions!$R$2:$R$3000,"Yes")</f>
        <v>13</v>
      </c>
      <c r="AP241" s="24" t="n">
        <f aca="false">IF(R241="",0,MAX(R241-AM241,0))</f>
        <v>13</v>
      </c>
      <c r="AQ241" s="25" t="n">
        <f aca="false">AM241+AP241</f>
        <v>13</v>
      </c>
      <c r="AR241" s="24" t="n">
        <f aca="false">SUMIFS(Permissions!$L$2:$L$3000,Permissions!$B$2:$B$3000,$A241,Permissions!$R$2:$R$3000,"Yes",Permissions!$I$2:$I$3000,"&lt;&gt;Expired – not started",Permissions!$I$2:$I$3000,"&lt;&gt;In planning")</f>
        <v>0</v>
      </c>
      <c r="AS241" s="24" t="n">
        <f aca="false">AQ241-AR241</f>
        <v>13</v>
      </c>
      <c r="AT241" s="26" t="n">
        <f aca="false">SUMIFS(Permissions!$AJ$2:$AJ$3000,Permissions!$B$2:$B$3000,$A241,Permissions!$R$2:$R$3000,"Yes")</f>
        <v>0</v>
      </c>
      <c r="AU241" s="26" t="n">
        <f aca="false">SUMIFS(Permissions!$AK$2:$AK$3000,Permissions!$B$2:$B$3000,$A241,Permissions!$R$2:$R$3000,"Yes")</f>
        <v>0</v>
      </c>
      <c r="AV241" s="26" t="n">
        <f aca="false">SUMIFS(Permissions!$AL$2:$AL$3000,Permissions!$B$2:$B$3000,$A241,Permissions!$R$2:$R$3000,"Yes")</f>
        <v>0</v>
      </c>
      <c r="AW241" s="26" t="n">
        <f aca="false">SUMIFS(Permissions!$AM$2:$AM$3000,Permissions!$B$2:$B$3000,$A241,Permissions!$R$2:$R$3000,"Yes")</f>
        <v>0</v>
      </c>
      <c r="AX241" s="26" t="n">
        <f aca="false">SUMIFS(Permissions!$AN$2:$AN$3000,Permissions!$B$2:$B$3000,$A241,Permissions!$R$2:$R$3000,"Yes")</f>
        <v>0</v>
      </c>
      <c r="AY241" s="26" t="n">
        <f aca="false">SUMIFS(Permissions!$AO$2:$AO$3000,Permissions!$B$2:$B$3000,$A241,Permissions!$R$2:$R$3000,"Yes")</f>
        <v>0</v>
      </c>
      <c r="AZ241" s="24" t="n">
        <f aca="false">COUNTIFS(Permissions!$B$2:$B$3000,$A241,Permissions!$R$2:$R$3000,"Yes")</f>
        <v>1</v>
      </c>
      <c r="BA241" s="24" t="n">
        <f aca="false">SUMIFS(Permissions!$M$2:$M$3000,Permissions!$B$2:$B$3000,$A241,Permissions!$R$2:$R$3000,"Yes")</f>
        <v>0</v>
      </c>
      <c r="BB241" s="24" t="n">
        <f aca="false">SUMIFS(Permissions!$O$2:$O$3000,Permissions!$B$2:$B$3000,$A241,Permissions!$R$2:$R$3000,"Yes")</f>
        <v>0</v>
      </c>
      <c r="BC241" s="27" t="str">
        <f aca="false">IF(AND(AM241&gt;0,AR241&gt;=AM241,AP241=0),"Finished",IF(AR241&gt;0,"Partly built",IF(AM241&gt;0,"Consented – not built","No consent")))</f>
        <v>No consent</v>
      </c>
      <c r="BD241" s="28" t="str">
        <f aca="false">IF(AND(R241&lt;&gt;"",AM241&gt;1.1*R241),"Consented above capacity",IF(AND(LEFT(B241,8)="Planning",AZ241=0),"Consent parcel with no permission",IF(COUNTIF($A$2:$A$3000,$A241)&gt;1,"Duplicate parcel_id","")))</f>
        <v/>
      </c>
    </row>
    <row r="242" customFormat="false" ht="15" hidden="false" customHeight="false" outlineLevel="0" collapsed="false">
      <c r="A242" s="15" t="s">
        <v>593</v>
      </c>
      <c r="B242" s="15" t="s">
        <v>12</v>
      </c>
      <c r="C242" s="15" t="s">
        <v>16</v>
      </c>
      <c r="D242" s="15" t="s">
        <v>53</v>
      </c>
      <c r="E242" s="15" t="s">
        <v>19</v>
      </c>
      <c r="F242" s="15" t="n">
        <v>1</v>
      </c>
      <c r="G242" s="15" t="s">
        <v>158</v>
      </c>
      <c r="H242" s="15"/>
      <c r="I242" s="15" t="s">
        <v>53</v>
      </c>
      <c r="J242" s="15" t="s">
        <v>159</v>
      </c>
      <c r="K242" s="15" t="s">
        <v>594</v>
      </c>
      <c r="L242" s="15"/>
      <c r="M242" s="15"/>
      <c r="N242" s="15"/>
      <c r="O242" s="15"/>
      <c r="P242" s="15" t="n">
        <v>0.196</v>
      </c>
      <c r="Q242" s="15" t="n">
        <v>0.196</v>
      </c>
      <c r="R242" s="15"/>
      <c r="S242" s="15" t="s">
        <v>459</v>
      </c>
      <c r="T242" s="15" t="n">
        <v>20</v>
      </c>
      <c r="U242" s="15"/>
      <c r="V242" s="15"/>
      <c r="W242" s="15"/>
      <c r="X242" s="15" t="s">
        <v>236</v>
      </c>
      <c r="Y242" s="15" t="n">
        <v>101</v>
      </c>
      <c r="Z242" s="15" t="s">
        <v>237</v>
      </c>
      <c r="AA242" s="15"/>
      <c r="AB242" s="15" t="n">
        <v>4</v>
      </c>
      <c r="AC242" s="15" t="n">
        <v>0</v>
      </c>
      <c r="AD242" s="15"/>
      <c r="AE242" s="15" t="s">
        <v>492</v>
      </c>
      <c r="AF242" s="15" t="s">
        <v>169</v>
      </c>
      <c r="AG242" s="15"/>
      <c r="AH242" s="24" t="n">
        <f aca="false">IF(R242="",AM242,R242)</f>
        <v>8</v>
      </c>
      <c r="AI242" s="24" t="n">
        <f aca="false">SUMIFS(Permissions!$G$2:$G$3000,Permissions!$B$2:$B$3000,$A242,Permissions!$I$2:$I$3000,"Complete",Permissions!$R$2:$R$3000,"Yes")</f>
        <v>0</v>
      </c>
      <c r="AJ242" s="24" t="n">
        <f aca="false">SUMIFS(Permissions!$G$2:$G$3000,Permissions!$B$2:$B$3000,$A242,Permissions!$I$2:$I$3000,"Under construction",Permissions!$R$2:$R$3000,"Yes")</f>
        <v>0</v>
      </c>
      <c r="AK242" s="24" t="n">
        <f aca="false">SUMIFS(Permissions!$G$2:$G$3000,Permissions!$B$2:$B$3000,$A242,Permissions!$I$2:$I$3000,"Permitted – not started",Permissions!$R$2:$R$3000,"Yes")</f>
        <v>8</v>
      </c>
      <c r="AL242" s="24" t="n">
        <f aca="false">SUMIFS(Permissions!$G$2:$G$3000,Permissions!$B$2:$B$3000,$A242,Permissions!$I$2:$I$3000,"Stalled",Permissions!$R$2:$R$3000,"Yes")</f>
        <v>0</v>
      </c>
      <c r="AM242" s="24" t="n">
        <f aca="false">AI242+AJ242+AK242+AL242</f>
        <v>8</v>
      </c>
      <c r="AN242" s="24" t="n">
        <f aca="false">SUMIFS(Permissions!$G$2:$G$3000,Permissions!$B$2:$B$3000,$A242,Permissions!$I$2:$I$3000,"Expired – not started",Permissions!$R$2:$R$3000,"Yes")</f>
        <v>0</v>
      </c>
      <c r="AO242" s="24" t="n">
        <f aca="false">SUMIFS(Permissions!$G$2:$G$3000,Permissions!$B$2:$B$3000,$A242,Permissions!$I$2:$I$3000,"In planning",Permissions!$R$2:$R$3000,"Yes")</f>
        <v>0</v>
      </c>
      <c r="AP242" s="24" t="n">
        <f aca="false">IF(R242="",0,MAX(R242-AM242,0))</f>
        <v>0</v>
      </c>
      <c r="AQ242" s="25" t="n">
        <f aca="false">AM242+AP242</f>
        <v>8</v>
      </c>
      <c r="AR242" s="24" t="n">
        <f aca="false">SUMIFS(Permissions!$L$2:$L$3000,Permissions!$B$2:$B$3000,$A242,Permissions!$R$2:$R$3000,"Yes",Permissions!$I$2:$I$3000,"&lt;&gt;Expired – not started",Permissions!$I$2:$I$3000,"&lt;&gt;In planning")</f>
        <v>0</v>
      </c>
      <c r="AS242" s="24" t="n">
        <f aca="false">AQ242-AR242</f>
        <v>8</v>
      </c>
      <c r="AT242" s="26" t="n">
        <f aca="false">SUMIFS(Permissions!$AJ$2:$AJ$3000,Permissions!$B$2:$B$3000,$A242,Permissions!$R$2:$R$3000,"Yes")</f>
        <v>0</v>
      </c>
      <c r="AU242" s="26" t="n">
        <f aca="false">SUMIFS(Permissions!$AK$2:$AK$3000,Permissions!$B$2:$B$3000,$A242,Permissions!$R$2:$R$3000,"Yes")</f>
        <v>0</v>
      </c>
      <c r="AV242" s="26" t="n">
        <f aca="false">SUMIFS(Permissions!$AL$2:$AL$3000,Permissions!$B$2:$B$3000,$A242,Permissions!$R$2:$R$3000,"Yes")</f>
        <v>4</v>
      </c>
      <c r="AW242" s="26" t="n">
        <f aca="false">SUMIFS(Permissions!$AM$2:$AM$3000,Permissions!$B$2:$B$3000,$A242,Permissions!$R$2:$R$3000,"Yes")</f>
        <v>4</v>
      </c>
      <c r="AX242" s="26" t="n">
        <f aca="false">SUMIFS(Permissions!$AN$2:$AN$3000,Permissions!$B$2:$B$3000,$A242,Permissions!$R$2:$R$3000,"Yes")</f>
        <v>0</v>
      </c>
      <c r="AY242" s="26" t="n">
        <f aca="false">SUMIFS(Permissions!$AO$2:$AO$3000,Permissions!$B$2:$B$3000,$A242,Permissions!$R$2:$R$3000,"Yes")</f>
        <v>0</v>
      </c>
      <c r="AZ242" s="24" t="n">
        <f aca="false">COUNTIFS(Permissions!$B$2:$B$3000,$A242,Permissions!$R$2:$R$3000,"Yes")</f>
        <v>1</v>
      </c>
      <c r="BA242" s="24" t="n">
        <f aca="false">SUMIFS(Permissions!$M$2:$M$3000,Permissions!$B$2:$B$3000,$A242,Permissions!$R$2:$R$3000,"Yes")</f>
        <v>0</v>
      </c>
      <c r="BB242" s="24" t="n">
        <f aca="false">SUMIFS(Permissions!$O$2:$O$3000,Permissions!$B$2:$B$3000,$A242,Permissions!$R$2:$R$3000,"Yes")</f>
        <v>0</v>
      </c>
      <c r="BC242" s="27" t="str">
        <f aca="false">IF(AND(AM242&gt;0,AR242&gt;=AM242,AP242=0),"Finished",IF(AR242&gt;0,"Partly built",IF(AM242&gt;0,"Consented – not built","No consent")))</f>
        <v>Consented – not built</v>
      </c>
      <c r="BD242" s="28" t="str">
        <f aca="false">IF(AND(R242&lt;&gt;"",AM242&gt;1.1*R242),"Consented above capacity",IF(AND(LEFT(B242,8)="Planning",AZ242=0),"Consent parcel with no permission",IF(COUNTIF($A$2:$A$3000,$A242)&gt;1,"Duplicate parcel_id","")))</f>
        <v/>
      </c>
    </row>
    <row r="243" customFormat="false" ht="15" hidden="false" customHeight="false" outlineLevel="0" collapsed="false">
      <c r="A243" s="15" t="s">
        <v>595</v>
      </c>
      <c r="B243" s="15" t="s">
        <v>12</v>
      </c>
      <c r="C243" s="15" t="s">
        <v>16</v>
      </c>
      <c r="D243" s="15" t="s">
        <v>54</v>
      </c>
      <c r="E243" s="15" t="s">
        <v>19</v>
      </c>
      <c r="F243" s="15" t="n">
        <v>1</v>
      </c>
      <c r="G243" s="15" t="s">
        <v>158</v>
      </c>
      <c r="H243" s="15"/>
      <c r="I243" s="15" t="s">
        <v>54</v>
      </c>
      <c r="J243" s="15" t="s">
        <v>182</v>
      </c>
      <c r="K243" s="15" t="s">
        <v>596</v>
      </c>
      <c r="L243" s="15"/>
      <c r="M243" s="15"/>
      <c r="N243" s="15"/>
      <c r="O243" s="15"/>
      <c r="P243" s="15" t="n">
        <v>1.352</v>
      </c>
      <c r="Q243" s="15" t="n">
        <v>1.352</v>
      </c>
      <c r="R243" s="15"/>
      <c r="S243" s="15" t="s">
        <v>459</v>
      </c>
      <c r="T243" s="15" t="n">
        <v>46</v>
      </c>
      <c r="U243" s="15"/>
      <c r="V243" s="15"/>
      <c r="W243" s="15"/>
      <c r="X243" s="15" t="s">
        <v>165</v>
      </c>
      <c r="Y243" s="15" t="n">
        <v>34</v>
      </c>
      <c r="Z243" s="15" t="s">
        <v>166</v>
      </c>
      <c r="AA243" s="15"/>
      <c r="AB243" s="15" t="n">
        <v>28</v>
      </c>
      <c r="AC243" s="15" t="n">
        <v>15</v>
      </c>
      <c r="AD243" s="15"/>
      <c r="AE243" s="15"/>
      <c r="AF243" s="15" t="s">
        <v>169</v>
      </c>
      <c r="AG243" s="15"/>
      <c r="AH243" s="24" t="n">
        <f aca="false">IF(R243="",AM243,R243)</f>
        <v>24</v>
      </c>
      <c r="AI243" s="24" t="n">
        <f aca="false">SUMIFS(Permissions!$G$2:$G$3000,Permissions!$B$2:$B$3000,$A243,Permissions!$I$2:$I$3000,"Complete",Permissions!$R$2:$R$3000,"Yes")</f>
        <v>24</v>
      </c>
      <c r="AJ243" s="24" t="n">
        <f aca="false">SUMIFS(Permissions!$G$2:$G$3000,Permissions!$B$2:$B$3000,$A243,Permissions!$I$2:$I$3000,"Under construction",Permissions!$R$2:$R$3000,"Yes")</f>
        <v>0</v>
      </c>
      <c r="AK243" s="24" t="n">
        <f aca="false">SUMIFS(Permissions!$G$2:$G$3000,Permissions!$B$2:$B$3000,$A243,Permissions!$I$2:$I$3000,"Permitted – not started",Permissions!$R$2:$R$3000,"Yes")</f>
        <v>0</v>
      </c>
      <c r="AL243" s="24" t="n">
        <f aca="false">SUMIFS(Permissions!$G$2:$G$3000,Permissions!$B$2:$B$3000,$A243,Permissions!$I$2:$I$3000,"Stalled",Permissions!$R$2:$R$3000,"Yes")</f>
        <v>0</v>
      </c>
      <c r="AM243" s="24" t="n">
        <f aca="false">AI243+AJ243+AK243+AL243</f>
        <v>24</v>
      </c>
      <c r="AN243" s="24" t="n">
        <f aca="false">SUMIFS(Permissions!$G$2:$G$3000,Permissions!$B$2:$B$3000,$A243,Permissions!$I$2:$I$3000,"Expired – not started",Permissions!$R$2:$R$3000,"Yes")</f>
        <v>0</v>
      </c>
      <c r="AO243" s="24" t="n">
        <f aca="false">SUMIFS(Permissions!$G$2:$G$3000,Permissions!$B$2:$B$3000,$A243,Permissions!$I$2:$I$3000,"In planning",Permissions!$R$2:$R$3000,"Yes")</f>
        <v>0</v>
      </c>
      <c r="AP243" s="24" t="n">
        <f aca="false">IF(R243="",0,MAX(R243-AM243,0))</f>
        <v>0</v>
      </c>
      <c r="AQ243" s="25" t="n">
        <f aca="false">AM243+AP243</f>
        <v>24</v>
      </c>
      <c r="AR243" s="24" t="n">
        <f aca="false">SUMIFS(Permissions!$L$2:$L$3000,Permissions!$B$2:$B$3000,$A243,Permissions!$R$2:$R$3000,"Yes",Permissions!$I$2:$I$3000,"&lt;&gt;Expired – not started",Permissions!$I$2:$I$3000,"&lt;&gt;In planning")</f>
        <v>24</v>
      </c>
      <c r="AS243" s="24" t="n">
        <f aca="false">AQ243-AR243</f>
        <v>0</v>
      </c>
      <c r="AT243" s="26" t="n">
        <f aca="false">SUMIFS(Permissions!$AJ$2:$AJ$3000,Permissions!$B$2:$B$3000,$A243,Permissions!$R$2:$R$3000,"Yes")</f>
        <v>0</v>
      </c>
      <c r="AU243" s="26" t="n">
        <f aca="false">SUMIFS(Permissions!$AK$2:$AK$3000,Permissions!$B$2:$B$3000,$A243,Permissions!$R$2:$R$3000,"Yes")</f>
        <v>0</v>
      </c>
      <c r="AV243" s="26" t="n">
        <f aca="false">SUMIFS(Permissions!$AL$2:$AL$3000,Permissions!$B$2:$B$3000,$A243,Permissions!$R$2:$R$3000,"Yes")</f>
        <v>0</v>
      </c>
      <c r="AW243" s="26" t="n">
        <f aca="false">SUMIFS(Permissions!$AM$2:$AM$3000,Permissions!$B$2:$B$3000,$A243,Permissions!$R$2:$R$3000,"Yes")</f>
        <v>0</v>
      </c>
      <c r="AX243" s="26" t="n">
        <f aca="false">SUMIFS(Permissions!$AN$2:$AN$3000,Permissions!$B$2:$B$3000,$A243,Permissions!$R$2:$R$3000,"Yes")</f>
        <v>0</v>
      </c>
      <c r="AY243" s="26" t="n">
        <f aca="false">SUMIFS(Permissions!$AO$2:$AO$3000,Permissions!$B$2:$B$3000,$A243,Permissions!$R$2:$R$3000,"Yes")</f>
        <v>0</v>
      </c>
      <c r="AZ243" s="24" t="n">
        <f aca="false">COUNTIFS(Permissions!$B$2:$B$3000,$A243,Permissions!$R$2:$R$3000,"Yes")</f>
        <v>1</v>
      </c>
      <c r="BA243" s="24" t="n">
        <f aca="false">SUMIFS(Permissions!$M$2:$M$3000,Permissions!$B$2:$B$3000,$A243,Permissions!$R$2:$R$3000,"Yes")</f>
        <v>24</v>
      </c>
      <c r="BB243" s="24" t="n">
        <f aca="false">SUMIFS(Permissions!$O$2:$O$3000,Permissions!$B$2:$B$3000,$A243,Permissions!$R$2:$R$3000,"Yes")</f>
        <v>1</v>
      </c>
      <c r="BC243" s="27" t="str">
        <f aca="false">IF(AND(AM243&gt;0,AR243&gt;=AM243,AP243=0),"Finished",IF(AR243&gt;0,"Partly built",IF(AM243&gt;0,"Consented – not built","No consent")))</f>
        <v>Finished</v>
      </c>
      <c r="BD243" s="28" t="str">
        <f aca="false">IF(AND(R243&lt;&gt;"",AM243&gt;1.1*R243),"Consented above capacity",IF(AND(LEFT(B243,8)="Planning",AZ243=0),"Consent parcel with no permission",IF(COUNTIF($A$2:$A$3000,$A243)&gt;1,"Duplicate parcel_id","")))</f>
        <v/>
      </c>
    </row>
    <row r="244" customFormat="false" ht="15" hidden="false" customHeight="false" outlineLevel="0" collapsed="false">
      <c r="A244" s="15" t="s">
        <v>597</v>
      </c>
      <c r="B244" s="15" t="s">
        <v>12</v>
      </c>
      <c r="C244" s="15" t="s">
        <v>16</v>
      </c>
      <c r="D244" s="15" t="s">
        <v>54</v>
      </c>
      <c r="E244" s="15" t="s">
        <v>19</v>
      </c>
      <c r="F244" s="15" t="n">
        <v>1</v>
      </c>
      <c r="G244" s="15" t="s">
        <v>158</v>
      </c>
      <c r="H244" s="15"/>
      <c r="I244" s="15" t="s">
        <v>54</v>
      </c>
      <c r="J244" s="15" t="s">
        <v>182</v>
      </c>
      <c r="K244" s="15" t="s">
        <v>598</v>
      </c>
      <c r="L244" s="15"/>
      <c r="M244" s="15"/>
      <c r="N244" s="15"/>
      <c r="O244" s="15"/>
      <c r="P244" s="15" t="n">
        <v>0.764</v>
      </c>
      <c r="Q244" s="15" t="n">
        <v>0.764</v>
      </c>
      <c r="R244" s="15"/>
      <c r="S244" s="15" t="s">
        <v>459</v>
      </c>
      <c r="T244" s="15" t="n">
        <v>26</v>
      </c>
      <c r="U244" s="15"/>
      <c r="V244" s="15"/>
      <c r="W244" s="15"/>
      <c r="X244" s="15" t="s">
        <v>165</v>
      </c>
      <c r="Y244" s="15" t="n">
        <v>34</v>
      </c>
      <c r="Z244" s="15" t="s">
        <v>166</v>
      </c>
      <c r="AA244" s="15"/>
      <c r="AB244" s="15" t="n">
        <v>0</v>
      </c>
      <c r="AC244" s="15" t="n">
        <v>0</v>
      </c>
      <c r="AD244" s="15"/>
      <c r="AE244" s="15" t="s">
        <v>599</v>
      </c>
      <c r="AF244" s="15" t="s">
        <v>169</v>
      </c>
      <c r="AG244" s="15"/>
      <c r="AH244" s="24" t="n">
        <f aca="false">IF(R244="",AM244,R244)</f>
        <v>15</v>
      </c>
      <c r="AI244" s="24" t="n">
        <f aca="false">SUMIFS(Permissions!$G$2:$G$3000,Permissions!$B$2:$B$3000,$A244,Permissions!$I$2:$I$3000,"Complete",Permissions!$R$2:$R$3000,"Yes")</f>
        <v>0</v>
      </c>
      <c r="AJ244" s="24" t="n">
        <f aca="false">SUMIFS(Permissions!$G$2:$G$3000,Permissions!$B$2:$B$3000,$A244,Permissions!$I$2:$I$3000,"Under construction",Permissions!$R$2:$R$3000,"Yes")</f>
        <v>0</v>
      </c>
      <c r="AK244" s="24" t="n">
        <f aca="false">SUMIFS(Permissions!$G$2:$G$3000,Permissions!$B$2:$B$3000,$A244,Permissions!$I$2:$I$3000,"Permitted – not started",Permissions!$R$2:$R$3000,"Yes")</f>
        <v>15</v>
      </c>
      <c r="AL244" s="24" t="n">
        <f aca="false">SUMIFS(Permissions!$G$2:$G$3000,Permissions!$B$2:$B$3000,$A244,Permissions!$I$2:$I$3000,"Stalled",Permissions!$R$2:$R$3000,"Yes")</f>
        <v>0</v>
      </c>
      <c r="AM244" s="24" t="n">
        <f aca="false">AI244+AJ244+AK244+AL244</f>
        <v>15</v>
      </c>
      <c r="AN244" s="24" t="n">
        <f aca="false">SUMIFS(Permissions!$G$2:$G$3000,Permissions!$B$2:$B$3000,$A244,Permissions!$I$2:$I$3000,"Expired – not started",Permissions!$R$2:$R$3000,"Yes")</f>
        <v>0</v>
      </c>
      <c r="AO244" s="24" t="n">
        <f aca="false">SUMIFS(Permissions!$G$2:$G$3000,Permissions!$B$2:$B$3000,$A244,Permissions!$I$2:$I$3000,"In planning",Permissions!$R$2:$R$3000,"Yes")</f>
        <v>0</v>
      </c>
      <c r="AP244" s="24" t="n">
        <f aca="false">IF(R244="",0,MAX(R244-AM244,0))</f>
        <v>0</v>
      </c>
      <c r="AQ244" s="25" t="n">
        <f aca="false">AM244+AP244</f>
        <v>15</v>
      </c>
      <c r="AR244" s="24" t="n">
        <f aca="false">SUMIFS(Permissions!$L$2:$L$3000,Permissions!$B$2:$B$3000,$A244,Permissions!$R$2:$R$3000,"Yes",Permissions!$I$2:$I$3000,"&lt;&gt;Expired – not started",Permissions!$I$2:$I$3000,"&lt;&gt;In planning")</f>
        <v>0</v>
      </c>
      <c r="AS244" s="24" t="n">
        <f aca="false">AQ244-AR244</f>
        <v>15</v>
      </c>
      <c r="AT244" s="26" t="n">
        <f aca="false">SUMIFS(Permissions!$AJ$2:$AJ$3000,Permissions!$B$2:$B$3000,$A244,Permissions!$R$2:$R$3000,"Yes")</f>
        <v>0</v>
      </c>
      <c r="AU244" s="26" t="n">
        <f aca="false">SUMIFS(Permissions!$AK$2:$AK$3000,Permissions!$B$2:$B$3000,$A244,Permissions!$R$2:$R$3000,"Yes")</f>
        <v>0</v>
      </c>
      <c r="AV244" s="26" t="n">
        <f aca="false">SUMIFS(Permissions!$AL$2:$AL$3000,Permissions!$B$2:$B$3000,$A244,Permissions!$R$2:$R$3000,"Yes")</f>
        <v>15</v>
      </c>
      <c r="AW244" s="26" t="n">
        <f aca="false">SUMIFS(Permissions!$AM$2:$AM$3000,Permissions!$B$2:$B$3000,$A244,Permissions!$R$2:$R$3000,"Yes")</f>
        <v>0</v>
      </c>
      <c r="AX244" s="26" t="n">
        <f aca="false">SUMIFS(Permissions!$AN$2:$AN$3000,Permissions!$B$2:$B$3000,$A244,Permissions!$R$2:$R$3000,"Yes")</f>
        <v>0</v>
      </c>
      <c r="AY244" s="26" t="n">
        <f aca="false">SUMIFS(Permissions!$AO$2:$AO$3000,Permissions!$B$2:$B$3000,$A244,Permissions!$R$2:$R$3000,"Yes")</f>
        <v>0</v>
      </c>
      <c r="AZ244" s="24" t="n">
        <f aca="false">COUNTIFS(Permissions!$B$2:$B$3000,$A244,Permissions!$R$2:$R$3000,"Yes")</f>
        <v>1</v>
      </c>
      <c r="BA244" s="24" t="n">
        <f aca="false">SUMIFS(Permissions!$M$2:$M$3000,Permissions!$B$2:$B$3000,$A244,Permissions!$R$2:$R$3000,"Yes")</f>
        <v>0</v>
      </c>
      <c r="BB244" s="24" t="n">
        <f aca="false">SUMIFS(Permissions!$O$2:$O$3000,Permissions!$B$2:$B$3000,$A244,Permissions!$R$2:$R$3000,"Yes")</f>
        <v>0</v>
      </c>
      <c r="BC244" s="27" t="str">
        <f aca="false">IF(AND(AM244&gt;0,AR244&gt;=AM244,AP244=0),"Finished",IF(AR244&gt;0,"Partly built",IF(AM244&gt;0,"Consented – not built","No consent")))</f>
        <v>Consented – not built</v>
      </c>
      <c r="BD244" s="28" t="str">
        <f aca="false">IF(AND(R244&lt;&gt;"",AM244&gt;1.1*R244),"Consented above capacity",IF(AND(LEFT(B244,8)="Planning",AZ244=0),"Consent parcel with no permission",IF(COUNTIF($A$2:$A$3000,$A244)&gt;1,"Duplicate parcel_id","")))</f>
        <v/>
      </c>
    </row>
    <row r="245" customFormat="false" ht="15" hidden="false" customHeight="false" outlineLevel="0" collapsed="false">
      <c r="A245" s="15" t="s">
        <v>600</v>
      </c>
      <c r="B245" s="15" t="s">
        <v>12</v>
      </c>
      <c r="C245" s="15" t="s">
        <v>16</v>
      </c>
      <c r="D245" s="15" t="s">
        <v>54</v>
      </c>
      <c r="E245" s="15" t="s">
        <v>19</v>
      </c>
      <c r="F245" s="15" t="n">
        <v>1</v>
      </c>
      <c r="G245" s="15" t="s">
        <v>158</v>
      </c>
      <c r="H245" s="15"/>
      <c r="I245" s="15" t="s">
        <v>54</v>
      </c>
      <c r="J245" s="15" t="s">
        <v>182</v>
      </c>
      <c r="K245" s="15" t="s">
        <v>601</v>
      </c>
      <c r="L245" s="15"/>
      <c r="M245" s="15"/>
      <c r="N245" s="15"/>
      <c r="O245" s="15"/>
      <c r="P245" s="15" t="n">
        <v>0.196</v>
      </c>
      <c r="Q245" s="15" t="n">
        <v>0.196</v>
      </c>
      <c r="R245" s="15" t="n">
        <v>6</v>
      </c>
      <c r="S245" s="15" t="s">
        <v>485</v>
      </c>
      <c r="T245" s="15" t="n">
        <v>7</v>
      </c>
      <c r="U245" s="15"/>
      <c r="V245" s="15"/>
      <c r="W245" s="15"/>
      <c r="X245" s="15" t="s">
        <v>165</v>
      </c>
      <c r="Y245" s="15" t="n">
        <v>34</v>
      </c>
      <c r="Z245" s="15" t="s">
        <v>166</v>
      </c>
      <c r="AA245" s="15"/>
      <c r="AB245" s="15" t="n">
        <v>6</v>
      </c>
      <c r="AC245" s="15" t="n">
        <v>0</v>
      </c>
      <c r="AD245" s="15"/>
      <c r="AE245" s="15" t="s">
        <v>486</v>
      </c>
      <c r="AF245" s="15" t="s">
        <v>169</v>
      </c>
      <c r="AG245" s="15"/>
      <c r="AH245" s="24" t="n">
        <f aca="false">IF(R245="",AM245,R245)</f>
        <v>6</v>
      </c>
      <c r="AI245" s="24" t="n">
        <f aca="false">SUMIFS(Permissions!$G$2:$G$3000,Permissions!$B$2:$B$3000,$A245,Permissions!$I$2:$I$3000,"Complete",Permissions!$R$2:$R$3000,"Yes")</f>
        <v>0</v>
      </c>
      <c r="AJ245" s="24" t="n">
        <f aca="false">SUMIFS(Permissions!$G$2:$G$3000,Permissions!$B$2:$B$3000,$A245,Permissions!$I$2:$I$3000,"Under construction",Permissions!$R$2:$R$3000,"Yes")</f>
        <v>0</v>
      </c>
      <c r="AK245" s="24" t="n">
        <f aca="false">SUMIFS(Permissions!$G$2:$G$3000,Permissions!$B$2:$B$3000,$A245,Permissions!$I$2:$I$3000,"Permitted – not started",Permissions!$R$2:$R$3000,"Yes")</f>
        <v>0</v>
      </c>
      <c r="AL245" s="24" t="n">
        <f aca="false">SUMIFS(Permissions!$G$2:$G$3000,Permissions!$B$2:$B$3000,$A245,Permissions!$I$2:$I$3000,"Stalled",Permissions!$R$2:$R$3000,"Yes")</f>
        <v>0</v>
      </c>
      <c r="AM245" s="24" t="n">
        <f aca="false">AI245+AJ245+AK245+AL245</f>
        <v>0</v>
      </c>
      <c r="AN245" s="24" t="n">
        <f aca="false">SUMIFS(Permissions!$G$2:$G$3000,Permissions!$B$2:$B$3000,$A245,Permissions!$I$2:$I$3000,"Expired – not started",Permissions!$R$2:$R$3000,"Yes")</f>
        <v>0</v>
      </c>
      <c r="AO245" s="24" t="n">
        <f aca="false">SUMIFS(Permissions!$G$2:$G$3000,Permissions!$B$2:$B$3000,$A245,Permissions!$I$2:$I$3000,"In planning",Permissions!$R$2:$R$3000,"Yes")</f>
        <v>6</v>
      </c>
      <c r="AP245" s="24" t="n">
        <f aca="false">IF(R245="",0,MAX(R245-AM245,0))</f>
        <v>6</v>
      </c>
      <c r="AQ245" s="25" t="n">
        <f aca="false">AM245+AP245</f>
        <v>6</v>
      </c>
      <c r="AR245" s="24" t="n">
        <f aca="false">SUMIFS(Permissions!$L$2:$L$3000,Permissions!$B$2:$B$3000,$A245,Permissions!$R$2:$R$3000,"Yes",Permissions!$I$2:$I$3000,"&lt;&gt;Expired – not started",Permissions!$I$2:$I$3000,"&lt;&gt;In planning")</f>
        <v>0</v>
      </c>
      <c r="AS245" s="24" t="n">
        <f aca="false">AQ245-AR245</f>
        <v>6</v>
      </c>
      <c r="AT245" s="26" t="n">
        <f aca="false">SUMIFS(Permissions!$AJ$2:$AJ$3000,Permissions!$B$2:$B$3000,$A245,Permissions!$R$2:$R$3000,"Yes")</f>
        <v>0</v>
      </c>
      <c r="AU245" s="26" t="n">
        <f aca="false">SUMIFS(Permissions!$AK$2:$AK$3000,Permissions!$B$2:$B$3000,$A245,Permissions!$R$2:$R$3000,"Yes")</f>
        <v>0</v>
      </c>
      <c r="AV245" s="26" t="n">
        <f aca="false">SUMIFS(Permissions!$AL$2:$AL$3000,Permissions!$B$2:$B$3000,$A245,Permissions!$R$2:$R$3000,"Yes")</f>
        <v>0</v>
      </c>
      <c r="AW245" s="26" t="n">
        <f aca="false">SUMIFS(Permissions!$AM$2:$AM$3000,Permissions!$B$2:$B$3000,$A245,Permissions!$R$2:$R$3000,"Yes")</f>
        <v>0</v>
      </c>
      <c r="AX245" s="26" t="n">
        <f aca="false">SUMIFS(Permissions!$AN$2:$AN$3000,Permissions!$B$2:$B$3000,$A245,Permissions!$R$2:$R$3000,"Yes")</f>
        <v>0</v>
      </c>
      <c r="AY245" s="26" t="n">
        <f aca="false">SUMIFS(Permissions!$AO$2:$AO$3000,Permissions!$B$2:$B$3000,$A245,Permissions!$R$2:$R$3000,"Yes")</f>
        <v>0</v>
      </c>
      <c r="AZ245" s="24" t="n">
        <f aca="false">COUNTIFS(Permissions!$B$2:$B$3000,$A245,Permissions!$R$2:$R$3000,"Yes")</f>
        <v>1</v>
      </c>
      <c r="BA245" s="24" t="n">
        <f aca="false">SUMIFS(Permissions!$M$2:$M$3000,Permissions!$B$2:$B$3000,$A245,Permissions!$R$2:$R$3000,"Yes")</f>
        <v>0</v>
      </c>
      <c r="BB245" s="24" t="n">
        <f aca="false">SUMIFS(Permissions!$O$2:$O$3000,Permissions!$B$2:$B$3000,$A245,Permissions!$R$2:$R$3000,"Yes")</f>
        <v>0</v>
      </c>
      <c r="BC245" s="27" t="str">
        <f aca="false">IF(AND(AM245&gt;0,AR245&gt;=AM245,AP245=0),"Finished",IF(AR245&gt;0,"Partly built",IF(AM245&gt;0,"Consented – not built","No consent")))</f>
        <v>No consent</v>
      </c>
      <c r="BD245" s="28" t="str">
        <f aca="false">IF(AND(R245&lt;&gt;"",AM245&gt;1.1*R245),"Consented above capacity",IF(AND(LEFT(B245,8)="Planning",AZ245=0),"Consent parcel with no permission",IF(COUNTIF($A$2:$A$3000,$A245)&gt;1,"Duplicate parcel_id","")))</f>
        <v/>
      </c>
    </row>
    <row r="246" customFormat="false" ht="15" hidden="false" customHeight="false" outlineLevel="0" collapsed="false">
      <c r="A246" s="15" t="s">
        <v>602</v>
      </c>
      <c r="B246" s="15" t="s">
        <v>12</v>
      </c>
      <c r="C246" s="15" t="s">
        <v>16</v>
      </c>
      <c r="D246" s="15" t="s">
        <v>55</v>
      </c>
      <c r="E246" s="15" t="s">
        <v>19</v>
      </c>
      <c r="F246" s="15" t="n">
        <v>1</v>
      </c>
      <c r="G246" s="15" t="s">
        <v>158</v>
      </c>
      <c r="H246" s="15"/>
      <c r="I246" s="15" t="s">
        <v>55</v>
      </c>
      <c r="J246" s="15" t="s">
        <v>159</v>
      </c>
      <c r="K246" s="15" t="s">
        <v>603</v>
      </c>
      <c r="L246" s="15"/>
      <c r="M246" s="15"/>
      <c r="N246" s="15"/>
      <c r="O246" s="15"/>
      <c r="P246" s="15" t="n">
        <v>0.133</v>
      </c>
      <c r="Q246" s="15" t="n">
        <v>0.133</v>
      </c>
      <c r="R246" s="15" t="n">
        <v>5</v>
      </c>
      <c r="S246" s="15" t="s">
        <v>491</v>
      </c>
      <c r="T246" s="15" t="n">
        <v>5</v>
      </c>
      <c r="U246" s="15"/>
      <c r="V246" s="15"/>
      <c r="W246" s="15"/>
      <c r="X246" s="15" t="s">
        <v>165</v>
      </c>
      <c r="Y246" s="15" t="n">
        <v>34</v>
      </c>
      <c r="Z246" s="15" t="s">
        <v>304</v>
      </c>
      <c r="AA246" s="15"/>
      <c r="AB246" s="15" t="n">
        <v>8</v>
      </c>
      <c r="AC246" s="15" t="n">
        <v>8</v>
      </c>
      <c r="AD246" s="15"/>
      <c r="AE246" s="15"/>
      <c r="AF246" s="15" t="s">
        <v>169</v>
      </c>
      <c r="AG246" s="15"/>
      <c r="AH246" s="24" t="n">
        <f aca="false">IF(R246="",AM246,R246)</f>
        <v>5</v>
      </c>
      <c r="AI246" s="24" t="n">
        <f aca="false">SUMIFS(Permissions!$G$2:$G$3000,Permissions!$B$2:$B$3000,$A246,Permissions!$I$2:$I$3000,"Complete",Permissions!$R$2:$R$3000,"Yes")</f>
        <v>0</v>
      </c>
      <c r="AJ246" s="24" t="n">
        <f aca="false">SUMIFS(Permissions!$G$2:$G$3000,Permissions!$B$2:$B$3000,$A246,Permissions!$I$2:$I$3000,"Under construction",Permissions!$R$2:$R$3000,"Yes")</f>
        <v>0</v>
      </c>
      <c r="AK246" s="24" t="n">
        <f aca="false">SUMIFS(Permissions!$G$2:$G$3000,Permissions!$B$2:$B$3000,$A246,Permissions!$I$2:$I$3000,"Permitted – not started",Permissions!$R$2:$R$3000,"Yes")</f>
        <v>0</v>
      </c>
      <c r="AL246" s="24" t="n">
        <f aca="false">SUMIFS(Permissions!$G$2:$G$3000,Permissions!$B$2:$B$3000,$A246,Permissions!$I$2:$I$3000,"Stalled",Permissions!$R$2:$R$3000,"Yes")</f>
        <v>0</v>
      </c>
      <c r="AM246" s="24" t="n">
        <f aca="false">AI246+AJ246+AK246+AL246</f>
        <v>0</v>
      </c>
      <c r="AN246" s="24" t="n">
        <f aca="false">SUMIFS(Permissions!$G$2:$G$3000,Permissions!$B$2:$B$3000,$A246,Permissions!$I$2:$I$3000,"Expired – not started",Permissions!$R$2:$R$3000,"Yes")</f>
        <v>0</v>
      </c>
      <c r="AO246" s="24" t="n">
        <f aca="false">SUMIFS(Permissions!$G$2:$G$3000,Permissions!$B$2:$B$3000,$A246,Permissions!$I$2:$I$3000,"In planning",Permissions!$R$2:$R$3000,"Yes")</f>
        <v>0</v>
      </c>
      <c r="AP246" s="24" t="n">
        <f aca="false">IF(R246="",0,MAX(R246-AM246,0))</f>
        <v>5</v>
      </c>
      <c r="AQ246" s="25" t="n">
        <f aca="false">AM246+AP246</f>
        <v>5</v>
      </c>
      <c r="AR246" s="24" t="n">
        <f aca="false">SUMIFS(Permissions!$L$2:$L$3000,Permissions!$B$2:$B$3000,$A246,Permissions!$R$2:$R$3000,"Yes",Permissions!$I$2:$I$3000,"&lt;&gt;Expired – not started",Permissions!$I$2:$I$3000,"&lt;&gt;In planning")</f>
        <v>0</v>
      </c>
      <c r="AS246" s="24" t="n">
        <f aca="false">AQ246-AR246</f>
        <v>5</v>
      </c>
      <c r="AT246" s="26" t="n">
        <f aca="false">SUMIFS(Permissions!$AJ$2:$AJ$3000,Permissions!$B$2:$B$3000,$A246,Permissions!$R$2:$R$3000,"Yes")</f>
        <v>0</v>
      </c>
      <c r="AU246" s="26" t="n">
        <f aca="false">SUMIFS(Permissions!$AK$2:$AK$3000,Permissions!$B$2:$B$3000,$A246,Permissions!$R$2:$R$3000,"Yes")</f>
        <v>0</v>
      </c>
      <c r="AV246" s="26" t="n">
        <f aca="false">SUMIFS(Permissions!$AL$2:$AL$3000,Permissions!$B$2:$B$3000,$A246,Permissions!$R$2:$R$3000,"Yes")</f>
        <v>0</v>
      </c>
      <c r="AW246" s="26" t="n">
        <f aca="false">SUMIFS(Permissions!$AM$2:$AM$3000,Permissions!$B$2:$B$3000,$A246,Permissions!$R$2:$R$3000,"Yes")</f>
        <v>0</v>
      </c>
      <c r="AX246" s="26" t="n">
        <f aca="false">SUMIFS(Permissions!$AN$2:$AN$3000,Permissions!$B$2:$B$3000,$A246,Permissions!$R$2:$R$3000,"Yes")</f>
        <v>0</v>
      </c>
      <c r="AY246" s="26" t="n">
        <f aca="false">SUMIFS(Permissions!$AO$2:$AO$3000,Permissions!$B$2:$B$3000,$A246,Permissions!$R$2:$R$3000,"Yes")</f>
        <v>0</v>
      </c>
      <c r="AZ246" s="24" t="n">
        <f aca="false">COUNTIFS(Permissions!$B$2:$B$3000,$A246,Permissions!$R$2:$R$3000,"Yes")</f>
        <v>1</v>
      </c>
      <c r="BA246" s="24" t="n">
        <f aca="false">SUMIFS(Permissions!$M$2:$M$3000,Permissions!$B$2:$B$3000,$A246,Permissions!$R$2:$R$3000,"Yes")</f>
        <v>0</v>
      </c>
      <c r="BB246" s="24" t="n">
        <f aca="false">SUMIFS(Permissions!$O$2:$O$3000,Permissions!$B$2:$B$3000,$A246,Permissions!$R$2:$R$3000,"Yes")</f>
        <v>0</v>
      </c>
      <c r="BC246" s="27" t="str">
        <f aca="false">IF(AND(AM246&gt;0,AR246&gt;=AM246,AP246=0),"Finished",IF(AR246&gt;0,"Partly built",IF(AM246&gt;0,"Consented – not built","No consent")))</f>
        <v>No consent</v>
      </c>
      <c r="BD246" s="28" t="str">
        <f aca="false">IF(AND(R246&lt;&gt;"",AM246&gt;1.1*R246),"Consented above capacity",IF(AND(LEFT(B246,8)="Planning",AZ246=0),"Consent parcel with no permission",IF(COUNTIF($A$2:$A$3000,$A246)&gt;1,"Duplicate parcel_id","")))</f>
        <v/>
      </c>
    </row>
    <row r="247" customFormat="false" ht="15" hidden="false" customHeight="false" outlineLevel="0" collapsed="false">
      <c r="A247" s="15" t="s">
        <v>604</v>
      </c>
      <c r="B247" s="15" t="s">
        <v>12</v>
      </c>
      <c r="C247" s="15" t="s">
        <v>16</v>
      </c>
      <c r="D247" s="15" t="s">
        <v>55</v>
      </c>
      <c r="E247" s="15" t="s">
        <v>19</v>
      </c>
      <c r="F247" s="15" t="n">
        <v>1</v>
      </c>
      <c r="G247" s="15" t="s">
        <v>158</v>
      </c>
      <c r="H247" s="15"/>
      <c r="I247" s="15" t="s">
        <v>55</v>
      </c>
      <c r="J247" s="15" t="s">
        <v>159</v>
      </c>
      <c r="K247" s="15" t="s">
        <v>605</v>
      </c>
      <c r="L247" s="15"/>
      <c r="M247" s="15"/>
      <c r="N247" s="15"/>
      <c r="O247" s="15"/>
      <c r="P247" s="15" t="n">
        <v>5.246</v>
      </c>
      <c r="Q247" s="15" t="n">
        <v>5.246</v>
      </c>
      <c r="R247" s="15"/>
      <c r="S247" s="15" t="s">
        <v>459</v>
      </c>
      <c r="T247" s="15" t="n">
        <v>178</v>
      </c>
      <c r="U247" s="15"/>
      <c r="V247" s="15"/>
      <c r="W247" s="15"/>
      <c r="X247" s="15" t="s">
        <v>165</v>
      </c>
      <c r="Y247" s="15" t="n">
        <v>34</v>
      </c>
      <c r="Z247" s="15" t="s">
        <v>166</v>
      </c>
      <c r="AA247" s="15"/>
      <c r="AB247" s="15" t="n">
        <v>94</v>
      </c>
      <c r="AC247" s="15" t="n">
        <v>94</v>
      </c>
      <c r="AD247" s="15"/>
      <c r="AE247" s="15"/>
      <c r="AF247" s="15" t="s">
        <v>169</v>
      </c>
      <c r="AG247" s="15"/>
      <c r="AH247" s="24" t="n">
        <f aca="false">IF(R247="",AM247,R247)</f>
        <v>192</v>
      </c>
      <c r="AI247" s="24" t="n">
        <f aca="false">SUMIFS(Permissions!$G$2:$G$3000,Permissions!$B$2:$B$3000,$A247,Permissions!$I$2:$I$3000,"Complete",Permissions!$R$2:$R$3000,"Yes")</f>
        <v>0</v>
      </c>
      <c r="AJ247" s="24" t="n">
        <f aca="false">SUMIFS(Permissions!$G$2:$G$3000,Permissions!$B$2:$B$3000,$A247,Permissions!$I$2:$I$3000,"Under construction",Permissions!$R$2:$R$3000,"Yes")</f>
        <v>192</v>
      </c>
      <c r="AK247" s="24" t="n">
        <f aca="false">SUMIFS(Permissions!$G$2:$G$3000,Permissions!$B$2:$B$3000,$A247,Permissions!$I$2:$I$3000,"Permitted – not started",Permissions!$R$2:$R$3000,"Yes")</f>
        <v>0</v>
      </c>
      <c r="AL247" s="24" t="n">
        <f aca="false">SUMIFS(Permissions!$G$2:$G$3000,Permissions!$B$2:$B$3000,$A247,Permissions!$I$2:$I$3000,"Stalled",Permissions!$R$2:$R$3000,"Yes")</f>
        <v>0</v>
      </c>
      <c r="AM247" s="24" t="n">
        <f aca="false">AI247+AJ247+AK247+AL247</f>
        <v>192</v>
      </c>
      <c r="AN247" s="24" t="n">
        <f aca="false">SUMIFS(Permissions!$G$2:$G$3000,Permissions!$B$2:$B$3000,$A247,Permissions!$I$2:$I$3000,"Expired – not started",Permissions!$R$2:$R$3000,"Yes")</f>
        <v>0</v>
      </c>
      <c r="AO247" s="24" t="n">
        <f aca="false">SUMIFS(Permissions!$G$2:$G$3000,Permissions!$B$2:$B$3000,$A247,Permissions!$I$2:$I$3000,"In planning",Permissions!$R$2:$R$3000,"Yes")</f>
        <v>0</v>
      </c>
      <c r="AP247" s="24" t="n">
        <f aca="false">IF(R247="",0,MAX(R247-AM247,0))</f>
        <v>0</v>
      </c>
      <c r="AQ247" s="25" t="n">
        <f aca="false">AM247+AP247</f>
        <v>192</v>
      </c>
      <c r="AR247" s="24" t="n">
        <f aca="false">SUMIFS(Permissions!$L$2:$L$3000,Permissions!$B$2:$B$3000,$A247,Permissions!$R$2:$R$3000,"Yes",Permissions!$I$2:$I$3000,"&lt;&gt;Expired – not started",Permissions!$I$2:$I$3000,"&lt;&gt;In planning")</f>
        <v>90</v>
      </c>
      <c r="AS247" s="24" t="n">
        <f aca="false">AQ247-AR247</f>
        <v>102</v>
      </c>
      <c r="AT247" s="26" t="n">
        <f aca="false">SUMIFS(Permissions!$AJ$2:$AJ$3000,Permissions!$B$2:$B$3000,$A247,Permissions!$R$2:$R$3000,"Yes")</f>
        <v>22.4</v>
      </c>
      <c r="AU247" s="26" t="n">
        <f aca="false">SUMIFS(Permissions!$AK$2:$AK$3000,Permissions!$B$2:$B$3000,$A247,Permissions!$R$2:$R$3000,"Yes")</f>
        <v>112.5</v>
      </c>
      <c r="AV247" s="26" t="n">
        <f aca="false">SUMIFS(Permissions!$AL$2:$AL$3000,Permissions!$B$2:$B$3000,$A247,Permissions!$R$2:$R$3000,"Yes")</f>
        <v>52.8</v>
      </c>
      <c r="AW247" s="26" t="n">
        <f aca="false">SUMIFS(Permissions!$AM$2:$AM$3000,Permissions!$B$2:$B$3000,$A247,Permissions!$R$2:$R$3000,"Yes")</f>
        <v>4.3</v>
      </c>
      <c r="AX247" s="26" t="n">
        <f aca="false">SUMIFS(Permissions!$AN$2:$AN$3000,Permissions!$B$2:$B$3000,$A247,Permissions!$R$2:$R$3000,"Yes")</f>
        <v>0</v>
      </c>
      <c r="AY247" s="26" t="n">
        <f aca="false">SUMIFS(Permissions!$AO$2:$AO$3000,Permissions!$B$2:$B$3000,$A247,Permissions!$R$2:$R$3000,"Yes")</f>
        <v>0</v>
      </c>
      <c r="AZ247" s="24" t="n">
        <f aca="false">COUNTIFS(Permissions!$B$2:$B$3000,$A247,Permissions!$R$2:$R$3000,"Yes")</f>
        <v>2</v>
      </c>
      <c r="BA247" s="24" t="n">
        <f aca="false">SUMIFS(Permissions!$M$2:$M$3000,Permissions!$B$2:$B$3000,$A247,Permissions!$R$2:$R$3000,"Yes")</f>
        <v>90</v>
      </c>
      <c r="BB247" s="24" t="n">
        <f aca="false">SUMIFS(Permissions!$O$2:$O$3000,Permissions!$B$2:$B$3000,$A247,Permissions!$R$2:$R$3000,"Yes")</f>
        <v>0</v>
      </c>
      <c r="BC247" s="27" t="str">
        <f aca="false">IF(AND(AM247&gt;0,AR247&gt;=AM247,AP247=0),"Finished",IF(AR247&gt;0,"Partly built",IF(AM247&gt;0,"Consented – not built","No consent")))</f>
        <v>Partly built</v>
      </c>
      <c r="BD247" s="28" t="str">
        <f aca="false">IF(AND(R247&lt;&gt;"",AM247&gt;1.1*R247),"Consented above capacity",IF(AND(LEFT(B247,8)="Planning",AZ247=0),"Consent parcel with no permission",IF(COUNTIF($A$2:$A$3000,$A247)&gt;1,"Duplicate parcel_id","")))</f>
        <v/>
      </c>
    </row>
    <row r="248" customFormat="false" ht="15" hidden="false" customHeight="false" outlineLevel="0" collapsed="false">
      <c r="A248" s="15" t="s">
        <v>606</v>
      </c>
      <c r="B248" s="15" t="s">
        <v>12</v>
      </c>
      <c r="C248" s="15" t="s">
        <v>16</v>
      </c>
      <c r="D248" s="15" t="s">
        <v>55</v>
      </c>
      <c r="E248" s="15" t="s">
        <v>19</v>
      </c>
      <c r="F248" s="15" t="n">
        <v>1</v>
      </c>
      <c r="G248" s="15" t="s">
        <v>158</v>
      </c>
      <c r="H248" s="15"/>
      <c r="I248" s="15" t="s">
        <v>55</v>
      </c>
      <c r="J248" s="15" t="s">
        <v>159</v>
      </c>
      <c r="K248" s="15" t="s">
        <v>607</v>
      </c>
      <c r="L248" s="15"/>
      <c r="M248" s="15"/>
      <c r="N248" s="15"/>
      <c r="O248" s="15"/>
      <c r="P248" s="15" t="n">
        <v>1.44</v>
      </c>
      <c r="Q248" s="15" t="n">
        <v>1.44</v>
      </c>
      <c r="R248" s="15"/>
      <c r="S248" s="15" t="s">
        <v>459</v>
      </c>
      <c r="T248" s="15" t="n">
        <v>49</v>
      </c>
      <c r="U248" s="15"/>
      <c r="V248" s="15"/>
      <c r="W248" s="15"/>
      <c r="X248" s="15" t="s">
        <v>165</v>
      </c>
      <c r="Y248" s="15" t="n">
        <v>34</v>
      </c>
      <c r="Z248" s="15" t="s">
        <v>166</v>
      </c>
      <c r="AA248" s="15"/>
      <c r="AB248" s="15" t="n">
        <v>66</v>
      </c>
      <c r="AC248" s="15" t="n">
        <v>66</v>
      </c>
      <c r="AD248" s="15"/>
      <c r="AE248" s="15"/>
      <c r="AF248" s="15" t="s">
        <v>169</v>
      </c>
      <c r="AG248" s="15"/>
      <c r="AH248" s="24" t="n">
        <f aca="false">IF(R248="",AM248,R248)</f>
        <v>66</v>
      </c>
      <c r="AI248" s="24" t="n">
        <f aca="false">SUMIFS(Permissions!$G$2:$G$3000,Permissions!$B$2:$B$3000,$A248,Permissions!$I$2:$I$3000,"Complete",Permissions!$R$2:$R$3000,"Yes")</f>
        <v>66</v>
      </c>
      <c r="AJ248" s="24" t="n">
        <f aca="false">SUMIFS(Permissions!$G$2:$G$3000,Permissions!$B$2:$B$3000,$A248,Permissions!$I$2:$I$3000,"Under construction",Permissions!$R$2:$R$3000,"Yes")</f>
        <v>0</v>
      </c>
      <c r="AK248" s="24" t="n">
        <f aca="false">SUMIFS(Permissions!$G$2:$G$3000,Permissions!$B$2:$B$3000,$A248,Permissions!$I$2:$I$3000,"Permitted – not started",Permissions!$R$2:$R$3000,"Yes")</f>
        <v>0</v>
      </c>
      <c r="AL248" s="24" t="n">
        <f aca="false">SUMIFS(Permissions!$G$2:$G$3000,Permissions!$B$2:$B$3000,$A248,Permissions!$I$2:$I$3000,"Stalled",Permissions!$R$2:$R$3000,"Yes")</f>
        <v>0</v>
      </c>
      <c r="AM248" s="24" t="n">
        <f aca="false">AI248+AJ248+AK248+AL248</f>
        <v>66</v>
      </c>
      <c r="AN248" s="24" t="n">
        <f aca="false">SUMIFS(Permissions!$G$2:$G$3000,Permissions!$B$2:$B$3000,$A248,Permissions!$I$2:$I$3000,"Expired – not started",Permissions!$R$2:$R$3000,"Yes")</f>
        <v>0</v>
      </c>
      <c r="AO248" s="24" t="n">
        <f aca="false">SUMIFS(Permissions!$G$2:$G$3000,Permissions!$B$2:$B$3000,$A248,Permissions!$I$2:$I$3000,"In planning",Permissions!$R$2:$R$3000,"Yes")</f>
        <v>0</v>
      </c>
      <c r="AP248" s="24" t="n">
        <f aca="false">IF(R248="",0,MAX(R248-AM248,0))</f>
        <v>0</v>
      </c>
      <c r="AQ248" s="25" t="n">
        <f aca="false">AM248+AP248</f>
        <v>66</v>
      </c>
      <c r="AR248" s="24" t="n">
        <f aca="false">SUMIFS(Permissions!$L$2:$L$3000,Permissions!$B$2:$B$3000,$A248,Permissions!$R$2:$R$3000,"Yes",Permissions!$I$2:$I$3000,"&lt;&gt;Expired – not started",Permissions!$I$2:$I$3000,"&lt;&gt;In planning")</f>
        <v>66</v>
      </c>
      <c r="AS248" s="24" t="n">
        <f aca="false">AQ248-AR248</f>
        <v>0</v>
      </c>
      <c r="AT248" s="26" t="n">
        <f aca="false">SUMIFS(Permissions!$AJ$2:$AJ$3000,Permissions!$B$2:$B$3000,$A248,Permissions!$R$2:$R$3000,"Yes")</f>
        <v>0</v>
      </c>
      <c r="AU248" s="26" t="n">
        <f aca="false">SUMIFS(Permissions!$AK$2:$AK$3000,Permissions!$B$2:$B$3000,$A248,Permissions!$R$2:$R$3000,"Yes")</f>
        <v>0</v>
      </c>
      <c r="AV248" s="26" t="n">
        <f aca="false">SUMIFS(Permissions!$AL$2:$AL$3000,Permissions!$B$2:$B$3000,$A248,Permissions!$R$2:$R$3000,"Yes")</f>
        <v>0</v>
      </c>
      <c r="AW248" s="26" t="n">
        <f aca="false">SUMIFS(Permissions!$AM$2:$AM$3000,Permissions!$B$2:$B$3000,$A248,Permissions!$R$2:$R$3000,"Yes")</f>
        <v>0</v>
      </c>
      <c r="AX248" s="26" t="n">
        <f aca="false">SUMIFS(Permissions!$AN$2:$AN$3000,Permissions!$B$2:$B$3000,$A248,Permissions!$R$2:$R$3000,"Yes")</f>
        <v>0</v>
      </c>
      <c r="AY248" s="26" t="n">
        <f aca="false">SUMIFS(Permissions!$AO$2:$AO$3000,Permissions!$B$2:$B$3000,$A248,Permissions!$R$2:$R$3000,"Yes")</f>
        <v>0</v>
      </c>
      <c r="AZ248" s="24" t="n">
        <f aca="false">COUNTIFS(Permissions!$B$2:$B$3000,$A248,Permissions!$R$2:$R$3000,"Yes")</f>
        <v>1</v>
      </c>
      <c r="BA248" s="24" t="n">
        <f aca="false">SUMIFS(Permissions!$M$2:$M$3000,Permissions!$B$2:$B$3000,$A248,Permissions!$R$2:$R$3000,"Yes")</f>
        <v>66</v>
      </c>
      <c r="BB248" s="24" t="n">
        <f aca="false">SUMIFS(Permissions!$O$2:$O$3000,Permissions!$B$2:$B$3000,$A248,Permissions!$R$2:$R$3000,"Yes")</f>
        <v>0</v>
      </c>
      <c r="BC248" s="27" t="str">
        <f aca="false">IF(AND(AM248&gt;0,AR248&gt;=AM248,AP248=0),"Finished",IF(AR248&gt;0,"Partly built",IF(AM248&gt;0,"Consented – not built","No consent")))</f>
        <v>Finished</v>
      </c>
      <c r="BD248" s="28" t="str">
        <f aca="false">IF(AND(R248&lt;&gt;"",AM248&gt;1.1*R248),"Consented above capacity",IF(AND(LEFT(B248,8)="Planning",AZ248=0),"Consent parcel with no permission",IF(COUNTIF($A$2:$A$3000,$A248)&gt;1,"Duplicate parcel_id","")))</f>
        <v/>
      </c>
    </row>
    <row r="249" customFormat="false" ht="15" hidden="false" customHeight="false" outlineLevel="0" collapsed="false">
      <c r="A249" s="15" t="s">
        <v>608</v>
      </c>
      <c r="B249" s="15" t="s">
        <v>12</v>
      </c>
      <c r="C249" s="15" t="s">
        <v>16</v>
      </c>
      <c r="D249" s="15" t="s">
        <v>55</v>
      </c>
      <c r="E249" s="15" t="s">
        <v>19</v>
      </c>
      <c r="F249" s="15" t="n">
        <v>1</v>
      </c>
      <c r="G249" s="15" t="s">
        <v>158</v>
      </c>
      <c r="H249" s="15"/>
      <c r="I249" s="15" t="s">
        <v>55</v>
      </c>
      <c r="J249" s="15" t="s">
        <v>159</v>
      </c>
      <c r="K249" s="15" t="s">
        <v>609</v>
      </c>
      <c r="L249" s="15"/>
      <c r="M249" s="15"/>
      <c r="N249" s="15"/>
      <c r="O249" s="15"/>
      <c r="P249" s="15" t="n">
        <v>5.37</v>
      </c>
      <c r="Q249" s="15" t="n">
        <v>5.37</v>
      </c>
      <c r="R249" s="15"/>
      <c r="S249" s="15" t="s">
        <v>459</v>
      </c>
      <c r="T249" s="15" t="n">
        <v>183</v>
      </c>
      <c r="U249" s="15"/>
      <c r="V249" s="15"/>
      <c r="W249" s="15"/>
      <c r="X249" s="15" t="s">
        <v>165</v>
      </c>
      <c r="Y249" s="15" t="n">
        <v>34</v>
      </c>
      <c r="Z249" s="15" t="s">
        <v>166</v>
      </c>
      <c r="AA249" s="15"/>
      <c r="AB249" s="15" t="n">
        <v>106</v>
      </c>
      <c r="AC249" s="15" t="n">
        <v>38</v>
      </c>
      <c r="AD249" s="15"/>
      <c r="AE249" s="15"/>
      <c r="AF249" s="15" t="s">
        <v>169</v>
      </c>
      <c r="AG249" s="15"/>
      <c r="AH249" s="24" t="n">
        <f aca="false">IF(R249="",AM249,R249)</f>
        <v>54</v>
      </c>
      <c r="AI249" s="24" t="n">
        <f aca="false">SUMIFS(Permissions!$G$2:$G$3000,Permissions!$B$2:$B$3000,$A249,Permissions!$I$2:$I$3000,"Complete",Permissions!$R$2:$R$3000,"Yes")</f>
        <v>25</v>
      </c>
      <c r="AJ249" s="24" t="n">
        <f aca="false">SUMIFS(Permissions!$G$2:$G$3000,Permissions!$B$2:$B$3000,$A249,Permissions!$I$2:$I$3000,"Under construction",Permissions!$R$2:$R$3000,"Yes")</f>
        <v>29</v>
      </c>
      <c r="AK249" s="24" t="n">
        <f aca="false">SUMIFS(Permissions!$G$2:$G$3000,Permissions!$B$2:$B$3000,$A249,Permissions!$I$2:$I$3000,"Permitted – not started",Permissions!$R$2:$R$3000,"Yes")</f>
        <v>0</v>
      </c>
      <c r="AL249" s="24" t="n">
        <f aca="false">SUMIFS(Permissions!$G$2:$G$3000,Permissions!$B$2:$B$3000,$A249,Permissions!$I$2:$I$3000,"Stalled",Permissions!$R$2:$R$3000,"Yes")</f>
        <v>0</v>
      </c>
      <c r="AM249" s="24" t="n">
        <f aca="false">AI249+AJ249+AK249+AL249</f>
        <v>54</v>
      </c>
      <c r="AN249" s="24" t="n">
        <f aca="false">SUMIFS(Permissions!$G$2:$G$3000,Permissions!$B$2:$B$3000,$A249,Permissions!$I$2:$I$3000,"Expired – not started",Permissions!$R$2:$R$3000,"Yes")</f>
        <v>0</v>
      </c>
      <c r="AO249" s="24" t="n">
        <f aca="false">SUMIFS(Permissions!$G$2:$G$3000,Permissions!$B$2:$B$3000,$A249,Permissions!$I$2:$I$3000,"In planning",Permissions!$R$2:$R$3000,"Yes")</f>
        <v>0</v>
      </c>
      <c r="AP249" s="24" t="n">
        <f aca="false">IF(R249="",0,MAX(R249-AM249,0))</f>
        <v>0</v>
      </c>
      <c r="AQ249" s="25" t="n">
        <f aca="false">AM249+AP249</f>
        <v>54</v>
      </c>
      <c r="AR249" s="24" t="n">
        <f aca="false">SUMIFS(Permissions!$L$2:$L$3000,Permissions!$B$2:$B$3000,$A249,Permissions!$R$2:$R$3000,"Yes",Permissions!$I$2:$I$3000,"&lt;&gt;Expired – not started",Permissions!$I$2:$I$3000,"&lt;&gt;In planning")</f>
        <v>38</v>
      </c>
      <c r="AS249" s="24" t="n">
        <f aca="false">AQ249-AR249</f>
        <v>16</v>
      </c>
      <c r="AT249" s="26" t="n">
        <f aca="false">SUMIFS(Permissions!$AJ$2:$AJ$3000,Permissions!$B$2:$B$3000,$A249,Permissions!$R$2:$R$3000,"Yes")</f>
        <v>6.8</v>
      </c>
      <c r="AU249" s="26" t="n">
        <f aca="false">SUMIFS(Permissions!$AK$2:$AK$3000,Permissions!$B$2:$B$3000,$A249,Permissions!$R$2:$R$3000,"Yes")</f>
        <v>22.2</v>
      </c>
      <c r="AV249" s="26" t="n">
        <f aca="false">SUMIFS(Permissions!$AL$2:$AL$3000,Permissions!$B$2:$B$3000,$A249,Permissions!$R$2:$R$3000,"Yes")</f>
        <v>0</v>
      </c>
      <c r="AW249" s="26" t="n">
        <f aca="false">SUMIFS(Permissions!$AM$2:$AM$3000,Permissions!$B$2:$B$3000,$A249,Permissions!$R$2:$R$3000,"Yes")</f>
        <v>0</v>
      </c>
      <c r="AX249" s="26" t="n">
        <f aca="false">SUMIFS(Permissions!$AN$2:$AN$3000,Permissions!$B$2:$B$3000,$A249,Permissions!$R$2:$R$3000,"Yes")</f>
        <v>0</v>
      </c>
      <c r="AY249" s="26" t="n">
        <f aca="false">SUMIFS(Permissions!$AO$2:$AO$3000,Permissions!$B$2:$B$3000,$A249,Permissions!$R$2:$R$3000,"Yes")</f>
        <v>0</v>
      </c>
      <c r="AZ249" s="24" t="n">
        <f aca="false">COUNTIFS(Permissions!$B$2:$B$3000,$A249,Permissions!$R$2:$R$3000,"Yes")</f>
        <v>3</v>
      </c>
      <c r="BA249" s="24" t="n">
        <f aca="false">SUMIFS(Permissions!$M$2:$M$3000,Permissions!$B$2:$B$3000,$A249,Permissions!$R$2:$R$3000,"Yes")</f>
        <v>32</v>
      </c>
      <c r="BB249" s="24" t="n">
        <f aca="false">SUMIFS(Permissions!$O$2:$O$3000,Permissions!$B$2:$B$3000,$A249,Permissions!$R$2:$R$3000,"Yes")</f>
        <v>0</v>
      </c>
      <c r="BC249" s="27" t="str">
        <f aca="false">IF(AND(AM249&gt;0,AR249&gt;=AM249,AP249=0),"Finished",IF(AR249&gt;0,"Partly built",IF(AM249&gt;0,"Consented – not built","No consent")))</f>
        <v>Partly built</v>
      </c>
      <c r="BD249" s="28" t="str">
        <f aca="false">IF(AND(R249&lt;&gt;"",AM249&gt;1.1*R249),"Consented above capacity",IF(AND(LEFT(B249,8)="Planning",AZ249=0),"Consent parcel with no permission",IF(COUNTIF($A$2:$A$3000,$A249)&gt;1,"Duplicate parcel_id","")))</f>
        <v/>
      </c>
    </row>
    <row r="250" customFormat="false" ht="15" hidden="false" customHeight="false" outlineLevel="0" collapsed="false">
      <c r="A250" s="15" t="s">
        <v>610</v>
      </c>
      <c r="B250" s="15" t="s">
        <v>12</v>
      </c>
      <c r="C250" s="15" t="s">
        <v>16</v>
      </c>
      <c r="D250" s="15" t="s">
        <v>55</v>
      </c>
      <c r="E250" s="15" t="s">
        <v>19</v>
      </c>
      <c r="F250" s="15" t="n">
        <v>1</v>
      </c>
      <c r="G250" s="15" t="s">
        <v>158</v>
      </c>
      <c r="H250" s="15"/>
      <c r="I250" s="15" t="s">
        <v>55</v>
      </c>
      <c r="J250" s="15" t="s">
        <v>159</v>
      </c>
      <c r="K250" s="15" t="s">
        <v>611</v>
      </c>
      <c r="L250" s="15"/>
      <c r="M250" s="15"/>
      <c r="N250" s="15"/>
      <c r="O250" s="15"/>
      <c r="P250" s="15" t="n">
        <v>2.48</v>
      </c>
      <c r="Q250" s="15" t="n">
        <v>2.48</v>
      </c>
      <c r="R250" s="15"/>
      <c r="S250" s="15" t="s">
        <v>459</v>
      </c>
      <c r="T250" s="15" t="n">
        <v>84</v>
      </c>
      <c r="U250" s="15"/>
      <c r="V250" s="15"/>
      <c r="W250" s="15"/>
      <c r="X250" s="15" t="s">
        <v>165</v>
      </c>
      <c r="Y250" s="15" t="n">
        <v>34</v>
      </c>
      <c r="Z250" s="15" t="s">
        <v>166</v>
      </c>
      <c r="AA250" s="15"/>
      <c r="AB250" s="15" t="n">
        <v>39</v>
      </c>
      <c r="AC250" s="15" t="n">
        <v>39</v>
      </c>
      <c r="AD250" s="15"/>
      <c r="AE250" s="15"/>
      <c r="AF250" s="15" t="s">
        <v>169</v>
      </c>
      <c r="AG250" s="15"/>
      <c r="AH250" s="24" t="n">
        <f aca="false">IF(R250="",AM250,R250)</f>
        <v>99</v>
      </c>
      <c r="AI250" s="24" t="n">
        <f aca="false">SUMIFS(Permissions!$G$2:$G$3000,Permissions!$B$2:$B$3000,$A250,Permissions!$I$2:$I$3000,"Complete",Permissions!$R$2:$R$3000,"Yes")</f>
        <v>0</v>
      </c>
      <c r="AJ250" s="24" t="n">
        <f aca="false">SUMIFS(Permissions!$G$2:$G$3000,Permissions!$B$2:$B$3000,$A250,Permissions!$I$2:$I$3000,"Under construction",Permissions!$R$2:$R$3000,"Yes")</f>
        <v>99</v>
      </c>
      <c r="AK250" s="24" t="n">
        <f aca="false">SUMIFS(Permissions!$G$2:$G$3000,Permissions!$B$2:$B$3000,$A250,Permissions!$I$2:$I$3000,"Permitted – not started",Permissions!$R$2:$R$3000,"Yes")</f>
        <v>0</v>
      </c>
      <c r="AL250" s="24" t="n">
        <f aca="false">SUMIFS(Permissions!$G$2:$G$3000,Permissions!$B$2:$B$3000,$A250,Permissions!$I$2:$I$3000,"Stalled",Permissions!$R$2:$R$3000,"Yes")</f>
        <v>0</v>
      </c>
      <c r="AM250" s="24" t="n">
        <f aca="false">AI250+AJ250+AK250+AL250</f>
        <v>99</v>
      </c>
      <c r="AN250" s="24" t="n">
        <f aca="false">SUMIFS(Permissions!$G$2:$G$3000,Permissions!$B$2:$B$3000,$A250,Permissions!$I$2:$I$3000,"Expired – not started",Permissions!$R$2:$R$3000,"Yes")</f>
        <v>0</v>
      </c>
      <c r="AO250" s="24" t="n">
        <f aca="false">SUMIFS(Permissions!$G$2:$G$3000,Permissions!$B$2:$B$3000,$A250,Permissions!$I$2:$I$3000,"In planning",Permissions!$R$2:$R$3000,"Yes")</f>
        <v>0</v>
      </c>
      <c r="AP250" s="24" t="n">
        <f aca="false">IF(R250="",0,MAX(R250-AM250,0))</f>
        <v>0</v>
      </c>
      <c r="AQ250" s="25" t="n">
        <f aca="false">AM250+AP250</f>
        <v>99</v>
      </c>
      <c r="AR250" s="24" t="n">
        <f aca="false">SUMIFS(Permissions!$L$2:$L$3000,Permissions!$B$2:$B$3000,$A250,Permissions!$R$2:$R$3000,"Yes",Permissions!$I$2:$I$3000,"&lt;&gt;Expired – not started",Permissions!$I$2:$I$3000,"&lt;&gt;In planning")</f>
        <v>0</v>
      </c>
      <c r="AS250" s="24" t="n">
        <f aca="false">AQ250-AR250</f>
        <v>99</v>
      </c>
      <c r="AT250" s="26" t="n">
        <f aca="false">SUMIFS(Permissions!$AJ$2:$AJ$3000,Permissions!$B$2:$B$3000,$A250,Permissions!$R$2:$R$3000,"Yes")</f>
        <v>23.1</v>
      </c>
      <c r="AU250" s="26" t="n">
        <f aca="false">SUMIFS(Permissions!$AK$2:$AK$3000,Permissions!$B$2:$B$3000,$A250,Permissions!$R$2:$R$3000,"Yes")</f>
        <v>75.9</v>
      </c>
      <c r="AV250" s="26" t="n">
        <f aca="false">SUMIFS(Permissions!$AL$2:$AL$3000,Permissions!$B$2:$B$3000,$A250,Permissions!$R$2:$R$3000,"Yes")</f>
        <v>0</v>
      </c>
      <c r="AW250" s="26" t="n">
        <f aca="false">SUMIFS(Permissions!$AM$2:$AM$3000,Permissions!$B$2:$B$3000,$A250,Permissions!$R$2:$R$3000,"Yes")</f>
        <v>0</v>
      </c>
      <c r="AX250" s="26" t="n">
        <f aca="false">SUMIFS(Permissions!$AN$2:$AN$3000,Permissions!$B$2:$B$3000,$A250,Permissions!$R$2:$R$3000,"Yes")</f>
        <v>0</v>
      </c>
      <c r="AY250" s="26" t="n">
        <f aca="false">SUMIFS(Permissions!$AO$2:$AO$3000,Permissions!$B$2:$B$3000,$A250,Permissions!$R$2:$R$3000,"Yes")</f>
        <v>0</v>
      </c>
      <c r="AZ250" s="24" t="n">
        <f aca="false">COUNTIFS(Permissions!$B$2:$B$3000,$A250,Permissions!$R$2:$R$3000,"Yes")</f>
        <v>1</v>
      </c>
      <c r="BA250" s="24" t="n">
        <f aca="false">SUMIFS(Permissions!$M$2:$M$3000,Permissions!$B$2:$B$3000,$A250,Permissions!$R$2:$R$3000,"Yes")</f>
        <v>0</v>
      </c>
      <c r="BB250" s="24" t="n">
        <f aca="false">SUMIFS(Permissions!$O$2:$O$3000,Permissions!$B$2:$B$3000,$A250,Permissions!$R$2:$R$3000,"Yes")</f>
        <v>0</v>
      </c>
      <c r="BC250" s="27" t="str">
        <f aca="false">IF(AND(AM250&gt;0,AR250&gt;=AM250,AP250=0),"Finished",IF(AR250&gt;0,"Partly built",IF(AM250&gt;0,"Consented – not built","No consent")))</f>
        <v>Consented – not built</v>
      </c>
      <c r="BD250" s="28" t="str">
        <f aca="false">IF(AND(R250&lt;&gt;"",AM250&gt;1.1*R250),"Consented above capacity",IF(AND(LEFT(B250,8)="Planning",AZ250=0),"Consent parcel with no permission",IF(COUNTIF($A$2:$A$3000,$A250)&gt;1,"Duplicate parcel_id","")))</f>
        <v/>
      </c>
    </row>
    <row r="251" customFormat="false" ht="15" hidden="false" customHeight="false" outlineLevel="0" collapsed="false">
      <c r="A251" s="15" t="s">
        <v>612</v>
      </c>
      <c r="B251" s="15" t="s">
        <v>12</v>
      </c>
      <c r="C251" s="15" t="s">
        <v>16</v>
      </c>
      <c r="D251" s="15" t="s">
        <v>55</v>
      </c>
      <c r="E251" s="15" t="s">
        <v>19</v>
      </c>
      <c r="F251" s="15" t="n">
        <v>1</v>
      </c>
      <c r="G251" s="15" t="s">
        <v>158</v>
      </c>
      <c r="H251" s="15"/>
      <c r="I251" s="15" t="s">
        <v>55</v>
      </c>
      <c r="J251" s="15" t="s">
        <v>159</v>
      </c>
      <c r="K251" s="15" t="s">
        <v>613</v>
      </c>
      <c r="L251" s="15"/>
      <c r="M251" s="15"/>
      <c r="N251" s="15"/>
      <c r="O251" s="15"/>
      <c r="P251" s="15" t="n">
        <v>2.869</v>
      </c>
      <c r="Q251" s="15" t="n">
        <v>2.869</v>
      </c>
      <c r="R251" s="15"/>
      <c r="S251" s="15" t="s">
        <v>459</v>
      </c>
      <c r="T251" s="15" t="n">
        <v>98</v>
      </c>
      <c r="U251" s="15"/>
      <c r="V251" s="15"/>
      <c r="W251" s="15"/>
      <c r="X251" s="15" t="s">
        <v>165</v>
      </c>
      <c r="Y251" s="15" t="n">
        <v>34</v>
      </c>
      <c r="Z251" s="15" t="s">
        <v>166</v>
      </c>
      <c r="AA251" s="15"/>
      <c r="AB251" s="15" t="n">
        <v>113</v>
      </c>
      <c r="AC251" s="15" t="n">
        <v>113</v>
      </c>
      <c r="AD251" s="15"/>
      <c r="AE251" s="15"/>
      <c r="AF251" s="15" t="s">
        <v>169</v>
      </c>
      <c r="AG251" s="15"/>
      <c r="AH251" s="24" t="n">
        <f aca="false">IF(R251="",AM251,R251)</f>
        <v>101</v>
      </c>
      <c r="AI251" s="24" t="n">
        <f aca="false">SUMIFS(Permissions!$G$2:$G$3000,Permissions!$B$2:$B$3000,$A251,Permissions!$I$2:$I$3000,"Complete",Permissions!$R$2:$R$3000,"Yes")</f>
        <v>0</v>
      </c>
      <c r="AJ251" s="24" t="n">
        <f aca="false">SUMIFS(Permissions!$G$2:$G$3000,Permissions!$B$2:$B$3000,$A251,Permissions!$I$2:$I$3000,"Under construction",Permissions!$R$2:$R$3000,"Yes")</f>
        <v>101</v>
      </c>
      <c r="AK251" s="24" t="n">
        <f aca="false">SUMIFS(Permissions!$G$2:$G$3000,Permissions!$B$2:$B$3000,$A251,Permissions!$I$2:$I$3000,"Permitted – not started",Permissions!$R$2:$R$3000,"Yes")</f>
        <v>0</v>
      </c>
      <c r="AL251" s="24" t="n">
        <f aca="false">SUMIFS(Permissions!$G$2:$G$3000,Permissions!$B$2:$B$3000,$A251,Permissions!$I$2:$I$3000,"Stalled",Permissions!$R$2:$R$3000,"Yes")</f>
        <v>0</v>
      </c>
      <c r="AM251" s="24" t="n">
        <f aca="false">AI251+AJ251+AK251+AL251</f>
        <v>101</v>
      </c>
      <c r="AN251" s="24" t="n">
        <f aca="false">SUMIFS(Permissions!$G$2:$G$3000,Permissions!$B$2:$B$3000,$A251,Permissions!$I$2:$I$3000,"Expired – not started",Permissions!$R$2:$R$3000,"Yes")</f>
        <v>0</v>
      </c>
      <c r="AO251" s="24" t="n">
        <f aca="false">SUMIFS(Permissions!$G$2:$G$3000,Permissions!$B$2:$B$3000,$A251,Permissions!$I$2:$I$3000,"In planning",Permissions!$R$2:$R$3000,"Yes")</f>
        <v>0</v>
      </c>
      <c r="AP251" s="24" t="n">
        <f aca="false">IF(R251="",0,MAX(R251-AM251,0))</f>
        <v>0</v>
      </c>
      <c r="AQ251" s="25" t="n">
        <f aca="false">AM251+AP251</f>
        <v>101</v>
      </c>
      <c r="AR251" s="24" t="n">
        <f aca="false">SUMIFS(Permissions!$L$2:$L$3000,Permissions!$B$2:$B$3000,$A251,Permissions!$R$2:$R$3000,"Yes",Permissions!$I$2:$I$3000,"&lt;&gt;Expired – not started",Permissions!$I$2:$I$3000,"&lt;&gt;In planning")</f>
        <v>51</v>
      </c>
      <c r="AS251" s="24" t="n">
        <f aca="false">AQ251-AR251</f>
        <v>50</v>
      </c>
      <c r="AT251" s="26" t="n">
        <f aca="false">SUMIFS(Permissions!$AJ$2:$AJ$3000,Permissions!$B$2:$B$3000,$A251,Permissions!$R$2:$R$3000,"Yes")</f>
        <v>23.5</v>
      </c>
      <c r="AU251" s="26" t="n">
        <f aca="false">SUMIFS(Permissions!$AK$2:$AK$3000,Permissions!$B$2:$B$3000,$A251,Permissions!$R$2:$R$3000,"Yes")</f>
        <v>77.5</v>
      </c>
      <c r="AV251" s="26" t="n">
        <f aca="false">SUMIFS(Permissions!$AL$2:$AL$3000,Permissions!$B$2:$B$3000,$A251,Permissions!$R$2:$R$3000,"Yes")</f>
        <v>0</v>
      </c>
      <c r="AW251" s="26" t="n">
        <f aca="false">SUMIFS(Permissions!$AM$2:$AM$3000,Permissions!$B$2:$B$3000,$A251,Permissions!$R$2:$R$3000,"Yes")</f>
        <v>0</v>
      </c>
      <c r="AX251" s="26" t="n">
        <f aca="false">SUMIFS(Permissions!$AN$2:$AN$3000,Permissions!$B$2:$B$3000,$A251,Permissions!$R$2:$R$3000,"Yes")</f>
        <v>0</v>
      </c>
      <c r="AY251" s="26" t="n">
        <f aca="false">SUMIFS(Permissions!$AO$2:$AO$3000,Permissions!$B$2:$B$3000,$A251,Permissions!$R$2:$R$3000,"Yes")</f>
        <v>0</v>
      </c>
      <c r="AZ251" s="24" t="n">
        <f aca="false">COUNTIFS(Permissions!$B$2:$B$3000,$A251,Permissions!$R$2:$R$3000,"Yes")</f>
        <v>1</v>
      </c>
      <c r="BA251" s="24" t="n">
        <f aca="false">SUMIFS(Permissions!$M$2:$M$3000,Permissions!$B$2:$B$3000,$A251,Permissions!$R$2:$R$3000,"Yes")</f>
        <v>51</v>
      </c>
      <c r="BB251" s="24" t="n">
        <f aca="false">SUMIFS(Permissions!$O$2:$O$3000,Permissions!$B$2:$B$3000,$A251,Permissions!$R$2:$R$3000,"Yes")</f>
        <v>0</v>
      </c>
      <c r="BC251" s="27" t="str">
        <f aca="false">IF(AND(AM251&gt;0,AR251&gt;=AM251,AP251=0),"Finished",IF(AR251&gt;0,"Partly built",IF(AM251&gt;0,"Consented – not built","No consent")))</f>
        <v>Partly built</v>
      </c>
      <c r="BD251" s="28" t="str">
        <f aca="false">IF(AND(R251&lt;&gt;"",AM251&gt;1.1*R251),"Consented above capacity",IF(AND(LEFT(B251,8)="Planning",AZ251=0),"Consent parcel with no permission",IF(COUNTIF($A$2:$A$3000,$A251)&gt;1,"Duplicate parcel_id","")))</f>
        <v/>
      </c>
    </row>
    <row r="252" customFormat="false" ht="15" hidden="false" customHeight="false" outlineLevel="0" collapsed="false">
      <c r="A252" s="15" t="s">
        <v>614</v>
      </c>
      <c r="B252" s="15" t="s">
        <v>12</v>
      </c>
      <c r="C252" s="15" t="s">
        <v>16</v>
      </c>
      <c r="D252" s="15" t="s">
        <v>55</v>
      </c>
      <c r="E252" s="15" t="s">
        <v>19</v>
      </c>
      <c r="F252" s="15" t="n">
        <v>1</v>
      </c>
      <c r="G252" s="15" t="s">
        <v>158</v>
      </c>
      <c r="H252" s="15"/>
      <c r="I252" s="15" t="s">
        <v>55</v>
      </c>
      <c r="J252" s="15" t="s">
        <v>159</v>
      </c>
      <c r="K252" s="15" t="s">
        <v>615</v>
      </c>
      <c r="L252" s="15"/>
      <c r="M252" s="15"/>
      <c r="N252" s="15"/>
      <c r="O252" s="15"/>
      <c r="P252" s="15" t="n">
        <v>0.346</v>
      </c>
      <c r="Q252" s="15" t="n">
        <v>0.346</v>
      </c>
      <c r="R252" s="15"/>
      <c r="S252" s="15" t="s">
        <v>459</v>
      </c>
      <c r="T252" s="15" t="n">
        <v>12</v>
      </c>
      <c r="U252" s="15"/>
      <c r="V252" s="15"/>
      <c r="W252" s="15"/>
      <c r="X252" s="15" t="s">
        <v>165</v>
      </c>
      <c r="Y252" s="15" t="n">
        <v>34</v>
      </c>
      <c r="Z252" s="15" t="s">
        <v>166</v>
      </c>
      <c r="AA252" s="15"/>
      <c r="AB252" s="15" t="n">
        <v>12</v>
      </c>
      <c r="AC252" s="15" t="n">
        <v>12</v>
      </c>
      <c r="AD252" s="15"/>
      <c r="AE252" s="15"/>
      <c r="AF252" s="15" t="s">
        <v>169</v>
      </c>
      <c r="AG252" s="15"/>
      <c r="AH252" s="24" t="n">
        <f aca="false">IF(R252="",AM252,R252)</f>
        <v>12</v>
      </c>
      <c r="AI252" s="24" t="n">
        <f aca="false">SUMIFS(Permissions!$G$2:$G$3000,Permissions!$B$2:$B$3000,$A252,Permissions!$I$2:$I$3000,"Complete",Permissions!$R$2:$R$3000,"Yes")</f>
        <v>12</v>
      </c>
      <c r="AJ252" s="24" t="n">
        <f aca="false">SUMIFS(Permissions!$G$2:$G$3000,Permissions!$B$2:$B$3000,$A252,Permissions!$I$2:$I$3000,"Under construction",Permissions!$R$2:$R$3000,"Yes")</f>
        <v>0</v>
      </c>
      <c r="AK252" s="24" t="n">
        <f aca="false">SUMIFS(Permissions!$G$2:$G$3000,Permissions!$B$2:$B$3000,$A252,Permissions!$I$2:$I$3000,"Permitted – not started",Permissions!$R$2:$R$3000,"Yes")</f>
        <v>0</v>
      </c>
      <c r="AL252" s="24" t="n">
        <f aca="false">SUMIFS(Permissions!$G$2:$G$3000,Permissions!$B$2:$B$3000,$A252,Permissions!$I$2:$I$3000,"Stalled",Permissions!$R$2:$R$3000,"Yes")</f>
        <v>0</v>
      </c>
      <c r="AM252" s="24" t="n">
        <f aca="false">AI252+AJ252+AK252+AL252</f>
        <v>12</v>
      </c>
      <c r="AN252" s="24" t="n">
        <f aca="false">SUMIFS(Permissions!$G$2:$G$3000,Permissions!$B$2:$B$3000,$A252,Permissions!$I$2:$I$3000,"Expired – not started",Permissions!$R$2:$R$3000,"Yes")</f>
        <v>0</v>
      </c>
      <c r="AO252" s="24" t="n">
        <f aca="false">SUMIFS(Permissions!$G$2:$G$3000,Permissions!$B$2:$B$3000,$A252,Permissions!$I$2:$I$3000,"In planning",Permissions!$R$2:$R$3000,"Yes")</f>
        <v>0</v>
      </c>
      <c r="AP252" s="24" t="n">
        <f aca="false">IF(R252="",0,MAX(R252-AM252,0))</f>
        <v>0</v>
      </c>
      <c r="AQ252" s="25" t="n">
        <f aca="false">AM252+AP252</f>
        <v>12</v>
      </c>
      <c r="AR252" s="24" t="n">
        <f aca="false">SUMIFS(Permissions!$L$2:$L$3000,Permissions!$B$2:$B$3000,$A252,Permissions!$R$2:$R$3000,"Yes",Permissions!$I$2:$I$3000,"&lt;&gt;Expired – not started",Permissions!$I$2:$I$3000,"&lt;&gt;In planning")</f>
        <v>12</v>
      </c>
      <c r="AS252" s="24" t="n">
        <f aca="false">AQ252-AR252</f>
        <v>0</v>
      </c>
      <c r="AT252" s="26" t="n">
        <f aca="false">SUMIFS(Permissions!$AJ$2:$AJ$3000,Permissions!$B$2:$B$3000,$A252,Permissions!$R$2:$R$3000,"Yes")</f>
        <v>0</v>
      </c>
      <c r="AU252" s="26" t="n">
        <f aca="false">SUMIFS(Permissions!$AK$2:$AK$3000,Permissions!$B$2:$B$3000,$A252,Permissions!$R$2:$R$3000,"Yes")</f>
        <v>0</v>
      </c>
      <c r="AV252" s="26" t="n">
        <f aca="false">SUMIFS(Permissions!$AL$2:$AL$3000,Permissions!$B$2:$B$3000,$A252,Permissions!$R$2:$R$3000,"Yes")</f>
        <v>0</v>
      </c>
      <c r="AW252" s="26" t="n">
        <f aca="false">SUMIFS(Permissions!$AM$2:$AM$3000,Permissions!$B$2:$B$3000,$A252,Permissions!$R$2:$R$3000,"Yes")</f>
        <v>0</v>
      </c>
      <c r="AX252" s="26" t="n">
        <f aca="false">SUMIFS(Permissions!$AN$2:$AN$3000,Permissions!$B$2:$B$3000,$A252,Permissions!$R$2:$R$3000,"Yes")</f>
        <v>0</v>
      </c>
      <c r="AY252" s="26" t="n">
        <f aca="false">SUMIFS(Permissions!$AO$2:$AO$3000,Permissions!$B$2:$B$3000,$A252,Permissions!$R$2:$R$3000,"Yes")</f>
        <v>0</v>
      </c>
      <c r="AZ252" s="24" t="n">
        <f aca="false">COUNTIFS(Permissions!$B$2:$B$3000,$A252,Permissions!$R$2:$R$3000,"Yes")</f>
        <v>1</v>
      </c>
      <c r="BA252" s="24" t="n">
        <f aca="false">SUMIFS(Permissions!$M$2:$M$3000,Permissions!$B$2:$B$3000,$A252,Permissions!$R$2:$R$3000,"Yes")</f>
        <v>12</v>
      </c>
      <c r="BB252" s="24" t="n">
        <f aca="false">SUMIFS(Permissions!$O$2:$O$3000,Permissions!$B$2:$B$3000,$A252,Permissions!$R$2:$R$3000,"Yes")</f>
        <v>0</v>
      </c>
      <c r="BC252" s="27" t="str">
        <f aca="false">IF(AND(AM252&gt;0,AR252&gt;=AM252,AP252=0),"Finished",IF(AR252&gt;0,"Partly built",IF(AM252&gt;0,"Consented – not built","No consent")))</f>
        <v>Finished</v>
      </c>
      <c r="BD252" s="28" t="str">
        <f aca="false">IF(AND(R252&lt;&gt;"",AM252&gt;1.1*R252),"Consented above capacity",IF(AND(LEFT(B252,8)="Planning",AZ252=0),"Consent parcel with no permission",IF(COUNTIF($A$2:$A$3000,$A252)&gt;1,"Duplicate parcel_id","")))</f>
        <v/>
      </c>
    </row>
    <row r="253" customFormat="false" ht="15" hidden="false" customHeight="false" outlineLevel="0" collapsed="false">
      <c r="A253" s="15" t="s">
        <v>616</v>
      </c>
      <c r="B253" s="15" t="s">
        <v>12</v>
      </c>
      <c r="C253" s="15" t="s">
        <v>16</v>
      </c>
      <c r="D253" s="15" t="s">
        <v>55</v>
      </c>
      <c r="E253" s="15" t="s">
        <v>19</v>
      </c>
      <c r="F253" s="15" t="n">
        <v>1</v>
      </c>
      <c r="G253" s="15" t="s">
        <v>158</v>
      </c>
      <c r="H253" s="15"/>
      <c r="I253" s="15" t="s">
        <v>55</v>
      </c>
      <c r="J253" s="15" t="s">
        <v>159</v>
      </c>
      <c r="K253" s="15" t="s">
        <v>617</v>
      </c>
      <c r="L253" s="15"/>
      <c r="M253" s="15"/>
      <c r="N253" s="15"/>
      <c r="O253" s="15"/>
      <c r="P253" s="15" t="n">
        <v>0.206</v>
      </c>
      <c r="Q253" s="15" t="n">
        <v>0.206</v>
      </c>
      <c r="R253" s="15"/>
      <c r="S253" s="15" t="s">
        <v>459</v>
      </c>
      <c r="T253" s="15" t="n">
        <v>7</v>
      </c>
      <c r="U253" s="15"/>
      <c r="V253" s="15"/>
      <c r="W253" s="15"/>
      <c r="X253" s="15" t="s">
        <v>165</v>
      </c>
      <c r="Y253" s="15" t="n">
        <v>34</v>
      </c>
      <c r="Z253" s="15" t="s">
        <v>166</v>
      </c>
      <c r="AA253" s="15"/>
      <c r="AB253" s="15" t="n">
        <v>7</v>
      </c>
      <c r="AC253" s="15" t="n">
        <v>7</v>
      </c>
      <c r="AD253" s="15"/>
      <c r="AE253" s="15"/>
      <c r="AF253" s="15" t="s">
        <v>169</v>
      </c>
      <c r="AG253" s="15"/>
      <c r="AH253" s="24" t="n">
        <f aca="false">IF(R253="",AM253,R253)</f>
        <v>7</v>
      </c>
      <c r="AI253" s="24" t="n">
        <f aca="false">SUMIFS(Permissions!$G$2:$G$3000,Permissions!$B$2:$B$3000,$A253,Permissions!$I$2:$I$3000,"Complete",Permissions!$R$2:$R$3000,"Yes")</f>
        <v>7</v>
      </c>
      <c r="AJ253" s="24" t="n">
        <f aca="false">SUMIFS(Permissions!$G$2:$G$3000,Permissions!$B$2:$B$3000,$A253,Permissions!$I$2:$I$3000,"Under construction",Permissions!$R$2:$R$3000,"Yes")</f>
        <v>0</v>
      </c>
      <c r="AK253" s="24" t="n">
        <f aca="false">SUMIFS(Permissions!$G$2:$G$3000,Permissions!$B$2:$B$3000,$A253,Permissions!$I$2:$I$3000,"Permitted – not started",Permissions!$R$2:$R$3000,"Yes")</f>
        <v>0</v>
      </c>
      <c r="AL253" s="24" t="n">
        <f aca="false">SUMIFS(Permissions!$G$2:$G$3000,Permissions!$B$2:$B$3000,$A253,Permissions!$I$2:$I$3000,"Stalled",Permissions!$R$2:$R$3000,"Yes")</f>
        <v>0</v>
      </c>
      <c r="AM253" s="24" t="n">
        <f aca="false">AI253+AJ253+AK253+AL253</f>
        <v>7</v>
      </c>
      <c r="AN253" s="24" t="n">
        <f aca="false">SUMIFS(Permissions!$G$2:$G$3000,Permissions!$B$2:$B$3000,$A253,Permissions!$I$2:$I$3000,"Expired – not started",Permissions!$R$2:$R$3000,"Yes")</f>
        <v>0</v>
      </c>
      <c r="AO253" s="24" t="n">
        <f aca="false">SUMIFS(Permissions!$G$2:$G$3000,Permissions!$B$2:$B$3000,$A253,Permissions!$I$2:$I$3000,"In planning",Permissions!$R$2:$R$3000,"Yes")</f>
        <v>0</v>
      </c>
      <c r="AP253" s="24" t="n">
        <f aca="false">IF(R253="",0,MAX(R253-AM253,0))</f>
        <v>0</v>
      </c>
      <c r="AQ253" s="25" t="n">
        <f aca="false">AM253+AP253</f>
        <v>7</v>
      </c>
      <c r="AR253" s="24" t="n">
        <f aca="false">SUMIFS(Permissions!$L$2:$L$3000,Permissions!$B$2:$B$3000,$A253,Permissions!$R$2:$R$3000,"Yes",Permissions!$I$2:$I$3000,"&lt;&gt;Expired – not started",Permissions!$I$2:$I$3000,"&lt;&gt;In planning")</f>
        <v>7</v>
      </c>
      <c r="AS253" s="24" t="n">
        <f aca="false">AQ253-AR253</f>
        <v>0</v>
      </c>
      <c r="AT253" s="26" t="n">
        <f aca="false">SUMIFS(Permissions!$AJ$2:$AJ$3000,Permissions!$B$2:$B$3000,$A253,Permissions!$R$2:$R$3000,"Yes")</f>
        <v>0</v>
      </c>
      <c r="AU253" s="26" t="n">
        <f aca="false">SUMIFS(Permissions!$AK$2:$AK$3000,Permissions!$B$2:$B$3000,$A253,Permissions!$R$2:$R$3000,"Yes")</f>
        <v>0</v>
      </c>
      <c r="AV253" s="26" t="n">
        <f aca="false">SUMIFS(Permissions!$AL$2:$AL$3000,Permissions!$B$2:$B$3000,$A253,Permissions!$R$2:$R$3000,"Yes")</f>
        <v>0</v>
      </c>
      <c r="AW253" s="26" t="n">
        <f aca="false">SUMIFS(Permissions!$AM$2:$AM$3000,Permissions!$B$2:$B$3000,$A253,Permissions!$R$2:$R$3000,"Yes")</f>
        <v>0</v>
      </c>
      <c r="AX253" s="26" t="n">
        <f aca="false">SUMIFS(Permissions!$AN$2:$AN$3000,Permissions!$B$2:$B$3000,$A253,Permissions!$R$2:$R$3000,"Yes")</f>
        <v>0</v>
      </c>
      <c r="AY253" s="26" t="n">
        <f aca="false">SUMIFS(Permissions!$AO$2:$AO$3000,Permissions!$B$2:$B$3000,$A253,Permissions!$R$2:$R$3000,"Yes")</f>
        <v>0</v>
      </c>
      <c r="AZ253" s="24" t="n">
        <f aca="false">COUNTIFS(Permissions!$B$2:$B$3000,$A253,Permissions!$R$2:$R$3000,"Yes")</f>
        <v>1</v>
      </c>
      <c r="BA253" s="24" t="n">
        <f aca="false">SUMIFS(Permissions!$M$2:$M$3000,Permissions!$B$2:$B$3000,$A253,Permissions!$R$2:$R$3000,"Yes")</f>
        <v>7</v>
      </c>
      <c r="BB253" s="24" t="n">
        <f aca="false">SUMIFS(Permissions!$O$2:$O$3000,Permissions!$B$2:$B$3000,$A253,Permissions!$R$2:$R$3000,"Yes")</f>
        <v>0</v>
      </c>
      <c r="BC253" s="27" t="str">
        <f aca="false">IF(AND(AM253&gt;0,AR253&gt;=AM253,AP253=0),"Finished",IF(AR253&gt;0,"Partly built",IF(AM253&gt;0,"Consented – not built","No consent")))</f>
        <v>Finished</v>
      </c>
      <c r="BD253" s="28" t="str">
        <f aca="false">IF(AND(R253&lt;&gt;"",AM253&gt;1.1*R253),"Consented above capacity",IF(AND(LEFT(B253,8)="Planning",AZ253=0),"Consent parcel with no permission",IF(COUNTIF($A$2:$A$3000,$A253)&gt;1,"Duplicate parcel_id","")))</f>
        <v/>
      </c>
    </row>
    <row r="254" customFormat="false" ht="15" hidden="false" customHeight="false" outlineLevel="0" collapsed="false">
      <c r="A254" s="15" t="s">
        <v>618</v>
      </c>
      <c r="B254" s="15" t="s">
        <v>12</v>
      </c>
      <c r="C254" s="15" t="s">
        <v>16</v>
      </c>
      <c r="D254" s="15" t="s">
        <v>55</v>
      </c>
      <c r="E254" s="15" t="s">
        <v>19</v>
      </c>
      <c r="F254" s="15" t="n">
        <v>1</v>
      </c>
      <c r="G254" s="15" t="s">
        <v>158</v>
      </c>
      <c r="H254" s="15"/>
      <c r="I254" s="15" t="s">
        <v>55</v>
      </c>
      <c r="J254" s="15" t="s">
        <v>159</v>
      </c>
      <c r="K254" s="15" t="s">
        <v>619</v>
      </c>
      <c r="L254" s="15"/>
      <c r="M254" s="15"/>
      <c r="N254" s="15"/>
      <c r="O254" s="15"/>
      <c r="P254" s="15" t="n">
        <v>0.228</v>
      </c>
      <c r="Q254" s="15" t="n">
        <v>0.228</v>
      </c>
      <c r="R254" s="15"/>
      <c r="S254" s="15" t="s">
        <v>459</v>
      </c>
      <c r="T254" s="15" t="n">
        <v>8</v>
      </c>
      <c r="U254" s="15"/>
      <c r="V254" s="15"/>
      <c r="W254" s="15"/>
      <c r="X254" s="15" t="s">
        <v>165</v>
      </c>
      <c r="Y254" s="15" t="n">
        <v>34</v>
      </c>
      <c r="Z254" s="15" t="s">
        <v>166</v>
      </c>
      <c r="AA254" s="15"/>
      <c r="AB254" s="15" t="n">
        <v>0</v>
      </c>
      <c r="AC254" s="15" t="n">
        <v>0</v>
      </c>
      <c r="AD254" s="15"/>
      <c r="AE254" s="15"/>
      <c r="AF254" s="15" t="s">
        <v>169</v>
      </c>
      <c r="AG254" s="15"/>
      <c r="AH254" s="24" t="n">
        <f aca="false">IF(R254="",AM254,R254)</f>
        <v>30</v>
      </c>
      <c r="AI254" s="24" t="n">
        <f aca="false">SUMIFS(Permissions!$G$2:$G$3000,Permissions!$B$2:$B$3000,$A254,Permissions!$I$2:$I$3000,"Complete",Permissions!$R$2:$R$3000,"Yes")</f>
        <v>0</v>
      </c>
      <c r="AJ254" s="24" t="n">
        <f aca="false">SUMIFS(Permissions!$G$2:$G$3000,Permissions!$B$2:$B$3000,$A254,Permissions!$I$2:$I$3000,"Under construction",Permissions!$R$2:$R$3000,"Yes")</f>
        <v>0</v>
      </c>
      <c r="AK254" s="24" t="n">
        <f aca="false">SUMIFS(Permissions!$G$2:$G$3000,Permissions!$B$2:$B$3000,$A254,Permissions!$I$2:$I$3000,"Permitted – not started",Permissions!$R$2:$R$3000,"Yes")</f>
        <v>30</v>
      </c>
      <c r="AL254" s="24" t="n">
        <f aca="false">SUMIFS(Permissions!$G$2:$G$3000,Permissions!$B$2:$B$3000,$A254,Permissions!$I$2:$I$3000,"Stalled",Permissions!$R$2:$R$3000,"Yes")</f>
        <v>0</v>
      </c>
      <c r="AM254" s="24" t="n">
        <f aca="false">AI254+AJ254+AK254+AL254</f>
        <v>30</v>
      </c>
      <c r="AN254" s="24" t="n">
        <f aca="false">SUMIFS(Permissions!$G$2:$G$3000,Permissions!$B$2:$B$3000,$A254,Permissions!$I$2:$I$3000,"Expired – not started",Permissions!$R$2:$R$3000,"Yes")</f>
        <v>0</v>
      </c>
      <c r="AO254" s="24" t="n">
        <f aca="false">SUMIFS(Permissions!$G$2:$G$3000,Permissions!$B$2:$B$3000,$A254,Permissions!$I$2:$I$3000,"In planning",Permissions!$R$2:$R$3000,"Yes")</f>
        <v>0</v>
      </c>
      <c r="AP254" s="24" t="n">
        <f aca="false">IF(R254="",0,MAX(R254-AM254,0))</f>
        <v>0</v>
      </c>
      <c r="AQ254" s="25" t="n">
        <f aca="false">AM254+AP254</f>
        <v>30</v>
      </c>
      <c r="AR254" s="24" t="n">
        <f aca="false">SUMIFS(Permissions!$L$2:$L$3000,Permissions!$B$2:$B$3000,$A254,Permissions!$R$2:$R$3000,"Yes",Permissions!$I$2:$I$3000,"&lt;&gt;Expired – not started",Permissions!$I$2:$I$3000,"&lt;&gt;In planning")</f>
        <v>0</v>
      </c>
      <c r="AS254" s="24" t="n">
        <f aca="false">AQ254-AR254</f>
        <v>30</v>
      </c>
      <c r="AT254" s="26" t="n">
        <f aca="false">SUMIFS(Permissions!$AJ$2:$AJ$3000,Permissions!$B$2:$B$3000,$A254,Permissions!$R$2:$R$3000,"Yes")</f>
        <v>0</v>
      </c>
      <c r="AU254" s="26" t="n">
        <f aca="false">SUMIFS(Permissions!$AK$2:$AK$3000,Permissions!$B$2:$B$3000,$A254,Permissions!$R$2:$R$3000,"Yes")</f>
        <v>0</v>
      </c>
      <c r="AV254" s="26" t="n">
        <f aca="false">SUMIFS(Permissions!$AL$2:$AL$3000,Permissions!$B$2:$B$3000,$A254,Permissions!$R$2:$R$3000,"Yes")</f>
        <v>22.8</v>
      </c>
      <c r="AW254" s="26" t="n">
        <f aca="false">SUMIFS(Permissions!$AM$2:$AM$3000,Permissions!$B$2:$B$3000,$A254,Permissions!$R$2:$R$3000,"Yes")</f>
        <v>7.2</v>
      </c>
      <c r="AX254" s="26" t="n">
        <f aca="false">SUMIFS(Permissions!$AN$2:$AN$3000,Permissions!$B$2:$B$3000,$A254,Permissions!$R$2:$R$3000,"Yes")</f>
        <v>0</v>
      </c>
      <c r="AY254" s="26" t="n">
        <f aca="false">SUMIFS(Permissions!$AO$2:$AO$3000,Permissions!$B$2:$B$3000,$A254,Permissions!$R$2:$R$3000,"Yes")</f>
        <v>0</v>
      </c>
      <c r="AZ254" s="24" t="n">
        <f aca="false">COUNTIFS(Permissions!$B$2:$B$3000,$A254,Permissions!$R$2:$R$3000,"Yes")</f>
        <v>1</v>
      </c>
      <c r="BA254" s="24" t="n">
        <f aca="false">SUMIFS(Permissions!$M$2:$M$3000,Permissions!$B$2:$B$3000,$A254,Permissions!$R$2:$R$3000,"Yes")</f>
        <v>0</v>
      </c>
      <c r="BB254" s="24" t="n">
        <f aca="false">SUMIFS(Permissions!$O$2:$O$3000,Permissions!$B$2:$B$3000,$A254,Permissions!$R$2:$R$3000,"Yes")</f>
        <v>0</v>
      </c>
      <c r="BC254" s="27" t="str">
        <f aca="false">IF(AND(AM254&gt;0,AR254&gt;=AM254,AP254=0),"Finished",IF(AR254&gt;0,"Partly built",IF(AM254&gt;0,"Consented – not built","No consent")))</f>
        <v>Consented – not built</v>
      </c>
      <c r="BD254" s="28" t="str">
        <f aca="false">IF(AND(R254&lt;&gt;"",AM254&gt;1.1*R254),"Consented above capacity",IF(AND(LEFT(B254,8)="Planning",AZ254=0),"Consent parcel with no permission",IF(COUNTIF($A$2:$A$3000,$A254)&gt;1,"Duplicate parcel_id","")))</f>
        <v/>
      </c>
    </row>
    <row r="255" customFormat="false" ht="15" hidden="false" customHeight="false" outlineLevel="0" collapsed="false">
      <c r="A255" s="15" t="s">
        <v>620</v>
      </c>
      <c r="B255" s="15" t="s">
        <v>12</v>
      </c>
      <c r="C255" s="15" t="s">
        <v>16</v>
      </c>
      <c r="D255" s="15" t="s">
        <v>55</v>
      </c>
      <c r="E255" s="15" t="s">
        <v>19</v>
      </c>
      <c r="F255" s="15" t="n">
        <v>1</v>
      </c>
      <c r="G255" s="15" t="s">
        <v>158</v>
      </c>
      <c r="H255" s="15"/>
      <c r="I255" s="15" t="s">
        <v>55</v>
      </c>
      <c r="J255" s="15" t="s">
        <v>159</v>
      </c>
      <c r="K255" s="15" t="s">
        <v>621</v>
      </c>
      <c r="L255" s="15"/>
      <c r="M255" s="15"/>
      <c r="N255" s="15"/>
      <c r="O255" s="15"/>
      <c r="P255" s="15" t="n">
        <v>0.875</v>
      </c>
      <c r="Q255" s="15" t="n">
        <v>0.875</v>
      </c>
      <c r="R255" s="15"/>
      <c r="S255" s="15" t="s">
        <v>459</v>
      </c>
      <c r="T255" s="15" t="n">
        <v>30</v>
      </c>
      <c r="U255" s="15"/>
      <c r="V255" s="15"/>
      <c r="W255" s="15"/>
      <c r="X255" s="15" t="s">
        <v>165</v>
      </c>
      <c r="Y255" s="15" t="n">
        <v>34</v>
      </c>
      <c r="Z255" s="15" t="s">
        <v>166</v>
      </c>
      <c r="AA255" s="15"/>
      <c r="AB255" s="15" t="n">
        <v>0</v>
      </c>
      <c r="AC255" s="15" t="n">
        <v>0</v>
      </c>
      <c r="AD255" s="15"/>
      <c r="AE255" s="15"/>
      <c r="AF255" s="15" t="s">
        <v>169</v>
      </c>
      <c r="AG255" s="15"/>
      <c r="AH255" s="24" t="n">
        <f aca="false">IF(R255="",AM255,R255)</f>
        <v>21</v>
      </c>
      <c r="AI255" s="24" t="n">
        <f aca="false">SUMIFS(Permissions!$G$2:$G$3000,Permissions!$B$2:$B$3000,$A255,Permissions!$I$2:$I$3000,"Complete",Permissions!$R$2:$R$3000,"Yes")</f>
        <v>0</v>
      </c>
      <c r="AJ255" s="24" t="n">
        <f aca="false">SUMIFS(Permissions!$G$2:$G$3000,Permissions!$B$2:$B$3000,$A255,Permissions!$I$2:$I$3000,"Under construction",Permissions!$R$2:$R$3000,"Yes")</f>
        <v>0</v>
      </c>
      <c r="AK255" s="24" t="n">
        <f aca="false">SUMIFS(Permissions!$G$2:$G$3000,Permissions!$B$2:$B$3000,$A255,Permissions!$I$2:$I$3000,"Permitted – not started",Permissions!$R$2:$R$3000,"Yes")</f>
        <v>21</v>
      </c>
      <c r="AL255" s="24" t="n">
        <f aca="false">SUMIFS(Permissions!$G$2:$G$3000,Permissions!$B$2:$B$3000,$A255,Permissions!$I$2:$I$3000,"Stalled",Permissions!$R$2:$R$3000,"Yes")</f>
        <v>0</v>
      </c>
      <c r="AM255" s="24" t="n">
        <f aca="false">AI255+AJ255+AK255+AL255</f>
        <v>21</v>
      </c>
      <c r="AN255" s="24" t="n">
        <f aca="false">SUMIFS(Permissions!$G$2:$G$3000,Permissions!$B$2:$B$3000,$A255,Permissions!$I$2:$I$3000,"Expired – not started",Permissions!$R$2:$R$3000,"Yes")</f>
        <v>0</v>
      </c>
      <c r="AO255" s="24" t="n">
        <f aca="false">SUMIFS(Permissions!$G$2:$G$3000,Permissions!$B$2:$B$3000,$A255,Permissions!$I$2:$I$3000,"In planning",Permissions!$R$2:$R$3000,"Yes")</f>
        <v>0</v>
      </c>
      <c r="AP255" s="24" t="n">
        <f aca="false">IF(R255="",0,MAX(R255-AM255,0))</f>
        <v>0</v>
      </c>
      <c r="AQ255" s="25" t="n">
        <f aca="false">AM255+AP255</f>
        <v>21</v>
      </c>
      <c r="AR255" s="24" t="n">
        <f aca="false">SUMIFS(Permissions!$L$2:$L$3000,Permissions!$B$2:$B$3000,$A255,Permissions!$R$2:$R$3000,"Yes",Permissions!$I$2:$I$3000,"&lt;&gt;Expired – not started",Permissions!$I$2:$I$3000,"&lt;&gt;In planning")</f>
        <v>0</v>
      </c>
      <c r="AS255" s="24" t="n">
        <f aca="false">AQ255-AR255</f>
        <v>21</v>
      </c>
      <c r="AT255" s="26" t="n">
        <f aca="false">SUMIFS(Permissions!$AJ$2:$AJ$3000,Permissions!$B$2:$B$3000,$A255,Permissions!$R$2:$R$3000,"Yes")</f>
        <v>0</v>
      </c>
      <c r="AU255" s="26" t="n">
        <f aca="false">SUMIFS(Permissions!$AK$2:$AK$3000,Permissions!$B$2:$B$3000,$A255,Permissions!$R$2:$R$3000,"Yes")</f>
        <v>0</v>
      </c>
      <c r="AV255" s="26" t="n">
        <f aca="false">SUMIFS(Permissions!$AL$2:$AL$3000,Permissions!$B$2:$B$3000,$A255,Permissions!$R$2:$R$3000,"Yes")</f>
        <v>6.7</v>
      </c>
      <c r="AW255" s="26" t="n">
        <f aca="false">SUMIFS(Permissions!$AM$2:$AM$3000,Permissions!$B$2:$B$3000,$A255,Permissions!$R$2:$R$3000,"Yes")</f>
        <v>13.9</v>
      </c>
      <c r="AX255" s="26" t="n">
        <f aca="false">SUMIFS(Permissions!$AN$2:$AN$3000,Permissions!$B$2:$B$3000,$A255,Permissions!$R$2:$R$3000,"Yes")</f>
        <v>0.5</v>
      </c>
      <c r="AY255" s="26" t="n">
        <f aca="false">SUMIFS(Permissions!$AO$2:$AO$3000,Permissions!$B$2:$B$3000,$A255,Permissions!$R$2:$R$3000,"Yes")</f>
        <v>-0.1</v>
      </c>
      <c r="AZ255" s="24" t="n">
        <f aca="false">COUNTIFS(Permissions!$B$2:$B$3000,$A255,Permissions!$R$2:$R$3000,"Yes")</f>
        <v>1</v>
      </c>
      <c r="BA255" s="24" t="n">
        <f aca="false">SUMIFS(Permissions!$M$2:$M$3000,Permissions!$B$2:$B$3000,$A255,Permissions!$R$2:$R$3000,"Yes")</f>
        <v>0</v>
      </c>
      <c r="BB255" s="24" t="n">
        <f aca="false">SUMIFS(Permissions!$O$2:$O$3000,Permissions!$B$2:$B$3000,$A255,Permissions!$R$2:$R$3000,"Yes")</f>
        <v>0</v>
      </c>
      <c r="BC255" s="27" t="str">
        <f aca="false">IF(AND(AM255&gt;0,AR255&gt;=AM255,AP255=0),"Finished",IF(AR255&gt;0,"Partly built",IF(AM255&gt;0,"Consented – not built","No consent")))</f>
        <v>Consented – not built</v>
      </c>
      <c r="BD255" s="28" t="str">
        <f aca="false">IF(AND(R255&lt;&gt;"",AM255&gt;1.1*R255),"Consented above capacity",IF(AND(LEFT(B255,8)="Planning",AZ255=0),"Consent parcel with no permission",IF(COUNTIF($A$2:$A$3000,$A255)&gt;1,"Duplicate parcel_id","")))</f>
        <v/>
      </c>
    </row>
    <row r="256" customFormat="false" ht="15" hidden="false" customHeight="false" outlineLevel="0" collapsed="false">
      <c r="A256" s="15" t="s">
        <v>622</v>
      </c>
      <c r="B256" s="15" t="s">
        <v>12</v>
      </c>
      <c r="C256" s="15" t="s">
        <v>16</v>
      </c>
      <c r="D256" s="15" t="s">
        <v>55</v>
      </c>
      <c r="E256" s="15" t="s">
        <v>19</v>
      </c>
      <c r="F256" s="15" t="n">
        <v>1</v>
      </c>
      <c r="G256" s="15" t="s">
        <v>158</v>
      </c>
      <c r="H256" s="15"/>
      <c r="I256" s="15" t="s">
        <v>55</v>
      </c>
      <c r="J256" s="15" t="s">
        <v>159</v>
      </c>
      <c r="K256" s="15" t="s">
        <v>623</v>
      </c>
      <c r="L256" s="15"/>
      <c r="M256" s="15"/>
      <c r="N256" s="15"/>
      <c r="O256" s="15"/>
      <c r="P256" s="15" t="n">
        <v>2.533</v>
      </c>
      <c r="Q256" s="15" t="n">
        <v>2.533</v>
      </c>
      <c r="R256" s="15"/>
      <c r="S256" s="15" t="s">
        <v>459</v>
      </c>
      <c r="T256" s="15" t="n">
        <v>86</v>
      </c>
      <c r="U256" s="15"/>
      <c r="V256" s="15"/>
      <c r="W256" s="15"/>
      <c r="X256" s="15" t="s">
        <v>165</v>
      </c>
      <c r="Y256" s="15" t="n">
        <v>34</v>
      </c>
      <c r="Z256" s="15" t="s">
        <v>166</v>
      </c>
      <c r="AA256" s="15"/>
      <c r="AB256" s="15" t="n">
        <v>58</v>
      </c>
      <c r="AC256" s="15" t="n">
        <v>58</v>
      </c>
      <c r="AD256" s="15"/>
      <c r="AE256" s="15"/>
      <c r="AF256" s="15" t="s">
        <v>169</v>
      </c>
      <c r="AG256" s="15"/>
      <c r="AH256" s="24" t="n">
        <f aca="false">IF(R256="",AM256,R256)</f>
        <v>66</v>
      </c>
      <c r="AI256" s="24" t="n">
        <f aca="false">SUMIFS(Permissions!$G$2:$G$3000,Permissions!$B$2:$B$3000,$A256,Permissions!$I$2:$I$3000,"Complete",Permissions!$R$2:$R$3000,"Yes")</f>
        <v>0</v>
      </c>
      <c r="AJ256" s="24" t="n">
        <f aca="false">SUMIFS(Permissions!$G$2:$G$3000,Permissions!$B$2:$B$3000,$A256,Permissions!$I$2:$I$3000,"Under construction",Permissions!$R$2:$R$3000,"Yes")</f>
        <v>66</v>
      </c>
      <c r="AK256" s="24" t="n">
        <f aca="false">SUMIFS(Permissions!$G$2:$G$3000,Permissions!$B$2:$B$3000,$A256,Permissions!$I$2:$I$3000,"Permitted – not started",Permissions!$R$2:$R$3000,"Yes")</f>
        <v>0</v>
      </c>
      <c r="AL256" s="24" t="n">
        <f aca="false">SUMIFS(Permissions!$G$2:$G$3000,Permissions!$B$2:$B$3000,$A256,Permissions!$I$2:$I$3000,"Stalled",Permissions!$R$2:$R$3000,"Yes")</f>
        <v>0</v>
      </c>
      <c r="AM256" s="24" t="n">
        <f aca="false">AI256+AJ256+AK256+AL256</f>
        <v>66</v>
      </c>
      <c r="AN256" s="24" t="n">
        <f aca="false">SUMIFS(Permissions!$G$2:$G$3000,Permissions!$B$2:$B$3000,$A256,Permissions!$I$2:$I$3000,"Expired – not started",Permissions!$R$2:$R$3000,"Yes")</f>
        <v>0</v>
      </c>
      <c r="AO256" s="24" t="n">
        <f aca="false">SUMIFS(Permissions!$G$2:$G$3000,Permissions!$B$2:$B$3000,$A256,Permissions!$I$2:$I$3000,"In planning",Permissions!$R$2:$R$3000,"Yes")</f>
        <v>0</v>
      </c>
      <c r="AP256" s="24" t="n">
        <f aca="false">IF(R256="",0,MAX(R256-AM256,0))</f>
        <v>0</v>
      </c>
      <c r="AQ256" s="25" t="n">
        <f aca="false">AM256+AP256</f>
        <v>66</v>
      </c>
      <c r="AR256" s="24" t="n">
        <f aca="false">SUMIFS(Permissions!$L$2:$L$3000,Permissions!$B$2:$B$3000,$A256,Permissions!$R$2:$R$3000,"Yes",Permissions!$I$2:$I$3000,"&lt;&gt;Expired – not started",Permissions!$I$2:$I$3000,"&lt;&gt;In planning")</f>
        <v>13</v>
      </c>
      <c r="AS256" s="24" t="n">
        <f aca="false">AQ256-AR256</f>
        <v>53</v>
      </c>
      <c r="AT256" s="26" t="n">
        <f aca="false">SUMIFS(Permissions!$AJ$2:$AJ$3000,Permissions!$B$2:$B$3000,$A256,Permissions!$R$2:$R$3000,"Yes")</f>
        <v>15.4</v>
      </c>
      <c r="AU256" s="26" t="n">
        <f aca="false">SUMIFS(Permissions!$AK$2:$AK$3000,Permissions!$B$2:$B$3000,$A256,Permissions!$R$2:$R$3000,"Yes")</f>
        <v>50.6</v>
      </c>
      <c r="AV256" s="26" t="n">
        <f aca="false">SUMIFS(Permissions!$AL$2:$AL$3000,Permissions!$B$2:$B$3000,$A256,Permissions!$R$2:$R$3000,"Yes")</f>
        <v>0</v>
      </c>
      <c r="AW256" s="26" t="n">
        <f aca="false">SUMIFS(Permissions!$AM$2:$AM$3000,Permissions!$B$2:$B$3000,$A256,Permissions!$R$2:$R$3000,"Yes")</f>
        <v>0</v>
      </c>
      <c r="AX256" s="26" t="n">
        <f aca="false">SUMIFS(Permissions!$AN$2:$AN$3000,Permissions!$B$2:$B$3000,$A256,Permissions!$R$2:$R$3000,"Yes")</f>
        <v>0</v>
      </c>
      <c r="AY256" s="26" t="n">
        <f aca="false">SUMIFS(Permissions!$AO$2:$AO$3000,Permissions!$B$2:$B$3000,$A256,Permissions!$R$2:$R$3000,"Yes")</f>
        <v>0</v>
      </c>
      <c r="AZ256" s="24" t="n">
        <f aca="false">COUNTIFS(Permissions!$B$2:$B$3000,$A256,Permissions!$R$2:$R$3000,"Yes")</f>
        <v>1</v>
      </c>
      <c r="BA256" s="24" t="n">
        <f aca="false">SUMIFS(Permissions!$M$2:$M$3000,Permissions!$B$2:$B$3000,$A256,Permissions!$R$2:$R$3000,"Yes")</f>
        <v>13</v>
      </c>
      <c r="BB256" s="24" t="n">
        <f aca="false">SUMIFS(Permissions!$O$2:$O$3000,Permissions!$B$2:$B$3000,$A256,Permissions!$R$2:$R$3000,"Yes")</f>
        <v>4</v>
      </c>
      <c r="BC256" s="27" t="str">
        <f aca="false">IF(AND(AM256&gt;0,AR256&gt;=AM256,AP256=0),"Finished",IF(AR256&gt;0,"Partly built",IF(AM256&gt;0,"Consented – not built","No consent")))</f>
        <v>Partly built</v>
      </c>
      <c r="BD256" s="28" t="str">
        <f aca="false">IF(AND(R256&lt;&gt;"",AM256&gt;1.1*R256),"Consented above capacity",IF(AND(LEFT(B256,8)="Planning",AZ256=0),"Consent parcel with no permission",IF(COUNTIF($A$2:$A$3000,$A256)&gt;1,"Duplicate parcel_id","")))</f>
        <v/>
      </c>
    </row>
    <row r="257" customFormat="false" ht="15" hidden="false" customHeight="false" outlineLevel="0" collapsed="false">
      <c r="A257" s="15" t="s">
        <v>624</v>
      </c>
      <c r="B257" s="15" t="s">
        <v>12</v>
      </c>
      <c r="C257" s="15" t="s">
        <v>16</v>
      </c>
      <c r="D257" s="15" t="s">
        <v>55</v>
      </c>
      <c r="E257" s="15" t="s">
        <v>19</v>
      </c>
      <c r="F257" s="15" t="n">
        <v>1</v>
      </c>
      <c r="G257" s="15" t="s">
        <v>158</v>
      </c>
      <c r="H257" s="15"/>
      <c r="I257" s="15" t="s">
        <v>55</v>
      </c>
      <c r="J257" s="15" t="s">
        <v>159</v>
      </c>
      <c r="K257" s="15" t="s">
        <v>625</v>
      </c>
      <c r="L257" s="15"/>
      <c r="M257" s="15"/>
      <c r="N257" s="15"/>
      <c r="O257" s="15"/>
      <c r="P257" s="15" t="n">
        <v>0.935</v>
      </c>
      <c r="Q257" s="15" t="n">
        <v>0.935</v>
      </c>
      <c r="R257" s="15"/>
      <c r="S257" s="15" t="s">
        <v>459</v>
      </c>
      <c r="T257" s="15" t="n">
        <v>32</v>
      </c>
      <c r="U257" s="15"/>
      <c r="V257" s="15"/>
      <c r="W257" s="15"/>
      <c r="X257" s="15" t="s">
        <v>165</v>
      </c>
      <c r="Y257" s="15" t="n">
        <v>34</v>
      </c>
      <c r="Z257" s="15" t="s">
        <v>166</v>
      </c>
      <c r="AA257" s="15"/>
      <c r="AB257" s="15" t="n">
        <v>0</v>
      </c>
      <c r="AC257" s="15" t="n">
        <v>0</v>
      </c>
      <c r="AD257" s="15"/>
      <c r="AE257" s="15"/>
      <c r="AF257" s="15" t="s">
        <v>169</v>
      </c>
      <c r="AG257" s="15"/>
      <c r="AH257" s="24" t="n">
        <f aca="false">IF(R257="",AM257,R257)</f>
        <v>104</v>
      </c>
      <c r="AI257" s="24" t="n">
        <f aca="false">SUMIFS(Permissions!$G$2:$G$3000,Permissions!$B$2:$B$3000,$A257,Permissions!$I$2:$I$3000,"Complete",Permissions!$R$2:$R$3000,"Yes")</f>
        <v>0</v>
      </c>
      <c r="AJ257" s="24" t="n">
        <f aca="false">SUMIFS(Permissions!$G$2:$G$3000,Permissions!$B$2:$B$3000,$A257,Permissions!$I$2:$I$3000,"Under construction",Permissions!$R$2:$R$3000,"Yes")</f>
        <v>0</v>
      </c>
      <c r="AK257" s="24" t="n">
        <f aca="false">SUMIFS(Permissions!$G$2:$G$3000,Permissions!$B$2:$B$3000,$A257,Permissions!$I$2:$I$3000,"Permitted – not started",Permissions!$R$2:$R$3000,"Yes")</f>
        <v>104</v>
      </c>
      <c r="AL257" s="24" t="n">
        <f aca="false">SUMIFS(Permissions!$G$2:$G$3000,Permissions!$B$2:$B$3000,$A257,Permissions!$I$2:$I$3000,"Stalled",Permissions!$R$2:$R$3000,"Yes")</f>
        <v>0</v>
      </c>
      <c r="AM257" s="24" t="n">
        <f aca="false">AI257+AJ257+AK257+AL257</f>
        <v>104</v>
      </c>
      <c r="AN257" s="24" t="n">
        <f aca="false">SUMIFS(Permissions!$G$2:$G$3000,Permissions!$B$2:$B$3000,$A257,Permissions!$I$2:$I$3000,"Expired – not started",Permissions!$R$2:$R$3000,"Yes")</f>
        <v>0</v>
      </c>
      <c r="AO257" s="24" t="n">
        <f aca="false">SUMIFS(Permissions!$G$2:$G$3000,Permissions!$B$2:$B$3000,$A257,Permissions!$I$2:$I$3000,"In planning",Permissions!$R$2:$R$3000,"Yes")</f>
        <v>0</v>
      </c>
      <c r="AP257" s="24" t="n">
        <f aca="false">IF(R257="",0,MAX(R257-AM257,0))</f>
        <v>0</v>
      </c>
      <c r="AQ257" s="25" t="n">
        <f aca="false">AM257+AP257</f>
        <v>104</v>
      </c>
      <c r="AR257" s="24" t="n">
        <f aca="false">SUMIFS(Permissions!$L$2:$L$3000,Permissions!$B$2:$B$3000,$A257,Permissions!$R$2:$R$3000,"Yes",Permissions!$I$2:$I$3000,"&lt;&gt;Expired – not started",Permissions!$I$2:$I$3000,"&lt;&gt;In planning")</f>
        <v>0</v>
      </c>
      <c r="AS257" s="24" t="n">
        <f aca="false">AQ257-AR257</f>
        <v>104</v>
      </c>
      <c r="AT257" s="26" t="n">
        <f aca="false">SUMIFS(Permissions!$AJ$2:$AJ$3000,Permissions!$B$2:$B$3000,$A257,Permissions!$R$2:$R$3000,"Yes")</f>
        <v>0</v>
      </c>
      <c r="AU257" s="26" t="n">
        <f aca="false">SUMIFS(Permissions!$AK$2:$AK$3000,Permissions!$B$2:$B$3000,$A257,Permissions!$R$2:$R$3000,"Yes")</f>
        <v>0</v>
      </c>
      <c r="AV257" s="26" t="n">
        <f aca="false">SUMIFS(Permissions!$AL$2:$AL$3000,Permissions!$B$2:$B$3000,$A257,Permissions!$R$2:$R$3000,"Yes")</f>
        <v>70</v>
      </c>
      <c r="AW257" s="26" t="n">
        <f aca="false">SUMIFS(Permissions!$AM$2:$AM$3000,Permissions!$B$2:$B$3000,$A257,Permissions!$R$2:$R$3000,"Yes")</f>
        <v>34</v>
      </c>
      <c r="AX257" s="26" t="n">
        <f aca="false">SUMIFS(Permissions!$AN$2:$AN$3000,Permissions!$B$2:$B$3000,$A257,Permissions!$R$2:$R$3000,"Yes")</f>
        <v>0</v>
      </c>
      <c r="AY257" s="26" t="n">
        <f aca="false">SUMIFS(Permissions!$AO$2:$AO$3000,Permissions!$B$2:$B$3000,$A257,Permissions!$R$2:$R$3000,"Yes")</f>
        <v>0</v>
      </c>
      <c r="AZ257" s="24" t="n">
        <f aca="false">COUNTIFS(Permissions!$B$2:$B$3000,$A257,Permissions!$R$2:$R$3000,"Yes")</f>
        <v>1</v>
      </c>
      <c r="BA257" s="24" t="n">
        <f aca="false">SUMIFS(Permissions!$M$2:$M$3000,Permissions!$B$2:$B$3000,$A257,Permissions!$R$2:$R$3000,"Yes")</f>
        <v>0</v>
      </c>
      <c r="BB257" s="24" t="n">
        <f aca="false">SUMIFS(Permissions!$O$2:$O$3000,Permissions!$B$2:$B$3000,$A257,Permissions!$R$2:$R$3000,"Yes")</f>
        <v>0</v>
      </c>
      <c r="BC257" s="27" t="str">
        <f aca="false">IF(AND(AM257&gt;0,AR257&gt;=AM257,AP257=0),"Finished",IF(AR257&gt;0,"Partly built",IF(AM257&gt;0,"Consented – not built","No consent")))</f>
        <v>Consented – not built</v>
      </c>
      <c r="BD257" s="28" t="str">
        <f aca="false">IF(AND(R257&lt;&gt;"",AM257&gt;1.1*R257),"Consented above capacity",IF(AND(LEFT(B257,8)="Planning",AZ257=0),"Consent parcel with no permission",IF(COUNTIF($A$2:$A$3000,$A257)&gt;1,"Duplicate parcel_id","")))</f>
        <v/>
      </c>
    </row>
    <row r="258" customFormat="false" ht="15" hidden="false" customHeight="false" outlineLevel="0" collapsed="false">
      <c r="A258" s="15" t="s">
        <v>626</v>
      </c>
      <c r="B258" s="15" t="s">
        <v>12</v>
      </c>
      <c r="C258" s="15" t="s">
        <v>16</v>
      </c>
      <c r="D258" s="15" t="s">
        <v>55</v>
      </c>
      <c r="E258" s="15" t="s">
        <v>19</v>
      </c>
      <c r="F258" s="15" t="n">
        <v>1</v>
      </c>
      <c r="G258" s="15" t="s">
        <v>158</v>
      </c>
      <c r="H258" s="15"/>
      <c r="I258" s="15" t="s">
        <v>55</v>
      </c>
      <c r="J258" s="15" t="s">
        <v>159</v>
      </c>
      <c r="K258" s="15" t="s">
        <v>627</v>
      </c>
      <c r="L258" s="15"/>
      <c r="M258" s="15"/>
      <c r="N258" s="15"/>
      <c r="O258" s="15"/>
      <c r="P258" s="15" t="n">
        <v>0.272</v>
      </c>
      <c r="Q258" s="15" t="n">
        <v>0.272</v>
      </c>
      <c r="R258" s="15"/>
      <c r="S258" s="15" t="s">
        <v>459</v>
      </c>
      <c r="T258" s="15" t="n">
        <v>9</v>
      </c>
      <c r="U258" s="15"/>
      <c r="V258" s="15"/>
      <c r="W258" s="15"/>
      <c r="X258" s="15" t="s">
        <v>165</v>
      </c>
      <c r="Y258" s="15" t="n">
        <v>34</v>
      </c>
      <c r="Z258" s="15" t="s">
        <v>166</v>
      </c>
      <c r="AA258" s="15"/>
      <c r="AB258" s="15" t="n">
        <v>1</v>
      </c>
      <c r="AC258" s="15" t="n">
        <v>1</v>
      </c>
      <c r="AD258" s="15"/>
      <c r="AE258" s="15"/>
      <c r="AF258" s="15" t="s">
        <v>169</v>
      </c>
      <c r="AG258" s="15"/>
      <c r="AH258" s="24" t="n">
        <f aca="false">IF(R258="",AM258,R258)</f>
        <v>24</v>
      </c>
      <c r="AI258" s="24" t="n">
        <f aca="false">SUMIFS(Permissions!$G$2:$G$3000,Permissions!$B$2:$B$3000,$A258,Permissions!$I$2:$I$3000,"Complete",Permissions!$R$2:$R$3000,"Yes")</f>
        <v>0</v>
      </c>
      <c r="AJ258" s="24" t="n">
        <f aca="false">SUMIFS(Permissions!$G$2:$G$3000,Permissions!$B$2:$B$3000,$A258,Permissions!$I$2:$I$3000,"Under construction",Permissions!$R$2:$R$3000,"Yes")</f>
        <v>0</v>
      </c>
      <c r="AK258" s="24" t="n">
        <f aca="false">SUMIFS(Permissions!$G$2:$G$3000,Permissions!$B$2:$B$3000,$A258,Permissions!$I$2:$I$3000,"Permitted – not started",Permissions!$R$2:$R$3000,"Yes")</f>
        <v>24</v>
      </c>
      <c r="AL258" s="24" t="n">
        <f aca="false">SUMIFS(Permissions!$G$2:$G$3000,Permissions!$B$2:$B$3000,$A258,Permissions!$I$2:$I$3000,"Stalled",Permissions!$R$2:$R$3000,"Yes")</f>
        <v>0</v>
      </c>
      <c r="AM258" s="24" t="n">
        <f aca="false">AI258+AJ258+AK258+AL258</f>
        <v>24</v>
      </c>
      <c r="AN258" s="24" t="n">
        <f aca="false">SUMIFS(Permissions!$G$2:$G$3000,Permissions!$B$2:$B$3000,$A258,Permissions!$I$2:$I$3000,"Expired – not started",Permissions!$R$2:$R$3000,"Yes")</f>
        <v>0</v>
      </c>
      <c r="AO258" s="24" t="n">
        <f aca="false">SUMIFS(Permissions!$G$2:$G$3000,Permissions!$B$2:$B$3000,$A258,Permissions!$I$2:$I$3000,"In planning",Permissions!$R$2:$R$3000,"Yes")</f>
        <v>0</v>
      </c>
      <c r="AP258" s="24" t="n">
        <f aca="false">IF(R258="",0,MAX(R258-AM258,0))</f>
        <v>0</v>
      </c>
      <c r="AQ258" s="25" t="n">
        <f aca="false">AM258+AP258</f>
        <v>24</v>
      </c>
      <c r="AR258" s="24" t="n">
        <f aca="false">SUMIFS(Permissions!$L$2:$L$3000,Permissions!$B$2:$B$3000,$A258,Permissions!$R$2:$R$3000,"Yes",Permissions!$I$2:$I$3000,"&lt;&gt;Expired – not started",Permissions!$I$2:$I$3000,"&lt;&gt;In planning")</f>
        <v>0</v>
      </c>
      <c r="AS258" s="24" t="n">
        <f aca="false">AQ258-AR258</f>
        <v>24</v>
      </c>
      <c r="AT258" s="26" t="n">
        <f aca="false">SUMIFS(Permissions!$AJ$2:$AJ$3000,Permissions!$B$2:$B$3000,$A258,Permissions!$R$2:$R$3000,"Yes")</f>
        <v>0</v>
      </c>
      <c r="AU258" s="26" t="n">
        <f aca="false">SUMIFS(Permissions!$AK$2:$AK$3000,Permissions!$B$2:$B$3000,$A258,Permissions!$R$2:$R$3000,"Yes")</f>
        <v>0</v>
      </c>
      <c r="AV258" s="26" t="n">
        <f aca="false">SUMIFS(Permissions!$AL$2:$AL$3000,Permissions!$B$2:$B$3000,$A258,Permissions!$R$2:$R$3000,"Yes")</f>
        <v>4.2</v>
      </c>
      <c r="AW258" s="26" t="n">
        <f aca="false">SUMIFS(Permissions!$AM$2:$AM$3000,Permissions!$B$2:$B$3000,$A258,Permissions!$R$2:$R$3000,"Yes")</f>
        <v>12.8</v>
      </c>
      <c r="AX258" s="26" t="n">
        <f aca="false">SUMIFS(Permissions!$AN$2:$AN$3000,Permissions!$B$2:$B$3000,$A258,Permissions!$R$2:$R$3000,"Yes")</f>
        <v>7</v>
      </c>
      <c r="AY258" s="26" t="n">
        <f aca="false">SUMIFS(Permissions!$AO$2:$AO$3000,Permissions!$B$2:$B$3000,$A258,Permissions!$R$2:$R$3000,"Yes")</f>
        <v>0</v>
      </c>
      <c r="AZ258" s="24" t="n">
        <f aca="false">COUNTIFS(Permissions!$B$2:$B$3000,$A258,Permissions!$R$2:$R$3000,"Yes")</f>
        <v>1</v>
      </c>
      <c r="BA258" s="24" t="n">
        <f aca="false">SUMIFS(Permissions!$M$2:$M$3000,Permissions!$B$2:$B$3000,$A258,Permissions!$R$2:$R$3000,"Yes")</f>
        <v>0</v>
      </c>
      <c r="BB258" s="24" t="n">
        <f aca="false">SUMIFS(Permissions!$O$2:$O$3000,Permissions!$B$2:$B$3000,$A258,Permissions!$R$2:$R$3000,"Yes")</f>
        <v>0</v>
      </c>
      <c r="BC258" s="27" t="str">
        <f aca="false">IF(AND(AM258&gt;0,AR258&gt;=AM258,AP258=0),"Finished",IF(AR258&gt;0,"Partly built",IF(AM258&gt;0,"Consented – not built","No consent")))</f>
        <v>Consented – not built</v>
      </c>
      <c r="BD258" s="28" t="str">
        <f aca="false">IF(AND(R258&lt;&gt;"",AM258&gt;1.1*R258),"Consented above capacity",IF(AND(LEFT(B258,8)="Planning",AZ258=0),"Consent parcel with no permission",IF(COUNTIF($A$2:$A$3000,$A258)&gt;1,"Duplicate parcel_id","")))</f>
        <v/>
      </c>
    </row>
    <row r="259" customFormat="false" ht="15" hidden="false" customHeight="false" outlineLevel="0" collapsed="false">
      <c r="A259" s="15" t="s">
        <v>628</v>
      </c>
      <c r="B259" s="15" t="s">
        <v>12</v>
      </c>
      <c r="C259" s="15" t="s">
        <v>16</v>
      </c>
      <c r="D259" s="15" t="s">
        <v>55</v>
      </c>
      <c r="E259" s="15" t="s">
        <v>19</v>
      </c>
      <c r="F259" s="15" t="n">
        <v>1</v>
      </c>
      <c r="G259" s="15" t="s">
        <v>158</v>
      </c>
      <c r="H259" s="15"/>
      <c r="I259" s="15" t="s">
        <v>55</v>
      </c>
      <c r="J259" s="15" t="s">
        <v>159</v>
      </c>
      <c r="K259" s="15" t="s">
        <v>629</v>
      </c>
      <c r="L259" s="15"/>
      <c r="M259" s="15"/>
      <c r="N259" s="15"/>
      <c r="O259" s="15"/>
      <c r="P259" s="15" t="n">
        <v>0.196</v>
      </c>
      <c r="Q259" s="15" t="n">
        <v>0.196</v>
      </c>
      <c r="R259" s="15"/>
      <c r="S259" s="15" t="s">
        <v>459</v>
      </c>
      <c r="T259" s="15" t="n">
        <v>7</v>
      </c>
      <c r="U259" s="15"/>
      <c r="V259" s="15"/>
      <c r="W259" s="15"/>
      <c r="X259" s="15" t="s">
        <v>165</v>
      </c>
      <c r="Y259" s="15" t="n">
        <v>34</v>
      </c>
      <c r="Z259" s="15" t="s">
        <v>166</v>
      </c>
      <c r="AA259" s="15"/>
      <c r="AB259" s="15" t="n">
        <v>0</v>
      </c>
      <c r="AC259" s="15" t="n">
        <v>0</v>
      </c>
      <c r="AD259" s="15"/>
      <c r="AE259" s="15" t="s">
        <v>486</v>
      </c>
      <c r="AF259" s="15" t="s">
        <v>169</v>
      </c>
      <c r="AG259" s="15"/>
      <c r="AH259" s="24" t="n">
        <f aca="false">IF(R259="",AM259,R259)</f>
        <v>20</v>
      </c>
      <c r="AI259" s="24" t="n">
        <f aca="false">SUMIFS(Permissions!$G$2:$G$3000,Permissions!$B$2:$B$3000,$A259,Permissions!$I$2:$I$3000,"Complete",Permissions!$R$2:$R$3000,"Yes")</f>
        <v>0</v>
      </c>
      <c r="AJ259" s="24" t="n">
        <f aca="false">SUMIFS(Permissions!$G$2:$G$3000,Permissions!$B$2:$B$3000,$A259,Permissions!$I$2:$I$3000,"Under construction",Permissions!$R$2:$R$3000,"Yes")</f>
        <v>0</v>
      </c>
      <c r="AK259" s="24" t="n">
        <f aca="false">SUMIFS(Permissions!$G$2:$G$3000,Permissions!$B$2:$B$3000,$A259,Permissions!$I$2:$I$3000,"Permitted – not started",Permissions!$R$2:$R$3000,"Yes")</f>
        <v>20</v>
      </c>
      <c r="AL259" s="24" t="n">
        <f aca="false">SUMIFS(Permissions!$G$2:$G$3000,Permissions!$B$2:$B$3000,$A259,Permissions!$I$2:$I$3000,"Stalled",Permissions!$R$2:$R$3000,"Yes")</f>
        <v>0</v>
      </c>
      <c r="AM259" s="24" t="n">
        <f aca="false">AI259+AJ259+AK259+AL259</f>
        <v>20</v>
      </c>
      <c r="AN259" s="24" t="n">
        <f aca="false">SUMIFS(Permissions!$G$2:$G$3000,Permissions!$B$2:$B$3000,$A259,Permissions!$I$2:$I$3000,"Expired – not started",Permissions!$R$2:$R$3000,"Yes")</f>
        <v>0</v>
      </c>
      <c r="AO259" s="24" t="n">
        <f aca="false">SUMIFS(Permissions!$G$2:$G$3000,Permissions!$B$2:$B$3000,$A259,Permissions!$I$2:$I$3000,"In planning",Permissions!$R$2:$R$3000,"Yes")</f>
        <v>0</v>
      </c>
      <c r="AP259" s="24" t="n">
        <f aca="false">IF(R259="",0,MAX(R259-AM259,0))</f>
        <v>0</v>
      </c>
      <c r="AQ259" s="25" t="n">
        <f aca="false">AM259+AP259</f>
        <v>20</v>
      </c>
      <c r="AR259" s="24" t="n">
        <f aca="false">SUMIFS(Permissions!$L$2:$L$3000,Permissions!$B$2:$B$3000,$A259,Permissions!$R$2:$R$3000,"Yes",Permissions!$I$2:$I$3000,"&lt;&gt;Expired – not started",Permissions!$I$2:$I$3000,"&lt;&gt;In planning")</f>
        <v>0</v>
      </c>
      <c r="AS259" s="24" t="n">
        <f aca="false">AQ259-AR259</f>
        <v>20</v>
      </c>
      <c r="AT259" s="26" t="n">
        <f aca="false">SUMIFS(Permissions!$AJ$2:$AJ$3000,Permissions!$B$2:$B$3000,$A259,Permissions!$R$2:$R$3000,"Yes")</f>
        <v>0</v>
      </c>
      <c r="AU259" s="26" t="n">
        <f aca="false">SUMIFS(Permissions!$AK$2:$AK$3000,Permissions!$B$2:$B$3000,$A259,Permissions!$R$2:$R$3000,"Yes")</f>
        <v>0</v>
      </c>
      <c r="AV259" s="26" t="n">
        <f aca="false">SUMIFS(Permissions!$AL$2:$AL$3000,Permissions!$B$2:$B$3000,$A259,Permissions!$R$2:$R$3000,"Yes")</f>
        <v>6.9</v>
      </c>
      <c r="AW259" s="26" t="n">
        <f aca="false">SUMIFS(Permissions!$AM$2:$AM$3000,Permissions!$B$2:$B$3000,$A259,Permissions!$R$2:$R$3000,"Yes")</f>
        <v>13.1</v>
      </c>
      <c r="AX259" s="26" t="n">
        <f aca="false">SUMIFS(Permissions!$AN$2:$AN$3000,Permissions!$B$2:$B$3000,$A259,Permissions!$R$2:$R$3000,"Yes")</f>
        <v>0</v>
      </c>
      <c r="AY259" s="26" t="n">
        <f aca="false">SUMIFS(Permissions!$AO$2:$AO$3000,Permissions!$B$2:$B$3000,$A259,Permissions!$R$2:$R$3000,"Yes")</f>
        <v>0</v>
      </c>
      <c r="AZ259" s="24" t="n">
        <f aca="false">COUNTIFS(Permissions!$B$2:$B$3000,$A259,Permissions!$R$2:$R$3000,"Yes")</f>
        <v>1</v>
      </c>
      <c r="BA259" s="24" t="n">
        <f aca="false">SUMIFS(Permissions!$M$2:$M$3000,Permissions!$B$2:$B$3000,$A259,Permissions!$R$2:$R$3000,"Yes")</f>
        <v>0</v>
      </c>
      <c r="BB259" s="24" t="n">
        <f aca="false">SUMIFS(Permissions!$O$2:$O$3000,Permissions!$B$2:$B$3000,$A259,Permissions!$R$2:$R$3000,"Yes")</f>
        <v>0</v>
      </c>
      <c r="BC259" s="27" t="str">
        <f aca="false">IF(AND(AM259&gt;0,AR259&gt;=AM259,AP259=0),"Finished",IF(AR259&gt;0,"Partly built",IF(AM259&gt;0,"Consented – not built","No consent")))</f>
        <v>Consented – not built</v>
      </c>
      <c r="BD259" s="28" t="str">
        <f aca="false">IF(AND(R259&lt;&gt;"",AM259&gt;1.1*R259),"Consented above capacity",IF(AND(LEFT(B259,8)="Planning",AZ259=0),"Consent parcel with no permission",IF(COUNTIF($A$2:$A$3000,$A259)&gt;1,"Duplicate parcel_id","")))</f>
        <v/>
      </c>
    </row>
    <row r="260" customFormat="false" ht="15" hidden="false" customHeight="false" outlineLevel="0" collapsed="false">
      <c r="A260" s="15" t="s">
        <v>630</v>
      </c>
      <c r="B260" s="15" t="s">
        <v>12</v>
      </c>
      <c r="C260" s="15" t="s">
        <v>16</v>
      </c>
      <c r="D260" s="15" t="s">
        <v>56</v>
      </c>
      <c r="E260" s="15" t="s">
        <v>19</v>
      </c>
      <c r="F260" s="15" t="n">
        <v>1</v>
      </c>
      <c r="G260" s="15" t="s">
        <v>158</v>
      </c>
      <c r="H260" s="15"/>
      <c r="I260" s="15" t="s">
        <v>56</v>
      </c>
      <c r="J260" s="15" t="s">
        <v>182</v>
      </c>
      <c r="K260" s="15" t="s">
        <v>631</v>
      </c>
      <c r="L260" s="15"/>
      <c r="M260" s="15"/>
      <c r="N260" s="15"/>
      <c r="O260" s="15"/>
      <c r="P260" s="15" t="n">
        <v>0.172</v>
      </c>
      <c r="Q260" s="15" t="n">
        <v>0.172</v>
      </c>
      <c r="R260" s="15"/>
      <c r="S260" s="15" t="s">
        <v>459</v>
      </c>
      <c r="T260" s="15" t="n">
        <v>6</v>
      </c>
      <c r="U260" s="15"/>
      <c r="V260" s="15"/>
      <c r="W260" s="15"/>
      <c r="X260" s="15" t="s">
        <v>165</v>
      </c>
      <c r="Y260" s="15" t="n">
        <v>34</v>
      </c>
      <c r="Z260" s="15" t="s">
        <v>166</v>
      </c>
      <c r="AA260" s="15"/>
      <c r="AB260" s="15" t="n">
        <v>2</v>
      </c>
      <c r="AC260" s="15" t="n">
        <v>0</v>
      </c>
      <c r="AD260" s="15"/>
      <c r="AE260" s="15" t="s">
        <v>492</v>
      </c>
      <c r="AF260" s="15" t="s">
        <v>169</v>
      </c>
      <c r="AG260" s="15"/>
      <c r="AH260" s="24" t="n">
        <f aca="false">IF(R260="",AM260,R260)</f>
        <v>23</v>
      </c>
      <c r="AI260" s="24" t="n">
        <f aca="false">SUMIFS(Permissions!$G$2:$G$3000,Permissions!$B$2:$B$3000,$A260,Permissions!$I$2:$I$3000,"Complete",Permissions!$R$2:$R$3000,"Yes")</f>
        <v>0</v>
      </c>
      <c r="AJ260" s="24" t="n">
        <f aca="false">SUMIFS(Permissions!$G$2:$G$3000,Permissions!$B$2:$B$3000,$A260,Permissions!$I$2:$I$3000,"Under construction",Permissions!$R$2:$R$3000,"Yes")</f>
        <v>0</v>
      </c>
      <c r="AK260" s="24" t="n">
        <f aca="false">SUMIFS(Permissions!$G$2:$G$3000,Permissions!$B$2:$B$3000,$A260,Permissions!$I$2:$I$3000,"Permitted – not started",Permissions!$R$2:$R$3000,"Yes")</f>
        <v>23</v>
      </c>
      <c r="AL260" s="24" t="n">
        <f aca="false">SUMIFS(Permissions!$G$2:$G$3000,Permissions!$B$2:$B$3000,$A260,Permissions!$I$2:$I$3000,"Stalled",Permissions!$R$2:$R$3000,"Yes")</f>
        <v>0</v>
      </c>
      <c r="AM260" s="24" t="n">
        <f aca="false">AI260+AJ260+AK260+AL260</f>
        <v>23</v>
      </c>
      <c r="AN260" s="24" t="n">
        <f aca="false">SUMIFS(Permissions!$G$2:$G$3000,Permissions!$B$2:$B$3000,$A260,Permissions!$I$2:$I$3000,"Expired – not started",Permissions!$R$2:$R$3000,"Yes")</f>
        <v>0</v>
      </c>
      <c r="AO260" s="24" t="n">
        <f aca="false">SUMIFS(Permissions!$G$2:$G$3000,Permissions!$B$2:$B$3000,$A260,Permissions!$I$2:$I$3000,"In planning",Permissions!$R$2:$R$3000,"Yes")</f>
        <v>0</v>
      </c>
      <c r="AP260" s="24" t="n">
        <f aca="false">IF(R260="",0,MAX(R260-AM260,0))</f>
        <v>0</v>
      </c>
      <c r="AQ260" s="25" t="n">
        <f aca="false">AM260+AP260</f>
        <v>23</v>
      </c>
      <c r="AR260" s="24" t="n">
        <f aca="false">SUMIFS(Permissions!$L$2:$L$3000,Permissions!$B$2:$B$3000,$A260,Permissions!$R$2:$R$3000,"Yes",Permissions!$I$2:$I$3000,"&lt;&gt;Expired – not started",Permissions!$I$2:$I$3000,"&lt;&gt;In planning")</f>
        <v>0</v>
      </c>
      <c r="AS260" s="24" t="n">
        <f aca="false">AQ260-AR260</f>
        <v>23</v>
      </c>
      <c r="AT260" s="26" t="n">
        <f aca="false">SUMIFS(Permissions!$AJ$2:$AJ$3000,Permissions!$B$2:$B$3000,$A260,Permissions!$R$2:$R$3000,"Yes")</f>
        <v>0</v>
      </c>
      <c r="AU260" s="26" t="n">
        <f aca="false">SUMIFS(Permissions!$AK$2:$AK$3000,Permissions!$B$2:$B$3000,$A260,Permissions!$R$2:$R$3000,"Yes")</f>
        <v>0</v>
      </c>
      <c r="AV260" s="26" t="n">
        <f aca="false">SUMIFS(Permissions!$AL$2:$AL$3000,Permissions!$B$2:$B$3000,$A260,Permissions!$R$2:$R$3000,"Yes")</f>
        <v>9.6</v>
      </c>
      <c r="AW260" s="26" t="n">
        <f aca="false">SUMIFS(Permissions!$AM$2:$AM$3000,Permissions!$B$2:$B$3000,$A260,Permissions!$R$2:$R$3000,"Yes")</f>
        <v>13.1</v>
      </c>
      <c r="AX260" s="26" t="n">
        <f aca="false">SUMIFS(Permissions!$AN$2:$AN$3000,Permissions!$B$2:$B$3000,$A260,Permissions!$R$2:$R$3000,"Yes")</f>
        <v>0.3</v>
      </c>
      <c r="AY260" s="26" t="n">
        <f aca="false">SUMIFS(Permissions!$AO$2:$AO$3000,Permissions!$B$2:$B$3000,$A260,Permissions!$R$2:$R$3000,"Yes")</f>
        <v>0</v>
      </c>
      <c r="AZ260" s="24" t="n">
        <f aca="false">COUNTIFS(Permissions!$B$2:$B$3000,$A260,Permissions!$R$2:$R$3000,"Yes")</f>
        <v>1</v>
      </c>
      <c r="BA260" s="24" t="n">
        <f aca="false">SUMIFS(Permissions!$M$2:$M$3000,Permissions!$B$2:$B$3000,$A260,Permissions!$R$2:$R$3000,"Yes")</f>
        <v>0</v>
      </c>
      <c r="BB260" s="24" t="n">
        <f aca="false">SUMIFS(Permissions!$O$2:$O$3000,Permissions!$B$2:$B$3000,$A260,Permissions!$R$2:$R$3000,"Yes")</f>
        <v>0</v>
      </c>
      <c r="BC260" s="27" t="str">
        <f aca="false">IF(AND(AM260&gt;0,AR260&gt;=AM260,AP260=0),"Finished",IF(AR260&gt;0,"Partly built",IF(AM260&gt;0,"Consented – not built","No consent")))</f>
        <v>Consented – not built</v>
      </c>
      <c r="BD260" s="28" t="str">
        <f aca="false">IF(AND(R260&lt;&gt;"",AM260&gt;1.1*R260),"Consented above capacity",IF(AND(LEFT(B260,8)="Planning",AZ260=0),"Consent parcel with no permission",IF(COUNTIF($A$2:$A$3000,$A260)&gt;1,"Duplicate parcel_id","")))</f>
        <v/>
      </c>
    </row>
    <row r="261" customFormat="false" ht="15" hidden="false" customHeight="false" outlineLevel="0" collapsed="false">
      <c r="A261" s="15" t="s">
        <v>632</v>
      </c>
      <c r="B261" s="15" t="s">
        <v>12</v>
      </c>
      <c r="C261" s="15" t="s">
        <v>16</v>
      </c>
      <c r="D261" s="15" t="s">
        <v>57</v>
      </c>
      <c r="E261" s="15" t="s">
        <v>19</v>
      </c>
      <c r="F261" s="15" t="n">
        <v>1</v>
      </c>
      <c r="G261" s="15" t="s">
        <v>158</v>
      </c>
      <c r="H261" s="15"/>
      <c r="I261" s="15" t="s">
        <v>57</v>
      </c>
      <c r="J261" s="15" t="s">
        <v>182</v>
      </c>
      <c r="K261" s="15" t="s">
        <v>633</v>
      </c>
      <c r="L261" s="15"/>
      <c r="M261" s="15"/>
      <c r="N261" s="15"/>
      <c r="O261" s="15"/>
      <c r="P261" s="15" t="n">
        <v>0.19</v>
      </c>
      <c r="Q261" s="15" t="n">
        <v>0.19</v>
      </c>
      <c r="R261" s="15"/>
      <c r="S261" s="15" t="s">
        <v>459</v>
      </c>
      <c r="T261" s="15" t="n">
        <v>6</v>
      </c>
      <c r="U261" s="15"/>
      <c r="V261" s="15"/>
      <c r="W261" s="15"/>
      <c r="X261" s="15" t="s">
        <v>165</v>
      </c>
      <c r="Y261" s="15" t="n">
        <v>34</v>
      </c>
      <c r="Z261" s="15" t="s">
        <v>166</v>
      </c>
      <c r="AA261" s="15"/>
      <c r="AB261" s="15" t="n">
        <v>7</v>
      </c>
      <c r="AC261" s="15" t="n">
        <v>7</v>
      </c>
      <c r="AD261" s="15"/>
      <c r="AE261" s="15"/>
      <c r="AF261" s="15" t="s">
        <v>169</v>
      </c>
      <c r="AG261" s="15"/>
      <c r="AH261" s="24" t="n">
        <f aca="false">IF(R261="",AM261,R261)</f>
        <v>7</v>
      </c>
      <c r="AI261" s="24" t="n">
        <f aca="false">SUMIFS(Permissions!$G$2:$G$3000,Permissions!$B$2:$B$3000,$A261,Permissions!$I$2:$I$3000,"Complete",Permissions!$R$2:$R$3000,"Yes")</f>
        <v>7</v>
      </c>
      <c r="AJ261" s="24" t="n">
        <f aca="false">SUMIFS(Permissions!$G$2:$G$3000,Permissions!$B$2:$B$3000,$A261,Permissions!$I$2:$I$3000,"Under construction",Permissions!$R$2:$R$3000,"Yes")</f>
        <v>0</v>
      </c>
      <c r="AK261" s="24" t="n">
        <f aca="false">SUMIFS(Permissions!$G$2:$G$3000,Permissions!$B$2:$B$3000,$A261,Permissions!$I$2:$I$3000,"Permitted – not started",Permissions!$R$2:$R$3000,"Yes")</f>
        <v>0</v>
      </c>
      <c r="AL261" s="24" t="n">
        <f aca="false">SUMIFS(Permissions!$G$2:$G$3000,Permissions!$B$2:$B$3000,$A261,Permissions!$I$2:$I$3000,"Stalled",Permissions!$R$2:$R$3000,"Yes")</f>
        <v>0</v>
      </c>
      <c r="AM261" s="24" t="n">
        <f aca="false">AI261+AJ261+AK261+AL261</f>
        <v>7</v>
      </c>
      <c r="AN261" s="24" t="n">
        <f aca="false">SUMIFS(Permissions!$G$2:$G$3000,Permissions!$B$2:$B$3000,$A261,Permissions!$I$2:$I$3000,"Expired – not started",Permissions!$R$2:$R$3000,"Yes")</f>
        <v>0</v>
      </c>
      <c r="AO261" s="24" t="n">
        <f aca="false">SUMIFS(Permissions!$G$2:$G$3000,Permissions!$B$2:$B$3000,$A261,Permissions!$I$2:$I$3000,"In planning",Permissions!$R$2:$R$3000,"Yes")</f>
        <v>0</v>
      </c>
      <c r="AP261" s="24" t="n">
        <f aca="false">IF(R261="",0,MAX(R261-AM261,0))</f>
        <v>0</v>
      </c>
      <c r="AQ261" s="25" t="n">
        <f aca="false">AM261+AP261</f>
        <v>7</v>
      </c>
      <c r="AR261" s="24" t="n">
        <f aca="false">SUMIFS(Permissions!$L$2:$L$3000,Permissions!$B$2:$B$3000,$A261,Permissions!$R$2:$R$3000,"Yes",Permissions!$I$2:$I$3000,"&lt;&gt;Expired – not started",Permissions!$I$2:$I$3000,"&lt;&gt;In planning")</f>
        <v>7</v>
      </c>
      <c r="AS261" s="24" t="n">
        <f aca="false">AQ261-AR261</f>
        <v>0</v>
      </c>
      <c r="AT261" s="26" t="n">
        <f aca="false">SUMIFS(Permissions!$AJ$2:$AJ$3000,Permissions!$B$2:$B$3000,$A261,Permissions!$R$2:$R$3000,"Yes")</f>
        <v>0</v>
      </c>
      <c r="AU261" s="26" t="n">
        <f aca="false">SUMIFS(Permissions!$AK$2:$AK$3000,Permissions!$B$2:$B$3000,$A261,Permissions!$R$2:$R$3000,"Yes")</f>
        <v>0</v>
      </c>
      <c r="AV261" s="26" t="n">
        <f aca="false">SUMIFS(Permissions!$AL$2:$AL$3000,Permissions!$B$2:$B$3000,$A261,Permissions!$R$2:$R$3000,"Yes")</f>
        <v>0</v>
      </c>
      <c r="AW261" s="26" t="n">
        <f aca="false">SUMIFS(Permissions!$AM$2:$AM$3000,Permissions!$B$2:$B$3000,$A261,Permissions!$R$2:$R$3000,"Yes")</f>
        <v>0</v>
      </c>
      <c r="AX261" s="26" t="n">
        <f aca="false">SUMIFS(Permissions!$AN$2:$AN$3000,Permissions!$B$2:$B$3000,$A261,Permissions!$R$2:$R$3000,"Yes")</f>
        <v>0</v>
      </c>
      <c r="AY261" s="26" t="n">
        <f aca="false">SUMIFS(Permissions!$AO$2:$AO$3000,Permissions!$B$2:$B$3000,$A261,Permissions!$R$2:$R$3000,"Yes")</f>
        <v>0</v>
      </c>
      <c r="AZ261" s="24" t="n">
        <f aca="false">COUNTIFS(Permissions!$B$2:$B$3000,$A261,Permissions!$R$2:$R$3000,"Yes")</f>
        <v>1</v>
      </c>
      <c r="BA261" s="24" t="n">
        <f aca="false">SUMIFS(Permissions!$M$2:$M$3000,Permissions!$B$2:$B$3000,$A261,Permissions!$R$2:$R$3000,"Yes")</f>
        <v>7</v>
      </c>
      <c r="BB261" s="24" t="n">
        <f aca="false">SUMIFS(Permissions!$O$2:$O$3000,Permissions!$B$2:$B$3000,$A261,Permissions!$R$2:$R$3000,"Yes")</f>
        <v>0</v>
      </c>
      <c r="BC261" s="27" t="str">
        <f aca="false">IF(AND(AM261&gt;0,AR261&gt;=AM261,AP261=0),"Finished",IF(AR261&gt;0,"Partly built",IF(AM261&gt;0,"Consented – not built","No consent")))</f>
        <v>Finished</v>
      </c>
      <c r="BD261" s="28" t="str">
        <f aca="false">IF(AND(R261&lt;&gt;"",AM261&gt;1.1*R261),"Consented above capacity",IF(AND(LEFT(B261,8)="Planning",AZ261=0),"Consent parcel with no permission",IF(COUNTIF($A$2:$A$3000,$A261)&gt;1,"Duplicate parcel_id","")))</f>
        <v/>
      </c>
    </row>
    <row r="262" customFormat="false" ht="15" hidden="false" customHeight="false" outlineLevel="0" collapsed="false">
      <c r="A262" s="15" t="s">
        <v>634</v>
      </c>
      <c r="B262" s="15" t="s">
        <v>12</v>
      </c>
      <c r="C262" s="15" t="s">
        <v>16</v>
      </c>
      <c r="D262" s="15" t="s">
        <v>57</v>
      </c>
      <c r="E262" s="15" t="s">
        <v>19</v>
      </c>
      <c r="F262" s="15" t="n">
        <v>1</v>
      </c>
      <c r="G262" s="15" t="s">
        <v>158</v>
      </c>
      <c r="H262" s="15"/>
      <c r="I262" s="15" t="s">
        <v>57</v>
      </c>
      <c r="J262" s="15" t="s">
        <v>182</v>
      </c>
      <c r="K262" s="15" t="s">
        <v>635</v>
      </c>
      <c r="L262" s="15"/>
      <c r="M262" s="15"/>
      <c r="N262" s="15"/>
      <c r="O262" s="15"/>
      <c r="P262" s="15" t="n">
        <v>0.061</v>
      </c>
      <c r="Q262" s="15" t="n">
        <v>0.061</v>
      </c>
      <c r="R262" s="15"/>
      <c r="S262" s="15" t="s">
        <v>459</v>
      </c>
      <c r="T262" s="15" t="n">
        <v>2</v>
      </c>
      <c r="U262" s="15"/>
      <c r="V262" s="15"/>
      <c r="W262" s="15"/>
      <c r="X262" s="15" t="s">
        <v>165</v>
      </c>
      <c r="Y262" s="15" t="n">
        <v>34</v>
      </c>
      <c r="Z262" s="15" t="s">
        <v>166</v>
      </c>
      <c r="AA262" s="15"/>
      <c r="AB262" s="15" t="n">
        <v>7</v>
      </c>
      <c r="AC262" s="15" t="n">
        <v>7</v>
      </c>
      <c r="AD262" s="15"/>
      <c r="AE262" s="15"/>
      <c r="AF262" s="15" t="s">
        <v>169</v>
      </c>
      <c r="AG262" s="15"/>
      <c r="AH262" s="24" t="n">
        <f aca="false">IF(R262="",AM262,R262)</f>
        <v>7</v>
      </c>
      <c r="AI262" s="24" t="n">
        <f aca="false">SUMIFS(Permissions!$G$2:$G$3000,Permissions!$B$2:$B$3000,$A262,Permissions!$I$2:$I$3000,"Complete",Permissions!$R$2:$R$3000,"Yes")</f>
        <v>7</v>
      </c>
      <c r="AJ262" s="24" t="n">
        <f aca="false">SUMIFS(Permissions!$G$2:$G$3000,Permissions!$B$2:$B$3000,$A262,Permissions!$I$2:$I$3000,"Under construction",Permissions!$R$2:$R$3000,"Yes")</f>
        <v>0</v>
      </c>
      <c r="AK262" s="24" t="n">
        <f aca="false">SUMIFS(Permissions!$G$2:$G$3000,Permissions!$B$2:$B$3000,$A262,Permissions!$I$2:$I$3000,"Permitted – not started",Permissions!$R$2:$R$3000,"Yes")</f>
        <v>0</v>
      </c>
      <c r="AL262" s="24" t="n">
        <f aca="false">SUMIFS(Permissions!$G$2:$G$3000,Permissions!$B$2:$B$3000,$A262,Permissions!$I$2:$I$3000,"Stalled",Permissions!$R$2:$R$3000,"Yes")</f>
        <v>0</v>
      </c>
      <c r="AM262" s="24" t="n">
        <f aca="false">AI262+AJ262+AK262+AL262</f>
        <v>7</v>
      </c>
      <c r="AN262" s="24" t="n">
        <f aca="false">SUMIFS(Permissions!$G$2:$G$3000,Permissions!$B$2:$B$3000,$A262,Permissions!$I$2:$I$3000,"Expired – not started",Permissions!$R$2:$R$3000,"Yes")</f>
        <v>0</v>
      </c>
      <c r="AO262" s="24" t="n">
        <f aca="false">SUMIFS(Permissions!$G$2:$G$3000,Permissions!$B$2:$B$3000,$A262,Permissions!$I$2:$I$3000,"In planning",Permissions!$R$2:$R$3000,"Yes")</f>
        <v>0</v>
      </c>
      <c r="AP262" s="24" t="n">
        <f aca="false">IF(R262="",0,MAX(R262-AM262,0))</f>
        <v>0</v>
      </c>
      <c r="AQ262" s="25" t="n">
        <f aca="false">AM262+AP262</f>
        <v>7</v>
      </c>
      <c r="AR262" s="24" t="n">
        <f aca="false">SUMIFS(Permissions!$L$2:$L$3000,Permissions!$B$2:$B$3000,$A262,Permissions!$R$2:$R$3000,"Yes",Permissions!$I$2:$I$3000,"&lt;&gt;Expired – not started",Permissions!$I$2:$I$3000,"&lt;&gt;In planning")</f>
        <v>7</v>
      </c>
      <c r="AS262" s="24" t="n">
        <f aca="false">AQ262-AR262</f>
        <v>0</v>
      </c>
      <c r="AT262" s="26" t="n">
        <f aca="false">SUMIFS(Permissions!$AJ$2:$AJ$3000,Permissions!$B$2:$B$3000,$A262,Permissions!$R$2:$R$3000,"Yes")</f>
        <v>0</v>
      </c>
      <c r="AU262" s="26" t="n">
        <f aca="false">SUMIFS(Permissions!$AK$2:$AK$3000,Permissions!$B$2:$B$3000,$A262,Permissions!$R$2:$R$3000,"Yes")</f>
        <v>0</v>
      </c>
      <c r="AV262" s="26" t="n">
        <f aca="false">SUMIFS(Permissions!$AL$2:$AL$3000,Permissions!$B$2:$B$3000,$A262,Permissions!$R$2:$R$3000,"Yes")</f>
        <v>0</v>
      </c>
      <c r="AW262" s="26" t="n">
        <f aca="false">SUMIFS(Permissions!$AM$2:$AM$3000,Permissions!$B$2:$B$3000,$A262,Permissions!$R$2:$R$3000,"Yes")</f>
        <v>0</v>
      </c>
      <c r="AX262" s="26" t="n">
        <f aca="false">SUMIFS(Permissions!$AN$2:$AN$3000,Permissions!$B$2:$B$3000,$A262,Permissions!$R$2:$R$3000,"Yes")</f>
        <v>0</v>
      </c>
      <c r="AY262" s="26" t="n">
        <f aca="false">SUMIFS(Permissions!$AO$2:$AO$3000,Permissions!$B$2:$B$3000,$A262,Permissions!$R$2:$R$3000,"Yes")</f>
        <v>0</v>
      </c>
      <c r="AZ262" s="24" t="n">
        <f aca="false">COUNTIFS(Permissions!$B$2:$B$3000,$A262,Permissions!$R$2:$R$3000,"Yes")</f>
        <v>1</v>
      </c>
      <c r="BA262" s="24" t="n">
        <f aca="false">SUMIFS(Permissions!$M$2:$M$3000,Permissions!$B$2:$B$3000,$A262,Permissions!$R$2:$R$3000,"Yes")</f>
        <v>3</v>
      </c>
      <c r="BB262" s="24" t="n">
        <f aca="false">SUMIFS(Permissions!$O$2:$O$3000,Permissions!$B$2:$B$3000,$A262,Permissions!$R$2:$R$3000,"Yes")</f>
        <v>0</v>
      </c>
      <c r="BC262" s="27" t="str">
        <f aca="false">IF(AND(AM262&gt;0,AR262&gt;=AM262,AP262=0),"Finished",IF(AR262&gt;0,"Partly built",IF(AM262&gt;0,"Consented – not built","No consent")))</f>
        <v>Finished</v>
      </c>
      <c r="BD262" s="28" t="str">
        <f aca="false">IF(AND(R262&lt;&gt;"",AM262&gt;1.1*R262),"Consented above capacity",IF(AND(LEFT(B262,8)="Planning",AZ262=0),"Consent parcel with no permission",IF(COUNTIF($A$2:$A$3000,$A262)&gt;1,"Duplicate parcel_id","")))</f>
        <v/>
      </c>
    </row>
    <row r="263" customFormat="false" ht="15" hidden="false" customHeight="false" outlineLevel="0" collapsed="false">
      <c r="A263" s="15" t="s">
        <v>636</v>
      </c>
      <c r="B263" s="15" t="s">
        <v>12</v>
      </c>
      <c r="C263" s="15" t="s">
        <v>16</v>
      </c>
      <c r="D263" s="15" t="s">
        <v>57</v>
      </c>
      <c r="E263" s="15" t="s">
        <v>19</v>
      </c>
      <c r="F263" s="15" t="n">
        <v>1</v>
      </c>
      <c r="G263" s="15" t="s">
        <v>158</v>
      </c>
      <c r="H263" s="15"/>
      <c r="I263" s="15" t="s">
        <v>57</v>
      </c>
      <c r="J263" s="15" t="s">
        <v>182</v>
      </c>
      <c r="K263" s="15" t="s">
        <v>637</v>
      </c>
      <c r="L263" s="15"/>
      <c r="M263" s="15"/>
      <c r="N263" s="15"/>
      <c r="O263" s="15"/>
      <c r="P263" s="15" t="n">
        <v>1.005</v>
      </c>
      <c r="Q263" s="15" t="n">
        <v>1.005</v>
      </c>
      <c r="R263" s="15"/>
      <c r="S263" s="15" t="s">
        <v>459</v>
      </c>
      <c r="T263" s="15" t="n">
        <v>34</v>
      </c>
      <c r="U263" s="15"/>
      <c r="V263" s="15"/>
      <c r="W263" s="15"/>
      <c r="X263" s="15" t="s">
        <v>165</v>
      </c>
      <c r="Y263" s="15" t="n">
        <v>34</v>
      </c>
      <c r="Z263" s="15" t="s">
        <v>166</v>
      </c>
      <c r="AA263" s="15"/>
      <c r="AB263" s="15" t="n">
        <v>23</v>
      </c>
      <c r="AC263" s="15" t="n">
        <v>23</v>
      </c>
      <c r="AD263" s="15"/>
      <c r="AE263" s="15"/>
      <c r="AF263" s="15" t="s">
        <v>169</v>
      </c>
      <c r="AG263" s="15"/>
      <c r="AH263" s="24" t="n">
        <f aca="false">IF(R263="",AM263,R263)</f>
        <v>26</v>
      </c>
      <c r="AI263" s="24" t="n">
        <f aca="false">SUMIFS(Permissions!$G$2:$G$3000,Permissions!$B$2:$B$3000,$A263,Permissions!$I$2:$I$3000,"Complete",Permissions!$R$2:$R$3000,"Yes")</f>
        <v>0</v>
      </c>
      <c r="AJ263" s="24" t="n">
        <f aca="false">SUMIFS(Permissions!$G$2:$G$3000,Permissions!$B$2:$B$3000,$A263,Permissions!$I$2:$I$3000,"Under construction",Permissions!$R$2:$R$3000,"Yes")</f>
        <v>26</v>
      </c>
      <c r="AK263" s="24" t="n">
        <f aca="false">SUMIFS(Permissions!$G$2:$G$3000,Permissions!$B$2:$B$3000,$A263,Permissions!$I$2:$I$3000,"Permitted – not started",Permissions!$R$2:$R$3000,"Yes")</f>
        <v>0</v>
      </c>
      <c r="AL263" s="24" t="n">
        <f aca="false">SUMIFS(Permissions!$G$2:$G$3000,Permissions!$B$2:$B$3000,$A263,Permissions!$I$2:$I$3000,"Stalled",Permissions!$R$2:$R$3000,"Yes")</f>
        <v>0</v>
      </c>
      <c r="AM263" s="24" t="n">
        <f aca="false">AI263+AJ263+AK263+AL263</f>
        <v>26</v>
      </c>
      <c r="AN263" s="24" t="n">
        <f aca="false">SUMIFS(Permissions!$G$2:$G$3000,Permissions!$B$2:$B$3000,$A263,Permissions!$I$2:$I$3000,"Expired – not started",Permissions!$R$2:$R$3000,"Yes")</f>
        <v>0</v>
      </c>
      <c r="AO263" s="24" t="n">
        <f aca="false">SUMIFS(Permissions!$G$2:$G$3000,Permissions!$B$2:$B$3000,$A263,Permissions!$I$2:$I$3000,"In planning",Permissions!$R$2:$R$3000,"Yes")</f>
        <v>0</v>
      </c>
      <c r="AP263" s="24" t="n">
        <f aca="false">IF(R263="",0,MAX(R263-AM263,0))</f>
        <v>0</v>
      </c>
      <c r="AQ263" s="25" t="n">
        <f aca="false">AM263+AP263</f>
        <v>26</v>
      </c>
      <c r="AR263" s="24" t="n">
        <f aca="false">SUMIFS(Permissions!$L$2:$L$3000,Permissions!$B$2:$B$3000,$A263,Permissions!$R$2:$R$3000,"Yes",Permissions!$I$2:$I$3000,"&lt;&gt;Expired – not started",Permissions!$I$2:$I$3000,"&lt;&gt;In planning")</f>
        <v>23</v>
      </c>
      <c r="AS263" s="24" t="n">
        <f aca="false">AQ263-AR263</f>
        <v>3</v>
      </c>
      <c r="AT263" s="26" t="n">
        <f aca="false">SUMIFS(Permissions!$AJ$2:$AJ$3000,Permissions!$B$2:$B$3000,$A263,Permissions!$R$2:$R$3000,"Yes")</f>
        <v>6.1</v>
      </c>
      <c r="AU263" s="26" t="n">
        <f aca="false">SUMIFS(Permissions!$AK$2:$AK$3000,Permissions!$B$2:$B$3000,$A263,Permissions!$R$2:$R$3000,"Yes")</f>
        <v>19.9</v>
      </c>
      <c r="AV263" s="26" t="n">
        <f aca="false">SUMIFS(Permissions!$AL$2:$AL$3000,Permissions!$B$2:$B$3000,$A263,Permissions!$R$2:$R$3000,"Yes")</f>
        <v>0</v>
      </c>
      <c r="AW263" s="26" t="n">
        <f aca="false">SUMIFS(Permissions!$AM$2:$AM$3000,Permissions!$B$2:$B$3000,$A263,Permissions!$R$2:$R$3000,"Yes")</f>
        <v>0</v>
      </c>
      <c r="AX263" s="26" t="n">
        <f aca="false">SUMIFS(Permissions!$AN$2:$AN$3000,Permissions!$B$2:$B$3000,$A263,Permissions!$R$2:$R$3000,"Yes")</f>
        <v>0</v>
      </c>
      <c r="AY263" s="26" t="n">
        <f aca="false">SUMIFS(Permissions!$AO$2:$AO$3000,Permissions!$B$2:$B$3000,$A263,Permissions!$R$2:$R$3000,"Yes")</f>
        <v>0</v>
      </c>
      <c r="AZ263" s="24" t="n">
        <f aca="false">COUNTIFS(Permissions!$B$2:$B$3000,$A263,Permissions!$R$2:$R$3000,"Yes")</f>
        <v>1</v>
      </c>
      <c r="BA263" s="24" t="n">
        <f aca="false">SUMIFS(Permissions!$M$2:$M$3000,Permissions!$B$2:$B$3000,$A263,Permissions!$R$2:$R$3000,"Yes")</f>
        <v>23</v>
      </c>
      <c r="BB263" s="24" t="n">
        <f aca="false">SUMIFS(Permissions!$O$2:$O$3000,Permissions!$B$2:$B$3000,$A263,Permissions!$R$2:$R$3000,"Yes")</f>
        <v>0</v>
      </c>
      <c r="BC263" s="27" t="str">
        <f aca="false">IF(AND(AM263&gt;0,AR263&gt;=AM263,AP263=0),"Finished",IF(AR263&gt;0,"Partly built",IF(AM263&gt;0,"Consented – not built","No consent")))</f>
        <v>Partly built</v>
      </c>
      <c r="BD263" s="28" t="str">
        <f aca="false">IF(AND(R263&lt;&gt;"",AM263&gt;1.1*R263),"Consented above capacity",IF(AND(LEFT(B263,8)="Planning",AZ263=0),"Consent parcel with no permission",IF(COUNTIF($A$2:$A$3000,$A263)&gt;1,"Duplicate parcel_id","")))</f>
        <v/>
      </c>
    </row>
    <row r="264" customFormat="false" ht="15" hidden="false" customHeight="false" outlineLevel="0" collapsed="false">
      <c r="A264" s="15" t="s">
        <v>638</v>
      </c>
      <c r="B264" s="15" t="s">
        <v>12</v>
      </c>
      <c r="C264" s="15" t="s">
        <v>16</v>
      </c>
      <c r="D264" s="15" t="s">
        <v>57</v>
      </c>
      <c r="E264" s="15" t="s">
        <v>19</v>
      </c>
      <c r="F264" s="15" t="n">
        <v>1</v>
      </c>
      <c r="G264" s="15" t="s">
        <v>158</v>
      </c>
      <c r="H264" s="15"/>
      <c r="I264" s="15" t="s">
        <v>57</v>
      </c>
      <c r="J264" s="15" t="s">
        <v>211</v>
      </c>
      <c r="K264" s="15" t="s">
        <v>639</v>
      </c>
      <c r="L264" s="15"/>
      <c r="M264" s="15"/>
      <c r="N264" s="15"/>
      <c r="O264" s="15"/>
      <c r="P264" s="15" t="n">
        <v>0.13</v>
      </c>
      <c r="Q264" s="15" t="n">
        <v>0.13</v>
      </c>
      <c r="R264" s="15"/>
      <c r="S264" s="15" t="s">
        <v>459</v>
      </c>
      <c r="T264" s="15" t="n">
        <v>4</v>
      </c>
      <c r="U264" s="15"/>
      <c r="V264" s="15"/>
      <c r="W264" s="15"/>
      <c r="X264" s="15" t="s">
        <v>165</v>
      </c>
      <c r="Y264" s="15" t="n">
        <v>34</v>
      </c>
      <c r="Z264" s="15" t="s">
        <v>166</v>
      </c>
      <c r="AA264" s="15"/>
      <c r="AB264" s="15" t="n">
        <v>15</v>
      </c>
      <c r="AC264" s="15" t="n">
        <v>15</v>
      </c>
      <c r="AD264" s="15"/>
      <c r="AE264" s="15"/>
      <c r="AF264" s="15" t="s">
        <v>169</v>
      </c>
      <c r="AG264" s="15"/>
      <c r="AH264" s="24" t="n">
        <f aca="false">IF(R264="",AM264,R264)</f>
        <v>15</v>
      </c>
      <c r="AI264" s="24" t="n">
        <f aca="false">SUMIFS(Permissions!$G$2:$G$3000,Permissions!$B$2:$B$3000,$A264,Permissions!$I$2:$I$3000,"Complete",Permissions!$R$2:$R$3000,"Yes")</f>
        <v>15</v>
      </c>
      <c r="AJ264" s="24" t="n">
        <f aca="false">SUMIFS(Permissions!$G$2:$G$3000,Permissions!$B$2:$B$3000,$A264,Permissions!$I$2:$I$3000,"Under construction",Permissions!$R$2:$R$3000,"Yes")</f>
        <v>0</v>
      </c>
      <c r="AK264" s="24" t="n">
        <f aca="false">SUMIFS(Permissions!$G$2:$G$3000,Permissions!$B$2:$B$3000,$A264,Permissions!$I$2:$I$3000,"Permitted – not started",Permissions!$R$2:$R$3000,"Yes")</f>
        <v>0</v>
      </c>
      <c r="AL264" s="24" t="n">
        <f aca="false">SUMIFS(Permissions!$G$2:$G$3000,Permissions!$B$2:$B$3000,$A264,Permissions!$I$2:$I$3000,"Stalled",Permissions!$R$2:$R$3000,"Yes")</f>
        <v>0</v>
      </c>
      <c r="AM264" s="24" t="n">
        <f aca="false">AI264+AJ264+AK264+AL264</f>
        <v>15</v>
      </c>
      <c r="AN264" s="24" t="n">
        <f aca="false">SUMIFS(Permissions!$G$2:$G$3000,Permissions!$B$2:$B$3000,$A264,Permissions!$I$2:$I$3000,"Expired – not started",Permissions!$R$2:$R$3000,"Yes")</f>
        <v>0</v>
      </c>
      <c r="AO264" s="24" t="n">
        <f aca="false">SUMIFS(Permissions!$G$2:$G$3000,Permissions!$B$2:$B$3000,$A264,Permissions!$I$2:$I$3000,"In planning",Permissions!$R$2:$R$3000,"Yes")</f>
        <v>0</v>
      </c>
      <c r="AP264" s="24" t="n">
        <f aca="false">IF(R264="",0,MAX(R264-AM264,0))</f>
        <v>0</v>
      </c>
      <c r="AQ264" s="25" t="n">
        <f aca="false">AM264+AP264</f>
        <v>15</v>
      </c>
      <c r="AR264" s="24" t="n">
        <f aca="false">SUMIFS(Permissions!$L$2:$L$3000,Permissions!$B$2:$B$3000,$A264,Permissions!$R$2:$R$3000,"Yes",Permissions!$I$2:$I$3000,"&lt;&gt;Expired – not started",Permissions!$I$2:$I$3000,"&lt;&gt;In planning")</f>
        <v>15</v>
      </c>
      <c r="AS264" s="24" t="n">
        <f aca="false">AQ264-AR264</f>
        <v>0</v>
      </c>
      <c r="AT264" s="26" t="n">
        <f aca="false">SUMIFS(Permissions!$AJ$2:$AJ$3000,Permissions!$B$2:$B$3000,$A264,Permissions!$R$2:$R$3000,"Yes")</f>
        <v>0</v>
      </c>
      <c r="AU264" s="26" t="n">
        <f aca="false">SUMIFS(Permissions!$AK$2:$AK$3000,Permissions!$B$2:$B$3000,$A264,Permissions!$R$2:$R$3000,"Yes")</f>
        <v>0</v>
      </c>
      <c r="AV264" s="26" t="n">
        <f aca="false">SUMIFS(Permissions!$AL$2:$AL$3000,Permissions!$B$2:$B$3000,$A264,Permissions!$R$2:$R$3000,"Yes")</f>
        <v>0</v>
      </c>
      <c r="AW264" s="26" t="n">
        <f aca="false">SUMIFS(Permissions!$AM$2:$AM$3000,Permissions!$B$2:$B$3000,$A264,Permissions!$R$2:$R$3000,"Yes")</f>
        <v>0</v>
      </c>
      <c r="AX264" s="26" t="n">
        <f aca="false">SUMIFS(Permissions!$AN$2:$AN$3000,Permissions!$B$2:$B$3000,$A264,Permissions!$R$2:$R$3000,"Yes")</f>
        <v>0</v>
      </c>
      <c r="AY264" s="26" t="n">
        <f aca="false">SUMIFS(Permissions!$AO$2:$AO$3000,Permissions!$B$2:$B$3000,$A264,Permissions!$R$2:$R$3000,"Yes")</f>
        <v>0</v>
      </c>
      <c r="AZ264" s="24" t="n">
        <f aca="false">COUNTIFS(Permissions!$B$2:$B$3000,$A264,Permissions!$R$2:$R$3000,"Yes")</f>
        <v>1</v>
      </c>
      <c r="BA264" s="24" t="n">
        <f aca="false">SUMIFS(Permissions!$M$2:$M$3000,Permissions!$B$2:$B$3000,$A264,Permissions!$R$2:$R$3000,"Yes")</f>
        <v>15</v>
      </c>
      <c r="BB264" s="24" t="n">
        <f aca="false">SUMIFS(Permissions!$O$2:$O$3000,Permissions!$B$2:$B$3000,$A264,Permissions!$R$2:$R$3000,"Yes")</f>
        <v>0</v>
      </c>
      <c r="BC264" s="27" t="str">
        <f aca="false">IF(AND(AM264&gt;0,AR264&gt;=AM264,AP264=0),"Finished",IF(AR264&gt;0,"Partly built",IF(AM264&gt;0,"Consented – not built","No consent")))</f>
        <v>Finished</v>
      </c>
      <c r="BD264" s="28" t="str">
        <f aca="false">IF(AND(R264&lt;&gt;"",AM264&gt;1.1*R264),"Consented above capacity",IF(AND(LEFT(B264,8)="Planning",AZ264=0),"Consent parcel with no permission",IF(COUNTIF($A$2:$A$3000,$A264)&gt;1,"Duplicate parcel_id","")))</f>
        <v/>
      </c>
    </row>
    <row r="265" customFormat="false" ht="15" hidden="false" customHeight="false" outlineLevel="0" collapsed="false">
      <c r="A265" s="15" t="s">
        <v>640</v>
      </c>
      <c r="B265" s="15" t="s">
        <v>12</v>
      </c>
      <c r="C265" s="15" t="s">
        <v>16</v>
      </c>
      <c r="D265" s="15" t="s">
        <v>57</v>
      </c>
      <c r="E265" s="15" t="s">
        <v>19</v>
      </c>
      <c r="F265" s="15" t="n">
        <v>1</v>
      </c>
      <c r="G265" s="15" t="s">
        <v>158</v>
      </c>
      <c r="H265" s="15"/>
      <c r="I265" s="15" t="s">
        <v>57</v>
      </c>
      <c r="J265" s="15" t="s">
        <v>182</v>
      </c>
      <c r="K265" s="15" t="s">
        <v>641</v>
      </c>
      <c r="L265" s="15"/>
      <c r="M265" s="15"/>
      <c r="N265" s="15"/>
      <c r="O265" s="15"/>
      <c r="P265" s="15" t="n">
        <v>0.264</v>
      </c>
      <c r="Q265" s="15" t="n">
        <v>0.264</v>
      </c>
      <c r="R265" s="15"/>
      <c r="S265" s="15" t="s">
        <v>459</v>
      </c>
      <c r="T265" s="15" t="n">
        <v>9</v>
      </c>
      <c r="U265" s="15"/>
      <c r="V265" s="15"/>
      <c r="W265" s="15"/>
      <c r="X265" s="15" t="s">
        <v>165</v>
      </c>
      <c r="Y265" s="15" t="n">
        <v>34</v>
      </c>
      <c r="Z265" s="15" t="s">
        <v>166</v>
      </c>
      <c r="AA265" s="15"/>
      <c r="AB265" s="15" t="n">
        <v>0</v>
      </c>
      <c r="AC265" s="15" t="n">
        <v>0</v>
      </c>
      <c r="AD265" s="15"/>
      <c r="AE265" s="15"/>
      <c r="AF265" s="15" t="s">
        <v>169</v>
      </c>
      <c r="AG265" s="15"/>
      <c r="AH265" s="24" t="n">
        <f aca="false">IF(R265="",AM265,R265)</f>
        <v>6</v>
      </c>
      <c r="AI265" s="24" t="n">
        <f aca="false">SUMIFS(Permissions!$G$2:$G$3000,Permissions!$B$2:$B$3000,$A265,Permissions!$I$2:$I$3000,"Complete",Permissions!$R$2:$R$3000,"Yes")</f>
        <v>0</v>
      </c>
      <c r="AJ265" s="24" t="n">
        <f aca="false">SUMIFS(Permissions!$G$2:$G$3000,Permissions!$B$2:$B$3000,$A265,Permissions!$I$2:$I$3000,"Under construction",Permissions!$R$2:$R$3000,"Yes")</f>
        <v>6</v>
      </c>
      <c r="AK265" s="24" t="n">
        <f aca="false">SUMIFS(Permissions!$G$2:$G$3000,Permissions!$B$2:$B$3000,$A265,Permissions!$I$2:$I$3000,"Permitted – not started",Permissions!$R$2:$R$3000,"Yes")</f>
        <v>0</v>
      </c>
      <c r="AL265" s="24" t="n">
        <f aca="false">SUMIFS(Permissions!$G$2:$G$3000,Permissions!$B$2:$B$3000,$A265,Permissions!$I$2:$I$3000,"Stalled",Permissions!$R$2:$R$3000,"Yes")</f>
        <v>0</v>
      </c>
      <c r="AM265" s="24" t="n">
        <f aca="false">AI265+AJ265+AK265+AL265</f>
        <v>6</v>
      </c>
      <c r="AN265" s="24" t="n">
        <f aca="false">SUMIFS(Permissions!$G$2:$G$3000,Permissions!$B$2:$B$3000,$A265,Permissions!$I$2:$I$3000,"Expired – not started",Permissions!$R$2:$R$3000,"Yes")</f>
        <v>0</v>
      </c>
      <c r="AO265" s="24" t="n">
        <f aca="false">SUMIFS(Permissions!$G$2:$G$3000,Permissions!$B$2:$B$3000,$A265,Permissions!$I$2:$I$3000,"In planning",Permissions!$R$2:$R$3000,"Yes")</f>
        <v>0</v>
      </c>
      <c r="AP265" s="24" t="n">
        <f aca="false">IF(R265="",0,MAX(R265-AM265,0))</f>
        <v>0</v>
      </c>
      <c r="AQ265" s="25" t="n">
        <f aca="false">AM265+AP265</f>
        <v>6</v>
      </c>
      <c r="AR265" s="24" t="n">
        <f aca="false">SUMIFS(Permissions!$L$2:$L$3000,Permissions!$B$2:$B$3000,$A265,Permissions!$R$2:$R$3000,"Yes",Permissions!$I$2:$I$3000,"&lt;&gt;Expired – not started",Permissions!$I$2:$I$3000,"&lt;&gt;In planning")</f>
        <v>0</v>
      </c>
      <c r="AS265" s="24" t="n">
        <f aca="false">AQ265-AR265</f>
        <v>6</v>
      </c>
      <c r="AT265" s="26" t="n">
        <f aca="false">SUMIFS(Permissions!$AJ$2:$AJ$3000,Permissions!$B$2:$B$3000,$A265,Permissions!$R$2:$R$3000,"Yes")</f>
        <v>0.2</v>
      </c>
      <c r="AU265" s="26" t="n">
        <f aca="false">SUMIFS(Permissions!$AK$2:$AK$3000,Permissions!$B$2:$B$3000,$A265,Permissions!$R$2:$R$3000,"Yes")</f>
        <v>5.8</v>
      </c>
      <c r="AV265" s="26" t="n">
        <f aca="false">SUMIFS(Permissions!$AL$2:$AL$3000,Permissions!$B$2:$B$3000,$A265,Permissions!$R$2:$R$3000,"Yes")</f>
        <v>0</v>
      </c>
      <c r="AW265" s="26" t="n">
        <f aca="false">SUMIFS(Permissions!$AM$2:$AM$3000,Permissions!$B$2:$B$3000,$A265,Permissions!$R$2:$R$3000,"Yes")</f>
        <v>0</v>
      </c>
      <c r="AX265" s="26" t="n">
        <f aca="false">SUMIFS(Permissions!$AN$2:$AN$3000,Permissions!$B$2:$B$3000,$A265,Permissions!$R$2:$R$3000,"Yes")</f>
        <v>0</v>
      </c>
      <c r="AY265" s="26" t="n">
        <f aca="false">SUMIFS(Permissions!$AO$2:$AO$3000,Permissions!$B$2:$B$3000,$A265,Permissions!$R$2:$R$3000,"Yes")</f>
        <v>0</v>
      </c>
      <c r="AZ265" s="24" t="n">
        <f aca="false">COUNTIFS(Permissions!$B$2:$B$3000,$A265,Permissions!$R$2:$R$3000,"Yes")</f>
        <v>1</v>
      </c>
      <c r="BA265" s="24" t="n">
        <f aca="false">SUMIFS(Permissions!$M$2:$M$3000,Permissions!$B$2:$B$3000,$A265,Permissions!$R$2:$R$3000,"Yes")</f>
        <v>0</v>
      </c>
      <c r="BB265" s="24" t="n">
        <f aca="false">SUMIFS(Permissions!$O$2:$O$3000,Permissions!$B$2:$B$3000,$A265,Permissions!$R$2:$R$3000,"Yes")</f>
        <v>0</v>
      </c>
      <c r="BC265" s="27" t="str">
        <f aca="false">IF(AND(AM265&gt;0,AR265&gt;=AM265,AP265=0),"Finished",IF(AR265&gt;0,"Partly built",IF(AM265&gt;0,"Consented – not built","No consent")))</f>
        <v>Consented – not built</v>
      </c>
      <c r="BD265" s="28" t="str">
        <f aca="false">IF(AND(R265&lt;&gt;"",AM265&gt;1.1*R265),"Consented above capacity",IF(AND(LEFT(B265,8)="Planning",AZ265=0),"Consent parcel with no permission",IF(COUNTIF($A$2:$A$3000,$A265)&gt;1,"Duplicate parcel_id","")))</f>
        <v/>
      </c>
    </row>
    <row r="266" customFormat="false" ht="15" hidden="false" customHeight="false" outlineLevel="0" collapsed="false">
      <c r="A266" s="15" t="s">
        <v>642</v>
      </c>
      <c r="B266" s="15" t="s">
        <v>12</v>
      </c>
      <c r="C266" s="15" t="s">
        <v>16</v>
      </c>
      <c r="D266" s="15" t="s">
        <v>57</v>
      </c>
      <c r="E266" s="15" t="s">
        <v>19</v>
      </c>
      <c r="F266" s="15" t="n">
        <v>1</v>
      </c>
      <c r="G266" s="15" t="s">
        <v>158</v>
      </c>
      <c r="H266" s="15"/>
      <c r="I266" s="15" t="s">
        <v>57</v>
      </c>
      <c r="J266" s="15" t="s">
        <v>182</v>
      </c>
      <c r="K266" s="15" t="s">
        <v>643</v>
      </c>
      <c r="L266" s="15"/>
      <c r="M266" s="15"/>
      <c r="N266" s="15"/>
      <c r="O266" s="15"/>
      <c r="P266" s="15" t="n">
        <v>0.053</v>
      </c>
      <c r="Q266" s="15" t="n">
        <v>0.053</v>
      </c>
      <c r="R266" s="15"/>
      <c r="S266" s="15" t="s">
        <v>459</v>
      </c>
      <c r="T266" s="15" t="n">
        <v>2</v>
      </c>
      <c r="U266" s="15"/>
      <c r="V266" s="15"/>
      <c r="W266" s="15"/>
      <c r="X266" s="15" t="s">
        <v>165</v>
      </c>
      <c r="Y266" s="15" t="n">
        <v>34</v>
      </c>
      <c r="Z266" s="15" t="s">
        <v>166</v>
      </c>
      <c r="AA266" s="15"/>
      <c r="AB266" s="15" t="n">
        <v>0</v>
      </c>
      <c r="AC266" s="15" t="n">
        <v>0</v>
      </c>
      <c r="AD266" s="15"/>
      <c r="AE266" s="15"/>
      <c r="AF266" s="15" t="s">
        <v>169</v>
      </c>
      <c r="AG266" s="15"/>
      <c r="AH266" s="24" t="n">
        <f aca="false">IF(R266="",AM266,R266)</f>
        <v>8</v>
      </c>
      <c r="AI266" s="24" t="n">
        <f aca="false">SUMIFS(Permissions!$G$2:$G$3000,Permissions!$B$2:$B$3000,$A266,Permissions!$I$2:$I$3000,"Complete",Permissions!$R$2:$R$3000,"Yes")</f>
        <v>0</v>
      </c>
      <c r="AJ266" s="24" t="n">
        <f aca="false">SUMIFS(Permissions!$G$2:$G$3000,Permissions!$B$2:$B$3000,$A266,Permissions!$I$2:$I$3000,"Under construction",Permissions!$R$2:$R$3000,"Yes")</f>
        <v>0</v>
      </c>
      <c r="AK266" s="24" t="n">
        <f aca="false">SUMIFS(Permissions!$G$2:$G$3000,Permissions!$B$2:$B$3000,$A266,Permissions!$I$2:$I$3000,"Permitted – not started",Permissions!$R$2:$R$3000,"Yes")</f>
        <v>8</v>
      </c>
      <c r="AL266" s="24" t="n">
        <f aca="false">SUMIFS(Permissions!$G$2:$G$3000,Permissions!$B$2:$B$3000,$A266,Permissions!$I$2:$I$3000,"Stalled",Permissions!$R$2:$R$3000,"Yes")</f>
        <v>0</v>
      </c>
      <c r="AM266" s="24" t="n">
        <f aca="false">AI266+AJ266+AK266+AL266</f>
        <v>8</v>
      </c>
      <c r="AN266" s="24" t="n">
        <f aca="false">SUMIFS(Permissions!$G$2:$G$3000,Permissions!$B$2:$B$3000,$A266,Permissions!$I$2:$I$3000,"Expired – not started",Permissions!$R$2:$R$3000,"Yes")</f>
        <v>0</v>
      </c>
      <c r="AO266" s="24" t="n">
        <f aca="false">SUMIFS(Permissions!$G$2:$G$3000,Permissions!$B$2:$B$3000,$A266,Permissions!$I$2:$I$3000,"In planning",Permissions!$R$2:$R$3000,"Yes")</f>
        <v>0</v>
      </c>
      <c r="AP266" s="24" t="n">
        <f aca="false">IF(R266="",0,MAX(R266-AM266,0))</f>
        <v>0</v>
      </c>
      <c r="AQ266" s="25" t="n">
        <f aca="false">AM266+AP266</f>
        <v>8</v>
      </c>
      <c r="AR266" s="24" t="n">
        <f aca="false">SUMIFS(Permissions!$L$2:$L$3000,Permissions!$B$2:$B$3000,$A266,Permissions!$R$2:$R$3000,"Yes",Permissions!$I$2:$I$3000,"&lt;&gt;Expired – not started",Permissions!$I$2:$I$3000,"&lt;&gt;In planning")</f>
        <v>0</v>
      </c>
      <c r="AS266" s="24" t="n">
        <f aca="false">AQ266-AR266</f>
        <v>8</v>
      </c>
      <c r="AT266" s="26" t="n">
        <f aca="false">SUMIFS(Permissions!$AJ$2:$AJ$3000,Permissions!$B$2:$B$3000,$A266,Permissions!$R$2:$R$3000,"Yes")</f>
        <v>0</v>
      </c>
      <c r="AU266" s="26" t="n">
        <f aca="false">SUMIFS(Permissions!$AK$2:$AK$3000,Permissions!$B$2:$B$3000,$A266,Permissions!$R$2:$R$3000,"Yes")</f>
        <v>0</v>
      </c>
      <c r="AV266" s="26" t="n">
        <f aca="false">SUMIFS(Permissions!$AL$2:$AL$3000,Permissions!$B$2:$B$3000,$A266,Permissions!$R$2:$R$3000,"Yes")</f>
        <v>4</v>
      </c>
      <c r="AW266" s="26" t="n">
        <f aca="false">SUMIFS(Permissions!$AM$2:$AM$3000,Permissions!$B$2:$B$3000,$A266,Permissions!$R$2:$R$3000,"Yes")</f>
        <v>4</v>
      </c>
      <c r="AX266" s="26" t="n">
        <f aca="false">SUMIFS(Permissions!$AN$2:$AN$3000,Permissions!$B$2:$B$3000,$A266,Permissions!$R$2:$R$3000,"Yes")</f>
        <v>0</v>
      </c>
      <c r="AY266" s="26" t="n">
        <f aca="false">SUMIFS(Permissions!$AO$2:$AO$3000,Permissions!$B$2:$B$3000,$A266,Permissions!$R$2:$R$3000,"Yes")</f>
        <v>0</v>
      </c>
      <c r="AZ266" s="24" t="n">
        <f aca="false">COUNTIFS(Permissions!$B$2:$B$3000,$A266,Permissions!$R$2:$R$3000,"Yes")</f>
        <v>1</v>
      </c>
      <c r="BA266" s="24" t="n">
        <f aca="false">SUMIFS(Permissions!$M$2:$M$3000,Permissions!$B$2:$B$3000,$A266,Permissions!$R$2:$R$3000,"Yes")</f>
        <v>0</v>
      </c>
      <c r="BB266" s="24" t="n">
        <f aca="false">SUMIFS(Permissions!$O$2:$O$3000,Permissions!$B$2:$B$3000,$A266,Permissions!$R$2:$R$3000,"Yes")</f>
        <v>0</v>
      </c>
      <c r="BC266" s="27" t="str">
        <f aca="false">IF(AND(AM266&gt;0,AR266&gt;=AM266,AP266=0),"Finished",IF(AR266&gt;0,"Partly built",IF(AM266&gt;0,"Consented – not built","No consent")))</f>
        <v>Consented – not built</v>
      </c>
      <c r="BD266" s="28" t="str">
        <f aca="false">IF(AND(R266&lt;&gt;"",AM266&gt;1.1*R266),"Consented above capacity",IF(AND(LEFT(B266,8)="Planning",AZ266=0),"Consent parcel with no permission",IF(COUNTIF($A$2:$A$3000,$A266)&gt;1,"Duplicate parcel_id","")))</f>
        <v/>
      </c>
    </row>
    <row r="267" customFormat="false" ht="15" hidden="false" customHeight="false" outlineLevel="0" collapsed="false">
      <c r="A267" s="15" t="s">
        <v>644</v>
      </c>
      <c r="B267" s="15" t="s">
        <v>12</v>
      </c>
      <c r="C267" s="15" t="s">
        <v>16</v>
      </c>
      <c r="D267" s="15" t="s">
        <v>57</v>
      </c>
      <c r="E267" s="15" t="s">
        <v>19</v>
      </c>
      <c r="F267" s="15" t="n">
        <v>1</v>
      </c>
      <c r="G267" s="15" t="s">
        <v>158</v>
      </c>
      <c r="H267" s="15"/>
      <c r="I267" s="15" t="s">
        <v>57</v>
      </c>
      <c r="J267" s="15" t="s">
        <v>182</v>
      </c>
      <c r="K267" s="15" t="s">
        <v>645</v>
      </c>
      <c r="L267" s="15"/>
      <c r="M267" s="15"/>
      <c r="N267" s="15"/>
      <c r="O267" s="15"/>
      <c r="P267" s="15" t="n">
        <v>0.165</v>
      </c>
      <c r="Q267" s="15" t="n">
        <v>0.165</v>
      </c>
      <c r="R267" s="15" t="n">
        <v>6</v>
      </c>
      <c r="S267" s="15" t="s">
        <v>491</v>
      </c>
      <c r="T267" s="15" t="n">
        <v>6</v>
      </c>
      <c r="U267" s="15"/>
      <c r="V267" s="15"/>
      <c r="W267" s="15"/>
      <c r="X267" s="15" t="s">
        <v>165</v>
      </c>
      <c r="Y267" s="15" t="n">
        <v>34</v>
      </c>
      <c r="Z267" s="15" t="s">
        <v>304</v>
      </c>
      <c r="AA267" s="15"/>
      <c r="AB267" s="15" t="n">
        <v>0</v>
      </c>
      <c r="AC267" s="15" t="n">
        <v>0</v>
      </c>
      <c r="AD267" s="15"/>
      <c r="AE267" s="15"/>
      <c r="AF267" s="15" t="s">
        <v>169</v>
      </c>
      <c r="AG267" s="15"/>
      <c r="AH267" s="24" t="n">
        <f aca="false">IF(R267="",AM267,R267)</f>
        <v>6</v>
      </c>
      <c r="AI267" s="24" t="n">
        <f aca="false">SUMIFS(Permissions!$G$2:$G$3000,Permissions!$B$2:$B$3000,$A267,Permissions!$I$2:$I$3000,"Complete",Permissions!$R$2:$R$3000,"Yes")</f>
        <v>0</v>
      </c>
      <c r="AJ267" s="24" t="n">
        <f aca="false">SUMIFS(Permissions!$G$2:$G$3000,Permissions!$B$2:$B$3000,$A267,Permissions!$I$2:$I$3000,"Under construction",Permissions!$R$2:$R$3000,"Yes")</f>
        <v>0</v>
      </c>
      <c r="AK267" s="24" t="n">
        <f aca="false">SUMIFS(Permissions!$G$2:$G$3000,Permissions!$B$2:$B$3000,$A267,Permissions!$I$2:$I$3000,"Permitted – not started",Permissions!$R$2:$R$3000,"Yes")</f>
        <v>0</v>
      </c>
      <c r="AL267" s="24" t="n">
        <f aca="false">SUMIFS(Permissions!$G$2:$G$3000,Permissions!$B$2:$B$3000,$A267,Permissions!$I$2:$I$3000,"Stalled",Permissions!$R$2:$R$3000,"Yes")</f>
        <v>0</v>
      </c>
      <c r="AM267" s="24" t="n">
        <f aca="false">AI267+AJ267+AK267+AL267</f>
        <v>0</v>
      </c>
      <c r="AN267" s="24" t="n">
        <f aca="false">SUMIFS(Permissions!$G$2:$G$3000,Permissions!$B$2:$B$3000,$A267,Permissions!$I$2:$I$3000,"Expired – not started",Permissions!$R$2:$R$3000,"Yes")</f>
        <v>0</v>
      </c>
      <c r="AO267" s="24" t="n">
        <f aca="false">SUMIFS(Permissions!$G$2:$G$3000,Permissions!$B$2:$B$3000,$A267,Permissions!$I$2:$I$3000,"In planning",Permissions!$R$2:$R$3000,"Yes")</f>
        <v>0</v>
      </c>
      <c r="AP267" s="24" t="n">
        <f aca="false">IF(R267="",0,MAX(R267-AM267,0))</f>
        <v>6</v>
      </c>
      <c r="AQ267" s="25" t="n">
        <f aca="false">AM267+AP267</f>
        <v>6</v>
      </c>
      <c r="AR267" s="24" t="n">
        <f aca="false">SUMIFS(Permissions!$L$2:$L$3000,Permissions!$B$2:$B$3000,$A267,Permissions!$R$2:$R$3000,"Yes",Permissions!$I$2:$I$3000,"&lt;&gt;Expired – not started",Permissions!$I$2:$I$3000,"&lt;&gt;In planning")</f>
        <v>0</v>
      </c>
      <c r="AS267" s="24" t="n">
        <f aca="false">AQ267-AR267</f>
        <v>6</v>
      </c>
      <c r="AT267" s="26" t="n">
        <f aca="false">SUMIFS(Permissions!$AJ$2:$AJ$3000,Permissions!$B$2:$B$3000,$A267,Permissions!$R$2:$R$3000,"Yes")</f>
        <v>0</v>
      </c>
      <c r="AU267" s="26" t="n">
        <f aca="false">SUMIFS(Permissions!$AK$2:$AK$3000,Permissions!$B$2:$B$3000,$A267,Permissions!$R$2:$R$3000,"Yes")</f>
        <v>0</v>
      </c>
      <c r="AV267" s="26" t="n">
        <f aca="false">SUMIFS(Permissions!$AL$2:$AL$3000,Permissions!$B$2:$B$3000,$A267,Permissions!$R$2:$R$3000,"Yes")</f>
        <v>0</v>
      </c>
      <c r="AW267" s="26" t="n">
        <f aca="false">SUMIFS(Permissions!$AM$2:$AM$3000,Permissions!$B$2:$B$3000,$A267,Permissions!$R$2:$R$3000,"Yes")</f>
        <v>0</v>
      </c>
      <c r="AX267" s="26" t="n">
        <f aca="false">SUMIFS(Permissions!$AN$2:$AN$3000,Permissions!$B$2:$B$3000,$A267,Permissions!$R$2:$R$3000,"Yes")</f>
        <v>0</v>
      </c>
      <c r="AY267" s="26" t="n">
        <f aca="false">SUMIFS(Permissions!$AO$2:$AO$3000,Permissions!$B$2:$B$3000,$A267,Permissions!$R$2:$R$3000,"Yes")</f>
        <v>0</v>
      </c>
      <c r="AZ267" s="24" t="n">
        <f aca="false">COUNTIFS(Permissions!$B$2:$B$3000,$A267,Permissions!$R$2:$R$3000,"Yes")</f>
        <v>1</v>
      </c>
      <c r="BA267" s="24" t="n">
        <f aca="false">SUMIFS(Permissions!$M$2:$M$3000,Permissions!$B$2:$B$3000,$A267,Permissions!$R$2:$R$3000,"Yes")</f>
        <v>0</v>
      </c>
      <c r="BB267" s="24" t="n">
        <f aca="false">SUMIFS(Permissions!$O$2:$O$3000,Permissions!$B$2:$B$3000,$A267,Permissions!$R$2:$R$3000,"Yes")</f>
        <v>0</v>
      </c>
      <c r="BC267" s="27" t="str">
        <f aca="false">IF(AND(AM267&gt;0,AR267&gt;=AM267,AP267=0),"Finished",IF(AR267&gt;0,"Partly built",IF(AM267&gt;0,"Consented – not built","No consent")))</f>
        <v>No consent</v>
      </c>
      <c r="BD267" s="28" t="str">
        <f aca="false">IF(AND(R267&lt;&gt;"",AM267&gt;1.1*R267),"Consented above capacity",IF(AND(LEFT(B267,8)="Planning",AZ267=0),"Consent parcel with no permission",IF(COUNTIF($A$2:$A$3000,$A267)&gt;1,"Duplicate parcel_id","")))</f>
        <v/>
      </c>
    </row>
    <row r="268" customFormat="false" ht="15" hidden="false" customHeight="false" outlineLevel="0" collapsed="false">
      <c r="A268" s="15" t="s">
        <v>646</v>
      </c>
      <c r="B268" s="15" t="s">
        <v>12</v>
      </c>
      <c r="C268" s="15" t="s">
        <v>16</v>
      </c>
      <c r="D268" s="15" t="s">
        <v>58</v>
      </c>
      <c r="E268" s="15" t="s">
        <v>19</v>
      </c>
      <c r="F268" s="15" t="n">
        <v>1</v>
      </c>
      <c r="G268" s="15" t="s">
        <v>158</v>
      </c>
      <c r="H268" s="15"/>
      <c r="I268" s="15" t="s">
        <v>58</v>
      </c>
      <c r="J268" s="15" t="s">
        <v>211</v>
      </c>
      <c r="K268" s="15" t="s">
        <v>647</v>
      </c>
      <c r="L268" s="15"/>
      <c r="M268" s="15"/>
      <c r="N268" s="15"/>
      <c r="O268" s="15"/>
      <c r="P268" s="15" t="n">
        <v>0.094</v>
      </c>
      <c r="Q268" s="15" t="n">
        <v>0.094</v>
      </c>
      <c r="R268" s="15"/>
      <c r="S268" s="15" t="s">
        <v>459</v>
      </c>
      <c r="T268" s="15" t="n">
        <v>3</v>
      </c>
      <c r="U268" s="15"/>
      <c r="V268" s="15"/>
      <c r="W268" s="15"/>
      <c r="X268" s="15" t="s">
        <v>165</v>
      </c>
      <c r="Y268" s="15" t="n">
        <v>34</v>
      </c>
      <c r="Z268" s="15" t="s">
        <v>166</v>
      </c>
      <c r="AA268" s="15"/>
      <c r="AB268" s="15" t="n">
        <v>5</v>
      </c>
      <c r="AC268" s="15" t="n">
        <v>5</v>
      </c>
      <c r="AD268" s="15"/>
      <c r="AE268" s="15"/>
      <c r="AF268" s="15" t="s">
        <v>169</v>
      </c>
      <c r="AG268" s="15"/>
      <c r="AH268" s="24" t="n">
        <f aca="false">IF(R268="",AM268,R268)</f>
        <v>5</v>
      </c>
      <c r="AI268" s="24" t="n">
        <f aca="false">SUMIFS(Permissions!$G$2:$G$3000,Permissions!$B$2:$B$3000,$A268,Permissions!$I$2:$I$3000,"Complete",Permissions!$R$2:$R$3000,"Yes")</f>
        <v>5</v>
      </c>
      <c r="AJ268" s="24" t="n">
        <f aca="false">SUMIFS(Permissions!$G$2:$G$3000,Permissions!$B$2:$B$3000,$A268,Permissions!$I$2:$I$3000,"Under construction",Permissions!$R$2:$R$3000,"Yes")</f>
        <v>0</v>
      </c>
      <c r="AK268" s="24" t="n">
        <f aca="false">SUMIFS(Permissions!$G$2:$G$3000,Permissions!$B$2:$B$3000,$A268,Permissions!$I$2:$I$3000,"Permitted – not started",Permissions!$R$2:$R$3000,"Yes")</f>
        <v>0</v>
      </c>
      <c r="AL268" s="24" t="n">
        <f aca="false">SUMIFS(Permissions!$G$2:$G$3000,Permissions!$B$2:$B$3000,$A268,Permissions!$I$2:$I$3000,"Stalled",Permissions!$R$2:$R$3000,"Yes")</f>
        <v>0</v>
      </c>
      <c r="AM268" s="24" t="n">
        <f aca="false">AI268+AJ268+AK268+AL268</f>
        <v>5</v>
      </c>
      <c r="AN268" s="24" t="n">
        <f aca="false">SUMIFS(Permissions!$G$2:$G$3000,Permissions!$B$2:$B$3000,$A268,Permissions!$I$2:$I$3000,"Expired – not started",Permissions!$R$2:$R$3000,"Yes")</f>
        <v>0</v>
      </c>
      <c r="AO268" s="24" t="n">
        <f aca="false">SUMIFS(Permissions!$G$2:$G$3000,Permissions!$B$2:$B$3000,$A268,Permissions!$I$2:$I$3000,"In planning",Permissions!$R$2:$R$3000,"Yes")</f>
        <v>0</v>
      </c>
      <c r="AP268" s="24" t="n">
        <f aca="false">IF(R268="",0,MAX(R268-AM268,0))</f>
        <v>0</v>
      </c>
      <c r="AQ268" s="25" t="n">
        <f aca="false">AM268+AP268</f>
        <v>5</v>
      </c>
      <c r="AR268" s="24" t="n">
        <f aca="false">SUMIFS(Permissions!$L$2:$L$3000,Permissions!$B$2:$B$3000,$A268,Permissions!$R$2:$R$3000,"Yes",Permissions!$I$2:$I$3000,"&lt;&gt;Expired – not started",Permissions!$I$2:$I$3000,"&lt;&gt;In planning")</f>
        <v>5</v>
      </c>
      <c r="AS268" s="24" t="n">
        <f aca="false">AQ268-AR268</f>
        <v>0</v>
      </c>
      <c r="AT268" s="26" t="n">
        <f aca="false">SUMIFS(Permissions!$AJ$2:$AJ$3000,Permissions!$B$2:$B$3000,$A268,Permissions!$R$2:$R$3000,"Yes")</f>
        <v>0</v>
      </c>
      <c r="AU268" s="26" t="n">
        <f aca="false">SUMIFS(Permissions!$AK$2:$AK$3000,Permissions!$B$2:$B$3000,$A268,Permissions!$R$2:$R$3000,"Yes")</f>
        <v>0</v>
      </c>
      <c r="AV268" s="26" t="n">
        <f aca="false">SUMIFS(Permissions!$AL$2:$AL$3000,Permissions!$B$2:$B$3000,$A268,Permissions!$R$2:$R$3000,"Yes")</f>
        <v>0</v>
      </c>
      <c r="AW268" s="26" t="n">
        <f aca="false">SUMIFS(Permissions!$AM$2:$AM$3000,Permissions!$B$2:$B$3000,$A268,Permissions!$R$2:$R$3000,"Yes")</f>
        <v>0</v>
      </c>
      <c r="AX268" s="26" t="n">
        <f aca="false">SUMIFS(Permissions!$AN$2:$AN$3000,Permissions!$B$2:$B$3000,$A268,Permissions!$R$2:$R$3000,"Yes")</f>
        <v>0</v>
      </c>
      <c r="AY268" s="26" t="n">
        <f aca="false">SUMIFS(Permissions!$AO$2:$AO$3000,Permissions!$B$2:$B$3000,$A268,Permissions!$R$2:$R$3000,"Yes")</f>
        <v>0</v>
      </c>
      <c r="AZ268" s="24" t="n">
        <f aca="false">COUNTIFS(Permissions!$B$2:$B$3000,$A268,Permissions!$R$2:$R$3000,"Yes")</f>
        <v>1</v>
      </c>
      <c r="BA268" s="24" t="n">
        <f aca="false">SUMIFS(Permissions!$M$2:$M$3000,Permissions!$B$2:$B$3000,$A268,Permissions!$R$2:$R$3000,"Yes")</f>
        <v>5</v>
      </c>
      <c r="BB268" s="24" t="n">
        <f aca="false">SUMIFS(Permissions!$O$2:$O$3000,Permissions!$B$2:$B$3000,$A268,Permissions!$R$2:$R$3000,"Yes")</f>
        <v>0</v>
      </c>
      <c r="BC268" s="27" t="str">
        <f aca="false">IF(AND(AM268&gt;0,AR268&gt;=AM268,AP268=0),"Finished",IF(AR268&gt;0,"Partly built",IF(AM268&gt;0,"Consented – not built","No consent")))</f>
        <v>Finished</v>
      </c>
      <c r="BD268" s="28" t="str">
        <f aca="false">IF(AND(R268&lt;&gt;"",AM268&gt;1.1*R268),"Consented above capacity",IF(AND(LEFT(B268,8)="Planning",AZ268=0),"Consent parcel with no permission",IF(COUNTIF($A$2:$A$3000,$A268)&gt;1,"Duplicate parcel_id","")))</f>
        <v/>
      </c>
    </row>
    <row r="269" customFormat="false" ht="15" hidden="false" customHeight="false" outlineLevel="0" collapsed="false">
      <c r="A269" s="15" t="s">
        <v>648</v>
      </c>
      <c r="B269" s="15" t="s">
        <v>12</v>
      </c>
      <c r="C269" s="15" t="s">
        <v>16</v>
      </c>
      <c r="D269" s="15" t="s">
        <v>58</v>
      </c>
      <c r="E269" s="15" t="s">
        <v>19</v>
      </c>
      <c r="F269" s="15" t="n">
        <v>1</v>
      </c>
      <c r="G269" s="15" t="s">
        <v>158</v>
      </c>
      <c r="H269" s="15"/>
      <c r="I269" s="15" t="s">
        <v>58</v>
      </c>
      <c r="J269" s="15" t="s">
        <v>211</v>
      </c>
      <c r="K269" s="15" t="s">
        <v>649</v>
      </c>
      <c r="L269" s="15"/>
      <c r="M269" s="15"/>
      <c r="N269" s="15"/>
      <c r="O269" s="15"/>
      <c r="P269" s="15" t="n">
        <v>1.793</v>
      </c>
      <c r="Q269" s="15" t="n">
        <v>1.793</v>
      </c>
      <c r="R269" s="15"/>
      <c r="S269" s="15" t="s">
        <v>459</v>
      </c>
      <c r="T269" s="15" t="n">
        <v>61</v>
      </c>
      <c r="U269" s="15"/>
      <c r="V269" s="15"/>
      <c r="W269" s="15"/>
      <c r="X269" s="15" t="s">
        <v>165</v>
      </c>
      <c r="Y269" s="15" t="n">
        <v>34</v>
      </c>
      <c r="Z269" s="15" t="s">
        <v>166</v>
      </c>
      <c r="AA269" s="15"/>
      <c r="AB269" s="15" t="n">
        <v>54</v>
      </c>
      <c r="AC269" s="15" t="n">
        <v>53</v>
      </c>
      <c r="AD269" s="15"/>
      <c r="AE269" s="15"/>
      <c r="AF269" s="15" t="s">
        <v>169</v>
      </c>
      <c r="AG269" s="15"/>
      <c r="AH269" s="24" t="n">
        <f aca="false">IF(R269="",AM269,R269)</f>
        <v>53</v>
      </c>
      <c r="AI269" s="24" t="n">
        <f aca="false">SUMIFS(Permissions!$G$2:$G$3000,Permissions!$B$2:$B$3000,$A269,Permissions!$I$2:$I$3000,"Complete",Permissions!$R$2:$R$3000,"Yes")</f>
        <v>53</v>
      </c>
      <c r="AJ269" s="24" t="n">
        <f aca="false">SUMIFS(Permissions!$G$2:$G$3000,Permissions!$B$2:$B$3000,$A269,Permissions!$I$2:$I$3000,"Under construction",Permissions!$R$2:$R$3000,"Yes")</f>
        <v>0</v>
      </c>
      <c r="AK269" s="24" t="n">
        <f aca="false">SUMIFS(Permissions!$G$2:$G$3000,Permissions!$B$2:$B$3000,$A269,Permissions!$I$2:$I$3000,"Permitted – not started",Permissions!$R$2:$R$3000,"Yes")</f>
        <v>0</v>
      </c>
      <c r="AL269" s="24" t="n">
        <f aca="false">SUMIFS(Permissions!$G$2:$G$3000,Permissions!$B$2:$B$3000,$A269,Permissions!$I$2:$I$3000,"Stalled",Permissions!$R$2:$R$3000,"Yes")</f>
        <v>0</v>
      </c>
      <c r="AM269" s="24" t="n">
        <f aca="false">AI269+AJ269+AK269+AL269</f>
        <v>53</v>
      </c>
      <c r="AN269" s="24" t="n">
        <f aca="false">SUMIFS(Permissions!$G$2:$G$3000,Permissions!$B$2:$B$3000,$A269,Permissions!$I$2:$I$3000,"Expired – not started",Permissions!$R$2:$R$3000,"Yes")</f>
        <v>0</v>
      </c>
      <c r="AO269" s="24" t="n">
        <f aca="false">SUMIFS(Permissions!$G$2:$G$3000,Permissions!$B$2:$B$3000,$A269,Permissions!$I$2:$I$3000,"In planning",Permissions!$R$2:$R$3000,"Yes")</f>
        <v>0</v>
      </c>
      <c r="AP269" s="24" t="n">
        <f aca="false">IF(R269="",0,MAX(R269-AM269,0))</f>
        <v>0</v>
      </c>
      <c r="AQ269" s="25" t="n">
        <f aca="false">AM269+AP269</f>
        <v>53</v>
      </c>
      <c r="AR269" s="24" t="n">
        <f aca="false">SUMIFS(Permissions!$L$2:$L$3000,Permissions!$B$2:$B$3000,$A269,Permissions!$R$2:$R$3000,"Yes",Permissions!$I$2:$I$3000,"&lt;&gt;Expired – not started",Permissions!$I$2:$I$3000,"&lt;&gt;In planning")</f>
        <v>53</v>
      </c>
      <c r="AS269" s="24" t="n">
        <f aca="false">AQ269-AR269</f>
        <v>0</v>
      </c>
      <c r="AT269" s="26" t="n">
        <f aca="false">SUMIFS(Permissions!$AJ$2:$AJ$3000,Permissions!$B$2:$B$3000,$A269,Permissions!$R$2:$R$3000,"Yes")</f>
        <v>0</v>
      </c>
      <c r="AU269" s="26" t="n">
        <f aca="false">SUMIFS(Permissions!$AK$2:$AK$3000,Permissions!$B$2:$B$3000,$A269,Permissions!$R$2:$R$3000,"Yes")</f>
        <v>0</v>
      </c>
      <c r="AV269" s="26" t="n">
        <f aca="false">SUMIFS(Permissions!$AL$2:$AL$3000,Permissions!$B$2:$B$3000,$A269,Permissions!$R$2:$R$3000,"Yes")</f>
        <v>0</v>
      </c>
      <c r="AW269" s="26" t="n">
        <f aca="false">SUMIFS(Permissions!$AM$2:$AM$3000,Permissions!$B$2:$B$3000,$A269,Permissions!$R$2:$R$3000,"Yes")</f>
        <v>0</v>
      </c>
      <c r="AX269" s="26" t="n">
        <f aca="false">SUMIFS(Permissions!$AN$2:$AN$3000,Permissions!$B$2:$B$3000,$A269,Permissions!$R$2:$R$3000,"Yes")</f>
        <v>0</v>
      </c>
      <c r="AY269" s="26" t="n">
        <f aca="false">SUMIFS(Permissions!$AO$2:$AO$3000,Permissions!$B$2:$B$3000,$A269,Permissions!$R$2:$R$3000,"Yes")</f>
        <v>0</v>
      </c>
      <c r="AZ269" s="24" t="n">
        <f aca="false">COUNTIFS(Permissions!$B$2:$B$3000,$A269,Permissions!$R$2:$R$3000,"Yes")</f>
        <v>1</v>
      </c>
      <c r="BA269" s="24" t="n">
        <f aca="false">SUMIFS(Permissions!$M$2:$M$3000,Permissions!$B$2:$B$3000,$A269,Permissions!$R$2:$R$3000,"Yes")</f>
        <v>53</v>
      </c>
      <c r="BB269" s="24" t="n">
        <f aca="false">SUMIFS(Permissions!$O$2:$O$3000,Permissions!$B$2:$B$3000,$A269,Permissions!$R$2:$R$3000,"Yes")</f>
        <v>0</v>
      </c>
      <c r="BC269" s="27" t="str">
        <f aca="false">IF(AND(AM269&gt;0,AR269&gt;=AM269,AP269=0),"Finished",IF(AR269&gt;0,"Partly built",IF(AM269&gt;0,"Consented – not built","No consent")))</f>
        <v>Finished</v>
      </c>
      <c r="BD269" s="28" t="str">
        <f aca="false">IF(AND(R269&lt;&gt;"",AM269&gt;1.1*R269),"Consented above capacity",IF(AND(LEFT(B269,8)="Planning",AZ269=0),"Consent parcel with no permission",IF(COUNTIF($A$2:$A$3000,$A269)&gt;1,"Duplicate parcel_id","")))</f>
        <v/>
      </c>
    </row>
    <row r="270" customFormat="false" ht="15" hidden="false" customHeight="false" outlineLevel="0" collapsed="false">
      <c r="A270" s="15" t="s">
        <v>650</v>
      </c>
      <c r="B270" s="15" t="s">
        <v>12</v>
      </c>
      <c r="C270" s="15" t="s">
        <v>16</v>
      </c>
      <c r="D270" s="15" t="s">
        <v>58</v>
      </c>
      <c r="E270" s="15" t="s">
        <v>19</v>
      </c>
      <c r="F270" s="15" t="n">
        <v>1</v>
      </c>
      <c r="G270" s="15" t="s">
        <v>158</v>
      </c>
      <c r="H270" s="15"/>
      <c r="I270" s="15" t="s">
        <v>58</v>
      </c>
      <c r="J270" s="15" t="s">
        <v>211</v>
      </c>
      <c r="K270" s="15" t="s">
        <v>651</v>
      </c>
      <c r="L270" s="15"/>
      <c r="M270" s="15"/>
      <c r="N270" s="15"/>
      <c r="O270" s="15"/>
      <c r="P270" s="15" t="n">
        <v>4.882</v>
      </c>
      <c r="Q270" s="15" t="n">
        <v>4.882</v>
      </c>
      <c r="R270" s="15"/>
      <c r="S270" s="15" t="s">
        <v>459</v>
      </c>
      <c r="T270" s="15" t="n">
        <v>166</v>
      </c>
      <c r="U270" s="15"/>
      <c r="V270" s="15"/>
      <c r="W270" s="15"/>
      <c r="X270" s="15" t="s">
        <v>165</v>
      </c>
      <c r="Y270" s="15" t="n">
        <v>34</v>
      </c>
      <c r="Z270" s="15" t="s">
        <v>166</v>
      </c>
      <c r="AA270" s="15"/>
      <c r="AB270" s="15" t="n">
        <v>134</v>
      </c>
      <c r="AC270" s="15" t="n">
        <v>134</v>
      </c>
      <c r="AD270" s="15"/>
      <c r="AE270" s="15"/>
      <c r="AF270" s="15" t="s">
        <v>169</v>
      </c>
      <c r="AG270" s="15"/>
      <c r="AH270" s="24" t="n">
        <f aca="false">IF(R270="",AM270,R270)</f>
        <v>170</v>
      </c>
      <c r="AI270" s="24" t="n">
        <f aca="false">SUMIFS(Permissions!$G$2:$G$3000,Permissions!$B$2:$B$3000,$A270,Permissions!$I$2:$I$3000,"Complete",Permissions!$R$2:$R$3000,"Yes")</f>
        <v>170</v>
      </c>
      <c r="AJ270" s="24" t="n">
        <f aca="false">SUMIFS(Permissions!$G$2:$G$3000,Permissions!$B$2:$B$3000,$A270,Permissions!$I$2:$I$3000,"Under construction",Permissions!$R$2:$R$3000,"Yes")</f>
        <v>0</v>
      </c>
      <c r="AK270" s="24" t="n">
        <f aca="false">SUMIFS(Permissions!$G$2:$G$3000,Permissions!$B$2:$B$3000,$A270,Permissions!$I$2:$I$3000,"Permitted – not started",Permissions!$R$2:$R$3000,"Yes")</f>
        <v>0</v>
      </c>
      <c r="AL270" s="24" t="n">
        <f aca="false">SUMIFS(Permissions!$G$2:$G$3000,Permissions!$B$2:$B$3000,$A270,Permissions!$I$2:$I$3000,"Stalled",Permissions!$R$2:$R$3000,"Yes")</f>
        <v>0</v>
      </c>
      <c r="AM270" s="24" t="n">
        <f aca="false">AI270+AJ270+AK270+AL270</f>
        <v>170</v>
      </c>
      <c r="AN270" s="24" t="n">
        <f aca="false">SUMIFS(Permissions!$G$2:$G$3000,Permissions!$B$2:$B$3000,$A270,Permissions!$I$2:$I$3000,"Expired – not started",Permissions!$R$2:$R$3000,"Yes")</f>
        <v>0</v>
      </c>
      <c r="AO270" s="24" t="n">
        <f aca="false">SUMIFS(Permissions!$G$2:$G$3000,Permissions!$B$2:$B$3000,$A270,Permissions!$I$2:$I$3000,"In planning",Permissions!$R$2:$R$3000,"Yes")</f>
        <v>0</v>
      </c>
      <c r="AP270" s="24" t="n">
        <f aca="false">IF(R270="",0,MAX(R270-AM270,0))</f>
        <v>0</v>
      </c>
      <c r="AQ270" s="25" t="n">
        <f aca="false">AM270+AP270</f>
        <v>170</v>
      </c>
      <c r="AR270" s="24" t="n">
        <f aca="false">SUMIFS(Permissions!$L$2:$L$3000,Permissions!$B$2:$B$3000,$A270,Permissions!$R$2:$R$3000,"Yes",Permissions!$I$2:$I$3000,"&lt;&gt;Expired – not started",Permissions!$I$2:$I$3000,"&lt;&gt;In planning")</f>
        <v>170</v>
      </c>
      <c r="AS270" s="24" t="n">
        <f aca="false">AQ270-AR270</f>
        <v>0</v>
      </c>
      <c r="AT270" s="26" t="n">
        <f aca="false">SUMIFS(Permissions!$AJ$2:$AJ$3000,Permissions!$B$2:$B$3000,$A270,Permissions!$R$2:$R$3000,"Yes")</f>
        <v>0</v>
      </c>
      <c r="AU270" s="26" t="n">
        <f aca="false">SUMIFS(Permissions!$AK$2:$AK$3000,Permissions!$B$2:$B$3000,$A270,Permissions!$R$2:$R$3000,"Yes")</f>
        <v>0</v>
      </c>
      <c r="AV270" s="26" t="n">
        <f aca="false">SUMIFS(Permissions!$AL$2:$AL$3000,Permissions!$B$2:$B$3000,$A270,Permissions!$R$2:$R$3000,"Yes")</f>
        <v>0</v>
      </c>
      <c r="AW270" s="26" t="n">
        <f aca="false">SUMIFS(Permissions!$AM$2:$AM$3000,Permissions!$B$2:$B$3000,$A270,Permissions!$R$2:$R$3000,"Yes")</f>
        <v>0</v>
      </c>
      <c r="AX270" s="26" t="n">
        <f aca="false">SUMIFS(Permissions!$AN$2:$AN$3000,Permissions!$B$2:$B$3000,$A270,Permissions!$R$2:$R$3000,"Yes")</f>
        <v>0</v>
      </c>
      <c r="AY270" s="26" t="n">
        <f aca="false">SUMIFS(Permissions!$AO$2:$AO$3000,Permissions!$B$2:$B$3000,$A270,Permissions!$R$2:$R$3000,"Yes")</f>
        <v>0</v>
      </c>
      <c r="AZ270" s="24" t="n">
        <f aca="false">COUNTIFS(Permissions!$B$2:$B$3000,$A270,Permissions!$R$2:$R$3000,"Yes")</f>
        <v>2</v>
      </c>
      <c r="BA270" s="24" t="n">
        <f aca="false">SUMIFS(Permissions!$M$2:$M$3000,Permissions!$B$2:$B$3000,$A270,Permissions!$R$2:$R$3000,"Yes")</f>
        <v>135</v>
      </c>
      <c r="BB270" s="24" t="n">
        <f aca="false">SUMIFS(Permissions!$O$2:$O$3000,Permissions!$B$2:$B$3000,$A270,Permissions!$R$2:$R$3000,"Yes")</f>
        <v>0</v>
      </c>
      <c r="BC270" s="27" t="str">
        <f aca="false">IF(AND(AM270&gt;0,AR270&gt;=AM270,AP270=0),"Finished",IF(AR270&gt;0,"Partly built",IF(AM270&gt;0,"Consented – not built","No consent")))</f>
        <v>Finished</v>
      </c>
      <c r="BD270" s="28" t="str">
        <f aca="false">IF(AND(R270&lt;&gt;"",AM270&gt;1.1*R270),"Consented above capacity",IF(AND(LEFT(B270,8)="Planning",AZ270=0),"Consent parcel with no permission",IF(COUNTIF($A$2:$A$3000,$A270)&gt;1,"Duplicate parcel_id","")))</f>
        <v/>
      </c>
    </row>
    <row r="271" customFormat="false" ht="15" hidden="false" customHeight="false" outlineLevel="0" collapsed="false">
      <c r="A271" s="15" t="s">
        <v>652</v>
      </c>
      <c r="B271" s="15" t="s">
        <v>12</v>
      </c>
      <c r="C271" s="15" t="s">
        <v>16</v>
      </c>
      <c r="D271" s="15" t="s">
        <v>58</v>
      </c>
      <c r="E271" s="15" t="s">
        <v>19</v>
      </c>
      <c r="F271" s="15" t="n">
        <v>1</v>
      </c>
      <c r="G271" s="15" t="s">
        <v>158</v>
      </c>
      <c r="H271" s="15"/>
      <c r="I271" s="15" t="s">
        <v>58</v>
      </c>
      <c r="J271" s="15" t="s">
        <v>211</v>
      </c>
      <c r="K271" s="15" t="s">
        <v>653</v>
      </c>
      <c r="L271" s="15"/>
      <c r="M271" s="15"/>
      <c r="N271" s="15"/>
      <c r="O271" s="15"/>
      <c r="P271" s="15" t="n">
        <v>0.133</v>
      </c>
      <c r="Q271" s="15" t="n">
        <v>0.133</v>
      </c>
      <c r="R271" s="15"/>
      <c r="S271" s="15" t="s">
        <v>459</v>
      </c>
      <c r="T271" s="15" t="n">
        <v>5</v>
      </c>
      <c r="U271" s="15"/>
      <c r="V271" s="15"/>
      <c r="W271" s="15"/>
      <c r="X271" s="15" t="s">
        <v>165</v>
      </c>
      <c r="Y271" s="15" t="n">
        <v>34</v>
      </c>
      <c r="Z271" s="15" t="s">
        <v>166</v>
      </c>
      <c r="AA271" s="15"/>
      <c r="AB271" s="15" t="n">
        <v>3</v>
      </c>
      <c r="AC271" s="15" t="n">
        <v>3</v>
      </c>
      <c r="AD271" s="15"/>
      <c r="AE271" s="15"/>
      <c r="AF271" s="15" t="s">
        <v>169</v>
      </c>
      <c r="AG271" s="15"/>
      <c r="AH271" s="24" t="n">
        <f aca="false">IF(R271="",AM271,R271)</f>
        <v>4</v>
      </c>
      <c r="AI271" s="24" t="n">
        <f aca="false">SUMIFS(Permissions!$G$2:$G$3000,Permissions!$B$2:$B$3000,$A271,Permissions!$I$2:$I$3000,"Complete",Permissions!$R$2:$R$3000,"Yes")</f>
        <v>0</v>
      </c>
      <c r="AJ271" s="24" t="n">
        <f aca="false">SUMIFS(Permissions!$G$2:$G$3000,Permissions!$B$2:$B$3000,$A271,Permissions!$I$2:$I$3000,"Under construction",Permissions!$R$2:$R$3000,"Yes")</f>
        <v>4</v>
      </c>
      <c r="AK271" s="24" t="n">
        <f aca="false">SUMIFS(Permissions!$G$2:$G$3000,Permissions!$B$2:$B$3000,$A271,Permissions!$I$2:$I$3000,"Permitted – not started",Permissions!$R$2:$R$3000,"Yes")</f>
        <v>0</v>
      </c>
      <c r="AL271" s="24" t="n">
        <f aca="false">SUMIFS(Permissions!$G$2:$G$3000,Permissions!$B$2:$B$3000,$A271,Permissions!$I$2:$I$3000,"Stalled",Permissions!$R$2:$R$3000,"Yes")</f>
        <v>0</v>
      </c>
      <c r="AM271" s="24" t="n">
        <f aca="false">AI271+AJ271+AK271+AL271</f>
        <v>4</v>
      </c>
      <c r="AN271" s="24" t="n">
        <f aca="false">SUMIFS(Permissions!$G$2:$G$3000,Permissions!$B$2:$B$3000,$A271,Permissions!$I$2:$I$3000,"Expired – not started",Permissions!$R$2:$R$3000,"Yes")</f>
        <v>0</v>
      </c>
      <c r="AO271" s="24" t="n">
        <f aca="false">SUMIFS(Permissions!$G$2:$G$3000,Permissions!$B$2:$B$3000,$A271,Permissions!$I$2:$I$3000,"In planning",Permissions!$R$2:$R$3000,"Yes")</f>
        <v>0</v>
      </c>
      <c r="AP271" s="24" t="n">
        <f aca="false">IF(R271="",0,MAX(R271-AM271,0))</f>
        <v>0</v>
      </c>
      <c r="AQ271" s="25" t="n">
        <f aca="false">AM271+AP271</f>
        <v>4</v>
      </c>
      <c r="AR271" s="24" t="n">
        <f aca="false">SUMIFS(Permissions!$L$2:$L$3000,Permissions!$B$2:$B$3000,$A271,Permissions!$R$2:$R$3000,"Yes",Permissions!$I$2:$I$3000,"&lt;&gt;Expired – not started",Permissions!$I$2:$I$3000,"&lt;&gt;In planning")</f>
        <v>3</v>
      </c>
      <c r="AS271" s="24" t="n">
        <f aca="false">AQ271-AR271</f>
        <v>1</v>
      </c>
      <c r="AT271" s="26" t="n">
        <f aca="false">SUMIFS(Permissions!$AJ$2:$AJ$3000,Permissions!$B$2:$B$3000,$A271,Permissions!$R$2:$R$3000,"Yes")</f>
        <v>0.9</v>
      </c>
      <c r="AU271" s="26" t="n">
        <f aca="false">SUMIFS(Permissions!$AK$2:$AK$3000,Permissions!$B$2:$B$3000,$A271,Permissions!$R$2:$R$3000,"Yes")</f>
        <v>3.1</v>
      </c>
      <c r="AV271" s="26" t="n">
        <f aca="false">SUMIFS(Permissions!$AL$2:$AL$3000,Permissions!$B$2:$B$3000,$A271,Permissions!$R$2:$R$3000,"Yes")</f>
        <v>0</v>
      </c>
      <c r="AW271" s="26" t="n">
        <f aca="false">SUMIFS(Permissions!$AM$2:$AM$3000,Permissions!$B$2:$B$3000,$A271,Permissions!$R$2:$R$3000,"Yes")</f>
        <v>0</v>
      </c>
      <c r="AX271" s="26" t="n">
        <f aca="false">SUMIFS(Permissions!$AN$2:$AN$3000,Permissions!$B$2:$B$3000,$A271,Permissions!$R$2:$R$3000,"Yes")</f>
        <v>0</v>
      </c>
      <c r="AY271" s="26" t="n">
        <f aca="false">SUMIFS(Permissions!$AO$2:$AO$3000,Permissions!$B$2:$B$3000,$A271,Permissions!$R$2:$R$3000,"Yes")</f>
        <v>0</v>
      </c>
      <c r="AZ271" s="24" t="n">
        <f aca="false">COUNTIFS(Permissions!$B$2:$B$3000,$A271,Permissions!$R$2:$R$3000,"Yes")</f>
        <v>1</v>
      </c>
      <c r="BA271" s="24" t="n">
        <f aca="false">SUMIFS(Permissions!$M$2:$M$3000,Permissions!$B$2:$B$3000,$A271,Permissions!$R$2:$R$3000,"Yes")</f>
        <v>3</v>
      </c>
      <c r="BB271" s="24" t="n">
        <f aca="false">SUMIFS(Permissions!$O$2:$O$3000,Permissions!$B$2:$B$3000,$A271,Permissions!$R$2:$R$3000,"Yes")</f>
        <v>0</v>
      </c>
      <c r="BC271" s="27" t="str">
        <f aca="false">IF(AND(AM271&gt;0,AR271&gt;=AM271,AP271=0),"Finished",IF(AR271&gt;0,"Partly built",IF(AM271&gt;0,"Consented – not built","No consent")))</f>
        <v>Partly built</v>
      </c>
      <c r="BD271" s="28" t="str">
        <f aca="false">IF(AND(R271&lt;&gt;"",AM271&gt;1.1*R271),"Consented above capacity",IF(AND(LEFT(B271,8)="Planning",AZ271=0),"Consent parcel with no permission",IF(COUNTIF($A$2:$A$3000,$A271)&gt;1,"Duplicate parcel_id","")))</f>
        <v/>
      </c>
    </row>
    <row r="272" customFormat="false" ht="15" hidden="false" customHeight="false" outlineLevel="0" collapsed="false">
      <c r="A272" s="15" t="s">
        <v>654</v>
      </c>
      <c r="B272" s="15" t="s">
        <v>12</v>
      </c>
      <c r="C272" s="15" t="s">
        <v>16</v>
      </c>
      <c r="D272" s="15" t="s">
        <v>58</v>
      </c>
      <c r="E272" s="15" t="s">
        <v>19</v>
      </c>
      <c r="F272" s="15" t="n">
        <v>1</v>
      </c>
      <c r="G272" s="15" t="s">
        <v>158</v>
      </c>
      <c r="H272" s="15"/>
      <c r="I272" s="15" t="s">
        <v>58</v>
      </c>
      <c r="J272" s="15" t="s">
        <v>211</v>
      </c>
      <c r="K272" s="15" t="s">
        <v>655</v>
      </c>
      <c r="L272" s="15"/>
      <c r="M272" s="15"/>
      <c r="N272" s="15"/>
      <c r="O272" s="15"/>
      <c r="P272" s="15" t="n">
        <v>0.242</v>
      </c>
      <c r="Q272" s="15" t="n">
        <v>0.242</v>
      </c>
      <c r="R272" s="15"/>
      <c r="S272" s="15" t="s">
        <v>459</v>
      </c>
      <c r="T272" s="15" t="n">
        <v>8</v>
      </c>
      <c r="U272" s="15"/>
      <c r="V272" s="15"/>
      <c r="W272" s="15"/>
      <c r="X272" s="15" t="s">
        <v>165</v>
      </c>
      <c r="Y272" s="15" t="n">
        <v>34</v>
      </c>
      <c r="Z272" s="15" t="s">
        <v>166</v>
      </c>
      <c r="AA272" s="15"/>
      <c r="AB272" s="15" t="n">
        <v>4</v>
      </c>
      <c r="AC272" s="15" t="n">
        <v>4</v>
      </c>
      <c r="AD272" s="15"/>
      <c r="AE272" s="15"/>
      <c r="AF272" s="15" t="s">
        <v>169</v>
      </c>
      <c r="AG272" s="15"/>
      <c r="AH272" s="24" t="n">
        <f aca="false">IF(R272="",AM272,R272)</f>
        <v>4</v>
      </c>
      <c r="AI272" s="24" t="n">
        <f aca="false">SUMIFS(Permissions!$G$2:$G$3000,Permissions!$B$2:$B$3000,$A272,Permissions!$I$2:$I$3000,"Complete",Permissions!$R$2:$R$3000,"Yes")</f>
        <v>4</v>
      </c>
      <c r="AJ272" s="24" t="n">
        <f aca="false">SUMIFS(Permissions!$G$2:$G$3000,Permissions!$B$2:$B$3000,$A272,Permissions!$I$2:$I$3000,"Under construction",Permissions!$R$2:$R$3000,"Yes")</f>
        <v>0</v>
      </c>
      <c r="AK272" s="24" t="n">
        <f aca="false">SUMIFS(Permissions!$G$2:$G$3000,Permissions!$B$2:$B$3000,$A272,Permissions!$I$2:$I$3000,"Permitted – not started",Permissions!$R$2:$R$3000,"Yes")</f>
        <v>0</v>
      </c>
      <c r="AL272" s="24" t="n">
        <f aca="false">SUMIFS(Permissions!$G$2:$G$3000,Permissions!$B$2:$B$3000,$A272,Permissions!$I$2:$I$3000,"Stalled",Permissions!$R$2:$R$3000,"Yes")</f>
        <v>0</v>
      </c>
      <c r="AM272" s="24" t="n">
        <f aca="false">AI272+AJ272+AK272+AL272</f>
        <v>4</v>
      </c>
      <c r="AN272" s="24" t="n">
        <f aca="false">SUMIFS(Permissions!$G$2:$G$3000,Permissions!$B$2:$B$3000,$A272,Permissions!$I$2:$I$3000,"Expired – not started",Permissions!$R$2:$R$3000,"Yes")</f>
        <v>0</v>
      </c>
      <c r="AO272" s="24" t="n">
        <f aca="false">SUMIFS(Permissions!$G$2:$G$3000,Permissions!$B$2:$B$3000,$A272,Permissions!$I$2:$I$3000,"In planning",Permissions!$R$2:$R$3000,"Yes")</f>
        <v>0</v>
      </c>
      <c r="AP272" s="24" t="n">
        <f aca="false">IF(R272="",0,MAX(R272-AM272,0))</f>
        <v>0</v>
      </c>
      <c r="AQ272" s="25" t="n">
        <f aca="false">AM272+AP272</f>
        <v>4</v>
      </c>
      <c r="AR272" s="24" t="n">
        <f aca="false">SUMIFS(Permissions!$L$2:$L$3000,Permissions!$B$2:$B$3000,$A272,Permissions!$R$2:$R$3000,"Yes",Permissions!$I$2:$I$3000,"&lt;&gt;Expired – not started",Permissions!$I$2:$I$3000,"&lt;&gt;In planning")</f>
        <v>4</v>
      </c>
      <c r="AS272" s="24" t="n">
        <f aca="false">AQ272-AR272</f>
        <v>0</v>
      </c>
      <c r="AT272" s="26" t="n">
        <f aca="false">SUMIFS(Permissions!$AJ$2:$AJ$3000,Permissions!$B$2:$B$3000,$A272,Permissions!$R$2:$R$3000,"Yes")</f>
        <v>0</v>
      </c>
      <c r="AU272" s="26" t="n">
        <f aca="false">SUMIFS(Permissions!$AK$2:$AK$3000,Permissions!$B$2:$B$3000,$A272,Permissions!$R$2:$R$3000,"Yes")</f>
        <v>0</v>
      </c>
      <c r="AV272" s="26" t="n">
        <f aca="false">SUMIFS(Permissions!$AL$2:$AL$3000,Permissions!$B$2:$B$3000,$A272,Permissions!$R$2:$R$3000,"Yes")</f>
        <v>0</v>
      </c>
      <c r="AW272" s="26" t="n">
        <f aca="false">SUMIFS(Permissions!$AM$2:$AM$3000,Permissions!$B$2:$B$3000,$A272,Permissions!$R$2:$R$3000,"Yes")</f>
        <v>0</v>
      </c>
      <c r="AX272" s="26" t="n">
        <f aca="false">SUMIFS(Permissions!$AN$2:$AN$3000,Permissions!$B$2:$B$3000,$A272,Permissions!$R$2:$R$3000,"Yes")</f>
        <v>0</v>
      </c>
      <c r="AY272" s="26" t="n">
        <f aca="false">SUMIFS(Permissions!$AO$2:$AO$3000,Permissions!$B$2:$B$3000,$A272,Permissions!$R$2:$R$3000,"Yes")</f>
        <v>0</v>
      </c>
      <c r="AZ272" s="24" t="n">
        <f aca="false">COUNTIFS(Permissions!$B$2:$B$3000,$A272,Permissions!$R$2:$R$3000,"Yes")</f>
        <v>1</v>
      </c>
      <c r="BA272" s="24" t="n">
        <f aca="false">SUMIFS(Permissions!$M$2:$M$3000,Permissions!$B$2:$B$3000,$A272,Permissions!$R$2:$R$3000,"Yes")</f>
        <v>4</v>
      </c>
      <c r="BB272" s="24" t="n">
        <f aca="false">SUMIFS(Permissions!$O$2:$O$3000,Permissions!$B$2:$B$3000,$A272,Permissions!$R$2:$R$3000,"Yes")</f>
        <v>0</v>
      </c>
      <c r="BC272" s="27" t="str">
        <f aca="false">IF(AND(AM272&gt;0,AR272&gt;=AM272,AP272=0),"Finished",IF(AR272&gt;0,"Partly built",IF(AM272&gt;0,"Consented – not built","No consent")))</f>
        <v>Finished</v>
      </c>
      <c r="BD272" s="28" t="str">
        <f aca="false">IF(AND(R272&lt;&gt;"",AM272&gt;1.1*R272),"Consented above capacity",IF(AND(LEFT(B272,8)="Planning",AZ272=0),"Consent parcel with no permission",IF(COUNTIF($A$2:$A$3000,$A272)&gt;1,"Duplicate parcel_id","")))</f>
        <v/>
      </c>
    </row>
    <row r="273" customFormat="false" ht="15" hidden="false" customHeight="false" outlineLevel="0" collapsed="false">
      <c r="A273" s="15" t="s">
        <v>656</v>
      </c>
      <c r="B273" s="15" t="s">
        <v>12</v>
      </c>
      <c r="C273" s="15" t="s">
        <v>16</v>
      </c>
      <c r="D273" s="15" t="s">
        <v>58</v>
      </c>
      <c r="E273" s="15" t="s">
        <v>19</v>
      </c>
      <c r="F273" s="15" t="n">
        <v>0.99</v>
      </c>
      <c r="G273" s="15" t="s">
        <v>158</v>
      </c>
      <c r="H273" s="15"/>
      <c r="I273" s="15" t="s">
        <v>58</v>
      </c>
      <c r="J273" s="15" t="s">
        <v>211</v>
      </c>
      <c r="K273" s="15" t="s">
        <v>657</v>
      </c>
      <c r="L273" s="15"/>
      <c r="M273" s="15"/>
      <c r="N273" s="15"/>
      <c r="O273" s="15"/>
      <c r="P273" s="15" t="n">
        <v>2.777</v>
      </c>
      <c r="Q273" s="15" t="n">
        <v>2.777</v>
      </c>
      <c r="R273" s="15"/>
      <c r="S273" s="15" t="s">
        <v>459</v>
      </c>
      <c r="T273" s="15" t="n">
        <v>94</v>
      </c>
      <c r="U273" s="15"/>
      <c r="V273" s="15"/>
      <c r="W273" s="15"/>
      <c r="X273" s="15" t="s">
        <v>165</v>
      </c>
      <c r="Y273" s="15" t="n">
        <v>34</v>
      </c>
      <c r="Z273" s="15" t="s">
        <v>166</v>
      </c>
      <c r="AA273" s="15"/>
      <c r="AB273" s="15" t="n">
        <v>43</v>
      </c>
      <c r="AC273" s="15" t="n">
        <v>43</v>
      </c>
      <c r="AD273" s="15"/>
      <c r="AE273" s="15"/>
      <c r="AF273" s="15" t="s">
        <v>169</v>
      </c>
      <c r="AG273" s="15"/>
      <c r="AH273" s="24" t="n">
        <f aca="false">IF(R273="",AM273,R273)</f>
        <v>43</v>
      </c>
      <c r="AI273" s="24" t="n">
        <f aca="false">SUMIFS(Permissions!$G$2:$G$3000,Permissions!$B$2:$B$3000,$A273,Permissions!$I$2:$I$3000,"Complete",Permissions!$R$2:$R$3000,"Yes")</f>
        <v>43</v>
      </c>
      <c r="AJ273" s="24" t="n">
        <f aca="false">SUMIFS(Permissions!$G$2:$G$3000,Permissions!$B$2:$B$3000,$A273,Permissions!$I$2:$I$3000,"Under construction",Permissions!$R$2:$R$3000,"Yes")</f>
        <v>0</v>
      </c>
      <c r="AK273" s="24" t="n">
        <f aca="false">SUMIFS(Permissions!$G$2:$G$3000,Permissions!$B$2:$B$3000,$A273,Permissions!$I$2:$I$3000,"Permitted – not started",Permissions!$R$2:$R$3000,"Yes")</f>
        <v>0</v>
      </c>
      <c r="AL273" s="24" t="n">
        <f aca="false">SUMIFS(Permissions!$G$2:$G$3000,Permissions!$B$2:$B$3000,$A273,Permissions!$I$2:$I$3000,"Stalled",Permissions!$R$2:$R$3000,"Yes")</f>
        <v>0</v>
      </c>
      <c r="AM273" s="24" t="n">
        <f aca="false">AI273+AJ273+AK273+AL273</f>
        <v>43</v>
      </c>
      <c r="AN273" s="24" t="n">
        <f aca="false">SUMIFS(Permissions!$G$2:$G$3000,Permissions!$B$2:$B$3000,$A273,Permissions!$I$2:$I$3000,"Expired – not started",Permissions!$R$2:$R$3000,"Yes")</f>
        <v>0</v>
      </c>
      <c r="AO273" s="24" t="n">
        <f aca="false">SUMIFS(Permissions!$G$2:$G$3000,Permissions!$B$2:$B$3000,$A273,Permissions!$I$2:$I$3000,"In planning",Permissions!$R$2:$R$3000,"Yes")</f>
        <v>0</v>
      </c>
      <c r="AP273" s="24" t="n">
        <f aca="false">IF(R273="",0,MAX(R273-AM273,0))</f>
        <v>0</v>
      </c>
      <c r="AQ273" s="25" t="n">
        <f aca="false">AM273+AP273</f>
        <v>43</v>
      </c>
      <c r="AR273" s="24" t="n">
        <f aca="false">SUMIFS(Permissions!$L$2:$L$3000,Permissions!$B$2:$B$3000,$A273,Permissions!$R$2:$R$3000,"Yes",Permissions!$I$2:$I$3000,"&lt;&gt;Expired – not started",Permissions!$I$2:$I$3000,"&lt;&gt;In planning")</f>
        <v>43</v>
      </c>
      <c r="AS273" s="24" t="n">
        <f aca="false">AQ273-AR273</f>
        <v>0</v>
      </c>
      <c r="AT273" s="26" t="n">
        <f aca="false">SUMIFS(Permissions!$AJ$2:$AJ$3000,Permissions!$B$2:$B$3000,$A273,Permissions!$R$2:$R$3000,"Yes")</f>
        <v>0</v>
      </c>
      <c r="AU273" s="26" t="n">
        <f aca="false">SUMIFS(Permissions!$AK$2:$AK$3000,Permissions!$B$2:$B$3000,$A273,Permissions!$R$2:$R$3000,"Yes")</f>
        <v>0</v>
      </c>
      <c r="AV273" s="26" t="n">
        <f aca="false">SUMIFS(Permissions!$AL$2:$AL$3000,Permissions!$B$2:$B$3000,$A273,Permissions!$R$2:$R$3000,"Yes")</f>
        <v>0</v>
      </c>
      <c r="AW273" s="26" t="n">
        <f aca="false">SUMIFS(Permissions!$AM$2:$AM$3000,Permissions!$B$2:$B$3000,$A273,Permissions!$R$2:$R$3000,"Yes")</f>
        <v>0</v>
      </c>
      <c r="AX273" s="26" t="n">
        <f aca="false">SUMIFS(Permissions!$AN$2:$AN$3000,Permissions!$B$2:$B$3000,$A273,Permissions!$R$2:$R$3000,"Yes")</f>
        <v>0</v>
      </c>
      <c r="AY273" s="26" t="n">
        <f aca="false">SUMIFS(Permissions!$AO$2:$AO$3000,Permissions!$B$2:$B$3000,$A273,Permissions!$R$2:$R$3000,"Yes")</f>
        <v>0</v>
      </c>
      <c r="AZ273" s="24" t="n">
        <f aca="false">COUNTIFS(Permissions!$B$2:$B$3000,$A273,Permissions!$R$2:$R$3000,"Yes")</f>
        <v>1</v>
      </c>
      <c r="BA273" s="24" t="n">
        <f aca="false">SUMIFS(Permissions!$M$2:$M$3000,Permissions!$B$2:$B$3000,$A273,Permissions!$R$2:$R$3000,"Yes")</f>
        <v>43</v>
      </c>
      <c r="BB273" s="24" t="n">
        <f aca="false">SUMIFS(Permissions!$O$2:$O$3000,Permissions!$B$2:$B$3000,$A273,Permissions!$R$2:$R$3000,"Yes")</f>
        <v>0</v>
      </c>
      <c r="BC273" s="27" t="str">
        <f aca="false">IF(AND(AM273&gt;0,AR273&gt;=AM273,AP273=0),"Finished",IF(AR273&gt;0,"Partly built",IF(AM273&gt;0,"Consented – not built","No consent")))</f>
        <v>Finished</v>
      </c>
      <c r="BD273" s="28" t="str">
        <f aca="false">IF(AND(R273&lt;&gt;"",AM273&gt;1.1*R273),"Consented above capacity",IF(AND(LEFT(B273,8)="Planning",AZ273=0),"Consent parcel with no permission",IF(COUNTIF($A$2:$A$3000,$A273)&gt;1,"Duplicate parcel_id","")))</f>
        <v/>
      </c>
    </row>
    <row r="274" customFormat="false" ht="15" hidden="false" customHeight="false" outlineLevel="0" collapsed="false">
      <c r="A274" s="15" t="s">
        <v>658</v>
      </c>
      <c r="B274" s="15" t="s">
        <v>12</v>
      </c>
      <c r="C274" s="15" t="s">
        <v>16</v>
      </c>
      <c r="D274" s="15" t="s">
        <v>58</v>
      </c>
      <c r="E274" s="15" t="s">
        <v>19</v>
      </c>
      <c r="F274" s="15" t="n">
        <v>1</v>
      </c>
      <c r="G274" s="15" t="s">
        <v>158</v>
      </c>
      <c r="H274" s="15"/>
      <c r="I274" s="15" t="s">
        <v>58</v>
      </c>
      <c r="J274" s="15" t="s">
        <v>211</v>
      </c>
      <c r="K274" s="15" t="s">
        <v>659</v>
      </c>
      <c r="L274" s="15"/>
      <c r="M274" s="15"/>
      <c r="N274" s="15"/>
      <c r="O274" s="15"/>
      <c r="P274" s="15" t="n">
        <v>0.522</v>
      </c>
      <c r="Q274" s="15" t="n">
        <v>0.522</v>
      </c>
      <c r="R274" s="15"/>
      <c r="S274" s="15" t="s">
        <v>459</v>
      </c>
      <c r="T274" s="15" t="n">
        <v>18</v>
      </c>
      <c r="U274" s="15"/>
      <c r="V274" s="15"/>
      <c r="W274" s="15"/>
      <c r="X274" s="15" t="s">
        <v>165</v>
      </c>
      <c r="Y274" s="15" t="n">
        <v>34</v>
      </c>
      <c r="Z274" s="15" t="s">
        <v>166</v>
      </c>
      <c r="AA274" s="15"/>
      <c r="AB274" s="15" t="n">
        <v>10</v>
      </c>
      <c r="AC274" s="15" t="n">
        <v>10</v>
      </c>
      <c r="AD274" s="15"/>
      <c r="AE274" s="15" t="s">
        <v>599</v>
      </c>
      <c r="AF274" s="15" t="s">
        <v>169</v>
      </c>
      <c r="AG274" s="15"/>
      <c r="AH274" s="24" t="n">
        <f aca="false">IF(R274="",AM274,R274)</f>
        <v>12</v>
      </c>
      <c r="AI274" s="24" t="n">
        <f aca="false">SUMIFS(Permissions!$G$2:$G$3000,Permissions!$B$2:$B$3000,$A274,Permissions!$I$2:$I$3000,"Complete",Permissions!$R$2:$R$3000,"Yes")</f>
        <v>0</v>
      </c>
      <c r="AJ274" s="24" t="n">
        <f aca="false">SUMIFS(Permissions!$G$2:$G$3000,Permissions!$B$2:$B$3000,$A274,Permissions!$I$2:$I$3000,"Under construction",Permissions!$R$2:$R$3000,"Yes")</f>
        <v>12</v>
      </c>
      <c r="AK274" s="24" t="n">
        <f aca="false">SUMIFS(Permissions!$G$2:$G$3000,Permissions!$B$2:$B$3000,$A274,Permissions!$I$2:$I$3000,"Permitted – not started",Permissions!$R$2:$R$3000,"Yes")</f>
        <v>0</v>
      </c>
      <c r="AL274" s="24" t="n">
        <f aca="false">SUMIFS(Permissions!$G$2:$G$3000,Permissions!$B$2:$B$3000,$A274,Permissions!$I$2:$I$3000,"Stalled",Permissions!$R$2:$R$3000,"Yes")</f>
        <v>0</v>
      </c>
      <c r="AM274" s="24" t="n">
        <f aca="false">AI274+AJ274+AK274+AL274</f>
        <v>12</v>
      </c>
      <c r="AN274" s="24" t="n">
        <f aca="false">SUMIFS(Permissions!$G$2:$G$3000,Permissions!$B$2:$B$3000,$A274,Permissions!$I$2:$I$3000,"Expired – not started",Permissions!$R$2:$R$3000,"Yes")</f>
        <v>0</v>
      </c>
      <c r="AO274" s="24" t="n">
        <f aca="false">SUMIFS(Permissions!$G$2:$G$3000,Permissions!$B$2:$B$3000,$A274,Permissions!$I$2:$I$3000,"In planning",Permissions!$R$2:$R$3000,"Yes")</f>
        <v>0</v>
      </c>
      <c r="AP274" s="24" t="n">
        <f aca="false">IF(R274="",0,MAX(R274-AM274,0))</f>
        <v>0</v>
      </c>
      <c r="AQ274" s="25" t="n">
        <f aca="false">AM274+AP274</f>
        <v>12</v>
      </c>
      <c r="AR274" s="24" t="n">
        <f aca="false">SUMIFS(Permissions!$L$2:$L$3000,Permissions!$B$2:$B$3000,$A274,Permissions!$R$2:$R$3000,"Yes",Permissions!$I$2:$I$3000,"&lt;&gt;Expired – not started",Permissions!$I$2:$I$3000,"&lt;&gt;In planning")</f>
        <v>0</v>
      </c>
      <c r="AS274" s="24" t="n">
        <f aca="false">AQ274-AR274</f>
        <v>12</v>
      </c>
      <c r="AT274" s="26" t="n">
        <f aca="false">SUMIFS(Permissions!$AJ$2:$AJ$3000,Permissions!$B$2:$B$3000,$A274,Permissions!$R$2:$R$3000,"Yes")</f>
        <v>2.8</v>
      </c>
      <c r="AU274" s="26" t="n">
        <f aca="false">SUMIFS(Permissions!$AK$2:$AK$3000,Permissions!$B$2:$B$3000,$A274,Permissions!$R$2:$R$3000,"Yes")</f>
        <v>9.2</v>
      </c>
      <c r="AV274" s="26" t="n">
        <f aca="false">SUMIFS(Permissions!$AL$2:$AL$3000,Permissions!$B$2:$B$3000,$A274,Permissions!$R$2:$R$3000,"Yes")</f>
        <v>0</v>
      </c>
      <c r="AW274" s="26" t="n">
        <f aca="false">SUMIFS(Permissions!$AM$2:$AM$3000,Permissions!$B$2:$B$3000,$A274,Permissions!$R$2:$R$3000,"Yes")</f>
        <v>0</v>
      </c>
      <c r="AX274" s="26" t="n">
        <f aca="false">SUMIFS(Permissions!$AN$2:$AN$3000,Permissions!$B$2:$B$3000,$A274,Permissions!$R$2:$R$3000,"Yes")</f>
        <v>0</v>
      </c>
      <c r="AY274" s="26" t="n">
        <f aca="false">SUMIFS(Permissions!$AO$2:$AO$3000,Permissions!$B$2:$B$3000,$A274,Permissions!$R$2:$R$3000,"Yes")</f>
        <v>0</v>
      </c>
      <c r="AZ274" s="24" t="n">
        <f aca="false">COUNTIFS(Permissions!$B$2:$B$3000,$A274,Permissions!$R$2:$R$3000,"Yes")</f>
        <v>1</v>
      </c>
      <c r="BA274" s="24" t="n">
        <f aca="false">SUMIFS(Permissions!$M$2:$M$3000,Permissions!$B$2:$B$3000,$A274,Permissions!$R$2:$R$3000,"Yes")</f>
        <v>0</v>
      </c>
      <c r="BB274" s="24" t="n">
        <f aca="false">SUMIFS(Permissions!$O$2:$O$3000,Permissions!$B$2:$B$3000,$A274,Permissions!$R$2:$R$3000,"Yes")</f>
        <v>0</v>
      </c>
      <c r="BC274" s="27" t="str">
        <f aca="false">IF(AND(AM274&gt;0,AR274&gt;=AM274,AP274=0),"Finished",IF(AR274&gt;0,"Partly built",IF(AM274&gt;0,"Consented – not built","No consent")))</f>
        <v>Consented – not built</v>
      </c>
      <c r="BD274" s="28" t="str">
        <f aca="false">IF(AND(R274&lt;&gt;"",AM274&gt;1.1*R274),"Consented above capacity",IF(AND(LEFT(B274,8)="Planning",AZ274=0),"Consent parcel with no permission",IF(COUNTIF($A$2:$A$3000,$A274)&gt;1,"Duplicate parcel_id","")))</f>
        <v/>
      </c>
    </row>
    <row r="275" customFormat="false" ht="15" hidden="false" customHeight="false" outlineLevel="0" collapsed="false">
      <c r="A275" s="15" t="s">
        <v>660</v>
      </c>
      <c r="B275" s="15" t="s">
        <v>12</v>
      </c>
      <c r="C275" s="15" t="s">
        <v>16</v>
      </c>
      <c r="D275" s="15" t="s">
        <v>58</v>
      </c>
      <c r="E275" s="15" t="s">
        <v>19</v>
      </c>
      <c r="F275" s="15" t="n">
        <v>1</v>
      </c>
      <c r="G275" s="15" t="s">
        <v>158</v>
      </c>
      <c r="H275" s="15"/>
      <c r="I275" s="15" t="s">
        <v>58</v>
      </c>
      <c r="J275" s="15" t="s">
        <v>211</v>
      </c>
      <c r="K275" s="15" t="s">
        <v>661</v>
      </c>
      <c r="L275" s="15"/>
      <c r="M275" s="15"/>
      <c r="N275" s="15"/>
      <c r="O275" s="15"/>
      <c r="P275" s="15" t="n">
        <v>0.196</v>
      </c>
      <c r="Q275" s="15" t="n">
        <v>0.196</v>
      </c>
      <c r="R275" s="15" t="n">
        <v>12</v>
      </c>
      <c r="S275" s="15" t="s">
        <v>485</v>
      </c>
      <c r="T275" s="15" t="n">
        <v>7</v>
      </c>
      <c r="U275" s="15"/>
      <c r="V275" s="15"/>
      <c r="W275" s="15"/>
      <c r="X275" s="15" t="s">
        <v>165</v>
      </c>
      <c r="Y275" s="15" t="n">
        <v>34</v>
      </c>
      <c r="Z275" s="15" t="s">
        <v>166</v>
      </c>
      <c r="AA275" s="15"/>
      <c r="AB275" s="15" t="n">
        <v>1</v>
      </c>
      <c r="AC275" s="15" t="n">
        <v>0</v>
      </c>
      <c r="AD275" s="15"/>
      <c r="AE275" s="15" t="s">
        <v>486</v>
      </c>
      <c r="AF275" s="15" t="s">
        <v>169</v>
      </c>
      <c r="AG275" s="15"/>
      <c r="AH275" s="24" t="n">
        <f aca="false">IF(R275="",AM275,R275)</f>
        <v>12</v>
      </c>
      <c r="AI275" s="24" t="n">
        <f aca="false">SUMIFS(Permissions!$G$2:$G$3000,Permissions!$B$2:$B$3000,$A275,Permissions!$I$2:$I$3000,"Complete",Permissions!$R$2:$R$3000,"Yes")</f>
        <v>0</v>
      </c>
      <c r="AJ275" s="24" t="n">
        <f aca="false">SUMIFS(Permissions!$G$2:$G$3000,Permissions!$B$2:$B$3000,$A275,Permissions!$I$2:$I$3000,"Under construction",Permissions!$R$2:$R$3000,"Yes")</f>
        <v>0</v>
      </c>
      <c r="AK275" s="24" t="n">
        <f aca="false">SUMIFS(Permissions!$G$2:$G$3000,Permissions!$B$2:$B$3000,$A275,Permissions!$I$2:$I$3000,"Permitted – not started",Permissions!$R$2:$R$3000,"Yes")</f>
        <v>0</v>
      </c>
      <c r="AL275" s="24" t="n">
        <f aca="false">SUMIFS(Permissions!$G$2:$G$3000,Permissions!$B$2:$B$3000,$A275,Permissions!$I$2:$I$3000,"Stalled",Permissions!$R$2:$R$3000,"Yes")</f>
        <v>0</v>
      </c>
      <c r="AM275" s="24" t="n">
        <f aca="false">AI275+AJ275+AK275+AL275</f>
        <v>0</v>
      </c>
      <c r="AN275" s="24" t="n">
        <f aca="false">SUMIFS(Permissions!$G$2:$G$3000,Permissions!$B$2:$B$3000,$A275,Permissions!$I$2:$I$3000,"Expired – not started",Permissions!$R$2:$R$3000,"Yes")</f>
        <v>0</v>
      </c>
      <c r="AO275" s="24" t="n">
        <f aca="false">SUMIFS(Permissions!$G$2:$G$3000,Permissions!$B$2:$B$3000,$A275,Permissions!$I$2:$I$3000,"In planning",Permissions!$R$2:$R$3000,"Yes")</f>
        <v>12</v>
      </c>
      <c r="AP275" s="24" t="n">
        <f aca="false">IF(R275="",0,MAX(R275-AM275,0))</f>
        <v>12</v>
      </c>
      <c r="AQ275" s="25" t="n">
        <f aca="false">AM275+AP275</f>
        <v>12</v>
      </c>
      <c r="AR275" s="24" t="n">
        <f aca="false">SUMIFS(Permissions!$L$2:$L$3000,Permissions!$B$2:$B$3000,$A275,Permissions!$R$2:$R$3000,"Yes",Permissions!$I$2:$I$3000,"&lt;&gt;Expired – not started",Permissions!$I$2:$I$3000,"&lt;&gt;In planning")</f>
        <v>0</v>
      </c>
      <c r="AS275" s="24" t="n">
        <f aca="false">AQ275-AR275</f>
        <v>12</v>
      </c>
      <c r="AT275" s="26" t="n">
        <f aca="false">SUMIFS(Permissions!$AJ$2:$AJ$3000,Permissions!$B$2:$B$3000,$A275,Permissions!$R$2:$R$3000,"Yes")</f>
        <v>0</v>
      </c>
      <c r="AU275" s="26" t="n">
        <f aca="false">SUMIFS(Permissions!$AK$2:$AK$3000,Permissions!$B$2:$B$3000,$A275,Permissions!$R$2:$R$3000,"Yes")</f>
        <v>0</v>
      </c>
      <c r="AV275" s="26" t="n">
        <f aca="false">SUMIFS(Permissions!$AL$2:$AL$3000,Permissions!$B$2:$B$3000,$A275,Permissions!$R$2:$R$3000,"Yes")</f>
        <v>0</v>
      </c>
      <c r="AW275" s="26" t="n">
        <f aca="false">SUMIFS(Permissions!$AM$2:$AM$3000,Permissions!$B$2:$B$3000,$A275,Permissions!$R$2:$R$3000,"Yes")</f>
        <v>0</v>
      </c>
      <c r="AX275" s="26" t="n">
        <f aca="false">SUMIFS(Permissions!$AN$2:$AN$3000,Permissions!$B$2:$B$3000,$A275,Permissions!$R$2:$R$3000,"Yes")</f>
        <v>0</v>
      </c>
      <c r="AY275" s="26" t="n">
        <f aca="false">SUMIFS(Permissions!$AO$2:$AO$3000,Permissions!$B$2:$B$3000,$A275,Permissions!$R$2:$R$3000,"Yes")</f>
        <v>0</v>
      </c>
      <c r="AZ275" s="24" t="n">
        <f aca="false">COUNTIFS(Permissions!$B$2:$B$3000,$A275,Permissions!$R$2:$R$3000,"Yes")</f>
        <v>1</v>
      </c>
      <c r="BA275" s="24" t="n">
        <f aca="false">SUMIFS(Permissions!$M$2:$M$3000,Permissions!$B$2:$B$3000,$A275,Permissions!$R$2:$R$3000,"Yes")</f>
        <v>0</v>
      </c>
      <c r="BB275" s="24" t="n">
        <f aca="false">SUMIFS(Permissions!$O$2:$O$3000,Permissions!$B$2:$B$3000,$A275,Permissions!$R$2:$R$3000,"Yes")</f>
        <v>0</v>
      </c>
      <c r="BC275" s="27" t="str">
        <f aca="false">IF(AND(AM275&gt;0,AR275&gt;=AM275,AP275=0),"Finished",IF(AR275&gt;0,"Partly built",IF(AM275&gt;0,"Consented – not built","No consent")))</f>
        <v>No consent</v>
      </c>
      <c r="BD275" s="28" t="str">
        <f aca="false">IF(AND(R275&lt;&gt;"",AM275&gt;1.1*R275),"Consented above capacity",IF(AND(LEFT(B275,8)="Planning",AZ275=0),"Consent parcel with no permission",IF(COUNTIF($A$2:$A$3000,$A275)&gt;1,"Duplicate parcel_id","")))</f>
        <v/>
      </c>
    </row>
    <row r="276" customFormat="false" ht="15" hidden="false" customHeight="false" outlineLevel="0" collapsed="false">
      <c r="A276" s="15" t="s">
        <v>662</v>
      </c>
      <c r="B276" s="15" t="s">
        <v>12</v>
      </c>
      <c r="C276" s="15" t="s">
        <v>16</v>
      </c>
      <c r="D276" s="15" t="s">
        <v>58</v>
      </c>
      <c r="E276" s="15" t="s">
        <v>19</v>
      </c>
      <c r="F276" s="15" t="n">
        <v>1</v>
      </c>
      <c r="G276" s="15" t="s">
        <v>158</v>
      </c>
      <c r="H276" s="15"/>
      <c r="I276" s="15" t="s">
        <v>58</v>
      </c>
      <c r="J276" s="15" t="s">
        <v>211</v>
      </c>
      <c r="K276" s="15" t="s">
        <v>663</v>
      </c>
      <c r="L276" s="15"/>
      <c r="M276" s="15"/>
      <c r="N276" s="15"/>
      <c r="O276" s="15"/>
      <c r="P276" s="15" t="n">
        <v>0.196</v>
      </c>
      <c r="Q276" s="15" t="n">
        <v>0.196</v>
      </c>
      <c r="R276" s="15"/>
      <c r="S276" s="15" t="s">
        <v>459</v>
      </c>
      <c r="T276" s="15" t="n">
        <v>7</v>
      </c>
      <c r="U276" s="15"/>
      <c r="V276" s="15"/>
      <c r="W276" s="15"/>
      <c r="X276" s="15" t="s">
        <v>165</v>
      </c>
      <c r="Y276" s="15" t="n">
        <v>34</v>
      </c>
      <c r="Z276" s="15" t="s">
        <v>166</v>
      </c>
      <c r="AA276" s="15"/>
      <c r="AB276" s="15" t="n">
        <v>0</v>
      </c>
      <c r="AC276" s="15" t="n">
        <v>0</v>
      </c>
      <c r="AD276" s="15"/>
      <c r="AE276" s="15" t="s">
        <v>492</v>
      </c>
      <c r="AF276" s="15" t="s">
        <v>169</v>
      </c>
      <c r="AG276" s="15"/>
      <c r="AH276" s="24" t="n">
        <f aca="false">IF(R276="",AM276,R276)</f>
        <v>5</v>
      </c>
      <c r="AI276" s="24" t="n">
        <f aca="false">SUMIFS(Permissions!$G$2:$G$3000,Permissions!$B$2:$B$3000,$A276,Permissions!$I$2:$I$3000,"Complete",Permissions!$R$2:$R$3000,"Yes")</f>
        <v>0</v>
      </c>
      <c r="AJ276" s="24" t="n">
        <f aca="false">SUMIFS(Permissions!$G$2:$G$3000,Permissions!$B$2:$B$3000,$A276,Permissions!$I$2:$I$3000,"Under construction",Permissions!$R$2:$R$3000,"Yes")</f>
        <v>0</v>
      </c>
      <c r="AK276" s="24" t="n">
        <f aca="false">SUMIFS(Permissions!$G$2:$G$3000,Permissions!$B$2:$B$3000,$A276,Permissions!$I$2:$I$3000,"Permitted – not started",Permissions!$R$2:$R$3000,"Yes")</f>
        <v>5</v>
      </c>
      <c r="AL276" s="24" t="n">
        <f aca="false">SUMIFS(Permissions!$G$2:$G$3000,Permissions!$B$2:$B$3000,$A276,Permissions!$I$2:$I$3000,"Stalled",Permissions!$R$2:$R$3000,"Yes")</f>
        <v>0</v>
      </c>
      <c r="AM276" s="24" t="n">
        <f aca="false">AI276+AJ276+AK276+AL276</f>
        <v>5</v>
      </c>
      <c r="AN276" s="24" t="n">
        <f aca="false">SUMIFS(Permissions!$G$2:$G$3000,Permissions!$B$2:$B$3000,$A276,Permissions!$I$2:$I$3000,"Expired – not started",Permissions!$R$2:$R$3000,"Yes")</f>
        <v>0</v>
      </c>
      <c r="AO276" s="24" t="n">
        <f aca="false">SUMIFS(Permissions!$G$2:$G$3000,Permissions!$B$2:$B$3000,$A276,Permissions!$I$2:$I$3000,"In planning",Permissions!$R$2:$R$3000,"Yes")</f>
        <v>0</v>
      </c>
      <c r="AP276" s="24" t="n">
        <f aca="false">IF(R276="",0,MAX(R276-AM276,0))</f>
        <v>0</v>
      </c>
      <c r="AQ276" s="25" t="n">
        <f aca="false">AM276+AP276</f>
        <v>5</v>
      </c>
      <c r="AR276" s="24" t="n">
        <f aca="false">SUMIFS(Permissions!$L$2:$L$3000,Permissions!$B$2:$B$3000,$A276,Permissions!$R$2:$R$3000,"Yes",Permissions!$I$2:$I$3000,"&lt;&gt;Expired – not started",Permissions!$I$2:$I$3000,"&lt;&gt;In planning")</f>
        <v>0</v>
      </c>
      <c r="AS276" s="24" t="n">
        <f aca="false">AQ276-AR276</f>
        <v>5</v>
      </c>
      <c r="AT276" s="26" t="n">
        <f aca="false">SUMIFS(Permissions!$AJ$2:$AJ$3000,Permissions!$B$2:$B$3000,$A276,Permissions!$R$2:$R$3000,"Yes")</f>
        <v>0</v>
      </c>
      <c r="AU276" s="26" t="n">
        <f aca="false">SUMIFS(Permissions!$AK$2:$AK$3000,Permissions!$B$2:$B$3000,$A276,Permissions!$R$2:$R$3000,"Yes")</f>
        <v>0</v>
      </c>
      <c r="AV276" s="26" t="n">
        <f aca="false">SUMIFS(Permissions!$AL$2:$AL$3000,Permissions!$B$2:$B$3000,$A276,Permissions!$R$2:$R$3000,"Yes")</f>
        <v>4.4</v>
      </c>
      <c r="AW276" s="26" t="n">
        <f aca="false">SUMIFS(Permissions!$AM$2:$AM$3000,Permissions!$B$2:$B$3000,$A276,Permissions!$R$2:$R$3000,"Yes")</f>
        <v>0.6</v>
      </c>
      <c r="AX276" s="26" t="n">
        <f aca="false">SUMIFS(Permissions!$AN$2:$AN$3000,Permissions!$B$2:$B$3000,$A276,Permissions!$R$2:$R$3000,"Yes")</f>
        <v>0</v>
      </c>
      <c r="AY276" s="26" t="n">
        <f aca="false">SUMIFS(Permissions!$AO$2:$AO$3000,Permissions!$B$2:$B$3000,$A276,Permissions!$R$2:$R$3000,"Yes")</f>
        <v>0</v>
      </c>
      <c r="AZ276" s="24" t="n">
        <f aca="false">COUNTIFS(Permissions!$B$2:$B$3000,$A276,Permissions!$R$2:$R$3000,"Yes")</f>
        <v>1</v>
      </c>
      <c r="BA276" s="24" t="n">
        <f aca="false">SUMIFS(Permissions!$M$2:$M$3000,Permissions!$B$2:$B$3000,$A276,Permissions!$R$2:$R$3000,"Yes")</f>
        <v>0</v>
      </c>
      <c r="BB276" s="24" t="n">
        <f aca="false">SUMIFS(Permissions!$O$2:$O$3000,Permissions!$B$2:$B$3000,$A276,Permissions!$R$2:$R$3000,"Yes")</f>
        <v>0</v>
      </c>
      <c r="BC276" s="27" t="str">
        <f aca="false">IF(AND(AM276&gt;0,AR276&gt;=AM276,AP276=0),"Finished",IF(AR276&gt;0,"Partly built",IF(AM276&gt;0,"Consented – not built","No consent")))</f>
        <v>Consented – not built</v>
      </c>
      <c r="BD276" s="28" t="str">
        <f aca="false">IF(AND(R276&lt;&gt;"",AM276&gt;1.1*R276),"Consented above capacity",IF(AND(LEFT(B276,8)="Planning",AZ276=0),"Consent parcel with no permission",IF(COUNTIF($A$2:$A$3000,$A276)&gt;1,"Duplicate parcel_id","")))</f>
        <v/>
      </c>
    </row>
    <row r="277" customFormat="false" ht="15" hidden="false" customHeight="false" outlineLevel="0" collapsed="false">
      <c r="A277" s="15" t="s">
        <v>664</v>
      </c>
      <c r="B277" s="15" t="s">
        <v>12</v>
      </c>
      <c r="C277" s="15" t="s">
        <v>16</v>
      </c>
      <c r="D277" s="15" t="s">
        <v>58</v>
      </c>
      <c r="E277" s="15" t="s">
        <v>19</v>
      </c>
      <c r="F277" s="15" t="n">
        <v>1</v>
      </c>
      <c r="G277" s="15" t="s">
        <v>158</v>
      </c>
      <c r="H277" s="15"/>
      <c r="I277" s="15" t="s">
        <v>58</v>
      </c>
      <c r="J277" s="15" t="s">
        <v>211</v>
      </c>
      <c r="K277" s="15" t="s">
        <v>665</v>
      </c>
      <c r="L277" s="15"/>
      <c r="M277" s="15"/>
      <c r="N277" s="15"/>
      <c r="O277" s="15"/>
      <c r="P277" s="15" t="n">
        <v>0.196</v>
      </c>
      <c r="Q277" s="15" t="n">
        <v>0.196</v>
      </c>
      <c r="R277" s="15"/>
      <c r="S277" s="15" t="s">
        <v>459</v>
      </c>
      <c r="T277" s="15" t="n">
        <v>7</v>
      </c>
      <c r="U277" s="15"/>
      <c r="V277" s="15"/>
      <c r="W277" s="15"/>
      <c r="X277" s="15" t="s">
        <v>165</v>
      </c>
      <c r="Y277" s="15" t="n">
        <v>34</v>
      </c>
      <c r="Z277" s="15" t="s">
        <v>166</v>
      </c>
      <c r="AA277" s="15"/>
      <c r="AB277" s="15" t="n">
        <v>8</v>
      </c>
      <c r="AC277" s="15" t="n">
        <v>3</v>
      </c>
      <c r="AD277" s="15"/>
      <c r="AE277" s="15" t="s">
        <v>486</v>
      </c>
      <c r="AF277" s="15" t="s">
        <v>169</v>
      </c>
      <c r="AG277" s="15"/>
      <c r="AH277" s="24" t="n">
        <f aca="false">IF(R277="",AM277,R277)</f>
        <v>14</v>
      </c>
      <c r="AI277" s="24" t="n">
        <f aca="false">SUMIFS(Permissions!$G$2:$G$3000,Permissions!$B$2:$B$3000,$A277,Permissions!$I$2:$I$3000,"Complete",Permissions!$R$2:$R$3000,"Yes")</f>
        <v>14</v>
      </c>
      <c r="AJ277" s="24" t="n">
        <f aca="false">SUMIFS(Permissions!$G$2:$G$3000,Permissions!$B$2:$B$3000,$A277,Permissions!$I$2:$I$3000,"Under construction",Permissions!$R$2:$R$3000,"Yes")</f>
        <v>0</v>
      </c>
      <c r="AK277" s="24" t="n">
        <f aca="false">SUMIFS(Permissions!$G$2:$G$3000,Permissions!$B$2:$B$3000,$A277,Permissions!$I$2:$I$3000,"Permitted – not started",Permissions!$R$2:$R$3000,"Yes")</f>
        <v>0</v>
      </c>
      <c r="AL277" s="24" t="n">
        <f aca="false">SUMIFS(Permissions!$G$2:$G$3000,Permissions!$B$2:$B$3000,$A277,Permissions!$I$2:$I$3000,"Stalled",Permissions!$R$2:$R$3000,"Yes")</f>
        <v>0</v>
      </c>
      <c r="AM277" s="24" t="n">
        <f aca="false">AI277+AJ277+AK277+AL277</f>
        <v>14</v>
      </c>
      <c r="AN277" s="24" t="n">
        <f aca="false">SUMIFS(Permissions!$G$2:$G$3000,Permissions!$B$2:$B$3000,$A277,Permissions!$I$2:$I$3000,"Expired – not started",Permissions!$R$2:$R$3000,"Yes")</f>
        <v>0</v>
      </c>
      <c r="AO277" s="24" t="n">
        <f aca="false">SUMIFS(Permissions!$G$2:$G$3000,Permissions!$B$2:$B$3000,$A277,Permissions!$I$2:$I$3000,"In planning",Permissions!$R$2:$R$3000,"Yes")</f>
        <v>0</v>
      </c>
      <c r="AP277" s="24" t="n">
        <f aca="false">IF(R277="",0,MAX(R277-AM277,0))</f>
        <v>0</v>
      </c>
      <c r="AQ277" s="25" t="n">
        <f aca="false">AM277+AP277</f>
        <v>14</v>
      </c>
      <c r="AR277" s="24" t="n">
        <f aca="false">SUMIFS(Permissions!$L$2:$L$3000,Permissions!$B$2:$B$3000,$A277,Permissions!$R$2:$R$3000,"Yes",Permissions!$I$2:$I$3000,"&lt;&gt;Expired – not started",Permissions!$I$2:$I$3000,"&lt;&gt;In planning")</f>
        <v>14</v>
      </c>
      <c r="AS277" s="24" t="n">
        <f aca="false">AQ277-AR277</f>
        <v>0</v>
      </c>
      <c r="AT277" s="26" t="n">
        <f aca="false">SUMIFS(Permissions!$AJ$2:$AJ$3000,Permissions!$B$2:$B$3000,$A277,Permissions!$R$2:$R$3000,"Yes")</f>
        <v>0</v>
      </c>
      <c r="AU277" s="26" t="n">
        <f aca="false">SUMIFS(Permissions!$AK$2:$AK$3000,Permissions!$B$2:$B$3000,$A277,Permissions!$R$2:$R$3000,"Yes")</f>
        <v>0</v>
      </c>
      <c r="AV277" s="26" t="n">
        <f aca="false">SUMIFS(Permissions!$AL$2:$AL$3000,Permissions!$B$2:$B$3000,$A277,Permissions!$R$2:$R$3000,"Yes")</f>
        <v>0</v>
      </c>
      <c r="AW277" s="26" t="n">
        <f aca="false">SUMIFS(Permissions!$AM$2:$AM$3000,Permissions!$B$2:$B$3000,$A277,Permissions!$R$2:$R$3000,"Yes")</f>
        <v>0</v>
      </c>
      <c r="AX277" s="26" t="n">
        <f aca="false">SUMIFS(Permissions!$AN$2:$AN$3000,Permissions!$B$2:$B$3000,$A277,Permissions!$R$2:$R$3000,"Yes")</f>
        <v>0</v>
      </c>
      <c r="AY277" s="26" t="n">
        <f aca="false">SUMIFS(Permissions!$AO$2:$AO$3000,Permissions!$B$2:$B$3000,$A277,Permissions!$R$2:$R$3000,"Yes")</f>
        <v>0</v>
      </c>
      <c r="AZ277" s="24" t="n">
        <f aca="false">COUNTIFS(Permissions!$B$2:$B$3000,$A277,Permissions!$R$2:$R$3000,"Yes")</f>
        <v>1</v>
      </c>
      <c r="BA277" s="24" t="n">
        <f aca="false">SUMIFS(Permissions!$M$2:$M$3000,Permissions!$B$2:$B$3000,$A277,Permissions!$R$2:$R$3000,"Yes")</f>
        <v>0</v>
      </c>
      <c r="BB277" s="24" t="n">
        <f aca="false">SUMIFS(Permissions!$O$2:$O$3000,Permissions!$B$2:$B$3000,$A277,Permissions!$R$2:$R$3000,"Yes")</f>
        <v>0</v>
      </c>
      <c r="BC277" s="27" t="str">
        <f aca="false">IF(AND(AM277&gt;0,AR277&gt;=AM277,AP277=0),"Finished",IF(AR277&gt;0,"Partly built",IF(AM277&gt;0,"Consented – not built","No consent")))</f>
        <v>Finished</v>
      </c>
      <c r="BD277" s="28" t="str">
        <f aca="false">IF(AND(R277&lt;&gt;"",AM277&gt;1.1*R277),"Consented above capacity",IF(AND(LEFT(B277,8)="Planning",AZ277=0),"Consent parcel with no permission",IF(COUNTIF($A$2:$A$3000,$A277)&gt;1,"Duplicate parcel_id","")))</f>
        <v/>
      </c>
    </row>
    <row r="278" customFormat="false" ht="15" hidden="false" customHeight="false" outlineLevel="0" collapsed="false">
      <c r="A278" s="15" t="s">
        <v>666</v>
      </c>
      <c r="B278" s="15" t="s">
        <v>12</v>
      </c>
      <c r="C278" s="15" t="s">
        <v>16</v>
      </c>
      <c r="D278" s="15" t="s">
        <v>58</v>
      </c>
      <c r="E278" s="15" t="s">
        <v>19</v>
      </c>
      <c r="F278" s="15" t="n">
        <v>1</v>
      </c>
      <c r="G278" s="15" t="s">
        <v>158</v>
      </c>
      <c r="H278" s="15"/>
      <c r="I278" s="15" t="s">
        <v>58</v>
      </c>
      <c r="J278" s="15" t="s">
        <v>211</v>
      </c>
      <c r="K278" s="15" t="s">
        <v>667</v>
      </c>
      <c r="L278" s="15"/>
      <c r="M278" s="15"/>
      <c r="N278" s="15"/>
      <c r="O278" s="15"/>
      <c r="P278" s="15" t="n">
        <v>0.187</v>
      </c>
      <c r="Q278" s="15" t="n">
        <v>0.187</v>
      </c>
      <c r="R278" s="15" t="n">
        <v>4</v>
      </c>
      <c r="S278" s="15" t="s">
        <v>485</v>
      </c>
      <c r="T278" s="15" t="n">
        <v>6</v>
      </c>
      <c r="U278" s="15"/>
      <c r="V278" s="15"/>
      <c r="W278" s="15"/>
      <c r="X278" s="15" t="s">
        <v>165</v>
      </c>
      <c r="Y278" s="15" t="n">
        <v>34</v>
      </c>
      <c r="Z278" s="15" t="s">
        <v>166</v>
      </c>
      <c r="AA278" s="15"/>
      <c r="AB278" s="15" t="n">
        <v>9</v>
      </c>
      <c r="AC278" s="15" t="n">
        <v>0</v>
      </c>
      <c r="AD278" s="15"/>
      <c r="AE278" s="15" t="s">
        <v>492</v>
      </c>
      <c r="AF278" s="15" t="s">
        <v>169</v>
      </c>
      <c r="AG278" s="15"/>
      <c r="AH278" s="24" t="n">
        <f aca="false">IF(R278="",AM278,R278)</f>
        <v>4</v>
      </c>
      <c r="AI278" s="24" t="n">
        <f aca="false">SUMIFS(Permissions!$G$2:$G$3000,Permissions!$B$2:$B$3000,$A278,Permissions!$I$2:$I$3000,"Complete",Permissions!$R$2:$R$3000,"Yes")</f>
        <v>0</v>
      </c>
      <c r="AJ278" s="24" t="n">
        <f aca="false">SUMIFS(Permissions!$G$2:$G$3000,Permissions!$B$2:$B$3000,$A278,Permissions!$I$2:$I$3000,"Under construction",Permissions!$R$2:$R$3000,"Yes")</f>
        <v>0</v>
      </c>
      <c r="AK278" s="24" t="n">
        <f aca="false">SUMIFS(Permissions!$G$2:$G$3000,Permissions!$B$2:$B$3000,$A278,Permissions!$I$2:$I$3000,"Permitted – not started",Permissions!$R$2:$R$3000,"Yes")</f>
        <v>0</v>
      </c>
      <c r="AL278" s="24" t="n">
        <f aca="false">SUMIFS(Permissions!$G$2:$G$3000,Permissions!$B$2:$B$3000,$A278,Permissions!$I$2:$I$3000,"Stalled",Permissions!$R$2:$R$3000,"Yes")</f>
        <v>0</v>
      </c>
      <c r="AM278" s="24" t="n">
        <f aca="false">AI278+AJ278+AK278+AL278</f>
        <v>0</v>
      </c>
      <c r="AN278" s="24" t="n">
        <f aca="false">SUMIFS(Permissions!$G$2:$G$3000,Permissions!$B$2:$B$3000,$A278,Permissions!$I$2:$I$3000,"Expired – not started",Permissions!$R$2:$R$3000,"Yes")</f>
        <v>0</v>
      </c>
      <c r="AO278" s="24" t="n">
        <f aca="false">SUMIFS(Permissions!$G$2:$G$3000,Permissions!$B$2:$B$3000,$A278,Permissions!$I$2:$I$3000,"In planning",Permissions!$R$2:$R$3000,"Yes")</f>
        <v>4</v>
      </c>
      <c r="AP278" s="24" t="n">
        <f aca="false">IF(R278="",0,MAX(R278-AM278,0))</f>
        <v>4</v>
      </c>
      <c r="AQ278" s="25" t="n">
        <f aca="false">AM278+AP278</f>
        <v>4</v>
      </c>
      <c r="AR278" s="24" t="n">
        <f aca="false">SUMIFS(Permissions!$L$2:$L$3000,Permissions!$B$2:$B$3000,$A278,Permissions!$R$2:$R$3000,"Yes",Permissions!$I$2:$I$3000,"&lt;&gt;Expired – not started",Permissions!$I$2:$I$3000,"&lt;&gt;In planning")</f>
        <v>0</v>
      </c>
      <c r="AS278" s="24" t="n">
        <f aca="false">AQ278-AR278</f>
        <v>4</v>
      </c>
      <c r="AT278" s="26" t="n">
        <f aca="false">SUMIFS(Permissions!$AJ$2:$AJ$3000,Permissions!$B$2:$B$3000,$A278,Permissions!$R$2:$R$3000,"Yes")</f>
        <v>0</v>
      </c>
      <c r="AU278" s="26" t="n">
        <f aca="false">SUMIFS(Permissions!$AK$2:$AK$3000,Permissions!$B$2:$B$3000,$A278,Permissions!$R$2:$R$3000,"Yes")</f>
        <v>0</v>
      </c>
      <c r="AV278" s="26" t="n">
        <f aca="false">SUMIFS(Permissions!$AL$2:$AL$3000,Permissions!$B$2:$B$3000,$A278,Permissions!$R$2:$R$3000,"Yes")</f>
        <v>0</v>
      </c>
      <c r="AW278" s="26" t="n">
        <f aca="false">SUMIFS(Permissions!$AM$2:$AM$3000,Permissions!$B$2:$B$3000,$A278,Permissions!$R$2:$R$3000,"Yes")</f>
        <v>0</v>
      </c>
      <c r="AX278" s="26" t="n">
        <f aca="false">SUMIFS(Permissions!$AN$2:$AN$3000,Permissions!$B$2:$B$3000,$A278,Permissions!$R$2:$R$3000,"Yes")</f>
        <v>0</v>
      </c>
      <c r="AY278" s="26" t="n">
        <f aca="false">SUMIFS(Permissions!$AO$2:$AO$3000,Permissions!$B$2:$B$3000,$A278,Permissions!$R$2:$R$3000,"Yes")</f>
        <v>0</v>
      </c>
      <c r="AZ278" s="24" t="n">
        <f aca="false">COUNTIFS(Permissions!$B$2:$B$3000,$A278,Permissions!$R$2:$R$3000,"Yes")</f>
        <v>1</v>
      </c>
      <c r="BA278" s="24" t="n">
        <f aca="false">SUMIFS(Permissions!$M$2:$M$3000,Permissions!$B$2:$B$3000,$A278,Permissions!$R$2:$R$3000,"Yes")</f>
        <v>0</v>
      </c>
      <c r="BB278" s="24" t="n">
        <f aca="false">SUMIFS(Permissions!$O$2:$O$3000,Permissions!$B$2:$B$3000,$A278,Permissions!$R$2:$R$3000,"Yes")</f>
        <v>0</v>
      </c>
      <c r="BC278" s="27" t="str">
        <f aca="false">IF(AND(AM278&gt;0,AR278&gt;=AM278,AP278=0),"Finished",IF(AR278&gt;0,"Partly built",IF(AM278&gt;0,"Consented – not built","No consent")))</f>
        <v>No consent</v>
      </c>
      <c r="BD278" s="28" t="str">
        <f aca="false">IF(AND(R278&lt;&gt;"",AM278&gt;1.1*R278),"Consented above capacity",IF(AND(LEFT(B278,8)="Planning",AZ278=0),"Consent parcel with no permission",IF(COUNTIF($A$2:$A$3000,$A278)&gt;1,"Duplicate parcel_id","")))</f>
        <v/>
      </c>
    </row>
    <row r="279" customFormat="false" ht="15" hidden="false" customHeight="false" outlineLevel="0" collapsed="false">
      <c r="A279" s="15" t="s">
        <v>668</v>
      </c>
      <c r="B279" s="15" t="s">
        <v>12</v>
      </c>
      <c r="C279" s="15" t="s">
        <v>17</v>
      </c>
      <c r="D279" s="15" t="s">
        <v>74</v>
      </c>
      <c r="E279" s="15" t="s">
        <v>21</v>
      </c>
      <c r="F279" s="15" t="n">
        <v>0.97</v>
      </c>
      <c r="G279" s="15" t="s">
        <v>158</v>
      </c>
      <c r="H279" s="15"/>
      <c r="I279" s="15" t="s">
        <v>346</v>
      </c>
      <c r="J279" s="15" t="s">
        <v>159</v>
      </c>
      <c r="K279" s="15" t="s">
        <v>669</v>
      </c>
      <c r="L279" s="15"/>
      <c r="M279" s="15"/>
      <c r="N279" s="15"/>
      <c r="O279" s="15"/>
      <c r="P279" s="15" t="n">
        <v>0.824</v>
      </c>
      <c r="Q279" s="15" t="n">
        <v>0.824</v>
      </c>
      <c r="R279" s="15"/>
      <c r="S279" s="15" t="s">
        <v>459</v>
      </c>
      <c r="T279" s="15" t="n">
        <v>21</v>
      </c>
      <c r="U279" s="15"/>
      <c r="V279" s="15"/>
      <c r="W279" s="15"/>
      <c r="X279" s="15" t="s">
        <v>353</v>
      </c>
      <c r="Y279" s="15" t="n">
        <v>25</v>
      </c>
      <c r="Z279" s="15" t="s">
        <v>354</v>
      </c>
      <c r="AA279" s="15"/>
      <c r="AB279" s="15" t="n">
        <v>16</v>
      </c>
      <c r="AC279" s="15" t="n">
        <v>16</v>
      </c>
      <c r="AD279" s="15"/>
      <c r="AE279" s="15"/>
      <c r="AF279" s="15" t="s">
        <v>169</v>
      </c>
      <c r="AG279" s="15"/>
      <c r="AH279" s="24" t="n">
        <f aca="false">IF(R279="",AM279,R279)</f>
        <v>16</v>
      </c>
      <c r="AI279" s="24" t="n">
        <f aca="false">SUMIFS(Permissions!$G$2:$G$3000,Permissions!$B$2:$B$3000,$A279,Permissions!$I$2:$I$3000,"Complete",Permissions!$R$2:$R$3000,"Yes")</f>
        <v>16</v>
      </c>
      <c r="AJ279" s="24" t="n">
        <f aca="false">SUMIFS(Permissions!$G$2:$G$3000,Permissions!$B$2:$B$3000,$A279,Permissions!$I$2:$I$3000,"Under construction",Permissions!$R$2:$R$3000,"Yes")</f>
        <v>0</v>
      </c>
      <c r="AK279" s="24" t="n">
        <f aca="false">SUMIFS(Permissions!$G$2:$G$3000,Permissions!$B$2:$B$3000,$A279,Permissions!$I$2:$I$3000,"Permitted – not started",Permissions!$R$2:$R$3000,"Yes")</f>
        <v>0</v>
      </c>
      <c r="AL279" s="24" t="n">
        <f aca="false">SUMIFS(Permissions!$G$2:$G$3000,Permissions!$B$2:$B$3000,$A279,Permissions!$I$2:$I$3000,"Stalled",Permissions!$R$2:$R$3000,"Yes")</f>
        <v>0</v>
      </c>
      <c r="AM279" s="24" t="n">
        <f aca="false">AI279+AJ279+AK279+AL279</f>
        <v>16</v>
      </c>
      <c r="AN279" s="24" t="n">
        <f aca="false">SUMIFS(Permissions!$G$2:$G$3000,Permissions!$B$2:$B$3000,$A279,Permissions!$I$2:$I$3000,"Expired – not started",Permissions!$R$2:$R$3000,"Yes")</f>
        <v>0</v>
      </c>
      <c r="AO279" s="24" t="n">
        <f aca="false">SUMIFS(Permissions!$G$2:$G$3000,Permissions!$B$2:$B$3000,$A279,Permissions!$I$2:$I$3000,"In planning",Permissions!$R$2:$R$3000,"Yes")</f>
        <v>0</v>
      </c>
      <c r="AP279" s="24" t="n">
        <f aca="false">IF(R279="",0,MAX(R279-AM279,0))</f>
        <v>0</v>
      </c>
      <c r="AQ279" s="25" t="n">
        <f aca="false">AM279+AP279</f>
        <v>16</v>
      </c>
      <c r="AR279" s="24" t="n">
        <f aca="false">SUMIFS(Permissions!$L$2:$L$3000,Permissions!$B$2:$B$3000,$A279,Permissions!$R$2:$R$3000,"Yes",Permissions!$I$2:$I$3000,"&lt;&gt;Expired – not started",Permissions!$I$2:$I$3000,"&lt;&gt;In planning")</f>
        <v>16</v>
      </c>
      <c r="AS279" s="24" t="n">
        <f aca="false">AQ279-AR279</f>
        <v>0</v>
      </c>
      <c r="AT279" s="26" t="n">
        <f aca="false">SUMIFS(Permissions!$AJ$2:$AJ$3000,Permissions!$B$2:$B$3000,$A279,Permissions!$R$2:$R$3000,"Yes")</f>
        <v>0</v>
      </c>
      <c r="AU279" s="26" t="n">
        <f aca="false">SUMIFS(Permissions!$AK$2:$AK$3000,Permissions!$B$2:$B$3000,$A279,Permissions!$R$2:$R$3000,"Yes")</f>
        <v>0</v>
      </c>
      <c r="AV279" s="26" t="n">
        <f aca="false">SUMIFS(Permissions!$AL$2:$AL$3000,Permissions!$B$2:$B$3000,$A279,Permissions!$R$2:$R$3000,"Yes")</f>
        <v>0</v>
      </c>
      <c r="AW279" s="26" t="n">
        <f aca="false">SUMIFS(Permissions!$AM$2:$AM$3000,Permissions!$B$2:$B$3000,$A279,Permissions!$R$2:$R$3000,"Yes")</f>
        <v>0</v>
      </c>
      <c r="AX279" s="26" t="n">
        <f aca="false">SUMIFS(Permissions!$AN$2:$AN$3000,Permissions!$B$2:$B$3000,$A279,Permissions!$R$2:$R$3000,"Yes")</f>
        <v>0</v>
      </c>
      <c r="AY279" s="26" t="n">
        <f aca="false">SUMIFS(Permissions!$AO$2:$AO$3000,Permissions!$B$2:$B$3000,$A279,Permissions!$R$2:$R$3000,"Yes")</f>
        <v>0</v>
      </c>
      <c r="AZ279" s="24" t="n">
        <f aca="false">COUNTIFS(Permissions!$B$2:$B$3000,$A279,Permissions!$R$2:$R$3000,"Yes")</f>
        <v>1</v>
      </c>
      <c r="BA279" s="24" t="n">
        <f aca="false">SUMIFS(Permissions!$M$2:$M$3000,Permissions!$B$2:$B$3000,$A279,Permissions!$R$2:$R$3000,"Yes")</f>
        <v>16</v>
      </c>
      <c r="BB279" s="24" t="n">
        <f aca="false">SUMIFS(Permissions!$O$2:$O$3000,Permissions!$B$2:$B$3000,$A279,Permissions!$R$2:$R$3000,"Yes")</f>
        <v>0</v>
      </c>
      <c r="BC279" s="27" t="str">
        <f aca="false">IF(AND(AM279&gt;0,AR279&gt;=AM279,AP279=0),"Finished",IF(AR279&gt;0,"Partly built",IF(AM279&gt;0,"Consented – not built","No consent")))</f>
        <v>Finished</v>
      </c>
      <c r="BD279" s="28" t="str">
        <f aca="false">IF(AND(R279&lt;&gt;"",AM279&gt;1.1*R279),"Consented above capacity",IF(AND(LEFT(B279,8)="Planning",AZ279=0),"Consent parcel with no permission",IF(COUNTIF($A$2:$A$3000,$A279)&gt;1,"Duplicate parcel_id","")))</f>
        <v/>
      </c>
    </row>
    <row r="280" customFormat="false" ht="15" hidden="false" customHeight="false" outlineLevel="0" collapsed="false">
      <c r="A280" s="15" t="s">
        <v>670</v>
      </c>
      <c r="B280" s="15" t="s">
        <v>12</v>
      </c>
      <c r="C280" s="15" t="s">
        <v>17</v>
      </c>
      <c r="D280" s="15" t="s">
        <v>74</v>
      </c>
      <c r="E280" s="15" t="s">
        <v>21</v>
      </c>
      <c r="F280" s="15" t="n">
        <v>1</v>
      </c>
      <c r="G280" s="15" t="s">
        <v>158</v>
      </c>
      <c r="H280" s="15"/>
      <c r="I280" s="15" t="s">
        <v>346</v>
      </c>
      <c r="J280" s="15" t="s">
        <v>159</v>
      </c>
      <c r="K280" s="15" t="s">
        <v>671</v>
      </c>
      <c r="L280" s="15"/>
      <c r="M280" s="15"/>
      <c r="N280" s="15"/>
      <c r="O280" s="15"/>
      <c r="P280" s="15" t="n">
        <v>4.427</v>
      </c>
      <c r="Q280" s="15" t="n">
        <v>4.427</v>
      </c>
      <c r="R280" s="15"/>
      <c r="S280" s="15" t="s">
        <v>459</v>
      </c>
      <c r="T280" s="15" t="n">
        <v>111</v>
      </c>
      <c r="U280" s="15"/>
      <c r="V280" s="15"/>
      <c r="W280" s="15"/>
      <c r="X280" s="15" t="s">
        <v>353</v>
      </c>
      <c r="Y280" s="15" t="n">
        <v>25</v>
      </c>
      <c r="Z280" s="15" t="s">
        <v>354</v>
      </c>
      <c r="AA280" s="15"/>
      <c r="AB280" s="15" t="n">
        <v>85</v>
      </c>
      <c r="AC280" s="15" t="n">
        <v>85</v>
      </c>
      <c r="AD280" s="15"/>
      <c r="AE280" s="15"/>
      <c r="AF280" s="15" t="s">
        <v>169</v>
      </c>
      <c r="AG280" s="15"/>
      <c r="AH280" s="24" t="n">
        <f aca="false">IF(R280="",AM280,R280)</f>
        <v>112</v>
      </c>
      <c r="AI280" s="24" t="n">
        <f aca="false">SUMIFS(Permissions!$G$2:$G$3000,Permissions!$B$2:$B$3000,$A280,Permissions!$I$2:$I$3000,"Complete",Permissions!$R$2:$R$3000,"Yes")</f>
        <v>54</v>
      </c>
      <c r="AJ280" s="24" t="n">
        <f aca="false">SUMIFS(Permissions!$G$2:$G$3000,Permissions!$B$2:$B$3000,$A280,Permissions!$I$2:$I$3000,"Under construction",Permissions!$R$2:$R$3000,"Yes")</f>
        <v>58</v>
      </c>
      <c r="AK280" s="24" t="n">
        <f aca="false">SUMIFS(Permissions!$G$2:$G$3000,Permissions!$B$2:$B$3000,$A280,Permissions!$I$2:$I$3000,"Permitted – not started",Permissions!$R$2:$R$3000,"Yes")</f>
        <v>0</v>
      </c>
      <c r="AL280" s="24" t="n">
        <f aca="false">SUMIFS(Permissions!$G$2:$G$3000,Permissions!$B$2:$B$3000,$A280,Permissions!$I$2:$I$3000,"Stalled",Permissions!$R$2:$R$3000,"Yes")</f>
        <v>0</v>
      </c>
      <c r="AM280" s="24" t="n">
        <f aca="false">AI280+AJ280+AK280+AL280</f>
        <v>112</v>
      </c>
      <c r="AN280" s="24" t="n">
        <f aca="false">SUMIFS(Permissions!$G$2:$G$3000,Permissions!$B$2:$B$3000,$A280,Permissions!$I$2:$I$3000,"Expired – not started",Permissions!$R$2:$R$3000,"Yes")</f>
        <v>0</v>
      </c>
      <c r="AO280" s="24" t="n">
        <f aca="false">SUMIFS(Permissions!$G$2:$G$3000,Permissions!$B$2:$B$3000,$A280,Permissions!$I$2:$I$3000,"In planning",Permissions!$R$2:$R$3000,"Yes")</f>
        <v>0</v>
      </c>
      <c r="AP280" s="24" t="n">
        <f aca="false">IF(R280="",0,MAX(R280-AM280,0))</f>
        <v>0</v>
      </c>
      <c r="AQ280" s="25" t="n">
        <f aca="false">AM280+AP280</f>
        <v>112</v>
      </c>
      <c r="AR280" s="24" t="n">
        <f aca="false">SUMIFS(Permissions!$L$2:$L$3000,Permissions!$B$2:$B$3000,$A280,Permissions!$R$2:$R$3000,"Yes",Permissions!$I$2:$I$3000,"&lt;&gt;Expired – not started",Permissions!$I$2:$I$3000,"&lt;&gt;In planning")</f>
        <v>70</v>
      </c>
      <c r="AS280" s="24" t="n">
        <f aca="false">AQ280-AR280</f>
        <v>42</v>
      </c>
      <c r="AT280" s="26" t="n">
        <f aca="false">SUMIFS(Permissions!$AJ$2:$AJ$3000,Permissions!$B$2:$B$3000,$A280,Permissions!$R$2:$R$3000,"Yes")</f>
        <v>13.5</v>
      </c>
      <c r="AU280" s="26" t="n">
        <f aca="false">SUMIFS(Permissions!$AK$2:$AK$3000,Permissions!$B$2:$B$3000,$A280,Permissions!$R$2:$R$3000,"Yes")</f>
        <v>44.5</v>
      </c>
      <c r="AV280" s="26" t="n">
        <f aca="false">SUMIFS(Permissions!$AL$2:$AL$3000,Permissions!$B$2:$B$3000,$A280,Permissions!$R$2:$R$3000,"Yes")</f>
        <v>0</v>
      </c>
      <c r="AW280" s="26" t="n">
        <f aca="false">SUMIFS(Permissions!$AM$2:$AM$3000,Permissions!$B$2:$B$3000,$A280,Permissions!$R$2:$R$3000,"Yes")</f>
        <v>0</v>
      </c>
      <c r="AX280" s="26" t="n">
        <f aca="false">SUMIFS(Permissions!$AN$2:$AN$3000,Permissions!$B$2:$B$3000,$A280,Permissions!$R$2:$R$3000,"Yes")</f>
        <v>0</v>
      </c>
      <c r="AY280" s="26" t="n">
        <f aca="false">SUMIFS(Permissions!$AO$2:$AO$3000,Permissions!$B$2:$B$3000,$A280,Permissions!$R$2:$R$3000,"Yes")</f>
        <v>0</v>
      </c>
      <c r="AZ280" s="24" t="n">
        <f aca="false">COUNTIFS(Permissions!$B$2:$B$3000,$A280,Permissions!$R$2:$R$3000,"Yes")</f>
        <v>3</v>
      </c>
      <c r="BA280" s="24" t="n">
        <f aca="false">SUMIFS(Permissions!$M$2:$M$3000,Permissions!$B$2:$B$3000,$A280,Permissions!$R$2:$R$3000,"Yes")</f>
        <v>69</v>
      </c>
      <c r="BB280" s="24" t="n">
        <f aca="false">SUMIFS(Permissions!$O$2:$O$3000,Permissions!$B$2:$B$3000,$A280,Permissions!$R$2:$R$3000,"Yes")</f>
        <v>16</v>
      </c>
      <c r="BC280" s="27" t="str">
        <f aca="false">IF(AND(AM280&gt;0,AR280&gt;=AM280,AP280=0),"Finished",IF(AR280&gt;0,"Partly built",IF(AM280&gt;0,"Consented – not built","No consent")))</f>
        <v>Partly built</v>
      </c>
      <c r="BD280" s="28" t="str">
        <f aca="false">IF(AND(R280&lt;&gt;"",AM280&gt;1.1*R280),"Consented above capacity",IF(AND(LEFT(B280,8)="Planning",AZ280=0),"Consent parcel with no permission",IF(COUNTIF($A$2:$A$3000,$A280)&gt;1,"Duplicate parcel_id","")))</f>
        <v/>
      </c>
    </row>
    <row r="281" customFormat="false" ht="15" hidden="false" customHeight="false" outlineLevel="0" collapsed="false">
      <c r="A281" s="15" t="s">
        <v>672</v>
      </c>
      <c r="B281" s="15" t="s">
        <v>12</v>
      </c>
      <c r="C281" s="15" t="s">
        <v>17</v>
      </c>
      <c r="D281" s="15" t="s">
        <v>71</v>
      </c>
      <c r="E281" s="15" t="s">
        <v>21</v>
      </c>
      <c r="F281" s="15" t="n">
        <v>1</v>
      </c>
      <c r="G281" s="15" t="s">
        <v>158</v>
      </c>
      <c r="H281" s="15"/>
      <c r="I281" s="15" t="s">
        <v>346</v>
      </c>
      <c r="J281" s="15" t="s">
        <v>363</v>
      </c>
      <c r="K281" s="15" t="s">
        <v>673</v>
      </c>
      <c r="L281" s="15"/>
      <c r="M281" s="15"/>
      <c r="N281" s="15"/>
      <c r="O281" s="15"/>
      <c r="P281" s="15" t="n">
        <v>1.015</v>
      </c>
      <c r="Q281" s="15" t="n">
        <v>1.015</v>
      </c>
      <c r="R281" s="15"/>
      <c r="S281" s="15" t="s">
        <v>459</v>
      </c>
      <c r="T281" s="15" t="n">
        <v>25</v>
      </c>
      <c r="U281" s="15"/>
      <c r="V281" s="15"/>
      <c r="W281" s="15"/>
      <c r="X281" s="15" t="s">
        <v>353</v>
      </c>
      <c r="Y281" s="15" t="n">
        <v>25</v>
      </c>
      <c r="Z281" s="15" t="s">
        <v>354</v>
      </c>
      <c r="AA281" s="15"/>
      <c r="AB281" s="15" t="n">
        <v>20</v>
      </c>
      <c r="AC281" s="15" t="n">
        <v>20</v>
      </c>
      <c r="AD281" s="15"/>
      <c r="AE281" s="15"/>
      <c r="AF281" s="15" t="s">
        <v>169</v>
      </c>
      <c r="AG281" s="15"/>
      <c r="AH281" s="24" t="n">
        <f aca="false">IF(R281="",AM281,R281)</f>
        <v>20</v>
      </c>
      <c r="AI281" s="24" t="n">
        <f aca="false">SUMIFS(Permissions!$G$2:$G$3000,Permissions!$B$2:$B$3000,$A281,Permissions!$I$2:$I$3000,"Complete",Permissions!$R$2:$R$3000,"Yes")</f>
        <v>20</v>
      </c>
      <c r="AJ281" s="24" t="n">
        <f aca="false">SUMIFS(Permissions!$G$2:$G$3000,Permissions!$B$2:$B$3000,$A281,Permissions!$I$2:$I$3000,"Under construction",Permissions!$R$2:$R$3000,"Yes")</f>
        <v>0</v>
      </c>
      <c r="AK281" s="24" t="n">
        <f aca="false">SUMIFS(Permissions!$G$2:$G$3000,Permissions!$B$2:$B$3000,$A281,Permissions!$I$2:$I$3000,"Permitted – not started",Permissions!$R$2:$R$3000,"Yes")</f>
        <v>0</v>
      </c>
      <c r="AL281" s="24" t="n">
        <f aca="false">SUMIFS(Permissions!$G$2:$G$3000,Permissions!$B$2:$B$3000,$A281,Permissions!$I$2:$I$3000,"Stalled",Permissions!$R$2:$R$3000,"Yes")</f>
        <v>0</v>
      </c>
      <c r="AM281" s="24" t="n">
        <f aca="false">AI281+AJ281+AK281+AL281</f>
        <v>20</v>
      </c>
      <c r="AN281" s="24" t="n">
        <f aca="false">SUMIFS(Permissions!$G$2:$G$3000,Permissions!$B$2:$B$3000,$A281,Permissions!$I$2:$I$3000,"Expired – not started",Permissions!$R$2:$R$3000,"Yes")</f>
        <v>0</v>
      </c>
      <c r="AO281" s="24" t="n">
        <f aca="false">SUMIFS(Permissions!$G$2:$G$3000,Permissions!$B$2:$B$3000,$A281,Permissions!$I$2:$I$3000,"In planning",Permissions!$R$2:$R$3000,"Yes")</f>
        <v>0</v>
      </c>
      <c r="AP281" s="24" t="n">
        <f aca="false">IF(R281="",0,MAX(R281-AM281,0))</f>
        <v>0</v>
      </c>
      <c r="AQ281" s="25" t="n">
        <f aca="false">AM281+AP281</f>
        <v>20</v>
      </c>
      <c r="AR281" s="24" t="n">
        <f aca="false">SUMIFS(Permissions!$L$2:$L$3000,Permissions!$B$2:$B$3000,$A281,Permissions!$R$2:$R$3000,"Yes",Permissions!$I$2:$I$3000,"&lt;&gt;Expired – not started",Permissions!$I$2:$I$3000,"&lt;&gt;In planning")</f>
        <v>20</v>
      </c>
      <c r="AS281" s="24" t="n">
        <f aca="false">AQ281-AR281</f>
        <v>0</v>
      </c>
      <c r="AT281" s="26" t="n">
        <f aca="false">SUMIFS(Permissions!$AJ$2:$AJ$3000,Permissions!$B$2:$B$3000,$A281,Permissions!$R$2:$R$3000,"Yes")</f>
        <v>0</v>
      </c>
      <c r="AU281" s="26" t="n">
        <f aca="false">SUMIFS(Permissions!$AK$2:$AK$3000,Permissions!$B$2:$B$3000,$A281,Permissions!$R$2:$R$3000,"Yes")</f>
        <v>0</v>
      </c>
      <c r="AV281" s="26" t="n">
        <f aca="false">SUMIFS(Permissions!$AL$2:$AL$3000,Permissions!$B$2:$B$3000,$A281,Permissions!$R$2:$R$3000,"Yes")</f>
        <v>0</v>
      </c>
      <c r="AW281" s="26" t="n">
        <f aca="false">SUMIFS(Permissions!$AM$2:$AM$3000,Permissions!$B$2:$B$3000,$A281,Permissions!$R$2:$R$3000,"Yes")</f>
        <v>0</v>
      </c>
      <c r="AX281" s="26" t="n">
        <f aca="false">SUMIFS(Permissions!$AN$2:$AN$3000,Permissions!$B$2:$B$3000,$A281,Permissions!$R$2:$R$3000,"Yes")</f>
        <v>0</v>
      </c>
      <c r="AY281" s="26" t="n">
        <f aca="false">SUMIFS(Permissions!$AO$2:$AO$3000,Permissions!$B$2:$B$3000,$A281,Permissions!$R$2:$R$3000,"Yes")</f>
        <v>0</v>
      </c>
      <c r="AZ281" s="24" t="n">
        <f aca="false">COUNTIFS(Permissions!$B$2:$B$3000,$A281,Permissions!$R$2:$R$3000,"Yes")</f>
        <v>1</v>
      </c>
      <c r="BA281" s="24" t="n">
        <f aca="false">SUMIFS(Permissions!$M$2:$M$3000,Permissions!$B$2:$B$3000,$A281,Permissions!$R$2:$R$3000,"Yes")</f>
        <v>20</v>
      </c>
      <c r="BB281" s="24" t="n">
        <f aca="false">SUMIFS(Permissions!$O$2:$O$3000,Permissions!$B$2:$B$3000,$A281,Permissions!$R$2:$R$3000,"Yes")</f>
        <v>0</v>
      </c>
      <c r="BC281" s="27" t="str">
        <f aca="false">IF(AND(AM281&gt;0,AR281&gt;=AM281,AP281=0),"Finished",IF(AR281&gt;0,"Partly built",IF(AM281&gt;0,"Consented – not built","No consent")))</f>
        <v>Finished</v>
      </c>
      <c r="BD281" s="28" t="str">
        <f aca="false">IF(AND(R281&lt;&gt;"",AM281&gt;1.1*R281),"Consented above capacity",IF(AND(LEFT(B281,8)="Planning",AZ281=0),"Consent parcel with no permission",IF(COUNTIF($A$2:$A$3000,$A281)&gt;1,"Duplicate parcel_id","")))</f>
        <v/>
      </c>
    </row>
    <row r="282" customFormat="false" ht="15" hidden="false" customHeight="false" outlineLevel="0" collapsed="false">
      <c r="A282" s="15" t="s">
        <v>674</v>
      </c>
      <c r="B282" s="15" t="s">
        <v>12</v>
      </c>
      <c r="C282" s="15" t="s">
        <v>17</v>
      </c>
      <c r="D282" s="15" t="s">
        <v>74</v>
      </c>
      <c r="E282" s="15" t="s">
        <v>21</v>
      </c>
      <c r="F282" s="15" t="n">
        <v>0.16</v>
      </c>
      <c r="G282" s="15" t="s">
        <v>158</v>
      </c>
      <c r="H282" s="15"/>
      <c r="I282" s="15" t="s">
        <v>346</v>
      </c>
      <c r="J282" s="15" t="s">
        <v>159</v>
      </c>
      <c r="K282" s="15" t="s">
        <v>675</v>
      </c>
      <c r="L282" s="15"/>
      <c r="M282" s="15"/>
      <c r="N282" s="15"/>
      <c r="O282" s="15"/>
      <c r="P282" s="15" t="n">
        <v>1.695</v>
      </c>
      <c r="Q282" s="15" t="n">
        <v>1.695</v>
      </c>
      <c r="R282" s="15"/>
      <c r="S282" s="15" t="s">
        <v>459</v>
      </c>
      <c r="T282" s="15" t="n">
        <v>42</v>
      </c>
      <c r="U282" s="15"/>
      <c r="V282" s="15"/>
      <c r="W282" s="15"/>
      <c r="X282" s="15" t="s">
        <v>353</v>
      </c>
      <c r="Y282" s="15" t="n">
        <v>25</v>
      </c>
      <c r="Z282" s="15" t="s">
        <v>354</v>
      </c>
      <c r="AA282" s="15"/>
      <c r="AB282" s="15" t="n">
        <v>0</v>
      </c>
      <c r="AC282" s="15" t="n">
        <v>0</v>
      </c>
      <c r="AD282" s="15"/>
      <c r="AE282" s="15"/>
      <c r="AF282" s="15" t="s">
        <v>169</v>
      </c>
      <c r="AG282" s="15"/>
      <c r="AH282" s="24" t="n">
        <f aca="false">IF(R282="",AM282,R282)</f>
        <v>48</v>
      </c>
      <c r="AI282" s="24" t="n">
        <f aca="false">SUMIFS(Permissions!$G$2:$G$3000,Permissions!$B$2:$B$3000,$A282,Permissions!$I$2:$I$3000,"Complete",Permissions!$R$2:$R$3000,"Yes")</f>
        <v>0</v>
      </c>
      <c r="AJ282" s="24" t="n">
        <f aca="false">SUMIFS(Permissions!$G$2:$G$3000,Permissions!$B$2:$B$3000,$A282,Permissions!$I$2:$I$3000,"Under construction",Permissions!$R$2:$R$3000,"Yes")</f>
        <v>48</v>
      </c>
      <c r="AK282" s="24" t="n">
        <f aca="false">SUMIFS(Permissions!$G$2:$G$3000,Permissions!$B$2:$B$3000,$A282,Permissions!$I$2:$I$3000,"Permitted – not started",Permissions!$R$2:$R$3000,"Yes")</f>
        <v>0</v>
      </c>
      <c r="AL282" s="24" t="n">
        <f aca="false">SUMIFS(Permissions!$G$2:$G$3000,Permissions!$B$2:$B$3000,$A282,Permissions!$I$2:$I$3000,"Stalled",Permissions!$R$2:$R$3000,"Yes")</f>
        <v>0</v>
      </c>
      <c r="AM282" s="24" t="n">
        <f aca="false">AI282+AJ282+AK282+AL282</f>
        <v>48</v>
      </c>
      <c r="AN282" s="24" t="n">
        <f aca="false">SUMIFS(Permissions!$G$2:$G$3000,Permissions!$B$2:$B$3000,$A282,Permissions!$I$2:$I$3000,"Expired – not started",Permissions!$R$2:$R$3000,"Yes")</f>
        <v>0</v>
      </c>
      <c r="AO282" s="24" t="n">
        <f aca="false">SUMIFS(Permissions!$G$2:$G$3000,Permissions!$B$2:$B$3000,$A282,Permissions!$I$2:$I$3000,"In planning",Permissions!$R$2:$R$3000,"Yes")</f>
        <v>0</v>
      </c>
      <c r="AP282" s="24" t="n">
        <f aca="false">IF(R282="",0,MAX(R282-AM282,0))</f>
        <v>0</v>
      </c>
      <c r="AQ282" s="25" t="n">
        <f aca="false">AM282+AP282</f>
        <v>48</v>
      </c>
      <c r="AR282" s="24" t="n">
        <f aca="false">SUMIFS(Permissions!$L$2:$L$3000,Permissions!$B$2:$B$3000,$A282,Permissions!$R$2:$R$3000,"Yes",Permissions!$I$2:$I$3000,"&lt;&gt;Expired – not started",Permissions!$I$2:$I$3000,"&lt;&gt;In planning")</f>
        <v>0</v>
      </c>
      <c r="AS282" s="24" t="n">
        <f aca="false">AQ282-AR282</f>
        <v>48</v>
      </c>
      <c r="AT282" s="26" t="n">
        <f aca="false">SUMIFS(Permissions!$AJ$2:$AJ$3000,Permissions!$B$2:$B$3000,$A282,Permissions!$R$2:$R$3000,"Yes")</f>
        <v>0</v>
      </c>
      <c r="AU282" s="26" t="n">
        <f aca="false">SUMIFS(Permissions!$AK$2:$AK$3000,Permissions!$B$2:$B$3000,$A282,Permissions!$R$2:$R$3000,"Yes")</f>
        <v>8.9</v>
      </c>
      <c r="AV282" s="26" t="n">
        <f aca="false">SUMIFS(Permissions!$AL$2:$AL$3000,Permissions!$B$2:$B$3000,$A282,Permissions!$R$2:$R$3000,"Yes")</f>
        <v>25.6</v>
      </c>
      <c r="AW282" s="26" t="n">
        <f aca="false">SUMIFS(Permissions!$AM$2:$AM$3000,Permissions!$B$2:$B$3000,$A282,Permissions!$R$2:$R$3000,"Yes")</f>
        <v>13.5</v>
      </c>
      <c r="AX282" s="26" t="n">
        <f aca="false">SUMIFS(Permissions!$AN$2:$AN$3000,Permissions!$B$2:$B$3000,$A282,Permissions!$R$2:$R$3000,"Yes")</f>
        <v>0</v>
      </c>
      <c r="AY282" s="26" t="n">
        <f aca="false">SUMIFS(Permissions!$AO$2:$AO$3000,Permissions!$B$2:$B$3000,$A282,Permissions!$R$2:$R$3000,"Yes")</f>
        <v>0</v>
      </c>
      <c r="AZ282" s="24" t="n">
        <f aca="false">COUNTIFS(Permissions!$B$2:$B$3000,$A282,Permissions!$R$2:$R$3000,"Yes")</f>
        <v>2</v>
      </c>
      <c r="BA282" s="24" t="n">
        <f aca="false">SUMIFS(Permissions!$M$2:$M$3000,Permissions!$B$2:$B$3000,$A282,Permissions!$R$2:$R$3000,"Yes")</f>
        <v>0</v>
      </c>
      <c r="BB282" s="24" t="n">
        <f aca="false">SUMIFS(Permissions!$O$2:$O$3000,Permissions!$B$2:$B$3000,$A282,Permissions!$R$2:$R$3000,"Yes")</f>
        <v>0</v>
      </c>
      <c r="BC282" s="27" t="str">
        <f aca="false">IF(AND(AM282&gt;0,AR282&gt;=AM282,AP282=0),"Finished",IF(AR282&gt;0,"Partly built",IF(AM282&gt;0,"Consented – not built","No consent")))</f>
        <v>Consented – not built</v>
      </c>
      <c r="BD282" s="28" t="str">
        <f aca="false">IF(AND(R282&lt;&gt;"",AM282&gt;1.1*R282),"Consented above capacity",IF(AND(LEFT(B282,8)="Planning",AZ282=0),"Consent parcel with no permission",IF(COUNTIF($A$2:$A$3000,$A282)&gt;1,"Duplicate parcel_id","")))</f>
        <v/>
      </c>
    </row>
    <row r="283" customFormat="false" ht="15" hidden="false" customHeight="false" outlineLevel="0" collapsed="false">
      <c r="A283" s="15" t="s">
        <v>676</v>
      </c>
      <c r="B283" s="15" t="s">
        <v>12</v>
      </c>
      <c r="C283" s="15" t="s">
        <v>17</v>
      </c>
      <c r="D283" s="15" t="s">
        <v>60</v>
      </c>
      <c r="E283" s="15" t="s">
        <v>20</v>
      </c>
      <c r="F283" s="15" t="n">
        <v>1</v>
      </c>
      <c r="G283" s="15" t="s">
        <v>158</v>
      </c>
      <c r="H283" s="15"/>
      <c r="I283" s="15" t="s">
        <v>346</v>
      </c>
      <c r="J283" s="15" t="s">
        <v>390</v>
      </c>
      <c r="K283" s="15" t="s">
        <v>677</v>
      </c>
      <c r="L283" s="15"/>
      <c r="M283" s="15"/>
      <c r="N283" s="15"/>
      <c r="O283" s="15"/>
      <c r="P283" s="15" t="n">
        <v>0.115</v>
      </c>
      <c r="Q283" s="15" t="n">
        <v>0.115</v>
      </c>
      <c r="R283" s="15"/>
      <c r="S283" s="15" t="s">
        <v>459</v>
      </c>
      <c r="T283" s="15" t="n">
        <v>3</v>
      </c>
      <c r="U283" s="15"/>
      <c r="V283" s="15"/>
      <c r="W283" s="15"/>
      <c r="X283" s="15" t="s">
        <v>353</v>
      </c>
      <c r="Y283" s="15" t="n">
        <v>25</v>
      </c>
      <c r="Z283" s="15" t="s">
        <v>354</v>
      </c>
      <c r="AA283" s="15"/>
      <c r="AB283" s="15" t="n">
        <v>1</v>
      </c>
      <c r="AC283" s="15" t="n">
        <v>0</v>
      </c>
      <c r="AD283" s="15"/>
      <c r="AE283" s="15"/>
      <c r="AF283" s="15" t="s">
        <v>169</v>
      </c>
      <c r="AG283" s="15"/>
      <c r="AH283" s="24" t="n">
        <f aca="false">IF(R283="",AM283,R283)</f>
        <v>7</v>
      </c>
      <c r="AI283" s="24" t="n">
        <f aca="false">SUMIFS(Permissions!$G$2:$G$3000,Permissions!$B$2:$B$3000,$A283,Permissions!$I$2:$I$3000,"Complete",Permissions!$R$2:$R$3000,"Yes")</f>
        <v>0</v>
      </c>
      <c r="AJ283" s="24" t="n">
        <f aca="false">SUMIFS(Permissions!$G$2:$G$3000,Permissions!$B$2:$B$3000,$A283,Permissions!$I$2:$I$3000,"Under construction",Permissions!$R$2:$R$3000,"Yes")</f>
        <v>0</v>
      </c>
      <c r="AK283" s="24" t="n">
        <f aca="false">SUMIFS(Permissions!$G$2:$G$3000,Permissions!$B$2:$B$3000,$A283,Permissions!$I$2:$I$3000,"Permitted – not started",Permissions!$R$2:$R$3000,"Yes")</f>
        <v>7</v>
      </c>
      <c r="AL283" s="24" t="n">
        <f aca="false">SUMIFS(Permissions!$G$2:$G$3000,Permissions!$B$2:$B$3000,$A283,Permissions!$I$2:$I$3000,"Stalled",Permissions!$R$2:$R$3000,"Yes")</f>
        <v>0</v>
      </c>
      <c r="AM283" s="24" t="n">
        <f aca="false">AI283+AJ283+AK283+AL283</f>
        <v>7</v>
      </c>
      <c r="AN283" s="24" t="n">
        <f aca="false">SUMIFS(Permissions!$G$2:$G$3000,Permissions!$B$2:$B$3000,$A283,Permissions!$I$2:$I$3000,"Expired – not started",Permissions!$R$2:$R$3000,"Yes")</f>
        <v>0</v>
      </c>
      <c r="AO283" s="24" t="n">
        <f aca="false">SUMIFS(Permissions!$G$2:$G$3000,Permissions!$B$2:$B$3000,$A283,Permissions!$I$2:$I$3000,"In planning",Permissions!$R$2:$R$3000,"Yes")</f>
        <v>0</v>
      </c>
      <c r="AP283" s="24" t="n">
        <f aca="false">IF(R283="",0,MAX(R283-AM283,0))</f>
        <v>0</v>
      </c>
      <c r="AQ283" s="25" t="n">
        <f aca="false">AM283+AP283</f>
        <v>7</v>
      </c>
      <c r="AR283" s="24" t="n">
        <f aca="false">SUMIFS(Permissions!$L$2:$L$3000,Permissions!$B$2:$B$3000,$A283,Permissions!$R$2:$R$3000,"Yes",Permissions!$I$2:$I$3000,"&lt;&gt;Expired – not started",Permissions!$I$2:$I$3000,"&lt;&gt;In planning")</f>
        <v>0</v>
      </c>
      <c r="AS283" s="24" t="n">
        <f aca="false">AQ283-AR283</f>
        <v>7</v>
      </c>
      <c r="AT283" s="26" t="n">
        <f aca="false">SUMIFS(Permissions!$AJ$2:$AJ$3000,Permissions!$B$2:$B$3000,$A283,Permissions!$R$2:$R$3000,"Yes")</f>
        <v>0</v>
      </c>
      <c r="AU283" s="26" t="n">
        <f aca="false">SUMIFS(Permissions!$AK$2:$AK$3000,Permissions!$B$2:$B$3000,$A283,Permissions!$R$2:$R$3000,"Yes")</f>
        <v>0</v>
      </c>
      <c r="AV283" s="26" t="n">
        <f aca="false">SUMIFS(Permissions!$AL$2:$AL$3000,Permissions!$B$2:$B$3000,$A283,Permissions!$R$2:$R$3000,"Yes")</f>
        <v>4.4</v>
      </c>
      <c r="AW283" s="26" t="n">
        <f aca="false">SUMIFS(Permissions!$AM$2:$AM$3000,Permissions!$B$2:$B$3000,$A283,Permissions!$R$2:$R$3000,"Yes")</f>
        <v>2.6</v>
      </c>
      <c r="AX283" s="26" t="n">
        <f aca="false">SUMIFS(Permissions!$AN$2:$AN$3000,Permissions!$B$2:$B$3000,$A283,Permissions!$R$2:$R$3000,"Yes")</f>
        <v>0</v>
      </c>
      <c r="AY283" s="26" t="n">
        <f aca="false">SUMIFS(Permissions!$AO$2:$AO$3000,Permissions!$B$2:$B$3000,$A283,Permissions!$R$2:$R$3000,"Yes")</f>
        <v>0</v>
      </c>
      <c r="AZ283" s="24" t="n">
        <f aca="false">COUNTIFS(Permissions!$B$2:$B$3000,$A283,Permissions!$R$2:$R$3000,"Yes")</f>
        <v>1</v>
      </c>
      <c r="BA283" s="24" t="n">
        <f aca="false">SUMIFS(Permissions!$M$2:$M$3000,Permissions!$B$2:$B$3000,$A283,Permissions!$R$2:$R$3000,"Yes")</f>
        <v>0</v>
      </c>
      <c r="BB283" s="24" t="n">
        <f aca="false">SUMIFS(Permissions!$O$2:$O$3000,Permissions!$B$2:$B$3000,$A283,Permissions!$R$2:$R$3000,"Yes")</f>
        <v>0</v>
      </c>
      <c r="BC283" s="27" t="str">
        <f aca="false">IF(AND(AM283&gt;0,AR283&gt;=AM283,AP283=0),"Finished",IF(AR283&gt;0,"Partly built",IF(AM283&gt;0,"Consented – not built","No consent")))</f>
        <v>Consented – not built</v>
      </c>
      <c r="BD283" s="28" t="str">
        <f aca="false">IF(AND(R283&lt;&gt;"",AM283&gt;1.1*R283),"Consented above capacity",IF(AND(LEFT(B283,8)="Planning",AZ283=0),"Consent parcel with no permission",IF(COUNTIF($A$2:$A$3000,$A283)&gt;1,"Duplicate parcel_id","")))</f>
        <v/>
      </c>
    </row>
    <row r="284" customFormat="false" ht="15" hidden="false" customHeight="false" outlineLevel="0" collapsed="false">
      <c r="A284" s="15" t="s">
        <v>678</v>
      </c>
      <c r="B284" s="15" t="s">
        <v>12</v>
      </c>
      <c r="C284" s="15" t="s">
        <v>17</v>
      </c>
      <c r="D284" s="15" t="s">
        <v>64</v>
      </c>
      <c r="E284" s="15" t="s">
        <v>20</v>
      </c>
      <c r="F284" s="15" t="n">
        <v>1</v>
      </c>
      <c r="G284" s="15" t="s">
        <v>158</v>
      </c>
      <c r="H284" s="15"/>
      <c r="I284" s="15" t="s">
        <v>346</v>
      </c>
      <c r="J284" s="15" t="s">
        <v>390</v>
      </c>
      <c r="K284" s="15" t="s">
        <v>679</v>
      </c>
      <c r="L284" s="15"/>
      <c r="M284" s="15"/>
      <c r="N284" s="15"/>
      <c r="O284" s="15"/>
      <c r="P284" s="15" t="n">
        <v>0.132</v>
      </c>
      <c r="Q284" s="15" t="n">
        <v>0.132</v>
      </c>
      <c r="R284" s="15"/>
      <c r="S284" s="15" t="s">
        <v>459</v>
      </c>
      <c r="T284" s="15" t="n">
        <v>3</v>
      </c>
      <c r="U284" s="15"/>
      <c r="V284" s="15"/>
      <c r="W284" s="15"/>
      <c r="X284" s="15" t="s">
        <v>353</v>
      </c>
      <c r="Y284" s="15" t="n">
        <v>25</v>
      </c>
      <c r="Z284" s="15" t="s">
        <v>354</v>
      </c>
      <c r="AA284" s="15"/>
      <c r="AB284" s="15" t="n">
        <v>6</v>
      </c>
      <c r="AC284" s="15" t="n">
        <v>6</v>
      </c>
      <c r="AD284" s="15"/>
      <c r="AE284" s="15"/>
      <c r="AF284" s="15" t="s">
        <v>169</v>
      </c>
      <c r="AG284" s="15"/>
      <c r="AH284" s="24" t="n">
        <f aca="false">IF(R284="",AM284,R284)</f>
        <v>6</v>
      </c>
      <c r="AI284" s="24" t="n">
        <f aca="false">SUMIFS(Permissions!$G$2:$G$3000,Permissions!$B$2:$B$3000,$A284,Permissions!$I$2:$I$3000,"Complete",Permissions!$R$2:$R$3000,"Yes")</f>
        <v>6</v>
      </c>
      <c r="AJ284" s="24" t="n">
        <f aca="false">SUMIFS(Permissions!$G$2:$G$3000,Permissions!$B$2:$B$3000,$A284,Permissions!$I$2:$I$3000,"Under construction",Permissions!$R$2:$R$3000,"Yes")</f>
        <v>0</v>
      </c>
      <c r="AK284" s="24" t="n">
        <f aca="false">SUMIFS(Permissions!$G$2:$G$3000,Permissions!$B$2:$B$3000,$A284,Permissions!$I$2:$I$3000,"Permitted – not started",Permissions!$R$2:$R$3000,"Yes")</f>
        <v>0</v>
      </c>
      <c r="AL284" s="24" t="n">
        <f aca="false">SUMIFS(Permissions!$G$2:$G$3000,Permissions!$B$2:$B$3000,$A284,Permissions!$I$2:$I$3000,"Stalled",Permissions!$R$2:$R$3000,"Yes")</f>
        <v>0</v>
      </c>
      <c r="AM284" s="24" t="n">
        <f aca="false">AI284+AJ284+AK284+AL284</f>
        <v>6</v>
      </c>
      <c r="AN284" s="24" t="n">
        <f aca="false">SUMIFS(Permissions!$G$2:$G$3000,Permissions!$B$2:$B$3000,$A284,Permissions!$I$2:$I$3000,"Expired – not started",Permissions!$R$2:$R$3000,"Yes")</f>
        <v>0</v>
      </c>
      <c r="AO284" s="24" t="n">
        <f aca="false">SUMIFS(Permissions!$G$2:$G$3000,Permissions!$B$2:$B$3000,$A284,Permissions!$I$2:$I$3000,"In planning",Permissions!$R$2:$R$3000,"Yes")</f>
        <v>0</v>
      </c>
      <c r="AP284" s="24" t="n">
        <f aca="false">IF(R284="",0,MAX(R284-AM284,0))</f>
        <v>0</v>
      </c>
      <c r="AQ284" s="25" t="n">
        <f aca="false">AM284+AP284</f>
        <v>6</v>
      </c>
      <c r="AR284" s="24" t="n">
        <f aca="false">SUMIFS(Permissions!$L$2:$L$3000,Permissions!$B$2:$B$3000,$A284,Permissions!$R$2:$R$3000,"Yes",Permissions!$I$2:$I$3000,"&lt;&gt;Expired – not started",Permissions!$I$2:$I$3000,"&lt;&gt;In planning")</f>
        <v>6</v>
      </c>
      <c r="AS284" s="24" t="n">
        <f aca="false">AQ284-AR284</f>
        <v>0</v>
      </c>
      <c r="AT284" s="26" t="n">
        <f aca="false">SUMIFS(Permissions!$AJ$2:$AJ$3000,Permissions!$B$2:$B$3000,$A284,Permissions!$R$2:$R$3000,"Yes")</f>
        <v>0</v>
      </c>
      <c r="AU284" s="26" t="n">
        <f aca="false">SUMIFS(Permissions!$AK$2:$AK$3000,Permissions!$B$2:$B$3000,$A284,Permissions!$R$2:$R$3000,"Yes")</f>
        <v>0</v>
      </c>
      <c r="AV284" s="26" t="n">
        <f aca="false">SUMIFS(Permissions!$AL$2:$AL$3000,Permissions!$B$2:$B$3000,$A284,Permissions!$R$2:$R$3000,"Yes")</f>
        <v>0</v>
      </c>
      <c r="AW284" s="26" t="n">
        <f aca="false">SUMIFS(Permissions!$AM$2:$AM$3000,Permissions!$B$2:$B$3000,$A284,Permissions!$R$2:$R$3000,"Yes")</f>
        <v>0</v>
      </c>
      <c r="AX284" s="26" t="n">
        <f aca="false">SUMIFS(Permissions!$AN$2:$AN$3000,Permissions!$B$2:$B$3000,$A284,Permissions!$R$2:$R$3000,"Yes")</f>
        <v>0</v>
      </c>
      <c r="AY284" s="26" t="n">
        <f aca="false">SUMIFS(Permissions!$AO$2:$AO$3000,Permissions!$B$2:$B$3000,$A284,Permissions!$R$2:$R$3000,"Yes")</f>
        <v>0</v>
      </c>
      <c r="AZ284" s="24" t="n">
        <f aca="false">COUNTIFS(Permissions!$B$2:$B$3000,$A284,Permissions!$R$2:$R$3000,"Yes")</f>
        <v>1</v>
      </c>
      <c r="BA284" s="24" t="n">
        <f aca="false">SUMIFS(Permissions!$M$2:$M$3000,Permissions!$B$2:$B$3000,$A284,Permissions!$R$2:$R$3000,"Yes")</f>
        <v>6</v>
      </c>
      <c r="BB284" s="24" t="n">
        <f aca="false">SUMIFS(Permissions!$O$2:$O$3000,Permissions!$B$2:$B$3000,$A284,Permissions!$R$2:$R$3000,"Yes")</f>
        <v>5</v>
      </c>
      <c r="BC284" s="27" t="str">
        <f aca="false">IF(AND(AM284&gt;0,AR284&gt;=AM284,AP284=0),"Finished",IF(AR284&gt;0,"Partly built",IF(AM284&gt;0,"Consented – not built","No consent")))</f>
        <v>Finished</v>
      </c>
      <c r="BD284" s="28" t="str">
        <f aca="false">IF(AND(R284&lt;&gt;"",AM284&gt;1.1*R284),"Consented above capacity",IF(AND(LEFT(B284,8)="Planning",AZ284=0),"Consent parcel with no permission",IF(COUNTIF($A$2:$A$3000,$A284)&gt;1,"Duplicate parcel_id","")))</f>
        <v/>
      </c>
    </row>
    <row r="285" customFormat="false" ht="15" hidden="false" customHeight="false" outlineLevel="0" collapsed="false">
      <c r="A285" s="15" t="s">
        <v>680</v>
      </c>
      <c r="B285" s="15" t="s">
        <v>12</v>
      </c>
      <c r="C285" s="15" t="s">
        <v>17</v>
      </c>
      <c r="D285" s="15" t="s">
        <v>68</v>
      </c>
      <c r="E285" s="15" t="s">
        <v>21</v>
      </c>
      <c r="F285" s="15" t="n">
        <v>1</v>
      </c>
      <c r="G285" s="15" t="s">
        <v>158</v>
      </c>
      <c r="H285" s="15"/>
      <c r="I285" s="15" t="s">
        <v>346</v>
      </c>
      <c r="J285" s="15" t="s">
        <v>363</v>
      </c>
      <c r="K285" s="15" t="s">
        <v>681</v>
      </c>
      <c r="L285" s="15"/>
      <c r="M285" s="15"/>
      <c r="N285" s="15"/>
      <c r="O285" s="15"/>
      <c r="P285" s="15" t="n">
        <v>0.081</v>
      </c>
      <c r="Q285" s="15" t="n">
        <v>0.081</v>
      </c>
      <c r="R285" s="15"/>
      <c r="S285" s="15" t="s">
        <v>459</v>
      </c>
      <c r="T285" s="15" t="n">
        <v>2</v>
      </c>
      <c r="U285" s="15"/>
      <c r="V285" s="15"/>
      <c r="W285" s="15"/>
      <c r="X285" s="15" t="s">
        <v>353</v>
      </c>
      <c r="Y285" s="15" t="n">
        <v>25</v>
      </c>
      <c r="Z285" s="15" t="s">
        <v>354</v>
      </c>
      <c r="AA285" s="15"/>
      <c r="AB285" s="15" t="n">
        <v>2</v>
      </c>
      <c r="AC285" s="15" t="n">
        <v>2</v>
      </c>
      <c r="AD285" s="15"/>
      <c r="AE285" s="15"/>
      <c r="AF285" s="15" t="s">
        <v>169</v>
      </c>
      <c r="AG285" s="15"/>
      <c r="AH285" s="24" t="n">
        <f aca="false">IF(R285="",AM285,R285)</f>
        <v>2</v>
      </c>
      <c r="AI285" s="24" t="n">
        <f aca="false">SUMIFS(Permissions!$G$2:$G$3000,Permissions!$B$2:$B$3000,$A285,Permissions!$I$2:$I$3000,"Complete",Permissions!$R$2:$R$3000,"Yes")</f>
        <v>2</v>
      </c>
      <c r="AJ285" s="24" t="n">
        <f aca="false">SUMIFS(Permissions!$G$2:$G$3000,Permissions!$B$2:$B$3000,$A285,Permissions!$I$2:$I$3000,"Under construction",Permissions!$R$2:$R$3000,"Yes")</f>
        <v>0</v>
      </c>
      <c r="AK285" s="24" t="n">
        <f aca="false">SUMIFS(Permissions!$G$2:$G$3000,Permissions!$B$2:$B$3000,$A285,Permissions!$I$2:$I$3000,"Permitted – not started",Permissions!$R$2:$R$3000,"Yes")</f>
        <v>0</v>
      </c>
      <c r="AL285" s="24" t="n">
        <f aca="false">SUMIFS(Permissions!$G$2:$G$3000,Permissions!$B$2:$B$3000,$A285,Permissions!$I$2:$I$3000,"Stalled",Permissions!$R$2:$R$3000,"Yes")</f>
        <v>0</v>
      </c>
      <c r="AM285" s="24" t="n">
        <f aca="false">AI285+AJ285+AK285+AL285</f>
        <v>2</v>
      </c>
      <c r="AN285" s="24" t="n">
        <f aca="false">SUMIFS(Permissions!$G$2:$G$3000,Permissions!$B$2:$B$3000,$A285,Permissions!$I$2:$I$3000,"Expired – not started",Permissions!$R$2:$R$3000,"Yes")</f>
        <v>0</v>
      </c>
      <c r="AO285" s="24" t="n">
        <f aca="false">SUMIFS(Permissions!$G$2:$G$3000,Permissions!$B$2:$B$3000,$A285,Permissions!$I$2:$I$3000,"In planning",Permissions!$R$2:$R$3000,"Yes")</f>
        <v>0</v>
      </c>
      <c r="AP285" s="24" t="n">
        <f aca="false">IF(R285="",0,MAX(R285-AM285,0))</f>
        <v>0</v>
      </c>
      <c r="AQ285" s="25" t="n">
        <f aca="false">AM285+AP285</f>
        <v>2</v>
      </c>
      <c r="AR285" s="24" t="n">
        <f aca="false">SUMIFS(Permissions!$L$2:$L$3000,Permissions!$B$2:$B$3000,$A285,Permissions!$R$2:$R$3000,"Yes",Permissions!$I$2:$I$3000,"&lt;&gt;Expired – not started",Permissions!$I$2:$I$3000,"&lt;&gt;In planning")</f>
        <v>2</v>
      </c>
      <c r="AS285" s="24" t="n">
        <f aca="false">AQ285-AR285</f>
        <v>0</v>
      </c>
      <c r="AT285" s="26" t="n">
        <f aca="false">SUMIFS(Permissions!$AJ$2:$AJ$3000,Permissions!$B$2:$B$3000,$A285,Permissions!$R$2:$R$3000,"Yes")</f>
        <v>0</v>
      </c>
      <c r="AU285" s="26" t="n">
        <f aca="false">SUMIFS(Permissions!$AK$2:$AK$3000,Permissions!$B$2:$B$3000,$A285,Permissions!$R$2:$R$3000,"Yes")</f>
        <v>0</v>
      </c>
      <c r="AV285" s="26" t="n">
        <f aca="false">SUMIFS(Permissions!$AL$2:$AL$3000,Permissions!$B$2:$B$3000,$A285,Permissions!$R$2:$R$3000,"Yes")</f>
        <v>0</v>
      </c>
      <c r="AW285" s="26" t="n">
        <f aca="false">SUMIFS(Permissions!$AM$2:$AM$3000,Permissions!$B$2:$B$3000,$A285,Permissions!$R$2:$R$3000,"Yes")</f>
        <v>0</v>
      </c>
      <c r="AX285" s="26" t="n">
        <f aca="false">SUMIFS(Permissions!$AN$2:$AN$3000,Permissions!$B$2:$B$3000,$A285,Permissions!$R$2:$R$3000,"Yes")</f>
        <v>0</v>
      </c>
      <c r="AY285" s="26" t="n">
        <f aca="false">SUMIFS(Permissions!$AO$2:$AO$3000,Permissions!$B$2:$B$3000,$A285,Permissions!$R$2:$R$3000,"Yes")</f>
        <v>0</v>
      </c>
      <c r="AZ285" s="24" t="n">
        <f aca="false">COUNTIFS(Permissions!$B$2:$B$3000,$A285,Permissions!$R$2:$R$3000,"Yes")</f>
        <v>1</v>
      </c>
      <c r="BA285" s="24" t="n">
        <f aca="false">SUMIFS(Permissions!$M$2:$M$3000,Permissions!$B$2:$B$3000,$A285,Permissions!$R$2:$R$3000,"Yes")</f>
        <v>2</v>
      </c>
      <c r="BB285" s="24" t="n">
        <f aca="false">SUMIFS(Permissions!$O$2:$O$3000,Permissions!$B$2:$B$3000,$A285,Permissions!$R$2:$R$3000,"Yes")</f>
        <v>0</v>
      </c>
      <c r="BC285" s="27" t="str">
        <f aca="false">IF(AND(AM285&gt;0,AR285&gt;=AM285,AP285=0),"Finished",IF(AR285&gt;0,"Partly built",IF(AM285&gt;0,"Consented – not built","No consent")))</f>
        <v>Finished</v>
      </c>
      <c r="BD285" s="28" t="str">
        <f aca="false">IF(AND(R285&lt;&gt;"",AM285&gt;1.1*R285),"Consented above capacity",IF(AND(LEFT(B285,8)="Planning",AZ285=0),"Consent parcel with no permission",IF(COUNTIF($A$2:$A$3000,$A285)&gt;1,"Duplicate parcel_id","")))</f>
        <v/>
      </c>
    </row>
    <row r="286" customFormat="false" ht="15" hidden="false" customHeight="false" outlineLevel="0" collapsed="false">
      <c r="A286" s="15" t="s">
        <v>682</v>
      </c>
      <c r="B286" s="15" t="s">
        <v>12</v>
      </c>
      <c r="C286" s="15" t="s">
        <v>17</v>
      </c>
      <c r="D286" s="15" t="s">
        <v>73</v>
      </c>
      <c r="E286" s="15" t="s">
        <v>21</v>
      </c>
      <c r="F286" s="15" t="n">
        <v>1</v>
      </c>
      <c r="G286" s="15" t="s">
        <v>158</v>
      </c>
      <c r="H286" s="15"/>
      <c r="I286" s="15" t="s">
        <v>346</v>
      </c>
      <c r="J286" s="15" t="s">
        <v>363</v>
      </c>
      <c r="K286" s="15" t="s">
        <v>683</v>
      </c>
      <c r="L286" s="15"/>
      <c r="M286" s="15"/>
      <c r="N286" s="15"/>
      <c r="O286" s="15"/>
      <c r="P286" s="15" t="n">
        <v>1.417</v>
      </c>
      <c r="Q286" s="15" t="n">
        <v>1.417</v>
      </c>
      <c r="R286" s="15"/>
      <c r="S286" s="15" t="s">
        <v>459</v>
      </c>
      <c r="T286" s="15" t="n">
        <v>35</v>
      </c>
      <c r="U286" s="15"/>
      <c r="V286" s="15"/>
      <c r="W286" s="15"/>
      <c r="X286" s="15" t="s">
        <v>353</v>
      </c>
      <c r="Y286" s="15" t="n">
        <v>25</v>
      </c>
      <c r="Z286" s="15" t="s">
        <v>354</v>
      </c>
      <c r="AA286" s="15"/>
      <c r="AB286" s="15" t="n">
        <v>0</v>
      </c>
      <c r="AC286" s="15" t="n">
        <v>0</v>
      </c>
      <c r="AD286" s="15"/>
      <c r="AE286" s="15"/>
      <c r="AF286" s="15" t="s">
        <v>169</v>
      </c>
      <c r="AG286" s="15"/>
      <c r="AH286" s="24" t="n">
        <f aca="false">IF(R286="",AM286,R286)</f>
        <v>32</v>
      </c>
      <c r="AI286" s="24" t="n">
        <f aca="false">SUMIFS(Permissions!$G$2:$G$3000,Permissions!$B$2:$B$3000,$A286,Permissions!$I$2:$I$3000,"Complete",Permissions!$R$2:$R$3000,"Yes")</f>
        <v>0</v>
      </c>
      <c r="AJ286" s="24" t="n">
        <f aca="false">SUMIFS(Permissions!$G$2:$G$3000,Permissions!$B$2:$B$3000,$A286,Permissions!$I$2:$I$3000,"Under construction",Permissions!$R$2:$R$3000,"Yes")</f>
        <v>0</v>
      </c>
      <c r="AK286" s="24" t="n">
        <f aca="false">SUMIFS(Permissions!$G$2:$G$3000,Permissions!$B$2:$B$3000,$A286,Permissions!$I$2:$I$3000,"Permitted – not started",Permissions!$R$2:$R$3000,"Yes")</f>
        <v>0</v>
      </c>
      <c r="AL286" s="24" t="n">
        <f aca="false">SUMIFS(Permissions!$G$2:$G$3000,Permissions!$B$2:$B$3000,$A286,Permissions!$I$2:$I$3000,"Stalled",Permissions!$R$2:$R$3000,"Yes")</f>
        <v>32</v>
      </c>
      <c r="AM286" s="24" t="n">
        <f aca="false">AI286+AJ286+AK286+AL286</f>
        <v>32</v>
      </c>
      <c r="AN286" s="24" t="n">
        <f aca="false">SUMIFS(Permissions!$G$2:$G$3000,Permissions!$B$2:$B$3000,$A286,Permissions!$I$2:$I$3000,"Expired – not started",Permissions!$R$2:$R$3000,"Yes")</f>
        <v>0</v>
      </c>
      <c r="AO286" s="24" t="n">
        <f aca="false">SUMIFS(Permissions!$G$2:$G$3000,Permissions!$B$2:$B$3000,$A286,Permissions!$I$2:$I$3000,"In planning",Permissions!$R$2:$R$3000,"Yes")</f>
        <v>0</v>
      </c>
      <c r="AP286" s="24" t="n">
        <f aca="false">IF(R286="",0,MAX(R286-AM286,0))</f>
        <v>0</v>
      </c>
      <c r="AQ286" s="25" t="n">
        <f aca="false">AM286+AP286</f>
        <v>32</v>
      </c>
      <c r="AR286" s="24" t="n">
        <f aca="false">SUMIFS(Permissions!$L$2:$L$3000,Permissions!$B$2:$B$3000,$A286,Permissions!$R$2:$R$3000,"Yes",Permissions!$I$2:$I$3000,"&lt;&gt;Expired – not started",Permissions!$I$2:$I$3000,"&lt;&gt;In planning")</f>
        <v>0</v>
      </c>
      <c r="AS286" s="24" t="n">
        <f aca="false">AQ286-AR286</f>
        <v>32</v>
      </c>
      <c r="AT286" s="26" t="n">
        <f aca="false">SUMIFS(Permissions!$AJ$2:$AJ$3000,Permissions!$B$2:$B$3000,$A286,Permissions!$R$2:$R$3000,"Yes")</f>
        <v>0</v>
      </c>
      <c r="AU286" s="26" t="n">
        <f aca="false">SUMIFS(Permissions!$AK$2:$AK$3000,Permissions!$B$2:$B$3000,$A286,Permissions!$R$2:$R$3000,"Yes")</f>
        <v>0</v>
      </c>
      <c r="AV286" s="26" t="n">
        <f aca="false">SUMIFS(Permissions!$AL$2:$AL$3000,Permissions!$B$2:$B$3000,$A286,Permissions!$R$2:$R$3000,"Yes")</f>
        <v>0</v>
      </c>
      <c r="AW286" s="26" t="n">
        <f aca="false">SUMIFS(Permissions!$AM$2:$AM$3000,Permissions!$B$2:$B$3000,$A286,Permissions!$R$2:$R$3000,"Yes")</f>
        <v>0</v>
      </c>
      <c r="AX286" s="26" t="n">
        <f aca="false">SUMIFS(Permissions!$AN$2:$AN$3000,Permissions!$B$2:$B$3000,$A286,Permissions!$R$2:$R$3000,"Yes")</f>
        <v>0</v>
      </c>
      <c r="AY286" s="26" t="n">
        <f aca="false">SUMIFS(Permissions!$AO$2:$AO$3000,Permissions!$B$2:$B$3000,$A286,Permissions!$R$2:$R$3000,"Yes")</f>
        <v>0</v>
      </c>
      <c r="AZ286" s="24" t="n">
        <f aca="false">COUNTIFS(Permissions!$B$2:$B$3000,$A286,Permissions!$R$2:$R$3000,"Yes")</f>
        <v>1</v>
      </c>
      <c r="BA286" s="24" t="n">
        <f aca="false">SUMIFS(Permissions!$M$2:$M$3000,Permissions!$B$2:$B$3000,$A286,Permissions!$R$2:$R$3000,"Yes")</f>
        <v>0</v>
      </c>
      <c r="BB286" s="24" t="n">
        <f aca="false">SUMIFS(Permissions!$O$2:$O$3000,Permissions!$B$2:$B$3000,$A286,Permissions!$R$2:$R$3000,"Yes")</f>
        <v>0</v>
      </c>
      <c r="BC286" s="27" t="str">
        <f aca="false">IF(AND(AM286&gt;0,AR286&gt;=AM286,AP286=0),"Finished",IF(AR286&gt;0,"Partly built",IF(AM286&gt;0,"Consented – not built","No consent")))</f>
        <v>Consented – not built</v>
      </c>
      <c r="BD286" s="28" t="str">
        <f aca="false">IF(AND(R286&lt;&gt;"",AM286&gt;1.1*R286),"Consented above capacity",IF(AND(LEFT(B286,8)="Planning",AZ286=0),"Consent parcel with no permission",IF(COUNTIF($A$2:$A$3000,$A286)&gt;1,"Duplicate parcel_id","")))</f>
        <v/>
      </c>
    </row>
    <row r="287" customFormat="false" ht="15" hidden="false" customHeight="false" outlineLevel="0" collapsed="false">
      <c r="A287" s="15" t="s">
        <v>684</v>
      </c>
      <c r="B287" s="15" t="s">
        <v>12</v>
      </c>
      <c r="C287" s="15" t="s">
        <v>17</v>
      </c>
      <c r="D287" s="15" t="s">
        <v>22</v>
      </c>
      <c r="E287" s="15" t="s">
        <v>22</v>
      </c>
      <c r="F287" s="15"/>
      <c r="G287" s="15" t="s">
        <v>22</v>
      </c>
      <c r="H287" s="15"/>
      <c r="I287" s="15" t="s">
        <v>346</v>
      </c>
      <c r="J287" s="15" t="s">
        <v>363</v>
      </c>
      <c r="K287" s="15" t="s">
        <v>685</v>
      </c>
      <c r="L287" s="15"/>
      <c r="M287" s="15"/>
      <c r="N287" s="15"/>
      <c r="O287" s="15"/>
      <c r="P287" s="15" t="n">
        <v>1.529</v>
      </c>
      <c r="Q287" s="15" t="n">
        <v>1.529</v>
      </c>
      <c r="R287" s="15" t="n">
        <v>21</v>
      </c>
      <c r="S287" s="15" t="s">
        <v>472</v>
      </c>
      <c r="T287" s="15" t="n">
        <v>38</v>
      </c>
      <c r="U287" s="15"/>
      <c r="V287" s="15"/>
      <c r="W287" s="15"/>
      <c r="X287" s="15" t="s">
        <v>353</v>
      </c>
      <c r="Y287" s="15" t="n">
        <v>25</v>
      </c>
      <c r="Z287" s="15" t="s">
        <v>354</v>
      </c>
      <c r="AA287" s="15"/>
      <c r="AB287" s="15" t="n">
        <v>0</v>
      </c>
      <c r="AC287" s="15" t="n">
        <v>0</v>
      </c>
      <c r="AD287" s="15"/>
      <c r="AE287" s="15"/>
      <c r="AF287" s="15" t="s">
        <v>169</v>
      </c>
      <c r="AG287" s="15"/>
      <c r="AH287" s="24" t="n">
        <f aca="false">IF(R287="",AM287,R287)</f>
        <v>21</v>
      </c>
      <c r="AI287" s="24" t="n">
        <f aca="false">SUMIFS(Permissions!$G$2:$G$3000,Permissions!$B$2:$B$3000,$A287,Permissions!$I$2:$I$3000,"Complete",Permissions!$R$2:$R$3000,"Yes")</f>
        <v>0</v>
      </c>
      <c r="AJ287" s="24" t="n">
        <f aca="false">SUMIFS(Permissions!$G$2:$G$3000,Permissions!$B$2:$B$3000,$A287,Permissions!$I$2:$I$3000,"Under construction",Permissions!$R$2:$R$3000,"Yes")</f>
        <v>0</v>
      </c>
      <c r="AK287" s="24" t="n">
        <f aca="false">SUMIFS(Permissions!$G$2:$G$3000,Permissions!$B$2:$B$3000,$A287,Permissions!$I$2:$I$3000,"Permitted – not started",Permissions!$R$2:$R$3000,"Yes")</f>
        <v>0</v>
      </c>
      <c r="AL287" s="24" t="n">
        <f aca="false">SUMIFS(Permissions!$G$2:$G$3000,Permissions!$B$2:$B$3000,$A287,Permissions!$I$2:$I$3000,"Stalled",Permissions!$R$2:$R$3000,"Yes")</f>
        <v>0</v>
      </c>
      <c r="AM287" s="24" t="n">
        <f aca="false">AI287+AJ287+AK287+AL287</f>
        <v>0</v>
      </c>
      <c r="AN287" s="24" t="n">
        <f aca="false">SUMIFS(Permissions!$G$2:$G$3000,Permissions!$B$2:$B$3000,$A287,Permissions!$I$2:$I$3000,"Expired – not started",Permissions!$R$2:$R$3000,"Yes")</f>
        <v>21</v>
      </c>
      <c r="AO287" s="24" t="n">
        <f aca="false">SUMIFS(Permissions!$G$2:$G$3000,Permissions!$B$2:$B$3000,$A287,Permissions!$I$2:$I$3000,"In planning",Permissions!$R$2:$R$3000,"Yes")</f>
        <v>0</v>
      </c>
      <c r="AP287" s="24" t="n">
        <f aca="false">IF(R287="",0,MAX(R287-AM287,0))</f>
        <v>21</v>
      </c>
      <c r="AQ287" s="25" t="n">
        <f aca="false">AM287+AP287</f>
        <v>21</v>
      </c>
      <c r="AR287" s="24" t="n">
        <f aca="false">SUMIFS(Permissions!$L$2:$L$3000,Permissions!$B$2:$B$3000,$A287,Permissions!$R$2:$R$3000,"Yes",Permissions!$I$2:$I$3000,"&lt;&gt;Expired – not started",Permissions!$I$2:$I$3000,"&lt;&gt;In planning")</f>
        <v>0</v>
      </c>
      <c r="AS287" s="24" t="n">
        <f aca="false">AQ287-AR287</f>
        <v>21</v>
      </c>
      <c r="AT287" s="26" t="n">
        <f aca="false">SUMIFS(Permissions!$AJ$2:$AJ$3000,Permissions!$B$2:$B$3000,$A287,Permissions!$R$2:$R$3000,"Yes")</f>
        <v>0</v>
      </c>
      <c r="AU287" s="26" t="n">
        <f aca="false">SUMIFS(Permissions!$AK$2:$AK$3000,Permissions!$B$2:$B$3000,$A287,Permissions!$R$2:$R$3000,"Yes")</f>
        <v>0</v>
      </c>
      <c r="AV287" s="26" t="n">
        <f aca="false">SUMIFS(Permissions!$AL$2:$AL$3000,Permissions!$B$2:$B$3000,$A287,Permissions!$R$2:$R$3000,"Yes")</f>
        <v>0</v>
      </c>
      <c r="AW287" s="26" t="n">
        <f aca="false">SUMIFS(Permissions!$AM$2:$AM$3000,Permissions!$B$2:$B$3000,$A287,Permissions!$R$2:$R$3000,"Yes")</f>
        <v>0</v>
      </c>
      <c r="AX287" s="26" t="n">
        <f aca="false">SUMIFS(Permissions!$AN$2:$AN$3000,Permissions!$B$2:$B$3000,$A287,Permissions!$R$2:$R$3000,"Yes")</f>
        <v>0</v>
      </c>
      <c r="AY287" s="26" t="n">
        <f aca="false">SUMIFS(Permissions!$AO$2:$AO$3000,Permissions!$B$2:$B$3000,$A287,Permissions!$R$2:$R$3000,"Yes")</f>
        <v>0</v>
      </c>
      <c r="AZ287" s="24" t="n">
        <f aca="false">COUNTIFS(Permissions!$B$2:$B$3000,$A287,Permissions!$R$2:$R$3000,"Yes")</f>
        <v>1</v>
      </c>
      <c r="BA287" s="24" t="n">
        <f aca="false">SUMIFS(Permissions!$M$2:$M$3000,Permissions!$B$2:$B$3000,$A287,Permissions!$R$2:$R$3000,"Yes")</f>
        <v>0</v>
      </c>
      <c r="BB287" s="24" t="n">
        <f aca="false">SUMIFS(Permissions!$O$2:$O$3000,Permissions!$B$2:$B$3000,$A287,Permissions!$R$2:$R$3000,"Yes")</f>
        <v>0</v>
      </c>
      <c r="BC287" s="27" t="str">
        <f aca="false">IF(AND(AM287&gt;0,AR287&gt;=AM287,AP287=0),"Finished",IF(AR287&gt;0,"Partly built",IF(AM287&gt;0,"Consented – not built","No consent")))</f>
        <v>No consent</v>
      </c>
      <c r="BD287" s="28" t="str">
        <f aca="false">IF(AND(R287&lt;&gt;"",AM287&gt;1.1*R287),"Consented above capacity",IF(AND(LEFT(B287,8)="Planning",AZ287=0),"Consent parcel with no permission",IF(COUNTIF($A$2:$A$3000,$A287)&gt;1,"Duplicate parcel_id","")))</f>
        <v/>
      </c>
    </row>
    <row r="288" customFormat="false" ht="15" hidden="false" customHeight="false" outlineLevel="0" collapsed="false">
      <c r="A288" s="15" t="s">
        <v>686</v>
      </c>
      <c r="B288" s="15" t="s">
        <v>12</v>
      </c>
      <c r="C288" s="15" t="s">
        <v>17</v>
      </c>
      <c r="D288" s="15" t="s">
        <v>63</v>
      </c>
      <c r="E288" s="15" t="s">
        <v>20</v>
      </c>
      <c r="F288" s="15" t="n">
        <v>1</v>
      </c>
      <c r="G288" s="15" t="s">
        <v>158</v>
      </c>
      <c r="H288" s="15"/>
      <c r="I288" s="15" t="s">
        <v>346</v>
      </c>
      <c r="J288" s="15" t="s">
        <v>363</v>
      </c>
      <c r="K288" s="15" t="s">
        <v>687</v>
      </c>
      <c r="L288" s="15"/>
      <c r="M288" s="15"/>
      <c r="N288" s="15"/>
      <c r="O288" s="15"/>
      <c r="P288" s="15" t="n">
        <v>0.144</v>
      </c>
      <c r="Q288" s="15" t="n">
        <v>0.144</v>
      </c>
      <c r="R288" s="15"/>
      <c r="S288" s="15" t="s">
        <v>459</v>
      </c>
      <c r="T288" s="15" t="n">
        <v>4</v>
      </c>
      <c r="U288" s="15"/>
      <c r="V288" s="15"/>
      <c r="W288" s="15"/>
      <c r="X288" s="15" t="s">
        <v>353</v>
      </c>
      <c r="Y288" s="15" t="n">
        <v>25</v>
      </c>
      <c r="Z288" s="15" t="s">
        <v>354</v>
      </c>
      <c r="AA288" s="15"/>
      <c r="AB288" s="15" t="n">
        <v>5</v>
      </c>
      <c r="AC288" s="15" t="n">
        <v>5</v>
      </c>
      <c r="AD288" s="15"/>
      <c r="AE288" s="15"/>
      <c r="AF288" s="15" t="s">
        <v>169</v>
      </c>
      <c r="AG288" s="15"/>
      <c r="AH288" s="24" t="n">
        <f aca="false">IF(R288="",AM288,R288)</f>
        <v>5</v>
      </c>
      <c r="AI288" s="24" t="n">
        <f aca="false">SUMIFS(Permissions!$G$2:$G$3000,Permissions!$B$2:$B$3000,$A288,Permissions!$I$2:$I$3000,"Complete",Permissions!$R$2:$R$3000,"Yes")</f>
        <v>5</v>
      </c>
      <c r="AJ288" s="24" t="n">
        <f aca="false">SUMIFS(Permissions!$G$2:$G$3000,Permissions!$B$2:$B$3000,$A288,Permissions!$I$2:$I$3000,"Under construction",Permissions!$R$2:$R$3000,"Yes")</f>
        <v>0</v>
      </c>
      <c r="AK288" s="24" t="n">
        <f aca="false">SUMIFS(Permissions!$G$2:$G$3000,Permissions!$B$2:$B$3000,$A288,Permissions!$I$2:$I$3000,"Permitted – not started",Permissions!$R$2:$R$3000,"Yes")</f>
        <v>0</v>
      </c>
      <c r="AL288" s="24" t="n">
        <f aca="false">SUMIFS(Permissions!$G$2:$G$3000,Permissions!$B$2:$B$3000,$A288,Permissions!$I$2:$I$3000,"Stalled",Permissions!$R$2:$R$3000,"Yes")</f>
        <v>0</v>
      </c>
      <c r="AM288" s="24" t="n">
        <f aca="false">AI288+AJ288+AK288+AL288</f>
        <v>5</v>
      </c>
      <c r="AN288" s="24" t="n">
        <f aca="false">SUMIFS(Permissions!$G$2:$G$3000,Permissions!$B$2:$B$3000,$A288,Permissions!$I$2:$I$3000,"Expired – not started",Permissions!$R$2:$R$3000,"Yes")</f>
        <v>0</v>
      </c>
      <c r="AO288" s="24" t="n">
        <f aca="false">SUMIFS(Permissions!$G$2:$G$3000,Permissions!$B$2:$B$3000,$A288,Permissions!$I$2:$I$3000,"In planning",Permissions!$R$2:$R$3000,"Yes")</f>
        <v>0</v>
      </c>
      <c r="AP288" s="24" t="n">
        <f aca="false">IF(R288="",0,MAX(R288-AM288,0))</f>
        <v>0</v>
      </c>
      <c r="AQ288" s="25" t="n">
        <f aca="false">AM288+AP288</f>
        <v>5</v>
      </c>
      <c r="AR288" s="24" t="n">
        <f aca="false">SUMIFS(Permissions!$L$2:$L$3000,Permissions!$B$2:$B$3000,$A288,Permissions!$R$2:$R$3000,"Yes",Permissions!$I$2:$I$3000,"&lt;&gt;Expired – not started",Permissions!$I$2:$I$3000,"&lt;&gt;In planning")</f>
        <v>5</v>
      </c>
      <c r="AS288" s="24" t="n">
        <f aca="false">AQ288-AR288</f>
        <v>0</v>
      </c>
      <c r="AT288" s="26" t="n">
        <f aca="false">SUMIFS(Permissions!$AJ$2:$AJ$3000,Permissions!$B$2:$B$3000,$A288,Permissions!$R$2:$R$3000,"Yes")</f>
        <v>0</v>
      </c>
      <c r="AU288" s="26" t="n">
        <f aca="false">SUMIFS(Permissions!$AK$2:$AK$3000,Permissions!$B$2:$B$3000,$A288,Permissions!$R$2:$R$3000,"Yes")</f>
        <v>0</v>
      </c>
      <c r="AV288" s="26" t="n">
        <f aca="false">SUMIFS(Permissions!$AL$2:$AL$3000,Permissions!$B$2:$B$3000,$A288,Permissions!$R$2:$R$3000,"Yes")</f>
        <v>0</v>
      </c>
      <c r="AW288" s="26" t="n">
        <f aca="false">SUMIFS(Permissions!$AM$2:$AM$3000,Permissions!$B$2:$B$3000,$A288,Permissions!$R$2:$R$3000,"Yes")</f>
        <v>0</v>
      </c>
      <c r="AX288" s="26" t="n">
        <f aca="false">SUMIFS(Permissions!$AN$2:$AN$3000,Permissions!$B$2:$B$3000,$A288,Permissions!$R$2:$R$3000,"Yes")</f>
        <v>0</v>
      </c>
      <c r="AY288" s="26" t="n">
        <f aca="false">SUMIFS(Permissions!$AO$2:$AO$3000,Permissions!$B$2:$B$3000,$A288,Permissions!$R$2:$R$3000,"Yes")</f>
        <v>0</v>
      </c>
      <c r="AZ288" s="24" t="n">
        <f aca="false">COUNTIFS(Permissions!$B$2:$B$3000,$A288,Permissions!$R$2:$R$3000,"Yes")</f>
        <v>1</v>
      </c>
      <c r="BA288" s="24" t="n">
        <f aca="false">SUMIFS(Permissions!$M$2:$M$3000,Permissions!$B$2:$B$3000,$A288,Permissions!$R$2:$R$3000,"Yes")</f>
        <v>0</v>
      </c>
      <c r="BB288" s="24" t="n">
        <f aca="false">SUMIFS(Permissions!$O$2:$O$3000,Permissions!$B$2:$B$3000,$A288,Permissions!$R$2:$R$3000,"Yes")</f>
        <v>0</v>
      </c>
      <c r="BC288" s="27" t="str">
        <f aca="false">IF(AND(AM288&gt;0,AR288&gt;=AM288,AP288=0),"Finished",IF(AR288&gt;0,"Partly built",IF(AM288&gt;0,"Consented – not built","No consent")))</f>
        <v>Finished</v>
      </c>
      <c r="BD288" s="28" t="str">
        <f aca="false">IF(AND(R288&lt;&gt;"",AM288&gt;1.1*R288),"Consented above capacity",IF(AND(LEFT(B288,8)="Planning",AZ288=0),"Consent parcel with no permission",IF(COUNTIF($A$2:$A$3000,$A288)&gt;1,"Duplicate parcel_id","")))</f>
        <v/>
      </c>
    </row>
    <row r="289" customFormat="false" ht="15" hidden="false" customHeight="false" outlineLevel="0" collapsed="false">
      <c r="A289" s="15" t="s">
        <v>688</v>
      </c>
      <c r="B289" s="15" t="s">
        <v>12</v>
      </c>
      <c r="C289" s="15" t="s">
        <v>17</v>
      </c>
      <c r="D289" s="15" t="s">
        <v>62</v>
      </c>
      <c r="E289" s="15" t="s">
        <v>20</v>
      </c>
      <c r="F289" s="15" t="n">
        <v>0.12</v>
      </c>
      <c r="G289" s="15" t="s">
        <v>158</v>
      </c>
      <c r="H289" s="15"/>
      <c r="I289" s="15" t="s">
        <v>346</v>
      </c>
      <c r="J289" s="15" t="s">
        <v>211</v>
      </c>
      <c r="K289" s="15" t="s">
        <v>689</v>
      </c>
      <c r="L289" s="15"/>
      <c r="M289" s="15"/>
      <c r="N289" s="15"/>
      <c r="O289" s="15"/>
      <c r="P289" s="15" t="n">
        <v>5.817</v>
      </c>
      <c r="Q289" s="15" t="n">
        <v>5.817</v>
      </c>
      <c r="R289" s="15"/>
      <c r="S289" s="15" t="s">
        <v>459</v>
      </c>
      <c r="T289" s="15" t="n">
        <v>145</v>
      </c>
      <c r="U289" s="15"/>
      <c r="V289" s="15"/>
      <c r="W289" s="15"/>
      <c r="X289" s="15" t="s">
        <v>353</v>
      </c>
      <c r="Y289" s="15" t="n">
        <v>25</v>
      </c>
      <c r="Z289" s="15" t="s">
        <v>354</v>
      </c>
      <c r="AA289" s="15"/>
      <c r="AB289" s="15" t="n">
        <v>51</v>
      </c>
      <c r="AC289" s="15" t="n">
        <v>51</v>
      </c>
      <c r="AD289" s="15"/>
      <c r="AE289" s="15"/>
      <c r="AF289" s="15" t="s">
        <v>169</v>
      </c>
      <c r="AG289" s="15"/>
      <c r="AH289" s="24" t="n">
        <f aca="false">IF(R289="",AM289,R289)</f>
        <v>65</v>
      </c>
      <c r="AI289" s="24" t="n">
        <f aca="false">SUMIFS(Permissions!$G$2:$G$3000,Permissions!$B$2:$B$3000,$A289,Permissions!$I$2:$I$3000,"Complete",Permissions!$R$2:$R$3000,"Yes")</f>
        <v>51</v>
      </c>
      <c r="AJ289" s="24" t="n">
        <f aca="false">SUMIFS(Permissions!$G$2:$G$3000,Permissions!$B$2:$B$3000,$A289,Permissions!$I$2:$I$3000,"Under construction",Permissions!$R$2:$R$3000,"Yes")</f>
        <v>0</v>
      </c>
      <c r="AK289" s="24" t="n">
        <f aca="false">SUMIFS(Permissions!$G$2:$G$3000,Permissions!$B$2:$B$3000,$A289,Permissions!$I$2:$I$3000,"Permitted – not started",Permissions!$R$2:$R$3000,"Yes")</f>
        <v>14</v>
      </c>
      <c r="AL289" s="24" t="n">
        <f aca="false">SUMIFS(Permissions!$G$2:$G$3000,Permissions!$B$2:$B$3000,$A289,Permissions!$I$2:$I$3000,"Stalled",Permissions!$R$2:$R$3000,"Yes")</f>
        <v>0</v>
      </c>
      <c r="AM289" s="24" t="n">
        <f aca="false">AI289+AJ289+AK289+AL289</f>
        <v>65</v>
      </c>
      <c r="AN289" s="24" t="n">
        <f aca="false">SUMIFS(Permissions!$G$2:$G$3000,Permissions!$B$2:$B$3000,$A289,Permissions!$I$2:$I$3000,"Expired – not started",Permissions!$R$2:$R$3000,"Yes")</f>
        <v>0</v>
      </c>
      <c r="AO289" s="24" t="n">
        <f aca="false">SUMIFS(Permissions!$G$2:$G$3000,Permissions!$B$2:$B$3000,$A289,Permissions!$I$2:$I$3000,"In planning",Permissions!$R$2:$R$3000,"Yes")</f>
        <v>0</v>
      </c>
      <c r="AP289" s="24" t="n">
        <f aca="false">IF(R289="",0,MAX(R289-AM289,0))</f>
        <v>0</v>
      </c>
      <c r="AQ289" s="25" t="n">
        <f aca="false">AM289+AP289</f>
        <v>65</v>
      </c>
      <c r="AR289" s="24" t="n">
        <f aca="false">SUMIFS(Permissions!$L$2:$L$3000,Permissions!$B$2:$B$3000,$A289,Permissions!$R$2:$R$3000,"Yes",Permissions!$I$2:$I$3000,"&lt;&gt;Expired – not started",Permissions!$I$2:$I$3000,"&lt;&gt;In planning")</f>
        <v>51</v>
      </c>
      <c r="AS289" s="24" t="n">
        <f aca="false">AQ289-AR289</f>
        <v>14</v>
      </c>
      <c r="AT289" s="26" t="n">
        <f aca="false">SUMIFS(Permissions!$AJ$2:$AJ$3000,Permissions!$B$2:$B$3000,$A289,Permissions!$R$2:$R$3000,"Yes")</f>
        <v>0</v>
      </c>
      <c r="AU289" s="26" t="n">
        <f aca="false">SUMIFS(Permissions!$AK$2:$AK$3000,Permissions!$B$2:$B$3000,$A289,Permissions!$R$2:$R$3000,"Yes")</f>
        <v>0</v>
      </c>
      <c r="AV289" s="26" t="n">
        <f aca="false">SUMIFS(Permissions!$AL$2:$AL$3000,Permissions!$B$2:$B$3000,$A289,Permissions!$R$2:$R$3000,"Yes")</f>
        <v>8.2</v>
      </c>
      <c r="AW289" s="26" t="n">
        <f aca="false">SUMIFS(Permissions!$AM$2:$AM$3000,Permissions!$B$2:$B$3000,$A289,Permissions!$R$2:$R$3000,"Yes")</f>
        <v>5.8</v>
      </c>
      <c r="AX289" s="26" t="n">
        <f aca="false">SUMIFS(Permissions!$AN$2:$AN$3000,Permissions!$B$2:$B$3000,$A289,Permissions!$R$2:$R$3000,"Yes")</f>
        <v>0</v>
      </c>
      <c r="AY289" s="26" t="n">
        <f aca="false">SUMIFS(Permissions!$AO$2:$AO$3000,Permissions!$B$2:$B$3000,$A289,Permissions!$R$2:$R$3000,"Yes")</f>
        <v>0</v>
      </c>
      <c r="AZ289" s="24" t="n">
        <f aca="false">COUNTIFS(Permissions!$B$2:$B$3000,$A289,Permissions!$R$2:$R$3000,"Yes")</f>
        <v>2</v>
      </c>
      <c r="BA289" s="24" t="n">
        <f aca="false">SUMIFS(Permissions!$M$2:$M$3000,Permissions!$B$2:$B$3000,$A289,Permissions!$R$2:$R$3000,"Yes")</f>
        <v>51</v>
      </c>
      <c r="BB289" s="24" t="n">
        <f aca="false">SUMIFS(Permissions!$O$2:$O$3000,Permissions!$B$2:$B$3000,$A289,Permissions!$R$2:$R$3000,"Yes")</f>
        <v>0</v>
      </c>
      <c r="BC289" s="27" t="str">
        <f aca="false">IF(AND(AM289&gt;0,AR289&gt;=AM289,AP289=0),"Finished",IF(AR289&gt;0,"Partly built",IF(AM289&gt;0,"Consented – not built","No consent")))</f>
        <v>Partly built</v>
      </c>
      <c r="BD289" s="28" t="str">
        <f aca="false">IF(AND(R289&lt;&gt;"",AM289&gt;1.1*R289),"Consented above capacity",IF(AND(LEFT(B289,8)="Planning",AZ289=0),"Consent parcel with no permission",IF(COUNTIF($A$2:$A$3000,$A289)&gt;1,"Duplicate parcel_id","")))</f>
        <v/>
      </c>
    </row>
    <row r="290" customFormat="false" ht="15" hidden="false" customHeight="false" outlineLevel="0" collapsed="false">
      <c r="A290" s="15" t="s">
        <v>690</v>
      </c>
      <c r="B290" s="15" t="s">
        <v>12</v>
      </c>
      <c r="C290" s="15" t="s">
        <v>17</v>
      </c>
      <c r="D290" s="15" t="s">
        <v>70</v>
      </c>
      <c r="E290" s="15" t="s">
        <v>21</v>
      </c>
      <c r="F290" s="15" t="n">
        <v>1</v>
      </c>
      <c r="G290" s="15" t="s">
        <v>158</v>
      </c>
      <c r="H290" s="15"/>
      <c r="I290" s="15" t="s">
        <v>346</v>
      </c>
      <c r="J290" s="15" t="s">
        <v>347</v>
      </c>
      <c r="K290" s="15" t="s">
        <v>530</v>
      </c>
      <c r="L290" s="15"/>
      <c r="M290" s="15"/>
      <c r="N290" s="15"/>
      <c r="O290" s="15"/>
      <c r="P290" s="15" t="n">
        <v>0.318</v>
      </c>
      <c r="Q290" s="15" t="n">
        <v>0.318</v>
      </c>
      <c r="R290" s="15"/>
      <c r="S290" s="15" t="s">
        <v>459</v>
      </c>
      <c r="T290" s="15" t="n">
        <v>8</v>
      </c>
      <c r="U290" s="15"/>
      <c r="V290" s="15"/>
      <c r="W290" s="15"/>
      <c r="X290" s="15" t="s">
        <v>353</v>
      </c>
      <c r="Y290" s="15" t="n">
        <v>25</v>
      </c>
      <c r="Z290" s="15" t="s">
        <v>354</v>
      </c>
      <c r="AA290" s="15"/>
      <c r="AB290" s="15" t="n">
        <v>0</v>
      </c>
      <c r="AC290" s="15" t="n">
        <v>0</v>
      </c>
      <c r="AD290" s="15"/>
      <c r="AE290" s="15"/>
      <c r="AF290" s="15" t="s">
        <v>169</v>
      </c>
      <c r="AG290" s="15"/>
      <c r="AH290" s="24" t="n">
        <f aca="false">IF(R290="",AM290,R290)</f>
        <v>14</v>
      </c>
      <c r="AI290" s="24" t="n">
        <f aca="false">SUMIFS(Permissions!$G$2:$G$3000,Permissions!$B$2:$B$3000,$A290,Permissions!$I$2:$I$3000,"Complete",Permissions!$R$2:$R$3000,"Yes")</f>
        <v>0</v>
      </c>
      <c r="AJ290" s="24" t="n">
        <f aca="false">SUMIFS(Permissions!$G$2:$G$3000,Permissions!$B$2:$B$3000,$A290,Permissions!$I$2:$I$3000,"Under construction",Permissions!$R$2:$R$3000,"Yes")</f>
        <v>0</v>
      </c>
      <c r="AK290" s="24" t="n">
        <f aca="false">SUMIFS(Permissions!$G$2:$G$3000,Permissions!$B$2:$B$3000,$A290,Permissions!$I$2:$I$3000,"Permitted – not started",Permissions!$R$2:$R$3000,"Yes")</f>
        <v>14</v>
      </c>
      <c r="AL290" s="24" t="n">
        <f aca="false">SUMIFS(Permissions!$G$2:$G$3000,Permissions!$B$2:$B$3000,$A290,Permissions!$I$2:$I$3000,"Stalled",Permissions!$R$2:$R$3000,"Yes")</f>
        <v>0</v>
      </c>
      <c r="AM290" s="24" t="n">
        <f aca="false">AI290+AJ290+AK290+AL290</f>
        <v>14</v>
      </c>
      <c r="AN290" s="24" t="n">
        <f aca="false">SUMIFS(Permissions!$G$2:$G$3000,Permissions!$B$2:$B$3000,$A290,Permissions!$I$2:$I$3000,"Expired – not started",Permissions!$R$2:$R$3000,"Yes")</f>
        <v>0</v>
      </c>
      <c r="AO290" s="24" t="n">
        <f aca="false">SUMIFS(Permissions!$G$2:$G$3000,Permissions!$B$2:$B$3000,$A290,Permissions!$I$2:$I$3000,"In planning",Permissions!$R$2:$R$3000,"Yes")</f>
        <v>0</v>
      </c>
      <c r="AP290" s="24" t="n">
        <f aca="false">IF(R290="",0,MAX(R290-AM290,0))</f>
        <v>0</v>
      </c>
      <c r="AQ290" s="25" t="n">
        <f aca="false">AM290+AP290</f>
        <v>14</v>
      </c>
      <c r="AR290" s="24" t="n">
        <f aca="false">SUMIFS(Permissions!$L$2:$L$3000,Permissions!$B$2:$B$3000,$A290,Permissions!$R$2:$R$3000,"Yes",Permissions!$I$2:$I$3000,"&lt;&gt;Expired – not started",Permissions!$I$2:$I$3000,"&lt;&gt;In planning")</f>
        <v>0</v>
      </c>
      <c r="AS290" s="24" t="n">
        <f aca="false">AQ290-AR290</f>
        <v>14</v>
      </c>
      <c r="AT290" s="26" t="n">
        <f aca="false">SUMIFS(Permissions!$AJ$2:$AJ$3000,Permissions!$B$2:$B$3000,$A290,Permissions!$R$2:$R$3000,"Yes")</f>
        <v>0</v>
      </c>
      <c r="AU290" s="26" t="n">
        <f aca="false">SUMIFS(Permissions!$AK$2:$AK$3000,Permissions!$B$2:$B$3000,$A290,Permissions!$R$2:$R$3000,"Yes")</f>
        <v>0</v>
      </c>
      <c r="AV290" s="26" t="n">
        <f aca="false">SUMIFS(Permissions!$AL$2:$AL$3000,Permissions!$B$2:$B$3000,$A290,Permissions!$R$2:$R$3000,"Yes")</f>
        <v>8.2</v>
      </c>
      <c r="AW290" s="26" t="n">
        <f aca="false">SUMIFS(Permissions!$AM$2:$AM$3000,Permissions!$B$2:$B$3000,$A290,Permissions!$R$2:$R$3000,"Yes")</f>
        <v>5.8</v>
      </c>
      <c r="AX290" s="26" t="n">
        <f aca="false">SUMIFS(Permissions!$AN$2:$AN$3000,Permissions!$B$2:$B$3000,$A290,Permissions!$R$2:$R$3000,"Yes")</f>
        <v>0</v>
      </c>
      <c r="AY290" s="26" t="n">
        <f aca="false">SUMIFS(Permissions!$AO$2:$AO$3000,Permissions!$B$2:$B$3000,$A290,Permissions!$R$2:$R$3000,"Yes")</f>
        <v>0</v>
      </c>
      <c r="AZ290" s="24" t="n">
        <f aca="false">COUNTIFS(Permissions!$B$2:$B$3000,$A290,Permissions!$R$2:$R$3000,"Yes")</f>
        <v>1</v>
      </c>
      <c r="BA290" s="24" t="n">
        <f aca="false">SUMIFS(Permissions!$M$2:$M$3000,Permissions!$B$2:$B$3000,$A290,Permissions!$R$2:$R$3000,"Yes")</f>
        <v>0</v>
      </c>
      <c r="BB290" s="24" t="n">
        <f aca="false">SUMIFS(Permissions!$O$2:$O$3000,Permissions!$B$2:$B$3000,$A290,Permissions!$R$2:$R$3000,"Yes")</f>
        <v>0</v>
      </c>
      <c r="BC290" s="27" t="str">
        <f aca="false">IF(AND(AM290&gt;0,AR290&gt;=AM290,AP290=0),"Finished",IF(AR290&gt;0,"Partly built",IF(AM290&gt;0,"Consented – not built","No consent")))</f>
        <v>Consented – not built</v>
      </c>
      <c r="BD290" s="28" t="str">
        <f aca="false">IF(AND(R290&lt;&gt;"",AM290&gt;1.1*R290),"Consented above capacity",IF(AND(LEFT(B290,8)="Planning",AZ290=0),"Consent parcel with no permission",IF(COUNTIF($A$2:$A$3000,$A290)&gt;1,"Duplicate parcel_id","")))</f>
        <v/>
      </c>
    </row>
    <row r="291" customFormat="false" ht="15" hidden="false" customHeight="false" outlineLevel="0" collapsed="false">
      <c r="A291" s="15" t="s">
        <v>691</v>
      </c>
      <c r="B291" s="15" t="s">
        <v>12</v>
      </c>
      <c r="C291" s="15" t="s">
        <v>17</v>
      </c>
      <c r="D291" s="15" t="s">
        <v>74</v>
      </c>
      <c r="E291" s="15" t="s">
        <v>21</v>
      </c>
      <c r="F291" s="15" t="n">
        <v>1</v>
      </c>
      <c r="G291" s="15" t="s">
        <v>158</v>
      </c>
      <c r="H291" s="15"/>
      <c r="I291" s="15" t="s">
        <v>346</v>
      </c>
      <c r="J291" s="15" t="s">
        <v>159</v>
      </c>
      <c r="K291" s="15" t="s">
        <v>692</v>
      </c>
      <c r="L291" s="15"/>
      <c r="M291" s="15"/>
      <c r="N291" s="15"/>
      <c r="O291" s="15"/>
      <c r="P291" s="15" t="n">
        <v>0.361</v>
      </c>
      <c r="Q291" s="15" t="n">
        <v>0.361</v>
      </c>
      <c r="R291" s="15"/>
      <c r="S291" s="15" t="s">
        <v>459</v>
      </c>
      <c r="T291" s="15" t="n">
        <v>9</v>
      </c>
      <c r="U291" s="15"/>
      <c r="V291" s="15"/>
      <c r="W291" s="15"/>
      <c r="X291" s="15" t="s">
        <v>353</v>
      </c>
      <c r="Y291" s="15" t="n">
        <v>25</v>
      </c>
      <c r="Z291" s="15" t="s">
        <v>354</v>
      </c>
      <c r="AA291" s="15"/>
      <c r="AB291" s="15" t="n">
        <v>9</v>
      </c>
      <c r="AC291" s="15" t="n">
        <v>9</v>
      </c>
      <c r="AD291" s="15"/>
      <c r="AE291" s="15"/>
      <c r="AF291" s="15" t="s">
        <v>169</v>
      </c>
      <c r="AG291" s="15"/>
      <c r="AH291" s="24" t="n">
        <f aca="false">IF(R291="",AM291,R291)</f>
        <v>9</v>
      </c>
      <c r="AI291" s="24" t="n">
        <f aca="false">SUMIFS(Permissions!$G$2:$G$3000,Permissions!$B$2:$B$3000,$A291,Permissions!$I$2:$I$3000,"Complete",Permissions!$R$2:$R$3000,"Yes")</f>
        <v>0</v>
      </c>
      <c r="AJ291" s="24" t="n">
        <f aca="false">SUMIFS(Permissions!$G$2:$G$3000,Permissions!$B$2:$B$3000,$A291,Permissions!$I$2:$I$3000,"Under construction",Permissions!$R$2:$R$3000,"Yes")</f>
        <v>9</v>
      </c>
      <c r="AK291" s="24" t="n">
        <f aca="false">SUMIFS(Permissions!$G$2:$G$3000,Permissions!$B$2:$B$3000,$A291,Permissions!$I$2:$I$3000,"Permitted – not started",Permissions!$R$2:$R$3000,"Yes")</f>
        <v>0</v>
      </c>
      <c r="AL291" s="24" t="n">
        <f aca="false">SUMIFS(Permissions!$G$2:$G$3000,Permissions!$B$2:$B$3000,$A291,Permissions!$I$2:$I$3000,"Stalled",Permissions!$R$2:$R$3000,"Yes")</f>
        <v>0</v>
      </c>
      <c r="AM291" s="24" t="n">
        <f aca="false">AI291+AJ291+AK291+AL291</f>
        <v>9</v>
      </c>
      <c r="AN291" s="24" t="n">
        <f aca="false">SUMIFS(Permissions!$G$2:$G$3000,Permissions!$B$2:$B$3000,$A291,Permissions!$I$2:$I$3000,"Expired – not started",Permissions!$R$2:$R$3000,"Yes")</f>
        <v>0</v>
      </c>
      <c r="AO291" s="24" t="n">
        <f aca="false">SUMIFS(Permissions!$G$2:$G$3000,Permissions!$B$2:$B$3000,$A291,Permissions!$I$2:$I$3000,"In planning",Permissions!$R$2:$R$3000,"Yes")</f>
        <v>0</v>
      </c>
      <c r="AP291" s="24" t="n">
        <f aca="false">IF(R291="",0,MAX(R291-AM291,0))</f>
        <v>0</v>
      </c>
      <c r="AQ291" s="25" t="n">
        <f aca="false">AM291+AP291</f>
        <v>9</v>
      </c>
      <c r="AR291" s="24" t="n">
        <f aca="false">SUMIFS(Permissions!$L$2:$L$3000,Permissions!$B$2:$B$3000,$A291,Permissions!$R$2:$R$3000,"Yes",Permissions!$I$2:$I$3000,"&lt;&gt;Expired – not started",Permissions!$I$2:$I$3000,"&lt;&gt;In planning")</f>
        <v>8</v>
      </c>
      <c r="AS291" s="24" t="n">
        <f aca="false">AQ291-AR291</f>
        <v>1</v>
      </c>
      <c r="AT291" s="26" t="n">
        <f aca="false">SUMIFS(Permissions!$AJ$2:$AJ$3000,Permissions!$B$2:$B$3000,$A291,Permissions!$R$2:$R$3000,"Yes")</f>
        <v>2.1</v>
      </c>
      <c r="AU291" s="26" t="n">
        <f aca="false">SUMIFS(Permissions!$AK$2:$AK$3000,Permissions!$B$2:$B$3000,$A291,Permissions!$R$2:$R$3000,"Yes")</f>
        <v>6.9</v>
      </c>
      <c r="AV291" s="26" t="n">
        <f aca="false">SUMIFS(Permissions!$AL$2:$AL$3000,Permissions!$B$2:$B$3000,$A291,Permissions!$R$2:$R$3000,"Yes")</f>
        <v>0</v>
      </c>
      <c r="AW291" s="26" t="n">
        <f aca="false">SUMIFS(Permissions!$AM$2:$AM$3000,Permissions!$B$2:$B$3000,$A291,Permissions!$R$2:$R$3000,"Yes")</f>
        <v>0</v>
      </c>
      <c r="AX291" s="26" t="n">
        <f aca="false">SUMIFS(Permissions!$AN$2:$AN$3000,Permissions!$B$2:$B$3000,$A291,Permissions!$R$2:$R$3000,"Yes")</f>
        <v>0</v>
      </c>
      <c r="AY291" s="26" t="n">
        <f aca="false">SUMIFS(Permissions!$AO$2:$AO$3000,Permissions!$B$2:$B$3000,$A291,Permissions!$R$2:$R$3000,"Yes")</f>
        <v>0</v>
      </c>
      <c r="AZ291" s="24" t="n">
        <f aca="false">COUNTIFS(Permissions!$B$2:$B$3000,$A291,Permissions!$R$2:$R$3000,"Yes")</f>
        <v>1</v>
      </c>
      <c r="BA291" s="24" t="n">
        <f aca="false">SUMIFS(Permissions!$M$2:$M$3000,Permissions!$B$2:$B$3000,$A291,Permissions!$R$2:$R$3000,"Yes")</f>
        <v>8</v>
      </c>
      <c r="BB291" s="24" t="n">
        <f aca="false">SUMIFS(Permissions!$O$2:$O$3000,Permissions!$B$2:$B$3000,$A291,Permissions!$R$2:$R$3000,"Yes")</f>
        <v>8</v>
      </c>
      <c r="BC291" s="27" t="str">
        <f aca="false">IF(AND(AM291&gt;0,AR291&gt;=AM291,AP291=0),"Finished",IF(AR291&gt;0,"Partly built",IF(AM291&gt;0,"Consented – not built","No consent")))</f>
        <v>Partly built</v>
      </c>
      <c r="BD291" s="28" t="str">
        <f aca="false">IF(AND(R291&lt;&gt;"",AM291&gt;1.1*R291),"Consented above capacity",IF(AND(LEFT(B291,8)="Planning",AZ291=0),"Consent parcel with no permission",IF(COUNTIF($A$2:$A$3000,$A291)&gt;1,"Duplicate parcel_id","")))</f>
        <v/>
      </c>
    </row>
    <row r="292" customFormat="false" ht="15" hidden="false" customHeight="false" outlineLevel="0" collapsed="false">
      <c r="A292" s="15" t="s">
        <v>693</v>
      </c>
      <c r="B292" s="15" t="s">
        <v>12</v>
      </c>
      <c r="C292" s="15" t="s">
        <v>17</v>
      </c>
      <c r="D292" s="15" t="s">
        <v>22</v>
      </c>
      <c r="E292" s="15" t="s">
        <v>22</v>
      </c>
      <c r="F292" s="15"/>
      <c r="G292" s="15" t="s">
        <v>22</v>
      </c>
      <c r="H292" s="15"/>
      <c r="I292" s="15" t="s">
        <v>346</v>
      </c>
      <c r="J292" s="15" t="s">
        <v>347</v>
      </c>
      <c r="K292" s="15" t="s">
        <v>694</v>
      </c>
      <c r="L292" s="15"/>
      <c r="M292" s="15"/>
      <c r="N292" s="15"/>
      <c r="O292" s="15"/>
      <c r="P292" s="15" t="n">
        <v>1.683</v>
      </c>
      <c r="Q292" s="15" t="n">
        <v>1.683</v>
      </c>
      <c r="R292" s="15"/>
      <c r="S292" s="15" t="s">
        <v>459</v>
      </c>
      <c r="T292" s="15" t="n">
        <v>42</v>
      </c>
      <c r="U292" s="15"/>
      <c r="V292" s="15"/>
      <c r="W292" s="15"/>
      <c r="X292" s="15" t="s">
        <v>353</v>
      </c>
      <c r="Y292" s="15" t="n">
        <v>25</v>
      </c>
      <c r="Z292" s="15" t="s">
        <v>354</v>
      </c>
      <c r="AA292" s="15"/>
      <c r="AB292" s="15" t="n">
        <v>8</v>
      </c>
      <c r="AC292" s="15" t="n">
        <v>8</v>
      </c>
      <c r="AD292" s="15"/>
      <c r="AE292" s="15"/>
      <c r="AF292" s="15" t="s">
        <v>169</v>
      </c>
      <c r="AG292" s="15"/>
      <c r="AH292" s="24" t="n">
        <f aca="false">IF(R292="",AM292,R292)</f>
        <v>4</v>
      </c>
      <c r="AI292" s="24" t="n">
        <f aca="false">SUMIFS(Permissions!$G$2:$G$3000,Permissions!$B$2:$B$3000,$A292,Permissions!$I$2:$I$3000,"Complete",Permissions!$R$2:$R$3000,"Yes")</f>
        <v>4</v>
      </c>
      <c r="AJ292" s="24" t="n">
        <f aca="false">SUMIFS(Permissions!$G$2:$G$3000,Permissions!$B$2:$B$3000,$A292,Permissions!$I$2:$I$3000,"Under construction",Permissions!$R$2:$R$3000,"Yes")</f>
        <v>0</v>
      </c>
      <c r="AK292" s="24" t="n">
        <f aca="false">SUMIFS(Permissions!$G$2:$G$3000,Permissions!$B$2:$B$3000,$A292,Permissions!$I$2:$I$3000,"Permitted – not started",Permissions!$R$2:$R$3000,"Yes")</f>
        <v>0</v>
      </c>
      <c r="AL292" s="24" t="n">
        <f aca="false">SUMIFS(Permissions!$G$2:$G$3000,Permissions!$B$2:$B$3000,$A292,Permissions!$I$2:$I$3000,"Stalled",Permissions!$R$2:$R$3000,"Yes")</f>
        <v>0</v>
      </c>
      <c r="AM292" s="24" t="n">
        <f aca="false">AI292+AJ292+AK292+AL292</f>
        <v>4</v>
      </c>
      <c r="AN292" s="24" t="n">
        <f aca="false">SUMIFS(Permissions!$G$2:$G$3000,Permissions!$B$2:$B$3000,$A292,Permissions!$I$2:$I$3000,"Expired – not started",Permissions!$R$2:$R$3000,"Yes")</f>
        <v>0</v>
      </c>
      <c r="AO292" s="24" t="n">
        <f aca="false">SUMIFS(Permissions!$G$2:$G$3000,Permissions!$B$2:$B$3000,$A292,Permissions!$I$2:$I$3000,"In planning",Permissions!$R$2:$R$3000,"Yes")</f>
        <v>0</v>
      </c>
      <c r="AP292" s="24" t="n">
        <f aca="false">IF(R292="",0,MAX(R292-AM292,0))</f>
        <v>0</v>
      </c>
      <c r="AQ292" s="25" t="n">
        <f aca="false">AM292+AP292</f>
        <v>4</v>
      </c>
      <c r="AR292" s="24" t="n">
        <f aca="false">SUMIFS(Permissions!$L$2:$L$3000,Permissions!$B$2:$B$3000,$A292,Permissions!$R$2:$R$3000,"Yes",Permissions!$I$2:$I$3000,"&lt;&gt;Expired – not started",Permissions!$I$2:$I$3000,"&lt;&gt;In planning")</f>
        <v>4</v>
      </c>
      <c r="AS292" s="24" t="n">
        <f aca="false">AQ292-AR292</f>
        <v>0</v>
      </c>
      <c r="AT292" s="26" t="n">
        <f aca="false">SUMIFS(Permissions!$AJ$2:$AJ$3000,Permissions!$B$2:$B$3000,$A292,Permissions!$R$2:$R$3000,"Yes")</f>
        <v>0</v>
      </c>
      <c r="AU292" s="26" t="n">
        <f aca="false">SUMIFS(Permissions!$AK$2:$AK$3000,Permissions!$B$2:$B$3000,$A292,Permissions!$R$2:$R$3000,"Yes")</f>
        <v>0</v>
      </c>
      <c r="AV292" s="26" t="n">
        <f aca="false">SUMIFS(Permissions!$AL$2:$AL$3000,Permissions!$B$2:$B$3000,$A292,Permissions!$R$2:$R$3000,"Yes")</f>
        <v>0</v>
      </c>
      <c r="AW292" s="26" t="n">
        <f aca="false">SUMIFS(Permissions!$AM$2:$AM$3000,Permissions!$B$2:$B$3000,$A292,Permissions!$R$2:$R$3000,"Yes")</f>
        <v>0</v>
      </c>
      <c r="AX292" s="26" t="n">
        <f aca="false">SUMIFS(Permissions!$AN$2:$AN$3000,Permissions!$B$2:$B$3000,$A292,Permissions!$R$2:$R$3000,"Yes")</f>
        <v>0</v>
      </c>
      <c r="AY292" s="26" t="n">
        <f aca="false">SUMIFS(Permissions!$AO$2:$AO$3000,Permissions!$B$2:$B$3000,$A292,Permissions!$R$2:$R$3000,"Yes")</f>
        <v>0</v>
      </c>
      <c r="AZ292" s="24" t="n">
        <f aca="false">COUNTIFS(Permissions!$B$2:$B$3000,$A292,Permissions!$R$2:$R$3000,"Yes")</f>
        <v>1</v>
      </c>
      <c r="BA292" s="24" t="n">
        <f aca="false">SUMIFS(Permissions!$M$2:$M$3000,Permissions!$B$2:$B$3000,$A292,Permissions!$R$2:$R$3000,"Yes")</f>
        <v>4</v>
      </c>
      <c r="BB292" s="24" t="n">
        <f aca="false">SUMIFS(Permissions!$O$2:$O$3000,Permissions!$B$2:$B$3000,$A292,Permissions!$R$2:$R$3000,"Yes")</f>
        <v>0</v>
      </c>
      <c r="BC292" s="27" t="str">
        <f aca="false">IF(AND(AM292&gt;0,AR292&gt;=AM292,AP292=0),"Finished",IF(AR292&gt;0,"Partly built",IF(AM292&gt;0,"Consented – not built","No consent")))</f>
        <v>Finished</v>
      </c>
      <c r="BD292" s="28" t="str">
        <f aca="false">IF(AND(R292&lt;&gt;"",AM292&gt;1.1*R292),"Consented above capacity",IF(AND(LEFT(B292,8)="Planning",AZ292=0),"Consent parcel with no permission",IF(COUNTIF($A$2:$A$3000,$A292)&gt;1,"Duplicate parcel_id","")))</f>
        <v/>
      </c>
    </row>
    <row r="293" customFormat="false" ht="15" hidden="false" customHeight="false" outlineLevel="0" collapsed="false">
      <c r="A293" s="15" t="s">
        <v>695</v>
      </c>
      <c r="B293" s="15" t="s">
        <v>12</v>
      </c>
      <c r="C293" s="15" t="s">
        <v>17</v>
      </c>
      <c r="D293" s="15" t="s">
        <v>70</v>
      </c>
      <c r="E293" s="15" t="s">
        <v>21</v>
      </c>
      <c r="F293" s="15" t="n">
        <v>1</v>
      </c>
      <c r="G293" s="15" t="s">
        <v>158</v>
      </c>
      <c r="H293" s="15"/>
      <c r="I293" s="15" t="s">
        <v>346</v>
      </c>
      <c r="J293" s="15" t="s">
        <v>347</v>
      </c>
      <c r="K293" s="15" t="s">
        <v>696</v>
      </c>
      <c r="L293" s="15"/>
      <c r="M293" s="15"/>
      <c r="N293" s="15"/>
      <c r="O293" s="15"/>
      <c r="P293" s="15" t="n">
        <v>0.432</v>
      </c>
      <c r="Q293" s="15" t="n">
        <v>0.432</v>
      </c>
      <c r="R293" s="15"/>
      <c r="S293" s="15" t="s">
        <v>459</v>
      </c>
      <c r="T293" s="15" t="n">
        <v>11</v>
      </c>
      <c r="U293" s="15"/>
      <c r="V293" s="15"/>
      <c r="W293" s="15"/>
      <c r="X293" s="15" t="s">
        <v>353</v>
      </c>
      <c r="Y293" s="15" t="n">
        <v>25</v>
      </c>
      <c r="Z293" s="15" t="s">
        <v>354</v>
      </c>
      <c r="AA293" s="15"/>
      <c r="AB293" s="15" t="n">
        <v>16</v>
      </c>
      <c r="AC293" s="15" t="n">
        <v>16</v>
      </c>
      <c r="AD293" s="15"/>
      <c r="AE293" s="15"/>
      <c r="AF293" s="15" t="s">
        <v>169</v>
      </c>
      <c r="AG293" s="15"/>
      <c r="AH293" s="24" t="n">
        <f aca="false">IF(R293="",AM293,R293)</f>
        <v>16</v>
      </c>
      <c r="AI293" s="24" t="n">
        <f aca="false">SUMIFS(Permissions!$G$2:$G$3000,Permissions!$B$2:$B$3000,$A293,Permissions!$I$2:$I$3000,"Complete",Permissions!$R$2:$R$3000,"Yes")</f>
        <v>16</v>
      </c>
      <c r="AJ293" s="24" t="n">
        <f aca="false">SUMIFS(Permissions!$G$2:$G$3000,Permissions!$B$2:$B$3000,$A293,Permissions!$I$2:$I$3000,"Under construction",Permissions!$R$2:$R$3000,"Yes")</f>
        <v>0</v>
      </c>
      <c r="AK293" s="24" t="n">
        <f aca="false">SUMIFS(Permissions!$G$2:$G$3000,Permissions!$B$2:$B$3000,$A293,Permissions!$I$2:$I$3000,"Permitted – not started",Permissions!$R$2:$R$3000,"Yes")</f>
        <v>0</v>
      </c>
      <c r="AL293" s="24" t="n">
        <f aca="false">SUMIFS(Permissions!$G$2:$G$3000,Permissions!$B$2:$B$3000,$A293,Permissions!$I$2:$I$3000,"Stalled",Permissions!$R$2:$R$3000,"Yes")</f>
        <v>0</v>
      </c>
      <c r="AM293" s="24" t="n">
        <f aca="false">AI293+AJ293+AK293+AL293</f>
        <v>16</v>
      </c>
      <c r="AN293" s="24" t="n">
        <f aca="false">SUMIFS(Permissions!$G$2:$G$3000,Permissions!$B$2:$B$3000,$A293,Permissions!$I$2:$I$3000,"Expired – not started",Permissions!$R$2:$R$3000,"Yes")</f>
        <v>0</v>
      </c>
      <c r="AO293" s="24" t="n">
        <f aca="false">SUMIFS(Permissions!$G$2:$G$3000,Permissions!$B$2:$B$3000,$A293,Permissions!$I$2:$I$3000,"In planning",Permissions!$R$2:$R$3000,"Yes")</f>
        <v>0</v>
      </c>
      <c r="AP293" s="24" t="n">
        <f aca="false">IF(R293="",0,MAX(R293-AM293,0))</f>
        <v>0</v>
      </c>
      <c r="AQ293" s="25" t="n">
        <f aca="false">AM293+AP293</f>
        <v>16</v>
      </c>
      <c r="AR293" s="24" t="n">
        <f aca="false">SUMIFS(Permissions!$L$2:$L$3000,Permissions!$B$2:$B$3000,$A293,Permissions!$R$2:$R$3000,"Yes",Permissions!$I$2:$I$3000,"&lt;&gt;Expired – not started",Permissions!$I$2:$I$3000,"&lt;&gt;In planning")</f>
        <v>16</v>
      </c>
      <c r="AS293" s="24" t="n">
        <f aca="false">AQ293-AR293</f>
        <v>0</v>
      </c>
      <c r="AT293" s="26" t="n">
        <f aca="false">SUMIFS(Permissions!$AJ$2:$AJ$3000,Permissions!$B$2:$B$3000,$A293,Permissions!$R$2:$R$3000,"Yes")</f>
        <v>0</v>
      </c>
      <c r="AU293" s="26" t="n">
        <f aca="false">SUMIFS(Permissions!$AK$2:$AK$3000,Permissions!$B$2:$B$3000,$A293,Permissions!$R$2:$R$3000,"Yes")</f>
        <v>0</v>
      </c>
      <c r="AV293" s="26" t="n">
        <f aca="false">SUMIFS(Permissions!$AL$2:$AL$3000,Permissions!$B$2:$B$3000,$A293,Permissions!$R$2:$R$3000,"Yes")</f>
        <v>0</v>
      </c>
      <c r="AW293" s="26" t="n">
        <f aca="false">SUMIFS(Permissions!$AM$2:$AM$3000,Permissions!$B$2:$B$3000,$A293,Permissions!$R$2:$R$3000,"Yes")</f>
        <v>0</v>
      </c>
      <c r="AX293" s="26" t="n">
        <f aca="false">SUMIFS(Permissions!$AN$2:$AN$3000,Permissions!$B$2:$B$3000,$A293,Permissions!$R$2:$R$3000,"Yes")</f>
        <v>0</v>
      </c>
      <c r="AY293" s="26" t="n">
        <f aca="false">SUMIFS(Permissions!$AO$2:$AO$3000,Permissions!$B$2:$B$3000,$A293,Permissions!$R$2:$R$3000,"Yes")</f>
        <v>0</v>
      </c>
      <c r="AZ293" s="24" t="n">
        <f aca="false">COUNTIFS(Permissions!$B$2:$B$3000,$A293,Permissions!$R$2:$R$3000,"Yes")</f>
        <v>1</v>
      </c>
      <c r="BA293" s="24" t="n">
        <f aca="false">SUMIFS(Permissions!$M$2:$M$3000,Permissions!$B$2:$B$3000,$A293,Permissions!$R$2:$R$3000,"Yes")</f>
        <v>16</v>
      </c>
      <c r="BB293" s="24" t="n">
        <f aca="false">SUMIFS(Permissions!$O$2:$O$3000,Permissions!$B$2:$B$3000,$A293,Permissions!$R$2:$R$3000,"Yes")</f>
        <v>0</v>
      </c>
      <c r="BC293" s="27" t="str">
        <f aca="false">IF(AND(AM293&gt;0,AR293&gt;=AM293,AP293=0),"Finished",IF(AR293&gt;0,"Partly built",IF(AM293&gt;0,"Consented – not built","No consent")))</f>
        <v>Finished</v>
      </c>
      <c r="BD293" s="28" t="str">
        <f aca="false">IF(AND(R293&lt;&gt;"",AM293&gt;1.1*R293),"Consented above capacity",IF(AND(LEFT(B293,8)="Planning",AZ293=0),"Consent parcel with no permission",IF(COUNTIF($A$2:$A$3000,$A293)&gt;1,"Duplicate parcel_id","")))</f>
        <v/>
      </c>
    </row>
    <row r="294" customFormat="false" ht="15" hidden="false" customHeight="false" outlineLevel="0" collapsed="false">
      <c r="A294" s="15" t="s">
        <v>697</v>
      </c>
      <c r="B294" s="15" t="s">
        <v>12</v>
      </c>
      <c r="C294" s="15" t="s">
        <v>17</v>
      </c>
      <c r="D294" s="15" t="s">
        <v>22</v>
      </c>
      <c r="E294" s="15" t="s">
        <v>22</v>
      </c>
      <c r="F294" s="15"/>
      <c r="G294" s="15" t="s">
        <v>22</v>
      </c>
      <c r="H294" s="15"/>
      <c r="I294" s="15" t="s">
        <v>346</v>
      </c>
      <c r="J294" s="15" t="s">
        <v>363</v>
      </c>
      <c r="K294" s="15" t="s">
        <v>478</v>
      </c>
      <c r="L294" s="15"/>
      <c r="M294" s="15"/>
      <c r="N294" s="15"/>
      <c r="O294" s="15"/>
      <c r="P294" s="15" t="n">
        <v>1.004</v>
      </c>
      <c r="Q294" s="15" t="n">
        <v>1.004</v>
      </c>
      <c r="R294" s="15"/>
      <c r="S294" s="15" t="s">
        <v>459</v>
      </c>
      <c r="T294" s="15" t="n">
        <v>25</v>
      </c>
      <c r="U294" s="15"/>
      <c r="V294" s="15"/>
      <c r="W294" s="15"/>
      <c r="X294" s="15" t="s">
        <v>353</v>
      </c>
      <c r="Y294" s="15" t="n">
        <v>25</v>
      </c>
      <c r="Z294" s="15" t="s">
        <v>354</v>
      </c>
      <c r="AA294" s="15"/>
      <c r="AB294" s="15" t="n">
        <v>17</v>
      </c>
      <c r="AC294" s="15" t="n">
        <v>17</v>
      </c>
      <c r="AD294" s="15"/>
      <c r="AE294" s="15"/>
      <c r="AF294" s="15" t="s">
        <v>169</v>
      </c>
      <c r="AG294" s="15"/>
      <c r="AH294" s="24" t="n">
        <f aca="false">IF(R294="",AM294,R294)</f>
        <v>17</v>
      </c>
      <c r="AI294" s="24" t="n">
        <f aca="false">SUMIFS(Permissions!$G$2:$G$3000,Permissions!$B$2:$B$3000,$A294,Permissions!$I$2:$I$3000,"Complete",Permissions!$R$2:$R$3000,"Yes")</f>
        <v>17</v>
      </c>
      <c r="AJ294" s="24" t="n">
        <f aca="false">SUMIFS(Permissions!$G$2:$G$3000,Permissions!$B$2:$B$3000,$A294,Permissions!$I$2:$I$3000,"Under construction",Permissions!$R$2:$R$3000,"Yes")</f>
        <v>0</v>
      </c>
      <c r="AK294" s="24" t="n">
        <f aca="false">SUMIFS(Permissions!$G$2:$G$3000,Permissions!$B$2:$B$3000,$A294,Permissions!$I$2:$I$3000,"Permitted – not started",Permissions!$R$2:$R$3000,"Yes")</f>
        <v>0</v>
      </c>
      <c r="AL294" s="24" t="n">
        <f aca="false">SUMIFS(Permissions!$G$2:$G$3000,Permissions!$B$2:$B$3000,$A294,Permissions!$I$2:$I$3000,"Stalled",Permissions!$R$2:$R$3000,"Yes")</f>
        <v>0</v>
      </c>
      <c r="AM294" s="24" t="n">
        <f aca="false">AI294+AJ294+AK294+AL294</f>
        <v>17</v>
      </c>
      <c r="AN294" s="24" t="n">
        <f aca="false">SUMIFS(Permissions!$G$2:$G$3000,Permissions!$B$2:$B$3000,$A294,Permissions!$I$2:$I$3000,"Expired – not started",Permissions!$R$2:$R$3000,"Yes")</f>
        <v>0</v>
      </c>
      <c r="AO294" s="24" t="n">
        <f aca="false">SUMIFS(Permissions!$G$2:$G$3000,Permissions!$B$2:$B$3000,$A294,Permissions!$I$2:$I$3000,"In planning",Permissions!$R$2:$R$3000,"Yes")</f>
        <v>0</v>
      </c>
      <c r="AP294" s="24" t="n">
        <f aca="false">IF(R294="",0,MAX(R294-AM294,0))</f>
        <v>0</v>
      </c>
      <c r="AQ294" s="25" t="n">
        <f aca="false">AM294+AP294</f>
        <v>17</v>
      </c>
      <c r="AR294" s="24" t="n">
        <f aca="false">SUMIFS(Permissions!$L$2:$L$3000,Permissions!$B$2:$B$3000,$A294,Permissions!$R$2:$R$3000,"Yes",Permissions!$I$2:$I$3000,"&lt;&gt;Expired – not started",Permissions!$I$2:$I$3000,"&lt;&gt;In planning")</f>
        <v>17</v>
      </c>
      <c r="AS294" s="24" t="n">
        <f aca="false">AQ294-AR294</f>
        <v>0</v>
      </c>
      <c r="AT294" s="26" t="n">
        <f aca="false">SUMIFS(Permissions!$AJ$2:$AJ$3000,Permissions!$B$2:$B$3000,$A294,Permissions!$R$2:$R$3000,"Yes")</f>
        <v>0</v>
      </c>
      <c r="AU294" s="26" t="n">
        <f aca="false">SUMIFS(Permissions!$AK$2:$AK$3000,Permissions!$B$2:$B$3000,$A294,Permissions!$R$2:$R$3000,"Yes")</f>
        <v>0</v>
      </c>
      <c r="AV294" s="26" t="n">
        <f aca="false">SUMIFS(Permissions!$AL$2:$AL$3000,Permissions!$B$2:$B$3000,$A294,Permissions!$R$2:$R$3000,"Yes")</f>
        <v>0</v>
      </c>
      <c r="AW294" s="26" t="n">
        <f aca="false">SUMIFS(Permissions!$AM$2:$AM$3000,Permissions!$B$2:$B$3000,$A294,Permissions!$R$2:$R$3000,"Yes")</f>
        <v>0</v>
      </c>
      <c r="AX294" s="26" t="n">
        <f aca="false">SUMIFS(Permissions!$AN$2:$AN$3000,Permissions!$B$2:$B$3000,$A294,Permissions!$R$2:$R$3000,"Yes")</f>
        <v>0</v>
      </c>
      <c r="AY294" s="26" t="n">
        <f aca="false">SUMIFS(Permissions!$AO$2:$AO$3000,Permissions!$B$2:$B$3000,$A294,Permissions!$R$2:$R$3000,"Yes")</f>
        <v>0</v>
      </c>
      <c r="AZ294" s="24" t="n">
        <f aca="false">COUNTIFS(Permissions!$B$2:$B$3000,$A294,Permissions!$R$2:$R$3000,"Yes")</f>
        <v>2</v>
      </c>
      <c r="BA294" s="24" t="n">
        <f aca="false">SUMIFS(Permissions!$M$2:$M$3000,Permissions!$B$2:$B$3000,$A294,Permissions!$R$2:$R$3000,"Yes")</f>
        <v>17</v>
      </c>
      <c r="BB294" s="24" t="n">
        <f aca="false">SUMIFS(Permissions!$O$2:$O$3000,Permissions!$B$2:$B$3000,$A294,Permissions!$R$2:$R$3000,"Yes")</f>
        <v>0</v>
      </c>
      <c r="BC294" s="27" t="str">
        <f aca="false">IF(AND(AM294&gt;0,AR294&gt;=AM294,AP294=0),"Finished",IF(AR294&gt;0,"Partly built",IF(AM294&gt;0,"Consented – not built","No consent")))</f>
        <v>Finished</v>
      </c>
      <c r="BD294" s="28" t="str">
        <f aca="false">IF(AND(R294&lt;&gt;"",AM294&gt;1.1*R294),"Consented above capacity",IF(AND(LEFT(B294,8)="Planning",AZ294=0),"Consent parcel with no permission",IF(COUNTIF($A$2:$A$3000,$A294)&gt;1,"Duplicate parcel_id","")))</f>
        <v/>
      </c>
    </row>
    <row r="295" customFormat="false" ht="15" hidden="false" customHeight="false" outlineLevel="0" collapsed="false">
      <c r="A295" s="15" t="s">
        <v>698</v>
      </c>
      <c r="B295" s="15" t="s">
        <v>12</v>
      </c>
      <c r="C295" s="15" t="s">
        <v>17</v>
      </c>
      <c r="D295" s="15" t="s">
        <v>22</v>
      </c>
      <c r="E295" s="15" t="s">
        <v>22</v>
      </c>
      <c r="F295" s="15"/>
      <c r="G295" s="15" t="s">
        <v>22</v>
      </c>
      <c r="H295" s="15"/>
      <c r="I295" s="15" t="s">
        <v>346</v>
      </c>
      <c r="J295" s="15" t="s">
        <v>211</v>
      </c>
      <c r="K295" s="15" t="s">
        <v>699</v>
      </c>
      <c r="L295" s="15"/>
      <c r="M295" s="15"/>
      <c r="N295" s="15"/>
      <c r="O295" s="15"/>
      <c r="P295" s="15" t="n">
        <v>0.861</v>
      </c>
      <c r="Q295" s="15" t="n">
        <v>0.861</v>
      </c>
      <c r="R295" s="15"/>
      <c r="S295" s="15" t="s">
        <v>459</v>
      </c>
      <c r="T295" s="15" t="n">
        <v>22</v>
      </c>
      <c r="U295" s="15"/>
      <c r="V295" s="15"/>
      <c r="W295" s="15"/>
      <c r="X295" s="15" t="s">
        <v>353</v>
      </c>
      <c r="Y295" s="15" t="n">
        <v>25</v>
      </c>
      <c r="Z295" s="15" t="s">
        <v>354</v>
      </c>
      <c r="AA295" s="15"/>
      <c r="AB295" s="15" t="n">
        <v>0</v>
      </c>
      <c r="AC295" s="15" t="n">
        <v>0</v>
      </c>
      <c r="AD295" s="15"/>
      <c r="AE295" s="15"/>
      <c r="AF295" s="15" t="s">
        <v>169</v>
      </c>
      <c r="AG295" s="15"/>
      <c r="AH295" s="24" t="n">
        <f aca="false">IF(R295="",AM295,R295)</f>
        <v>12</v>
      </c>
      <c r="AI295" s="24" t="n">
        <f aca="false">SUMIFS(Permissions!$G$2:$G$3000,Permissions!$B$2:$B$3000,$A295,Permissions!$I$2:$I$3000,"Complete",Permissions!$R$2:$R$3000,"Yes")</f>
        <v>0</v>
      </c>
      <c r="AJ295" s="24" t="n">
        <f aca="false">SUMIFS(Permissions!$G$2:$G$3000,Permissions!$B$2:$B$3000,$A295,Permissions!$I$2:$I$3000,"Under construction",Permissions!$R$2:$R$3000,"Yes")</f>
        <v>0</v>
      </c>
      <c r="AK295" s="24" t="n">
        <f aca="false">SUMIFS(Permissions!$G$2:$G$3000,Permissions!$B$2:$B$3000,$A295,Permissions!$I$2:$I$3000,"Permitted – not started",Permissions!$R$2:$R$3000,"Yes")</f>
        <v>12</v>
      </c>
      <c r="AL295" s="24" t="n">
        <f aca="false">SUMIFS(Permissions!$G$2:$G$3000,Permissions!$B$2:$B$3000,$A295,Permissions!$I$2:$I$3000,"Stalled",Permissions!$R$2:$R$3000,"Yes")</f>
        <v>0</v>
      </c>
      <c r="AM295" s="24" t="n">
        <f aca="false">AI295+AJ295+AK295+AL295</f>
        <v>12</v>
      </c>
      <c r="AN295" s="24" t="n">
        <f aca="false">SUMIFS(Permissions!$G$2:$G$3000,Permissions!$B$2:$B$3000,$A295,Permissions!$I$2:$I$3000,"Expired – not started",Permissions!$R$2:$R$3000,"Yes")</f>
        <v>0</v>
      </c>
      <c r="AO295" s="24" t="n">
        <f aca="false">SUMIFS(Permissions!$G$2:$G$3000,Permissions!$B$2:$B$3000,$A295,Permissions!$I$2:$I$3000,"In planning",Permissions!$R$2:$R$3000,"Yes")</f>
        <v>0</v>
      </c>
      <c r="AP295" s="24" t="n">
        <f aca="false">IF(R295="",0,MAX(R295-AM295,0))</f>
        <v>0</v>
      </c>
      <c r="AQ295" s="25" t="n">
        <f aca="false">AM295+AP295</f>
        <v>12</v>
      </c>
      <c r="AR295" s="24" t="n">
        <f aca="false">SUMIFS(Permissions!$L$2:$L$3000,Permissions!$B$2:$B$3000,$A295,Permissions!$R$2:$R$3000,"Yes",Permissions!$I$2:$I$3000,"&lt;&gt;Expired – not started",Permissions!$I$2:$I$3000,"&lt;&gt;In planning")</f>
        <v>0</v>
      </c>
      <c r="AS295" s="24" t="n">
        <f aca="false">AQ295-AR295</f>
        <v>12</v>
      </c>
      <c r="AT295" s="26" t="n">
        <f aca="false">SUMIFS(Permissions!$AJ$2:$AJ$3000,Permissions!$B$2:$B$3000,$A295,Permissions!$R$2:$R$3000,"Yes")</f>
        <v>0</v>
      </c>
      <c r="AU295" s="26" t="n">
        <f aca="false">SUMIFS(Permissions!$AK$2:$AK$3000,Permissions!$B$2:$B$3000,$A295,Permissions!$R$2:$R$3000,"Yes")</f>
        <v>0</v>
      </c>
      <c r="AV295" s="26" t="n">
        <f aca="false">SUMIFS(Permissions!$AL$2:$AL$3000,Permissions!$B$2:$B$3000,$A295,Permissions!$R$2:$R$3000,"Yes")</f>
        <v>7</v>
      </c>
      <c r="AW295" s="26" t="n">
        <f aca="false">SUMIFS(Permissions!$AM$2:$AM$3000,Permissions!$B$2:$B$3000,$A295,Permissions!$R$2:$R$3000,"Yes")</f>
        <v>5</v>
      </c>
      <c r="AX295" s="26" t="n">
        <f aca="false">SUMIFS(Permissions!$AN$2:$AN$3000,Permissions!$B$2:$B$3000,$A295,Permissions!$R$2:$R$3000,"Yes")</f>
        <v>0</v>
      </c>
      <c r="AY295" s="26" t="n">
        <f aca="false">SUMIFS(Permissions!$AO$2:$AO$3000,Permissions!$B$2:$B$3000,$A295,Permissions!$R$2:$R$3000,"Yes")</f>
        <v>0</v>
      </c>
      <c r="AZ295" s="24" t="n">
        <f aca="false">COUNTIFS(Permissions!$B$2:$B$3000,$A295,Permissions!$R$2:$R$3000,"Yes")</f>
        <v>1</v>
      </c>
      <c r="BA295" s="24" t="n">
        <f aca="false">SUMIFS(Permissions!$M$2:$M$3000,Permissions!$B$2:$B$3000,$A295,Permissions!$R$2:$R$3000,"Yes")</f>
        <v>0</v>
      </c>
      <c r="BB295" s="24" t="n">
        <f aca="false">SUMIFS(Permissions!$O$2:$O$3000,Permissions!$B$2:$B$3000,$A295,Permissions!$R$2:$R$3000,"Yes")</f>
        <v>0</v>
      </c>
      <c r="BC295" s="27" t="str">
        <f aca="false">IF(AND(AM295&gt;0,AR295&gt;=AM295,AP295=0),"Finished",IF(AR295&gt;0,"Partly built",IF(AM295&gt;0,"Consented – not built","No consent")))</f>
        <v>Consented – not built</v>
      </c>
      <c r="BD295" s="28" t="str">
        <f aca="false">IF(AND(R295&lt;&gt;"",AM295&gt;1.1*R295),"Consented above capacity",IF(AND(LEFT(B295,8)="Planning",AZ295=0),"Consent parcel with no permission",IF(COUNTIF($A$2:$A$3000,$A295)&gt;1,"Duplicate parcel_id","")))</f>
        <v/>
      </c>
    </row>
    <row r="296" customFormat="false" ht="15" hidden="false" customHeight="false" outlineLevel="0" collapsed="false">
      <c r="A296" s="15" t="s">
        <v>700</v>
      </c>
      <c r="B296" s="15" t="s">
        <v>12</v>
      </c>
      <c r="C296" s="15" t="s">
        <v>17</v>
      </c>
      <c r="D296" s="15" t="s">
        <v>67</v>
      </c>
      <c r="E296" s="15" t="s">
        <v>21</v>
      </c>
      <c r="F296" s="15" t="n">
        <v>0.43</v>
      </c>
      <c r="G296" s="15" t="s">
        <v>158</v>
      </c>
      <c r="H296" s="15"/>
      <c r="I296" s="15" t="s">
        <v>346</v>
      </c>
      <c r="J296" s="15" t="s">
        <v>347</v>
      </c>
      <c r="K296" s="15" t="s">
        <v>701</v>
      </c>
      <c r="L296" s="15"/>
      <c r="M296" s="15"/>
      <c r="N296" s="15"/>
      <c r="O296" s="15"/>
      <c r="P296" s="15" t="n">
        <v>2.18</v>
      </c>
      <c r="Q296" s="15" t="n">
        <v>2.18</v>
      </c>
      <c r="R296" s="15"/>
      <c r="S296" s="15" t="s">
        <v>459</v>
      </c>
      <c r="T296" s="15" t="n">
        <v>55</v>
      </c>
      <c r="U296" s="15"/>
      <c r="V296" s="15"/>
      <c r="W296" s="15"/>
      <c r="X296" s="15" t="s">
        <v>353</v>
      </c>
      <c r="Y296" s="15" t="n">
        <v>25</v>
      </c>
      <c r="Z296" s="15" t="s">
        <v>354</v>
      </c>
      <c r="AA296" s="15"/>
      <c r="AB296" s="15" t="n">
        <v>0</v>
      </c>
      <c r="AC296" s="15" t="n">
        <v>0</v>
      </c>
      <c r="AD296" s="15"/>
      <c r="AE296" s="15"/>
      <c r="AF296" s="15" t="s">
        <v>169</v>
      </c>
      <c r="AG296" s="15"/>
      <c r="AH296" s="24" t="n">
        <f aca="false">IF(R296="",AM296,R296)</f>
        <v>31</v>
      </c>
      <c r="AI296" s="24" t="n">
        <f aca="false">SUMIFS(Permissions!$G$2:$G$3000,Permissions!$B$2:$B$3000,$A296,Permissions!$I$2:$I$3000,"Complete",Permissions!$R$2:$R$3000,"Yes")</f>
        <v>0</v>
      </c>
      <c r="AJ296" s="24" t="n">
        <f aca="false">SUMIFS(Permissions!$G$2:$G$3000,Permissions!$B$2:$B$3000,$A296,Permissions!$I$2:$I$3000,"Under construction",Permissions!$R$2:$R$3000,"Yes")</f>
        <v>0</v>
      </c>
      <c r="AK296" s="24" t="n">
        <f aca="false">SUMIFS(Permissions!$G$2:$G$3000,Permissions!$B$2:$B$3000,$A296,Permissions!$I$2:$I$3000,"Permitted – not started",Permissions!$R$2:$R$3000,"Yes")</f>
        <v>31</v>
      </c>
      <c r="AL296" s="24" t="n">
        <f aca="false">SUMIFS(Permissions!$G$2:$G$3000,Permissions!$B$2:$B$3000,$A296,Permissions!$I$2:$I$3000,"Stalled",Permissions!$R$2:$R$3000,"Yes")</f>
        <v>0</v>
      </c>
      <c r="AM296" s="24" t="n">
        <f aca="false">AI296+AJ296+AK296+AL296</f>
        <v>31</v>
      </c>
      <c r="AN296" s="24" t="n">
        <f aca="false">SUMIFS(Permissions!$G$2:$G$3000,Permissions!$B$2:$B$3000,$A296,Permissions!$I$2:$I$3000,"Expired – not started",Permissions!$R$2:$R$3000,"Yes")</f>
        <v>0</v>
      </c>
      <c r="AO296" s="24" t="n">
        <f aca="false">SUMIFS(Permissions!$G$2:$G$3000,Permissions!$B$2:$B$3000,$A296,Permissions!$I$2:$I$3000,"In planning",Permissions!$R$2:$R$3000,"Yes")</f>
        <v>0</v>
      </c>
      <c r="AP296" s="24" t="n">
        <f aca="false">IF(R296="",0,MAX(R296-AM296,0))</f>
        <v>0</v>
      </c>
      <c r="AQ296" s="25" t="n">
        <f aca="false">AM296+AP296</f>
        <v>31</v>
      </c>
      <c r="AR296" s="24" t="n">
        <f aca="false">SUMIFS(Permissions!$L$2:$L$3000,Permissions!$B$2:$B$3000,$A296,Permissions!$R$2:$R$3000,"Yes",Permissions!$I$2:$I$3000,"&lt;&gt;Expired – not started",Permissions!$I$2:$I$3000,"&lt;&gt;In planning")</f>
        <v>2</v>
      </c>
      <c r="AS296" s="24" t="n">
        <f aca="false">AQ296-AR296</f>
        <v>29</v>
      </c>
      <c r="AT296" s="26" t="n">
        <f aca="false">SUMIFS(Permissions!$AJ$2:$AJ$3000,Permissions!$B$2:$B$3000,$A296,Permissions!$R$2:$R$3000,"Yes")</f>
        <v>0</v>
      </c>
      <c r="AU296" s="26" t="n">
        <f aca="false">SUMIFS(Permissions!$AK$2:$AK$3000,Permissions!$B$2:$B$3000,$A296,Permissions!$R$2:$R$3000,"Yes")</f>
        <v>0</v>
      </c>
      <c r="AV296" s="26" t="n">
        <f aca="false">SUMIFS(Permissions!$AL$2:$AL$3000,Permissions!$B$2:$B$3000,$A296,Permissions!$R$2:$R$3000,"Yes")</f>
        <v>23.6</v>
      </c>
      <c r="AW296" s="26" t="n">
        <f aca="false">SUMIFS(Permissions!$AM$2:$AM$3000,Permissions!$B$2:$B$3000,$A296,Permissions!$R$2:$R$3000,"Yes")</f>
        <v>7.4</v>
      </c>
      <c r="AX296" s="26" t="n">
        <f aca="false">SUMIFS(Permissions!$AN$2:$AN$3000,Permissions!$B$2:$B$3000,$A296,Permissions!$R$2:$R$3000,"Yes")</f>
        <v>0</v>
      </c>
      <c r="AY296" s="26" t="n">
        <f aca="false">SUMIFS(Permissions!$AO$2:$AO$3000,Permissions!$B$2:$B$3000,$A296,Permissions!$R$2:$R$3000,"Yes")</f>
        <v>0</v>
      </c>
      <c r="AZ296" s="24" t="n">
        <f aca="false">COUNTIFS(Permissions!$B$2:$B$3000,$A296,Permissions!$R$2:$R$3000,"Yes")</f>
        <v>1</v>
      </c>
      <c r="BA296" s="24" t="n">
        <f aca="false">SUMIFS(Permissions!$M$2:$M$3000,Permissions!$B$2:$B$3000,$A296,Permissions!$R$2:$R$3000,"Yes")</f>
        <v>2</v>
      </c>
      <c r="BB296" s="24" t="n">
        <f aca="false">SUMIFS(Permissions!$O$2:$O$3000,Permissions!$B$2:$B$3000,$A296,Permissions!$R$2:$R$3000,"Yes")</f>
        <v>0</v>
      </c>
      <c r="BC296" s="27" t="str">
        <f aca="false">IF(AND(AM296&gt;0,AR296&gt;=AM296,AP296=0),"Finished",IF(AR296&gt;0,"Partly built",IF(AM296&gt;0,"Consented – not built","No consent")))</f>
        <v>Partly built</v>
      </c>
      <c r="BD296" s="28" t="str">
        <f aca="false">IF(AND(R296&lt;&gt;"",AM296&gt;1.1*R296),"Consented above capacity",IF(AND(LEFT(B296,8)="Planning",AZ296=0),"Consent parcel with no permission",IF(COUNTIF($A$2:$A$3000,$A296)&gt;1,"Duplicate parcel_id","")))</f>
        <v/>
      </c>
    </row>
    <row r="297" customFormat="false" ht="15" hidden="false" customHeight="false" outlineLevel="0" collapsed="false">
      <c r="A297" s="15" t="s">
        <v>702</v>
      </c>
      <c r="B297" s="15" t="s">
        <v>12</v>
      </c>
      <c r="C297" s="15" t="s">
        <v>17</v>
      </c>
      <c r="D297" s="15" t="s">
        <v>69</v>
      </c>
      <c r="E297" s="15" t="s">
        <v>21</v>
      </c>
      <c r="F297" s="15" t="n">
        <v>1</v>
      </c>
      <c r="G297" s="15" t="s">
        <v>158</v>
      </c>
      <c r="H297" s="15"/>
      <c r="I297" s="15" t="s">
        <v>346</v>
      </c>
      <c r="J297" s="15" t="s">
        <v>363</v>
      </c>
      <c r="K297" s="15" t="s">
        <v>703</v>
      </c>
      <c r="L297" s="15"/>
      <c r="M297" s="15"/>
      <c r="N297" s="15"/>
      <c r="O297" s="15"/>
      <c r="P297" s="15" t="n">
        <v>0.253</v>
      </c>
      <c r="Q297" s="15" t="n">
        <v>0.253</v>
      </c>
      <c r="R297" s="15"/>
      <c r="S297" s="15" t="s">
        <v>459</v>
      </c>
      <c r="T297" s="15" t="n">
        <v>6</v>
      </c>
      <c r="U297" s="15"/>
      <c r="V297" s="15"/>
      <c r="W297" s="15"/>
      <c r="X297" s="15" t="s">
        <v>353</v>
      </c>
      <c r="Y297" s="15" t="n">
        <v>25</v>
      </c>
      <c r="Z297" s="15" t="s">
        <v>354</v>
      </c>
      <c r="AA297" s="15"/>
      <c r="AB297" s="15" t="n">
        <v>10</v>
      </c>
      <c r="AC297" s="15" t="n">
        <v>10</v>
      </c>
      <c r="AD297" s="15"/>
      <c r="AE297" s="15"/>
      <c r="AF297" s="15" t="s">
        <v>169</v>
      </c>
      <c r="AG297" s="15"/>
      <c r="AH297" s="24" t="n">
        <f aca="false">IF(R297="",AM297,R297)</f>
        <v>10</v>
      </c>
      <c r="AI297" s="24" t="n">
        <f aca="false">SUMIFS(Permissions!$G$2:$G$3000,Permissions!$B$2:$B$3000,$A297,Permissions!$I$2:$I$3000,"Complete",Permissions!$R$2:$R$3000,"Yes")</f>
        <v>10</v>
      </c>
      <c r="AJ297" s="24" t="n">
        <f aca="false">SUMIFS(Permissions!$G$2:$G$3000,Permissions!$B$2:$B$3000,$A297,Permissions!$I$2:$I$3000,"Under construction",Permissions!$R$2:$R$3000,"Yes")</f>
        <v>0</v>
      </c>
      <c r="AK297" s="24" t="n">
        <f aca="false">SUMIFS(Permissions!$G$2:$G$3000,Permissions!$B$2:$B$3000,$A297,Permissions!$I$2:$I$3000,"Permitted – not started",Permissions!$R$2:$R$3000,"Yes")</f>
        <v>0</v>
      </c>
      <c r="AL297" s="24" t="n">
        <f aca="false">SUMIFS(Permissions!$G$2:$G$3000,Permissions!$B$2:$B$3000,$A297,Permissions!$I$2:$I$3000,"Stalled",Permissions!$R$2:$R$3000,"Yes")</f>
        <v>0</v>
      </c>
      <c r="AM297" s="24" t="n">
        <f aca="false">AI297+AJ297+AK297+AL297</f>
        <v>10</v>
      </c>
      <c r="AN297" s="24" t="n">
        <f aca="false">SUMIFS(Permissions!$G$2:$G$3000,Permissions!$B$2:$B$3000,$A297,Permissions!$I$2:$I$3000,"Expired – not started",Permissions!$R$2:$R$3000,"Yes")</f>
        <v>0</v>
      </c>
      <c r="AO297" s="24" t="n">
        <f aca="false">SUMIFS(Permissions!$G$2:$G$3000,Permissions!$B$2:$B$3000,$A297,Permissions!$I$2:$I$3000,"In planning",Permissions!$R$2:$R$3000,"Yes")</f>
        <v>0</v>
      </c>
      <c r="AP297" s="24" t="n">
        <f aca="false">IF(R297="",0,MAX(R297-AM297,0))</f>
        <v>0</v>
      </c>
      <c r="AQ297" s="25" t="n">
        <f aca="false">AM297+AP297</f>
        <v>10</v>
      </c>
      <c r="AR297" s="24" t="n">
        <f aca="false">SUMIFS(Permissions!$L$2:$L$3000,Permissions!$B$2:$B$3000,$A297,Permissions!$R$2:$R$3000,"Yes",Permissions!$I$2:$I$3000,"&lt;&gt;Expired – not started",Permissions!$I$2:$I$3000,"&lt;&gt;In planning")</f>
        <v>10</v>
      </c>
      <c r="AS297" s="24" t="n">
        <f aca="false">AQ297-AR297</f>
        <v>0</v>
      </c>
      <c r="AT297" s="26" t="n">
        <f aca="false">SUMIFS(Permissions!$AJ$2:$AJ$3000,Permissions!$B$2:$B$3000,$A297,Permissions!$R$2:$R$3000,"Yes")</f>
        <v>0</v>
      </c>
      <c r="AU297" s="26" t="n">
        <f aca="false">SUMIFS(Permissions!$AK$2:$AK$3000,Permissions!$B$2:$B$3000,$A297,Permissions!$R$2:$R$3000,"Yes")</f>
        <v>0</v>
      </c>
      <c r="AV297" s="26" t="n">
        <f aca="false">SUMIFS(Permissions!$AL$2:$AL$3000,Permissions!$B$2:$B$3000,$A297,Permissions!$R$2:$R$3000,"Yes")</f>
        <v>0</v>
      </c>
      <c r="AW297" s="26" t="n">
        <f aca="false">SUMIFS(Permissions!$AM$2:$AM$3000,Permissions!$B$2:$B$3000,$A297,Permissions!$R$2:$R$3000,"Yes")</f>
        <v>0</v>
      </c>
      <c r="AX297" s="26" t="n">
        <f aca="false">SUMIFS(Permissions!$AN$2:$AN$3000,Permissions!$B$2:$B$3000,$A297,Permissions!$R$2:$R$3000,"Yes")</f>
        <v>0</v>
      </c>
      <c r="AY297" s="26" t="n">
        <f aca="false">SUMIFS(Permissions!$AO$2:$AO$3000,Permissions!$B$2:$B$3000,$A297,Permissions!$R$2:$R$3000,"Yes")</f>
        <v>0</v>
      </c>
      <c r="AZ297" s="24" t="n">
        <f aca="false">COUNTIFS(Permissions!$B$2:$B$3000,$A297,Permissions!$R$2:$R$3000,"Yes")</f>
        <v>1</v>
      </c>
      <c r="BA297" s="24" t="n">
        <f aca="false">SUMIFS(Permissions!$M$2:$M$3000,Permissions!$B$2:$B$3000,$A297,Permissions!$R$2:$R$3000,"Yes")</f>
        <v>10</v>
      </c>
      <c r="BB297" s="24" t="n">
        <f aca="false">SUMIFS(Permissions!$O$2:$O$3000,Permissions!$B$2:$B$3000,$A297,Permissions!$R$2:$R$3000,"Yes")</f>
        <v>8</v>
      </c>
      <c r="BC297" s="27" t="str">
        <f aca="false">IF(AND(AM297&gt;0,AR297&gt;=AM297,AP297=0),"Finished",IF(AR297&gt;0,"Partly built",IF(AM297&gt;0,"Consented – not built","No consent")))</f>
        <v>Finished</v>
      </c>
      <c r="BD297" s="28" t="str">
        <f aca="false">IF(AND(R297&lt;&gt;"",AM297&gt;1.1*R297),"Consented above capacity",IF(AND(LEFT(B297,8)="Planning",AZ297=0),"Consent parcel with no permission",IF(COUNTIF($A$2:$A$3000,$A297)&gt;1,"Duplicate parcel_id","")))</f>
        <v/>
      </c>
    </row>
    <row r="298" customFormat="false" ht="15" hidden="false" customHeight="false" outlineLevel="0" collapsed="false">
      <c r="A298" s="15" t="s">
        <v>704</v>
      </c>
      <c r="B298" s="15" t="s">
        <v>12</v>
      </c>
      <c r="C298" s="15" t="s">
        <v>17</v>
      </c>
      <c r="D298" s="15" t="s">
        <v>67</v>
      </c>
      <c r="E298" s="15" t="s">
        <v>21</v>
      </c>
      <c r="F298" s="15" t="n">
        <v>0.26</v>
      </c>
      <c r="G298" s="15" t="s">
        <v>158</v>
      </c>
      <c r="H298" s="15"/>
      <c r="I298" s="15" t="s">
        <v>346</v>
      </c>
      <c r="J298" s="15" t="s">
        <v>347</v>
      </c>
      <c r="K298" s="15" t="s">
        <v>705</v>
      </c>
      <c r="L298" s="15"/>
      <c r="M298" s="15"/>
      <c r="N298" s="15"/>
      <c r="O298" s="15"/>
      <c r="P298" s="15" t="n">
        <v>0.735</v>
      </c>
      <c r="Q298" s="15" t="n">
        <v>0.735</v>
      </c>
      <c r="R298" s="15"/>
      <c r="S298" s="15" t="s">
        <v>459</v>
      </c>
      <c r="T298" s="15" t="n">
        <v>18</v>
      </c>
      <c r="U298" s="15"/>
      <c r="V298" s="15"/>
      <c r="W298" s="15"/>
      <c r="X298" s="15" t="s">
        <v>353</v>
      </c>
      <c r="Y298" s="15" t="n">
        <v>25</v>
      </c>
      <c r="Z298" s="15" t="s">
        <v>354</v>
      </c>
      <c r="AA298" s="15"/>
      <c r="AB298" s="15" t="n">
        <v>0</v>
      </c>
      <c r="AC298" s="15" t="n">
        <v>0</v>
      </c>
      <c r="AD298" s="15"/>
      <c r="AE298" s="15"/>
      <c r="AF298" s="15" t="s">
        <v>169</v>
      </c>
      <c r="AG298" s="15"/>
      <c r="AH298" s="24" t="n">
        <f aca="false">IF(R298="",AM298,R298)</f>
        <v>5</v>
      </c>
      <c r="AI298" s="24" t="n">
        <f aca="false">SUMIFS(Permissions!$G$2:$G$3000,Permissions!$B$2:$B$3000,$A298,Permissions!$I$2:$I$3000,"Complete",Permissions!$R$2:$R$3000,"Yes")</f>
        <v>0</v>
      </c>
      <c r="AJ298" s="24" t="n">
        <f aca="false">SUMIFS(Permissions!$G$2:$G$3000,Permissions!$B$2:$B$3000,$A298,Permissions!$I$2:$I$3000,"Under construction",Permissions!$R$2:$R$3000,"Yes")</f>
        <v>5</v>
      </c>
      <c r="AK298" s="24" t="n">
        <f aca="false">SUMIFS(Permissions!$G$2:$G$3000,Permissions!$B$2:$B$3000,$A298,Permissions!$I$2:$I$3000,"Permitted – not started",Permissions!$R$2:$R$3000,"Yes")</f>
        <v>0</v>
      </c>
      <c r="AL298" s="24" t="n">
        <f aca="false">SUMIFS(Permissions!$G$2:$G$3000,Permissions!$B$2:$B$3000,$A298,Permissions!$I$2:$I$3000,"Stalled",Permissions!$R$2:$R$3000,"Yes")</f>
        <v>0</v>
      </c>
      <c r="AM298" s="24" t="n">
        <f aca="false">AI298+AJ298+AK298+AL298</f>
        <v>5</v>
      </c>
      <c r="AN298" s="24" t="n">
        <f aca="false">SUMIFS(Permissions!$G$2:$G$3000,Permissions!$B$2:$B$3000,$A298,Permissions!$I$2:$I$3000,"Expired – not started",Permissions!$R$2:$R$3000,"Yes")</f>
        <v>0</v>
      </c>
      <c r="AO298" s="24" t="n">
        <f aca="false">SUMIFS(Permissions!$G$2:$G$3000,Permissions!$B$2:$B$3000,$A298,Permissions!$I$2:$I$3000,"In planning",Permissions!$R$2:$R$3000,"Yes")</f>
        <v>0</v>
      </c>
      <c r="AP298" s="24" t="n">
        <f aca="false">IF(R298="",0,MAX(R298-AM298,0))</f>
        <v>0</v>
      </c>
      <c r="AQ298" s="25" t="n">
        <f aca="false">AM298+AP298</f>
        <v>5</v>
      </c>
      <c r="AR298" s="24" t="n">
        <f aca="false">SUMIFS(Permissions!$L$2:$L$3000,Permissions!$B$2:$B$3000,$A298,Permissions!$R$2:$R$3000,"Yes",Permissions!$I$2:$I$3000,"&lt;&gt;Expired – not started",Permissions!$I$2:$I$3000,"&lt;&gt;In planning")</f>
        <v>0</v>
      </c>
      <c r="AS298" s="24" t="n">
        <f aca="false">AQ298-AR298</f>
        <v>5</v>
      </c>
      <c r="AT298" s="26" t="n">
        <f aca="false">SUMIFS(Permissions!$AJ$2:$AJ$3000,Permissions!$B$2:$B$3000,$A298,Permissions!$R$2:$R$3000,"Yes")</f>
        <v>1.2</v>
      </c>
      <c r="AU298" s="26" t="n">
        <f aca="false">SUMIFS(Permissions!$AK$2:$AK$3000,Permissions!$B$2:$B$3000,$A298,Permissions!$R$2:$R$3000,"Yes")</f>
        <v>3.8</v>
      </c>
      <c r="AV298" s="26" t="n">
        <f aca="false">SUMIFS(Permissions!$AL$2:$AL$3000,Permissions!$B$2:$B$3000,$A298,Permissions!$R$2:$R$3000,"Yes")</f>
        <v>0</v>
      </c>
      <c r="AW298" s="26" t="n">
        <f aca="false">SUMIFS(Permissions!$AM$2:$AM$3000,Permissions!$B$2:$B$3000,$A298,Permissions!$R$2:$R$3000,"Yes")</f>
        <v>0</v>
      </c>
      <c r="AX298" s="26" t="n">
        <f aca="false">SUMIFS(Permissions!$AN$2:$AN$3000,Permissions!$B$2:$B$3000,$A298,Permissions!$R$2:$R$3000,"Yes")</f>
        <v>0</v>
      </c>
      <c r="AY298" s="26" t="n">
        <f aca="false">SUMIFS(Permissions!$AO$2:$AO$3000,Permissions!$B$2:$B$3000,$A298,Permissions!$R$2:$R$3000,"Yes")</f>
        <v>0</v>
      </c>
      <c r="AZ298" s="24" t="n">
        <f aca="false">COUNTIFS(Permissions!$B$2:$B$3000,$A298,Permissions!$R$2:$R$3000,"Yes")</f>
        <v>1</v>
      </c>
      <c r="BA298" s="24" t="n">
        <f aca="false">SUMIFS(Permissions!$M$2:$M$3000,Permissions!$B$2:$B$3000,$A298,Permissions!$R$2:$R$3000,"Yes")</f>
        <v>0</v>
      </c>
      <c r="BB298" s="24" t="n">
        <f aca="false">SUMIFS(Permissions!$O$2:$O$3000,Permissions!$B$2:$B$3000,$A298,Permissions!$R$2:$R$3000,"Yes")</f>
        <v>0</v>
      </c>
      <c r="BC298" s="27" t="str">
        <f aca="false">IF(AND(AM298&gt;0,AR298&gt;=AM298,AP298=0),"Finished",IF(AR298&gt;0,"Partly built",IF(AM298&gt;0,"Consented – not built","No consent")))</f>
        <v>Consented – not built</v>
      </c>
      <c r="BD298" s="28" t="str">
        <f aca="false">IF(AND(R298&lt;&gt;"",AM298&gt;1.1*R298),"Consented above capacity",IF(AND(LEFT(B298,8)="Planning",AZ298=0),"Consent parcel with no permission",IF(COUNTIF($A$2:$A$3000,$A298)&gt;1,"Duplicate parcel_id","")))</f>
        <v/>
      </c>
    </row>
    <row r="299" customFormat="false" ht="15" hidden="false" customHeight="false" outlineLevel="0" collapsed="false">
      <c r="A299" s="15" t="s">
        <v>706</v>
      </c>
      <c r="B299" s="15" t="s">
        <v>12</v>
      </c>
      <c r="C299" s="15" t="s">
        <v>17</v>
      </c>
      <c r="D299" s="15" t="s">
        <v>22</v>
      </c>
      <c r="E299" s="15" t="s">
        <v>22</v>
      </c>
      <c r="F299" s="15"/>
      <c r="G299" s="15" t="s">
        <v>22</v>
      </c>
      <c r="H299" s="15"/>
      <c r="I299" s="15" t="s">
        <v>346</v>
      </c>
      <c r="J299" s="15" t="s">
        <v>347</v>
      </c>
      <c r="K299" s="15" t="s">
        <v>707</v>
      </c>
      <c r="L299" s="15"/>
      <c r="M299" s="15"/>
      <c r="N299" s="15"/>
      <c r="O299" s="15"/>
      <c r="P299" s="15" t="n">
        <v>0.625</v>
      </c>
      <c r="Q299" s="15" t="n">
        <v>0.625</v>
      </c>
      <c r="R299" s="15"/>
      <c r="S299" s="15" t="s">
        <v>459</v>
      </c>
      <c r="T299" s="15" t="n">
        <v>16</v>
      </c>
      <c r="U299" s="15"/>
      <c r="V299" s="15"/>
      <c r="W299" s="15"/>
      <c r="X299" s="15" t="s">
        <v>353</v>
      </c>
      <c r="Y299" s="15" t="n">
        <v>25</v>
      </c>
      <c r="Z299" s="15" t="s">
        <v>354</v>
      </c>
      <c r="AA299" s="15"/>
      <c r="AB299" s="15" t="n">
        <v>6</v>
      </c>
      <c r="AC299" s="15" t="n">
        <v>0</v>
      </c>
      <c r="AD299" s="15"/>
      <c r="AE299" s="15"/>
      <c r="AF299" s="15" t="s">
        <v>169</v>
      </c>
      <c r="AG299" s="15"/>
      <c r="AH299" s="24" t="n">
        <f aca="false">IF(R299="",AM299,R299)</f>
        <v>6</v>
      </c>
      <c r="AI299" s="24" t="n">
        <f aca="false">SUMIFS(Permissions!$G$2:$G$3000,Permissions!$B$2:$B$3000,$A299,Permissions!$I$2:$I$3000,"Complete",Permissions!$R$2:$R$3000,"Yes")</f>
        <v>0</v>
      </c>
      <c r="AJ299" s="24" t="n">
        <f aca="false">SUMIFS(Permissions!$G$2:$G$3000,Permissions!$B$2:$B$3000,$A299,Permissions!$I$2:$I$3000,"Under construction",Permissions!$R$2:$R$3000,"Yes")</f>
        <v>6</v>
      </c>
      <c r="AK299" s="24" t="n">
        <f aca="false">SUMIFS(Permissions!$G$2:$G$3000,Permissions!$B$2:$B$3000,$A299,Permissions!$I$2:$I$3000,"Permitted – not started",Permissions!$R$2:$R$3000,"Yes")</f>
        <v>0</v>
      </c>
      <c r="AL299" s="24" t="n">
        <f aca="false">SUMIFS(Permissions!$G$2:$G$3000,Permissions!$B$2:$B$3000,$A299,Permissions!$I$2:$I$3000,"Stalled",Permissions!$R$2:$R$3000,"Yes")</f>
        <v>0</v>
      </c>
      <c r="AM299" s="24" t="n">
        <f aca="false">AI299+AJ299+AK299+AL299</f>
        <v>6</v>
      </c>
      <c r="AN299" s="24" t="n">
        <f aca="false">SUMIFS(Permissions!$G$2:$G$3000,Permissions!$B$2:$B$3000,$A299,Permissions!$I$2:$I$3000,"Expired – not started",Permissions!$R$2:$R$3000,"Yes")</f>
        <v>0</v>
      </c>
      <c r="AO299" s="24" t="n">
        <f aca="false">SUMIFS(Permissions!$G$2:$G$3000,Permissions!$B$2:$B$3000,$A299,Permissions!$I$2:$I$3000,"In planning",Permissions!$R$2:$R$3000,"Yes")</f>
        <v>0</v>
      </c>
      <c r="AP299" s="24" t="n">
        <f aca="false">IF(R299="",0,MAX(R299-AM299,0))</f>
        <v>0</v>
      </c>
      <c r="AQ299" s="25" t="n">
        <f aca="false">AM299+AP299</f>
        <v>6</v>
      </c>
      <c r="AR299" s="24" t="n">
        <f aca="false">SUMIFS(Permissions!$L$2:$L$3000,Permissions!$B$2:$B$3000,$A299,Permissions!$R$2:$R$3000,"Yes",Permissions!$I$2:$I$3000,"&lt;&gt;Expired – not started",Permissions!$I$2:$I$3000,"&lt;&gt;In planning")</f>
        <v>0</v>
      </c>
      <c r="AS299" s="24" t="n">
        <f aca="false">AQ299-AR299</f>
        <v>6</v>
      </c>
      <c r="AT299" s="26" t="n">
        <f aca="false">SUMIFS(Permissions!$AJ$2:$AJ$3000,Permissions!$B$2:$B$3000,$A299,Permissions!$R$2:$R$3000,"Yes")</f>
        <v>1.4</v>
      </c>
      <c r="AU299" s="26" t="n">
        <f aca="false">SUMIFS(Permissions!$AK$2:$AK$3000,Permissions!$B$2:$B$3000,$A299,Permissions!$R$2:$R$3000,"Yes")</f>
        <v>4.6</v>
      </c>
      <c r="AV299" s="26" t="n">
        <f aca="false">SUMIFS(Permissions!$AL$2:$AL$3000,Permissions!$B$2:$B$3000,$A299,Permissions!$R$2:$R$3000,"Yes")</f>
        <v>0</v>
      </c>
      <c r="AW299" s="26" t="n">
        <f aca="false">SUMIFS(Permissions!$AM$2:$AM$3000,Permissions!$B$2:$B$3000,$A299,Permissions!$R$2:$R$3000,"Yes")</f>
        <v>0</v>
      </c>
      <c r="AX299" s="26" t="n">
        <f aca="false">SUMIFS(Permissions!$AN$2:$AN$3000,Permissions!$B$2:$B$3000,$A299,Permissions!$R$2:$R$3000,"Yes")</f>
        <v>0</v>
      </c>
      <c r="AY299" s="26" t="n">
        <f aca="false">SUMIFS(Permissions!$AO$2:$AO$3000,Permissions!$B$2:$B$3000,$A299,Permissions!$R$2:$R$3000,"Yes")</f>
        <v>0</v>
      </c>
      <c r="AZ299" s="24" t="n">
        <f aca="false">COUNTIFS(Permissions!$B$2:$B$3000,$A299,Permissions!$R$2:$R$3000,"Yes")</f>
        <v>1</v>
      </c>
      <c r="BA299" s="24" t="n">
        <f aca="false">SUMIFS(Permissions!$M$2:$M$3000,Permissions!$B$2:$B$3000,$A299,Permissions!$R$2:$R$3000,"Yes")</f>
        <v>0</v>
      </c>
      <c r="BB299" s="24" t="n">
        <f aca="false">SUMIFS(Permissions!$O$2:$O$3000,Permissions!$B$2:$B$3000,$A299,Permissions!$R$2:$R$3000,"Yes")</f>
        <v>0</v>
      </c>
      <c r="BC299" s="27" t="str">
        <f aca="false">IF(AND(AM299&gt;0,AR299&gt;=AM299,AP299=0),"Finished",IF(AR299&gt;0,"Partly built",IF(AM299&gt;0,"Consented – not built","No consent")))</f>
        <v>Consented – not built</v>
      </c>
      <c r="BD299" s="28" t="str">
        <f aca="false">IF(AND(R299&lt;&gt;"",AM299&gt;1.1*R299),"Consented above capacity",IF(AND(LEFT(B299,8)="Planning",AZ299=0),"Consent parcel with no permission",IF(COUNTIF($A$2:$A$3000,$A299)&gt;1,"Duplicate parcel_id","")))</f>
        <v/>
      </c>
    </row>
    <row r="300" customFormat="false" ht="15" hidden="false" customHeight="false" outlineLevel="0" collapsed="false">
      <c r="A300" s="15" t="s">
        <v>708</v>
      </c>
      <c r="B300" s="15" t="s">
        <v>12</v>
      </c>
      <c r="C300" s="15" t="s">
        <v>17</v>
      </c>
      <c r="D300" s="15" t="s">
        <v>22</v>
      </c>
      <c r="E300" s="15" t="s">
        <v>22</v>
      </c>
      <c r="F300" s="15"/>
      <c r="G300" s="15" t="s">
        <v>22</v>
      </c>
      <c r="H300" s="15"/>
      <c r="I300" s="15" t="s">
        <v>346</v>
      </c>
      <c r="J300" s="15" t="s">
        <v>363</v>
      </c>
      <c r="K300" s="15" t="s">
        <v>709</v>
      </c>
      <c r="L300" s="15"/>
      <c r="M300" s="15"/>
      <c r="N300" s="15"/>
      <c r="O300" s="15"/>
      <c r="P300" s="15" t="n">
        <v>0.174</v>
      </c>
      <c r="Q300" s="15" t="n">
        <v>0.174</v>
      </c>
      <c r="R300" s="15" t="n">
        <v>1</v>
      </c>
      <c r="S300" s="15" t="s">
        <v>472</v>
      </c>
      <c r="T300" s="15" t="n">
        <v>4</v>
      </c>
      <c r="U300" s="15"/>
      <c r="V300" s="15"/>
      <c r="W300" s="15"/>
      <c r="X300" s="15" t="s">
        <v>353</v>
      </c>
      <c r="Y300" s="15" t="n">
        <v>25</v>
      </c>
      <c r="Z300" s="15" t="s">
        <v>354</v>
      </c>
      <c r="AA300" s="15"/>
      <c r="AB300" s="15" t="n">
        <v>1</v>
      </c>
      <c r="AC300" s="15" t="n">
        <v>0</v>
      </c>
      <c r="AD300" s="15"/>
      <c r="AE300" s="15"/>
      <c r="AF300" s="15" t="s">
        <v>169</v>
      </c>
      <c r="AG300" s="15"/>
      <c r="AH300" s="24" t="n">
        <f aca="false">IF(R300="",AM300,R300)</f>
        <v>1</v>
      </c>
      <c r="AI300" s="24" t="n">
        <f aca="false">SUMIFS(Permissions!$G$2:$G$3000,Permissions!$B$2:$B$3000,$A300,Permissions!$I$2:$I$3000,"Complete",Permissions!$R$2:$R$3000,"Yes")</f>
        <v>0</v>
      </c>
      <c r="AJ300" s="24" t="n">
        <f aca="false">SUMIFS(Permissions!$G$2:$G$3000,Permissions!$B$2:$B$3000,$A300,Permissions!$I$2:$I$3000,"Under construction",Permissions!$R$2:$R$3000,"Yes")</f>
        <v>0</v>
      </c>
      <c r="AK300" s="24" t="n">
        <f aca="false">SUMIFS(Permissions!$G$2:$G$3000,Permissions!$B$2:$B$3000,$A300,Permissions!$I$2:$I$3000,"Permitted – not started",Permissions!$R$2:$R$3000,"Yes")</f>
        <v>0</v>
      </c>
      <c r="AL300" s="24" t="n">
        <f aca="false">SUMIFS(Permissions!$G$2:$G$3000,Permissions!$B$2:$B$3000,$A300,Permissions!$I$2:$I$3000,"Stalled",Permissions!$R$2:$R$3000,"Yes")</f>
        <v>0</v>
      </c>
      <c r="AM300" s="24" t="n">
        <f aca="false">AI300+AJ300+AK300+AL300</f>
        <v>0</v>
      </c>
      <c r="AN300" s="24" t="n">
        <f aca="false">SUMIFS(Permissions!$G$2:$G$3000,Permissions!$B$2:$B$3000,$A300,Permissions!$I$2:$I$3000,"Expired – not started",Permissions!$R$2:$R$3000,"Yes")</f>
        <v>1</v>
      </c>
      <c r="AO300" s="24" t="n">
        <f aca="false">SUMIFS(Permissions!$G$2:$G$3000,Permissions!$B$2:$B$3000,$A300,Permissions!$I$2:$I$3000,"In planning",Permissions!$R$2:$R$3000,"Yes")</f>
        <v>0</v>
      </c>
      <c r="AP300" s="24" t="n">
        <f aca="false">IF(R300="",0,MAX(R300-AM300,0))</f>
        <v>1</v>
      </c>
      <c r="AQ300" s="25" t="n">
        <f aca="false">AM300+AP300</f>
        <v>1</v>
      </c>
      <c r="AR300" s="24" t="n">
        <f aca="false">SUMIFS(Permissions!$L$2:$L$3000,Permissions!$B$2:$B$3000,$A300,Permissions!$R$2:$R$3000,"Yes",Permissions!$I$2:$I$3000,"&lt;&gt;Expired – not started",Permissions!$I$2:$I$3000,"&lt;&gt;In planning")</f>
        <v>0</v>
      </c>
      <c r="AS300" s="24" t="n">
        <f aca="false">AQ300-AR300</f>
        <v>1</v>
      </c>
      <c r="AT300" s="26" t="n">
        <f aca="false">SUMIFS(Permissions!$AJ$2:$AJ$3000,Permissions!$B$2:$B$3000,$A300,Permissions!$R$2:$R$3000,"Yes")</f>
        <v>0</v>
      </c>
      <c r="AU300" s="26" t="n">
        <f aca="false">SUMIFS(Permissions!$AK$2:$AK$3000,Permissions!$B$2:$B$3000,$A300,Permissions!$R$2:$R$3000,"Yes")</f>
        <v>0</v>
      </c>
      <c r="AV300" s="26" t="n">
        <f aca="false">SUMIFS(Permissions!$AL$2:$AL$3000,Permissions!$B$2:$B$3000,$A300,Permissions!$R$2:$R$3000,"Yes")</f>
        <v>0</v>
      </c>
      <c r="AW300" s="26" t="n">
        <f aca="false">SUMIFS(Permissions!$AM$2:$AM$3000,Permissions!$B$2:$B$3000,$A300,Permissions!$R$2:$R$3000,"Yes")</f>
        <v>0</v>
      </c>
      <c r="AX300" s="26" t="n">
        <f aca="false">SUMIFS(Permissions!$AN$2:$AN$3000,Permissions!$B$2:$B$3000,$A300,Permissions!$R$2:$R$3000,"Yes")</f>
        <v>0</v>
      </c>
      <c r="AY300" s="26" t="n">
        <f aca="false">SUMIFS(Permissions!$AO$2:$AO$3000,Permissions!$B$2:$B$3000,$A300,Permissions!$R$2:$R$3000,"Yes")</f>
        <v>0</v>
      </c>
      <c r="AZ300" s="24" t="n">
        <f aca="false">COUNTIFS(Permissions!$B$2:$B$3000,$A300,Permissions!$R$2:$R$3000,"Yes")</f>
        <v>1</v>
      </c>
      <c r="BA300" s="24" t="n">
        <f aca="false">SUMIFS(Permissions!$M$2:$M$3000,Permissions!$B$2:$B$3000,$A300,Permissions!$R$2:$R$3000,"Yes")</f>
        <v>0</v>
      </c>
      <c r="BB300" s="24" t="n">
        <f aca="false">SUMIFS(Permissions!$O$2:$O$3000,Permissions!$B$2:$B$3000,$A300,Permissions!$R$2:$R$3000,"Yes")</f>
        <v>0</v>
      </c>
      <c r="BC300" s="27" t="str">
        <f aca="false">IF(AND(AM300&gt;0,AR300&gt;=AM300,AP300=0),"Finished",IF(AR300&gt;0,"Partly built",IF(AM300&gt;0,"Consented – not built","No consent")))</f>
        <v>No consent</v>
      </c>
      <c r="BD300" s="28" t="str">
        <f aca="false">IF(AND(R300&lt;&gt;"",AM300&gt;1.1*R300),"Consented above capacity",IF(AND(LEFT(B300,8)="Planning",AZ300=0),"Consent parcel with no permission",IF(COUNTIF($A$2:$A$3000,$A300)&gt;1,"Duplicate parcel_id","")))</f>
        <v/>
      </c>
    </row>
    <row r="301" customFormat="false" ht="15" hidden="false" customHeight="false" outlineLevel="0" collapsed="false">
      <c r="A301" s="15" t="s">
        <v>710</v>
      </c>
      <c r="B301" s="15" t="s">
        <v>12</v>
      </c>
      <c r="C301" s="15" t="s">
        <v>17</v>
      </c>
      <c r="D301" s="15" t="s">
        <v>70</v>
      </c>
      <c r="E301" s="15" t="s">
        <v>21</v>
      </c>
      <c r="F301" s="15" t="n">
        <v>1</v>
      </c>
      <c r="G301" s="15" t="s">
        <v>158</v>
      </c>
      <c r="H301" s="15"/>
      <c r="I301" s="15" t="s">
        <v>346</v>
      </c>
      <c r="J301" s="15" t="s">
        <v>347</v>
      </c>
      <c r="K301" s="15" t="s">
        <v>711</v>
      </c>
      <c r="L301" s="15"/>
      <c r="M301" s="15"/>
      <c r="N301" s="15"/>
      <c r="O301" s="15"/>
      <c r="P301" s="15" t="n">
        <v>0.313</v>
      </c>
      <c r="Q301" s="15" t="n">
        <v>0.313</v>
      </c>
      <c r="R301" s="15"/>
      <c r="S301" s="15" t="s">
        <v>459</v>
      </c>
      <c r="T301" s="15" t="n">
        <v>8</v>
      </c>
      <c r="U301" s="15"/>
      <c r="V301" s="15"/>
      <c r="W301" s="15"/>
      <c r="X301" s="15" t="s">
        <v>353</v>
      </c>
      <c r="Y301" s="15" t="n">
        <v>25</v>
      </c>
      <c r="Z301" s="15" t="s">
        <v>354</v>
      </c>
      <c r="AA301" s="15"/>
      <c r="AB301" s="15" t="n">
        <v>0</v>
      </c>
      <c r="AC301" s="15" t="n">
        <v>0</v>
      </c>
      <c r="AD301" s="15"/>
      <c r="AE301" s="15"/>
      <c r="AF301" s="15" t="s">
        <v>169</v>
      </c>
      <c r="AG301" s="15"/>
      <c r="AH301" s="24" t="n">
        <f aca="false">IF(R301="",AM301,R301)</f>
        <v>14</v>
      </c>
      <c r="AI301" s="24" t="n">
        <f aca="false">SUMIFS(Permissions!$G$2:$G$3000,Permissions!$B$2:$B$3000,$A301,Permissions!$I$2:$I$3000,"Complete",Permissions!$R$2:$R$3000,"Yes")</f>
        <v>0</v>
      </c>
      <c r="AJ301" s="24" t="n">
        <f aca="false">SUMIFS(Permissions!$G$2:$G$3000,Permissions!$B$2:$B$3000,$A301,Permissions!$I$2:$I$3000,"Under construction",Permissions!$R$2:$R$3000,"Yes")</f>
        <v>0</v>
      </c>
      <c r="AK301" s="24" t="n">
        <f aca="false">SUMIFS(Permissions!$G$2:$G$3000,Permissions!$B$2:$B$3000,$A301,Permissions!$I$2:$I$3000,"Permitted – not started",Permissions!$R$2:$R$3000,"Yes")</f>
        <v>14</v>
      </c>
      <c r="AL301" s="24" t="n">
        <f aca="false">SUMIFS(Permissions!$G$2:$G$3000,Permissions!$B$2:$B$3000,$A301,Permissions!$I$2:$I$3000,"Stalled",Permissions!$R$2:$R$3000,"Yes")</f>
        <v>0</v>
      </c>
      <c r="AM301" s="24" t="n">
        <f aca="false">AI301+AJ301+AK301+AL301</f>
        <v>14</v>
      </c>
      <c r="AN301" s="24" t="n">
        <f aca="false">SUMIFS(Permissions!$G$2:$G$3000,Permissions!$B$2:$B$3000,$A301,Permissions!$I$2:$I$3000,"Expired – not started",Permissions!$R$2:$R$3000,"Yes")</f>
        <v>0</v>
      </c>
      <c r="AO301" s="24" t="n">
        <f aca="false">SUMIFS(Permissions!$G$2:$G$3000,Permissions!$B$2:$B$3000,$A301,Permissions!$I$2:$I$3000,"In planning",Permissions!$R$2:$R$3000,"Yes")</f>
        <v>0</v>
      </c>
      <c r="AP301" s="24" t="n">
        <f aca="false">IF(R301="",0,MAX(R301-AM301,0))</f>
        <v>0</v>
      </c>
      <c r="AQ301" s="25" t="n">
        <f aca="false">AM301+AP301</f>
        <v>14</v>
      </c>
      <c r="AR301" s="24" t="n">
        <f aca="false">SUMIFS(Permissions!$L$2:$L$3000,Permissions!$B$2:$B$3000,$A301,Permissions!$R$2:$R$3000,"Yes",Permissions!$I$2:$I$3000,"&lt;&gt;Expired – not started",Permissions!$I$2:$I$3000,"&lt;&gt;In planning")</f>
        <v>0</v>
      </c>
      <c r="AS301" s="24" t="n">
        <f aca="false">AQ301-AR301</f>
        <v>14</v>
      </c>
      <c r="AT301" s="26" t="n">
        <f aca="false">SUMIFS(Permissions!$AJ$2:$AJ$3000,Permissions!$B$2:$B$3000,$A301,Permissions!$R$2:$R$3000,"Yes")</f>
        <v>0</v>
      </c>
      <c r="AU301" s="26" t="n">
        <f aca="false">SUMIFS(Permissions!$AK$2:$AK$3000,Permissions!$B$2:$B$3000,$A301,Permissions!$R$2:$R$3000,"Yes")</f>
        <v>0</v>
      </c>
      <c r="AV301" s="26" t="n">
        <f aca="false">SUMIFS(Permissions!$AL$2:$AL$3000,Permissions!$B$2:$B$3000,$A301,Permissions!$R$2:$R$3000,"Yes")</f>
        <v>8.2</v>
      </c>
      <c r="AW301" s="26" t="n">
        <f aca="false">SUMIFS(Permissions!$AM$2:$AM$3000,Permissions!$B$2:$B$3000,$A301,Permissions!$R$2:$R$3000,"Yes")</f>
        <v>5.8</v>
      </c>
      <c r="AX301" s="26" t="n">
        <f aca="false">SUMIFS(Permissions!$AN$2:$AN$3000,Permissions!$B$2:$B$3000,$A301,Permissions!$R$2:$R$3000,"Yes")</f>
        <v>0</v>
      </c>
      <c r="AY301" s="26" t="n">
        <f aca="false">SUMIFS(Permissions!$AO$2:$AO$3000,Permissions!$B$2:$B$3000,$A301,Permissions!$R$2:$R$3000,"Yes")</f>
        <v>0</v>
      </c>
      <c r="AZ301" s="24" t="n">
        <f aca="false">COUNTIFS(Permissions!$B$2:$B$3000,$A301,Permissions!$R$2:$R$3000,"Yes")</f>
        <v>1</v>
      </c>
      <c r="BA301" s="24" t="n">
        <f aca="false">SUMIFS(Permissions!$M$2:$M$3000,Permissions!$B$2:$B$3000,$A301,Permissions!$R$2:$R$3000,"Yes")</f>
        <v>0</v>
      </c>
      <c r="BB301" s="24" t="n">
        <f aca="false">SUMIFS(Permissions!$O$2:$O$3000,Permissions!$B$2:$B$3000,$A301,Permissions!$R$2:$R$3000,"Yes")</f>
        <v>0</v>
      </c>
      <c r="BC301" s="27" t="str">
        <f aca="false">IF(AND(AM301&gt;0,AR301&gt;=AM301,AP301=0),"Finished",IF(AR301&gt;0,"Partly built",IF(AM301&gt;0,"Consented – not built","No consent")))</f>
        <v>Consented – not built</v>
      </c>
      <c r="BD301" s="28" t="str">
        <f aca="false">IF(AND(R301&lt;&gt;"",AM301&gt;1.1*R301),"Consented above capacity",IF(AND(LEFT(B301,8)="Planning",AZ301=0),"Consent parcel with no permission",IF(COUNTIF($A$2:$A$3000,$A301)&gt;1,"Duplicate parcel_id","")))</f>
        <v/>
      </c>
    </row>
    <row r="302" customFormat="false" ht="15" hidden="false" customHeight="false" outlineLevel="0" collapsed="false">
      <c r="A302" s="15" t="s">
        <v>712</v>
      </c>
      <c r="B302" s="15" t="s">
        <v>12</v>
      </c>
      <c r="C302" s="15" t="s">
        <v>17</v>
      </c>
      <c r="D302" s="15" t="s">
        <v>22</v>
      </c>
      <c r="E302" s="15" t="s">
        <v>22</v>
      </c>
      <c r="F302" s="15"/>
      <c r="G302" s="15" t="s">
        <v>22</v>
      </c>
      <c r="H302" s="15"/>
      <c r="I302" s="15" t="s">
        <v>346</v>
      </c>
      <c r="J302" s="15" t="s">
        <v>390</v>
      </c>
      <c r="K302" s="15" t="s">
        <v>713</v>
      </c>
      <c r="L302" s="15"/>
      <c r="M302" s="15"/>
      <c r="N302" s="15"/>
      <c r="O302" s="15"/>
      <c r="P302" s="15" t="n">
        <v>0.884</v>
      </c>
      <c r="Q302" s="15" t="n">
        <v>0.884</v>
      </c>
      <c r="R302" s="15"/>
      <c r="S302" s="15" t="s">
        <v>459</v>
      </c>
      <c r="T302" s="15" t="n">
        <v>22</v>
      </c>
      <c r="U302" s="15"/>
      <c r="V302" s="15"/>
      <c r="W302" s="15"/>
      <c r="X302" s="15" t="s">
        <v>353</v>
      </c>
      <c r="Y302" s="15" t="n">
        <v>25</v>
      </c>
      <c r="Z302" s="15" t="s">
        <v>354</v>
      </c>
      <c r="AA302" s="15"/>
      <c r="AB302" s="15" t="n">
        <v>1</v>
      </c>
      <c r="AC302" s="15" t="n">
        <v>1</v>
      </c>
      <c r="AD302" s="15"/>
      <c r="AE302" s="15"/>
      <c r="AF302" s="15" t="s">
        <v>169</v>
      </c>
      <c r="AG302" s="15"/>
      <c r="AH302" s="24" t="n">
        <f aca="false">IF(R302="",AM302,R302)</f>
        <v>4</v>
      </c>
      <c r="AI302" s="24" t="n">
        <f aca="false">SUMIFS(Permissions!$G$2:$G$3000,Permissions!$B$2:$B$3000,$A302,Permissions!$I$2:$I$3000,"Complete",Permissions!$R$2:$R$3000,"Yes")</f>
        <v>0</v>
      </c>
      <c r="AJ302" s="24" t="n">
        <f aca="false">SUMIFS(Permissions!$G$2:$G$3000,Permissions!$B$2:$B$3000,$A302,Permissions!$I$2:$I$3000,"Under construction",Permissions!$R$2:$R$3000,"Yes")</f>
        <v>4</v>
      </c>
      <c r="AK302" s="24" t="n">
        <f aca="false">SUMIFS(Permissions!$G$2:$G$3000,Permissions!$B$2:$B$3000,$A302,Permissions!$I$2:$I$3000,"Permitted – not started",Permissions!$R$2:$R$3000,"Yes")</f>
        <v>0</v>
      </c>
      <c r="AL302" s="24" t="n">
        <f aca="false">SUMIFS(Permissions!$G$2:$G$3000,Permissions!$B$2:$B$3000,$A302,Permissions!$I$2:$I$3000,"Stalled",Permissions!$R$2:$R$3000,"Yes")</f>
        <v>0</v>
      </c>
      <c r="AM302" s="24" t="n">
        <f aca="false">AI302+AJ302+AK302+AL302</f>
        <v>4</v>
      </c>
      <c r="AN302" s="24" t="n">
        <f aca="false">SUMIFS(Permissions!$G$2:$G$3000,Permissions!$B$2:$B$3000,$A302,Permissions!$I$2:$I$3000,"Expired – not started",Permissions!$R$2:$R$3000,"Yes")</f>
        <v>0</v>
      </c>
      <c r="AO302" s="24" t="n">
        <f aca="false">SUMIFS(Permissions!$G$2:$G$3000,Permissions!$B$2:$B$3000,$A302,Permissions!$I$2:$I$3000,"In planning",Permissions!$R$2:$R$3000,"Yes")</f>
        <v>0</v>
      </c>
      <c r="AP302" s="24" t="n">
        <f aca="false">IF(R302="",0,MAX(R302-AM302,0))</f>
        <v>0</v>
      </c>
      <c r="AQ302" s="25" t="n">
        <f aca="false">AM302+AP302</f>
        <v>4</v>
      </c>
      <c r="AR302" s="24" t="n">
        <f aca="false">SUMIFS(Permissions!$L$2:$L$3000,Permissions!$B$2:$B$3000,$A302,Permissions!$R$2:$R$3000,"Yes",Permissions!$I$2:$I$3000,"&lt;&gt;Expired – not started",Permissions!$I$2:$I$3000,"&lt;&gt;In planning")</f>
        <v>0</v>
      </c>
      <c r="AS302" s="24" t="n">
        <f aca="false">AQ302-AR302</f>
        <v>4</v>
      </c>
      <c r="AT302" s="26" t="n">
        <f aca="false">SUMIFS(Permissions!$AJ$2:$AJ$3000,Permissions!$B$2:$B$3000,$A302,Permissions!$R$2:$R$3000,"Yes")</f>
        <v>0.9</v>
      </c>
      <c r="AU302" s="26" t="n">
        <f aca="false">SUMIFS(Permissions!$AK$2:$AK$3000,Permissions!$B$2:$B$3000,$A302,Permissions!$R$2:$R$3000,"Yes")</f>
        <v>3.1</v>
      </c>
      <c r="AV302" s="26" t="n">
        <f aca="false">SUMIFS(Permissions!$AL$2:$AL$3000,Permissions!$B$2:$B$3000,$A302,Permissions!$R$2:$R$3000,"Yes")</f>
        <v>0</v>
      </c>
      <c r="AW302" s="26" t="n">
        <f aca="false">SUMIFS(Permissions!$AM$2:$AM$3000,Permissions!$B$2:$B$3000,$A302,Permissions!$R$2:$R$3000,"Yes")</f>
        <v>0</v>
      </c>
      <c r="AX302" s="26" t="n">
        <f aca="false">SUMIFS(Permissions!$AN$2:$AN$3000,Permissions!$B$2:$B$3000,$A302,Permissions!$R$2:$R$3000,"Yes")</f>
        <v>0</v>
      </c>
      <c r="AY302" s="26" t="n">
        <f aca="false">SUMIFS(Permissions!$AO$2:$AO$3000,Permissions!$B$2:$B$3000,$A302,Permissions!$R$2:$R$3000,"Yes")</f>
        <v>0</v>
      </c>
      <c r="AZ302" s="24" t="n">
        <f aca="false">COUNTIFS(Permissions!$B$2:$B$3000,$A302,Permissions!$R$2:$R$3000,"Yes")</f>
        <v>1</v>
      </c>
      <c r="BA302" s="24" t="n">
        <f aca="false">SUMIFS(Permissions!$M$2:$M$3000,Permissions!$B$2:$B$3000,$A302,Permissions!$R$2:$R$3000,"Yes")</f>
        <v>0</v>
      </c>
      <c r="BB302" s="24" t="n">
        <f aca="false">SUMIFS(Permissions!$O$2:$O$3000,Permissions!$B$2:$B$3000,$A302,Permissions!$R$2:$R$3000,"Yes")</f>
        <v>0</v>
      </c>
      <c r="BC302" s="27" t="str">
        <f aca="false">IF(AND(AM302&gt;0,AR302&gt;=AM302,AP302=0),"Finished",IF(AR302&gt;0,"Partly built",IF(AM302&gt;0,"Consented – not built","No consent")))</f>
        <v>Consented – not built</v>
      </c>
      <c r="BD302" s="28" t="str">
        <f aca="false">IF(AND(R302&lt;&gt;"",AM302&gt;1.1*R302),"Consented above capacity",IF(AND(LEFT(B302,8)="Planning",AZ302=0),"Consent parcel with no permission",IF(COUNTIF($A$2:$A$3000,$A302)&gt;1,"Duplicate parcel_id","")))</f>
        <v/>
      </c>
    </row>
    <row r="303" customFormat="false" ht="15" hidden="false" customHeight="false" outlineLevel="0" collapsed="false">
      <c r="A303" s="15" t="s">
        <v>714</v>
      </c>
      <c r="B303" s="15" t="s">
        <v>12</v>
      </c>
      <c r="C303" s="15" t="s">
        <v>17</v>
      </c>
      <c r="D303" s="15" t="s">
        <v>22</v>
      </c>
      <c r="E303" s="15" t="s">
        <v>22</v>
      </c>
      <c r="F303" s="15"/>
      <c r="G303" s="15" t="s">
        <v>22</v>
      </c>
      <c r="H303" s="15"/>
      <c r="I303" s="15" t="s">
        <v>346</v>
      </c>
      <c r="J303" s="15" t="s">
        <v>390</v>
      </c>
      <c r="K303" s="15" t="s">
        <v>715</v>
      </c>
      <c r="L303" s="15"/>
      <c r="M303" s="15"/>
      <c r="N303" s="15"/>
      <c r="O303" s="15"/>
      <c r="P303" s="15" t="n">
        <v>0.24</v>
      </c>
      <c r="Q303" s="15" t="n">
        <v>0.24</v>
      </c>
      <c r="R303" s="15"/>
      <c r="S303" s="15" t="s">
        <v>459</v>
      </c>
      <c r="T303" s="15" t="n">
        <v>6</v>
      </c>
      <c r="U303" s="15"/>
      <c r="V303" s="15"/>
      <c r="W303" s="15"/>
      <c r="X303" s="15" t="s">
        <v>353</v>
      </c>
      <c r="Y303" s="15" t="n">
        <v>25</v>
      </c>
      <c r="Z303" s="15" t="s">
        <v>354</v>
      </c>
      <c r="AA303" s="15"/>
      <c r="AB303" s="15" t="n">
        <v>2</v>
      </c>
      <c r="AC303" s="15" t="n">
        <v>2</v>
      </c>
      <c r="AD303" s="15"/>
      <c r="AE303" s="15"/>
      <c r="AF303" s="15" t="s">
        <v>169</v>
      </c>
      <c r="AG303" s="15"/>
      <c r="AH303" s="24" t="n">
        <f aca="false">IF(R303="",AM303,R303)</f>
        <v>2</v>
      </c>
      <c r="AI303" s="24" t="n">
        <f aca="false">SUMIFS(Permissions!$G$2:$G$3000,Permissions!$B$2:$B$3000,$A303,Permissions!$I$2:$I$3000,"Complete",Permissions!$R$2:$R$3000,"Yes")</f>
        <v>0</v>
      </c>
      <c r="AJ303" s="24" t="n">
        <f aca="false">SUMIFS(Permissions!$G$2:$G$3000,Permissions!$B$2:$B$3000,$A303,Permissions!$I$2:$I$3000,"Under construction",Permissions!$R$2:$R$3000,"Yes")</f>
        <v>2</v>
      </c>
      <c r="AK303" s="24" t="n">
        <f aca="false">SUMIFS(Permissions!$G$2:$G$3000,Permissions!$B$2:$B$3000,$A303,Permissions!$I$2:$I$3000,"Permitted – not started",Permissions!$R$2:$R$3000,"Yes")</f>
        <v>0</v>
      </c>
      <c r="AL303" s="24" t="n">
        <f aca="false">SUMIFS(Permissions!$G$2:$G$3000,Permissions!$B$2:$B$3000,$A303,Permissions!$I$2:$I$3000,"Stalled",Permissions!$R$2:$R$3000,"Yes")</f>
        <v>0</v>
      </c>
      <c r="AM303" s="24" t="n">
        <f aca="false">AI303+AJ303+AK303+AL303</f>
        <v>2</v>
      </c>
      <c r="AN303" s="24" t="n">
        <f aca="false">SUMIFS(Permissions!$G$2:$G$3000,Permissions!$B$2:$B$3000,$A303,Permissions!$I$2:$I$3000,"Expired – not started",Permissions!$R$2:$R$3000,"Yes")</f>
        <v>0</v>
      </c>
      <c r="AO303" s="24" t="n">
        <f aca="false">SUMIFS(Permissions!$G$2:$G$3000,Permissions!$B$2:$B$3000,$A303,Permissions!$I$2:$I$3000,"In planning",Permissions!$R$2:$R$3000,"Yes")</f>
        <v>0</v>
      </c>
      <c r="AP303" s="24" t="n">
        <f aca="false">IF(R303="",0,MAX(R303-AM303,0))</f>
        <v>0</v>
      </c>
      <c r="AQ303" s="25" t="n">
        <f aca="false">AM303+AP303</f>
        <v>2</v>
      </c>
      <c r="AR303" s="24" t="n">
        <f aca="false">SUMIFS(Permissions!$L$2:$L$3000,Permissions!$B$2:$B$3000,$A303,Permissions!$R$2:$R$3000,"Yes",Permissions!$I$2:$I$3000,"&lt;&gt;Expired – not started",Permissions!$I$2:$I$3000,"&lt;&gt;In planning")</f>
        <v>0</v>
      </c>
      <c r="AS303" s="24" t="n">
        <f aca="false">AQ303-AR303</f>
        <v>2</v>
      </c>
      <c r="AT303" s="26" t="n">
        <f aca="false">SUMIFS(Permissions!$AJ$2:$AJ$3000,Permissions!$B$2:$B$3000,$A303,Permissions!$R$2:$R$3000,"Yes")</f>
        <v>0.5</v>
      </c>
      <c r="AU303" s="26" t="n">
        <f aca="false">SUMIFS(Permissions!$AK$2:$AK$3000,Permissions!$B$2:$B$3000,$A303,Permissions!$R$2:$R$3000,"Yes")</f>
        <v>1.5</v>
      </c>
      <c r="AV303" s="26" t="n">
        <f aca="false">SUMIFS(Permissions!$AL$2:$AL$3000,Permissions!$B$2:$B$3000,$A303,Permissions!$R$2:$R$3000,"Yes")</f>
        <v>0</v>
      </c>
      <c r="AW303" s="26" t="n">
        <f aca="false">SUMIFS(Permissions!$AM$2:$AM$3000,Permissions!$B$2:$B$3000,$A303,Permissions!$R$2:$R$3000,"Yes")</f>
        <v>0</v>
      </c>
      <c r="AX303" s="26" t="n">
        <f aca="false">SUMIFS(Permissions!$AN$2:$AN$3000,Permissions!$B$2:$B$3000,$A303,Permissions!$R$2:$R$3000,"Yes")</f>
        <v>0</v>
      </c>
      <c r="AY303" s="26" t="n">
        <f aca="false">SUMIFS(Permissions!$AO$2:$AO$3000,Permissions!$B$2:$B$3000,$A303,Permissions!$R$2:$R$3000,"Yes")</f>
        <v>0</v>
      </c>
      <c r="AZ303" s="24" t="n">
        <f aca="false">COUNTIFS(Permissions!$B$2:$B$3000,$A303,Permissions!$R$2:$R$3000,"Yes")</f>
        <v>1</v>
      </c>
      <c r="BA303" s="24" t="n">
        <f aca="false">SUMIFS(Permissions!$M$2:$M$3000,Permissions!$B$2:$B$3000,$A303,Permissions!$R$2:$R$3000,"Yes")</f>
        <v>0</v>
      </c>
      <c r="BB303" s="24" t="n">
        <f aca="false">SUMIFS(Permissions!$O$2:$O$3000,Permissions!$B$2:$B$3000,$A303,Permissions!$R$2:$R$3000,"Yes")</f>
        <v>0</v>
      </c>
      <c r="BC303" s="27" t="str">
        <f aca="false">IF(AND(AM303&gt;0,AR303&gt;=AM303,AP303=0),"Finished",IF(AR303&gt;0,"Partly built",IF(AM303&gt;0,"Consented – not built","No consent")))</f>
        <v>Consented – not built</v>
      </c>
      <c r="BD303" s="28" t="str">
        <f aca="false">IF(AND(R303&lt;&gt;"",AM303&gt;1.1*R303),"Consented above capacity",IF(AND(LEFT(B303,8)="Planning",AZ303=0),"Consent parcel with no permission",IF(COUNTIF($A$2:$A$3000,$A303)&gt;1,"Duplicate parcel_id","")))</f>
        <v/>
      </c>
    </row>
    <row r="304" customFormat="false" ht="15" hidden="false" customHeight="false" outlineLevel="0" collapsed="false">
      <c r="A304" s="15" t="s">
        <v>716</v>
      </c>
      <c r="B304" s="15" t="s">
        <v>12</v>
      </c>
      <c r="C304" s="15" t="s">
        <v>17</v>
      </c>
      <c r="D304" s="15" t="s">
        <v>72</v>
      </c>
      <c r="E304" s="15" t="s">
        <v>21</v>
      </c>
      <c r="F304" s="15" t="n">
        <v>0.98</v>
      </c>
      <c r="G304" s="15" t="s">
        <v>158</v>
      </c>
      <c r="H304" s="15"/>
      <c r="I304" s="15" t="s">
        <v>346</v>
      </c>
      <c r="J304" s="15" t="s">
        <v>363</v>
      </c>
      <c r="K304" s="15" t="s">
        <v>717</v>
      </c>
      <c r="L304" s="15"/>
      <c r="M304" s="15"/>
      <c r="N304" s="15"/>
      <c r="O304" s="15"/>
      <c r="P304" s="15" t="n">
        <v>0.395</v>
      </c>
      <c r="Q304" s="15" t="n">
        <v>0.395</v>
      </c>
      <c r="R304" s="15"/>
      <c r="S304" s="15" t="s">
        <v>459</v>
      </c>
      <c r="T304" s="15" t="n">
        <v>10</v>
      </c>
      <c r="U304" s="15"/>
      <c r="V304" s="15"/>
      <c r="W304" s="15"/>
      <c r="X304" s="15" t="s">
        <v>353</v>
      </c>
      <c r="Y304" s="15" t="n">
        <v>25</v>
      </c>
      <c r="Z304" s="15" t="s">
        <v>354</v>
      </c>
      <c r="AA304" s="15"/>
      <c r="AB304" s="15" t="n">
        <v>10</v>
      </c>
      <c r="AC304" s="15" t="n">
        <v>10</v>
      </c>
      <c r="AD304" s="15"/>
      <c r="AE304" s="15"/>
      <c r="AF304" s="15" t="s">
        <v>169</v>
      </c>
      <c r="AG304" s="15"/>
      <c r="AH304" s="24" t="n">
        <f aca="false">IF(R304="",AM304,R304)</f>
        <v>14</v>
      </c>
      <c r="AI304" s="24" t="n">
        <f aca="false">SUMIFS(Permissions!$G$2:$G$3000,Permissions!$B$2:$B$3000,$A304,Permissions!$I$2:$I$3000,"Complete",Permissions!$R$2:$R$3000,"Yes")</f>
        <v>0</v>
      </c>
      <c r="AJ304" s="24" t="n">
        <f aca="false">SUMIFS(Permissions!$G$2:$G$3000,Permissions!$B$2:$B$3000,$A304,Permissions!$I$2:$I$3000,"Under construction",Permissions!$R$2:$R$3000,"Yes")</f>
        <v>14</v>
      </c>
      <c r="AK304" s="24" t="n">
        <f aca="false">SUMIFS(Permissions!$G$2:$G$3000,Permissions!$B$2:$B$3000,$A304,Permissions!$I$2:$I$3000,"Permitted – not started",Permissions!$R$2:$R$3000,"Yes")</f>
        <v>0</v>
      </c>
      <c r="AL304" s="24" t="n">
        <f aca="false">SUMIFS(Permissions!$G$2:$G$3000,Permissions!$B$2:$B$3000,$A304,Permissions!$I$2:$I$3000,"Stalled",Permissions!$R$2:$R$3000,"Yes")</f>
        <v>0</v>
      </c>
      <c r="AM304" s="24" t="n">
        <f aca="false">AI304+AJ304+AK304+AL304</f>
        <v>14</v>
      </c>
      <c r="AN304" s="24" t="n">
        <f aca="false">SUMIFS(Permissions!$G$2:$G$3000,Permissions!$B$2:$B$3000,$A304,Permissions!$I$2:$I$3000,"Expired – not started",Permissions!$R$2:$R$3000,"Yes")</f>
        <v>0</v>
      </c>
      <c r="AO304" s="24" t="n">
        <f aca="false">SUMIFS(Permissions!$G$2:$G$3000,Permissions!$B$2:$B$3000,$A304,Permissions!$I$2:$I$3000,"In planning",Permissions!$R$2:$R$3000,"Yes")</f>
        <v>0</v>
      </c>
      <c r="AP304" s="24" t="n">
        <f aca="false">IF(R304="",0,MAX(R304-AM304,0))</f>
        <v>0</v>
      </c>
      <c r="AQ304" s="25" t="n">
        <f aca="false">AM304+AP304</f>
        <v>14</v>
      </c>
      <c r="AR304" s="24" t="n">
        <f aca="false">SUMIFS(Permissions!$L$2:$L$3000,Permissions!$B$2:$B$3000,$A304,Permissions!$R$2:$R$3000,"Yes",Permissions!$I$2:$I$3000,"&lt;&gt;Expired – not started",Permissions!$I$2:$I$3000,"&lt;&gt;In planning")</f>
        <v>0</v>
      </c>
      <c r="AS304" s="24" t="n">
        <f aca="false">AQ304-AR304</f>
        <v>14</v>
      </c>
      <c r="AT304" s="26" t="n">
        <f aca="false">SUMIFS(Permissions!$AJ$2:$AJ$3000,Permissions!$B$2:$B$3000,$A304,Permissions!$R$2:$R$3000,"Yes")</f>
        <v>3.3</v>
      </c>
      <c r="AU304" s="26" t="n">
        <f aca="false">SUMIFS(Permissions!$AK$2:$AK$3000,Permissions!$B$2:$B$3000,$A304,Permissions!$R$2:$R$3000,"Yes")</f>
        <v>10.7</v>
      </c>
      <c r="AV304" s="26" t="n">
        <f aca="false">SUMIFS(Permissions!$AL$2:$AL$3000,Permissions!$B$2:$B$3000,$A304,Permissions!$R$2:$R$3000,"Yes")</f>
        <v>0</v>
      </c>
      <c r="AW304" s="26" t="n">
        <f aca="false">SUMIFS(Permissions!$AM$2:$AM$3000,Permissions!$B$2:$B$3000,$A304,Permissions!$R$2:$R$3000,"Yes")</f>
        <v>0</v>
      </c>
      <c r="AX304" s="26" t="n">
        <f aca="false">SUMIFS(Permissions!$AN$2:$AN$3000,Permissions!$B$2:$B$3000,$A304,Permissions!$R$2:$R$3000,"Yes")</f>
        <v>0</v>
      </c>
      <c r="AY304" s="26" t="n">
        <f aca="false">SUMIFS(Permissions!$AO$2:$AO$3000,Permissions!$B$2:$B$3000,$A304,Permissions!$R$2:$R$3000,"Yes")</f>
        <v>0</v>
      </c>
      <c r="AZ304" s="24" t="n">
        <f aca="false">COUNTIFS(Permissions!$B$2:$B$3000,$A304,Permissions!$R$2:$R$3000,"Yes")</f>
        <v>1</v>
      </c>
      <c r="BA304" s="24" t="n">
        <f aca="false">SUMIFS(Permissions!$M$2:$M$3000,Permissions!$B$2:$B$3000,$A304,Permissions!$R$2:$R$3000,"Yes")</f>
        <v>0</v>
      </c>
      <c r="BB304" s="24" t="n">
        <f aca="false">SUMIFS(Permissions!$O$2:$O$3000,Permissions!$B$2:$B$3000,$A304,Permissions!$R$2:$R$3000,"Yes")</f>
        <v>0</v>
      </c>
      <c r="BC304" s="27" t="str">
        <f aca="false">IF(AND(AM304&gt;0,AR304&gt;=AM304,AP304=0),"Finished",IF(AR304&gt;0,"Partly built",IF(AM304&gt;0,"Consented – not built","No consent")))</f>
        <v>Consented – not built</v>
      </c>
      <c r="BD304" s="28" t="str">
        <f aca="false">IF(AND(R304&lt;&gt;"",AM304&gt;1.1*R304),"Consented above capacity",IF(AND(LEFT(B304,8)="Planning",AZ304=0),"Consent parcel with no permission",IF(COUNTIF($A$2:$A$3000,$A304)&gt;1,"Duplicate parcel_id","")))</f>
        <v/>
      </c>
    </row>
    <row r="305" customFormat="false" ht="15" hidden="false" customHeight="false" outlineLevel="0" collapsed="false">
      <c r="A305" s="15" t="s">
        <v>718</v>
      </c>
      <c r="B305" s="15" t="s">
        <v>12</v>
      </c>
      <c r="C305" s="15" t="s">
        <v>17</v>
      </c>
      <c r="D305" s="15" t="s">
        <v>22</v>
      </c>
      <c r="E305" s="15" t="s">
        <v>22</v>
      </c>
      <c r="F305" s="15"/>
      <c r="G305" s="15" t="s">
        <v>22</v>
      </c>
      <c r="H305" s="15"/>
      <c r="I305" s="15" t="s">
        <v>346</v>
      </c>
      <c r="J305" s="15" t="s">
        <v>363</v>
      </c>
      <c r="K305" s="15" t="s">
        <v>719</v>
      </c>
      <c r="L305" s="15"/>
      <c r="M305" s="15"/>
      <c r="N305" s="15"/>
      <c r="O305" s="15"/>
      <c r="P305" s="15" t="n">
        <v>0.095</v>
      </c>
      <c r="Q305" s="15" t="n">
        <v>0.095</v>
      </c>
      <c r="R305" s="15"/>
      <c r="S305" s="15" t="s">
        <v>459</v>
      </c>
      <c r="T305" s="15" t="n">
        <v>2</v>
      </c>
      <c r="U305" s="15"/>
      <c r="V305" s="15"/>
      <c r="W305" s="15"/>
      <c r="X305" s="15" t="s">
        <v>353</v>
      </c>
      <c r="Y305" s="15" t="n">
        <v>25</v>
      </c>
      <c r="Z305" s="15" t="s">
        <v>354</v>
      </c>
      <c r="AA305" s="15"/>
      <c r="AB305" s="15" t="n">
        <v>5</v>
      </c>
      <c r="AC305" s="15" t="n">
        <v>5</v>
      </c>
      <c r="AD305" s="15"/>
      <c r="AE305" s="15"/>
      <c r="AF305" s="15" t="s">
        <v>169</v>
      </c>
      <c r="AG305" s="15"/>
      <c r="AH305" s="24" t="n">
        <f aca="false">IF(R305="",AM305,R305)</f>
        <v>5</v>
      </c>
      <c r="AI305" s="24" t="n">
        <f aca="false">SUMIFS(Permissions!$G$2:$G$3000,Permissions!$B$2:$B$3000,$A305,Permissions!$I$2:$I$3000,"Complete",Permissions!$R$2:$R$3000,"Yes")</f>
        <v>5</v>
      </c>
      <c r="AJ305" s="24" t="n">
        <f aca="false">SUMIFS(Permissions!$G$2:$G$3000,Permissions!$B$2:$B$3000,$A305,Permissions!$I$2:$I$3000,"Under construction",Permissions!$R$2:$R$3000,"Yes")</f>
        <v>0</v>
      </c>
      <c r="AK305" s="24" t="n">
        <f aca="false">SUMIFS(Permissions!$G$2:$G$3000,Permissions!$B$2:$B$3000,$A305,Permissions!$I$2:$I$3000,"Permitted – not started",Permissions!$R$2:$R$3000,"Yes")</f>
        <v>0</v>
      </c>
      <c r="AL305" s="24" t="n">
        <f aca="false">SUMIFS(Permissions!$G$2:$G$3000,Permissions!$B$2:$B$3000,$A305,Permissions!$I$2:$I$3000,"Stalled",Permissions!$R$2:$R$3000,"Yes")</f>
        <v>0</v>
      </c>
      <c r="AM305" s="24" t="n">
        <f aca="false">AI305+AJ305+AK305+AL305</f>
        <v>5</v>
      </c>
      <c r="AN305" s="24" t="n">
        <f aca="false">SUMIFS(Permissions!$G$2:$G$3000,Permissions!$B$2:$B$3000,$A305,Permissions!$I$2:$I$3000,"Expired – not started",Permissions!$R$2:$R$3000,"Yes")</f>
        <v>0</v>
      </c>
      <c r="AO305" s="24" t="n">
        <f aca="false">SUMIFS(Permissions!$G$2:$G$3000,Permissions!$B$2:$B$3000,$A305,Permissions!$I$2:$I$3000,"In planning",Permissions!$R$2:$R$3000,"Yes")</f>
        <v>0</v>
      </c>
      <c r="AP305" s="24" t="n">
        <f aca="false">IF(R305="",0,MAX(R305-AM305,0))</f>
        <v>0</v>
      </c>
      <c r="AQ305" s="25" t="n">
        <f aca="false">AM305+AP305</f>
        <v>5</v>
      </c>
      <c r="AR305" s="24" t="n">
        <f aca="false">SUMIFS(Permissions!$L$2:$L$3000,Permissions!$B$2:$B$3000,$A305,Permissions!$R$2:$R$3000,"Yes",Permissions!$I$2:$I$3000,"&lt;&gt;Expired – not started",Permissions!$I$2:$I$3000,"&lt;&gt;In planning")</f>
        <v>5</v>
      </c>
      <c r="AS305" s="24" t="n">
        <f aca="false">AQ305-AR305</f>
        <v>0</v>
      </c>
      <c r="AT305" s="26" t="n">
        <f aca="false">SUMIFS(Permissions!$AJ$2:$AJ$3000,Permissions!$B$2:$B$3000,$A305,Permissions!$R$2:$R$3000,"Yes")</f>
        <v>0</v>
      </c>
      <c r="AU305" s="26" t="n">
        <f aca="false">SUMIFS(Permissions!$AK$2:$AK$3000,Permissions!$B$2:$B$3000,$A305,Permissions!$R$2:$R$3000,"Yes")</f>
        <v>0</v>
      </c>
      <c r="AV305" s="26" t="n">
        <f aca="false">SUMIFS(Permissions!$AL$2:$AL$3000,Permissions!$B$2:$B$3000,$A305,Permissions!$R$2:$R$3000,"Yes")</f>
        <v>0</v>
      </c>
      <c r="AW305" s="26" t="n">
        <f aca="false">SUMIFS(Permissions!$AM$2:$AM$3000,Permissions!$B$2:$B$3000,$A305,Permissions!$R$2:$R$3000,"Yes")</f>
        <v>0</v>
      </c>
      <c r="AX305" s="26" t="n">
        <f aca="false">SUMIFS(Permissions!$AN$2:$AN$3000,Permissions!$B$2:$B$3000,$A305,Permissions!$R$2:$R$3000,"Yes")</f>
        <v>0</v>
      </c>
      <c r="AY305" s="26" t="n">
        <f aca="false">SUMIFS(Permissions!$AO$2:$AO$3000,Permissions!$B$2:$B$3000,$A305,Permissions!$R$2:$R$3000,"Yes")</f>
        <v>0</v>
      </c>
      <c r="AZ305" s="24" t="n">
        <f aca="false">COUNTIFS(Permissions!$B$2:$B$3000,$A305,Permissions!$R$2:$R$3000,"Yes")</f>
        <v>1</v>
      </c>
      <c r="BA305" s="24" t="n">
        <f aca="false">SUMIFS(Permissions!$M$2:$M$3000,Permissions!$B$2:$B$3000,$A305,Permissions!$R$2:$R$3000,"Yes")</f>
        <v>5</v>
      </c>
      <c r="BB305" s="24" t="n">
        <f aca="false">SUMIFS(Permissions!$O$2:$O$3000,Permissions!$B$2:$B$3000,$A305,Permissions!$R$2:$R$3000,"Yes")</f>
        <v>0</v>
      </c>
      <c r="BC305" s="27" t="str">
        <f aca="false">IF(AND(AM305&gt;0,AR305&gt;=AM305,AP305=0),"Finished",IF(AR305&gt;0,"Partly built",IF(AM305&gt;0,"Consented – not built","No consent")))</f>
        <v>Finished</v>
      </c>
      <c r="BD305" s="28" t="str">
        <f aca="false">IF(AND(R305&lt;&gt;"",AM305&gt;1.1*R305),"Consented above capacity",IF(AND(LEFT(B305,8)="Planning",AZ305=0),"Consent parcel with no permission",IF(COUNTIF($A$2:$A$3000,$A305)&gt;1,"Duplicate parcel_id","")))</f>
        <v/>
      </c>
    </row>
    <row r="306" customFormat="false" ht="15" hidden="false" customHeight="false" outlineLevel="0" collapsed="false">
      <c r="A306" s="15" t="s">
        <v>720</v>
      </c>
      <c r="B306" s="15" t="s">
        <v>12</v>
      </c>
      <c r="C306" s="15" t="s">
        <v>17</v>
      </c>
      <c r="D306" s="15" t="s">
        <v>72</v>
      </c>
      <c r="E306" s="15" t="s">
        <v>21</v>
      </c>
      <c r="F306" s="15" t="n">
        <v>1</v>
      </c>
      <c r="G306" s="15" t="s">
        <v>158</v>
      </c>
      <c r="H306" s="15"/>
      <c r="I306" s="15" t="s">
        <v>346</v>
      </c>
      <c r="J306" s="15" t="s">
        <v>363</v>
      </c>
      <c r="K306" s="15" t="s">
        <v>721</v>
      </c>
      <c r="L306" s="15"/>
      <c r="M306" s="15"/>
      <c r="N306" s="15"/>
      <c r="O306" s="15"/>
      <c r="P306" s="15" t="n">
        <v>0.21</v>
      </c>
      <c r="Q306" s="15" t="n">
        <v>0.21</v>
      </c>
      <c r="R306" s="15"/>
      <c r="S306" s="15" t="s">
        <v>459</v>
      </c>
      <c r="T306" s="15" t="n">
        <v>5</v>
      </c>
      <c r="U306" s="15"/>
      <c r="V306" s="15"/>
      <c r="W306" s="15"/>
      <c r="X306" s="15" t="s">
        <v>353</v>
      </c>
      <c r="Y306" s="15" t="n">
        <v>25</v>
      </c>
      <c r="Z306" s="15" t="s">
        <v>354</v>
      </c>
      <c r="AA306" s="15"/>
      <c r="AB306" s="15" t="n">
        <v>10</v>
      </c>
      <c r="AC306" s="15" t="n">
        <v>0</v>
      </c>
      <c r="AD306" s="15"/>
      <c r="AE306" s="15"/>
      <c r="AF306" s="15" t="s">
        <v>169</v>
      </c>
      <c r="AG306" s="15"/>
      <c r="AH306" s="24" t="n">
        <f aca="false">IF(R306="",AM306,R306)</f>
        <v>9</v>
      </c>
      <c r="AI306" s="24" t="n">
        <f aca="false">SUMIFS(Permissions!$G$2:$G$3000,Permissions!$B$2:$B$3000,$A306,Permissions!$I$2:$I$3000,"Complete",Permissions!$R$2:$R$3000,"Yes")</f>
        <v>9</v>
      </c>
      <c r="AJ306" s="24" t="n">
        <f aca="false">SUMIFS(Permissions!$G$2:$G$3000,Permissions!$B$2:$B$3000,$A306,Permissions!$I$2:$I$3000,"Under construction",Permissions!$R$2:$R$3000,"Yes")</f>
        <v>0</v>
      </c>
      <c r="AK306" s="24" t="n">
        <f aca="false">SUMIFS(Permissions!$G$2:$G$3000,Permissions!$B$2:$B$3000,$A306,Permissions!$I$2:$I$3000,"Permitted – not started",Permissions!$R$2:$R$3000,"Yes")</f>
        <v>0</v>
      </c>
      <c r="AL306" s="24" t="n">
        <f aca="false">SUMIFS(Permissions!$G$2:$G$3000,Permissions!$B$2:$B$3000,$A306,Permissions!$I$2:$I$3000,"Stalled",Permissions!$R$2:$R$3000,"Yes")</f>
        <v>0</v>
      </c>
      <c r="AM306" s="24" t="n">
        <f aca="false">AI306+AJ306+AK306+AL306</f>
        <v>9</v>
      </c>
      <c r="AN306" s="24" t="n">
        <f aca="false">SUMIFS(Permissions!$G$2:$G$3000,Permissions!$B$2:$B$3000,$A306,Permissions!$I$2:$I$3000,"Expired – not started",Permissions!$R$2:$R$3000,"Yes")</f>
        <v>0</v>
      </c>
      <c r="AO306" s="24" t="n">
        <f aca="false">SUMIFS(Permissions!$G$2:$G$3000,Permissions!$B$2:$B$3000,$A306,Permissions!$I$2:$I$3000,"In planning",Permissions!$R$2:$R$3000,"Yes")</f>
        <v>0</v>
      </c>
      <c r="AP306" s="24" t="n">
        <f aca="false">IF(R306="",0,MAX(R306-AM306,0))</f>
        <v>0</v>
      </c>
      <c r="AQ306" s="25" t="n">
        <f aca="false">AM306+AP306</f>
        <v>9</v>
      </c>
      <c r="AR306" s="24" t="n">
        <f aca="false">SUMIFS(Permissions!$L$2:$L$3000,Permissions!$B$2:$B$3000,$A306,Permissions!$R$2:$R$3000,"Yes",Permissions!$I$2:$I$3000,"&lt;&gt;Expired – not started",Permissions!$I$2:$I$3000,"&lt;&gt;In planning")</f>
        <v>9</v>
      </c>
      <c r="AS306" s="24" t="n">
        <f aca="false">AQ306-AR306</f>
        <v>0</v>
      </c>
      <c r="AT306" s="26" t="n">
        <f aca="false">SUMIFS(Permissions!$AJ$2:$AJ$3000,Permissions!$B$2:$B$3000,$A306,Permissions!$R$2:$R$3000,"Yes")</f>
        <v>0</v>
      </c>
      <c r="AU306" s="26" t="n">
        <f aca="false">SUMIFS(Permissions!$AK$2:$AK$3000,Permissions!$B$2:$B$3000,$A306,Permissions!$R$2:$R$3000,"Yes")</f>
        <v>0</v>
      </c>
      <c r="AV306" s="26" t="n">
        <f aca="false">SUMIFS(Permissions!$AL$2:$AL$3000,Permissions!$B$2:$B$3000,$A306,Permissions!$R$2:$R$3000,"Yes")</f>
        <v>0</v>
      </c>
      <c r="AW306" s="26" t="n">
        <f aca="false">SUMIFS(Permissions!$AM$2:$AM$3000,Permissions!$B$2:$B$3000,$A306,Permissions!$R$2:$R$3000,"Yes")</f>
        <v>0</v>
      </c>
      <c r="AX306" s="26" t="n">
        <f aca="false">SUMIFS(Permissions!$AN$2:$AN$3000,Permissions!$B$2:$B$3000,$A306,Permissions!$R$2:$R$3000,"Yes")</f>
        <v>0</v>
      </c>
      <c r="AY306" s="26" t="n">
        <f aca="false">SUMIFS(Permissions!$AO$2:$AO$3000,Permissions!$B$2:$B$3000,$A306,Permissions!$R$2:$R$3000,"Yes")</f>
        <v>0</v>
      </c>
      <c r="AZ306" s="24" t="n">
        <f aca="false">COUNTIFS(Permissions!$B$2:$B$3000,$A306,Permissions!$R$2:$R$3000,"Yes")</f>
        <v>1</v>
      </c>
      <c r="BA306" s="24" t="n">
        <f aca="false">SUMIFS(Permissions!$M$2:$M$3000,Permissions!$B$2:$B$3000,$A306,Permissions!$R$2:$R$3000,"Yes")</f>
        <v>0</v>
      </c>
      <c r="BB306" s="24" t="n">
        <f aca="false">SUMIFS(Permissions!$O$2:$O$3000,Permissions!$B$2:$B$3000,$A306,Permissions!$R$2:$R$3000,"Yes")</f>
        <v>0</v>
      </c>
      <c r="BC306" s="27" t="str">
        <f aca="false">IF(AND(AM306&gt;0,AR306&gt;=AM306,AP306=0),"Finished",IF(AR306&gt;0,"Partly built",IF(AM306&gt;0,"Consented – not built","No consent")))</f>
        <v>Finished</v>
      </c>
      <c r="BD306" s="28" t="str">
        <f aca="false">IF(AND(R306&lt;&gt;"",AM306&gt;1.1*R306),"Consented above capacity",IF(AND(LEFT(B306,8)="Planning",AZ306=0),"Consent parcel with no permission",IF(COUNTIF($A$2:$A$3000,$A306)&gt;1,"Duplicate parcel_id","")))</f>
        <v/>
      </c>
    </row>
    <row r="307" customFormat="false" ht="15" hidden="false" customHeight="false" outlineLevel="0" collapsed="false">
      <c r="A307" s="15" t="s">
        <v>722</v>
      </c>
      <c r="B307" s="15" t="s">
        <v>12</v>
      </c>
      <c r="C307" s="15" t="s">
        <v>17</v>
      </c>
      <c r="D307" s="15" t="s">
        <v>64</v>
      </c>
      <c r="E307" s="15" t="s">
        <v>20</v>
      </c>
      <c r="F307" s="15" t="n">
        <v>0</v>
      </c>
      <c r="G307" s="15" t="s">
        <v>362</v>
      </c>
      <c r="H307" s="15"/>
      <c r="I307" s="15" t="s">
        <v>346</v>
      </c>
      <c r="J307" s="15" t="s">
        <v>390</v>
      </c>
      <c r="K307" s="15" t="s">
        <v>723</v>
      </c>
      <c r="L307" s="15"/>
      <c r="M307" s="15"/>
      <c r="N307" s="15"/>
      <c r="O307" s="15"/>
      <c r="P307" s="15" t="n">
        <v>2.797</v>
      </c>
      <c r="Q307" s="15" t="n">
        <v>2.797</v>
      </c>
      <c r="R307" s="15"/>
      <c r="S307" s="15" t="s">
        <v>459</v>
      </c>
      <c r="T307" s="15" t="n">
        <v>70</v>
      </c>
      <c r="U307" s="15"/>
      <c r="V307" s="15"/>
      <c r="W307" s="15"/>
      <c r="X307" s="15" t="s">
        <v>353</v>
      </c>
      <c r="Y307" s="15" t="n">
        <v>25</v>
      </c>
      <c r="Z307" s="15" t="s">
        <v>354</v>
      </c>
      <c r="AA307" s="15"/>
      <c r="AB307" s="15" t="n">
        <v>45</v>
      </c>
      <c r="AC307" s="15" t="n">
        <v>45</v>
      </c>
      <c r="AD307" s="15"/>
      <c r="AE307" s="15"/>
      <c r="AF307" s="15" t="s">
        <v>169</v>
      </c>
      <c r="AG307" s="15"/>
      <c r="AH307" s="24" t="n">
        <f aca="false">IF(R307="",AM307,R307)</f>
        <v>73</v>
      </c>
      <c r="AI307" s="24" t="n">
        <f aca="false">SUMIFS(Permissions!$G$2:$G$3000,Permissions!$B$2:$B$3000,$A307,Permissions!$I$2:$I$3000,"Complete",Permissions!$R$2:$R$3000,"Yes")</f>
        <v>0</v>
      </c>
      <c r="AJ307" s="24" t="n">
        <f aca="false">SUMIFS(Permissions!$G$2:$G$3000,Permissions!$B$2:$B$3000,$A307,Permissions!$I$2:$I$3000,"Under construction",Permissions!$R$2:$R$3000,"Yes")</f>
        <v>73</v>
      </c>
      <c r="AK307" s="24" t="n">
        <f aca="false">SUMIFS(Permissions!$G$2:$G$3000,Permissions!$B$2:$B$3000,$A307,Permissions!$I$2:$I$3000,"Permitted – not started",Permissions!$R$2:$R$3000,"Yes")</f>
        <v>0</v>
      </c>
      <c r="AL307" s="24" t="n">
        <f aca="false">SUMIFS(Permissions!$G$2:$G$3000,Permissions!$B$2:$B$3000,$A307,Permissions!$I$2:$I$3000,"Stalled",Permissions!$R$2:$R$3000,"Yes")</f>
        <v>0</v>
      </c>
      <c r="AM307" s="24" t="n">
        <f aca="false">AI307+AJ307+AK307+AL307</f>
        <v>73</v>
      </c>
      <c r="AN307" s="24" t="n">
        <f aca="false">SUMIFS(Permissions!$G$2:$G$3000,Permissions!$B$2:$B$3000,$A307,Permissions!$I$2:$I$3000,"Expired – not started",Permissions!$R$2:$R$3000,"Yes")</f>
        <v>0</v>
      </c>
      <c r="AO307" s="24" t="n">
        <f aca="false">SUMIFS(Permissions!$G$2:$G$3000,Permissions!$B$2:$B$3000,$A307,Permissions!$I$2:$I$3000,"In planning",Permissions!$R$2:$R$3000,"Yes")</f>
        <v>0</v>
      </c>
      <c r="AP307" s="24" t="n">
        <f aca="false">IF(R307="",0,MAX(R307-AM307,0))</f>
        <v>0</v>
      </c>
      <c r="AQ307" s="25" t="n">
        <f aca="false">AM307+AP307</f>
        <v>73</v>
      </c>
      <c r="AR307" s="24" t="n">
        <f aca="false">SUMIFS(Permissions!$L$2:$L$3000,Permissions!$B$2:$B$3000,$A307,Permissions!$R$2:$R$3000,"Yes",Permissions!$I$2:$I$3000,"&lt;&gt;Expired – not started",Permissions!$I$2:$I$3000,"&lt;&gt;In planning")</f>
        <v>30</v>
      </c>
      <c r="AS307" s="24" t="n">
        <f aca="false">AQ307-AR307</f>
        <v>43</v>
      </c>
      <c r="AT307" s="26" t="n">
        <f aca="false">SUMIFS(Permissions!$AJ$2:$AJ$3000,Permissions!$B$2:$B$3000,$A307,Permissions!$R$2:$R$3000,"Yes")</f>
        <v>17</v>
      </c>
      <c r="AU307" s="26" t="n">
        <f aca="false">SUMIFS(Permissions!$AK$2:$AK$3000,Permissions!$B$2:$B$3000,$A307,Permissions!$R$2:$R$3000,"Yes")</f>
        <v>56</v>
      </c>
      <c r="AV307" s="26" t="n">
        <f aca="false">SUMIFS(Permissions!$AL$2:$AL$3000,Permissions!$B$2:$B$3000,$A307,Permissions!$R$2:$R$3000,"Yes")</f>
        <v>0</v>
      </c>
      <c r="AW307" s="26" t="n">
        <f aca="false">SUMIFS(Permissions!$AM$2:$AM$3000,Permissions!$B$2:$B$3000,$A307,Permissions!$R$2:$R$3000,"Yes")</f>
        <v>0</v>
      </c>
      <c r="AX307" s="26" t="n">
        <f aca="false">SUMIFS(Permissions!$AN$2:$AN$3000,Permissions!$B$2:$B$3000,$A307,Permissions!$R$2:$R$3000,"Yes")</f>
        <v>0</v>
      </c>
      <c r="AY307" s="26" t="n">
        <f aca="false">SUMIFS(Permissions!$AO$2:$AO$3000,Permissions!$B$2:$B$3000,$A307,Permissions!$R$2:$R$3000,"Yes")</f>
        <v>0</v>
      </c>
      <c r="AZ307" s="24" t="n">
        <f aca="false">COUNTIFS(Permissions!$B$2:$B$3000,$A307,Permissions!$R$2:$R$3000,"Yes")</f>
        <v>2</v>
      </c>
      <c r="BA307" s="24" t="n">
        <f aca="false">SUMIFS(Permissions!$M$2:$M$3000,Permissions!$B$2:$B$3000,$A307,Permissions!$R$2:$R$3000,"Yes")</f>
        <v>30</v>
      </c>
      <c r="BB307" s="24" t="n">
        <f aca="false">SUMIFS(Permissions!$O$2:$O$3000,Permissions!$B$2:$B$3000,$A307,Permissions!$R$2:$R$3000,"Yes")</f>
        <v>1</v>
      </c>
      <c r="BC307" s="27" t="str">
        <f aca="false">IF(AND(AM307&gt;0,AR307&gt;=AM307,AP307=0),"Finished",IF(AR307&gt;0,"Partly built",IF(AM307&gt;0,"Consented – not built","No consent")))</f>
        <v>Partly built</v>
      </c>
      <c r="BD307" s="28" t="str">
        <f aca="false">IF(AND(R307&lt;&gt;"",AM307&gt;1.1*R307),"Consented above capacity",IF(AND(LEFT(B307,8)="Planning",AZ307=0),"Consent parcel with no permission",IF(COUNTIF($A$2:$A$3000,$A307)&gt;1,"Duplicate parcel_id","")))</f>
        <v/>
      </c>
    </row>
    <row r="308" customFormat="false" ht="15" hidden="false" customHeight="false" outlineLevel="0" collapsed="false">
      <c r="A308" s="15" t="s">
        <v>724</v>
      </c>
      <c r="B308" s="15" t="s">
        <v>12</v>
      </c>
      <c r="C308" s="15" t="s">
        <v>17</v>
      </c>
      <c r="D308" s="15" t="s">
        <v>61</v>
      </c>
      <c r="E308" s="15" t="s">
        <v>20</v>
      </c>
      <c r="F308" s="15" t="n">
        <v>1</v>
      </c>
      <c r="G308" s="15" t="s">
        <v>158</v>
      </c>
      <c r="H308" s="15"/>
      <c r="I308" s="15" t="s">
        <v>346</v>
      </c>
      <c r="J308" s="15" t="s">
        <v>363</v>
      </c>
      <c r="K308" s="15" t="s">
        <v>725</v>
      </c>
      <c r="L308" s="15"/>
      <c r="M308" s="15"/>
      <c r="N308" s="15"/>
      <c r="O308" s="15"/>
      <c r="P308" s="15" t="n">
        <v>0.213</v>
      </c>
      <c r="Q308" s="15" t="n">
        <v>0.213</v>
      </c>
      <c r="R308" s="15"/>
      <c r="S308" s="15" t="s">
        <v>459</v>
      </c>
      <c r="T308" s="15" t="n">
        <v>5</v>
      </c>
      <c r="U308" s="15"/>
      <c r="V308" s="15"/>
      <c r="W308" s="15"/>
      <c r="X308" s="15" t="s">
        <v>353</v>
      </c>
      <c r="Y308" s="15" t="n">
        <v>25</v>
      </c>
      <c r="Z308" s="15" t="s">
        <v>354</v>
      </c>
      <c r="AA308" s="15"/>
      <c r="AB308" s="15" t="n">
        <v>7</v>
      </c>
      <c r="AC308" s="15" t="n">
        <v>7</v>
      </c>
      <c r="AD308" s="15"/>
      <c r="AE308" s="15"/>
      <c r="AF308" s="15" t="s">
        <v>169</v>
      </c>
      <c r="AG308" s="15"/>
      <c r="AH308" s="24" t="n">
        <f aca="false">IF(R308="",AM308,R308)</f>
        <v>9</v>
      </c>
      <c r="AI308" s="24" t="n">
        <f aca="false">SUMIFS(Permissions!$G$2:$G$3000,Permissions!$B$2:$B$3000,$A308,Permissions!$I$2:$I$3000,"Complete",Permissions!$R$2:$R$3000,"Yes")</f>
        <v>9</v>
      </c>
      <c r="AJ308" s="24" t="n">
        <f aca="false">SUMIFS(Permissions!$G$2:$G$3000,Permissions!$B$2:$B$3000,$A308,Permissions!$I$2:$I$3000,"Under construction",Permissions!$R$2:$R$3000,"Yes")</f>
        <v>0</v>
      </c>
      <c r="AK308" s="24" t="n">
        <f aca="false">SUMIFS(Permissions!$G$2:$G$3000,Permissions!$B$2:$B$3000,$A308,Permissions!$I$2:$I$3000,"Permitted – not started",Permissions!$R$2:$R$3000,"Yes")</f>
        <v>0</v>
      </c>
      <c r="AL308" s="24" t="n">
        <f aca="false">SUMIFS(Permissions!$G$2:$G$3000,Permissions!$B$2:$B$3000,$A308,Permissions!$I$2:$I$3000,"Stalled",Permissions!$R$2:$R$3000,"Yes")</f>
        <v>0</v>
      </c>
      <c r="AM308" s="24" t="n">
        <f aca="false">AI308+AJ308+AK308+AL308</f>
        <v>9</v>
      </c>
      <c r="AN308" s="24" t="n">
        <f aca="false">SUMIFS(Permissions!$G$2:$G$3000,Permissions!$B$2:$B$3000,$A308,Permissions!$I$2:$I$3000,"Expired – not started",Permissions!$R$2:$R$3000,"Yes")</f>
        <v>0</v>
      </c>
      <c r="AO308" s="24" t="n">
        <f aca="false">SUMIFS(Permissions!$G$2:$G$3000,Permissions!$B$2:$B$3000,$A308,Permissions!$I$2:$I$3000,"In planning",Permissions!$R$2:$R$3000,"Yes")</f>
        <v>0</v>
      </c>
      <c r="AP308" s="24" t="n">
        <f aca="false">IF(R308="",0,MAX(R308-AM308,0))</f>
        <v>0</v>
      </c>
      <c r="AQ308" s="25" t="n">
        <f aca="false">AM308+AP308</f>
        <v>9</v>
      </c>
      <c r="AR308" s="24" t="n">
        <f aca="false">SUMIFS(Permissions!$L$2:$L$3000,Permissions!$B$2:$B$3000,$A308,Permissions!$R$2:$R$3000,"Yes",Permissions!$I$2:$I$3000,"&lt;&gt;Expired – not started",Permissions!$I$2:$I$3000,"&lt;&gt;In planning")</f>
        <v>9</v>
      </c>
      <c r="AS308" s="24" t="n">
        <f aca="false">AQ308-AR308</f>
        <v>0</v>
      </c>
      <c r="AT308" s="26" t="n">
        <f aca="false">SUMIFS(Permissions!$AJ$2:$AJ$3000,Permissions!$B$2:$B$3000,$A308,Permissions!$R$2:$R$3000,"Yes")</f>
        <v>0</v>
      </c>
      <c r="AU308" s="26" t="n">
        <f aca="false">SUMIFS(Permissions!$AK$2:$AK$3000,Permissions!$B$2:$B$3000,$A308,Permissions!$R$2:$R$3000,"Yes")</f>
        <v>0</v>
      </c>
      <c r="AV308" s="26" t="n">
        <f aca="false">SUMIFS(Permissions!$AL$2:$AL$3000,Permissions!$B$2:$B$3000,$A308,Permissions!$R$2:$R$3000,"Yes")</f>
        <v>0</v>
      </c>
      <c r="AW308" s="26" t="n">
        <f aca="false">SUMIFS(Permissions!$AM$2:$AM$3000,Permissions!$B$2:$B$3000,$A308,Permissions!$R$2:$R$3000,"Yes")</f>
        <v>0</v>
      </c>
      <c r="AX308" s="26" t="n">
        <f aca="false">SUMIFS(Permissions!$AN$2:$AN$3000,Permissions!$B$2:$B$3000,$A308,Permissions!$R$2:$R$3000,"Yes")</f>
        <v>0</v>
      </c>
      <c r="AY308" s="26" t="n">
        <f aca="false">SUMIFS(Permissions!$AO$2:$AO$3000,Permissions!$B$2:$B$3000,$A308,Permissions!$R$2:$R$3000,"Yes")</f>
        <v>0</v>
      </c>
      <c r="AZ308" s="24" t="n">
        <f aca="false">COUNTIFS(Permissions!$B$2:$B$3000,$A308,Permissions!$R$2:$R$3000,"Yes")</f>
        <v>1</v>
      </c>
      <c r="BA308" s="24" t="n">
        <f aca="false">SUMIFS(Permissions!$M$2:$M$3000,Permissions!$B$2:$B$3000,$A308,Permissions!$R$2:$R$3000,"Yes")</f>
        <v>0</v>
      </c>
      <c r="BB308" s="24" t="n">
        <f aca="false">SUMIFS(Permissions!$O$2:$O$3000,Permissions!$B$2:$B$3000,$A308,Permissions!$R$2:$R$3000,"Yes")</f>
        <v>0</v>
      </c>
      <c r="BC308" s="27" t="str">
        <f aca="false">IF(AND(AM308&gt;0,AR308&gt;=AM308,AP308=0),"Finished",IF(AR308&gt;0,"Partly built",IF(AM308&gt;0,"Consented – not built","No consent")))</f>
        <v>Finished</v>
      </c>
      <c r="BD308" s="28" t="str">
        <f aca="false">IF(AND(R308&lt;&gt;"",AM308&gt;1.1*R308),"Consented above capacity",IF(AND(LEFT(B308,8)="Planning",AZ308=0),"Consent parcel with no permission",IF(COUNTIF($A$2:$A$3000,$A308)&gt;1,"Duplicate parcel_id","")))</f>
        <v/>
      </c>
    </row>
    <row r="309" customFormat="false" ht="15" hidden="false" customHeight="false" outlineLevel="0" collapsed="false">
      <c r="A309" s="15" t="s">
        <v>726</v>
      </c>
      <c r="B309" s="15" t="s">
        <v>12</v>
      </c>
      <c r="C309" s="15" t="s">
        <v>17</v>
      </c>
      <c r="D309" s="15" t="s">
        <v>60</v>
      </c>
      <c r="E309" s="15" t="s">
        <v>20</v>
      </c>
      <c r="F309" s="15" t="n">
        <v>0</v>
      </c>
      <c r="G309" s="15" t="s">
        <v>362</v>
      </c>
      <c r="H309" s="15"/>
      <c r="I309" s="15" t="s">
        <v>346</v>
      </c>
      <c r="J309" s="15" t="s">
        <v>390</v>
      </c>
      <c r="K309" s="15" t="s">
        <v>727</v>
      </c>
      <c r="L309" s="15"/>
      <c r="M309" s="15"/>
      <c r="N309" s="15"/>
      <c r="O309" s="15"/>
      <c r="P309" s="15" t="n">
        <v>2.789</v>
      </c>
      <c r="Q309" s="15" t="n">
        <v>2.789</v>
      </c>
      <c r="R309" s="15"/>
      <c r="S309" s="15" t="s">
        <v>459</v>
      </c>
      <c r="T309" s="15" t="n">
        <v>70</v>
      </c>
      <c r="U309" s="15"/>
      <c r="V309" s="15"/>
      <c r="W309" s="15"/>
      <c r="X309" s="15" t="s">
        <v>353</v>
      </c>
      <c r="Y309" s="15" t="n">
        <v>25</v>
      </c>
      <c r="Z309" s="15" t="s">
        <v>354</v>
      </c>
      <c r="AA309" s="15"/>
      <c r="AB309" s="15" t="n">
        <v>0</v>
      </c>
      <c r="AC309" s="15" t="n">
        <v>0</v>
      </c>
      <c r="AD309" s="15"/>
      <c r="AE309" s="15"/>
      <c r="AF309" s="15" t="s">
        <v>169</v>
      </c>
      <c r="AG309" s="15"/>
      <c r="AH309" s="24" t="n">
        <f aca="false">IF(R309="",AM309,R309)</f>
        <v>68</v>
      </c>
      <c r="AI309" s="24" t="n">
        <f aca="false">SUMIFS(Permissions!$G$2:$G$3000,Permissions!$B$2:$B$3000,$A309,Permissions!$I$2:$I$3000,"Complete",Permissions!$R$2:$R$3000,"Yes")</f>
        <v>0</v>
      </c>
      <c r="AJ309" s="24" t="n">
        <f aca="false">SUMIFS(Permissions!$G$2:$G$3000,Permissions!$B$2:$B$3000,$A309,Permissions!$I$2:$I$3000,"Under construction",Permissions!$R$2:$R$3000,"Yes")</f>
        <v>0</v>
      </c>
      <c r="AK309" s="24" t="n">
        <f aca="false">SUMIFS(Permissions!$G$2:$G$3000,Permissions!$B$2:$B$3000,$A309,Permissions!$I$2:$I$3000,"Permitted – not started",Permissions!$R$2:$R$3000,"Yes")</f>
        <v>68</v>
      </c>
      <c r="AL309" s="24" t="n">
        <f aca="false">SUMIFS(Permissions!$G$2:$G$3000,Permissions!$B$2:$B$3000,$A309,Permissions!$I$2:$I$3000,"Stalled",Permissions!$R$2:$R$3000,"Yes")</f>
        <v>0</v>
      </c>
      <c r="AM309" s="24" t="n">
        <f aca="false">AI309+AJ309+AK309+AL309</f>
        <v>68</v>
      </c>
      <c r="AN309" s="24" t="n">
        <f aca="false">SUMIFS(Permissions!$G$2:$G$3000,Permissions!$B$2:$B$3000,$A309,Permissions!$I$2:$I$3000,"Expired – not started",Permissions!$R$2:$R$3000,"Yes")</f>
        <v>0</v>
      </c>
      <c r="AO309" s="24" t="n">
        <f aca="false">SUMIFS(Permissions!$G$2:$G$3000,Permissions!$B$2:$B$3000,$A309,Permissions!$I$2:$I$3000,"In planning",Permissions!$R$2:$R$3000,"Yes")</f>
        <v>48</v>
      </c>
      <c r="AP309" s="24" t="n">
        <f aca="false">IF(R309="",0,MAX(R309-AM309,0))</f>
        <v>0</v>
      </c>
      <c r="AQ309" s="25" t="n">
        <f aca="false">AM309+AP309</f>
        <v>68</v>
      </c>
      <c r="AR309" s="24" t="n">
        <f aca="false">SUMIFS(Permissions!$L$2:$L$3000,Permissions!$B$2:$B$3000,$A309,Permissions!$R$2:$R$3000,"Yes",Permissions!$I$2:$I$3000,"&lt;&gt;Expired – not started",Permissions!$I$2:$I$3000,"&lt;&gt;In planning")</f>
        <v>0</v>
      </c>
      <c r="AS309" s="24" t="n">
        <f aca="false">AQ309-AR309</f>
        <v>68</v>
      </c>
      <c r="AT309" s="26" t="n">
        <f aca="false">SUMIFS(Permissions!$AJ$2:$AJ$3000,Permissions!$B$2:$B$3000,$A309,Permissions!$R$2:$R$3000,"Yes")</f>
        <v>0</v>
      </c>
      <c r="AU309" s="26" t="n">
        <f aca="false">SUMIFS(Permissions!$AK$2:$AK$3000,Permissions!$B$2:$B$3000,$A309,Permissions!$R$2:$R$3000,"Yes")</f>
        <v>0</v>
      </c>
      <c r="AV309" s="26" t="n">
        <f aca="false">SUMIFS(Permissions!$AL$2:$AL$3000,Permissions!$B$2:$B$3000,$A309,Permissions!$R$2:$R$3000,"Yes")</f>
        <v>53</v>
      </c>
      <c r="AW309" s="26" t="n">
        <f aca="false">SUMIFS(Permissions!$AM$2:$AM$3000,Permissions!$B$2:$B$3000,$A309,Permissions!$R$2:$R$3000,"Yes")</f>
        <v>15</v>
      </c>
      <c r="AX309" s="26" t="n">
        <f aca="false">SUMIFS(Permissions!$AN$2:$AN$3000,Permissions!$B$2:$B$3000,$A309,Permissions!$R$2:$R$3000,"Yes")</f>
        <v>0</v>
      </c>
      <c r="AY309" s="26" t="n">
        <f aca="false">SUMIFS(Permissions!$AO$2:$AO$3000,Permissions!$B$2:$B$3000,$A309,Permissions!$R$2:$R$3000,"Yes")</f>
        <v>0</v>
      </c>
      <c r="AZ309" s="24" t="n">
        <f aca="false">COUNTIFS(Permissions!$B$2:$B$3000,$A309,Permissions!$R$2:$R$3000,"Yes")</f>
        <v>2</v>
      </c>
      <c r="BA309" s="24" t="n">
        <f aca="false">SUMIFS(Permissions!$M$2:$M$3000,Permissions!$B$2:$B$3000,$A309,Permissions!$R$2:$R$3000,"Yes")</f>
        <v>0</v>
      </c>
      <c r="BB309" s="24" t="n">
        <f aca="false">SUMIFS(Permissions!$O$2:$O$3000,Permissions!$B$2:$B$3000,$A309,Permissions!$R$2:$R$3000,"Yes")</f>
        <v>0</v>
      </c>
      <c r="BC309" s="27" t="str">
        <f aca="false">IF(AND(AM309&gt;0,AR309&gt;=AM309,AP309=0),"Finished",IF(AR309&gt;0,"Partly built",IF(AM309&gt;0,"Consented – not built","No consent")))</f>
        <v>Consented – not built</v>
      </c>
      <c r="BD309" s="28" t="str">
        <f aca="false">IF(AND(R309&lt;&gt;"",AM309&gt;1.1*R309),"Consented above capacity",IF(AND(LEFT(B309,8)="Planning",AZ309=0),"Consent parcel with no permission",IF(COUNTIF($A$2:$A$3000,$A309)&gt;1,"Duplicate parcel_id","")))</f>
        <v/>
      </c>
    </row>
    <row r="310" customFormat="false" ht="15" hidden="false" customHeight="false" outlineLevel="0" collapsed="false">
      <c r="A310" s="15" t="s">
        <v>728</v>
      </c>
      <c r="B310" s="15" t="s">
        <v>12</v>
      </c>
      <c r="C310" s="15" t="s">
        <v>17</v>
      </c>
      <c r="D310" s="15" t="s">
        <v>70</v>
      </c>
      <c r="E310" s="15" t="s">
        <v>21</v>
      </c>
      <c r="F310" s="15" t="n">
        <v>1</v>
      </c>
      <c r="G310" s="15" t="s">
        <v>158</v>
      </c>
      <c r="H310" s="15"/>
      <c r="I310" s="15" t="s">
        <v>346</v>
      </c>
      <c r="J310" s="15" t="s">
        <v>347</v>
      </c>
      <c r="K310" s="15" t="s">
        <v>729</v>
      </c>
      <c r="L310" s="15"/>
      <c r="M310" s="15"/>
      <c r="N310" s="15"/>
      <c r="O310" s="15"/>
      <c r="P310" s="15" t="n">
        <v>2.047</v>
      </c>
      <c r="Q310" s="15" t="n">
        <v>2.047</v>
      </c>
      <c r="R310" s="15"/>
      <c r="S310" s="15" t="s">
        <v>459</v>
      </c>
      <c r="T310" s="15" t="n">
        <v>51</v>
      </c>
      <c r="U310" s="15"/>
      <c r="V310" s="15"/>
      <c r="W310" s="15"/>
      <c r="X310" s="15" t="s">
        <v>353</v>
      </c>
      <c r="Y310" s="15" t="n">
        <v>25</v>
      </c>
      <c r="Z310" s="15" t="s">
        <v>354</v>
      </c>
      <c r="AA310" s="15"/>
      <c r="AB310" s="15" t="n">
        <v>1</v>
      </c>
      <c r="AC310" s="15" t="n">
        <v>0</v>
      </c>
      <c r="AD310" s="15"/>
      <c r="AE310" s="15"/>
      <c r="AF310" s="15" t="s">
        <v>169</v>
      </c>
      <c r="AG310" s="15"/>
      <c r="AH310" s="24" t="n">
        <f aca="false">IF(R310="",AM310,R310)</f>
        <v>51</v>
      </c>
      <c r="AI310" s="24" t="n">
        <f aca="false">SUMIFS(Permissions!$G$2:$G$3000,Permissions!$B$2:$B$3000,$A310,Permissions!$I$2:$I$3000,"Complete",Permissions!$R$2:$R$3000,"Yes")</f>
        <v>0</v>
      </c>
      <c r="AJ310" s="24" t="n">
        <f aca="false">SUMIFS(Permissions!$G$2:$G$3000,Permissions!$B$2:$B$3000,$A310,Permissions!$I$2:$I$3000,"Under construction",Permissions!$R$2:$R$3000,"Yes")</f>
        <v>0</v>
      </c>
      <c r="AK310" s="24" t="n">
        <f aca="false">SUMIFS(Permissions!$G$2:$G$3000,Permissions!$B$2:$B$3000,$A310,Permissions!$I$2:$I$3000,"Permitted – not started",Permissions!$R$2:$R$3000,"Yes")</f>
        <v>51</v>
      </c>
      <c r="AL310" s="24" t="n">
        <f aca="false">SUMIFS(Permissions!$G$2:$G$3000,Permissions!$B$2:$B$3000,$A310,Permissions!$I$2:$I$3000,"Stalled",Permissions!$R$2:$R$3000,"Yes")</f>
        <v>0</v>
      </c>
      <c r="AM310" s="24" t="n">
        <f aca="false">AI310+AJ310+AK310+AL310</f>
        <v>51</v>
      </c>
      <c r="AN310" s="24" t="n">
        <f aca="false">SUMIFS(Permissions!$G$2:$G$3000,Permissions!$B$2:$B$3000,$A310,Permissions!$I$2:$I$3000,"Expired – not started",Permissions!$R$2:$R$3000,"Yes")</f>
        <v>0</v>
      </c>
      <c r="AO310" s="24" t="n">
        <f aca="false">SUMIFS(Permissions!$G$2:$G$3000,Permissions!$B$2:$B$3000,$A310,Permissions!$I$2:$I$3000,"In planning",Permissions!$R$2:$R$3000,"Yes")</f>
        <v>0</v>
      </c>
      <c r="AP310" s="24" t="n">
        <f aca="false">IF(R310="",0,MAX(R310-AM310,0))</f>
        <v>0</v>
      </c>
      <c r="AQ310" s="25" t="n">
        <f aca="false">AM310+AP310</f>
        <v>51</v>
      </c>
      <c r="AR310" s="24" t="n">
        <f aca="false">SUMIFS(Permissions!$L$2:$L$3000,Permissions!$B$2:$B$3000,$A310,Permissions!$R$2:$R$3000,"Yes",Permissions!$I$2:$I$3000,"&lt;&gt;Expired – not started",Permissions!$I$2:$I$3000,"&lt;&gt;In planning")</f>
        <v>0</v>
      </c>
      <c r="AS310" s="24" t="n">
        <f aca="false">AQ310-AR310</f>
        <v>51</v>
      </c>
      <c r="AT310" s="26" t="n">
        <f aca="false">SUMIFS(Permissions!$AJ$2:$AJ$3000,Permissions!$B$2:$B$3000,$A310,Permissions!$R$2:$R$3000,"Yes")</f>
        <v>0</v>
      </c>
      <c r="AU310" s="26" t="n">
        <f aca="false">SUMIFS(Permissions!$AK$2:$AK$3000,Permissions!$B$2:$B$3000,$A310,Permissions!$R$2:$R$3000,"Yes")</f>
        <v>0</v>
      </c>
      <c r="AV310" s="26" t="n">
        <f aca="false">SUMIFS(Permissions!$AL$2:$AL$3000,Permissions!$B$2:$B$3000,$A310,Permissions!$R$2:$R$3000,"Yes")</f>
        <v>39.8</v>
      </c>
      <c r="AW310" s="26" t="n">
        <f aca="false">SUMIFS(Permissions!$AM$2:$AM$3000,Permissions!$B$2:$B$3000,$A310,Permissions!$R$2:$R$3000,"Yes")</f>
        <v>11.2</v>
      </c>
      <c r="AX310" s="26" t="n">
        <f aca="false">SUMIFS(Permissions!$AN$2:$AN$3000,Permissions!$B$2:$B$3000,$A310,Permissions!$R$2:$R$3000,"Yes")</f>
        <v>0</v>
      </c>
      <c r="AY310" s="26" t="n">
        <f aca="false">SUMIFS(Permissions!$AO$2:$AO$3000,Permissions!$B$2:$B$3000,$A310,Permissions!$R$2:$R$3000,"Yes")</f>
        <v>0</v>
      </c>
      <c r="AZ310" s="24" t="n">
        <f aca="false">COUNTIFS(Permissions!$B$2:$B$3000,$A310,Permissions!$R$2:$R$3000,"Yes")</f>
        <v>1</v>
      </c>
      <c r="BA310" s="24" t="n">
        <f aca="false">SUMIFS(Permissions!$M$2:$M$3000,Permissions!$B$2:$B$3000,$A310,Permissions!$R$2:$R$3000,"Yes")</f>
        <v>0</v>
      </c>
      <c r="BB310" s="24" t="n">
        <f aca="false">SUMIFS(Permissions!$O$2:$O$3000,Permissions!$B$2:$B$3000,$A310,Permissions!$R$2:$R$3000,"Yes")</f>
        <v>0</v>
      </c>
      <c r="BC310" s="27" t="str">
        <f aca="false">IF(AND(AM310&gt;0,AR310&gt;=AM310,AP310=0),"Finished",IF(AR310&gt;0,"Partly built",IF(AM310&gt;0,"Consented – not built","No consent")))</f>
        <v>Consented – not built</v>
      </c>
      <c r="BD310" s="28" t="str">
        <f aca="false">IF(AND(R310&lt;&gt;"",AM310&gt;1.1*R310),"Consented above capacity",IF(AND(LEFT(B310,8)="Planning",AZ310=0),"Consent parcel with no permission",IF(COUNTIF($A$2:$A$3000,$A310)&gt;1,"Duplicate parcel_id","")))</f>
        <v/>
      </c>
    </row>
    <row r="311" customFormat="false" ht="15" hidden="false" customHeight="false" outlineLevel="0" collapsed="false">
      <c r="A311" s="15" t="s">
        <v>730</v>
      </c>
      <c r="B311" s="15" t="s">
        <v>12</v>
      </c>
      <c r="C311" s="15" t="s">
        <v>17</v>
      </c>
      <c r="D311" s="15" t="s">
        <v>22</v>
      </c>
      <c r="E311" s="15" t="s">
        <v>22</v>
      </c>
      <c r="F311" s="15"/>
      <c r="G311" s="15" t="s">
        <v>22</v>
      </c>
      <c r="H311" s="15"/>
      <c r="I311" s="15" t="s">
        <v>346</v>
      </c>
      <c r="J311" s="15" t="s">
        <v>390</v>
      </c>
      <c r="K311" s="15" t="s">
        <v>731</v>
      </c>
      <c r="L311" s="15"/>
      <c r="M311" s="15"/>
      <c r="N311" s="15"/>
      <c r="O311" s="15"/>
      <c r="P311" s="15" t="n">
        <v>0.581</v>
      </c>
      <c r="Q311" s="15" t="n">
        <v>0.581</v>
      </c>
      <c r="R311" s="15"/>
      <c r="S311" s="15" t="s">
        <v>459</v>
      </c>
      <c r="T311" s="15" t="n">
        <v>15</v>
      </c>
      <c r="U311" s="15"/>
      <c r="V311" s="15"/>
      <c r="W311" s="15"/>
      <c r="X311" s="15" t="s">
        <v>353</v>
      </c>
      <c r="Y311" s="15" t="n">
        <v>25</v>
      </c>
      <c r="Z311" s="15" t="s">
        <v>354</v>
      </c>
      <c r="AA311" s="15"/>
      <c r="AB311" s="15" t="n">
        <v>11</v>
      </c>
      <c r="AC311" s="15" t="n">
        <v>11</v>
      </c>
      <c r="AD311" s="15"/>
      <c r="AE311" s="15"/>
      <c r="AF311" s="15" t="s">
        <v>169</v>
      </c>
      <c r="AG311" s="15"/>
      <c r="AH311" s="24" t="n">
        <f aca="false">IF(R311="",AM311,R311)</f>
        <v>18</v>
      </c>
      <c r="AI311" s="24" t="n">
        <f aca="false">SUMIFS(Permissions!$G$2:$G$3000,Permissions!$B$2:$B$3000,$A311,Permissions!$I$2:$I$3000,"Complete",Permissions!$R$2:$R$3000,"Yes")</f>
        <v>0</v>
      </c>
      <c r="AJ311" s="24" t="n">
        <f aca="false">SUMIFS(Permissions!$G$2:$G$3000,Permissions!$B$2:$B$3000,$A311,Permissions!$I$2:$I$3000,"Under construction",Permissions!$R$2:$R$3000,"Yes")</f>
        <v>18</v>
      </c>
      <c r="AK311" s="24" t="n">
        <f aca="false">SUMIFS(Permissions!$G$2:$G$3000,Permissions!$B$2:$B$3000,$A311,Permissions!$I$2:$I$3000,"Permitted – not started",Permissions!$R$2:$R$3000,"Yes")</f>
        <v>0</v>
      </c>
      <c r="AL311" s="24" t="n">
        <f aca="false">SUMIFS(Permissions!$G$2:$G$3000,Permissions!$B$2:$B$3000,$A311,Permissions!$I$2:$I$3000,"Stalled",Permissions!$R$2:$R$3000,"Yes")</f>
        <v>0</v>
      </c>
      <c r="AM311" s="24" t="n">
        <f aca="false">AI311+AJ311+AK311+AL311</f>
        <v>18</v>
      </c>
      <c r="AN311" s="24" t="n">
        <f aca="false">SUMIFS(Permissions!$G$2:$G$3000,Permissions!$B$2:$B$3000,$A311,Permissions!$I$2:$I$3000,"Expired – not started",Permissions!$R$2:$R$3000,"Yes")</f>
        <v>0</v>
      </c>
      <c r="AO311" s="24" t="n">
        <f aca="false">SUMIFS(Permissions!$G$2:$G$3000,Permissions!$B$2:$B$3000,$A311,Permissions!$I$2:$I$3000,"In planning",Permissions!$R$2:$R$3000,"Yes")</f>
        <v>0</v>
      </c>
      <c r="AP311" s="24" t="n">
        <f aca="false">IF(R311="",0,MAX(R311-AM311,0))</f>
        <v>0</v>
      </c>
      <c r="AQ311" s="25" t="n">
        <f aca="false">AM311+AP311</f>
        <v>18</v>
      </c>
      <c r="AR311" s="24" t="n">
        <f aca="false">SUMIFS(Permissions!$L$2:$L$3000,Permissions!$B$2:$B$3000,$A311,Permissions!$R$2:$R$3000,"Yes",Permissions!$I$2:$I$3000,"&lt;&gt;Expired – not started",Permissions!$I$2:$I$3000,"&lt;&gt;In planning")</f>
        <v>0</v>
      </c>
      <c r="AS311" s="24" t="n">
        <f aca="false">AQ311-AR311</f>
        <v>18</v>
      </c>
      <c r="AT311" s="26" t="n">
        <f aca="false">SUMIFS(Permissions!$AJ$2:$AJ$3000,Permissions!$B$2:$B$3000,$A311,Permissions!$R$2:$R$3000,"Yes")</f>
        <v>4.2</v>
      </c>
      <c r="AU311" s="26" t="n">
        <f aca="false">SUMIFS(Permissions!$AK$2:$AK$3000,Permissions!$B$2:$B$3000,$A311,Permissions!$R$2:$R$3000,"Yes")</f>
        <v>13.8</v>
      </c>
      <c r="AV311" s="26" t="n">
        <f aca="false">SUMIFS(Permissions!$AL$2:$AL$3000,Permissions!$B$2:$B$3000,$A311,Permissions!$R$2:$R$3000,"Yes")</f>
        <v>0</v>
      </c>
      <c r="AW311" s="26" t="n">
        <f aca="false">SUMIFS(Permissions!$AM$2:$AM$3000,Permissions!$B$2:$B$3000,$A311,Permissions!$R$2:$R$3000,"Yes")</f>
        <v>0</v>
      </c>
      <c r="AX311" s="26" t="n">
        <f aca="false">SUMIFS(Permissions!$AN$2:$AN$3000,Permissions!$B$2:$B$3000,$A311,Permissions!$R$2:$R$3000,"Yes")</f>
        <v>0</v>
      </c>
      <c r="AY311" s="26" t="n">
        <f aca="false">SUMIFS(Permissions!$AO$2:$AO$3000,Permissions!$B$2:$B$3000,$A311,Permissions!$R$2:$R$3000,"Yes")</f>
        <v>0</v>
      </c>
      <c r="AZ311" s="24" t="n">
        <f aca="false">COUNTIFS(Permissions!$B$2:$B$3000,$A311,Permissions!$R$2:$R$3000,"Yes")</f>
        <v>1</v>
      </c>
      <c r="BA311" s="24" t="n">
        <f aca="false">SUMIFS(Permissions!$M$2:$M$3000,Permissions!$B$2:$B$3000,$A311,Permissions!$R$2:$R$3000,"Yes")</f>
        <v>0</v>
      </c>
      <c r="BB311" s="24" t="n">
        <f aca="false">SUMIFS(Permissions!$O$2:$O$3000,Permissions!$B$2:$B$3000,$A311,Permissions!$R$2:$R$3000,"Yes")</f>
        <v>0</v>
      </c>
      <c r="BC311" s="27" t="str">
        <f aca="false">IF(AND(AM311&gt;0,AR311&gt;=AM311,AP311=0),"Finished",IF(AR311&gt;0,"Partly built",IF(AM311&gt;0,"Consented – not built","No consent")))</f>
        <v>Consented – not built</v>
      </c>
      <c r="BD311" s="28" t="str">
        <f aca="false">IF(AND(R311&lt;&gt;"",AM311&gt;1.1*R311),"Consented above capacity",IF(AND(LEFT(B311,8)="Planning",AZ311=0),"Consent parcel with no permission",IF(COUNTIF($A$2:$A$3000,$A311)&gt;1,"Duplicate parcel_id","")))</f>
        <v/>
      </c>
    </row>
    <row r="312" customFormat="false" ht="15" hidden="false" customHeight="false" outlineLevel="0" collapsed="false">
      <c r="A312" s="15" t="s">
        <v>732</v>
      </c>
      <c r="B312" s="15" t="s">
        <v>12</v>
      </c>
      <c r="C312" s="15" t="s">
        <v>17</v>
      </c>
      <c r="D312" s="15" t="s">
        <v>72</v>
      </c>
      <c r="E312" s="15" t="s">
        <v>21</v>
      </c>
      <c r="F312" s="15" t="n">
        <v>0.05</v>
      </c>
      <c r="G312" s="15" t="s">
        <v>158</v>
      </c>
      <c r="H312" s="15"/>
      <c r="I312" s="15" t="s">
        <v>346</v>
      </c>
      <c r="J312" s="15" t="s">
        <v>363</v>
      </c>
      <c r="K312" s="15" t="s">
        <v>733</v>
      </c>
      <c r="L312" s="15"/>
      <c r="M312" s="15"/>
      <c r="N312" s="15"/>
      <c r="O312" s="15"/>
      <c r="P312" s="15" t="n">
        <v>0.427</v>
      </c>
      <c r="Q312" s="15" t="n">
        <v>0.427</v>
      </c>
      <c r="R312" s="15"/>
      <c r="S312" s="15" t="s">
        <v>459</v>
      </c>
      <c r="T312" s="15" t="n">
        <v>11</v>
      </c>
      <c r="U312" s="15"/>
      <c r="V312" s="15"/>
      <c r="W312" s="15"/>
      <c r="X312" s="15" t="s">
        <v>353</v>
      </c>
      <c r="Y312" s="15" t="n">
        <v>25</v>
      </c>
      <c r="Z312" s="15" t="s">
        <v>354</v>
      </c>
      <c r="AA312" s="15"/>
      <c r="AB312" s="15" t="n">
        <v>10</v>
      </c>
      <c r="AC312" s="15" t="n">
        <v>10</v>
      </c>
      <c r="AD312" s="15"/>
      <c r="AE312" s="15"/>
      <c r="AF312" s="15" t="s">
        <v>169</v>
      </c>
      <c r="AG312" s="15"/>
      <c r="AH312" s="24" t="n">
        <f aca="false">IF(R312="",AM312,R312)</f>
        <v>10</v>
      </c>
      <c r="AI312" s="24" t="n">
        <f aca="false">SUMIFS(Permissions!$G$2:$G$3000,Permissions!$B$2:$B$3000,$A312,Permissions!$I$2:$I$3000,"Complete",Permissions!$R$2:$R$3000,"Yes")</f>
        <v>10</v>
      </c>
      <c r="AJ312" s="24" t="n">
        <f aca="false">SUMIFS(Permissions!$G$2:$G$3000,Permissions!$B$2:$B$3000,$A312,Permissions!$I$2:$I$3000,"Under construction",Permissions!$R$2:$R$3000,"Yes")</f>
        <v>0</v>
      </c>
      <c r="AK312" s="24" t="n">
        <f aca="false">SUMIFS(Permissions!$G$2:$G$3000,Permissions!$B$2:$B$3000,$A312,Permissions!$I$2:$I$3000,"Permitted – not started",Permissions!$R$2:$R$3000,"Yes")</f>
        <v>0</v>
      </c>
      <c r="AL312" s="24" t="n">
        <f aca="false">SUMIFS(Permissions!$G$2:$G$3000,Permissions!$B$2:$B$3000,$A312,Permissions!$I$2:$I$3000,"Stalled",Permissions!$R$2:$R$3000,"Yes")</f>
        <v>0</v>
      </c>
      <c r="AM312" s="24" t="n">
        <f aca="false">AI312+AJ312+AK312+AL312</f>
        <v>10</v>
      </c>
      <c r="AN312" s="24" t="n">
        <f aca="false">SUMIFS(Permissions!$G$2:$G$3000,Permissions!$B$2:$B$3000,$A312,Permissions!$I$2:$I$3000,"Expired – not started",Permissions!$R$2:$R$3000,"Yes")</f>
        <v>0</v>
      </c>
      <c r="AO312" s="24" t="n">
        <f aca="false">SUMIFS(Permissions!$G$2:$G$3000,Permissions!$B$2:$B$3000,$A312,Permissions!$I$2:$I$3000,"In planning",Permissions!$R$2:$R$3000,"Yes")</f>
        <v>0</v>
      </c>
      <c r="AP312" s="24" t="n">
        <f aca="false">IF(R312="",0,MAX(R312-AM312,0))</f>
        <v>0</v>
      </c>
      <c r="AQ312" s="25" t="n">
        <f aca="false">AM312+AP312</f>
        <v>10</v>
      </c>
      <c r="AR312" s="24" t="n">
        <f aca="false">SUMIFS(Permissions!$L$2:$L$3000,Permissions!$B$2:$B$3000,$A312,Permissions!$R$2:$R$3000,"Yes",Permissions!$I$2:$I$3000,"&lt;&gt;Expired – not started",Permissions!$I$2:$I$3000,"&lt;&gt;In planning")</f>
        <v>10</v>
      </c>
      <c r="AS312" s="24" t="n">
        <f aca="false">AQ312-AR312</f>
        <v>0</v>
      </c>
      <c r="AT312" s="26" t="n">
        <f aca="false">SUMIFS(Permissions!$AJ$2:$AJ$3000,Permissions!$B$2:$B$3000,$A312,Permissions!$R$2:$R$3000,"Yes")</f>
        <v>0</v>
      </c>
      <c r="AU312" s="26" t="n">
        <f aca="false">SUMIFS(Permissions!$AK$2:$AK$3000,Permissions!$B$2:$B$3000,$A312,Permissions!$R$2:$R$3000,"Yes")</f>
        <v>0</v>
      </c>
      <c r="AV312" s="26" t="n">
        <f aca="false">SUMIFS(Permissions!$AL$2:$AL$3000,Permissions!$B$2:$B$3000,$A312,Permissions!$R$2:$R$3000,"Yes")</f>
        <v>0</v>
      </c>
      <c r="AW312" s="26" t="n">
        <f aca="false">SUMIFS(Permissions!$AM$2:$AM$3000,Permissions!$B$2:$B$3000,$A312,Permissions!$R$2:$R$3000,"Yes")</f>
        <v>0</v>
      </c>
      <c r="AX312" s="26" t="n">
        <f aca="false">SUMIFS(Permissions!$AN$2:$AN$3000,Permissions!$B$2:$B$3000,$A312,Permissions!$R$2:$R$3000,"Yes")</f>
        <v>0</v>
      </c>
      <c r="AY312" s="26" t="n">
        <f aca="false">SUMIFS(Permissions!$AO$2:$AO$3000,Permissions!$B$2:$B$3000,$A312,Permissions!$R$2:$R$3000,"Yes")</f>
        <v>0</v>
      </c>
      <c r="AZ312" s="24" t="n">
        <f aca="false">COUNTIFS(Permissions!$B$2:$B$3000,$A312,Permissions!$R$2:$R$3000,"Yes")</f>
        <v>1</v>
      </c>
      <c r="BA312" s="24" t="n">
        <f aca="false">SUMIFS(Permissions!$M$2:$M$3000,Permissions!$B$2:$B$3000,$A312,Permissions!$R$2:$R$3000,"Yes")</f>
        <v>10</v>
      </c>
      <c r="BB312" s="24" t="n">
        <f aca="false">SUMIFS(Permissions!$O$2:$O$3000,Permissions!$B$2:$B$3000,$A312,Permissions!$R$2:$R$3000,"Yes")</f>
        <v>8</v>
      </c>
      <c r="BC312" s="27" t="str">
        <f aca="false">IF(AND(AM312&gt;0,AR312&gt;=AM312,AP312=0),"Finished",IF(AR312&gt;0,"Partly built",IF(AM312&gt;0,"Consented – not built","No consent")))</f>
        <v>Finished</v>
      </c>
      <c r="BD312" s="28" t="str">
        <f aca="false">IF(AND(R312&lt;&gt;"",AM312&gt;1.1*R312),"Consented above capacity",IF(AND(LEFT(B312,8)="Planning",AZ312=0),"Consent parcel with no permission",IF(COUNTIF($A$2:$A$3000,$A312)&gt;1,"Duplicate parcel_id","")))</f>
        <v/>
      </c>
    </row>
    <row r="313" customFormat="false" ht="15" hidden="false" customHeight="false" outlineLevel="0" collapsed="false">
      <c r="A313" s="15" t="s">
        <v>734</v>
      </c>
      <c r="B313" s="15" t="s">
        <v>12</v>
      </c>
      <c r="C313" s="15" t="s">
        <v>17</v>
      </c>
      <c r="D313" s="15" t="s">
        <v>74</v>
      </c>
      <c r="E313" s="15" t="s">
        <v>21</v>
      </c>
      <c r="F313" s="15" t="n">
        <v>1</v>
      </c>
      <c r="G313" s="15" t="s">
        <v>158</v>
      </c>
      <c r="H313" s="15"/>
      <c r="I313" s="15" t="s">
        <v>346</v>
      </c>
      <c r="J313" s="15" t="s">
        <v>159</v>
      </c>
      <c r="K313" s="15" t="s">
        <v>735</v>
      </c>
      <c r="L313" s="15"/>
      <c r="M313" s="15"/>
      <c r="N313" s="15"/>
      <c r="O313" s="15"/>
      <c r="P313" s="15" t="n">
        <v>0.474</v>
      </c>
      <c r="Q313" s="15" t="n">
        <v>0.474</v>
      </c>
      <c r="R313" s="15"/>
      <c r="S313" s="15" t="s">
        <v>459</v>
      </c>
      <c r="T313" s="15" t="n">
        <v>12</v>
      </c>
      <c r="U313" s="15"/>
      <c r="V313" s="15"/>
      <c r="W313" s="15"/>
      <c r="X313" s="15" t="s">
        <v>353</v>
      </c>
      <c r="Y313" s="15" t="n">
        <v>25</v>
      </c>
      <c r="Z313" s="15" t="s">
        <v>354</v>
      </c>
      <c r="AA313" s="15"/>
      <c r="AB313" s="15" t="n">
        <v>9</v>
      </c>
      <c r="AC313" s="15" t="n">
        <v>9</v>
      </c>
      <c r="AD313" s="15"/>
      <c r="AE313" s="15"/>
      <c r="AF313" s="15" t="s">
        <v>169</v>
      </c>
      <c r="AG313" s="15"/>
      <c r="AH313" s="24" t="n">
        <f aca="false">IF(R313="",AM313,R313)</f>
        <v>9</v>
      </c>
      <c r="AI313" s="24" t="n">
        <f aca="false">SUMIFS(Permissions!$G$2:$G$3000,Permissions!$B$2:$B$3000,$A313,Permissions!$I$2:$I$3000,"Complete",Permissions!$R$2:$R$3000,"Yes")</f>
        <v>9</v>
      </c>
      <c r="AJ313" s="24" t="n">
        <f aca="false">SUMIFS(Permissions!$G$2:$G$3000,Permissions!$B$2:$B$3000,$A313,Permissions!$I$2:$I$3000,"Under construction",Permissions!$R$2:$R$3000,"Yes")</f>
        <v>0</v>
      </c>
      <c r="AK313" s="24" t="n">
        <f aca="false">SUMIFS(Permissions!$G$2:$G$3000,Permissions!$B$2:$B$3000,$A313,Permissions!$I$2:$I$3000,"Permitted – not started",Permissions!$R$2:$R$3000,"Yes")</f>
        <v>0</v>
      </c>
      <c r="AL313" s="24" t="n">
        <f aca="false">SUMIFS(Permissions!$G$2:$G$3000,Permissions!$B$2:$B$3000,$A313,Permissions!$I$2:$I$3000,"Stalled",Permissions!$R$2:$R$3000,"Yes")</f>
        <v>0</v>
      </c>
      <c r="AM313" s="24" t="n">
        <f aca="false">AI313+AJ313+AK313+AL313</f>
        <v>9</v>
      </c>
      <c r="AN313" s="24" t="n">
        <f aca="false">SUMIFS(Permissions!$G$2:$G$3000,Permissions!$B$2:$B$3000,$A313,Permissions!$I$2:$I$3000,"Expired – not started",Permissions!$R$2:$R$3000,"Yes")</f>
        <v>0</v>
      </c>
      <c r="AO313" s="24" t="n">
        <f aca="false">SUMIFS(Permissions!$G$2:$G$3000,Permissions!$B$2:$B$3000,$A313,Permissions!$I$2:$I$3000,"In planning",Permissions!$R$2:$R$3000,"Yes")</f>
        <v>0</v>
      </c>
      <c r="AP313" s="24" t="n">
        <f aca="false">IF(R313="",0,MAX(R313-AM313,0))</f>
        <v>0</v>
      </c>
      <c r="AQ313" s="25" t="n">
        <f aca="false">AM313+AP313</f>
        <v>9</v>
      </c>
      <c r="AR313" s="24" t="n">
        <f aca="false">SUMIFS(Permissions!$L$2:$L$3000,Permissions!$B$2:$B$3000,$A313,Permissions!$R$2:$R$3000,"Yes",Permissions!$I$2:$I$3000,"&lt;&gt;Expired – not started",Permissions!$I$2:$I$3000,"&lt;&gt;In planning")</f>
        <v>9</v>
      </c>
      <c r="AS313" s="24" t="n">
        <f aca="false">AQ313-AR313</f>
        <v>0</v>
      </c>
      <c r="AT313" s="26" t="n">
        <f aca="false">SUMIFS(Permissions!$AJ$2:$AJ$3000,Permissions!$B$2:$B$3000,$A313,Permissions!$R$2:$R$3000,"Yes")</f>
        <v>0</v>
      </c>
      <c r="AU313" s="26" t="n">
        <f aca="false">SUMIFS(Permissions!$AK$2:$AK$3000,Permissions!$B$2:$B$3000,$A313,Permissions!$R$2:$R$3000,"Yes")</f>
        <v>0</v>
      </c>
      <c r="AV313" s="26" t="n">
        <f aca="false">SUMIFS(Permissions!$AL$2:$AL$3000,Permissions!$B$2:$B$3000,$A313,Permissions!$R$2:$R$3000,"Yes")</f>
        <v>0</v>
      </c>
      <c r="AW313" s="26" t="n">
        <f aca="false">SUMIFS(Permissions!$AM$2:$AM$3000,Permissions!$B$2:$B$3000,$A313,Permissions!$R$2:$R$3000,"Yes")</f>
        <v>0</v>
      </c>
      <c r="AX313" s="26" t="n">
        <f aca="false">SUMIFS(Permissions!$AN$2:$AN$3000,Permissions!$B$2:$B$3000,$A313,Permissions!$R$2:$R$3000,"Yes")</f>
        <v>0</v>
      </c>
      <c r="AY313" s="26" t="n">
        <f aca="false">SUMIFS(Permissions!$AO$2:$AO$3000,Permissions!$B$2:$B$3000,$A313,Permissions!$R$2:$R$3000,"Yes")</f>
        <v>0</v>
      </c>
      <c r="AZ313" s="24" t="n">
        <f aca="false">COUNTIFS(Permissions!$B$2:$B$3000,$A313,Permissions!$R$2:$R$3000,"Yes")</f>
        <v>1</v>
      </c>
      <c r="BA313" s="24" t="n">
        <f aca="false">SUMIFS(Permissions!$M$2:$M$3000,Permissions!$B$2:$B$3000,$A313,Permissions!$R$2:$R$3000,"Yes")</f>
        <v>0</v>
      </c>
      <c r="BB313" s="24" t="n">
        <f aca="false">SUMIFS(Permissions!$O$2:$O$3000,Permissions!$B$2:$B$3000,$A313,Permissions!$R$2:$R$3000,"Yes")</f>
        <v>0</v>
      </c>
      <c r="BC313" s="27" t="str">
        <f aca="false">IF(AND(AM313&gt;0,AR313&gt;=AM313,AP313=0),"Finished",IF(AR313&gt;0,"Partly built",IF(AM313&gt;0,"Consented – not built","No consent")))</f>
        <v>Finished</v>
      </c>
      <c r="BD313" s="28" t="str">
        <f aca="false">IF(AND(R313&lt;&gt;"",AM313&gt;1.1*R313),"Consented above capacity",IF(AND(LEFT(B313,8)="Planning",AZ313=0),"Consent parcel with no permission",IF(COUNTIF($A$2:$A$3000,$A313)&gt;1,"Duplicate parcel_id","")))</f>
        <v/>
      </c>
    </row>
    <row r="314" customFormat="false" ht="15" hidden="false" customHeight="false" outlineLevel="0" collapsed="false">
      <c r="A314" s="15" t="s">
        <v>736</v>
      </c>
      <c r="B314" s="15" t="s">
        <v>12</v>
      </c>
      <c r="C314" s="15" t="s">
        <v>17</v>
      </c>
      <c r="D314" s="15" t="s">
        <v>74</v>
      </c>
      <c r="E314" s="15" t="s">
        <v>21</v>
      </c>
      <c r="F314" s="15" t="n">
        <v>0</v>
      </c>
      <c r="G314" s="15" t="s">
        <v>362</v>
      </c>
      <c r="H314" s="15"/>
      <c r="I314" s="15" t="s">
        <v>346</v>
      </c>
      <c r="J314" s="15" t="s">
        <v>159</v>
      </c>
      <c r="K314" s="15" t="s">
        <v>737</v>
      </c>
      <c r="L314" s="15"/>
      <c r="M314" s="15"/>
      <c r="N314" s="15"/>
      <c r="O314" s="15"/>
      <c r="P314" s="15" t="n">
        <v>2.683</v>
      </c>
      <c r="Q314" s="15" t="n">
        <v>2.683</v>
      </c>
      <c r="R314" s="15"/>
      <c r="S314" s="15" t="s">
        <v>459</v>
      </c>
      <c r="T314" s="15" t="n">
        <v>67</v>
      </c>
      <c r="U314" s="15"/>
      <c r="V314" s="15"/>
      <c r="W314" s="15"/>
      <c r="X314" s="15" t="s">
        <v>353</v>
      </c>
      <c r="Y314" s="15" t="n">
        <v>25</v>
      </c>
      <c r="Z314" s="15" t="s">
        <v>354</v>
      </c>
      <c r="AA314" s="15"/>
      <c r="AB314" s="15" t="n">
        <v>14</v>
      </c>
      <c r="AC314" s="15" t="n">
        <v>14</v>
      </c>
      <c r="AD314" s="15"/>
      <c r="AE314" s="15"/>
      <c r="AF314" s="15" t="s">
        <v>169</v>
      </c>
      <c r="AG314" s="15"/>
      <c r="AH314" s="24" t="n">
        <f aca="false">IF(R314="",AM314,R314)</f>
        <v>52</v>
      </c>
      <c r="AI314" s="24" t="n">
        <f aca="false">SUMIFS(Permissions!$G$2:$G$3000,Permissions!$B$2:$B$3000,$A314,Permissions!$I$2:$I$3000,"Complete",Permissions!$R$2:$R$3000,"Yes")</f>
        <v>0</v>
      </c>
      <c r="AJ314" s="24" t="n">
        <f aca="false">SUMIFS(Permissions!$G$2:$G$3000,Permissions!$B$2:$B$3000,$A314,Permissions!$I$2:$I$3000,"Under construction",Permissions!$R$2:$R$3000,"Yes")</f>
        <v>52</v>
      </c>
      <c r="AK314" s="24" t="n">
        <f aca="false">SUMIFS(Permissions!$G$2:$G$3000,Permissions!$B$2:$B$3000,$A314,Permissions!$I$2:$I$3000,"Permitted – not started",Permissions!$R$2:$R$3000,"Yes")</f>
        <v>0</v>
      </c>
      <c r="AL314" s="24" t="n">
        <f aca="false">SUMIFS(Permissions!$G$2:$G$3000,Permissions!$B$2:$B$3000,$A314,Permissions!$I$2:$I$3000,"Stalled",Permissions!$R$2:$R$3000,"Yes")</f>
        <v>0</v>
      </c>
      <c r="AM314" s="24" t="n">
        <f aca="false">AI314+AJ314+AK314+AL314</f>
        <v>52</v>
      </c>
      <c r="AN314" s="24" t="n">
        <f aca="false">SUMIFS(Permissions!$G$2:$G$3000,Permissions!$B$2:$B$3000,$A314,Permissions!$I$2:$I$3000,"Expired – not started",Permissions!$R$2:$R$3000,"Yes")</f>
        <v>0</v>
      </c>
      <c r="AO314" s="24" t="n">
        <f aca="false">SUMIFS(Permissions!$G$2:$G$3000,Permissions!$B$2:$B$3000,$A314,Permissions!$I$2:$I$3000,"In planning",Permissions!$R$2:$R$3000,"Yes")</f>
        <v>0</v>
      </c>
      <c r="AP314" s="24" t="n">
        <f aca="false">IF(R314="",0,MAX(R314-AM314,0))</f>
        <v>0</v>
      </c>
      <c r="AQ314" s="25" t="n">
        <f aca="false">AM314+AP314</f>
        <v>52</v>
      </c>
      <c r="AR314" s="24" t="n">
        <f aca="false">SUMIFS(Permissions!$L$2:$L$3000,Permissions!$B$2:$B$3000,$A314,Permissions!$R$2:$R$3000,"Yes",Permissions!$I$2:$I$3000,"&lt;&gt;Expired – not started",Permissions!$I$2:$I$3000,"&lt;&gt;In planning")</f>
        <v>0</v>
      </c>
      <c r="AS314" s="24" t="n">
        <f aca="false">AQ314-AR314</f>
        <v>52</v>
      </c>
      <c r="AT314" s="26" t="n">
        <f aca="false">SUMIFS(Permissions!$AJ$2:$AJ$3000,Permissions!$B$2:$B$3000,$A314,Permissions!$R$2:$R$3000,"Yes")</f>
        <v>12.1</v>
      </c>
      <c r="AU314" s="26" t="n">
        <f aca="false">SUMIFS(Permissions!$AK$2:$AK$3000,Permissions!$B$2:$B$3000,$A314,Permissions!$R$2:$R$3000,"Yes")</f>
        <v>39.9</v>
      </c>
      <c r="AV314" s="26" t="n">
        <f aca="false">SUMIFS(Permissions!$AL$2:$AL$3000,Permissions!$B$2:$B$3000,$A314,Permissions!$R$2:$R$3000,"Yes")</f>
        <v>0</v>
      </c>
      <c r="AW314" s="26" t="n">
        <f aca="false">SUMIFS(Permissions!$AM$2:$AM$3000,Permissions!$B$2:$B$3000,$A314,Permissions!$R$2:$R$3000,"Yes")</f>
        <v>0</v>
      </c>
      <c r="AX314" s="26" t="n">
        <f aca="false">SUMIFS(Permissions!$AN$2:$AN$3000,Permissions!$B$2:$B$3000,$A314,Permissions!$R$2:$R$3000,"Yes")</f>
        <v>0</v>
      </c>
      <c r="AY314" s="26" t="n">
        <f aca="false">SUMIFS(Permissions!$AO$2:$AO$3000,Permissions!$B$2:$B$3000,$A314,Permissions!$R$2:$R$3000,"Yes")</f>
        <v>0</v>
      </c>
      <c r="AZ314" s="24" t="n">
        <f aca="false">COUNTIFS(Permissions!$B$2:$B$3000,$A314,Permissions!$R$2:$R$3000,"Yes")</f>
        <v>1</v>
      </c>
      <c r="BA314" s="24" t="n">
        <f aca="false">SUMIFS(Permissions!$M$2:$M$3000,Permissions!$B$2:$B$3000,$A314,Permissions!$R$2:$R$3000,"Yes")</f>
        <v>0</v>
      </c>
      <c r="BB314" s="24" t="n">
        <f aca="false">SUMIFS(Permissions!$O$2:$O$3000,Permissions!$B$2:$B$3000,$A314,Permissions!$R$2:$R$3000,"Yes")</f>
        <v>0</v>
      </c>
      <c r="BC314" s="27" t="str">
        <f aca="false">IF(AND(AM314&gt;0,AR314&gt;=AM314,AP314=0),"Finished",IF(AR314&gt;0,"Partly built",IF(AM314&gt;0,"Consented – not built","No consent")))</f>
        <v>Consented – not built</v>
      </c>
      <c r="BD314" s="28" t="str">
        <f aca="false">IF(AND(R314&lt;&gt;"",AM314&gt;1.1*R314),"Consented above capacity",IF(AND(LEFT(B314,8)="Planning",AZ314=0),"Consent parcel with no permission",IF(COUNTIF($A$2:$A$3000,$A314)&gt;1,"Duplicate parcel_id","")))</f>
        <v/>
      </c>
    </row>
    <row r="315" customFormat="false" ht="15" hidden="false" customHeight="false" outlineLevel="0" collapsed="false">
      <c r="A315" s="15" t="s">
        <v>738</v>
      </c>
      <c r="B315" s="15" t="s">
        <v>12</v>
      </c>
      <c r="C315" s="15" t="s">
        <v>17</v>
      </c>
      <c r="D315" s="15" t="s">
        <v>69</v>
      </c>
      <c r="E315" s="15" t="s">
        <v>21</v>
      </c>
      <c r="F315" s="15" t="n">
        <v>0</v>
      </c>
      <c r="G315" s="15" t="s">
        <v>362</v>
      </c>
      <c r="H315" s="15"/>
      <c r="I315" s="15" t="s">
        <v>346</v>
      </c>
      <c r="J315" s="15" t="s">
        <v>363</v>
      </c>
      <c r="K315" s="15" t="s">
        <v>739</v>
      </c>
      <c r="L315" s="15"/>
      <c r="M315" s="15"/>
      <c r="N315" s="15"/>
      <c r="O315" s="15"/>
      <c r="P315" s="15" t="n">
        <v>0.883</v>
      </c>
      <c r="Q315" s="15" t="n">
        <v>0.883</v>
      </c>
      <c r="R315" s="15"/>
      <c r="S315" s="15" t="s">
        <v>459</v>
      </c>
      <c r="T315" s="15" t="n">
        <v>22</v>
      </c>
      <c r="U315" s="15"/>
      <c r="V315" s="15"/>
      <c r="W315" s="15"/>
      <c r="X315" s="15" t="s">
        <v>353</v>
      </c>
      <c r="Y315" s="15" t="n">
        <v>25</v>
      </c>
      <c r="Z315" s="15" t="s">
        <v>354</v>
      </c>
      <c r="AA315" s="15"/>
      <c r="AB315" s="15" t="n">
        <v>17</v>
      </c>
      <c r="AC315" s="15" t="n">
        <v>17</v>
      </c>
      <c r="AD315" s="15"/>
      <c r="AE315" s="15"/>
      <c r="AF315" s="15" t="s">
        <v>169</v>
      </c>
      <c r="AG315" s="15"/>
      <c r="AH315" s="24" t="n">
        <f aca="false">IF(R315="",AM315,R315)</f>
        <v>17</v>
      </c>
      <c r="AI315" s="24" t="n">
        <f aca="false">SUMIFS(Permissions!$G$2:$G$3000,Permissions!$B$2:$B$3000,$A315,Permissions!$I$2:$I$3000,"Complete",Permissions!$R$2:$R$3000,"Yes")</f>
        <v>17</v>
      </c>
      <c r="AJ315" s="24" t="n">
        <f aca="false">SUMIFS(Permissions!$G$2:$G$3000,Permissions!$B$2:$B$3000,$A315,Permissions!$I$2:$I$3000,"Under construction",Permissions!$R$2:$R$3000,"Yes")</f>
        <v>0</v>
      </c>
      <c r="AK315" s="24" t="n">
        <f aca="false">SUMIFS(Permissions!$G$2:$G$3000,Permissions!$B$2:$B$3000,$A315,Permissions!$I$2:$I$3000,"Permitted – not started",Permissions!$R$2:$R$3000,"Yes")</f>
        <v>0</v>
      </c>
      <c r="AL315" s="24" t="n">
        <f aca="false">SUMIFS(Permissions!$G$2:$G$3000,Permissions!$B$2:$B$3000,$A315,Permissions!$I$2:$I$3000,"Stalled",Permissions!$R$2:$R$3000,"Yes")</f>
        <v>0</v>
      </c>
      <c r="AM315" s="24" t="n">
        <f aca="false">AI315+AJ315+AK315+AL315</f>
        <v>17</v>
      </c>
      <c r="AN315" s="24" t="n">
        <f aca="false">SUMIFS(Permissions!$G$2:$G$3000,Permissions!$B$2:$B$3000,$A315,Permissions!$I$2:$I$3000,"Expired – not started",Permissions!$R$2:$R$3000,"Yes")</f>
        <v>0</v>
      </c>
      <c r="AO315" s="24" t="n">
        <f aca="false">SUMIFS(Permissions!$G$2:$G$3000,Permissions!$B$2:$B$3000,$A315,Permissions!$I$2:$I$3000,"In planning",Permissions!$R$2:$R$3000,"Yes")</f>
        <v>0</v>
      </c>
      <c r="AP315" s="24" t="n">
        <f aca="false">IF(R315="",0,MAX(R315-AM315,0))</f>
        <v>0</v>
      </c>
      <c r="AQ315" s="25" t="n">
        <f aca="false">AM315+AP315</f>
        <v>17</v>
      </c>
      <c r="AR315" s="24" t="n">
        <f aca="false">SUMIFS(Permissions!$L$2:$L$3000,Permissions!$B$2:$B$3000,$A315,Permissions!$R$2:$R$3000,"Yes",Permissions!$I$2:$I$3000,"&lt;&gt;Expired – not started",Permissions!$I$2:$I$3000,"&lt;&gt;In planning")</f>
        <v>17</v>
      </c>
      <c r="AS315" s="24" t="n">
        <f aca="false">AQ315-AR315</f>
        <v>0</v>
      </c>
      <c r="AT315" s="26" t="n">
        <f aca="false">SUMIFS(Permissions!$AJ$2:$AJ$3000,Permissions!$B$2:$B$3000,$A315,Permissions!$R$2:$R$3000,"Yes")</f>
        <v>0</v>
      </c>
      <c r="AU315" s="26" t="n">
        <f aca="false">SUMIFS(Permissions!$AK$2:$AK$3000,Permissions!$B$2:$B$3000,$A315,Permissions!$R$2:$R$3000,"Yes")</f>
        <v>0</v>
      </c>
      <c r="AV315" s="26" t="n">
        <f aca="false">SUMIFS(Permissions!$AL$2:$AL$3000,Permissions!$B$2:$B$3000,$A315,Permissions!$R$2:$R$3000,"Yes")</f>
        <v>0</v>
      </c>
      <c r="AW315" s="26" t="n">
        <f aca="false">SUMIFS(Permissions!$AM$2:$AM$3000,Permissions!$B$2:$B$3000,$A315,Permissions!$R$2:$R$3000,"Yes")</f>
        <v>0</v>
      </c>
      <c r="AX315" s="26" t="n">
        <f aca="false">SUMIFS(Permissions!$AN$2:$AN$3000,Permissions!$B$2:$B$3000,$A315,Permissions!$R$2:$R$3000,"Yes")</f>
        <v>0</v>
      </c>
      <c r="AY315" s="26" t="n">
        <f aca="false">SUMIFS(Permissions!$AO$2:$AO$3000,Permissions!$B$2:$B$3000,$A315,Permissions!$R$2:$R$3000,"Yes")</f>
        <v>0</v>
      </c>
      <c r="AZ315" s="24" t="n">
        <f aca="false">COUNTIFS(Permissions!$B$2:$B$3000,$A315,Permissions!$R$2:$R$3000,"Yes")</f>
        <v>1</v>
      </c>
      <c r="BA315" s="24" t="n">
        <f aca="false">SUMIFS(Permissions!$M$2:$M$3000,Permissions!$B$2:$B$3000,$A315,Permissions!$R$2:$R$3000,"Yes")</f>
        <v>0</v>
      </c>
      <c r="BB315" s="24" t="n">
        <f aca="false">SUMIFS(Permissions!$O$2:$O$3000,Permissions!$B$2:$B$3000,$A315,Permissions!$R$2:$R$3000,"Yes")</f>
        <v>0</v>
      </c>
      <c r="BC315" s="27" t="str">
        <f aca="false">IF(AND(AM315&gt;0,AR315&gt;=AM315,AP315=0),"Finished",IF(AR315&gt;0,"Partly built",IF(AM315&gt;0,"Consented – not built","No consent")))</f>
        <v>Finished</v>
      </c>
      <c r="BD315" s="28" t="str">
        <f aca="false">IF(AND(R315&lt;&gt;"",AM315&gt;1.1*R315),"Consented above capacity",IF(AND(LEFT(B315,8)="Planning",AZ315=0),"Consent parcel with no permission",IF(COUNTIF($A$2:$A$3000,$A315)&gt;1,"Duplicate parcel_id","")))</f>
        <v/>
      </c>
    </row>
    <row r="316" customFormat="false" ht="15" hidden="false" customHeight="false" outlineLevel="0" collapsed="false">
      <c r="A316" s="15" t="s">
        <v>740</v>
      </c>
      <c r="B316" s="15" t="s">
        <v>12</v>
      </c>
      <c r="C316" s="15" t="s">
        <v>17</v>
      </c>
      <c r="D316" s="15" t="s">
        <v>62</v>
      </c>
      <c r="E316" s="15" t="s">
        <v>20</v>
      </c>
      <c r="F316" s="15" t="n">
        <v>0.93</v>
      </c>
      <c r="G316" s="15" t="s">
        <v>158</v>
      </c>
      <c r="H316" s="15"/>
      <c r="I316" s="15" t="s">
        <v>346</v>
      </c>
      <c r="J316" s="15" t="s">
        <v>211</v>
      </c>
      <c r="K316" s="15" t="s">
        <v>741</v>
      </c>
      <c r="L316" s="15"/>
      <c r="M316" s="15"/>
      <c r="N316" s="15"/>
      <c r="O316" s="15"/>
      <c r="P316" s="15" t="n">
        <v>0.372</v>
      </c>
      <c r="Q316" s="15" t="n">
        <v>0.372</v>
      </c>
      <c r="R316" s="15"/>
      <c r="S316" s="15" t="s">
        <v>459</v>
      </c>
      <c r="T316" s="15" t="n">
        <v>9</v>
      </c>
      <c r="U316" s="15"/>
      <c r="V316" s="15"/>
      <c r="W316" s="15"/>
      <c r="X316" s="15" t="s">
        <v>353</v>
      </c>
      <c r="Y316" s="15" t="n">
        <v>25</v>
      </c>
      <c r="Z316" s="15" t="s">
        <v>354</v>
      </c>
      <c r="AA316" s="15"/>
      <c r="AB316" s="15" t="n">
        <v>13</v>
      </c>
      <c r="AC316" s="15" t="n">
        <v>13</v>
      </c>
      <c r="AD316" s="15"/>
      <c r="AE316" s="15"/>
      <c r="AF316" s="15" t="s">
        <v>169</v>
      </c>
      <c r="AG316" s="15"/>
      <c r="AH316" s="24" t="n">
        <f aca="false">IF(R316="",AM316,R316)</f>
        <v>13</v>
      </c>
      <c r="AI316" s="24" t="n">
        <f aca="false">SUMIFS(Permissions!$G$2:$G$3000,Permissions!$B$2:$B$3000,$A316,Permissions!$I$2:$I$3000,"Complete",Permissions!$R$2:$R$3000,"Yes")</f>
        <v>13</v>
      </c>
      <c r="AJ316" s="24" t="n">
        <f aca="false">SUMIFS(Permissions!$G$2:$G$3000,Permissions!$B$2:$B$3000,$A316,Permissions!$I$2:$I$3000,"Under construction",Permissions!$R$2:$R$3000,"Yes")</f>
        <v>0</v>
      </c>
      <c r="AK316" s="24" t="n">
        <f aca="false">SUMIFS(Permissions!$G$2:$G$3000,Permissions!$B$2:$B$3000,$A316,Permissions!$I$2:$I$3000,"Permitted – not started",Permissions!$R$2:$R$3000,"Yes")</f>
        <v>0</v>
      </c>
      <c r="AL316" s="24" t="n">
        <f aca="false">SUMIFS(Permissions!$G$2:$G$3000,Permissions!$B$2:$B$3000,$A316,Permissions!$I$2:$I$3000,"Stalled",Permissions!$R$2:$R$3000,"Yes")</f>
        <v>0</v>
      </c>
      <c r="AM316" s="24" t="n">
        <f aca="false">AI316+AJ316+AK316+AL316</f>
        <v>13</v>
      </c>
      <c r="AN316" s="24" t="n">
        <f aca="false">SUMIFS(Permissions!$G$2:$G$3000,Permissions!$B$2:$B$3000,$A316,Permissions!$I$2:$I$3000,"Expired – not started",Permissions!$R$2:$R$3000,"Yes")</f>
        <v>0</v>
      </c>
      <c r="AO316" s="24" t="n">
        <f aca="false">SUMIFS(Permissions!$G$2:$G$3000,Permissions!$B$2:$B$3000,$A316,Permissions!$I$2:$I$3000,"In planning",Permissions!$R$2:$R$3000,"Yes")</f>
        <v>0</v>
      </c>
      <c r="AP316" s="24" t="n">
        <f aca="false">IF(R316="",0,MAX(R316-AM316,0))</f>
        <v>0</v>
      </c>
      <c r="AQ316" s="25" t="n">
        <f aca="false">AM316+AP316</f>
        <v>13</v>
      </c>
      <c r="AR316" s="24" t="n">
        <f aca="false">SUMIFS(Permissions!$L$2:$L$3000,Permissions!$B$2:$B$3000,$A316,Permissions!$R$2:$R$3000,"Yes",Permissions!$I$2:$I$3000,"&lt;&gt;Expired – not started",Permissions!$I$2:$I$3000,"&lt;&gt;In planning")</f>
        <v>13</v>
      </c>
      <c r="AS316" s="24" t="n">
        <f aca="false">AQ316-AR316</f>
        <v>0</v>
      </c>
      <c r="AT316" s="26" t="n">
        <f aca="false">SUMIFS(Permissions!$AJ$2:$AJ$3000,Permissions!$B$2:$B$3000,$A316,Permissions!$R$2:$R$3000,"Yes")</f>
        <v>0</v>
      </c>
      <c r="AU316" s="26" t="n">
        <f aca="false">SUMIFS(Permissions!$AK$2:$AK$3000,Permissions!$B$2:$B$3000,$A316,Permissions!$R$2:$R$3000,"Yes")</f>
        <v>0</v>
      </c>
      <c r="AV316" s="26" t="n">
        <f aca="false">SUMIFS(Permissions!$AL$2:$AL$3000,Permissions!$B$2:$B$3000,$A316,Permissions!$R$2:$R$3000,"Yes")</f>
        <v>0</v>
      </c>
      <c r="AW316" s="26" t="n">
        <f aca="false">SUMIFS(Permissions!$AM$2:$AM$3000,Permissions!$B$2:$B$3000,$A316,Permissions!$R$2:$R$3000,"Yes")</f>
        <v>0</v>
      </c>
      <c r="AX316" s="26" t="n">
        <f aca="false">SUMIFS(Permissions!$AN$2:$AN$3000,Permissions!$B$2:$B$3000,$A316,Permissions!$R$2:$R$3000,"Yes")</f>
        <v>0</v>
      </c>
      <c r="AY316" s="26" t="n">
        <f aca="false">SUMIFS(Permissions!$AO$2:$AO$3000,Permissions!$B$2:$B$3000,$A316,Permissions!$R$2:$R$3000,"Yes")</f>
        <v>0</v>
      </c>
      <c r="AZ316" s="24" t="n">
        <f aca="false">COUNTIFS(Permissions!$B$2:$B$3000,$A316,Permissions!$R$2:$R$3000,"Yes")</f>
        <v>1</v>
      </c>
      <c r="BA316" s="24" t="n">
        <f aca="false">SUMIFS(Permissions!$M$2:$M$3000,Permissions!$B$2:$B$3000,$A316,Permissions!$R$2:$R$3000,"Yes")</f>
        <v>13</v>
      </c>
      <c r="BB316" s="24" t="n">
        <f aca="false">SUMIFS(Permissions!$O$2:$O$3000,Permissions!$B$2:$B$3000,$A316,Permissions!$R$2:$R$3000,"Yes")</f>
        <v>0</v>
      </c>
      <c r="BC316" s="27" t="str">
        <f aca="false">IF(AND(AM316&gt;0,AR316&gt;=AM316,AP316=0),"Finished",IF(AR316&gt;0,"Partly built",IF(AM316&gt;0,"Consented – not built","No consent")))</f>
        <v>Finished</v>
      </c>
      <c r="BD316" s="28" t="str">
        <f aca="false">IF(AND(R316&lt;&gt;"",AM316&gt;1.1*R316),"Consented above capacity",IF(AND(LEFT(B316,8)="Planning",AZ316=0),"Consent parcel with no permission",IF(COUNTIF($A$2:$A$3000,$A316)&gt;1,"Duplicate parcel_id","")))</f>
        <v/>
      </c>
    </row>
    <row r="317" customFormat="false" ht="15" hidden="false" customHeight="false" outlineLevel="0" collapsed="false">
      <c r="A317" s="15" t="s">
        <v>742</v>
      </c>
      <c r="B317" s="15" t="s">
        <v>12</v>
      </c>
      <c r="C317" s="15" t="s">
        <v>17</v>
      </c>
      <c r="D317" s="15" t="s">
        <v>70</v>
      </c>
      <c r="E317" s="15" t="s">
        <v>21</v>
      </c>
      <c r="F317" s="15" t="n">
        <v>1</v>
      </c>
      <c r="G317" s="15" t="s">
        <v>158</v>
      </c>
      <c r="H317" s="15"/>
      <c r="I317" s="15" t="s">
        <v>346</v>
      </c>
      <c r="J317" s="15" t="s">
        <v>347</v>
      </c>
      <c r="K317" s="15" t="s">
        <v>743</v>
      </c>
      <c r="L317" s="15"/>
      <c r="M317" s="15"/>
      <c r="N317" s="15"/>
      <c r="O317" s="15"/>
      <c r="P317" s="15" t="n">
        <v>1.663</v>
      </c>
      <c r="Q317" s="15" t="n">
        <v>1.663</v>
      </c>
      <c r="R317" s="15"/>
      <c r="S317" s="15" t="s">
        <v>459</v>
      </c>
      <c r="T317" s="15" t="n">
        <v>42</v>
      </c>
      <c r="U317" s="15"/>
      <c r="V317" s="15"/>
      <c r="W317" s="15"/>
      <c r="X317" s="15" t="s">
        <v>353</v>
      </c>
      <c r="Y317" s="15" t="n">
        <v>25</v>
      </c>
      <c r="Z317" s="15" t="s">
        <v>354</v>
      </c>
      <c r="AA317" s="15"/>
      <c r="AB317" s="15" t="n">
        <v>0</v>
      </c>
      <c r="AC317" s="15" t="n">
        <v>0</v>
      </c>
      <c r="AD317" s="15"/>
      <c r="AE317" s="15"/>
      <c r="AF317" s="15" t="s">
        <v>169</v>
      </c>
      <c r="AG317" s="15"/>
      <c r="AH317" s="24" t="n">
        <f aca="false">IF(R317="",AM317,R317)</f>
        <v>32</v>
      </c>
      <c r="AI317" s="24" t="n">
        <f aca="false">SUMIFS(Permissions!$G$2:$G$3000,Permissions!$B$2:$B$3000,$A317,Permissions!$I$2:$I$3000,"Complete",Permissions!$R$2:$R$3000,"Yes")</f>
        <v>0</v>
      </c>
      <c r="AJ317" s="24" t="n">
        <f aca="false">SUMIFS(Permissions!$G$2:$G$3000,Permissions!$B$2:$B$3000,$A317,Permissions!$I$2:$I$3000,"Under construction",Permissions!$R$2:$R$3000,"Yes")</f>
        <v>0</v>
      </c>
      <c r="AK317" s="24" t="n">
        <f aca="false">SUMIFS(Permissions!$G$2:$G$3000,Permissions!$B$2:$B$3000,$A317,Permissions!$I$2:$I$3000,"Permitted – not started",Permissions!$R$2:$R$3000,"Yes")</f>
        <v>32</v>
      </c>
      <c r="AL317" s="24" t="n">
        <f aca="false">SUMIFS(Permissions!$G$2:$G$3000,Permissions!$B$2:$B$3000,$A317,Permissions!$I$2:$I$3000,"Stalled",Permissions!$R$2:$R$3000,"Yes")</f>
        <v>0</v>
      </c>
      <c r="AM317" s="24" t="n">
        <f aca="false">AI317+AJ317+AK317+AL317</f>
        <v>32</v>
      </c>
      <c r="AN317" s="24" t="n">
        <f aca="false">SUMIFS(Permissions!$G$2:$G$3000,Permissions!$B$2:$B$3000,$A317,Permissions!$I$2:$I$3000,"Expired – not started",Permissions!$R$2:$R$3000,"Yes")</f>
        <v>0</v>
      </c>
      <c r="AO317" s="24" t="n">
        <f aca="false">SUMIFS(Permissions!$G$2:$G$3000,Permissions!$B$2:$B$3000,$A317,Permissions!$I$2:$I$3000,"In planning",Permissions!$R$2:$R$3000,"Yes")</f>
        <v>0</v>
      </c>
      <c r="AP317" s="24" t="n">
        <f aca="false">IF(R317="",0,MAX(R317-AM317,0))</f>
        <v>0</v>
      </c>
      <c r="AQ317" s="25" t="n">
        <f aca="false">AM317+AP317</f>
        <v>32</v>
      </c>
      <c r="AR317" s="24" t="n">
        <f aca="false">SUMIFS(Permissions!$L$2:$L$3000,Permissions!$B$2:$B$3000,$A317,Permissions!$R$2:$R$3000,"Yes",Permissions!$I$2:$I$3000,"&lt;&gt;Expired – not started",Permissions!$I$2:$I$3000,"&lt;&gt;In planning")</f>
        <v>0</v>
      </c>
      <c r="AS317" s="24" t="n">
        <f aca="false">AQ317-AR317</f>
        <v>32</v>
      </c>
      <c r="AT317" s="26" t="n">
        <f aca="false">SUMIFS(Permissions!$AJ$2:$AJ$3000,Permissions!$B$2:$B$3000,$A317,Permissions!$R$2:$R$3000,"Yes")</f>
        <v>0</v>
      </c>
      <c r="AU317" s="26" t="n">
        <f aca="false">SUMIFS(Permissions!$AK$2:$AK$3000,Permissions!$B$2:$B$3000,$A317,Permissions!$R$2:$R$3000,"Yes")</f>
        <v>0</v>
      </c>
      <c r="AV317" s="26" t="n">
        <f aca="false">SUMIFS(Permissions!$AL$2:$AL$3000,Permissions!$B$2:$B$3000,$A317,Permissions!$R$2:$R$3000,"Yes")</f>
        <v>23.6</v>
      </c>
      <c r="AW317" s="26" t="n">
        <f aca="false">SUMIFS(Permissions!$AM$2:$AM$3000,Permissions!$B$2:$B$3000,$A317,Permissions!$R$2:$R$3000,"Yes")</f>
        <v>8.4</v>
      </c>
      <c r="AX317" s="26" t="n">
        <f aca="false">SUMIFS(Permissions!$AN$2:$AN$3000,Permissions!$B$2:$B$3000,$A317,Permissions!$R$2:$R$3000,"Yes")</f>
        <v>0</v>
      </c>
      <c r="AY317" s="26" t="n">
        <f aca="false">SUMIFS(Permissions!$AO$2:$AO$3000,Permissions!$B$2:$B$3000,$A317,Permissions!$R$2:$R$3000,"Yes")</f>
        <v>0</v>
      </c>
      <c r="AZ317" s="24" t="n">
        <f aca="false">COUNTIFS(Permissions!$B$2:$B$3000,$A317,Permissions!$R$2:$R$3000,"Yes")</f>
        <v>1</v>
      </c>
      <c r="BA317" s="24" t="n">
        <f aca="false">SUMIFS(Permissions!$M$2:$M$3000,Permissions!$B$2:$B$3000,$A317,Permissions!$R$2:$R$3000,"Yes")</f>
        <v>0</v>
      </c>
      <c r="BB317" s="24" t="n">
        <f aca="false">SUMIFS(Permissions!$O$2:$O$3000,Permissions!$B$2:$B$3000,$A317,Permissions!$R$2:$R$3000,"Yes")</f>
        <v>0</v>
      </c>
      <c r="BC317" s="27" t="str">
        <f aca="false">IF(AND(AM317&gt;0,AR317&gt;=AM317,AP317=0),"Finished",IF(AR317&gt;0,"Partly built",IF(AM317&gt;0,"Consented – not built","No consent")))</f>
        <v>Consented – not built</v>
      </c>
      <c r="BD317" s="28" t="str">
        <f aca="false">IF(AND(R317&lt;&gt;"",AM317&gt;1.1*R317),"Consented above capacity",IF(AND(LEFT(B317,8)="Planning",AZ317=0),"Consent parcel with no permission",IF(COUNTIF($A$2:$A$3000,$A317)&gt;1,"Duplicate parcel_id","")))</f>
        <v/>
      </c>
    </row>
    <row r="318" customFormat="false" ht="15" hidden="false" customHeight="false" outlineLevel="0" collapsed="false">
      <c r="A318" s="15" t="s">
        <v>744</v>
      </c>
      <c r="B318" s="15" t="s">
        <v>12</v>
      </c>
      <c r="C318" s="15" t="s">
        <v>17</v>
      </c>
      <c r="D318" s="15" t="s">
        <v>22</v>
      </c>
      <c r="E318" s="15" t="s">
        <v>22</v>
      </c>
      <c r="F318" s="15"/>
      <c r="G318" s="15" t="s">
        <v>22</v>
      </c>
      <c r="H318" s="15"/>
      <c r="I318" s="15" t="s">
        <v>346</v>
      </c>
      <c r="J318" s="15" t="s">
        <v>363</v>
      </c>
      <c r="K318" s="15" t="s">
        <v>745</v>
      </c>
      <c r="L318" s="15"/>
      <c r="M318" s="15"/>
      <c r="N318" s="15"/>
      <c r="O318" s="15"/>
      <c r="P318" s="15" t="n">
        <v>0.627</v>
      </c>
      <c r="Q318" s="15" t="n">
        <v>0.627</v>
      </c>
      <c r="R318" s="15"/>
      <c r="S318" s="15" t="s">
        <v>459</v>
      </c>
      <c r="T318" s="15" t="n">
        <v>16</v>
      </c>
      <c r="U318" s="15"/>
      <c r="V318" s="15"/>
      <c r="W318" s="15"/>
      <c r="X318" s="15" t="s">
        <v>353</v>
      </c>
      <c r="Y318" s="15" t="n">
        <v>25</v>
      </c>
      <c r="Z318" s="15" t="s">
        <v>354</v>
      </c>
      <c r="AA318" s="15"/>
      <c r="AB318" s="15" t="n">
        <v>9</v>
      </c>
      <c r="AC318" s="15" t="n">
        <v>9</v>
      </c>
      <c r="AD318" s="15"/>
      <c r="AE318" s="15"/>
      <c r="AF318" s="15" t="s">
        <v>169</v>
      </c>
      <c r="AG318" s="15"/>
      <c r="AH318" s="24" t="n">
        <f aca="false">IF(R318="",AM318,R318)</f>
        <v>9</v>
      </c>
      <c r="AI318" s="24" t="n">
        <f aca="false">SUMIFS(Permissions!$G$2:$G$3000,Permissions!$B$2:$B$3000,$A318,Permissions!$I$2:$I$3000,"Complete",Permissions!$R$2:$R$3000,"Yes")</f>
        <v>0</v>
      </c>
      <c r="AJ318" s="24" t="n">
        <f aca="false">SUMIFS(Permissions!$G$2:$G$3000,Permissions!$B$2:$B$3000,$A318,Permissions!$I$2:$I$3000,"Under construction",Permissions!$R$2:$R$3000,"Yes")</f>
        <v>9</v>
      </c>
      <c r="AK318" s="24" t="n">
        <f aca="false">SUMIFS(Permissions!$G$2:$G$3000,Permissions!$B$2:$B$3000,$A318,Permissions!$I$2:$I$3000,"Permitted – not started",Permissions!$R$2:$R$3000,"Yes")</f>
        <v>0</v>
      </c>
      <c r="AL318" s="24" t="n">
        <f aca="false">SUMIFS(Permissions!$G$2:$G$3000,Permissions!$B$2:$B$3000,$A318,Permissions!$I$2:$I$3000,"Stalled",Permissions!$R$2:$R$3000,"Yes")</f>
        <v>0</v>
      </c>
      <c r="AM318" s="24" t="n">
        <f aca="false">AI318+AJ318+AK318+AL318</f>
        <v>9</v>
      </c>
      <c r="AN318" s="24" t="n">
        <f aca="false">SUMIFS(Permissions!$G$2:$G$3000,Permissions!$B$2:$B$3000,$A318,Permissions!$I$2:$I$3000,"Expired – not started",Permissions!$R$2:$R$3000,"Yes")</f>
        <v>0</v>
      </c>
      <c r="AO318" s="24" t="n">
        <f aca="false">SUMIFS(Permissions!$G$2:$G$3000,Permissions!$B$2:$B$3000,$A318,Permissions!$I$2:$I$3000,"In planning",Permissions!$R$2:$R$3000,"Yes")</f>
        <v>0</v>
      </c>
      <c r="AP318" s="24" t="n">
        <f aca="false">IF(R318="",0,MAX(R318-AM318,0))</f>
        <v>0</v>
      </c>
      <c r="AQ318" s="25" t="n">
        <f aca="false">AM318+AP318</f>
        <v>9</v>
      </c>
      <c r="AR318" s="24" t="n">
        <f aca="false">SUMIFS(Permissions!$L$2:$L$3000,Permissions!$B$2:$B$3000,$A318,Permissions!$R$2:$R$3000,"Yes",Permissions!$I$2:$I$3000,"&lt;&gt;Expired – not started",Permissions!$I$2:$I$3000,"&lt;&gt;In planning")</f>
        <v>0</v>
      </c>
      <c r="AS318" s="24" t="n">
        <f aca="false">AQ318-AR318</f>
        <v>9</v>
      </c>
      <c r="AT318" s="26" t="n">
        <f aca="false">SUMIFS(Permissions!$AJ$2:$AJ$3000,Permissions!$B$2:$B$3000,$A318,Permissions!$R$2:$R$3000,"Yes")</f>
        <v>2.1</v>
      </c>
      <c r="AU318" s="26" t="n">
        <f aca="false">SUMIFS(Permissions!$AK$2:$AK$3000,Permissions!$B$2:$B$3000,$A318,Permissions!$R$2:$R$3000,"Yes")</f>
        <v>6.9</v>
      </c>
      <c r="AV318" s="26" t="n">
        <f aca="false">SUMIFS(Permissions!$AL$2:$AL$3000,Permissions!$B$2:$B$3000,$A318,Permissions!$R$2:$R$3000,"Yes")</f>
        <v>0</v>
      </c>
      <c r="AW318" s="26" t="n">
        <f aca="false">SUMIFS(Permissions!$AM$2:$AM$3000,Permissions!$B$2:$B$3000,$A318,Permissions!$R$2:$R$3000,"Yes")</f>
        <v>0</v>
      </c>
      <c r="AX318" s="26" t="n">
        <f aca="false">SUMIFS(Permissions!$AN$2:$AN$3000,Permissions!$B$2:$B$3000,$A318,Permissions!$R$2:$R$3000,"Yes")</f>
        <v>0</v>
      </c>
      <c r="AY318" s="26" t="n">
        <f aca="false">SUMIFS(Permissions!$AO$2:$AO$3000,Permissions!$B$2:$B$3000,$A318,Permissions!$R$2:$R$3000,"Yes")</f>
        <v>0</v>
      </c>
      <c r="AZ318" s="24" t="n">
        <f aca="false">COUNTIFS(Permissions!$B$2:$B$3000,$A318,Permissions!$R$2:$R$3000,"Yes")</f>
        <v>1</v>
      </c>
      <c r="BA318" s="24" t="n">
        <f aca="false">SUMIFS(Permissions!$M$2:$M$3000,Permissions!$B$2:$B$3000,$A318,Permissions!$R$2:$R$3000,"Yes")</f>
        <v>0</v>
      </c>
      <c r="BB318" s="24" t="n">
        <f aca="false">SUMIFS(Permissions!$O$2:$O$3000,Permissions!$B$2:$B$3000,$A318,Permissions!$R$2:$R$3000,"Yes")</f>
        <v>0</v>
      </c>
      <c r="BC318" s="27" t="str">
        <f aca="false">IF(AND(AM318&gt;0,AR318&gt;=AM318,AP318=0),"Finished",IF(AR318&gt;0,"Partly built",IF(AM318&gt;0,"Consented – not built","No consent")))</f>
        <v>Consented – not built</v>
      </c>
      <c r="BD318" s="28" t="str">
        <f aca="false">IF(AND(R318&lt;&gt;"",AM318&gt;1.1*R318),"Consented above capacity",IF(AND(LEFT(B318,8)="Planning",AZ318=0),"Consent parcel with no permission",IF(COUNTIF($A$2:$A$3000,$A318)&gt;1,"Duplicate parcel_id","")))</f>
        <v/>
      </c>
    </row>
    <row r="319" customFormat="false" ht="15" hidden="false" customHeight="false" outlineLevel="0" collapsed="false">
      <c r="A319" s="15" t="s">
        <v>746</v>
      </c>
      <c r="B319" s="15" t="s">
        <v>12</v>
      </c>
      <c r="C319" s="15" t="s">
        <v>17</v>
      </c>
      <c r="D319" s="15" t="s">
        <v>22</v>
      </c>
      <c r="E319" s="15" t="s">
        <v>22</v>
      </c>
      <c r="F319" s="15"/>
      <c r="G319" s="15" t="s">
        <v>22</v>
      </c>
      <c r="H319" s="15"/>
      <c r="I319" s="15" t="s">
        <v>346</v>
      </c>
      <c r="J319" s="15" t="s">
        <v>390</v>
      </c>
      <c r="K319" s="15" t="s">
        <v>747</v>
      </c>
      <c r="L319" s="15"/>
      <c r="M319" s="15"/>
      <c r="N319" s="15"/>
      <c r="O319" s="15"/>
      <c r="P319" s="15" t="n">
        <v>0.49</v>
      </c>
      <c r="Q319" s="15" t="n">
        <v>0.49</v>
      </c>
      <c r="R319" s="15"/>
      <c r="S319" s="15" t="s">
        <v>459</v>
      </c>
      <c r="T319" s="15" t="n">
        <v>12</v>
      </c>
      <c r="U319" s="15"/>
      <c r="V319" s="15"/>
      <c r="W319" s="15"/>
      <c r="X319" s="15" t="s">
        <v>353</v>
      </c>
      <c r="Y319" s="15" t="n">
        <v>25</v>
      </c>
      <c r="Z319" s="15" t="s">
        <v>354</v>
      </c>
      <c r="AA319" s="15"/>
      <c r="AB319" s="15" t="n">
        <v>0</v>
      </c>
      <c r="AC319" s="15" t="n">
        <v>0</v>
      </c>
      <c r="AD319" s="15"/>
      <c r="AE319" s="15"/>
      <c r="AF319" s="15" t="s">
        <v>169</v>
      </c>
      <c r="AG319" s="15"/>
      <c r="AH319" s="24" t="n">
        <f aca="false">IF(R319="",AM319,R319)</f>
        <v>10</v>
      </c>
      <c r="AI319" s="24" t="n">
        <f aca="false">SUMIFS(Permissions!$G$2:$G$3000,Permissions!$B$2:$B$3000,$A319,Permissions!$I$2:$I$3000,"Complete",Permissions!$R$2:$R$3000,"Yes")</f>
        <v>0</v>
      </c>
      <c r="AJ319" s="24" t="n">
        <f aca="false">SUMIFS(Permissions!$G$2:$G$3000,Permissions!$B$2:$B$3000,$A319,Permissions!$I$2:$I$3000,"Under construction",Permissions!$R$2:$R$3000,"Yes")</f>
        <v>10</v>
      </c>
      <c r="AK319" s="24" t="n">
        <f aca="false">SUMIFS(Permissions!$G$2:$G$3000,Permissions!$B$2:$B$3000,$A319,Permissions!$I$2:$I$3000,"Permitted – not started",Permissions!$R$2:$R$3000,"Yes")</f>
        <v>0</v>
      </c>
      <c r="AL319" s="24" t="n">
        <f aca="false">SUMIFS(Permissions!$G$2:$G$3000,Permissions!$B$2:$B$3000,$A319,Permissions!$I$2:$I$3000,"Stalled",Permissions!$R$2:$R$3000,"Yes")</f>
        <v>0</v>
      </c>
      <c r="AM319" s="24" t="n">
        <f aca="false">AI319+AJ319+AK319+AL319</f>
        <v>10</v>
      </c>
      <c r="AN319" s="24" t="n">
        <f aca="false">SUMIFS(Permissions!$G$2:$G$3000,Permissions!$B$2:$B$3000,$A319,Permissions!$I$2:$I$3000,"Expired – not started",Permissions!$R$2:$R$3000,"Yes")</f>
        <v>0</v>
      </c>
      <c r="AO319" s="24" t="n">
        <f aca="false">SUMIFS(Permissions!$G$2:$G$3000,Permissions!$B$2:$B$3000,$A319,Permissions!$I$2:$I$3000,"In planning",Permissions!$R$2:$R$3000,"Yes")</f>
        <v>0</v>
      </c>
      <c r="AP319" s="24" t="n">
        <f aca="false">IF(R319="",0,MAX(R319-AM319,0))</f>
        <v>0</v>
      </c>
      <c r="AQ319" s="25" t="n">
        <f aca="false">AM319+AP319</f>
        <v>10</v>
      </c>
      <c r="AR319" s="24" t="n">
        <f aca="false">SUMIFS(Permissions!$L$2:$L$3000,Permissions!$B$2:$B$3000,$A319,Permissions!$R$2:$R$3000,"Yes",Permissions!$I$2:$I$3000,"&lt;&gt;Expired – not started",Permissions!$I$2:$I$3000,"&lt;&gt;In planning")</f>
        <v>0</v>
      </c>
      <c r="AS319" s="24" t="n">
        <f aca="false">AQ319-AR319</f>
        <v>10</v>
      </c>
      <c r="AT319" s="26" t="n">
        <f aca="false">SUMIFS(Permissions!$AJ$2:$AJ$3000,Permissions!$B$2:$B$3000,$A319,Permissions!$R$2:$R$3000,"Yes")</f>
        <v>2.3</v>
      </c>
      <c r="AU319" s="26" t="n">
        <f aca="false">SUMIFS(Permissions!$AK$2:$AK$3000,Permissions!$B$2:$B$3000,$A319,Permissions!$R$2:$R$3000,"Yes")</f>
        <v>7.7</v>
      </c>
      <c r="AV319" s="26" t="n">
        <f aca="false">SUMIFS(Permissions!$AL$2:$AL$3000,Permissions!$B$2:$B$3000,$A319,Permissions!$R$2:$R$3000,"Yes")</f>
        <v>0</v>
      </c>
      <c r="AW319" s="26" t="n">
        <f aca="false">SUMIFS(Permissions!$AM$2:$AM$3000,Permissions!$B$2:$B$3000,$A319,Permissions!$R$2:$R$3000,"Yes")</f>
        <v>0</v>
      </c>
      <c r="AX319" s="26" t="n">
        <f aca="false">SUMIFS(Permissions!$AN$2:$AN$3000,Permissions!$B$2:$B$3000,$A319,Permissions!$R$2:$R$3000,"Yes")</f>
        <v>0</v>
      </c>
      <c r="AY319" s="26" t="n">
        <f aca="false">SUMIFS(Permissions!$AO$2:$AO$3000,Permissions!$B$2:$B$3000,$A319,Permissions!$R$2:$R$3000,"Yes")</f>
        <v>0</v>
      </c>
      <c r="AZ319" s="24" t="n">
        <f aca="false">COUNTIFS(Permissions!$B$2:$B$3000,$A319,Permissions!$R$2:$R$3000,"Yes")</f>
        <v>1</v>
      </c>
      <c r="BA319" s="24" t="n">
        <f aca="false">SUMIFS(Permissions!$M$2:$M$3000,Permissions!$B$2:$B$3000,$A319,Permissions!$R$2:$R$3000,"Yes")</f>
        <v>0</v>
      </c>
      <c r="BB319" s="24" t="n">
        <f aca="false">SUMIFS(Permissions!$O$2:$O$3000,Permissions!$B$2:$B$3000,$A319,Permissions!$R$2:$R$3000,"Yes")</f>
        <v>0</v>
      </c>
      <c r="BC319" s="27" t="str">
        <f aca="false">IF(AND(AM319&gt;0,AR319&gt;=AM319,AP319=0),"Finished",IF(AR319&gt;0,"Partly built",IF(AM319&gt;0,"Consented – not built","No consent")))</f>
        <v>Consented – not built</v>
      </c>
      <c r="BD319" s="28" t="str">
        <f aca="false">IF(AND(R319&lt;&gt;"",AM319&gt;1.1*R319),"Consented above capacity",IF(AND(LEFT(B319,8)="Planning",AZ319=0),"Consent parcel with no permission",IF(COUNTIF($A$2:$A$3000,$A319)&gt;1,"Duplicate parcel_id","")))</f>
        <v/>
      </c>
    </row>
    <row r="320" customFormat="false" ht="15" hidden="false" customHeight="false" outlineLevel="0" collapsed="false">
      <c r="A320" s="15" t="s">
        <v>748</v>
      </c>
      <c r="B320" s="15" t="s">
        <v>12</v>
      </c>
      <c r="C320" s="15" t="s">
        <v>17</v>
      </c>
      <c r="D320" s="15" t="s">
        <v>64</v>
      </c>
      <c r="E320" s="15" t="s">
        <v>20</v>
      </c>
      <c r="F320" s="15" t="n">
        <v>1</v>
      </c>
      <c r="G320" s="15" t="s">
        <v>158</v>
      </c>
      <c r="H320" s="15"/>
      <c r="I320" s="15" t="s">
        <v>346</v>
      </c>
      <c r="J320" s="15" t="s">
        <v>390</v>
      </c>
      <c r="K320" s="15" t="s">
        <v>749</v>
      </c>
      <c r="L320" s="15"/>
      <c r="M320" s="15"/>
      <c r="N320" s="15"/>
      <c r="O320" s="15"/>
      <c r="P320" s="15" t="n">
        <v>1.19</v>
      </c>
      <c r="Q320" s="15" t="n">
        <v>1.19</v>
      </c>
      <c r="R320" s="15"/>
      <c r="S320" s="15" t="s">
        <v>459</v>
      </c>
      <c r="T320" s="15" t="n">
        <v>30</v>
      </c>
      <c r="U320" s="15"/>
      <c r="V320" s="15"/>
      <c r="W320" s="15"/>
      <c r="X320" s="15" t="s">
        <v>353</v>
      </c>
      <c r="Y320" s="15" t="n">
        <v>25</v>
      </c>
      <c r="Z320" s="15" t="s">
        <v>354</v>
      </c>
      <c r="AA320" s="15"/>
      <c r="AB320" s="15" t="n">
        <v>0</v>
      </c>
      <c r="AC320" s="15" t="n">
        <v>0</v>
      </c>
      <c r="AD320" s="15"/>
      <c r="AE320" s="15"/>
      <c r="AF320" s="15" t="s">
        <v>169</v>
      </c>
      <c r="AG320" s="15"/>
      <c r="AH320" s="24" t="n">
        <f aca="false">IF(R320="",AM320,R320)</f>
        <v>31</v>
      </c>
      <c r="AI320" s="24" t="n">
        <f aca="false">SUMIFS(Permissions!$G$2:$G$3000,Permissions!$B$2:$B$3000,$A320,Permissions!$I$2:$I$3000,"Complete",Permissions!$R$2:$R$3000,"Yes")</f>
        <v>0</v>
      </c>
      <c r="AJ320" s="24" t="n">
        <f aca="false">SUMIFS(Permissions!$G$2:$G$3000,Permissions!$B$2:$B$3000,$A320,Permissions!$I$2:$I$3000,"Under construction",Permissions!$R$2:$R$3000,"Yes")</f>
        <v>0</v>
      </c>
      <c r="AK320" s="24" t="n">
        <f aca="false">SUMIFS(Permissions!$G$2:$G$3000,Permissions!$B$2:$B$3000,$A320,Permissions!$I$2:$I$3000,"Permitted – not started",Permissions!$R$2:$R$3000,"Yes")</f>
        <v>31</v>
      </c>
      <c r="AL320" s="24" t="n">
        <f aca="false">SUMIFS(Permissions!$G$2:$G$3000,Permissions!$B$2:$B$3000,$A320,Permissions!$I$2:$I$3000,"Stalled",Permissions!$R$2:$R$3000,"Yes")</f>
        <v>0</v>
      </c>
      <c r="AM320" s="24" t="n">
        <f aca="false">AI320+AJ320+AK320+AL320</f>
        <v>31</v>
      </c>
      <c r="AN320" s="24" t="n">
        <f aca="false">SUMIFS(Permissions!$G$2:$G$3000,Permissions!$B$2:$B$3000,$A320,Permissions!$I$2:$I$3000,"Expired – not started",Permissions!$R$2:$R$3000,"Yes")</f>
        <v>0</v>
      </c>
      <c r="AO320" s="24" t="n">
        <f aca="false">SUMIFS(Permissions!$G$2:$G$3000,Permissions!$B$2:$B$3000,$A320,Permissions!$I$2:$I$3000,"In planning",Permissions!$R$2:$R$3000,"Yes")</f>
        <v>0</v>
      </c>
      <c r="AP320" s="24" t="n">
        <f aca="false">IF(R320="",0,MAX(R320-AM320,0))</f>
        <v>0</v>
      </c>
      <c r="AQ320" s="25" t="n">
        <f aca="false">AM320+AP320</f>
        <v>31</v>
      </c>
      <c r="AR320" s="24" t="n">
        <f aca="false">SUMIFS(Permissions!$L$2:$L$3000,Permissions!$B$2:$B$3000,$A320,Permissions!$R$2:$R$3000,"Yes",Permissions!$I$2:$I$3000,"&lt;&gt;Expired – not started",Permissions!$I$2:$I$3000,"&lt;&gt;In planning")</f>
        <v>0</v>
      </c>
      <c r="AS320" s="24" t="n">
        <f aca="false">AQ320-AR320</f>
        <v>31</v>
      </c>
      <c r="AT320" s="26" t="n">
        <f aca="false">SUMIFS(Permissions!$AJ$2:$AJ$3000,Permissions!$B$2:$B$3000,$A320,Permissions!$R$2:$R$3000,"Yes")</f>
        <v>0</v>
      </c>
      <c r="AU320" s="26" t="n">
        <f aca="false">SUMIFS(Permissions!$AK$2:$AK$3000,Permissions!$B$2:$B$3000,$A320,Permissions!$R$2:$R$3000,"Yes")</f>
        <v>0</v>
      </c>
      <c r="AV320" s="26" t="n">
        <f aca="false">SUMIFS(Permissions!$AL$2:$AL$3000,Permissions!$B$2:$B$3000,$A320,Permissions!$R$2:$R$3000,"Yes")</f>
        <v>23.6</v>
      </c>
      <c r="AW320" s="26" t="n">
        <f aca="false">SUMIFS(Permissions!$AM$2:$AM$3000,Permissions!$B$2:$B$3000,$A320,Permissions!$R$2:$R$3000,"Yes")</f>
        <v>7.4</v>
      </c>
      <c r="AX320" s="26" t="n">
        <f aca="false">SUMIFS(Permissions!$AN$2:$AN$3000,Permissions!$B$2:$B$3000,$A320,Permissions!$R$2:$R$3000,"Yes")</f>
        <v>0</v>
      </c>
      <c r="AY320" s="26" t="n">
        <f aca="false">SUMIFS(Permissions!$AO$2:$AO$3000,Permissions!$B$2:$B$3000,$A320,Permissions!$R$2:$R$3000,"Yes")</f>
        <v>0</v>
      </c>
      <c r="AZ320" s="24" t="n">
        <f aca="false">COUNTIFS(Permissions!$B$2:$B$3000,$A320,Permissions!$R$2:$R$3000,"Yes")</f>
        <v>1</v>
      </c>
      <c r="BA320" s="24" t="n">
        <f aca="false">SUMIFS(Permissions!$M$2:$M$3000,Permissions!$B$2:$B$3000,$A320,Permissions!$R$2:$R$3000,"Yes")</f>
        <v>0</v>
      </c>
      <c r="BB320" s="24" t="n">
        <f aca="false">SUMIFS(Permissions!$O$2:$O$3000,Permissions!$B$2:$B$3000,$A320,Permissions!$R$2:$R$3000,"Yes")</f>
        <v>0</v>
      </c>
      <c r="BC320" s="27" t="str">
        <f aca="false">IF(AND(AM320&gt;0,AR320&gt;=AM320,AP320=0),"Finished",IF(AR320&gt;0,"Partly built",IF(AM320&gt;0,"Consented – not built","No consent")))</f>
        <v>Consented – not built</v>
      </c>
      <c r="BD320" s="28" t="str">
        <f aca="false">IF(AND(R320&lt;&gt;"",AM320&gt;1.1*R320),"Consented above capacity",IF(AND(LEFT(B320,8)="Planning",AZ320=0),"Consent parcel with no permission",IF(COUNTIF($A$2:$A$3000,$A320)&gt;1,"Duplicate parcel_id","")))</f>
        <v/>
      </c>
    </row>
    <row r="321" customFormat="false" ht="15" hidden="false" customHeight="false" outlineLevel="0" collapsed="false">
      <c r="A321" s="15" t="s">
        <v>750</v>
      </c>
      <c r="B321" s="15" t="s">
        <v>12</v>
      </c>
      <c r="C321" s="15" t="s">
        <v>17</v>
      </c>
      <c r="D321" s="15" t="s">
        <v>64</v>
      </c>
      <c r="E321" s="15" t="s">
        <v>20</v>
      </c>
      <c r="F321" s="15" t="n">
        <v>1</v>
      </c>
      <c r="G321" s="15" t="s">
        <v>158</v>
      </c>
      <c r="H321" s="15"/>
      <c r="I321" s="15" t="s">
        <v>346</v>
      </c>
      <c r="J321" s="15" t="s">
        <v>390</v>
      </c>
      <c r="K321" s="15" t="s">
        <v>751</v>
      </c>
      <c r="L321" s="15"/>
      <c r="M321" s="15"/>
      <c r="N321" s="15"/>
      <c r="O321" s="15"/>
      <c r="P321" s="15" t="n">
        <v>2.819</v>
      </c>
      <c r="Q321" s="15" t="n">
        <v>2.819</v>
      </c>
      <c r="R321" s="15"/>
      <c r="S321" s="15" t="s">
        <v>459</v>
      </c>
      <c r="T321" s="15" t="n">
        <v>70</v>
      </c>
      <c r="U321" s="15"/>
      <c r="V321" s="15"/>
      <c r="W321" s="15"/>
      <c r="X321" s="15" t="s">
        <v>353</v>
      </c>
      <c r="Y321" s="15" t="n">
        <v>25</v>
      </c>
      <c r="Z321" s="15" t="s">
        <v>354</v>
      </c>
      <c r="AA321" s="15"/>
      <c r="AB321" s="15" t="n">
        <v>37</v>
      </c>
      <c r="AC321" s="15" t="n">
        <v>37</v>
      </c>
      <c r="AD321" s="15"/>
      <c r="AE321" s="15"/>
      <c r="AF321" s="15" t="s">
        <v>169</v>
      </c>
      <c r="AG321" s="15"/>
      <c r="AH321" s="24" t="n">
        <f aca="false">IF(R321="",AM321,R321)</f>
        <v>93</v>
      </c>
      <c r="AI321" s="24" t="n">
        <f aca="false">SUMIFS(Permissions!$G$2:$G$3000,Permissions!$B$2:$B$3000,$A321,Permissions!$I$2:$I$3000,"Complete",Permissions!$R$2:$R$3000,"Yes")</f>
        <v>0</v>
      </c>
      <c r="AJ321" s="24" t="n">
        <f aca="false">SUMIFS(Permissions!$G$2:$G$3000,Permissions!$B$2:$B$3000,$A321,Permissions!$I$2:$I$3000,"Under construction",Permissions!$R$2:$R$3000,"Yes")</f>
        <v>93</v>
      </c>
      <c r="AK321" s="24" t="n">
        <f aca="false">SUMIFS(Permissions!$G$2:$G$3000,Permissions!$B$2:$B$3000,$A321,Permissions!$I$2:$I$3000,"Permitted – not started",Permissions!$R$2:$R$3000,"Yes")</f>
        <v>0</v>
      </c>
      <c r="AL321" s="24" t="n">
        <f aca="false">SUMIFS(Permissions!$G$2:$G$3000,Permissions!$B$2:$B$3000,$A321,Permissions!$I$2:$I$3000,"Stalled",Permissions!$R$2:$R$3000,"Yes")</f>
        <v>0</v>
      </c>
      <c r="AM321" s="24" t="n">
        <f aca="false">AI321+AJ321+AK321+AL321</f>
        <v>93</v>
      </c>
      <c r="AN321" s="24" t="n">
        <f aca="false">SUMIFS(Permissions!$G$2:$G$3000,Permissions!$B$2:$B$3000,$A321,Permissions!$I$2:$I$3000,"Expired – not started",Permissions!$R$2:$R$3000,"Yes")</f>
        <v>0</v>
      </c>
      <c r="AO321" s="24" t="n">
        <f aca="false">SUMIFS(Permissions!$G$2:$G$3000,Permissions!$B$2:$B$3000,$A321,Permissions!$I$2:$I$3000,"In planning",Permissions!$R$2:$R$3000,"Yes")</f>
        <v>0</v>
      </c>
      <c r="AP321" s="24" t="n">
        <f aca="false">IF(R321="",0,MAX(R321-AM321,0))</f>
        <v>0</v>
      </c>
      <c r="AQ321" s="25" t="n">
        <f aca="false">AM321+AP321</f>
        <v>93</v>
      </c>
      <c r="AR321" s="24" t="n">
        <f aca="false">SUMIFS(Permissions!$L$2:$L$3000,Permissions!$B$2:$B$3000,$A321,Permissions!$R$2:$R$3000,"Yes",Permissions!$I$2:$I$3000,"&lt;&gt;Expired – not started",Permissions!$I$2:$I$3000,"&lt;&gt;In planning")</f>
        <v>0</v>
      </c>
      <c r="AS321" s="24" t="n">
        <f aca="false">AQ321-AR321</f>
        <v>93</v>
      </c>
      <c r="AT321" s="26" t="n">
        <f aca="false">SUMIFS(Permissions!$AJ$2:$AJ$3000,Permissions!$B$2:$B$3000,$A321,Permissions!$R$2:$R$3000,"Yes")</f>
        <v>21.7</v>
      </c>
      <c r="AU321" s="26" t="n">
        <f aca="false">SUMIFS(Permissions!$AK$2:$AK$3000,Permissions!$B$2:$B$3000,$A321,Permissions!$R$2:$R$3000,"Yes")</f>
        <v>71.3</v>
      </c>
      <c r="AV321" s="26" t="n">
        <f aca="false">SUMIFS(Permissions!$AL$2:$AL$3000,Permissions!$B$2:$B$3000,$A321,Permissions!$R$2:$R$3000,"Yes")</f>
        <v>0</v>
      </c>
      <c r="AW321" s="26" t="n">
        <f aca="false">SUMIFS(Permissions!$AM$2:$AM$3000,Permissions!$B$2:$B$3000,$A321,Permissions!$R$2:$R$3000,"Yes")</f>
        <v>0</v>
      </c>
      <c r="AX321" s="26" t="n">
        <f aca="false">SUMIFS(Permissions!$AN$2:$AN$3000,Permissions!$B$2:$B$3000,$A321,Permissions!$R$2:$R$3000,"Yes")</f>
        <v>0</v>
      </c>
      <c r="AY321" s="26" t="n">
        <f aca="false">SUMIFS(Permissions!$AO$2:$AO$3000,Permissions!$B$2:$B$3000,$A321,Permissions!$R$2:$R$3000,"Yes")</f>
        <v>0</v>
      </c>
      <c r="AZ321" s="24" t="n">
        <f aca="false">COUNTIFS(Permissions!$B$2:$B$3000,$A321,Permissions!$R$2:$R$3000,"Yes")</f>
        <v>1</v>
      </c>
      <c r="BA321" s="24" t="n">
        <f aca="false">SUMIFS(Permissions!$M$2:$M$3000,Permissions!$B$2:$B$3000,$A321,Permissions!$R$2:$R$3000,"Yes")</f>
        <v>0</v>
      </c>
      <c r="BB321" s="24" t="n">
        <f aca="false">SUMIFS(Permissions!$O$2:$O$3000,Permissions!$B$2:$B$3000,$A321,Permissions!$R$2:$R$3000,"Yes")</f>
        <v>0</v>
      </c>
      <c r="BC321" s="27" t="str">
        <f aca="false">IF(AND(AM321&gt;0,AR321&gt;=AM321,AP321=0),"Finished",IF(AR321&gt;0,"Partly built",IF(AM321&gt;0,"Consented – not built","No consent")))</f>
        <v>Consented – not built</v>
      </c>
      <c r="BD321" s="28" t="str">
        <f aca="false">IF(AND(R321&lt;&gt;"",AM321&gt;1.1*R321),"Consented above capacity",IF(AND(LEFT(B321,8)="Planning",AZ321=0),"Consent parcel with no permission",IF(COUNTIF($A$2:$A$3000,$A321)&gt;1,"Duplicate parcel_id","")))</f>
        <v/>
      </c>
    </row>
    <row r="322" customFormat="false" ht="15" hidden="false" customHeight="false" outlineLevel="0" collapsed="false">
      <c r="A322" s="15" t="s">
        <v>752</v>
      </c>
      <c r="B322" s="15" t="s">
        <v>12</v>
      </c>
      <c r="C322" s="15" t="s">
        <v>17</v>
      </c>
      <c r="D322" s="15" t="s">
        <v>67</v>
      </c>
      <c r="E322" s="15" t="s">
        <v>21</v>
      </c>
      <c r="F322" s="15" t="n">
        <v>0</v>
      </c>
      <c r="G322" s="15" t="s">
        <v>362</v>
      </c>
      <c r="H322" s="15"/>
      <c r="I322" s="15" t="s">
        <v>346</v>
      </c>
      <c r="J322" s="15" t="s">
        <v>347</v>
      </c>
      <c r="K322" s="15" t="s">
        <v>753</v>
      </c>
      <c r="L322" s="15"/>
      <c r="M322" s="15"/>
      <c r="N322" s="15"/>
      <c r="O322" s="15"/>
      <c r="P322" s="15" t="n">
        <v>5.006</v>
      </c>
      <c r="Q322" s="15" t="n">
        <v>5.006</v>
      </c>
      <c r="R322" s="15"/>
      <c r="S322" s="15" t="s">
        <v>459</v>
      </c>
      <c r="T322" s="15" t="n">
        <v>125</v>
      </c>
      <c r="U322" s="15"/>
      <c r="V322" s="15"/>
      <c r="W322" s="15"/>
      <c r="X322" s="15" t="s">
        <v>353</v>
      </c>
      <c r="Y322" s="15" t="n">
        <v>25</v>
      </c>
      <c r="Z322" s="15" t="s">
        <v>354</v>
      </c>
      <c r="AA322" s="15"/>
      <c r="AB322" s="15" t="n">
        <v>0</v>
      </c>
      <c r="AC322" s="15" t="n">
        <v>0</v>
      </c>
      <c r="AD322" s="15"/>
      <c r="AE322" s="15"/>
      <c r="AF322" s="15" t="s">
        <v>169</v>
      </c>
      <c r="AG322" s="15"/>
      <c r="AH322" s="24" t="n">
        <f aca="false">IF(R322="",AM322,R322)</f>
        <v>127</v>
      </c>
      <c r="AI322" s="24" t="n">
        <f aca="false">SUMIFS(Permissions!$G$2:$G$3000,Permissions!$B$2:$B$3000,$A322,Permissions!$I$2:$I$3000,"Complete",Permissions!$R$2:$R$3000,"Yes")</f>
        <v>0</v>
      </c>
      <c r="AJ322" s="24" t="n">
        <f aca="false">SUMIFS(Permissions!$G$2:$G$3000,Permissions!$B$2:$B$3000,$A322,Permissions!$I$2:$I$3000,"Under construction",Permissions!$R$2:$R$3000,"Yes")</f>
        <v>0</v>
      </c>
      <c r="AK322" s="24" t="n">
        <f aca="false">SUMIFS(Permissions!$G$2:$G$3000,Permissions!$B$2:$B$3000,$A322,Permissions!$I$2:$I$3000,"Permitted – not started",Permissions!$R$2:$R$3000,"Yes")</f>
        <v>127</v>
      </c>
      <c r="AL322" s="24" t="n">
        <f aca="false">SUMIFS(Permissions!$G$2:$G$3000,Permissions!$B$2:$B$3000,$A322,Permissions!$I$2:$I$3000,"Stalled",Permissions!$R$2:$R$3000,"Yes")</f>
        <v>0</v>
      </c>
      <c r="AM322" s="24" t="n">
        <f aca="false">AI322+AJ322+AK322+AL322</f>
        <v>127</v>
      </c>
      <c r="AN322" s="24" t="n">
        <f aca="false">SUMIFS(Permissions!$G$2:$G$3000,Permissions!$B$2:$B$3000,$A322,Permissions!$I$2:$I$3000,"Expired – not started",Permissions!$R$2:$R$3000,"Yes")</f>
        <v>0</v>
      </c>
      <c r="AO322" s="24" t="n">
        <f aca="false">SUMIFS(Permissions!$G$2:$G$3000,Permissions!$B$2:$B$3000,$A322,Permissions!$I$2:$I$3000,"In planning",Permissions!$R$2:$R$3000,"Yes")</f>
        <v>0</v>
      </c>
      <c r="AP322" s="24" t="n">
        <f aca="false">IF(R322="",0,MAX(R322-AM322,0))</f>
        <v>0</v>
      </c>
      <c r="AQ322" s="25" t="n">
        <f aca="false">AM322+AP322</f>
        <v>127</v>
      </c>
      <c r="AR322" s="24" t="n">
        <f aca="false">SUMIFS(Permissions!$L$2:$L$3000,Permissions!$B$2:$B$3000,$A322,Permissions!$R$2:$R$3000,"Yes",Permissions!$I$2:$I$3000,"&lt;&gt;Expired – not started",Permissions!$I$2:$I$3000,"&lt;&gt;In planning")</f>
        <v>0</v>
      </c>
      <c r="AS322" s="24" t="n">
        <f aca="false">AQ322-AR322</f>
        <v>127</v>
      </c>
      <c r="AT322" s="26" t="n">
        <f aca="false">SUMIFS(Permissions!$AJ$2:$AJ$3000,Permissions!$B$2:$B$3000,$A322,Permissions!$R$2:$R$3000,"Yes")</f>
        <v>0</v>
      </c>
      <c r="AU322" s="26" t="n">
        <f aca="false">SUMIFS(Permissions!$AK$2:$AK$3000,Permissions!$B$2:$B$3000,$A322,Permissions!$R$2:$R$3000,"Yes")</f>
        <v>0</v>
      </c>
      <c r="AV322" s="26" t="n">
        <f aca="false">SUMIFS(Permissions!$AL$2:$AL$3000,Permissions!$B$2:$B$3000,$A322,Permissions!$R$2:$R$3000,"Yes")</f>
        <v>46.4</v>
      </c>
      <c r="AW322" s="26" t="n">
        <f aca="false">SUMIFS(Permissions!$AM$2:$AM$3000,Permissions!$B$2:$B$3000,$A322,Permissions!$R$2:$R$3000,"Yes")</f>
        <v>58.6</v>
      </c>
      <c r="AX322" s="26" t="n">
        <f aca="false">SUMIFS(Permissions!$AN$2:$AN$3000,Permissions!$B$2:$B$3000,$A322,Permissions!$R$2:$R$3000,"Yes")</f>
        <v>22</v>
      </c>
      <c r="AY322" s="26" t="n">
        <f aca="false">SUMIFS(Permissions!$AO$2:$AO$3000,Permissions!$B$2:$B$3000,$A322,Permissions!$R$2:$R$3000,"Yes")</f>
        <v>0</v>
      </c>
      <c r="AZ322" s="24" t="n">
        <f aca="false">COUNTIFS(Permissions!$B$2:$B$3000,$A322,Permissions!$R$2:$R$3000,"Yes")</f>
        <v>2</v>
      </c>
      <c r="BA322" s="24" t="n">
        <f aca="false">SUMIFS(Permissions!$M$2:$M$3000,Permissions!$B$2:$B$3000,$A322,Permissions!$R$2:$R$3000,"Yes")</f>
        <v>0</v>
      </c>
      <c r="BB322" s="24" t="n">
        <f aca="false">SUMIFS(Permissions!$O$2:$O$3000,Permissions!$B$2:$B$3000,$A322,Permissions!$R$2:$R$3000,"Yes")</f>
        <v>0</v>
      </c>
      <c r="BC322" s="27" t="str">
        <f aca="false">IF(AND(AM322&gt;0,AR322&gt;=AM322,AP322=0),"Finished",IF(AR322&gt;0,"Partly built",IF(AM322&gt;0,"Consented – not built","No consent")))</f>
        <v>Consented – not built</v>
      </c>
      <c r="BD322" s="28" t="str">
        <f aca="false">IF(AND(R322&lt;&gt;"",AM322&gt;1.1*R322),"Consented above capacity",IF(AND(LEFT(B322,8)="Planning",AZ322=0),"Consent parcel with no permission",IF(COUNTIF($A$2:$A$3000,$A322)&gt;1,"Duplicate parcel_id","")))</f>
        <v/>
      </c>
    </row>
    <row r="323" customFormat="false" ht="15" hidden="false" customHeight="false" outlineLevel="0" collapsed="false">
      <c r="A323" s="15" t="s">
        <v>754</v>
      </c>
      <c r="B323" s="15" t="s">
        <v>12</v>
      </c>
      <c r="C323" s="15" t="s">
        <v>17</v>
      </c>
      <c r="D323" s="15" t="s">
        <v>63</v>
      </c>
      <c r="E323" s="15" t="s">
        <v>20</v>
      </c>
      <c r="F323" s="15" t="n">
        <v>0.1</v>
      </c>
      <c r="G323" s="15" t="s">
        <v>158</v>
      </c>
      <c r="H323" s="15"/>
      <c r="I323" s="15" t="s">
        <v>346</v>
      </c>
      <c r="J323" s="15" t="s">
        <v>363</v>
      </c>
      <c r="K323" s="15" t="s">
        <v>755</v>
      </c>
      <c r="L323" s="15"/>
      <c r="M323" s="15"/>
      <c r="N323" s="15"/>
      <c r="O323" s="15"/>
      <c r="P323" s="15" t="n">
        <v>1.245</v>
      </c>
      <c r="Q323" s="15" t="n">
        <v>1.245</v>
      </c>
      <c r="R323" s="15"/>
      <c r="S323" s="15" t="s">
        <v>459</v>
      </c>
      <c r="T323" s="15" t="n">
        <v>31</v>
      </c>
      <c r="U323" s="15"/>
      <c r="V323" s="15"/>
      <c r="W323" s="15"/>
      <c r="X323" s="15" t="s">
        <v>353</v>
      </c>
      <c r="Y323" s="15" t="n">
        <v>25</v>
      </c>
      <c r="Z323" s="15" t="s">
        <v>354</v>
      </c>
      <c r="AA323" s="15"/>
      <c r="AB323" s="15" t="n">
        <v>0</v>
      </c>
      <c r="AC323" s="15" t="n">
        <v>0</v>
      </c>
      <c r="AD323" s="15"/>
      <c r="AE323" s="15"/>
      <c r="AF323" s="15" t="s">
        <v>169</v>
      </c>
      <c r="AG323" s="15"/>
      <c r="AH323" s="24" t="n">
        <f aca="false">IF(R323="",AM323,R323)</f>
        <v>28</v>
      </c>
      <c r="AI323" s="24" t="n">
        <f aca="false">SUMIFS(Permissions!$G$2:$G$3000,Permissions!$B$2:$B$3000,$A323,Permissions!$I$2:$I$3000,"Complete",Permissions!$R$2:$R$3000,"Yes")</f>
        <v>0</v>
      </c>
      <c r="AJ323" s="24" t="n">
        <f aca="false">SUMIFS(Permissions!$G$2:$G$3000,Permissions!$B$2:$B$3000,$A323,Permissions!$I$2:$I$3000,"Under construction",Permissions!$R$2:$R$3000,"Yes")</f>
        <v>28</v>
      </c>
      <c r="AK323" s="24" t="n">
        <f aca="false">SUMIFS(Permissions!$G$2:$G$3000,Permissions!$B$2:$B$3000,$A323,Permissions!$I$2:$I$3000,"Permitted – not started",Permissions!$R$2:$R$3000,"Yes")</f>
        <v>0</v>
      </c>
      <c r="AL323" s="24" t="n">
        <f aca="false">SUMIFS(Permissions!$G$2:$G$3000,Permissions!$B$2:$B$3000,$A323,Permissions!$I$2:$I$3000,"Stalled",Permissions!$R$2:$R$3000,"Yes")</f>
        <v>0</v>
      </c>
      <c r="AM323" s="24" t="n">
        <f aca="false">AI323+AJ323+AK323+AL323</f>
        <v>28</v>
      </c>
      <c r="AN323" s="24" t="n">
        <f aca="false">SUMIFS(Permissions!$G$2:$G$3000,Permissions!$B$2:$B$3000,$A323,Permissions!$I$2:$I$3000,"Expired – not started",Permissions!$R$2:$R$3000,"Yes")</f>
        <v>0</v>
      </c>
      <c r="AO323" s="24" t="n">
        <f aca="false">SUMIFS(Permissions!$G$2:$G$3000,Permissions!$B$2:$B$3000,$A323,Permissions!$I$2:$I$3000,"In planning",Permissions!$R$2:$R$3000,"Yes")</f>
        <v>0</v>
      </c>
      <c r="AP323" s="24" t="n">
        <f aca="false">IF(R323="",0,MAX(R323-AM323,0))</f>
        <v>0</v>
      </c>
      <c r="AQ323" s="25" t="n">
        <f aca="false">AM323+AP323</f>
        <v>28</v>
      </c>
      <c r="AR323" s="24" t="n">
        <f aca="false">SUMIFS(Permissions!$L$2:$L$3000,Permissions!$B$2:$B$3000,$A323,Permissions!$R$2:$R$3000,"Yes",Permissions!$I$2:$I$3000,"&lt;&gt;Expired – not started",Permissions!$I$2:$I$3000,"&lt;&gt;In planning")</f>
        <v>0</v>
      </c>
      <c r="AS323" s="24" t="n">
        <f aca="false">AQ323-AR323</f>
        <v>28</v>
      </c>
      <c r="AT323" s="26" t="n">
        <f aca="false">SUMIFS(Permissions!$AJ$2:$AJ$3000,Permissions!$B$2:$B$3000,$A323,Permissions!$R$2:$R$3000,"Yes")</f>
        <v>1.2</v>
      </c>
      <c r="AU323" s="26" t="n">
        <f aca="false">SUMIFS(Permissions!$AK$2:$AK$3000,Permissions!$B$2:$B$3000,$A323,Permissions!$R$2:$R$3000,"Yes")</f>
        <v>26.8</v>
      </c>
      <c r="AV323" s="26" t="n">
        <f aca="false">SUMIFS(Permissions!$AL$2:$AL$3000,Permissions!$B$2:$B$3000,$A323,Permissions!$R$2:$R$3000,"Yes")</f>
        <v>0</v>
      </c>
      <c r="AW323" s="26" t="n">
        <f aca="false">SUMIFS(Permissions!$AM$2:$AM$3000,Permissions!$B$2:$B$3000,$A323,Permissions!$R$2:$R$3000,"Yes")</f>
        <v>0</v>
      </c>
      <c r="AX323" s="26" t="n">
        <f aca="false">SUMIFS(Permissions!$AN$2:$AN$3000,Permissions!$B$2:$B$3000,$A323,Permissions!$R$2:$R$3000,"Yes")</f>
        <v>0</v>
      </c>
      <c r="AY323" s="26" t="n">
        <f aca="false">SUMIFS(Permissions!$AO$2:$AO$3000,Permissions!$B$2:$B$3000,$A323,Permissions!$R$2:$R$3000,"Yes")</f>
        <v>0</v>
      </c>
      <c r="AZ323" s="24" t="n">
        <f aca="false">COUNTIFS(Permissions!$B$2:$B$3000,$A323,Permissions!$R$2:$R$3000,"Yes")</f>
        <v>1</v>
      </c>
      <c r="BA323" s="24" t="n">
        <f aca="false">SUMIFS(Permissions!$M$2:$M$3000,Permissions!$B$2:$B$3000,$A323,Permissions!$R$2:$R$3000,"Yes")</f>
        <v>0</v>
      </c>
      <c r="BB323" s="24" t="n">
        <f aca="false">SUMIFS(Permissions!$O$2:$O$3000,Permissions!$B$2:$B$3000,$A323,Permissions!$R$2:$R$3000,"Yes")</f>
        <v>0</v>
      </c>
      <c r="BC323" s="27" t="str">
        <f aca="false">IF(AND(AM323&gt;0,AR323&gt;=AM323,AP323=0),"Finished",IF(AR323&gt;0,"Partly built",IF(AM323&gt;0,"Consented – not built","No consent")))</f>
        <v>Consented – not built</v>
      </c>
      <c r="BD323" s="28" t="str">
        <f aca="false">IF(AND(R323&lt;&gt;"",AM323&gt;1.1*R323),"Consented above capacity",IF(AND(LEFT(B323,8)="Planning",AZ323=0),"Consent parcel with no permission",IF(COUNTIF($A$2:$A$3000,$A323)&gt;1,"Duplicate parcel_id","")))</f>
        <v/>
      </c>
    </row>
    <row r="324" customFormat="false" ht="15" hidden="false" customHeight="false" outlineLevel="0" collapsed="false">
      <c r="A324" s="15" t="s">
        <v>756</v>
      </c>
      <c r="B324" s="15" t="s">
        <v>12</v>
      </c>
      <c r="C324" s="15" t="s">
        <v>17</v>
      </c>
      <c r="D324" s="15" t="s">
        <v>74</v>
      </c>
      <c r="E324" s="15" t="s">
        <v>21</v>
      </c>
      <c r="F324" s="15" t="n">
        <v>1</v>
      </c>
      <c r="G324" s="15" t="s">
        <v>158</v>
      </c>
      <c r="H324" s="15"/>
      <c r="I324" s="15" t="s">
        <v>346</v>
      </c>
      <c r="J324" s="15" t="s">
        <v>159</v>
      </c>
      <c r="K324" s="15" t="s">
        <v>757</v>
      </c>
      <c r="L324" s="15"/>
      <c r="M324" s="15"/>
      <c r="N324" s="15"/>
      <c r="O324" s="15"/>
      <c r="P324" s="15" t="n">
        <v>1.803</v>
      </c>
      <c r="Q324" s="15" t="n">
        <v>1.803</v>
      </c>
      <c r="R324" s="15"/>
      <c r="S324" s="15" t="s">
        <v>459</v>
      </c>
      <c r="T324" s="15" t="n">
        <v>45</v>
      </c>
      <c r="U324" s="15"/>
      <c r="V324" s="15"/>
      <c r="W324" s="15"/>
      <c r="X324" s="15" t="s">
        <v>353</v>
      </c>
      <c r="Y324" s="15" t="n">
        <v>25</v>
      </c>
      <c r="Z324" s="15" t="s">
        <v>354</v>
      </c>
      <c r="AA324" s="15"/>
      <c r="AB324" s="15" t="n">
        <v>0</v>
      </c>
      <c r="AC324" s="15" t="n">
        <v>0</v>
      </c>
      <c r="AD324" s="15"/>
      <c r="AE324" s="15"/>
      <c r="AF324" s="15" t="s">
        <v>169</v>
      </c>
      <c r="AG324" s="15"/>
      <c r="AH324" s="24" t="n">
        <f aca="false">IF(R324="",AM324,R324)</f>
        <v>41</v>
      </c>
      <c r="AI324" s="24" t="n">
        <f aca="false">SUMIFS(Permissions!$G$2:$G$3000,Permissions!$B$2:$B$3000,$A324,Permissions!$I$2:$I$3000,"Complete",Permissions!$R$2:$R$3000,"Yes")</f>
        <v>0</v>
      </c>
      <c r="AJ324" s="24" t="n">
        <f aca="false">SUMIFS(Permissions!$G$2:$G$3000,Permissions!$B$2:$B$3000,$A324,Permissions!$I$2:$I$3000,"Under construction",Permissions!$R$2:$R$3000,"Yes")</f>
        <v>0</v>
      </c>
      <c r="AK324" s="24" t="n">
        <f aca="false">SUMIFS(Permissions!$G$2:$G$3000,Permissions!$B$2:$B$3000,$A324,Permissions!$I$2:$I$3000,"Permitted – not started",Permissions!$R$2:$R$3000,"Yes")</f>
        <v>41</v>
      </c>
      <c r="AL324" s="24" t="n">
        <f aca="false">SUMIFS(Permissions!$G$2:$G$3000,Permissions!$B$2:$B$3000,$A324,Permissions!$I$2:$I$3000,"Stalled",Permissions!$R$2:$R$3000,"Yes")</f>
        <v>0</v>
      </c>
      <c r="AM324" s="24" t="n">
        <f aca="false">AI324+AJ324+AK324+AL324</f>
        <v>41</v>
      </c>
      <c r="AN324" s="24" t="n">
        <f aca="false">SUMIFS(Permissions!$G$2:$G$3000,Permissions!$B$2:$B$3000,$A324,Permissions!$I$2:$I$3000,"Expired – not started",Permissions!$R$2:$R$3000,"Yes")</f>
        <v>0</v>
      </c>
      <c r="AO324" s="24" t="n">
        <f aca="false">SUMIFS(Permissions!$G$2:$G$3000,Permissions!$B$2:$B$3000,$A324,Permissions!$I$2:$I$3000,"In planning",Permissions!$R$2:$R$3000,"Yes")</f>
        <v>0</v>
      </c>
      <c r="AP324" s="24" t="n">
        <f aca="false">IF(R324="",0,MAX(R324-AM324,0))</f>
        <v>0</v>
      </c>
      <c r="AQ324" s="25" t="n">
        <f aca="false">AM324+AP324</f>
        <v>41</v>
      </c>
      <c r="AR324" s="24" t="n">
        <f aca="false">SUMIFS(Permissions!$L$2:$L$3000,Permissions!$B$2:$B$3000,$A324,Permissions!$R$2:$R$3000,"Yes",Permissions!$I$2:$I$3000,"&lt;&gt;Expired – not started",Permissions!$I$2:$I$3000,"&lt;&gt;In planning")</f>
        <v>0</v>
      </c>
      <c r="AS324" s="24" t="n">
        <f aca="false">AQ324-AR324</f>
        <v>41</v>
      </c>
      <c r="AT324" s="26" t="n">
        <f aca="false">SUMIFS(Permissions!$AJ$2:$AJ$3000,Permissions!$B$2:$B$3000,$A324,Permissions!$R$2:$R$3000,"Yes")</f>
        <v>0</v>
      </c>
      <c r="AU324" s="26" t="n">
        <f aca="false">SUMIFS(Permissions!$AK$2:$AK$3000,Permissions!$B$2:$B$3000,$A324,Permissions!$R$2:$R$3000,"Yes")</f>
        <v>1.1</v>
      </c>
      <c r="AV324" s="26" t="n">
        <f aca="false">SUMIFS(Permissions!$AL$2:$AL$3000,Permissions!$B$2:$B$3000,$A324,Permissions!$R$2:$R$3000,"Yes")</f>
        <v>39.9</v>
      </c>
      <c r="AW324" s="26" t="n">
        <f aca="false">SUMIFS(Permissions!$AM$2:$AM$3000,Permissions!$B$2:$B$3000,$A324,Permissions!$R$2:$R$3000,"Yes")</f>
        <v>0</v>
      </c>
      <c r="AX324" s="26" t="n">
        <f aca="false">SUMIFS(Permissions!$AN$2:$AN$3000,Permissions!$B$2:$B$3000,$A324,Permissions!$R$2:$R$3000,"Yes")</f>
        <v>0</v>
      </c>
      <c r="AY324" s="26" t="n">
        <f aca="false">SUMIFS(Permissions!$AO$2:$AO$3000,Permissions!$B$2:$B$3000,$A324,Permissions!$R$2:$R$3000,"Yes")</f>
        <v>0</v>
      </c>
      <c r="AZ324" s="24" t="n">
        <f aca="false">COUNTIFS(Permissions!$B$2:$B$3000,$A324,Permissions!$R$2:$R$3000,"Yes")</f>
        <v>1</v>
      </c>
      <c r="BA324" s="24" t="n">
        <f aca="false">SUMIFS(Permissions!$M$2:$M$3000,Permissions!$B$2:$B$3000,$A324,Permissions!$R$2:$R$3000,"Yes")</f>
        <v>0</v>
      </c>
      <c r="BB324" s="24" t="n">
        <f aca="false">SUMIFS(Permissions!$O$2:$O$3000,Permissions!$B$2:$B$3000,$A324,Permissions!$R$2:$R$3000,"Yes")</f>
        <v>0</v>
      </c>
      <c r="BC324" s="27" t="str">
        <f aca="false">IF(AND(AM324&gt;0,AR324&gt;=AM324,AP324=0),"Finished",IF(AR324&gt;0,"Partly built",IF(AM324&gt;0,"Consented – not built","No consent")))</f>
        <v>Consented – not built</v>
      </c>
      <c r="BD324" s="28" t="str">
        <f aca="false">IF(AND(R324&lt;&gt;"",AM324&gt;1.1*R324),"Consented above capacity",IF(AND(LEFT(B324,8)="Planning",AZ324=0),"Consent parcel with no permission",IF(COUNTIF($A$2:$A$3000,$A324)&gt;1,"Duplicate parcel_id","")))</f>
        <v/>
      </c>
    </row>
    <row r="325" customFormat="false" ht="15" hidden="false" customHeight="false" outlineLevel="0" collapsed="false">
      <c r="A325" s="15" t="s">
        <v>758</v>
      </c>
      <c r="B325" s="15" t="s">
        <v>12</v>
      </c>
      <c r="C325" s="15" t="s">
        <v>17</v>
      </c>
      <c r="D325" s="15" t="s">
        <v>22</v>
      </c>
      <c r="E325" s="15" t="s">
        <v>22</v>
      </c>
      <c r="F325" s="15"/>
      <c r="G325" s="15" t="s">
        <v>22</v>
      </c>
      <c r="H325" s="15"/>
      <c r="I325" s="15" t="s">
        <v>346</v>
      </c>
      <c r="J325" s="15" t="s">
        <v>347</v>
      </c>
      <c r="K325" s="15" t="s">
        <v>759</v>
      </c>
      <c r="L325" s="15"/>
      <c r="M325" s="15"/>
      <c r="N325" s="15"/>
      <c r="O325" s="15"/>
      <c r="P325" s="15" t="n">
        <v>1.497</v>
      </c>
      <c r="Q325" s="15" t="n">
        <v>1.497</v>
      </c>
      <c r="R325" s="15" t="n">
        <v>3</v>
      </c>
      <c r="S325" s="15" t="s">
        <v>472</v>
      </c>
      <c r="T325" s="15" t="n">
        <v>37</v>
      </c>
      <c r="U325" s="15"/>
      <c r="V325" s="15"/>
      <c r="W325" s="15"/>
      <c r="X325" s="15" t="s">
        <v>353</v>
      </c>
      <c r="Y325" s="15" t="n">
        <v>25</v>
      </c>
      <c r="Z325" s="15" t="s">
        <v>354</v>
      </c>
      <c r="AA325" s="15"/>
      <c r="AB325" s="15" t="n">
        <v>0</v>
      </c>
      <c r="AC325" s="15" t="n">
        <v>0</v>
      </c>
      <c r="AD325" s="15"/>
      <c r="AE325" s="15"/>
      <c r="AF325" s="15" t="s">
        <v>169</v>
      </c>
      <c r="AG325" s="15"/>
      <c r="AH325" s="24" t="n">
        <f aca="false">IF(R325="",AM325,R325)</f>
        <v>3</v>
      </c>
      <c r="AI325" s="24" t="n">
        <f aca="false">SUMIFS(Permissions!$G$2:$G$3000,Permissions!$B$2:$B$3000,$A325,Permissions!$I$2:$I$3000,"Complete",Permissions!$R$2:$R$3000,"Yes")</f>
        <v>0</v>
      </c>
      <c r="AJ325" s="24" t="n">
        <f aca="false">SUMIFS(Permissions!$G$2:$G$3000,Permissions!$B$2:$B$3000,$A325,Permissions!$I$2:$I$3000,"Under construction",Permissions!$R$2:$R$3000,"Yes")</f>
        <v>0</v>
      </c>
      <c r="AK325" s="24" t="n">
        <f aca="false">SUMIFS(Permissions!$G$2:$G$3000,Permissions!$B$2:$B$3000,$A325,Permissions!$I$2:$I$3000,"Permitted – not started",Permissions!$R$2:$R$3000,"Yes")</f>
        <v>0</v>
      </c>
      <c r="AL325" s="24" t="n">
        <f aca="false">SUMIFS(Permissions!$G$2:$G$3000,Permissions!$B$2:$B$3000,$A325,Permissions!$I$2:$I$3000,"Stalled",Permissions!$R$2:$R$3000,"Yes")</f>
        <v>0</v>
      </c>
      <c r="AM325" s="24" t="n">
        <f aca="false">AI325+AJ325+AK325+AL325</f>
        <v>0</v>
      </c>
      <c r="AN325" s="24" t="n">
        <f aca="false">SUMIFS(Permissions!$G$2:$G$3000,Permissions!$B$2:$B$3000,$A325,Permissions!$I$2:$I$3000,"Expired – not started",Permissions!$R$2:$R$3000,"Yes")</f>
        <v>3</v>
      </c>
      <c r="AO325" s="24" t="n">
        <f aca="false">SUMIFS(Permissions!$G$2:$G$3000,Permissions!$B$2:$B$3000,$A325,Permissions!$I$2:$I$3000,"In planning",Permissions!$R$2:$R$3000,"Yes")</f>
        <v>0</v>
      </c>
      <c r="AP325" s="24" t="n">
        <f aca="false">IF(R325="",0,MAX(R325-AM325,0))</f>
        <v>3</v>
      </c>
      <c r="AQ325" s="25" t="n">
        <f aca="false">AM325+AP325</f>
        <v>3</v>
      </c>
      <c r="AR325" s="24" t="n">
        <f aca="false">SUMIFS(Permissions!$L$2:$L$3000,Permissions!$B$2:$B$3000,$A325,Permissions!$R$2:$R$3000,"Yes",Permissions!$I$2:$I$3000,"&lt;&gt;Expired – not started",Permissions!$I$2:$I$3000,"&lt;&gt;In planning")</f>
        <v>0</v>
      </c>
      <c r="AS325" s="24" t="n">
        <f aca="false">AQ325-AR325</f>
        <v>3</v>
      </c>
      <c r="AT325" s="26" t="n">
        <f aca="false">SUMIFS(Permissions!$AJ$2:$AJ$3000,Permissions!$B$2:$B$3000,$A325,Permissions!$R$2:$R$3000,"Yes")</f>
        <v>0</v>
      </c>
      <c r="AU325" s="26" t="n">
        <f aca="false">SUMIFS(Permissions!$AK$2:$AK$3000,Permissions!$B$2:$B$3000,$A325,Permissions!$R$2:$R$3000,"Yes")</f>
        <v>0</v>
      </c>
      <c r="AV325" s="26" t="n">
        <f aca="false">SUMIFS(Permissions!$AL$2:$AL$3000,Permissions!$B$2:$B$3000,$A325,Permissions!$R$2:$R$3000,"Yes")</f>
        <v>0</v>
      </c>
      <c r="AW325" s="26" t="n">
        <f aca="false">SUMIFS(Permissions!$AM$2:$AM$3000,Permissions!$B$2:$B$3000,$A325,Permissions!$R$2:$R$3000,"Yes")</f>
        <v>0</v>
      </c>
      <c r="AX325" s="26" t="n">
        <f aca="false">SUMIFS(Permissions!$AN$2:$AN$3000,Permissions!$B$2:$B$3000,$A325,Permissions!$R$2:$R$3000,"Yes")</f>
        <v>0</v>
      </c>
      <c r="AY325" s="26" t="n">
        <f aca="false">SUMIFS(Permissions!$AO$2:$AO$3000,Permissions!$B$2:$B$3000,$A325,Permissions!$R$2:$R$3000,"Yes")</f>
        <v>0</v>
      </c>
      <c r="AZ325" s="24" t="n">
        <f aca="false">COUNTIFS(Permissions!$B$2:$B$3000,$A325,Permissions!$R$2:$R$3000,"Yes")</f>
        <v>1</v>
      </c>
      <c r="BA325" s="24" t="n">
        <f aca="false">SUMIFS(Permissions!$M$2:$M$3000,Permissions!$B$2:$B$3000,$A325,Permissions!$R$2:$R$3000,"Yes")</f>
        <v>0</v>
      </c>
      <c r="BB325" s="24" t="n">
        <f aca="false">SUMIFS(Permissions!$O$2:$O$3000,Permissions!$B$2:$B$3000,$A325,Permissions!$R$2:$R$3000,"Yes")</f>
        <v>0</v>
      </c>
      <c r="BC325" s="27" t="str">
        <f aca="false">IF(AND(AM325&gt;0,AR325&gt;=AM325,AP325=0),"Finished",IF(AR325&gt;0,"Partly built",IF(AM325&gt;0,"Consented – not built","No consent")))</f>
        <v>No consent</v>
      </c>
      <c r="BD325" s="28" t="str">
        <f aca="false">IF(AND(R325&lt;&gt;"",AM325&gt;1.1*R325),"Consented above capacity",IF(AND(LEFT(B325,8)="Planning",AZ325=0),"Consent parcel with no permission",IF(COUNTIF($A$2:$A$3000,$A325)&gt;1,"Duplicate parcel_id","")))</f>
        <v/>
      </c>
    </row>
    <row r="326" customFormat="false" ht="15" hidden="false" customHeight="false" outlineLevel="0" collapsed="false">
      <c r="A326" s="15" t="s">
        <v>760</v>
      </c>
      <c r="B326" s="15" t="s">
        <v>12</v>
      </c>
      <c r="C326" s="15" t="s">
        <v>17</v>
      </c>
      <c r="D326" s="15" t="s">
        <v>22</v>
      </c>
      <c r="E326" s="15" t="s">
        <v>22</v>
      </c>
      <c r="F326" s="15"/>
      <c r="G326" s="15" t="s">
        <v>22</v>
      </c>
      <c r="H326" s="15"/>
      <c r="I326" s="15" t="s">
        <v>346</v>
      </c>
      <c r="J326" s="15" t="s">
        <v>363</v>
      </c>
      <c r="K326" s="15" t="s">
        <v>761</v>
      </c>
      <c r="L326" s="15"/>
      <c r="M326" s="15"/>
      <c r="N326" s="15"/>
      <c r="O326" s="15"/>
      <c r="P326" s="15" t="n">
        <v>0.621</v>
      </c>
      <c r="Q326" s="15" t="n">
        <v>0.621</v>
      </c>
      <c r="R326" s="15"/>
      <c r="S326" s="15" t="s">
        <v>459</v>
      </c>
      <c r="T326" s="15" t="n">
        <v>16</v>
      </c>
      <c r="U326" s="15"/>
      <c r="V326" s="15"/>
      <c r="W326" s="15"/>
      <c r="X326" s="15" t="s">
        <v>353</v>
      </c>
      <c r="Y326" s="15" t="n">
        <v>25</v>
      </c>
      <c r="Z326" s="15" t="s">
        <v>354</v>
      </c>
      <c r="AA326" s="15"/>
      <c r="AB326" s="15" t="n">
        <v>8</v>
      </c>
      <c r="AC326" s="15" t="n">
        <v>8</v>
      </c>
      <c r="AD326" s="15"/>
      <c r="AE326" s="15"/>
      <c r="AF326" s="15" t="s">
        <v>169</v>
      </c>
      <c r="AG326" s="15"/>
      <c r="AH326" s="24" t="n">
        <f aca="false">IF(R326="",AM326,R326)</f>
        <v>8</v>
      </c>
      <c r="AI326" s="24" t="n">
        <f aca="false">SUMIFS(Permissions!$G$2:$G$3000,Permissions!$B$2:$B$3000,$A326,Permissions!$I$2:$I$3000,"Complete",Permissions!$R$2:$R$3000,"Yes")</f>
        <v>8</v>
      </c>
      <c r="AJ326" s="24" t="n">
        <f aca="false">SUMIFS(Permissions!$G$2:$G$3000,Permissions!$B$2:$B$3000,$A326,Permissions!$I$2:$I$3000,"Under construction",Permissions!$R$2:$R$3000,"Yes")</f>
        <v>0</v>
      </c>
      <c r="AK326" s="24" t="n">
        <f aca="false">SUMIFS(Permissions!$G$2:$G$3000,Permissions!$B$2:$B$3000,$A326,Permissions!$I$2:$I$3000,"Permitted – not started",Permissions!$R$2:$R$3000,"Yes")</f>
        <v>0</v>
      </c>
      <c r="AL326" s="24" t="n">
        <f aca="false">SUMIFS(Permissions!$G$2:$G$3000,Permissions!$B$2:$B$3000,$A326,Permissions!$I$2:$I$3000,"Stalled",Permissions!$R$2:$R$3000,"Yes")</f>
        <v>0</v>
      </c>
      <c r="AM326" s="24" t="n">
        <f aca="false">AI326+AJ326+AK326+AL326</f>
        <v>8</v>
      </c>
      <c r="AN326" s="24" t="n">
        <f aca="false">SUMIFS(Permissions!$G$2:$G$3000,Permissions!$B$2:$B$3000,$A326,Permissions!$I$2:$I$3000,"Expired – not started",Permissions!$R$2:$R$3000,"Yes")</f>
        <v>0</v>
      </c>
      <c r="AO326" s="24" t="n">
        <f aca="false">SUMIFS(Permissions!$G$2:$G$3000,Permissions!$B$2:$B$3000,$A326,Permissions!$I$2:$I$3000,"In planning",Permissions!$R$2:$R$3000,"Yes")</f>
        <v>0</v>
      </c>
      <c r="AP326" s="24" t="n">
        <f aca="false">IF(R326="",0,MAX(R326-AM326,0))</f>
        <v>0</v>
      </c>
      <c r="AQ326" s="25" t="n">
        <f aca="false">AM326+AP326</f>
        <v>8</v>
      </c>
      <c r="AR326" s="24" t="n">
        <f aca="false">SUMIFS(Permissions!$L$2:$L$3000,Permissions!$B$2:$B$3000,$A326,Permissions!$R$2:$R$3000,"Yes",Permissions!$I$2:$I$3000,"&lt;&gt;Expired – not started",Permissions!$I$2:$I$3000,"&lt;&gt;In planning")</f>
        <v>8</v>
      </c>
      <c r="AS326" s="24" t="n">
        <f aca="false">AQ326-AR326</f>
        <v>0</v>
      </c>
      <c r="AT326" s="26" t="n">
        <f aca="false">SUMIFS(Permissions!$AJ$2:$AJ$3000,Permissions!$B$2:$B$3000,$A326,Permissions!$R$2:$R$3000,"Yes")</f>
        <v>0</v>
      </c>
      <c r="AU326" s="26" t="n">
        <f aca="false">SUMIFS(Permissions!$AK$2:$AK$3000,Permissions!$B$2:$B$3000,$A326,Permissions!$R$2:$R$3000,"Yes")</f>
        <v>0</v>
      </c>
      <c r="AV326" s="26" t="n">
        <f aca="false">SUMIFS(Permissions!$AL$2:$AL$3000,Permissions!$B$2:$B$3000,$A326,Permissions!$R$2:$R$3000,"Yes")</f>
        <v>0</v>
      </c>
      <c r="AW326" s="26" t="n">
        <f aca="false">SUMIFS(Permissions!$AM$2:$AM$3000,Permissions!$B$2:$B$3000,$A326,Permissions!$R$2:$R$3000,"Yes")</f>
        <v>0</v>
      </c>
      <c r="AX326" s="26" t="n">
        <f aca="false">SUMIFS(Permissions!$AN$2:$AN$3000,Permissions!$B$2:$B$3000,$A326,Permissions!$R$2:$R$3000,"Yes")</f>
        <v>0</v>
      </c>
      <c r="AY326" s="26" t="n">
        <f aca="false">SUMIFS(Permissions!$AO$2:$AO$3000,Permissions!$B$2:$B$3000,$A326,Permissions!$R$2:$R$3000,"Yes")</f>
        <v>0</v>
      </c>
      <c r="AZ326" s="24" t="n">
        <f aca="false">COUNTIFS(Permissions!$B$2:$B$3000,$A326,Permissions!$R$2:$R$3000,"Yes")</f>
        <v>1</v>
      </c>
      <c r="BA326" s="24" t="n">
        <f aca="false">SUMIFS(Permissions!$M$2:$M$3000,Permissions!$B$2:$B$3000,$A326,Permissions!$R$2:$R$3000,"Yes")</f>
        <v>0</v>
      </c>
      <c r="BB326" s="24" t="n">
        <f aca="false">SUMIFS(Permissions!$O$2:$O$3000,Permissions!$B$2:$B$3000,$A326,Permissions!$R$2:$R$3000,"Yes")</f>
        <v>0</v>
      </c>
      <c r="BC326" s="27" t="str">
        <f aca="false">IF(AND(AM326&gt;0,AR326&gt;=AM326,AP326=0),"Finished",IF(AR326&gt;0,"Partly built",IF(AM326&gt;0,"Consented – not built","No consent")))</f>
        <v>Finished</v>
      </c>
      <c r="BD326" s="28" t="str">
        <f aca="false">IF(AND(R326&lt;&gt;"",AM326&gt;1.1*R326),"Consented above capacity",IF(AND(LEFT(B326,8)="Planning",AZ326=0),"Consent parcel with no permission",IF(COUNTIF($A$2:$A$3000,$A326)&gt;1,"Duplicate parcel_id","")))</f>
        <v/>
      </c>
    </row>
    <row r="327" customFormat="false" ht="15" hidden="false" customHeight="false" outlineLevel="0" collapsed="false">
      <c r="A327" s="15" t="s">
        <v>762</v>
      </c>
      <c r="B327" s="15" t="s">
        <v>12</v>
      </c>
      <c r="C327" s="15" t="s">
        <v>17</v>
      </c>
      <c r="D327" s="15" t="s">
        <v>22</v>
      </c>
      <c r="E327" s="15" t="s">
        <v>22</v>
      </c>
      <c r="F327" s="15"/>
      <c r="G327" s="15" t="s">
        <v>22</v>
      </c>
      <c r="H327" s="15"/>
      <c r="I327" s="15" t="s">
        <v>346</v>
      </c>
      <c r="J327" s="15" t="s">
        <v>211</v>
      </c>
      <c r="K327" s="15" t="s">
        <v>763</v>
      </c>
      <c r="L327" s="15"/>
      <c r="M327" s="15"/>
      <c r="N327" s="15"/>
      <c r="O327" s="15"/>
      <c r="P327" s="15" t="n">
        <v>0.463</v>
      </c>
      <c r="Q327" s="15" t="n">
        <v>0.463</v>
      </c>
      <c r="R327" s="15"/>
      <c r="S327" s="15" t="s">
        <v>459</v>
      </c>
      <c r="T327" s="15" t="n">
        <v>12</v>
      </c>
      <c r="U327" s="15"/>
      <c r="V327" s="15"/>
      <c r="W327" s="15"/>
      <c r="X327" s="15" t="s">
        <v>353</v>
      </c>
      <c r="Y327" s="15" t="n">
        <v>25</v>
      </c>
      <c r="Z327" s="15" t="s">
        <v>354</v>
      </c>
      <c r="AA327" s="15"/>
      <c r="AB327" s="15" t="n">
        <v>3</v>
      </c>
      <c r="AC327" s="15" t="n">
        <v>3</v>
      </c>
      <c r="AD327" s="15"/>
      <c r="AE327" s="15"/>
      <c r="AF327" s="15" t="s">
        <v>169</v>
      </c>
      <c r="AG327" s="15"/>
      <c r="AH327" s="24" t="n">
        <f aca="false">IF(R327="",AM327,R327)</f>
        <v>3</v>
      </c>
      <c r="AI327" s="24" t="n">
        <f aca="false">SUMIFS(Permissions!$G$2:$G$3000,Permissions!$B$2:$B$3000,$A327,Permissions!$I$2:$I$3000,"Complete",Permissions!$R$2:$R$3000,"Yes")</f>
        <v>0</v>
      </c>
      <c r="AJ327" s="24" t="n">
        <f aca="false">SUMIFS(Permissions!$G$2:$G$3000,Permissions!$B$2:$B$3000,$A327,Permissions!$I$2:$I$3000,"Under construction",Permissions!$R$2:$R$3000,"Yes")</f>
        <v>3</v>
      </c>
      <c r="AK327" s="24" t="n">
        <f aca="false">SUMIFS(Permissions!$G$2:$G$3000,Permissions!$B$2:$B$3000,$A327,Permissions!$I$2:$I$3000,"Permitted – not started",Permissions!$R$2:$R$3000,"Yes")</f>
        <v>0</v>
      </c>
      <c r="AL327" s="24" t="n">
        <f aca="false">SUMIFS(Permissions!$G$2:$G$3000,Permissions!$B$2:$B$3000,$A327,Permissions!$I$2:$I$3000,"Stalled",Permissions!$R$2:$R$3000,"Yes")</f>
        <v>0</v>
      </c>
      <c r="AM327" s="24" t="n">
        <f aca="false">AI327+AJ327+AK327+AL327</f>
        <v>3</v>
      </c>
      <c r="AN327" s="24" t="n">
        <f aca="false">SUMIFS(Permissions!$G$2:$G$3000,Permissions!$B$2:$B$3000,$A327,Permissions!$I$2:$I$3000,"Expired – not started",Permissions!$R$2:$R$3000,"Yes")</f>
        <v>0</v>
      </c>
      <c r="AO327" s="24" t="n">
        <f aca="false">SUMIFS(Permissions!$G$2:$G$3000,Permissions!$B$2:$B$3000,$A327,Permissions!$I$2:$I$3000,"In planning",Permissions!$R$2:$R$3000,"Yes")</f>
        <v>0</v>
      </c>
      <c r="AP327" s="24" t="n">
        <f aca="false">IF(R327="",0,MAX(R327-AM327,0))</f>
        <v>0</v>
      </c>
      <c r="AQ327" s="25" t="n">
        <f aca="false">AM327+AP327</f>
        <v>3</v>
      </c>
      <c r="AR327" s="24" t="n">
        <f aca="false">SUMIFS(Permissions!$L$2:$L$3000,Permissions!$B$2:$B$3000,$A327,Permissions!$R$2:$R$3000,"Yes",Permissions!$I$2:$I$3000,"&lt;&gt;Expired – not started",Permissions!$I$2:$I$3000,"&lt;&gt;In planning")</f>
        <v>1</v>
      </c>
      <c r="AS327" s="24" t="n">
        <f aca="false">AQ327-AR327</f>
        <v>2</v>
      </c>
      <c r="AT327" s="26" t="n">
        <f aca="false">SUMIFS(Permissions!$AJ$2:$AJ$3000,Permissions!$B$2:$B$3000,$A327,Permissions!$R$2:$R$3000,"Yes")</f>
        <v>0.7</v>
      </c>
      <c r="AU327" s="26" t="n">
        <f aca="false">SUMIFS(Permissions!$AK$2:$AK$3000,Permissions!$B$2:$B$3000,$A327,Permissions!$R$2:$R$3000,"Yes")</f>
        <v>2.3</v>
      </c>
      <c r="AV327" s="26" t="n">
        <f aca="false">SUMIFS(Permissions!$AL$2:$AL$3000,Permissions!$B$2:$B$3000,$A327,Permissions!$R$2:$R$3000,"Yes")</f>
        <v>0</v>
      </c>
      <c r="AW327" s="26" t="n">
        <f aca="false">SUMIFS(Permissions!$AM$2:$AM$3000,Permissions!$B$2:$B$3000,$A327,Permissions!$R$2:$R$3000,"Yes")</f>
        <v>0</v>
      </c>
      <c r="AX327" s="26" t="n">
        <f aca="false">SUMIFS(Permissions!$AN$2:$AN$3000,Permissions!$B$2:$B$3000,$A327,Permissions!$R$2:$R$3000,"Yes")</f>
        <v>0</v>
      </c>
      <c r="AY327" s="26" t="n">
        <f aca="false">SUMIFS(Permissions!$AO$2:$AO$3000,Permissions!$B$2:$B$3000,$A327,Permissions!$R$2:$R$3000,"Yes")</f>
        <v>0</v>
      </c>
      <c r="AZ327" s="24" t="n">
        <f aca="false">COUNTIFS(Permissions!$B$2:$B$3000,$A327,Permissions!$R$2:$R$3000,"Yes")</f>
        <v>1</v>
      </c>
      <c r="BA327" s="24" t="n">
        <f aca="false">SUMIFS(Permissions!$M$2:$M$3000,Permissions!$B$2:$B$3000,$A327,Permissions!$R$2:$R$3000,"Yes")</f>
        <v>1</v>
      </c>
      <c r="BB327" s="24" t="n">
        <f aca="false">SUMIFS(Permissions!$O$2:$O$3000,Permissions!$B$2:$B$3000,$A327,Permissions!$R$2:$R$3000,"Yes")</f>
        <v>0</v>
      </c>
      <c r="BC327" s="27" t="str">
        <f aca="false">IF(AND(AM327&gt;0,AR327&gt;=AM327,AP327=0),"Finished",IF(AR327&gt;0,"Partly built",IF(AM327&gt;0,"Consented – not built","No consent")))</f>
        <v>Partly built</v>
      </c>
      <c r="BD327" s="28" t="str">
        <f aca="false">IF(AND(R327&lt;&gt;"",AM327&gt;1.1*R327),"Consented above capacity",IF(AND(LEFT(B327,8)="Planning",AZ327=0),"Consent parcel with no permission",IF(COUNTIF($A$2:$A$3000,$A327)&gt;1,"Duplicate parcel_id","")))</f>
        <v/>
      </c>
    </row>
    <row r="328" customFormat="false" ht="15" hidden="false" customHeight="false" outlineLevel="0" collapsed="false">
      <c r="A328" s="15" t="s">
        <v>764</v>
      </c>
      <c r="B328" s="15" t="s">
        <v>12</v>
      </c>
      <c r="C328" s="15" t="s">
        <v>17</v>
      </c>
      <c r="D328" s="15" t="s">
        <v>22</v>
      </c>
      <c r="E328" s="15" t="s">
        <v>22</v>
      </c>
      <c r="F328" s="15"/>
      <c r="G328" s="15" t="s">
        <v>22</v>
      </c>
      <c r="H328" s="15"/>
      <c r="I328" s="15" t="s">
        <v>346</v>
      </c>
      <c r="J328" s="15" t="s">
        <v>363</v>
      </c>
      <c r="K328" s="15" t="s">
        <v>765</v>
      </c>
      <c r="L328" s="15"/>
      <c r="M328" s="15"/>
      <c r="N328" s="15"/>
      <c r="O328" s="15"/>
      <c r="P328" s="15" t="n">
        <v>0.076</v>
      </c>
      <c r="Q328" s="15" t="n">
        <v>0.076</v>
      </c>
      <c r="R328" s="15"/>
      <c r="S328" s="15" t="s">
        <v>459</v>
      </c>
      <c r="T328" s="15" t="n">
        <v>2</v>
      </c>
      <c r="U328" s="15"/>
      <c r="V328" s="15"/>
      <c r="W328" s="15"/>
      <c r="X328" s="15" t="s">
        <v>353</v>
      </c>
      <c r="Y328" s="15" t="n">
        <v>25</v>
      </c>
      <c r="Z328" s="15" t="s">
        <v>354</v>
      </c>
      <c r="AA328" s="15"/>
      <c r="AB328" s="15" t="n">
        <v>4</v>
      </c>
      <c r="AC328" s="15" t="n">
        <v>4</v>
      </c>
      <c r="AD328" s="15"/>
      <c r="AE328" s="15"/>
      <c r="AF328" s="15" t="s">
        <v>169</v>
      </c>
      <c r="AG328" s="15"/>
      <c r="AH328" s="24" t="n">
        <f aca="false">IF(R328="",AM328,R328)</f>
        <v>4</v>
      </c>
      <c r="AI328" s="24" t="n">
        <f aca="false">SUMIFS(Permissions!$G$2:$G$3000,Permissions!$B$2:$B$3000,$A328,Permissions!$I$2:$I$3000,"Complete",Permissions!$R$2:$R$3000,"Yes")</f>
        <v>4</v>
      </c>
      <c r="AJ328" s="24" t="n">
        <f aca="false">SUMIFS(Permissions!$G$2:$G$3000,Permissions!$B$2:$B$3000,$A328,Permissions!$I$2:$I$3000,"Under construction",Permissions!$R$2:$R$3000,"Yes")</f>
        <v>0</v>
      </c>
      <c r="AK328" s="24" t="n">
        <f aca="false">SUMIFS(Permissions!$G$2:$G$3000,Permissions!$B$2:$B$3000,$A328,Permissions!$I$2:$I$3000,"Permitted – not started",Permissions!$R$2:$R$3000,"Yes")</f>
        <v>0</v>
      </c>
      <c r="AL328" s="24" t="n">
        <f aca="false">SUMIFS(Permissions!$G$2:$G$3000,Permissions!$B$2:$B$3000,$A328,Permissions!$I$2:$I$3000,"Stalled",Permissions!$R$2:$R$3000,"Yes")</f>
        <v>0</v>
      </c>
      <c r="AM328" s="24" t="n">
        <f aca="false">AI328+AJ328+AK328+AL328</f>
        <v>4</v>
      </c>
      <c r="AN328" s="24" t="n">
        <f aca="false">SUMIFS(Permissions!$G$2:$G$3000,Permissions!$B$2:$B$3000,$A328,Permissions!$I$2:$I$3000,"Expired – not started",Permissions!$R$2:$R$3000,"Yes")</f>
        <v>0</v>
      </c>
      <c r="AO328" s="24" t="n">
        <f aca="false">SUMIFS(Permissions!$G$2:$G$3000,Permissions!$B$2:$B$3000,$A328,Permissions!$I$2:$I$3000,"In planning",Permissions!$R$2:$R$3000,"Yes")</f>
        <v>0</v>
      </c>
      <c r="AP328" s="24" t="n">
        <f aca="false">IF(R328="",0,MAX(R328-AM328,0))</f>
        <v>0</v>
      </c>
      <c r="AQ328" s="25" t="n">
        <f aca="false">AM328+AP328</f>
        <v>4</v>
      </c>
      <c r="AR328" s="24" t="n">
        <f aca="false">SUMIFS(Permissions!$L$2:$L$3000,Permissions!$B$2:$B$3000,$A328,Permissions!$R$2:$R$3000,"Yes",Permissions!$I$2:$I$3000,"&lt;&gt;Expired – not started",Permissions!$I$2:$I$3000,"&lt;&gt;In planning")</f>
        <v>4</v>
      </c>
      <c r="AS328" s="24" t="n">
        <f aca="false">AQ328-AR328</f>
        <v>0</v>
      </c>
      <c r="AT328" s="26" t="n">
        <f aca="false">SUMIFS(Permissions!$AJ$2:$AJ$3000,Permissions!$B$2:$B$3000,$A328,Permissions!$R$2:$R$3000,"Yes")</f>
        <v>0</v>
      </c>
      <c r="AU328" s="26" t="n">
        <f aca="false">SUMIFS(Permissions!$AK$2:$AK$3000,Permissions!$B$2:$B$3000,$A328,Permissions!$R$2:$R$3000,"Yes")</f>
        <v>0</v>
      </c>
      <c r="AV328" s="26" t="n">
        <f aca="false">SUMIFS(Permissions!$AL$2:$AL$3000,Permissions!$B$2:$B$3000,$A328,Permissions!$R$2:$R$3000,"Yes")</f>
        <v>0</v>
      </c>
      <c r="AW328" s="26" t="n">
        <f aca="false">SUMIFS(Permissions!$AM$2:$AM$3000,Permissions!$B$2:$B$3000,$A328,Permissions!$R$2:$R$3000,"Yes")</f>
        <v>0</v>
      </c>
      <c r="AX328" s="26" t="n">
        <f aca="false">SUMIFS(Permissions!$AN$2:$AN$3000,Permissions!$B$2:$B$3000,$A328,Permissions!$R$2:$R$3000,"Yes")</f>
        <v>0</v>
      </c>
      <c r="AY328" s="26" t="n">
        <f aca="false">SUMIFS(Permissions!$AO$2:$AO$3000,Permissions!$B$2:$B$3000,$A328,Permissions!$R$2:$R$3000,"Yes")</f>
        <v>0</v>
      </c>
      <c r="AZ328" s="24" t="n">
        <f aca="false">COUNTIFS(Permissions!$B$2:$B$3000,$A328,Permissions!$R$2:$R$3000,"Yes")</f>
        <v>1</v>
      </c>
      <c r="BA328" s="24" t="n">
        <f aca="false">SUMIFS(Permissions!$M$2:$M$3000,Permissions!$B$2:$B$3000,$A328,Permissions!$R$2:$R$3000,"Yes")</f>
        <v>4</v>
      </c>
      <c r="BB328" s="24" t="n">
        <f aca="false">SUMIFS(Permissions!$O$2:$O$3000,Permissions!$B$2:$B$3000,$A328,Permissions!$R$2:$R$3000,"Yes")</f>
        <v>0</v>
      </c>
      <c r="BC328" s="27" t="str">
        <f aca="false">IF(AND(AM328&gt;0,AR328&gt;=AM328,AP328=0),"Finished",IF(AR328&gt;0,"Partly built",IF(AM328&gt;0,"Consented – not built","No consent")))</f>
        <v>Finished</v>
      </c>
      <c r="BD328" s="28" t="str">
        <f aca="false">IF(AND(R328&lt;&gt;"",AM328&gt;1.1*R328),"Consented above capacity",IF(AND(LEFT(B328,8)="Planning",AZ328=0),"Consent parcel with no permission",IF(COUNTIF($A$2:$A$3000,$A328)&gt;1,"Duplicate parcel_id","")))</f>
        <v/>
      </c>
    </row>
    <row r="329" customFormat="false" ht="15" hidden="false" customHeight="false" outlineLevel="0" collapsed="false">
      <c r="A329" s="15" t="s">
        <v>766</v>
      </c>
      <c r="B329" s="15" t="s">
        <v>12</v>
      </c>
      <c r="C329" s="15" t="s">
        <v>17</v>
      </c>
      <c r="D329" s="15" t="s">
        <v>64</v>
      </c>
      <c r="E329" s="15" t="s">
        <v>20</v>
      </c>
      <c r="F329" s="15" t="n">
        <v>1</v>
      </c>
      <c r="G329" s="15" t="s">
        <v>158</v>
      </c>
      <c r="H329" s="15"/>
      <c r="I329" s="15" t="s">
        <v>346</v>
      </c>
      <c r="J329" s="15" t="s">
        <v>390</v>
      </c>
      <c r="K329" s="15" t="s">
        <v>767</v>
      </c>
      <c r="L329" s="15"/>
      <c r="M329" s="15"/>
      <c r="N329" s="15"/>
      <c r="O329" s="15"/>
      <c r="P329" s="15" t="n">
        <v>1.973</v>
      </c>
      <c r="Q329" s="15" t="n">
        <v>1.973</v>
      </c>
      <c r="R329" s="15"/>
      <c r="S329" s="15" t="s">
        <v>459</v>
      </c>
      <c r="T329" s="15" t="n">
        <v>49</v>
      </c>
      <c r="U329" s="15"/>
      <c r="V329" s="15"/>
      <c r="W329" s="15"/>
      <c r="X329" s="15" t="s">
        <v>353</v>
      </c>
      <c r="Y329" s="15" t="n">
        <v>25</v>
      </c>
      <c r="Z329" s="15" t="s">
        <v>354</v>
      </c>
      <c r="AA329" s="15"/>
      <c r="AB329" s="15" t="n">
        <v>0</v>
      </c>
      <c r="AC329" s="15" t="n">
        <v>0</v>
      </c>
      <c r="AD329" s="15"/>
      <c r="AE329" s="15"/>
      <c r="AF329" s="15" t="s">
        <v>169</v>
      </c>
      <c r="AG329" s="15"/>
      <c r="AH329" s="24" t="n">
        <f aca="false">IF(R329="",AM329,R329)</f>
        <v>53</v>
      </c>
      <c r="AI329" s="24" t="n">
        <f aca="false">SUMIFS(Permissions!$G$2:$G$3000,Permissions!$B$2:$B$3000,$A329,Permissions!$I$2:$I$3000,"Complete",Permissions!$R$2:$R$3000,"Yes")</f>
        <v>0</v>
      </c>
      <c r="AJ329" s="24" t="n">
        <f aca="false">SUMIFS(Permissions!$G$2:$G$3000,Permissions!$B$2:$B$3000,$A329,Permissions!$I$2:$I$3000,"Under construction",Permissions!$R$2:$R$3000,"Yes")</f>
        <v>0</v>
      </c>
      <c r="AK329" s="24" t="n">
        <f aca="false">SUMIFS(Permissions!$G$2:$G$3000,Permissions!$B$2:$B$3000,$A329,Permissions!$I$2:$I$3000,"Permitted – not started",Permissions!$R$2:$R$3000,"Yes")</f>
        <v>0</v>
      </c>
      <c r="AL329" s="24" t="n">
        <f aca="false">SUMIFS(Permissions!$G$2:$G$3000,Permissions!$B$2:$B$3000,$A329,Permissions!$I$2:$I$3000,"Stalled",Permissions!$R$2:$R$3000,"Yes")</f>
        <v>53</v>
      </c>
      <c r="AM329" s="24" t="n">
        <f aca="false">AI329+AJ329+AK329+AL329</f>
        <v>53</v>
      </c>
      <c r="AN329" s="24" t="n">
        <f aca="false">SUMIFS(Permissions!$G$2:$G$3000,Permissions!$B$2:$B$3000,$A329,Permissions!$I$2:$I$3000,"Expired – not started",Permissions!$R$2:$R$3000,"Yes")</f>
        <v>0</v>
      </c>
      <c r="AO329" s="24" t="n">
        <f aca="false">SUMIFS(Permissions!$G$2:$G$3000,Permissions!$B$2:$B$3000,$A329,Permissions!$I$2:$I$3000,"In planning",Permissions!$R$2:$R$3000,"Yes")</f>
        <v>0</v>
      </c>
      <c r="AP329" s="24" t="n">
        <f aca="false">IF(R329="",0,MAX(R329-AM329,0))</f>
        <v>0</v>
      </c>
      <c r="AQ329" s="25" t="n">
        <f aca="false">AM329+AP329</f>
        <v>53</v>
      </c>
      <c r="AR329" s="24" t="n">
        <f aca="false">SUMIFS(Permissions!$L$2:$L$3000,Permissions!$B$2:$B$3000,$A329,Permissions!$R$2:$R$3000,"Yes",Permissions!$I$2:$I$3000,"&lt;&gt;Expired – not started",Permissions!$I$2:$I$3000,"&lt;&gt;In planning")</f>
        <v>0</v>
      </c>
      <c r="AS329" s="24" t="n">
        <f aca="false">AQ329-AR329</f>
        <v>53</v>
      </c>
      <c r="AT329" s="26" t="n">
        <f aca="false">SUMIFS(Permissions!$AJ$2:$AJ$3000,Permissions!$B$2:$B$3000,$A329,Permissions!$R$2:$R$3000,"Yes")</f>
        <v>0</v>
      </c>
      <c r="AU329" s="26" t="n">
        <f aca="false">SUMIFS(Permissions!$AK$2:$AK$3000,Permissions!$B$2:$B$3000,$A329,Permissions!$R$2:$R$3000,"Yes")</f>
        <v>0</v>
      </c>
      <c r="AV329" s="26" t="n">
        <f aca="false">SUMIFS(Permissions!$AL$2:$AL$3000,Permissions!$B$2:$B$3000,$A329,Permissions!$R$2:$R$3000,"Yes")</f>
        <v>0</v>
      </c>
      <c r="AW329" s="26" t="n">
        <f aca="false">SUMIFS(Permissions!$AM$2:$AM$3000,Permissions!$B$2:$B$3000,$A329,Permissions!$R$2:$R$3000,"Yes")</f>
        <v>0</v>
      </c>
      <c r="AX329" s="26" t="n">
        <f aca="false">SUMIFS(Permissions!$AN$2:$AN$3000,Permissions!$B$2:$B$3000,$A329,Permissions!$R$2:$R$3000,"Yes")</f>
        <v>0</v>
      </c>
      <c r="AY329" s="26" t="n">
        <f aca="false">SUMIFS(Permissions!$AO$2:$AO$3000,Permissions!$B$2:$B$3000,$A329,Permissions!$R$2:$R$3000,"Yes")</f>
        <v>0</v>
      </c>
      <c r="AZ329" s="24" t="n">
        <f aca="false">COUNTIFS(Permissions!$B$2:$B$3000,$A329,Permissions!$R$2:$R$3000,"Yes")</f>
        <v>1</v>
      </c>
      <c r="BA329" s="24" t="n">
        <f aca="false">SUMIFS(Permissions!$M$2:$M$3000,Permissions!$B$2:$B$3000,$A329,Permissions!$R$2:$R$3000,"Yes")</f>
        <v>0</v>
      </c>
      <c r="BB329" s="24" t="n">
        <f aca="false">SUMIFS(Permissions!$O$2:$O$3000,Permissions!$B$2:$B$3000,$A329,Permissions!$R$2:$R$3000,"Yes")</f>
        <v>0</v>
      </c>
      <c r="BC329" s="27" t="str">
        <f aca="false">IF(AND(AM329&gt;0,AR329&gt;=AM329,AP329=0),"Finished",IF(AR329&gt;0,"Partly built",IF(AM329&gt;0,"Consented – not built","No consent")))</f>
        <v>Consented – not built</v>
      </c>
      <c r="BD329" s="28" t="str">
        <f aca="false">IF(AND(R329&lt;&gt;"",AM329&gt;1.1*R329),"Consented above capacity",IF(AND(LEFT(B329,8)="Planning",AZ329=0),"Consent parcel with no permission",IF(COUNTIF($A$2:$A$3000,$A329)&gt;1,"Duplicate parcel_id","")))</f>
        <v/>
      </c>
    </row>
    <row r="330" customFormat="false" ht="15" hidden="false" customHeight="false" outlineLevel="0" collapsed="false">
      <c r="A330" s="15" t="s">
        <v>768</v>
      </c>
      <c r="B330" s="15" t="s">
        <v>12</v>
      </c>
      <c r="C330" s="15" t="s">
        <v>17</v>
      </c>
      <c r="D330" s="15" t="s">
        <v>68</v>
      </c>
      <c r="E330" s="15" t="s">
        <v>21</v>
      </c>
      <c r="F330" s="15" t="n">
        <v>0.29</v>
      </c>
      <c r="G330" s="15" t="s">
        <v>158</v>
      </c>
      <c r="H330" s="15"/>
      <c r="I330" s="15" t="s">
        <v>346</v>
      </c>
      <c r="J330" s="15" t="s">
        <v>363</v>
      </c>
      <c r="K330" s="15" t="s">
        <v>769</v>
      </c>
      <c r="L330" s="15"/>
      <c r="M330" s="15"/>
      <c r="N330" s="15"/>
      <c r="O330" s="15"/>
      <c r="P330" s="15" t="n">
        <v>3.59</v>
      </c>
      <c r="Q330" s="15" t="n">
        <v>3.59</v>
      </c>
      <c r="R330" s="15"/>
      <c r="S330" s="15" t="s">
        <v>459</v>
      </c>
      <c r="T330" s="15" t="n">
        <v>90</v>
      </c>
      <c r="U330" s="15"/>
      <c r="V330" s="15"/>
      <c r="W330" s="15"/>
      <c r="X330" s="15" t="s">
        <v>353</v>
      </c>
      <c r="Y330" s="15" t="n">
        <v>25</v>
      </c>
      <c r="Z330" s="15" t="s">
        <v>354</v>
      </c>
      <c r="AA330" s="15"/>
      <c r="AB330" s="15" t="n">
        <v>0</v>
      </c>
      <c r="AC330" s="15" t="n">
        <v>0</v>
      </c>
      <c r="AD330" s="15"/>
      <c r="AE330" s="15"/>
      <c r="AF330" s="15" t="s">
        <v>169</v>
      </c>
      <c r="AG330" s="15"/>
      <c r="AH330" s="24" t="n">
        <f aca="false">IF(R330="",AM330,R330)</f>
        <v>74</v>
      </c>
      <c r="AI330" s="24" t="n">
        <f aca="false">SUMIFS(Permissions!$G$2:$G$3000,Permissions!$B$2:$B$3000,$A330,Permissions!$I$2:$I$3000,"Complete",Permissions!$R$2:$R$3000,"Yes")</f>
        <v>0</v>
      </c>
      <c r="AJ330" s="24" t="n">
        <f aca="false">SUMIFS(Permissions!$G$2:$G$3000,Permissions!$B$2:$B$3000,$A330,Permissions!$I$2:$I$3000,"Under construction",Permissions!$R$2:$R$3000,"Yes")</f>
        <v>0</v>
      </c>
      <c r="AK330" s="24" t="n">
        <f aca="false">SUMIFS(Permissions!$G$2:$G$3000,Permissions!$B$2:$B$3000,$A330,Permissions!$I$2:$I$3000,"Permitted – not started",Permissions!$R$2:$R$3000,"Yes")</f>
        <v>74</v>
      </c>
      <c r="AL330" s="24" t="n">
        <f aca="false">SUMIFS(Permissions!$G$2:$G$3000,Permissions!$B$2:$B$3000,$A330,Permissions!$I$2:$I$3000,"Stalled",Permissions!$R$2:$R$3000,"Yes")</f>
        <v>0</v>
      </c>
      <c r="AM330" s="24" t="n">
        <f aca="false">AI330+AJ330+AK330+AL330</f>
        <v>74</v>
      </c>
      <c r="AN330" s="24" t="n">
        <f aca="false">SUMIFS(Permissions!$G$2:$G$3000,Permissions!$B$2:$B$3000,$A330,Permissions!$I$2:$I$3000,"Expired – not started",Permissions!$R$2:$R$3000,"Yes")</f>
        <v>0</v>
      </c>
      <c r="AO330" s="24" t="n">
        <f aca="false">SUMIFS(Permissions!$G$2:$G$3000,Permissions!$B$2:$B$3000,$A330,Permissions!$I$2:$I$3000,"In planning",Permissions!$R$2:$R$3000,"Yes")</f>
        <v>0</v>
      </c>
      <c r="AP330" s="24" t="n">
        <f aca="false">IF(R330="",0,MAX(R330-AM330,0))</f>
        <v>0</v>
      </c>
      <c r="AQ330" s="25" t="n">
        <f aca="false">AM330+AP330</f>
        <v>74</v>
      </c>
      <c r="AR330" s="24" t="n">
        <f aca="false">SUMIFS(Permissions!$L$2:$L$3000,Permissions!$B$2:$B$3000,$A330,Permissions!$R$2:$R$3000,"Yes",Permissions!$I$2:$I$3000,"&lt;&gt;Expired – not started",Permissions!$I$2:$I$3000,"&lt;&gt;In planning")</f>
        <v>0</v>
      </c>
      <c r="AS330" s="24" t="n">
        <f aca="false">AQ330-AR330</f>
        <v>74</v>
      </c>
      <c r="AT330" s="26" t="n">
        <f aca="false">SUMIFS(Permissions!$AJ$2:$AJ$3000,Permissions!$B$2:$B$3000,$A330,Permissions!$R$2:$R$3000,"Yes")</f>
        <v>0</v>
      </c>
      <c r="AU330" s="26" t="n">
        <f aca="false">SUMIFS(Permissions!$AK$2:$AK$3000,Permissions!$B$2:$B$3000,$A330,Permissions!$R$2:$R$3000,"Yes")</f>
        <v>0</v>
      </c>
      <c r="AV330" s="26" t="n">
        <f aca="false">SUMIFS(Permissions!$AL$2:$AL$3000,Permissions!$B$2:$B$3000,$A330,Permissions!$R$2:$R$3000,"Yes")</f>
        <v>28.4</v>
      </c>
      <c r="AW330" s="26" t="n">
        <f aca="false">SUMIFS(Permissions!$AM$2:$AM$3000,Permissions!$B$2:$B$3000,$A330,Permissions!$R$2:$R$3000,"Yes")</f>
        <v>45.6</v>
      </c>
      <c r="AX330" s="26" t="n">
        <f aca="false">SUMIFS(Permissions!$AN$2:$AN$3000,Permissions!$B$2:$B$3000,$A330,Permissions!$R$2:$R$3000,"Yes")</f>
        <v>0</v>
      </c>
      <c r="AY330" s="26" t="n">
        <f aca="false">SUMIFS(Permissions!$AO$2:$AO$3000,Permissions!$B$2:$B$3000,$A330,Permissions!$R$2:$R$3000,"Yes")</f>
        <v>0</v>
      </c>
      <c r="AZ330" s="24" t="n">
        <f aca="false">COUNTIFS(Permissions!$B$2:$B$3000,$A330,Permissions!$R$2:$R$3000,"Yes")</f>
        <v>1</v>
      </c>
      <c r="BA330" s="24" t="n">
        <f aca="false">SUMIFS(Permissions!$M$2:$M$3000,Permissions!$B$2:$B$3000,$A330,Permissions!$R$2:$R$3000,"Yes")</f>
        <v>0</v>
      </c>
      <c r="BB330" s="24" t="n">
        <f aca="false">SUMIFS(Permissions!$O$2:$O$3000,Permissions!$B$2:$B$3000,$A330,Permissions!$R$2:$R$3000,"Yes")</f>
        <v>0</v>
      </c>
      <c r="BC330" s="27" t="str">
        <f aca="false">IF(AND(AM330&gt;0,AR330&gt;=AM330,AP330=0),"Finished",IF(AR330&gt;0,"Partly built",IF(AM330&gt;0,"Consented – not built","No consent")))</f>
        <v>Consented – not built</v>
      </c>
      <c r="BD330" s="28" t="str">
        <f aca="false">IF(AND(R330&lt;&gt;"",AM330&gt;1.1*R330),"Consented above capacity",IF(AND(LEFT(B330,8)="Planning",AZ330=0),"Consent parcel with no permission",IF(COUNTIF($A$2:$A$3000,$A330)&gt;1,"Duplicate parcel_id","")))</f>
        <v/>
      </c>
    </row>
    <row r="331" customFormat="false" ht="15" hidden="false" customHeight="false" outlineLevel="0" collapsed="false">
      <c r="A331" s="15" t="s">
        <v>770</v>
      </c>
      <c r="B331" s="15" t="s">
        <v>12</v>
      </c>
      <c r="C331" s="15" t="s">
        <v>17</v>
      </c>
      <c r="D331" s="15" t="s">
        <v>22</v>
      </c>
      <c r="E331" s="15" t="s">
        <v>22</v>
      </c>
      <c r="F331" s="15"/>
      <c r="G331" s="15" t="s">
        <v>22</v>
      </c>
      <c r="H331" s="15"/>
      <c r="I331" s="15" t="s">
        <v>346</v>
      </c>
      <c r="J331" s="15" t="s">
        <v>363</v>
      </c>
      <c r="K331" s="15" t="s">
        <v>771</v>
      </c>
      <c r="L331" s="15"/>
      <c r="M331" s="15"/>
      <c r="N331" s="15"/>
      <c r="O331" s="15"/>
      <c r="P331" s="15" t="n">
        <v>0.229</v>
      </c>
      <c r="Q331" s="15" t="n">
        <v>0.229</v>
      </c>
      <c r="R331" s="15"/>
      <c r="S331" s="15" t="s">
        <v>459</v>
      </c>
      <c r="T331" s="15" t="n">
        <v>6</v>
      </c>
      <c r="U331" s="15"/>
      <c r="V331" s="15"/>
      <c r="W331" s="15"/>
      <c r="X331" s="15" t="s">
        <v>353</v>
      </c>
      <c r="Y331" s="15" t="n">
        <v>25</v>
      </c>
      <c r="Z331" s="15" t="s">
        <v>354</v>
      </c>
      <c r="AA331" s="15"/>
      <c r="AB331" s="15" t="n">
        <v>6</v>
      </c>
      <c r="AC331" s="15" t="n">
        <v>6</v>
      </c>
      <c r="AD331" s="15"/>
      <c r="AE331" s="15"/>
      <c r="AF331" s="15" t="s">
        <v>169</v>
      </c>
      <c r="AG331" s="15"/>
      <c r="AH331" s="24" t="n">
        <f aca="false">IF(R331="",AM331,R331)</f>
        <v>6</v>
      </c>
      <c r="AI331" s="24" t="n">
        <f aca="false">SUMIFS(Permissions!$G$2:$G$3000,Permissions!$B$2:$B$3000,$A331,Permissions!$I$2:$I$3000,"Complete",Permissions!$R$2:$R$3000,"Yes")</f>
        <v>0</v>
      </c>
      <c r="AJ331" s="24" t="n">
        <f aca="false">SUMIFS(Permissions!$G$2:$G$3000,Permissions!$B$2:$B$3000,$A331,Permissions!$I$2:$I$3000,"Under construction",Permissions!$R$2:$R$3000,"Yes")</f>
        <v>6</v>
      </c>
      <c r="AK331" s="24" t="n">
        <f aca="false">SUMIFS(Permissions!$G$2:$G$3000,Permissions!$B$2:$B$3000,$A331,Permissions!$I$2:$I$3000,"Permitted – not started",Permissions!$R$2:$R$3000,"Yes")</f>
        <v>0</v>
      </c>
      <c r="AL331" s="24" t="n">
        <f aca="false">SUMIFS(Permissions!$G$2:$G$3000,Permissions!$B$2:$B$3000,$A331,Permissions!$I$2:$I$3000,"Stalled",Permissions!$R$2:$R$3000,"Yes")</f>
        <v>0</v>
      </c>
      <c r="AM331" s="24" t="n">
        <f aca="false">AI331+AJ331+AK331+AL331</f>
        <v>6</v>
      </c>
      <c r="AN331" s="24" t="n">
        <f aca="false">SUMIFS(Permissions!$G$2:$G$3000,Permissions!$B$2:$B$3000,$A331,Permissions!$I$2:$I$3000,"Expired – not started",Permissions!$R$2:$R$3000,"Yes")</f>
        <v>0</v>
      </c>
      <c r="AO331" s="24" t="n">
        <f aca="false">SUMIFS(Permissions!$G$2:$G$3000,Permissions!$B$2:$B$3000,$A331,Permissions!$I$2:$I$3000,"In planning",Permissions!$R$2:$R$3000,"Yes")</f>
        <v>0</v>
      </c>
      <c r="AP331" s="24" t="n">
        <f aca="false">IF(R331="",0,MAX(R331-AM331,0))</f>
        <v>0</v>
      </c>
      <c r="AQ331" s="25" t="n">
        <f aca="false">AM331+AP331</f>
        <v>6</v>
      </c>
      <c r="AR331" s="24" t="n">
        <f aca="false">SUMIFS(Permissions!$L$2:$L$3000,Permissions!$B$2:$B$3000,$A331,Permissions!$R$2:$R$3000,"Yes",Permissions!$I$2:$I$3000,"&lt;&gt;Expired – not started",Permissions!$I$2:$I$3000,"&lt;&gt;In planning")</f>
        <v>2</v>
      </c>
      <c r="AS331" s="24" t="n">
        <f aca="false">AQ331-AR331</f>
        <v>4</v>
      </c>
      <c r="AT331" s="26" t="n">
        <f aca="false">SUMIFS(Permissions!$AJ$2:$AJ$3000,Permissions!$B$2:$B$3000,$A331,Permissions!$R$2:$R$3000,"Yes")</f>
        <v>1.4</v>
      </c>
      <c r="AU331" s="26" t="n">
        <f aca="false">SUMIFS(Permissions!$AK$2:$AK$3000,Permissions!$B$2:$B$3000,$A331,Permissions!$R$2:$R$3000,"Yes")</f>
        <v>4.6</v>
      </c>
      <c r="AV331" s="26" t="n">
        <f aca="false">SUMIFS(Permissions!$AL$2:$AL$3000,Permissions!$B$2:$B$3000,$A331,Permissions!$R$2:$R$3000,"Yes")</f>
        <v>0</v>
      </c>
      <c r="AW331" s="26" t="n">
        <f aca="false">SUMIFS(Permissions!$AM$2:$AM$3000,Permissions!$B$2:$B$3000,$A331,Permissions!$R$2:$R$3000,"Yes")</f>
        <v>0</v>
      </c>
      <c r="AX331" s="26" t="n">
        <f aca="false">SUMIFS(Permissions!$AN$2:$AN$3000,Permissions!$B$2:$B$3000,$A331,Permissions!$R$2:$R$3000,"Yes")</f>
        <v>0</v>
      </c>
      <c r="AY331" s="26" t="n">
        <f aca="false">SUMIFS(Permissions!$AO$2:$AO$3000,Permissions!$B$2:$B$3000,$A331,Permissions!$R$2:$R$3000,"Yes")</f>
        <v>0</v>
      </c>
      <c r="AZ331" s="24" t="n">
        <f aca="false">COUNTIFS(Permissions!$B$2:$B$3000,$A331,Permissions!$R$2:$R$3000,"Yes")</f>
        <v>1</v>
      </c>
      <c r="BA331" s="24" t="n">
        <f aca="false">SUMIFS(Permissions!$M$2:$M$3000,Permissions!$B$2:$B$3000,$A331,Permissions!$R$2:$R$3000,"Yes")</f>
        <v>2</v>
      </c>
      <c r="BB331" s="24" t="n">
        <f aca="false">SUMIFS(Permissions!$O$2:$O$3000,Permissions!$B$2:$B$3000,$A331,Permissions!$R$2:$R$3000,"Yes")</f>
        <v>0</v>
      </c>
      <c r="BC331" s="27" t="str">
        <f aca="false">IF(AND(AM331&gt;0,AR331&gt;=AM331,AP331=0),"Finished",IF(AR331&gt;0,"Partly built",IF(AM331&gt;0,"Consented – not built","No consent")))</f>
        <v>Partly built</v>
      </c>
      <c r="BD331" s="28" t="str">
        <f aca="false">IF(AND(R331&lt;&gt;"",AM331&gt;1.1*R331),"Consented above capacity",IF(AND(LEFT(B331,8)="Planning",AZ331=0),"Consent parcel with no permission",IF(COUNTIF($A$2:$A$3000,$A331)&gt;1,"Duplicate parcel_id","")))</f>
        <v/>
      </c>
    </row>
    <row r="332" customFormat="false" ht="15" hidden="false" customHeight="false" outlineLevel="0" collapsed="false">
      <c r="A332" s="15" t="s">
        <v>772</v>
      </c>
      <c r="B332" s="15" t="s">
        <v>12</v>
      </c>
      <c r="C332" s="15" t="s">
        <v>17</v>
      </c>
      <c r="D332" s="15" t="s">
        <v>64</v>
      </c>
      <c r="E332" s="15" t="s">
        <v>20</v>
      </c>
      <c r="F332" s="15" t="n">
        <v>1</v>
      </c>
      <c r="G332" s="15" t="s">
        <v>158</v>
      </c>
      <c r="H332" s="15"/>
      <c r="I332" s="15" t="s">
        <v>346</v>
      </c>
      <c r="J332" s="15" t="s">
        <v>390</v>
      </c>
      <c r="K332" s="15" t="s">
        <v>773</v>
      </c>
      <c r="L332" s="15"/>
      <c r="M332" s="15"/>
      <c r="N332" s="15"/>
      <c r="O332" s="15"/>
      <c r="P332" s="15" t="n">
        <v>0.481</v>
      </c>
      <c r="Q332" s="15" t="n">
        <v>0.481</v>
      </c>
      <c r="R332" s="15"/>
      <c r="S332" s="15" t="s">
        <v>459</v>
      </c>
      <c r="T332" s="15" t="n">
        <v>12</v>
      </c>
      <c r="U332" s="15"/>
      <c r="V332" s="15"/>
      <c r="W332" s="15"/>
      <c r="X332" s="15" t="s">
        <v>353</v>
      </c>
      <c r="Y332" s="15" t="n">
        <v>25</v>
      </c>
      <c r="Z332" s="15" t="s">
        <v>354</v>
      </c>
      <c r="AA332" s="15"/>
      <c r="AB332" s="15" t="n">
        <v>0</v>
      </c>
      <c r="AC332" s="15" t="n">
        <v>0</v>
      </c>
      <c r="AD332" s="15"/>
      <c r="AE332" s="15"/>
      <c r="AF332" s="15" t="s">
        <v>169</v>
      </c>
      <c r="AG332" s="15"/>
      <c r="AH332" s="24" t="n">
        <f aca="false">IF(R332="",AM332,R332)</f>
        <v>14</v>
      </c>
      <c r="AI332" s="24" t="n">
        <f aca="false">SUMIFS(Permissions!$G$2:$G$3000,Permissions!$B$2:$B$3000,$A332,Permissions!$I$2:$I$3000,"Complete",Permissions!$R$2:$R$3000,"Yes")</f>
        <v>0</v>
      </c>
      <c r="AJ332" s="24" t="n">
        <f aca="false">SUMIFS(Permissions!$G$2:$G$3000,Permissions!$B$2:$B$3000,$A332,Permissions!$I$2:$I$3000,"Under construction",Permissions!$R$2:$R$3000,"Yes")</f>
        <v>0</v>
      </c>
      <c r="AK332" s="24" t="n">
        <f aca="false">SUMIFS(Permissions!$G$2:$G$3000,Permissions!$B$2:$B$3000,$A332,Permissions!$I$2:$I$3000,"Permitted – not started",Permissions!$R$2:$R$3000,"Yes")</f>
        <v>14</v>
      </c>
      <c r="AL332" s="24" t="n">
        <f aca="false">SUMIFS(Permissions!$G$2:$G$3000,Permissions!$B$2:$B$3000,$A332,Permissions!$I$2:$I$3000,"Stalled",Permissions!$R$2:$R$3000,"Yes")</f>
        <v>0</v>
      </c>
      <c r="AM332" s="24" t="n">
        <f aca="false">AI332+AJ332+AK332+AL332</f>
        <v>14</v>
      </c>
      <c r="AN332" s="24" t="n">
        <f aca="false">SUMIFS(Permissions!$G$2:$G$3000,Permissions!$B$2:$B$3000,$A332,Permissions!$I$2:$I$3000,"Expired – not started",Permissions!$R$2:$R$3000,"Yes")</f>
        <v>0</v>
      </c>
      <c r="AO332" s="24" t="n">
        <f aca="false">SUMIFS(Permissions!$G$2:$G$3000,Permissions!$B$2:$B$3000,$A332,Permissions!$I$2:$I$3000,"In planning",Permissions!$R$2:$R$3000,"Yes")</f>
        <v>0</v>
      </c>
      <c r="AP332" s="24" t="n">
        <f aca="false">IF(R332="",0,MAX(R332-AM332,0))</f>
        <v>0</v>
      </c>
      <c r="AQ332" s="25" t="n">
        <f aca="false">AM332+AP332</f>
        <v>14</v>
      </c>
      <c r="AR332" s="24" t="n">
        <f aca="false">SUMIFS(Permissions!$L$2:$L$3000,Permissions!$B$2:$B$3000,$A332,Permissions!$R$2:$R$3000,"Yes",Permissions!$I$2:$I$3000,"&lt;&gt;Expired – not started",Permissions!$I$2:$I$3000,"&lt;&gt;In planning")</f>
        <v>0</v>
      </c>
      <c r="AS332" s="24" t="n">
        <f aca="false">AQ332-AR332</f>
        <v>14</v>
      </c>
      <c r="AT332" s="26" t="n">
        <f aca="false">SUMIFS(Permissions!$AJ$2:$AJ$3000,Permissions!$B$2:$B$3000,$A332,Permissions!$R$2:$R$3000,"Yes")</f>
        <v>0</v>
      </c>
      <c r="AU332" s="26" t="n">
        <f aca="false">SUMIFS(Permissions!$AK$2:$AK$3000,Permissions!$B$2:$B$3000,$A332,Permissions!$R$2:$R$3000,"Yes")</f>
        <v>0</v>
      </c>
      <c r="AV332" s="26" t="n">
        <f aca="false">SUMIFS(Permissions!$AL$2:$AL$3000,Permissions!$B$2:$B$3000,$A332,Permissions!$R$2:$R$3000,"Yes")</f>
        <v>8.2</v>
      </c>
      <c r="AW332" s="26" t="n">
        <f aca="false">SUMIFS(Permissions!$AM$2:$AM$3000,Permissions!$B$2:$B$3000,$A332,Permissions!$R$2:$R$3000,"Yes")</f>
        <v>5.8</v>
      </c>
      <c r="AX332" s="26" t="n">
        <f aca="false">SUMIFS(Permissions!$AN$2:$AN$3000,Permissions!$B$2:$B$3000,$A332,Permissions!$R$2:$R$3000,"Yes")</f>
        <v>0</v>
      </c>
      <c r="AY332" s="26" t="n">
        <f aca="false">SUMIFS(Permissions!$AO$2:$AO$3000,Permissions!$B$2:$B$3000,$A332,Permissions!$R$2:$R$3000,"Yes")</f>
        <v>0</v>
      </c>
      <c r="AZ332" s="24" t="n">
        <f aca="false">COUNTIFS(Permissions!$B$2:$B$3000,$A332,Permissions!$R$2:$R$3000,"Yes")</f>
        <v>1</v>
      </c>
      <c r="BA332" s="24" t="n">
        <f aca="false">SUMIFS(Permissions!$M$2:$M$3000,Permissions!$B$2:$B$3000,$A332,Permissions!$R$2:$R$3000,"Yes")</f>
        <v>0</v>
      </c>
      <c r="BB332" s="24" t="n">
        <f aca="false">SUMIFS(Permissions!$O$2:$O$3000,Permissions!$B$2:$B$3000,$A332,Permissions!$R$2:$R$3000,"Yes")</f>
        <v>0</v>
      </c>
      <c r="BC332" s="27" t="str">
        <f aca="false">IF(AND(AM332&gt;0,AR332&gt;=AM332,AP332=0),"Finished",IF(AR332&gt;0,"Partly built",IF(AM332&gt;0,"Consented – not built","No consent")))</f>
        <v>Consented – not built</v>
      </c>
      <c r="BD332" s="28" t="str">
        <f aca="false">IF(AND(R332&lt;&gt;"",AM332&gt;1.1*R332),"Consented above capacity",IF(AND(LEFT(B332,8)="Planning",AZ332=0),"Consent parcel with no permission",IF(COUNTIF($A$2:$A$3000,$A332)&gt;1,"Duplicate parcel_id","")))</f>
        <v/>
      </c>
    </row>
    <row r="333" customFormat="false" ht="15" hidden="false" customHeight="false" outlineLevel="0" collapsed="false">
      <c r="A333" s="15" t="s">
        <v>774</v>
      </c>
      <c r="B333" s="15" t="s">
        <v>12</v>
      </c>
      <c r="C333" s="15" t="s">
        <v>17</v>
      </c>
      <c r="D333" s="15" t="s">
        <v>62</v>
      </c>
      <c r="E333" s="15" t="s">
        <v>20</v>
      </c>
      <c r="F333" s="15" t="n">
        <v>0</v>
      </c>
      <c r="G333" s="15" t="s">
        <v>362</v>
      </c>
      <c r="H333" s="15"/>
      <c r="I333" s="15" t="s">
        <v>346</v>
      </c>
      <c r="J333" s="15" t="s">
        <v>211</v>
      </c>
      <c r="K333" s="15" t="s">
        <v>775</v>
      </c>
      <c r="L333" s="15"/>
      <c r="M333" s="15"/>
      <c r="N333" s="15"/>
      <c r="O333" s="15"/>
      <c r="P333" s="15" t="n">
        <v>5.284</v>
      </c>
      <c r="Q333" s="15" t="n">
        <v>5.284</v>
      </c>
      <c r="R333" s="15"/>
      <c r="S333" s="15" t="s">
        <v>459</v>
      </c>
      <c r="T333" s="15" t="n">
        <v>132</v>
      </c>
      <c r="U333" s="15"/>
      <c r="V333" s="15"/>
      <c r="W333" s="15"/>
      <c r="X333" s="15" t="s">
        <v>353</v>
      </c>
      <c r="Y333" s="15" t="n">
        <v>25</v>
      </c>
      <c r="Z333" s="15" t="s">
        <v>354</v>
      </c>
      <c r="AA333" s="15"/>
      <c r="AB333" s="15" t="n">
        <v>28</v>
      </c>
      <c r="AC333" s="15" t="n">
        <v>28</v>
      </c>
      <c r="AD333" s="15"/>
      <c r="AE333" s="15"/>
      <c r="AF333" s="15" t="s">
        <v>169</v>
      </c>
      <c r="AG333" s="15"/>
      <c r="AH333" s="24" t="n">
        <f aca="false">IF(R333="",AM333,R333)</f>
        <v>74</v>
      </c>
      <c r="AI333" s="24" t="n">
        <f aca="false">SUMIFS(Permissions!$G$2:$G$3000,Permissions!$B$2:$B$3000,$A333,Permissions!$I$2:$I$3000,"Complete",Permissions!$R$2:$R$3000,"Yes")</f>
        <v>0</v>
      </c>
      <c r="AJ333" s="24" t="n">
        <f aca="false">SUMIFS(Permissions!$G$2:$G$3000,Permissions!$B$2:$B$3000,$A333,Permissions!$I$2:$I$3000,"Under construction",Permissions!$R$2:$R$3000,"Yes")</f>
        <v>74</v>
      </c>
      <c r="AK333" s="24" t="n">
        <f aca="false">SUMIFS(Permissions!$G$2:$G$3000,Permissions!$B$2:$B$3000,$A333,Permissions!$I$2:$I$3000,"Permitted – not started",Permissions!$R$2:$R$3000,"Yes")</f>
        <v>0</v>
      </c>
      <c r="AL333" s="24" t="n">
        <f aca="false">SUMIFS(Permissions!$G$2:$G$3000,Permissions!$B$2:$B$3000,$A333,Permissions!$I$2:$I$3000,"Stalled",Permissions!$R$2:$R$3000,"Yes")</f>
        <v>0</v>
      </c>
      <c r="AM333" s="24" t="n">
        <f aca="false">AI333+AJ333+AK333+AL333</f>
        <v>74</v>
      </c>
      <c r="AN333" s="24" t="n">
        <f aca="false">SUMIFS(Permissions!$G$2:$G$3000,Permissions!$B$2:$B$3000,$A333,Permissions!$I$2:$I$3000,"Expired – not started",Permissions!$R$2:$R$3000,"Yes")</f>
        <v>0</v>
      </c>
      <c r="AO333" s="24" t="n">
        <f aca="false">SUMIFS(Permissions!$G$2:$G$3000,Permissions!$B$2:$B$3000,$A333,Permissions!$I$2:$I$3000,"In planning",Permissions!$R$2:$R$3000,"Yes")</f>
        <v>0</v>
      </c>
      <c r="AP333" s="24" t="n">
        <f aca="false">IF(R333="",0,MAX(R333-AM333,0))</f>
        <v>0</v>
      </c>
      <c r="AQ333" s="25" t="n">
        <f aca="false">AM333+AP333</f>
        <v>74</v>
      </c>
      <c r="AR333" s="24" t="n">
        <f aca="false">SUMIFS(Permissions!$L$2:$L$3000,Permissions!$B$2:$B$3000,$A333,Permissions!$R$2:$R$3000,"Yes",Permissions!$I$2:$I$3000,"&lt;&gt;Expired – not started",Permissions!$I$2:$I$3000,"&lt;&gt;In planning")</f>
        <v>0</v>
      </c>
      <c r="AS333" s="24" t="n">
        <f aca="false">AQ333-AR333</f>
        <v>74</v>
      </c>
      <c r="AT333" s="26" t="n">
        <f aca="false">SUMIFS(Permissions!$AJ$2:$AJ$3000,Permissions!$B$2:$B$3000,$A333,Permissions!$R$2:$R$3000,"Yes")</f>
        <v>17.2</v>
      </c>
      <c r="AU333" s="26" t="n">
        <f aca="false">SUMIFS(Permissions!$AK$2:$AK$3000,Permissions!$B$2:$B$3000,$A333,Permissions!$R$2:$R$3000,"Yes")</f>
        <v>56.8</v>
      </c>
      <c r="AV333" s="26" t="n">
        <f aca="false">SUMIFS(Permissions!$AL$2:$AL$3000,Permissions!$B$2:$B$3000,$A333,Permissions!$R$2:$R$3000,"Yes")</f>
        <v>0</v>
      </c>
      <c r="AW333" s="26" t="n">
        <f aca="false">SUMIFS(Permissions!$AM$2:$AM$3000,Permissions!$B$2:$B$3000,$A333,Permissions!$R$2:$R$3000,"Yes")</f>
        <v>0</v>
      </c>
      <c r="AX333" s="26" t="n">
        <f aca="false">SUMIFS(Permissions!$AN$2:$AN$3000,Permissions!$B$2:$B$3000,$A333,Permissions!$R$2:$R$3000,"Yes")</f>
        <v>0</v>
      </c>
      <c r="AY333" s="26" t="n">
        <f aca="false">SUMIFS(Permissions!$AO$2:$AO$3000,Permissions!$B$2:$B$3000,$A333,Permissions!$R$2:$R$3000,"Yes")</f>
        <v>0</v>
      </c>
      <c r="AZ333" s="24" t="n">
        <f aca="false">COUNTIFS(Permissions!$B$2:$B$3000,$A333,Permissions!$R$2:$R$3000,"Yes")</f>
        <v>1</v>
      </c>
      <c r="BA333" s="24" t="n">
        <f aca="false">SUMIFS(Permissions!$M$2:$M$3000,Permissions!$B$2:$B$3000,$A333,Permissions!$R$2:$R$3000,"Yes")</f>
        <v>0</v>
      </c>
      <c r="BB333" s="24" t="n">
        <f aca="false">SUMIFS(Permissions!$O$2:$O$3000,Permissions!$B$2:$B$3000,$A333,Permissions!$R$2:$R$3000,"Yes")</f>
        <v>0</v>
      </c>
      <c r="BC333" s="27" t="str">
        <f aca="false">IF(AND(AM333&gt;0,AR333&gt;=AM333,AP333=0),"Finished",IF(AR333&gt;0,"Partly built",IF(AM333&gt;0,"Consented – not built","No consent")))</f>
        <v>Consented – not built</v>
      </c>
      <c r="BD333" s="28" t="str">
        <f aca="false">IF(AND(R333&lt;&gt;"",AM333&gt;1.1*R333),"Consented above capacity",IF(AND(LEFT(B333,8)="Planning",AZ333=0),"Consent parcel with no permission",IF(COUNTIF($A$2:$A$3000,$A333)&gt;1,"Duplicate parcel_id","")))</f>
        <v/>
      </c>
    </row>
    <row r="334" customFormat="false" ht="15" hidden="false" customHeight="false" outlineLevel="0" collapsed="false">
      <c r="A334" s="15" t="s">
        <v>776</v>
      </c>
      <c r="B334" s="15" t="s">
        <v>12</v>
      </c>
      <c r="C334" s="15" t="s">
        <v>17</v>
      </c>
      <c r="D334" s="15" t="s">
        <v>70</v>
      </c>
      <c r="E334" s="15" t="s">
        <v>21</v>
      </c>
      <c r="F334" s="15" t="n">
        <v>1</v>
      </c>
      <c r="G334" s="15" t="s">
        <v>158</v>
      </c>
      <c r="H334" s="15"/>
      <c r="I334" s="15" t="s">
        <v>346</v>
      </c>
      <c r="J334" s="15" t="s">
        <v>347</v>
      </c>
      <c r="K334" s="15" t="s">
        <v>777</v>
      </c>
      <c r="L334" s="15"/>
      <c r="M334" s="15"/>
      <c r="N334" s="15"/>
      <c r="O334" s="15"/>
      <c r="P334" s="15" t="n">
        <v>0.508</v>
      </c>
      <c r="Q334" s="15" t="n">
        <v>0.508</v>
      </c>
      <c r="R334" s="15"/>
      <c r="S334" s="15" t="s">
        <v>459</v>
      </c>
      <c r="T334" s="15" t="n">
        <v>13</v>
      </c>
      <c r="U334" s="15"/>
      <c r="V334" s="15"/>
      <c r="W334" s="15"/>
      <c r="X334" s="15" t="s">
        <v>353</v>
      </c>
      <c r="Y334" s="15" t="n">
        <v>25</v>
      </c>
      <c r="Z334" s="15" t="s">
        <v>354</v>
      </c>
      <c r="AA334" s="15"/>
      <c r="AB334" s="15" t="n">
        <v>0</v>
      </c>
      <c r="AC334" s="15" t="n">
        <v>0</v>
      </c>
      <c r="AD334" s="15"/>
      <c r="AE334" s="15"/>
      <c r="AF334" s="15" t="s">
        <v>169</v>
      </c>
      <c r="AG334" s="15"/>
      <c r="AH334" s="24" t="n">
        <f aca="false">IF(R334="",AM334,R334)</f>
        <v>10</v>
      </c>
      <c r="AI334" s="24" t="n">
        <f aca="false">SUMIFS(Permissions!$G$2:$G$3000,Permissions!$B$2:$B$3000,$A334,Permissions!$I$2:$I$3000,"Complete",Permissions!$R$2:$R$3000,"Yes")</f>
        <v>0</v>
      </c>
      <c r="AJ334" s="24" t="n">
        <f aca="false">SUMIFS(Permissions!$G$2:$G$3000,Permissions!$B$2:$B$3000,$A334,Permissions!$I$2:$I$3000,"Under construction",Permissions!$R$2:$R$3000,"Yes")</f>
        <v>0</v>
      </c>
      <c r="AK334" s="24" t="n">
        <f aca="false">SUMIFS(Permissions!$G$2:$G$3000,Permissions!$B$2:$B$3000,$A334,Permissions!$I$2:$I$3000,"Permitted – not started",Permissions!$R$2:$R$3000,"Yes")</f>
        <v>10</v>
      </c>
      <c r="AL334" s="24" t="n">
        <f aca="false">SUMIFS(Permissions!$G$2:$G$3000,Permissions!$B$2:$B$3000,$A334,Permissions!$I$2:$I$3000,"Stalled",Permissions!$R$2:$R$3000,"Yes")</f>
        <v>0</v>
      </c>
      <c r="AM334" s="24" t="n">
        <f aca="false">AI334+AJ334+AK334+AL334</f>
        <v>10</v>
      </c>
      <c r="AN334" s="24" t="n">
        <f aca="false">SUMIFS(Permissions!$G$2:$G$3000,Permissions!$B$2:$B$3000,$A334,Permissions!$I$2:$I$3000,"Expired – not started",Permissions!$R$2:$R$3000,"Yes")</f>
        <v>0</v>
      </c>
      <c r="AO334" s="24" t="n">
        <f aca="false">SUMIFS(Permissions!$G$2:$G$3000,Permissions!$B$2:$B$3000,$A334,Permissions!$I$2:$I$3000,"In planning",Permissions!$R$2:$R$3000,"Yes")</f>
        <v>0</v>
      </c>
      <c r="AP334" s="24" t="n">
        <f aca="false">IF(R334="",0,MAX(R334-AM334,0))</f>
        <v>0</v>
      </c>
      <c r="AQ334" s="25" t="n">
        <f aca="false">AM334+AP334</f>
        <v>10</v>
      </c>
      <c r="AR334" s="24" t="n">
        <f aca="false">SUMIFS(Permissions!$L$2:$L$3000,Permissions!$B$2:$B$3000,$A334,Permissions!$R$2:$R$3000,"Yes",Permissions!$I$2:$I$3000,"&lt;&gt;Expired – not started",Permissions!$I$2:$I$3000,"&lt;&gt;In planning")</f>
        <v>0</v>
      </c>
      <c r="AS334" s="24" t="n">
        <f aca="false">AQ334-AR334</f>
        <v>10</v>
      </c>
      <c r="AT334" s="26" t="n">
        <f aca="false">SUMIFS(Permissions!$AJ$2:$AJ$3000,Permissions!$B$2:$B$3000,$A334,Permissions!$R$2:$R$3000,"Yes")</f>
        <v>0</v>
      </c>
      <c r="AU334" s="26" t="n">
        <f aca="false">SUMIFS(Permissions!$AK$2:$AK$3000,Permissions!$B$2:$B$3000,$A334,Permissions!$R$2:$R$3000,"Yes")</f>
        <v>0</v>
      </c>
      <c r="AV334" s="26" t="n">
        <f aca="false">SUMIFS(Permissions!$AL$2:$AL$3000,Permissions!$B$2:$B$3000,$A334,Permissions!$R$2:$R$3000,"Yes")</f>
        <v>5.9</v>
      </c>
      <c r="AW334" s="26" t="n">
        <f aca="false">SUMIFS(Permissions!$AM$2:$AM$3000,Permissions!$B$2:$B$3000,$A334,Permissions!$R$2:$R$3000,"Yes")</f>
        <v>4.1</v>
      </c>
      <c r="AX334" s="26" t="n">
        <f aca="false">SUMIFS(Permissions!$AN$2:$AN$3000,Permissions!$B$2:$B$3000,$A334,Permissions!$R$2:$R$3000,"Yes")</f>
        <v>0</v>
      </c>
      <c r="AY334" s="26" t="n">
        <f aca="false">SUMIFS(Permissions!$AO$2:$AO$3000,Permissions!$B$2:$B$3000,$A334,Permissions!$R$2:$R$3000,"Yes")</f>
        <v>0</v>
      </c>
      <c r="AZ334" s="24" t="n">
        <f aca="false">COUNTIFS(Permissions!$B$2:$B$3000,$A334,Permissions!$R$2:$R$3000,"Yes")</f>
        <v>1</v>
      </c>
      <c r="BA334" s="24" t="n">
        <f aca="false">SUMIFS(Permissions!$M$2:$M$3000,Permissions!$B$2:$B$3000,$A334,Permissions!$R$2:$R$3000,"Yes")</f>
        <v>0</v>
      </c>
      <c r="BB334" s="24" t="n">
        <f aca="false">SUMIFS(Permissions!$O$2:$O$3000,Permissions!$B$2:$B$3000,$A334,Permissions!$R$2:$R$3000,"Yes")</f>
        <v>0</v>
      </c>
      <c r="BC334" s="27" t="str">
        <f aca="false">IF(AND(AM334&gt;0,AR334&gt;=AM334,AP334=0),"Finished",IF(AR334&gt;0,"Partly built",IF(AM334&gt;0,"Consented – not built","No consent")))</f>
        <v>Consented – not built</v>
      </c>
      <c r="BD334" s="28" t="str">
        <f aca="false">IF(AND(R334&lt;&gt;"",AM334&gt;1.1*R334),"Consented above capacity",IF(AND(LEFT(B334,8)="Planning",AZ334=0),"Consent parcel with no permission",IF(COUNTIF($A$2:$A$3000,$A334)&gt;1,"Duplicate parcel_id","")))</f>
        <v/>
      </c>
    </row>
    <row r="335" customFormat="false" ht="15" hidden="false" customHeight="false" outlineLevel="0" collapsed="false">
      <c r="A335" s="15" t="s">
        <v>778</v>
      </c>
      <c r="B335" s="15" t="s">
        <v>12</v>
      </c>
      <c r="C335" s="15" t="s">
        <v>17</v>
      </c>
      <c r="D335" s="15" t="s">
        <v>22</v>
      </c>
      <c r="E335" s="15" t="s">
        <v>22</v>
      </c>
      <c r="F335" s="15"/>
      <c r="G335" s="15" t="s">
        <v>22</v>
      </c>
      <c r="H335" s="15"/>
      <c r="I335" s="15" t="s">
        <v>346</v>
      </c>
      <c r="J335" s="15" t="s">
        <v>347</v>
      </c>
      <c r="K335" s="15" t="s">
        <v>779</v>
      </c>
      <c r="L335" s="15"/>
      <c r="M335" s="15"/>
      <c r="N335" s="15"/>
      <c r="O335" s="15"/>
      <c r="P335" s="15" t="n">
        <v>3.075</v>
      </c>
      <c r="Q335" s="15" t="n">
        <v>3.075</v>
      </c>
      <c r="R335" s="15"/>
      <c r="S335" s="15" t="s">
        <v>459</v>
      </c>
      <c r="T335" s="15" t="n">
        <v>77</v>
      </c>
      <c r="U335" s="15"/>
      <c r="V335" s="15"/>
      <c r="W335" s="15"/>
      <c r="X335" s="15" t="s">
        <v>353</v>
      </c>
      <c r="Y335" s="15" t="n">
        <v>25</v>
      </c>
      <c r="Z335" s="15" t="s">
        <v>354</v>
      </c>
      <c r="AA335" s="15"/>
      <c r="AB335" s="15" t="n">
        <v>0</v>
      </c>
      <c r="AC335" s="15" t="n">
        <v>0</v>
      </c>
      <c r="AD335" s="15"/>
      <c r="AE335" s="15"/>
      <c r="AF335" s="15" t="s">
        <v>169</v>
      </c>
      <c r="AG335" s="15"/>
      <c r="AH335" s="24" t="n">
        <f aca="false">IF(R335="",AM335,R335)</f>
        <v>30</v>
      </c>
      <c r="AI335" s="24" t="n">
        <f aca="false">SUMIFS(Permissions!$G$2:$G$3000,Permissions!$B$2:$B$3000,$A335,Permissions!$I$2:$I$3000,"Complete",Permissions!$R$2:$R$3000,"Yes")</f>
        <v>0</v>
      </c>
      <c r="AJ335" s="24" t="n">
        <f aca="false">SUMIFS(Permissions!$G$2:$G$3000,Permissions!$B$2:$B$3000,$A335,Permissions!$I$2:$I$3000,"Under construction",Permissions!$R$2:$R$3000,"Yes")</f>
        <v>30</v>
      </c>
      <c r="AK335" s="24" t="n">
        <f aca="false">SUMIFS(Permissions!$G$2:$G$3000,Permissions!$B$2:$B$3000,$A335,Permissions!$I$2:$I$3000,"Permitted – not started",Permissions!$R$2:$R$3000,"Yes")</f>
        <v>0</v>
      </c>
      <c r="AL335" s="24" t="n">
        <f aca="false">SUMIFS(Permissions!$G$2:$G$3000,Permissions!$B$2:$B$3000,$A335,Permissions!$I$2:$I$3000,"Stalled",Permissions!$R$2:$R$3000,"Yes")</f>
        <v>0</v>
      </c>
      <c r="AM335" s="24" t="n">
        <f aca="false">AI335+AJ335+AK335+AL335</f>
        <v>30</v>
      </c>
      <c r="AN335" s="24" t="n">
        <f aca="false">SUMIFS(Permissions!$G$2:$G$3000,Permissions!$B$2:$B$3000,$A335,Permissions!$I$2:$I$3000,"Expired – not started",Permissions!$R$2:$R$3000,"Yes")</f>
        <v>0</v>
      </c>
      <c r="AO335" s="24" t="n">
        <f aca="false">SUMIFS(Permissions!$G$2:$G$3000,Permissions!$B$2:$B$3000,$A335,Permissions!$I$2:$I$3000,"In planning",Permissions!$R$2:$R$3000,"Yes")</f>
        <v>0</v>
      </c>
      <c r="AP335" s="24" t="n">
        <f aca="false">IF(R335="",0,MAX(R335-AM335,0))</f>
        <v>0</v>
      </c>
      <c r="AQ335" s="25" t="n">
        <f aca="false">AM335+AP335</f>
        <v>30</v>
      </c>
      <c r="AR335" s="24" t="n">
        <f aca="false">SUMIFS(Permissions!$L$2:$L$3000,Permissions!$B$2:$B$3000,$A335,Permissions!$R$2:$R$3000,"Yes",Permissions!$I$2:$I$3000,"&lt;&gt;Expired – not started",Permissions!$I$2:$I$3000,"&lt;&gt;In planning")</f>
        <v>0</v>
      </c>
      <c r="AS335" s="24" t="n">
        <f aca="false">AQ335-AR335</f>
        <v>30</v>
      </c>
      <c r="AT335" s="26" t="n">
        <f aca="false">SUMIFS(Permissions!$AJ$2:$AJ$3000,Permissions!$B$2:$B$3000,$A335,Permissions!$R$2:$R$3000,"Yes")</f>
        <v>7</v>
      </c>
      <c r="AU335" s="26" t="n">
        <f aca="false">SUMIFS(Permissions!$AK$2:$AK$3000,Permissions!$B$2:$B$3000,$A335,Permissions!$R$2:$R$3000,"Yes")</f>
        <v>23</v>
      </c>
      <c r="AV335" s="26" t="n">
        <f aca="false">SUMIFS(Permissions!$AL$2:$AL$3000,Permissions!$B$2:$B$3000,$A335,Permissions!$R$2:$R$3000,"Yes")</f>
        <v>0</v>
      </c>
      <c r="AW335" s="26" t="n">
        <f aca="false">SUMIFS(Permissions!$AM$2:$AM$3000,Permissions!$B$2:$B$3000,$A335,Permissions!$R$2:$R$3000,"Yes")</f>
        <v>0</v>
      </c>
      <c r="AX335" s="26" t="n">
        <f aca="false">SUMIFS(Permissions!$AN$2:$AN$3000,Permissions!$B$2:$B$3000,$A335,Permissions!$R$2:$R$3000,"Yes")</f>
        <v>0</v>
      </c>
      <c r="AY335" s="26" t="n">
        <f aca="false">SUMIFS(Permissions!$AO$2:$AO$3000,Permissions!$B$2:$B$3000,$A335,Permissions!$R$2:$R$3000,"Yes")</f>
        <v>0</v>
      </c>
      <c r="AZ335" s="24" t="n">
        <f aca="false">COUNTIFS(Permissions!$B$2:$B$3000,$A335,Permissions!$R$2:$R$3000,"Yes")</f>
        <v>1</v>
      </c>
      <c r="BA335" s="24" t="n">
        <f aca="false">SUMIFS(Permissions!$M$2:$M$3000,Permissions!$B$2:$B$3000,$A335,Permissions!$R$2:$R$3000,"Yes")</f>
        <v>0</v>
      </c>
      <c r="BB335" s="24" t="n">
        <f aca="false">SUMIFS(Permissions!$O$2:$O$3000,Permissions!$B$2:$B$3000,$A335,Permissions!$R$2:$R$3000,"Yes")</f>
        <v>0</v>
      </c>
      <c r="BC335" s="27" t="str">
        <f aca="false">IF(AND(AM335&gt;0,AR335&gt;=AM335,AP335=0),"Finished",IF(AR335&gt;0,"Partly built",IF(AM335&gt;0,"Consented – not built","No consent")))</f>
        <v>Consented – not built</v>
      </c>
      <c r="BD335" s="28" t="str">
        <f aca="false">IF(AND(R335&lt;&gt;"",AM335&gt;1.1*R335),"Consented above capacity",IF(AND(LEFT(B335,8)="Planning",AZ335=0),"Consent parcel with no permission",IF(COUNTIF($A$2:$A$3000,$A335)&gt;1,"Duplicate parcel_id","")))</f>
        <v/>
      </c>
    </row>
    <row r="336" customFormat="false" ht="15" hidden="false" customHeight="false" outlineLevel="0" collapsed="false">
      <c r="A336" s="15" t="s">
        <v>780</v>
      </c>
      <c r="B336" s="15" t="s">
        <v>12</v>
      </c>
      <c r="C336" s="15" t="s">
        <v>17</v>
      </c>
      <c r="D336" s="15" t="s">
        <v>22</v>
      </c>
      <c r="E336" s="15" t="s">
        <v>22</v>
      </c>
      <c r="F336" s="15"/>
      <c r="G336" s="15" t="s">
        <v>22</v>
      </c>
      <c r="H336" s="15"/>
      <c r="I336" s="15" t="s">
        <v>346</v>
      </c>
      <c r="J336" s="15" t="s">
        <v>390</v>
      </c>
      <c r="K336" s="15" t="s">
        <v>781</v>
      </c>
      <c r="L336" s="15"/>
      <c r="M336" s="15"/>
      <c r="N336" s="15"/>
      <c r="O336" s="15"/>
      <c r="P336" s="15" t="n">
        <v>0.123</v>
      </c>
      <c r="Q336" s="15" t="n">
        <v>0.123</v>
      </c>
      <c r="R336" s="15"/>
      <c r="S336" s="15" t="s">
        <v>459</v>
      </c>
      <c r="T336" s="15" t="n">
        <v>3</v>
      </c>
      <c r="U336" s="15"/>
      <c r="V336" s="15"/>
      <c r="W336" s="15"/>
      <c r="X336" s="15" t="s">
        <v>353</v>
      </c>
      <c r="Y336" s="15" t="n">
        <v>25</v>
      </c>
      <c r="Z336" s="15" t="s">
        <v>354</v>
      </c>
      <c r="AA336" s="15"/>
      <c r="AB336" s="15" t="n">
        <v>0</v>
      </c>
      <c r="AC336" s="15" t="n">
        <v>0</v>
      </c>
      <c r="AD336" s="15"/>
      <c r="AE336" s="15"/>
      <c r="AF336" s="15" t="s">
        <v>169</v>
      </c>
      <c r="AG336" s="15"/>
      <c r="AH336" s="24" t="n">
        <f aca="false">IF(R336="",AM336,R336)</f>
        <v>7</v>
      </c>
      <c r="AI336" s="24" t="n">
        <f aca="false">SUMIFS(Permissions!$G$2:$G$3000,Permissions!$B$2:$B$3000,$A336,Permissions!$I$2:$I$3000,"Complete",Permissions!$R$2:$R$3000,"Yes")</f>
        <v>0</v>
      </c>
      <c r="AJ336" s="24" t="n">
        <f aca="false">SUMIFS(Permissions!$G$2:$G$3000,Permissions!$B$2:$B$3000,$A336,Permissions!$I$2:$I$3000,"Under construction",Permissions!$R$2:$R$3000,"Yes")</f>
        <v>0</v>
      </c>
      <c r="AK336" s="24" t="n">
        <f aca="false">SUMIFS(Permissions!$G$2:$G$3000,Permissions!$B$2:$B$3000,$A336,Permissions!$I$2:$I$3000,"Permitted – not started",Permissions!$R$2:$R$3000,"Yes")</f>
        <v>7</v>
      </c>
      <c r="AL336" s="24" t="n">
        <f aca="false">SUMIFS(Permissions!$G$2:$G$3000,Permissions!$B$2:$B$3000,$A336,Permissions!$I$2:$I$3000,"Stalled",Permissions!$R$2:$R$3000,"Yes")</f>
        <v>0</v>
      </c>
      <c r="AM336" s="24" t="n">
        <f aca="false">AI336+AJ336+AK336+AL336</f>
        <v>7</v>
      </c>
      <c r="AN336" s="24" t="n">
        <f aca="false">SUMIFS(Permissions!$G$2:$G$3000,Permissions!$B$2:$B$3000,$A336,Permissions!$I$2:$I$3000,"Expired – not started",Permissions!$R$2:$R$3000,"Yes")</f>
        <v>0</v>
      </c>
      <c r="AO336" s="24" t="n">
        <f aca="false">SUMIFS(Permissions!$G$2:$G$3000,Permissions!$B$2:$B$3000,$A336,Permissions!$I$2:$I$3000,"In planning",Permissions!$R$2:$R$3000,"Yes")</f>
        <v>0</v>
      </c>
      <c r="AP336" s="24" t="n">
        <f aca="false">IF(R336="",0,MAX(R336-AM336,0))</f>
        <v>0</v>
      </c>
      <c r="AQ336" s="25" t="n">
        <f aca="false">AM336+AP336</f>
        <v>7</v>
      </c>
      <c r="AR336" s="24" t="n">
        <f aca="false">SUMIFS(Permissions!$L$2:$L$3000,Permissions!$B$2:$B$3000,$A336,Permissions!$R$2:$R$3000,"Yes",Permissions!$I$2:$I$3000,"&lt;&gt;Expired – not started",Permissions!$I$2:$I$3000,"&lt;&gt;In planning")</f>
        <v>0</v>
      </c>
      <c r="AS336" s="24" t="n">
        <f aca="false">AQ336-AR336</f>
        <v>7</v>
      </c>
      <c r="AT336" s="26" t="n">
        <f aca="false">SUMIFS(Permissions!$AJ$2:$AJ$3000,Permissions!$B$2:$B$3000,$A336,Permissions!$R$2:$R$3000,"Yes")</f>
        <v>0</v>
      </c>
      <c r="AU336" s="26" t="n">
        <f aca="false">SUMIFS(Permissions!$AK$2:$AK$3000,Permissions!$B$2:$B$3000,$A336,Permissions!$R$2:$R$3000,"Yes")</f>
        <v>0</v>
      </c>
      <c r="AV336" s="26" t="n">
        <f aca="false">SUMIFS(Permissions!$AL$2:$AL$3000,Permissions!$B$2:$B$3000,$A336,Permissions!$R$2:$R$3000,"Yes")</f>
        <v>6.1</v>
      </c>
      <c r="AW336" s="26" t="n">
        <f aca="false">SUMIFS(Permissions!$AM$2:$AM$3000,Permissions!$B$2:$B$3000,$A336,Permissions!$R$2:$R$3000,"Yes")</f>
        <v>0.9</v>
      </c>
      <c r="AX336" s="26" t="n">
        <f aca="false">SUMIFS(Permissions!$AN$2:$AN$3000,Permissions!$B$2:$B$3000,$A336,Permissions!$R$2:$R$3000,"Yes")</f>
        <v>0</v>
      </c>
      <c r="AY336" s="26" t="n">
        <f aca="false">SUMIFS(Permissions!$AO$2:$AO$3000,Permissions!$B$2:$B$3000,$A336,Permissions!$R$2:$R$3000,"Yes")</f>
        <v>0</v>
      </c>
      <c r="AZ336" s="24" t="n">
        <f aca="false">COUNTIFS(Permissions!$B$2:$B$3000,$A336,Permissions!$R$2:$R$3000,"Yes")</f>
        <v>1</v>
      </c>
      <c r="BA336" s="24" t="n">
        <f aca="false">SUMIFS(Permissions!$M$2:$M$3000,Permissions!$B$2:$B$3000,$A336,Permissions!$R$2:$R$3000,"Yes")</f>
        <v>0</v>
      </c>
      <c r="BB336" s="24" t="n">
        <f aca="false">SUMIFS(Permissions!$O$2:$O$3000,Permissions!$B$2:$B$3000,$A336,Permissions!$R$2:$R$3000,"Yes")</f>
        <v>0</v>
      </c>
      <c r="BC336" s="27" t="str">
        <f aca="false">IF(AND(AM336&gt;0,AR336&gt;=AM336,AP336=0),"Finished",IF(AR336&gt;0,"Partly built",IF(AM336&gt;0,"Consented – not built","No consent")))</f>
        <v>Consented – not built</v>
      </c>
      <c r="BD336" s="28" t="str">
        <f aca="false">IF(AND(R336&lt;&gt;"",AM336&gt;1.1*R336),"Consented above capacity",IF(AND(LEFT(B336,8)="Planning",AZ336=0),"Consent parcel with no permission",IF(COUNTIF($A$2:$A$3000,$A336)&gt;1,"Duplicate parcel_id","")))</f>
        <v/>
      </c>
    </row>
    <row r="337" customFormat="false" ht="15" hidden="false" customHeight="false" outlineLevel="0" collapsed="false">
      <c r="A337" s="15" t="s">
        <v>782</v>
      </c>
      <c r="B337" s="15" t="s">
        <v>12</v>
      </c>
      <c r="C337" s="15" t="s">
        <v>17</v>
      </c>
      <c r="D337" s="15" t="s">
        <v>22</v>
      </c>
      <c r="E337" s="15" t="s">
        <v>22</v>
      </c>
      <c r="F337" s="15"/>
      <c r="G337" s="15" t="s">
        <v>22</v>
      </c>
      <c r="H337" s="15"/>
      <c r="I337" s="15" t="s">
        <v>346</v>
      </c>
      <c r="J337" s="15" t="s">
        <v>347</v>
      </c>
      <c r="K337" s="15" t="s">
        <v>783</v>
      </c>
      <c r="L337" s="15"/>
      <c r="M337" s="15"/>
      <c r="N337" s="15"/>
      <c r="O337" s="15"/>
      <c r="P337" s="15" t="n">
        <v>0.764</v>
      </c>
      <c r="Q337" s="15" t="n">
        <v>0.764</v>
      </c>
      <c r="R337" s="15"/>
      <c r="S337" s="15" t="s">
        <v>459</v>
      </c>
      <c r="T337" s="15" t="n">
        <v>19</v>
      </c>
      <c r="U337" s="15"/>
      <c r="V337" s="15"/>
      <c r="W337" s="15"/>
      <c r="X337" s="15" t="s">
        <v>353</v>
      </c>
      <c r="Y337" s="15" t="n">
        <v>25</v>
      </c>
      <c r="Z337" s="15" t="s">
        <v>354</v>
      </c>
      <c r="AA337" s="15"/>
      <c r="AB337" s="15" t="n">
        <v>0</v>
      </c>
      <c r="AC337" s="15" t="n">
        <v>0</v>
      </c>
      <c r="AD337" s="15"/>
      <c r="AE337" s="15"/>
      <c r="AF337" s="15" t="s">
        <v>169</v>
      </c>
      <c r="AG337" s="15"/>
      <c r="AH337" s="24" t="n">
        <f aca="false">IF(R337="",AM337,R337)</f>
        <v>3</v>
      </c>
      <c r="AI337" s="24" t="n">
        <f aca="false">SUMIFS(Permissions!$G$2:$G$3000,Permissions!$B$2:$B$3000,$A337,Permissions!$I$2:$I$3000,"Complete",Permissions!$R$2:$R$3000,"Yes")</f>
        <v>0</v>
      </c>
      <c r="AJ337" s="24" t="n">
        <f aca="false">SUMIFS(Permissions!$G$2:$G$3000,Permissions!$B$2:$B$3000,$A337,Permissions!$I$2:$I$3000,"Under construction",Permissions!$R$2:$R$3000,"Yes")</f>
        <v>0</v>
      </c>
      <c r="AK337" s="24" t="n">
        <f aca="false">SUMIFS(Permissions!$G$2:$G$3000,Permissions!$B$2:$B$3000,$A337,Permissions!$I$2:$I$3000,"Permitted – not started",Permissions!$R$2:$R$3000,"Yes")</f>
        <v>3</v>
      </c>
      <c r="AL337" s="24" t="n">
        <f aca="false">SUMIFS(Permissions!$G$2:$G$3000,Permissions!$B$2:$B$3000,$A337,Permissions!$I$2:$I$3000,"Stalled",Permissions!$R$2:$R$3000,"Yes")</f>
        <v>0</v>
      </c>
      <c r="AM337" s="24" t="n">
        <f aca="false">AI337+AJ337+AK337+AL337</f>
        <v>3</v>
      </c>
      <c r="AN337" s="24" t="n">
        <f aca="false">SUMIFS(Permissions!$G$2:$G$3000,Permissions!$B$2:$B$3000,$A337,Permissions!$I$2:$I$3000,"Expired – not started",Permissions!$R$2:$R$3000,"Yes")</f>
        <v>0</v>
      </c>
      <c r="AO337" s="24" t="n">
        <f aca="false">SUMIFS(Permissions!$G$2:$G$3000,Permissions!$B$2:$B$3000,$A337,Permissions!$I$2:$I$3000,"In planning",Permissions!$R$2:$R$3000,"Yes")</f>
        <v>0</v>
      </c>
      <c r="AP337" s="24" t="n">
        <f aca="false">IF(R337="",0,MAX(R337-AM337,0))</f>
        <v>0</v>
      </c>
      <c r="AQ337" s="25" t="n">
        <f aca="false">AM337+AP337</f>
        <v>3</v>
      </c>
      <c r="AR337" s="24" t="n">
        <f aca="false">SUMIFS(Permissions!$L$2:$L$3000,Permissions!$B$2:$B$3000,$A337,Permissions!$R$2:$R$3000,"Yes",Permissions!$I$2:$I$3000,"&lt;&gt;Expired – not started",Permissions!$I$2:$I$3000,"&lt;&gt;In planning")</f>
        <v>0</v>
      </c>
      <c r="AS337" s="24" t="n">
        <f aca="false">AQ337-AR337</f>
        <v>3</v>
      </c>
      <c r="AT337" s="26" t="n">
        <f aca="false">SUMIFS(Permissions!$AJ$2:$AJ$3000,Permissions!$B$2:$B$3000,$A337,Permissions!$R$2:$R$3000,"Yes")</f>
        <v>0</v>
      </c>
      <c r="AU337" s="26" t="n">
        <f aca="false">SUMIFS(Permissions!$AK$2:$AK$3000,Permissions!$B$2:$B$3000,$A337,Permissions!$R$2:$R$3000,"Yes")</f>
        <v>0</v>
      </c>
      <c r="AV337" s="26" t="n">
        <f aca="false">SUMIFS(Permissions!$AL$2:$AL$3000,Permissions!$B$2:$B$3000,$A337,Permissions!$R$2:$R$3000,"Yes")</f>
        <v>1.9</v>
      </c>
      <c r="AW337" s="26" t="n">
        <f aca="false">SUMIFS(Permissions!$AM$2:$AM$3000,Permissions!$B$2:$B$3000,$A337,Permissions!$R$2:$R$3000,"Yes")</f>
        <v>1.1</v>
      </c>
      <c r="AX337" s="26" t="n">
        <f aca="false">SUMIFS(Permissions!$AN$2:$AN$3000,Permissions!$B$2:$B$3000,$A337,Permissions!$R$2:$R$3000,"Yes")</f>
        <v>0</v>
      </c>
      <c r="AY337" s="26" t="n">
        <f aca="false">SUMIFS(Permissions!$AO$2:$AO$3000,Permissions!$B$2:$B$3000,$A337,Permissions!$R$2:$R$3000,"Yes")</f>
        <v>0</v>
      </c>
      <c r="AZ337" s="24" t="n">
        <f aca="false">COUNTIFS(Permissions!$B$2:$B$3000,$A337,Permissions!$R$2:$R$3000,"Yes")</f>
        <v>1</v>
      </c>
      <c r="BA337" s="24" t="n">
        <f aca="false">SUMIFS(Permissions!$M$2:$M$3000,Permissions!$B$2:$B$3000,$A337,Permissions!$R$2:$R$3000,"Yes")</f>
        <v>0</v>
      </c>
      <c r="BB337" s="24" t="n">
        <f aca="false">SUMIFS(Permissions!$O$2:$O$3000,Permissions!$B$2:$B$3000,$A337,Permissions!$R$2:$R$3000,"Yes")</f>
        <v>0</v>
      </c>
      <c r="BC337" s="27" t="str">
        <f aca="false">IF(AND(AM337&gt;0,AR337&gt;=AM337,AP337=0),"Finished",IF(AR337&gt;0,"Partly built",IF(AM337&gt;0,"Consented – not built","No consent")))</f>
        <v>Consented – not built</v>
      </c>
      <c r="BD337" s="28" t="str">
        <f aca="false">IF(AND(R337&lt;&gt;"",AM337&gt;1.1*R337),"Consented above capacity",IF(AND(LEFT(B337,8)="Planning",AZ337=0),"Consent parcel with no permission",IF(COUNTIF($A$2:$A$3000,$A337)&gt;1,"Duplicate parcel_id","")))</f>
        <v/>
      </c>
    </row>
    <row r="338" customFormat="false" ht="15" hidden="false" customHeight="false" outlineLevel="0" collapsed="false">
      <c r="A338" s="15" t="s">
        <v>784</v>
      </c>
      <c r="B338" s="15" t="s">
        <v>12</v>
      </c>
      <c r="C338" s="15" t="s">
        <v>17</v>
      </c>
      <c r="D338" s="15" t="s">
        <v>67</v>
      </c>
      <c r="E338" s="15" t="s">
        <v>21</v>
      </c>
      <c r="F338" s="15" t="n">
        <v>0</v>
      </c>
      <c r="G338" s="15" t="s">
        <v>362</v>
      </c>
      <c r="H338" s="15"/>
      <c r="I338" s="15" t="s">
        <v>346</v>
      </c>
      <c r="J338" s="15" t="s">
        <v>347</v>
      </c>
      <c r="K338" s="15" t="s">
        <v>785</v>
      </c>
      <c r="L338" s="15"/>
      <c r="M338" s="15"/>
      <c r="N338" s="15"/>
      <c r="O338" s="15"/>
      <c r="P338" s="15" t="n">
        <v>1.491</v>
      </c>
      <c r="Q338" s="15" t="n">
        <v>1.491</v>
      </c>
      <c r="R338" s="15"/>
      <c r="S338" s="15" t="s">
        <v>459</v>
      </c>
      <c r="T338" s="15" t="n">
        <v>37</v>
      </c>
      <c r="U338" s="15"/>
      <c r="V338" s="15"/>
      <c r="W338" s="15"/>
      <c r="X338" s="15" t="s">
        <v>353</v>
      </c>
      <c r="Y338" s="15" t="n">
        <v>25</v>
      </c>
      <c r="Z338" s="15" t="s">
        <v>354</v>
      </c>
      <c r="AA338" s="15"/>
      <c r="AB338" s="15" t="n">
        <v>0</v>
      </c>
      <c r="AC338" s="15" t="n">
        <v>0</v>
      </c>
      <c r="AD338" s="15"/>
      <c r="AE338" s="15"/>
      <c r="AF338" s="15" t="s">
        <v>169</v>
      </c>
      <c r="AG338" s="15"/>
      <c r="AH338" s="24" t="n">
        <f aca="false">IF(R338="",AM338,R338)</f>
        <v>25</v>
      </c>
      <c r="AI338" s="24" t="n">
        <f aca="false">SUMIFS(Permissions!$G$2:$G$3000,Permissions!$B$2:$B$3000,$A338,Permissions!$I$2:$I$3000,"Complete",Permissions!$R$2:$R$3000,"Yes")</f>
        <v>0</v>
      </c>
      <c r="AJ338" s="24" t="n">
        <f aca="false">SUMIFS(Permissions!$G$2:$G$3000,Permissions!$B$2:$B$3000,$A338,Permissions!$I$2:$I$3000,"Under construction",Permissions!$R$2:$R$3000,"Yes")</f>
        <v>0</v>
      </c>
      <c r="AK338" s="24" t="n">
        <f aca="false">SUMIFS(Permissions!$G$2:$G$3000,Permissions!$B$2:$B$3000,$A338,Permissions!$I$2:$I$3000,"Permitted – not started",Permissions!$R$2:$R$3000,"Yes")</f>
        <v>25</v>
      </c>
      <c r="AL338" s="24" t="n">
        <f aca="false">SUMIFS(Permissions!$G$2:$G$3000,Permissions!$B$2:$B$3000,$A338,Permissions!$I$2:$I$3000,"Stalled",Permissions!$R$2:$R$3000,"Yes")</f>
        <v>0</v>
      </c>
      <c r="AM338" s="24" t="n">
        <f aca="false">AI338+AJ338+AK338+AL338</f>
        <v>25</v>
      </c>
      <c r="AN338" s="24" t="n">
        <f aca="false">SUMIFS(Permissions!$G$2:$G$3000,Permissions!$B$2:$B$3000,$A338,Permissions!$I$2:$I$3000,"Expired – not started",Permissions!$R$2:$R$3000,"Yes")</f>
        <v>0</v>
      </c>
      <c r="AO338" s="24" t="n">
        <f aca="false">SUMIFS(Permissions!$G$2:$G$3000,Permissions!$B$2:$B$3000,$A338,Permissions!$I$2:$I$3000,"In planning",Permissions!$R$2:$R$3000,"Yes")</f>
        <v>0</v>
      </c>
      <c r="AP338" s="24" t="n">
        <f aca="false">IF(R338="",0,MAX(R338-AM338,0))</f>
        <v>0</v>
      </c>
      <c r="AQ338" s="25" t="n">
        <f aca="false">AM338+AP338</f>
        <v>25</v>
      </c>
      <c r="AR338" s="24" t="n">
        <f aca="false">SUMIFS(Permissions!$L$2:$L$3000,Permissions!$B$2:$B$3000,$A338,Permissions!$R$2:$R$3000,"Yes",Permissions!$I$2:$I$3000,"&lt;&gt;Expired – not started",Permissions!$I$2:$I$3000,"&lt;&gt;In planning")</f>
        <v>0</v>
      </c>
      <c r="AS338" s="24" t="n">
        <f aca="false">AQ338-AR338</f>
        <v>25</v>
      </c>
      <c r="AT338" s="26" t="n">
        <f aca="false">SUMIFS(Permissions!$AJ$2:$AJ$3000,Permissions!$B$2:$B$3000,$A338,Permissions!$R$2:$R$3000,"Yes")</f>
        <v>0</v>
      </c>
      <c r="AU338" s="26" t="n">
        <f aca="false">SUMIFS(Permissions!$AK$2:$AK$3000,Permissions!$B$2:$B$3000,$A338,Permissions!$R$2:$R$3000,"Yes")</f>
        <v>0</v>
      </c>
      <c r="AV338" s="26" t="n">
        <f aca="false">SUMIFS(Permissions!$AL$2:$AL$3000,Permissions!$B$2:$B$3000,$A338,Permissions!$R$2:$R$3000,"Yes")</f>
        <v>19</v>
      </c>
      <c r="AW338" s="26" t="n">
        <f aca="false">SUMIFS(Permissions!$AM$2:$AM$3000,Permissions!$B$2:$B$3000,$A338,Permissions!$R$2:$R$3000,"Yes")</f>
        <v>6</v>
      </c>
      <c r="AX338" s="26" t="n">
        <f aca="false">SUMIFS(Permissions!$AN$2:$AN$3000,Permissions!$B$2:$B$3000,$A338,Permissions!$R$2:$R$3000,"Yes")</f>
        <v>0</v>
      </c>
      <c r="AY338" s="26" t="n">
        <f aca="false">SUMIFS(Permissions!$AO$2:$AO$3000,Permissions!$B$2:$B$3000,$A338,Permissions!$R$2:$R$3000,"Yes")</f>
        <v>0</v>
      </c>
      <c r="AZ338" s="24" t="n">
        <f aca="false">COUNTIFS(Permissions!$B$2:$B$3000,$A338,Permissions!$R$2:$R$3000,"Yes")</f>
        <v>1</v>
      </c>
      <c r="BA338" s="24" t="n">
        <f aca="false">SUMIFS(Permissions!$M$2:$M$3000,Permissions!$B$2:$B$3000,$A338,Permissions!$R$2:$R$3000,"Yes")</f>
        <v>0</v>
      </c>
      <c r="BB338" s="24" t="n">
        <f aca="false">SUMIFS(Permissions!$O$2:$O$3000,Permissions!$B$2:$B$3000,$A338,Permissions!$R$2:$R$3000,"Yes")</f>
        <v>0</v>
      </c>
      <c r="BC338" s="27" t="str">
        <f aca="false">IF(AND(AM338&gt;0,AR338&gt;=AM338,AP338=0),"Finished",IF(AR338&gt;0,"Partly built",IF(AM338&gt;0,"Consented – not built","No consent")))</f>
        <v>Consented – not built</v>
      </c>
      <c r="BD338" s="28" t="str">
        <f aca="false">IF(AND(R338&lt;&gt;"",AM338&gt;1.1*R338),"Consented above capacity",IF(AND(LEFT(B338,8)="Planning",AZ338=0),"Consent parcel with no permission",IF(COUNTIF($A$2:$A$3000,$A338)&gt;1,"Duplicate parcel_id","")))</f>
        <v/>
      </c>
    </row>
    <row r="339" customFormat="false" ht="15" hidden="false" customHeight="false" outlineLevel="0" collapsed="false">
      <c r="A339" s="15" t="s">
        <v>786</v>
      </c>
      <c r="B339" s="15" t="s">
        <v>12</v>
      </c>
      <c r="C339" s="15" t="s">
        <v>17</v>
      </c>
      <c r="D339" s="15" t="s">
        <v>22</v>
      </c>
      <c r="E339" s="15" t="s">
        <v>22</v>
      </c>
      <c r="F339" s="15"/>
      <c r="G339" s="15" t="s">
        <v>22</v>
      </c>
      <c r="H339" s="15"/>
      <c r="I339" s="15" t="s">
        <v>346</v>
      </c>
      <c r="J339" s="15" t="s">
        <v>390</v>
      </c>
      <c r="K339" s="15" t="s">
        <v>787</v>
      </c>
      <c r="L339" s="15"/>
      <c r="M339" s="15"/>
      <c r="N339" s="15"/>
      <c r="O339" s="15"/>
      <c r="P339" s="15" t="n">
        <v>0.403</v>
      </c>
      <c r="Q339" s="15" t="n">
        <v>0.403</v>
      </c>
      <c r="R339" s="15"/>
      <c r="S339" s="15" t="s">
        <v>459</v>
      </c>
      <c r="T339" s="15" t="n">
        <v>10</v>
      </c>
      <c r="U339" s="15"/>
      <c r="V339" s="15"/>
      <c r="W339" s="15"/>
      <c r="X339" s="15" t="s">
        <v>353</v>
      </c>
      <c r="Y339" s="15" t="n">
        <v>25</v>
      </c>
      <c r="Z339" s="15" t="s">
        <v>354</v>
      </c>
      <c r="AA339" s="15"/>
      <c r="AB339" s="15" t="n">
        <v>10</v>
      </c>
      <c r="AC339" s="15" t="n">
        <v>10</v>
      </c>
      <c r="AD339" s="15"/>
      <c r="AE339" s="15"/>
      <c r="AF339" s="15" t="s">
        <v>169</v>
      </c>
      <c r="AG339" s="15"/>
      <c r="AH339" s="24" t="n">
        <f aca="false">IF(R339="",AM339,R339)</f>
        <v>18</v>
      </c>
      <c r="AI339" s="24" t="n">
        <f aca="false">SUMIFS(Permissions!$G$2:$G$3000,Permissions!$B$2:$B$3000,$A339,Permissions!$I$2:$I$3000,"Complete",Permissions!$R$2:$R$3000,"Yes")</f>
        <v>0</v>
      </c>
      <c r="AJ339" s="24" t="n">
        <f aca="false">SUMIFS(Permissions!$G$2:$G$3000,Permissions!$B$2:$B$3000,$A339,Permissions!$I$2:$I$3000,"Under construction",Permissions!$R$2:$R$3000,"Yes")</f>
        <v>18</v>
      </c>
      <c r="AK339" s="24" t="n">
        <f aca="false">SUMIFS(Permissions!$G$2:$G$3000,Permissions!$B$2:$B$3000,$A339,Permissions!$I$2:$I$3000,"Permitted – not started",Permissions!$R$2:$R$3000,"Yes")</f>
        <v>0</v>
      </c>
      <c r="AL339" s="24" t="n">
        <f aca="false">SUMIFS(Permissions!$G$2:$G$3000,Permissions!$B$2:$B$3000,$A339,Permissions!$I$2:$I$3000,"Stalled",Permissions!$R$2:$R$3000,"Yes")</f>
        <v>0</v>
      </c>
      <c r="AM339" s="24" t="n">
        <f aca="false">AI339+AJ339+AK339+AL339</f>
        <v>18</v>
      </c>
      <c r="AN339" s="24" t="n">
        <f aca="false">SUMIFS(Permissions!$G$2:$G$3000,Permissions!$B$2:$B$3000,$A339,Permissions!$I$2:$I$3000,"Expired – not started",Permissions!$R$2:$R$3000,"Yes")</f>
        <v>0</v>
      </c>
      <c r="AO339" s="24" t="n">
        <f aca="false">SUMIFS(Permissions!$G$2:$G$3000,Permissions!$B$2:$B$3000,$A339,Permissions!$I$2:$I$3000,"In planning",Permissions!$R$2:$R$3000,"Yes")</f>
        <v>0</v>
      </c>
      <c r="AP339" s="24" t="n">
        <f aca="false">IF(R339="",0,MAX(R339-AM339,0))</f>
        <v>0</v>
      </c>
      <c r="AQ339" s="25" t="n">
        <f aca="false">AM339+AP339</f>
        <v>18</v>
      </c>
      <c r="AR339" s="24" t="n">
        <f aca="false">SUMIFS(Permissions!$L$2:$L$3000,Permissions!$B$2:$B$3000,$A339,Permissions!$R$2:$R$3000,"Yes",Permissions!$I$2:$I$3000,"&lt;&gt;Expired – not started",Permissions!$I$2:$I$3000,"&lt;&gt;In planning")</f>
        <v>0</v>
      </c>
      <c r="AS339" s="24" t="n">
        <f aca="false">AQ339-AR339</f>
        <v>18</v>
      </c>
      <c r="AT339" s="26" t="n">
        <f aca="false">SUMIFS(Permissions!$AJ$2:$AJ$3000,Permissions!$B$2:$B$3000,$A339,Permissions!$R$2:$R$3000,"Yes")</f>
        <v>3.6</v>
      </c>
      <c r="AU339" s="26" t="n">
        <f aca="false">SUMIFS(Permissions!$AK$2:$AK$3000,Permissions!$B$2:$B$3000,$A339,Permissions!$R$2:$R$3000,"Yes")</f>
        <v>14.4</v>
      </c>
      <c r="AV339" s="26" t="n">
        <f aca="false">SUMIFS(Permissions!$AL$2:$AL$3000,Permissions!$B$2:$B$3000,$A339,Permissions!$R$2:$R$3000,"Yes")</f>
        <v>0</v>
      </c>
      <c r="AW339" s="26" t="n">
        <f aca="false">SUMIFS(Permissions!$AM$2:$AM$3000,Permissions!$B$2:$B$3000,$A339,Permissions!$R$2:$R$3000,"Yes")</f>
        <v>0</v>
      </c>
      <c r="AX339" s="26" t="n">
        <f aca="false">SUMIFS(Permissions!$AN$2:$AN$3000,Permissions!$B$2:$B$3000,$A339,Permissions!$R$2:$R$3000,"Yes")</f>
        <v>0</v>
      </c>
      <c r="AY339" s="26" t="n">
        <f aca="false">SUMIFS(Permissions!$AO$2:$AO$3000,Permissions!$B$2:$B$3000,$A339,Permissions!$R$2:$R$3000,"Yes")</f>
        <v>0</v>
      </c>
      <c r="AZ339" s="24" t="n">
        <f aca="false">COUNTIFS(Permissions!$B$2:$B$3000,$A339,Permissions!$R$2:$R$3000,"Yes")</f>
        <v>1</v>
      </c>
      <c r="BA339" s="24" t="n">
        <f aca="false">SUMIFS(Permissions!$M$2:$M$3000,Permissions!$B$2:$B$3000,$A339,Permissions!$R$2:$R$3000,"Yes")</f>
        <v>0</v>
      </c>
      <c r="BB339" s="24" t="n">
        <f aca="false">SUMIFS(Permissions!$O$2:$O$3000,Permissions!$B$2:$B$3000,$A339,Permissions!$R$2:$R$3000,"Yes")</f>
        <v>0</v>
      </c>
      <c r="BC339" s="27" t="str">
        <f aca="false">IF(AND(AM339&gt;0,AR339&gt;=AM339,AP339=0),"Finished",IF(AR339&gt;0,"Partly built",IF(AM339&gt;0,"Consented – not built","No consent")))</f>
        <v>Consented – not built</v>
      </c>
      <c r="BD339" s="28" t="str">
        <f aca="false">IF(AND(R339&lt;&gt;"",AM339&gt;1.1*R339),"Consented above capacity",IF(AND(LEFT(B339,8)="Planning",AZ339=0),"Consent parcel with no permission",IF(COUNTIF($A$2:$A$3000,$A339)&gt;1,"Duplicate parcel_id","")))</f>
        <v/>
      </c>
    </row>
    <row r="340" customFormat="false" ht="15" hidden="false" customHeight="false" outlineLevel="0" collapsed="false">
      <c r="A340" s="15" t="s">
        <v>788</v>
      </c>
      <c r="B340" s="15" t="s">
        <v>12</v>
      </c>
      <c r="C340" s="15" t="s">
        <v>17</v>
      </c>
      <c r="D340" s="15" t="s">
        <v>63</v>
      </c>
      <c r="E340" s="15" t="s">
        <v>20</v>
      </c>
      <c r="F340" s="15" t="n">
        <v>0.2</v>
      </c>
      <c r="G340" s="15" t="s">
        <v>158</v>
      </c>
      <c r="H340" s="15"/>
      <c r="I340" s="15" t="s">
        <v>346</v>
      </c>
      <c r="J340" s="15" t="s">
        <v>363</v>
      </c>
      <c r="K340" s="15" t="s">
        <v>789</v>
      </c>
      <c r="L340" s="15"/>
      <c r="M340" s="15"/>
      <c r="N340" s="15"/>
      <c r="O340" s="15"/>
      <c r="P340" s="15" t="n">
        <v>1.7</v>
      </c>
      <c r="Q340" s="15" t="n">
        <v>1.7</v>
      </c>
      <c r="R340" s="15"/>
      <c r="S340" s="15" t="s">
        <v>459</v>
      </c>
      <c r="T340" s="15" t="n">
        <v>42</v>
      </c>
      <c r="U340" s="15"/>
      <c r="V340" s="15"/>
      <c r="W340" s="15"/>
      <c r="X340" s="15" t="s">
        <v>353</v>
      </c>
      <c r="Y340" s="15" t="n">
        <v>25</v>
      </c>
      <c r="Z340" s="15" t="s">
        <v>354</v>
      </c>
      <c r="AA340" s="15"/>
      <c r="AB340" s="15" t="n">
        <v>0</v>
      </c>
      <c r="AC340" s="15" t="n">
        <v>0</v>
      </c>
      <c r="AD340" s="15"/>
      <c r="AE340" s="15"/>
      <c r="AF340" s="15" t="s">
        <v>169</v>
      </c>
      <c r="AG340" s="15"/>
      <c r="AH340" s="24" t="n">
        <f aca="false">IF(R340="",AM340,R340)</f>
        <v>42</v>
      </c>
      <c r="AI340" s="24" t="n">
        <f aca="false">SUMIFS(Permissions!$G$2:$G$3000,Permissions!$B$2:$B$3000,$A340,Permissions!$I$2:$I$3000,"Complete",Permissions!$R$2:$R$3000,"Yes")</f>
        <v>0</v>
      </c>
      <c r="AJ340" s="24" t="n">
        <f aca="false">SUMIFS(Permissions!$G$2:$G$3000,Permissions!$B$2:$B$3000,$A340,Permissions!$I$2:$I$3000,"Under construction",Permissions!$R$2:$R$3000,"Yes")</f>
        <v>42</v>
      </c>
      <c r="AK340" s="24" t="n">
        <f aca="false">SUMIFS(Permissions!$G$2:$G$3000,Permissions!$B$2:$B$3000,$A340,Permissions!$I$2:$I$3000,"Permitted – not started",Permissions!$R$2:$R$3000,"Yes")</f>
        <v>0</v>
      </c>
      <c r="AL340" s="24" t="n">
        <f aca="false">SUMIFS(Permissions!$G$2:$G$3000,Permissions!$B$2:$B$3000,$A340,Permissions!$I$2:$I$3000,"Stalled",Permissions!$R$2:$R$3000,"Yes")</f>
        <v>0</v>
      </c>
      <c r="AM340" s="24" t="n">
        <f aca="false">AI340+AJ340+AK340+AL340</f>
        <v>42</v>
      </c>
      <c r="AN340" s="24" t="n">
        <f aca="false">SUMIFS(Permissions!$G$2:$G$3000,Permissions!$B$2:$B$3000,$A340,Permissions!$I$2:$I$3000,"Expired – not started",Permissions!$R$2:$R$3000,"Yes")</f>
        <v>0</v>
      </c>
      <c r="AO340" s="24" t="n">
        <f aca="false">SUMIFS(Permissions!$G$2:$G$3000,Permissions!$B$2:$B$3000,$A340,Permissions!$I$2:$I$3000,"In planning",Permissions!$R$2:$R$3000,"Yes")</f>
        <v>0</v>
      </c>
      <c r="AP340" s="24" t="n">
        <f aca="false">IF(R340="",0,MAX(R340-AM340,0))</f>
        <v>0</v>
      </c>
      <c r="AQ340" s="25" t="n">
        <f aca="false">AM340+AP340</f>
        <v>42</v>
      </c>
      <c r="AR340" s="24" t="n">
        <f aca="false">SUMIFS(Permissions!$L$2:$L$3000,Permissions!$B$2:$B$3000,$A340,Permissions!$R$2:$R$3000,"Yes",Permissions!$I$2:$I$3000,"&lt;&gt;Expired – not started",Permissions!$I$2:$I$3000,"&lt;&gt;In planning")</f>
        <v>0</v>
      </c>
      <c r="AS340" s="24" t="n">
        <f aca="false">AQ340-AR340</f>
        <v>42</v>
      </c>
      <c r="AT340" s="26" t="n">
        <f aca="false">SUMIFS(Permissions!$AJ$2:$AJ$3000,Permissions!$B$2:$B$3000,$A340,Permissions!$R$2:$R$3000,"Yes")</f>
        <v>0</v>
      </c>
      <c r="AU340" s="26" t="n">
        <f aca="false">SUMIFS(Permissions!$AK$2:$AK$3000,Permissions!$B$2:$B$3000,$A340,Permissions!$R$2:$R$3000,"Yes")</f>
        <v>32</v>
      </c>
      <c r="AV340" s="26" t="n">
        <f aca="false">SUMIFS(Permissions!$AL$2:$AL$3000,Permissions!$B$2:$B$3000,$A340,Permissions!$R$2:$R$3000,"Yes")</f>
        <v>10</v>
      </c>
      <c r="AW340" s="26" t="n">
        <f aca="false">SUMIFS(Permissions!$AM$2:$AM$3000,Permissions!$B$2:$B$3000,$A340,Permissions!$R$2:$R$3000,"Yes")</f>
        <v>0</v>
      </c>
      <c r="AX340" s="26" t="n">
        <f aca="false">SUMIFS(Permissions!$AN$2:$AN$3000,Permissions!$B$2:$B$3000,$A340,Permissions!$R$2:$R$3000,"Yes")</f>
        <v>0</v>
      </c>
      <c r="AY340" s="26" t="n">
        <f aca="false">SUMIFS(Permissions!$AO$2:$AO$3000,Permissions!$B$2:$B$3000,$A340,Permissions!$R$2:$R$3000,"Yes")</f>
        <v>0</v>
      </c>
      <c r="AZ340" s="24" t="n">
        <f aca="false">COUNTIFS(Permissions!$B$2:$B$3000,$A340,Permissions!$R$2:$R$3000,"Yes")</f>
        <v>1</v>
      </c>
      <c r="BA340" s="24" t="n">
        <f aca="false">SUMIFS(Permissions!$M$2:$M$3000,Permissions!$B$2:$B$3000,$A340,Permissions!$R$2:$R$3000,"Yes")</f>
        <v>0</v>
      </c>
      <c r="BB340" s="24" t="n">
        <f aca="false">SUMIFS(Permissions!$O$2:$O$3000,Permissions!$B$2:$B$3000,$A340,Permissions!$R$2:$R$3000,"Yes")</f>
        <v>0</v>
      </c>
      <c r="BC340" s="27" t="str">
        <f aca="false">IF(AND(AM340&gt;0,AR340&gt;=AM340,AP340=0),"Finished",IF(AR340&gt;0,"Partly built",IF(AM340&gt;0,"Consented – not built","No consent")))</f>
        <v>Consented – not built</v>
      </c>
      <c r="BD340" s="28" t="str">
        <f aca="false">IF(AND(R340&lt;&gt;"",AM340&gt;1.1*R340),"Consented above capacity",IF(AND(LEFT(B340,8)="Planning",AZ340=0),"Consent parcel with no permission",IF(COUNTIF($A$2:$A$3000,$A340)&gt;1,"Duplicate parcel_id","")))</f>
        <v/>
      </c>
    </row>
    <row r="341" customFormat="false" ht="15" hidden="false" customHeight="false" outlineLevel="0" collapsed="false">
      <c r="A341" s="15" t="s">
        <v>790</v>
      </c>
      <c r="B341" s="15" t="s">
        <v>12</v>
      </c>
      <c r="C341" s="15" t="s">
        <v>17</v>
      </c>
      <c r="D341" s="15" t="s">
        <v>69</v>
      </c>
      <c r="E341" s="15" t="s">
        <v>21</v>
      </c>
      <c r="F341" s="15" t="n">
        <v>1</v>
      </c>
      <c r="G341" s="15" t="s">
        <v>158</v>
      </c>
      <c r="H341" s="15"/>
      <c r="I341" s="15" t="s">
        <v>346</v>
      </c>
      <c r="J341" s="15" t="s">
        <v>363</v>
      </c>
      <c r="K341" s="15" t="s">
        <v>791</v>
      </c>
      <c r="L341" s="15"/>
      <c r="M341" s="15"/>
      <c r="N341" s="15"/>
      <c r="O341" s="15"/>
      <c r="P341" s="15" t="n">
        <v>0.284</v>
      </c>
      <c r="Q341" s="15" t="n">
        <v>0.284</v>
      </c>
      <c r="R341" s="15"/>
      <c r="S341" s="15" t="s">
        <v>459</v>
      </c>
      <c r="T341" s="15" t="n">
        <v>7</v>
      </c>
      <c r="U341" s="15"/>
      <c r="V341" s="15"/>
      <c r="W341" s="15"/>
      <c r="X341" s="15" t="s">
        <v>353</v>
      </c>
      <c r="Y341" s="15" t="n">
        <v>25</v>
      </c>
      <c r="Z341" s="15" t="s">
        <v>354</v>
      </c>
      <c r="AA341" s="15"/>
      <c r="AB341" s="15" t="n">
        <v>0</v>
      </c>
      <c r="AC341" s="15" t="n">
        <v>0</v>
      </c>
      <c r="AD341" s="15"/>
      <c r="AE341" s="15"/>
      <c r="AF341" s="15" t="s">
        <v>169</v>
      </c>
      <c r="AG341" s="15"/>
      <c r="AH341" s="24" t="n">
        <f aca="false">IF(R341="",AM341,R341)</f>
        <v>7</v>
      </c>
      <c r="AI341" s="24" t="n">
        <f aca="false">SUMIFS(Permissions!$G$2:$G$3000,Permissions!$B$2:$B$3000,$A341,Permissions!$I$2:$I$3000,"Complete",Permissions!$R$2:$R$3000,"Yes")</f>
        <v>0</v>
      </c>
      <c r="AJ341" s="24" t="n">
        <f aca="false">SUMIFS(Permissions!$G$2:$G$3000,Permissions!$B$2:$B$3000,$A341,Permissions!$I$2:$I$3000,"Under construction",Permissions!$R$2:$R$3000,"Yes")</f>
        <v>0</v>
      </c>
      <c r="AK341" s="24" t="n">
        <f aca="false">SUMIFS(Permissions!$G$2:$G$3000,Permissions!$B$2:$B$3000,$A341,Permissions!$I$2:$I$3000,"Permitted – not started",Permissions!$R$2:$R$3000,"Yes")</f>
        <v>7</v>
      </c>
      <c r="AL341" s="24" t="n">
        <f aca="false">SUMIFS(Permissions!$G$2:$G$3000,Permissions!$B$2:$B$3000,$A341,Permissions!$I$2:$I$3000,"Stalled",Permissions!$R$2:$R$3000,"Yes")</f>
        <v>0</v>
      </c>
      <c r="AM341" s="24" t="n">
        <f aca="false">AI341+AJ341+AK341+AL341</f>
        <v>7</v>
      </c>
      <c r="AN341" s="24" t="n">
        <f aca="false">SUMIFS(Permissions!$G$2:$G$3000,Permissions!$B$2:$B$3000,$A341,Permissions!$I$2:$I$3000,"Expired – not started",Permissions!$R$2:$R$3000,"Yes")</f>
        <v>0</v>
      </c>
      <c r="AO341" s="24" t="n">
        <f aca="false">SUMIFS(Permissions!$G$2:$G$3000,Permissions!$B$2:$B$3000,$A341,Permissions!$I$2:$I$3000,"In planning",Permissions!$R$2:$R$3000,"Yes")</f>
        <v>0</v>
      </c>
      <c r="AP341" s="24" t="n">
        <f aca="false">IF(R341="",0,MAX(R341-AM341,0))</f>
        <v>0</v>
      </c>
      <c r="AQ341" s="25" t="n">
        <f aca="false">AM341+AP341</f>
        <v>7</v>
      </c>
      <c r="AR341" s="24" t="n">
        <f aca="false">SUMIFS(Permissions!$L$2:$L$3000,Permissions!$B$2:$B$3000,$A341,Permissions!$R$2:$R$3000,"Yes",Permissions!$I$2:$I$3000,"&lt;&gt;Expired – not started",Permissions!$I$2:$I$3000,"&lt;&gt;In planning")</f>
        <v>0</v>
      </c>
      <c r="AS341" s="24" t="n">
        <f aca="false">AQ341-AR341</f>
        <v>7</v>
      </c>
      <c r="AT341" s="26" t="n">
        <f aca="false">SUMIFS(Permissions!$AJ$2:$AJ$3000,Permissions!$B$2:$B$3000,$A341,Permissions!$R$2:$R$3000,"Yes")</f>
        <v>0</v>
      </c>
      <c r="AU341" s="26" t="n">
        <f aca="false">SUMIFS(Permissions!$AK$2:$AK$3000,Permissions!$B$2:$B$3000,$A341,Permissions!$R$2:$R$3000,"Yes")</f>
        <v>0</v>
      </c>
      <c r="AV341" s="26" t="n">
        <f aca="false">SUMIFS(Permissions!$AL$2:$AL$3000,Permissions!$B$2:$B$3000,$A341,Permissions!$R$2:$R$3000,"Yes")</f>
        <v>4.4</v>
      </c>
      <c r="AW341" s="26" t="n">
        <f aca="false">SUMIFS(Permissions!$AM$2:$AM$3000,Permissions!$B$2:$B$3000,$A341,Permissions!$R$2:$R$3000,"Yes")</f>
        <v>2.6</v>
      </c>
      <c r="AX341" s="26" t="n">
        <f aca="false">SUMIFS(Permissions!$AN$2:$AN$3000,Permissions!$B$2:$B$3000,$A341,Permissions!$R$2:$R$3000,"Yes")</f>
        <v>0</v>
      </c>
      <c r="AY341" s="26" t="n">
        <f aca="false">SUMIFS(Permissions!$AO$2:$AO$3000,Permissions!$B$2:$B$3000,$A341,Permissions!$R$2:$R$3000,"Yes")</f>
        <v>0</v>
      </c>
      <c r="AZ341" s="24" t="n">
        <f aca="false">COUNTIFS(Permissions!$B$2:$B$3000,$A341,Permissions!$R$2:$R$3000,"Yes")</f>
        <v>1</v>
      </c>
      <c r="BA341" s="24" t="n">
        <f aca="false">SUMIFS(Permissions!$M$2:$M$3000,Permissions!$B$2:$B$3000,$A341,Permissions!$R$2:$R$3000,"Yes")</f>
        <v>0</v>
      </c>
      <c r="BB341" s="24" t="n">
        <f aca="false">SUMIFS(Permissions!$O$2:$O$3000,Permissions!$B$2:$B$3000,$A341,Permissions!$R$2:$R$3000,"Yes")</f>
        <v>0</v>
      </c>
      <c r="BC341" s="27" t="str">
        <f aca="false">IF(AND(AM341&gt;0,AR341&gt;=AM341,AP341=0),"Finished",IF(AR341&gt;0,"Partly built",IF(AM341&gt;0,"Consented – not built","No consent")))</f>
        <v>Consented – not built</v>
      </c>
      <c r="BD341" s="28" t="str">
        <f aca="false">IF(AND(R341&lt;&gt;"",AM341&gt;1.1*R341),"Consented above capacity",IF(AND(LEFT(B341,8)="Planning",AZ341=0),"Consent parcel with no permission",IF(COUNTIF($A$2:$A$3000,$A341)&gt;1,"Duplicate parcel_id","")))</f>
        <v/>
      </c>
    </row>
    <row r="342" customFormat="false" ht="15" hidden="false" customHeight="false" outlineLevel="0" collapsed="false">
      <c r="A342" s="15" t="s">
        <v>792</v>
      </c>
      <c r="B342" s="15" t="s">
        <v>12</v>
      </c>
      <c r="C342" s="15" t="s">
        <v>17</v>
      </c>
      <c r="D342" s="15" t="s">
        <v>22</v>
      </c>
      <c r="E342" s="15" t="s">
        <v>22</v>
      </c>
      <c r="F342" s="15"/>
      <c r="G342" s="15" t="s">
        <v>22</v>
      </c>
      <c r="H342" s="15"/>
      <c r="I342" s="15" t="s">
        <v>346</v>
      </c>
      <c r="J342" s="15" t="s">
        <v>363</v>
      </c>
      <c r="K342" s="15" t="s">
        <v>793</v>
      </c>
      <c r="L342" s="15"/>
      <c r="M342" s="15"/>
      <c r="N342" s="15"/>
      <c r="O342" s="15"/>
      <c r="P342" s="15" t="n">
        <v>2.666</v>
      </c>
      <c r="Q342" s="15" t="n">
        <v>2.666</v>
      </c>
      <c r="R342" s="15"/>
      <c r="S342" s="15" t="s">
        <v>459</v>
      </c>
      <c r="T342" s="15" t="n">
        <v>67</v>
      </c>
      <c r="U342" s="15"/>
      <c r="V342" s="15"/>
      <c r="W342" s="15"/>
      <c r="X342" s="15" t="s">
        <v>353</v>
      </c>
      <c r="Y342" s="15" t="n">
        <v>25</v>
      </c>
      <c r="Z342" s="15" t="s">
        <v>354</v>
      </c>
      <c r="AA342" s="15"/>
      <c r="AB342" s="15" t="n">
        <v>0</v>
      </c>
      <c r="AC342" s="15" t="n">
        <v>0</v>
      </c>
      <c r="AD342" s="15"/>
      <c r="AE342" s="15"/>
      <c r="AF342" s="15" t="s">
        <v>169</v>
      </c>
      <c r="AG342" s="15"/>
      <c r="AH342" s="24" t="n">
        <f aca="false">IF(R342="",AM342,R342)</f>
        <v>27</v>
      </c>
      <c r="AI342" s="24" t="n">
        <f aca="false">SUMIFS(Permissions!$G$2:$G$3000,Permissions!$B$2:$B$3000,$A342,Permissions!$I$2:$I$3000,"Complete",Permissions!$R$2:$R$3000,"Yes")</f>
        <v>0</v>
      </c>
      <c r="AJ342" s="24" t="n">
        <f aca="false">SUMIFS(Permissions!$G$2:$G$3000,Permissions!$B$2:$B$3000,$A342,Permissions!$I$2:$I$3000,"Under construction",Permissions!$R$2:$R$3000,"Yes")</f>
        <v>0</v>
      </c>
      <c r="AK342" s="24" t="n">
        <f aca="false">SUMIFS(Permissions!$G$2:$G$3000,Permissions!$B$2:$B$3000,$A342,Permissions!$I$2:$I$3000,"Permitted – not started",Permissions!$R$2:$R$3000,"Yes")</f>
        <v>27</v>
      </c>
      <c r="AL342" s="24" t="n">
        <f aca="false">SUMIFS(Permissions!$G$2:$G$3000,Permissions!$B$2:$B$3000,$A342,Permissions!$I$2:$I$3000,"Stalled",Permissions!$R$2:$R$3000,"Yes")</f>
        <v>0</v>
      </c>
      <c r="AM342" s="24" t="n">
        <f aca="false">AI342+AJ342+AK342+AL342</f>
        <v>27</v>
      </c>
      <c r="AN342" s="24" t="n">
        <f aca="false">SUMIFS(Permissions!$G$2:$G$3000,Permissions!$B$2:$B$3000,$A342,Permissions!$I$2:$I$3000,"Expired – not started",Permissions!$R$2:$R$3000,"Yes")</f>
        <v>0</v>
      </c>
      <c r="AO342" s="24" t="n">
        <f aca="false">SUMIFS(Permissions!$G$2:$G$3000,Permissions!$B$2:$B$3000,$A342,Permissions!$I$2:$I$3000,"In planning",Permissions!$R$2:$R$3000,"Yes")</f>
        <v>0</v>
      </c>
      <c r="AP342" s="24" t="n">
        <f aca="false">IF(R342="",0,MAX(R342-AM342,0))</f>
        <v>0</v>
      </c>
      <c r="AQ342" s="25" t="n">
        <f aca="false">AM342+AP342</f>
        <v>27</v>
      </c>
      <c r="AR342" s="24" t="n">
        <f aca="false">SUMIFS(Permissions!$L$2:$L$3000,Permissions!$B$2:$B$3000,$A342,Permissions!$R$2:$R$3000,"Yes",Permissions!$I$2:$I$3000,"&lt;&gt;Expired – not started",Permissions!$I$2:$I$3000,"&lt;&gt;In planning")</f>
        <v>0</v>
      </c>
      <c r="AS342" s="24" t="n">
        <f aca="false">AQ342-AR342</f>
        <v>27</v>
      </c>
      <c r="AT342" s="26" t="n">
        <f aca="false">SUMIFS(Permissions!$AJ$2:$AJ$3000,Permissions!$B$2:$B$3000,$A342,Permissions!$R$2:$R$3000,"Yes")</f>
        <v>0</v>
      </c>
      <c r="AU342" s="26" t="n">
        <f aca="false">SUMIFS(Permissions!$AK$2:$AK$3000,Permissions!$B$2:$B$3000,$A342,Permissions!$R$2:$R$3000,"Yes")</f>
        <v>0</v>
      </c>
      <c r="AV342" s="26" t="n">
        <f aca="false">SUMIFS(Permissions!$AL$2:$AL$3000,Permissions!$B$2:$B$3000,$A342,Permissions!$R$2:$R$3000,"Yes")</f>
        <v>11.4</v>
      </c>
      <c r="AW342" s="26" t="n">
        <f aca="false">SUMIFS(Permissions!$AM$2:$AM$3000,Permissions!$B$2:$B$3000,$A342,Permissions!$R$2:$R$3000,"Yes")</f>
        <v>15.6</v>
      </c>
      <c r="AX342" s="26" t="n">
        <f aca="false">SUMIFS(Permissions!$AN$2:$AN$3000,Permissions!$B$2:$B$3000,$A342,Permissions!$R$2:$R$3000,"Yes")</f>
        <v>0</v>
      </c>
      <c r="AY342" s="26" t="n">
        <f aca="false">SUMIFS(Permissions!$AO$2:$AO$3000,Permissions!$B$2:$B$3000,$A342,Permissions!$R$2:$R$3000,"Yes")</f>
        <v>0</v>
      </c>
      <c r="AZ342" s="24" t="n">
        <f aca="false">COUNTIFS(Permissions!$B$2:$B$3000,$A342,Permissions!$R$2:$R$3000,"Yes")</f>
        <v>1</v>
      </c>
      <c r="BA342" s="24" t="n">
        <f aca="false">SUMIFS(Permissions!$M$2:$M$3000,Permissions!$B$2:$B$3000,$A342,Permissions!$R$2:$R$3000,"Yes")</f>
        <v>0</v>
      </c>
      <c r="BB342" s="24" t="n">
        <f aca="false">SUMIFS(Permissions!$O$2:$O$3000,Permissions!$B$2:$B$3000,$A342,Permissions!$R$2:$R$3000,"Yes")</f>
        <v>0</v>
      </c>
      <c r="BC342" s="27" t="str">
        <f aca="false">IF(AND(AM342&gt;0,AR342&gt;=AM342,AP342=0),"Finished",IF(AR342&gt;0,"Partly built",IF(AM342&gt;0,"Consented – not built","No consent")))</f>
        <v>Consented – not built</v>
      </c>
      <c r="BD342" s="28" t="str">
        <f aca="false">IF(AND(R342&lt;&gt;"",AM342&gt;1.1*R342),"Consented above capacity",IF(AND(LEFT(B342,8)="Planning",AZ342=0),"Consent parcel with no permission",IF(COUNTIF($A$2:$A$3000,$A342)&gt;1,"Duplicate parcel_id","")))</f>
        <v/>
      </c>
    </row>
    <row r="343" customFormat="false" ht="15" hidden="false" customHeight="false" outlineLevel="0" collapsed="false">
      <c r="A343" s="15" t="s">
        <v>794</v>
      </c>
      <c r="B343" s="15" t="s">
        <v>12</v>
      </c>
      <c r="C343" s="15" t="s">
        <v>17</v>
      </c>
      <c r="D343" s="15" t="s">
        <v>74</v>
      </c>
      <c r="E343" s="15" t="s">
        <v>21</v>
      </c>
      <c r="F343" s="15" t="n">
        <v>0.05</v>
      </c>
      <c r="G343" s="15" t="s">
        <v>158</v>
      </c>
      <c r="H343" s="15"/>
      <c r="I343" s="15" t="s">
        <v>346</v>
      </c>
      <c r="J343" s="15" t="s">
        <v>159</v>
      </c>
      <c r="K343" s="15" t="s">
        <v>795</v>
      </c>
      <c r="L343" s="15"/>
      <c r="M343" s="15"/>
      <c r="N343" s="15"/>
      <c r="O343" s="15"/>
      <c r="P343" s="15" t="n">
        <v>5.882</v>
      </c>
      <c r="Q343" s="15" t="n">
        <v>5.882</v>
      </c>
      <c r="R343" s="15"/>
      <c r="S343" s="15" t="s">
        <v>459</v>
      </c>
      <c r="T343" s="15" t="n">
        <v>147</v>
      </c>
      <c r="U343" s="15"/>
      <c r="V343" s="15"/>
      <c r="W343" s="15"/>
      <c r="X343" s="15" t="s">
        <v>353</v>
      </c>
      <c r="Y343" s="15" t="n">
        <v>25</v>
      </c>
      <c r="Z343" s="15" t="s">
        <v>354</v>
      </c>
      <c r="AA343" s="15"/>
      <c r="AB343" s="15" t="n">
        <v>0</v>
      </c>
      <c r="AC343" s="15" t="n">
        <v>0</v>
      </c>
      <c r="AD343" s="15"/>
      <c r="AE343" s="15"/>
      <c r="AF343" s="15" t="s">
        <v>169</v>
      </c>
      <c r="AG343" s="15"/>
      <c r="AH343" s="24" t="n">
        <f aca="false">IF(R343="",AM343,R343)</f>
        <v>103</v>
      </c>
      <c r="AI343" s="24" t="n">
        <f aca="false">SUMIFS(Permissions!$G$2:$G$3000,Permissions!$B$2:$B$3000,$A343,Permissions!$I$2:$I$3000,"Complete",Permissions!$R$2:$R$3000,"Yes")</f>
        <v>0</v>
      </c>
      <c r="AJ343" s="24" t="n">
        <f aca="false">SUMIFS(Permissions!$G$2:$G$3000,Permissions!$B$2:$B$3000,$A343,Permissions!$I$2:$I$3000,"Under construction",Permissions!$R$2:$R$3000,"Yes")</f>
        <v>0</v>
      </c>
      <c r="AK343" s="24" t="n">
        <f aca="false">SUMIFS(Permissions!$G$2:$G$3000,Permissions!$B$2:$B$3000,$A343,Permissions!$I$2:$I$3000,"Permitted – not started",Permissions!$R$2:$R$3000,"Yes")</f>
        <v>63</v>
      </c>
      <c r="AL343" s="24" t="n">
        <f aca="false">SUMIFS(Permissions!$G$2:$G$3000,Permissions!$B$2:$B$3000,$A343,Permissions!$I$2:$I$3000,"Stalled",Permissions!$R$2:$R$3000,"Yes")</f>
        <v>40</v>
      </c>
      <c r="AM343" s="24" t="n">
        <f aca="false">AI343+AJ343+AK343+AL343</f>
        <v>103</v>
      </c>
      <c r="AN343" s="24" t="n">
        <f aca="false">SUMIFS(Permissions!$G$2:$G$3000,Permissions!$B$2:$B$3000,$A343,Permissions!$I$2:$I$3000,"Expired – not started",Permissions!$R$2:$R$3000,"Yes")</f>
        <v>49</v>
      </c>
      <c r="AO343" s="24" t="n">
        <f aca="false">SUMIFS(Permissions!$G$2:$G$3000,Permissions!$B$2:$B$3000,$A343,Permissions!$I$2:$I$3000,"In planning",Permissions!$R$2:$R$3000,"Yes")</f>
        <v>0</v>
      </c>
      <c r="AP343" s="24" t="n">
        <f aca="false">IF(R343="",0,MAX(R343-AM343,0))</f>
        <v>0</v>
      </c>
      <c r="AQ343" s="25" t="n">
        <f aca="false">AM343+AP343</f>
        <v>103</v>
      </c>
      <c r="AR343" s="24" t="n">
        <f aca="false">SUMIFS(Permissions!$L$2:$L$3000,Permissions!$B$2:$B$3000,$A343,Permissions!$R$2:$R$3000,"Yes",Permissions!$I$2:$I$3000,"&lt;&gt;Expired – not started",Permissions!$I$2:$I$3000,"&lt;&gt;In planning")</f>
        <v>0</v>
      </c>
      <c r="AS343" s="24" t="n">
        <f aca="false">AQ343-AR343</f>
        <v>103</v>
      </c>
      <c r="AT343" s="26" t="n">
        <f aca="false">SUMIFS(Permissions!$AJ$2:$AJ$3000,Permissions!$B$2:$B$3000,$A343,Permissions!$R$2:$R$3000,"Yes")</f>
        <v>0</v>
      </c>
      <c r="AU343" s="26" t="n">
        <f aca="false">SUMIFS(Permissions!$AK$2:$AK$3000,Permissions!$B$2:$B$3000,$A343,Permissions!$R$2:$R$3000,"Yes")</f>
        <v>0</v>
      </c>
      <c r="AV343" s="26" t="n">
        <f aca="false">SUMIFS(Permissions!$AL$2:$AL$3000,Permissions!$B$2:$B$3000,$A343,Permissions!$R$2:$R$3000,"Yes")</f>
        <v>24.1</v>
      </c>
      <c r="AW343" s="26" t="n">
        <f aca="false">SUMIFS(Permissions!$AM$2:$AM$3000,Permissions!$B$2:$B$3000,$A343,Permissions!$R$2:$R$3000,"Yes")</f>
        <v>38.9</v>
      </c>
      <c r="AX343" s="26" t="n">
        <f aca="false">SUMIFS(Permissions!$AN$2:$AN$3000,Permissions!$B$2:$B$3000,$A343,Permissions!$R$2:$R$3000,"Yes")</f>
        <v>0</v>
      </c>
      <c r="AY343" s="26" t="n">
        <f aca="false">SUMIFS(Permissions!$AO$2:$AO$3000,Permissions!$B$2:$B$3000,$A343,Permissions!$R$2:$R$3000,"Yes")</f>
        <v>0</v>
      </c>
      <c r="AZ343" s="24" t="n">
        <f aca="false">COUNTIFS(Permissions!$B$2:$B$3000,$A343,Permissions!$R$2:$R$3000,"Yes")</f>
        <v>3</v>
      </c>
      <c r="BA343" s="24" t="n">
        <f aca="false">SUMIFS(Permissions!$M$2:$M$3000,Permissions!$B$2:$B$3000,$A343,Permissions!$R$2:$R$3000,"Yes")</f>
        <v>0</v>
      </c>
      <c r="BB343" s="24" t="n">
        <f aca="false">SUMIFS(Permissions!$O$2:$O$3000,Permissions!$B$2:$B$3000,$A343,Permissions!$R$2:$R$3000,"Yes")</f>
        <v>0</v>
      </c>
      <c r="BC343" s="27" t="str">
        <f aca="false">IF(AND(AM343&gt;0,AR343&gt;=AM343,AP343=0),"Finished",IF(AR343&gt;0,"Partly built",IF(AM343&gt;0,"Consented – not built","No consent")))</f>
        <v>Consented – not built</v>
      </c>
      <c r="BD343" s="28" t="str">
        <f aca="false">IF(AND(R343&lt;&gt;"",AM343&gt;1.1*R343),"Consented above capacity",IF(AND(LEFT(B343,8)="Planning",AZ343=0),"Consent parcel with no permission",IF(COUNTIF($A$2:$A$3000,$A343)&gt;1,"Duplicate parcel_id","")))</f>
        <v/>
      </c>
    </row>
    <row r="344" customFormat="false" ht="15" hidden="false" customHeight="false" outlineLevel="0" collapsed="false">
      <c r="A344" s="15" t="s">
        <v>796</v>
      </c>
      <c r="B344" s="15" t="s">
        <v>12</v>
      </c>
      <c r="C344" s="15" t="s">
        <v>17</v>
      </c>
      <c r="D344" s="15" t="s">
        <v>73</v>
      </c>
      <c r="E344" s="15" t="s">
        <v>21</v>
      </c>
      <c r="F344" s="15" t="n">
        <v>1</v>
      </c>
      <c r="G344" s="15" t="s">
        <v>158</v>
      </c>
      <c r="H344" s="15"/>
      <c r="I344" s="15" t="s">
        <v>346</v>
      </c>
      <c r="J344" s="15" t="s">
        <v>363</v>
      </c>
      <c r="K344" s="15" t="s">
        <v>797</v>
      </c>
      <c r="L344" s="15"/>
      <c r="M344" s="15"/>
      <c r="N344" s="15"/>
      <c r="O344" s="15"/>
      <c r="P344" s="15" t="n">
        <v>0.25</v>
      </c>
      <c r="Q344" s="15" t="n">
        <v>0.25</v>
      </c>
      <c r="R344" s="15"/>
      <c r="S344" s="15" t="s">
        <v>459</v>
      </c>
      <c r="T344" s="15" t="n">
        <v>6</v>
      </c>
      <c r="U344" s="15"/>
      <c r="V344" s="15"/>
      <c r="W344" s="15"/>
      <c r="X344" s="15" t="s">
        <v>353</v>
      </c>
      <c r="Y344" s="15" t="n">
        <v>25</v>
      </c>
      <c r="Z344" s="15" t="s">
        <v>354</v>
      </c>
      <c r="AA344" s="15"/>
      <c r="AB344" s="15" t="n">
        <v>2</v>
      </c>
      <c r="AC344" s="15" t="n">
        <v>0</v>
      </c>
      <c r="AD344" s="15"/>
      <c r="AE344" s="15"/>
      <c r="AF344" s="15" t="s">
        <v>169</v>
      </c>
      <c r="AG344" s="15"/>
      <c r="AH344" s="24" t="n">
        <f aca="false">IF(R344="",AM344,R344)</f>
        <v>4</v>
      </c>
      <c r="AI344" s="24" t="n">
        <f aca="false">SUMIFS(Permissions!$G$2:$G$3000,Permissions!$B$2:$B$3000,$A344,Permissions!$I$2:$I$3000,"Complete",Permissions!$R$2:$R$3000,"Yes")</f>
        <v>0</v>
      </c>
      <c r="AJ344" s="24" t="n">
        <f aca="false">SUMIFS(Permissions!$G$2:$G$3000,Permissions!$B$2:$B$3000,$A344,Permissions!$I$2:$I$3000,"Under construction",Permissions!$R$2:$R$3000,"Yes")</f>
        <v>4</v>
      </c>
      <c r="AK344" s="24" t="n">
        <f aca="false">SUMIFS(Permissions!$G$2:$G$3000,Permissions!$B$2:$B$3000,$A344,Permissions!$I$2:$I$3000,"Permitted – not started",Permissions!$R$2:$R$3000,"Yes")</f>
        <v>0</v>
      </c>
      <c r="AL344" s="24" t="n">
        <f aca="false">SUMIFS(Permissions!$G$2:$G$3000,Permissions!$B$2:$B$3000,$A344,Permissions!$I$2:$I$3000,"Stalled",Permissions!$R$2:$R$3000,"Yes")</f>
        <v>0</v>
      </c>
      <c r="AM344" s="24" t="n">
        <f aca="false">AI344+AJ344+AK344+AL344</f>
        <v>4</v>
      </c>
      <c r="AN344" s="24" t="n">
        <f aca="false">SUMIFS(Permissions!$G$2:$G$3000,Permissions!$B$2:$B$3000,$A344,Permissions!$I$2:$I$3000,"Expired – not started",Permissions!$R$2:$R$3000,"Yes")</f>
        <v>0</v>
      </c>
      <c r="AO344" s="24" t="n">
        <f aca="false">SUMIFS(Permissions!$G$2:$G$3000,Permissions!$B$2:$B$3000,$A344,Permissions!$I$2:$I$3000,"In planning",Permissions!$R$2:$R$3000,"Yes")</f>
        <v>0</v>
      </c>
      <c r="AP344" s="24" t="n">
        <f aca="false">IF(R344="",0,MAX(R344-AM344,0))</f>
        <v>0</v>
      </c>
      <c r="AQ344" s="25" t="n">
        <f aca="false">AM344+AP344</f>
        <v>4</v>
      </c>
      <c r="AR344" s="24" t="n">
        <f aca="false">SUMIFS(Permissions!$L$2:$L$3000,Permissions!$B$2:$B$3000,$A344,Permissions!$R$2:$R$3000,"Yes",Permissions!$I$2:$I$3000,"&lt;&gt;Expired – not started",Permissions!$I$2:$I$3000,"&lt;&gt;In planning")</f>
        <v>0</v>
      </c>
      <c r="AS344" s="24" t="n">
        <f aca="false">AQ344-AR344</f>
        <v>4</v>
      </c>
      <c r="AT344" s="26" t="n">
        <f aca="false">SUMIFS(Permissions!$AJ$2:$AJ$3000,Permissions!$B$2:$B$3000,$A344,Permissions!$R$2:$R$3000,"Yes")</f>
        <v>0</v>
      </c>
      <c r="AU344" s="26" t="n">
        <f aca="false">SUMIFS(Permissions!$AK$2:$AK$3000,Permissions!$B$2:$B$3000,$A344,Permissions!$R$2:$R$3000,"Yes")</f>
        <v>3.7</v>
      </c>
      <c r="AV344" s="26" t="n">
        <f aca="false">SUMIFS(Permissions!$AL$2:$AL$3000,Permissions!$B$2:$B$3000,$A344,Permissions!$R$2:$R$3000,"Yes")</f>
        <v>0.3</v>
      </c>
      <c r="AW344" s="26" t="n">
        <f aca="false">SUMIFS(Permissions!$AM$2:$AM$3000,Permissions!$B$2:$B$3000,$A344,Permissions!$R$2:$R$3000,"Yes")</f>
        <v>0</v>
      </c>
      <c r="AX344" s="26" t="n">
        <f aca="false">SUMIFS(Permissions!$AN$2:$AN$3000,Permissions!$B$2:$B$3000,$A344,Permissions!$R$2:$R$3000,"Yes")</f>
        <v>0</v>
      </c>
      <c r="AY344" s="26" t="n">
        <f aca="false">SUMIFS(Permissions!$AO$2:$AO$3000,Permissions!$B$2:$B$3000,$A344,Permissions!$R$2:$R$3000,"Yes")</f>
        <v>0</v>
      </c>
      <c r="AZ344" s="24" t="n">
        <f aca="false">COUNTIFS(Permissions!$B$2:$B$3000,$A344,Permissions!$R$2:$R$3000,"Yes")</f>
        <v>1</v>
      </c>
      <c r="BA344" s="24" t="n">
        <f aca="false">SUMIFS(Permissions!$M$2:$M$3000,Permissions!$B$2:$B$3000,$A344,Permissions!$R$2:$R$3000,"Yes")</f>
        <v>0</v>
      </c>
      <c r="BB344" s="24" t="n">
        <f aca="false">SUMIFS(Permissions!$O$2:$O$3000,Permissions!$B$2:$B$3000,$A344,Permissions!$R$2:$R$3000,"Yes")</f>
        <v>0</v>
      </c>
      <c r="BC344" s="27" t="str">
        <f aca="false">IF(AND(AM344&gt;0,AR344&gt;=AM344,AP344=0),"Finished",IF(AR344&gt;0,"Partly built",IF(AM344&gt;0,"Consented – not built","No consent")))</f>
        <v>Consented – not built</v>
      </c>
      <c r="BD344" s="28" t="str">
        <f aca="false">IF(AND(R344&lt;&gt;"",AM344&gt;1.1*R344),"Consented above capacity",IF(AND(LEFT(B344,8)="Planning",AZ344=0),"Consent parcel with no permission",IF(COUNTIF($A$2:$A$3000,$A344)&gt;1,"Duplicate parcel_id","")))</f>
        <v/>
      </c>
    </row>
    <row r="345" customFormat="false" ht="15" hidden="false" customHeight="false" outlineLevel="0" collapsed="false">
      <c r="A345" s="15" t="s">
        <v>798</v>
      </c>
      <c r="B345" s="15" t="s">
        <v>12</v>
      </c>
      <c r="C345" s="15" t="s">
        <v>17</v>
      </c>
      <c r="D345" s="15" t="s">
        <v>74</v>
      </c>
      <c r="E345" s="15" t="s">
        <v>21</v>
      </c>
      <c r="F345" s="15" t="n">
        <v>0.08</v>
      </c>
      <c r="G345" s="15" t="s">
        <v>158</v>
      </c>
      <c r="H345" s="15"/>
      <c r="I345" s="15" t="s">
        <v>346</v>
      </c>
      <c r="J345" s="15" t="s">
        <v>159</v>
      </c>
      <c r="K345" s="15" t="s">
        <v>799</v>
      </c>
      <c r="L345" s="15"/>
      <c r="M345" s="15"/>
      <c r="N345" s="15"/>
      <c r="O345" s="15"/>
      <c r="P345" s="15" t="n">
        <v>0.417</v>
      </c>
      <c r="Q345" s="15" t="n">
        <v>0.417</v>
      </c>
      <c r="R345" s="15"/>
      <c r="S345" s="15" t="s">
        <v>459</v>
      </c>
      <c r="T345" s="15" t="n">
        <v>10</v>
      </c>
      <c r="U345" s="15"/>
      <c r="V345" s="15"/>
      <c r="W345" s="15"/>
      <c r="X345" s="15" t="s">
        <v>353</v>
      </c>
      <c r="Y345" s="15" t="n">
        <v>25</v>
      </c>
      <c r="Z345" s="15" t="s">
        <v>354</v>
      </c>
      <c r="AA345" s="15"/>
      <c r="AB345" s="15" t="n">
        <v>0</v>
      </c>
      <c r="AC345" s="15" t="n">
        <v>0</v>
      </c>
      <c r="AD345" s="15"/>
      <c r="AE345" s="15"/>
      <c r="AF345" s="15" t="s">
        <v>169</v>
      </c>
      <c r="AG345" s="15"/>
      <c r="AH345" s="24" t="n">
        <f aca="false">IF(R345="",AM345,R345)</f>
        <v>6</v>
      </c>
      <c r="AI345" s="24" t="n">
        <f aca="false">SUMIFS(Permissions!$G$2:$G$3000,Permissions!$B$2:$B$3000,$A345,Permissions!$I$2:$I$3000,"Complete",Permissions!$R$2:$R$3000,"Yes")</f>
        <v>0</v>
      </c>
      <c r="AJ345" s="24" t="n">
        <f aca="false">SUMIFS(Permissions!$G$2:$G$3000,Permissions!$B$2:$B$3000,$A345,Permissions!$I$2:$I$3000,"Under construction",Permissions!$R$2:$R$3000,"Yes")</f>
        <v>0</v>
      </c>
      <c r="AK345" s="24" t="n">
        <f aca="false">SUMIFS(Permissions!$G$2:$G$3000,Permissions!$B$2:$B$3000,$A345,Permissions!$I$2:$I$3000,"Permitted – not started",Permissions!$R$2:$R$3000,"Yes")</f>
        <v>6</v>
      </c>
      <c r="AL345" s="24" t="n">
        <f aca="false">SUMIFS(Permissions!$G$2:$G$3000,Permissions!$B$2:$B$3000,$A345,Permissions!$I$2:$I$3000,"Stalled",Permissions!$R$2:$R$3000,"Yes")</f>
        <v>0</v>
      </c>
      <c r="AM345" s="24" t="n">
        <f aca="false">AI345+AJ345+AK345+AL345</f>
        <v>6</v>
      </c>
      <c r="AN345" s="24" t="n">
        <f aca="false">SUMIFS(Permissions!$G$2:$G$3000,Permissions!$B$2:$B$3000,$A345,Permissions!$I$2:$I$3000,"Expired – not started",Permissions!$R$2:$R$3000,"Yes")</f>
        <v>0</v>
      </c>
      <c r="AO345" s="24" t="n">
        <f aca="false">SUMIFS(Permissions!$G$2:$G$3000,Permissions!$B$2:$B$3000,$A345,Permissions!$I$2:$I$3000,"In planning",Permissions!$R$2:$R$3000,"Yes")</f>
        <v>0</v>
      </c>
      <c r="AP345" s="24" t="n">
        <f aca="false">IF(R345="",0,MAX(R345-AM345,0))</f>
        <v>0</v>
      </c>
      <c r="AQ345" s="25" t="n">
        <f aca="false">AM345+AP345</f>
        <v>6</v>
      </c>
      <c r="AR345" s="24" t="n">
        <f aca="false">SUMIFS(Permissions!$L$2:$L$3000,Permissions!$B$2:$B$3000,$A345,Permissions!$R$2:$R$3000,"Yes",Permissions!$I$2:$I$3000,"&lt;&gt;Expired – not started",Permissions!$I$2:$I$3000,"&lt;&gt;In planning")</f>
        <v>0</v>
      </c>
      <c r="AS345" s="24" t="n">
        <f aca="false">AQ345-AR345</f>
        <v>6</v>
      </c>
      <c r="AT345" s="26" t="n">
        <f aca="false">SUMIFS(Permissions!$AJ$2:$AJ$3000,Permissions!$B$2:$B$3000,$A345,Permissions!$R$2:$R$3000,"Yes")</f>
        <v>0</v>
      </c>
      <c r="AU345" s="26" t="n">
        <f aca="false">SUMIFS(Permissions!$AK$2:$AK$3000,Permissions!$B$2:$B$3000,$A345,Permissions!$R$2:$R$3000,"Yes")</f>
        <v>0</v>
      </c>
      <c r="AV345" s="26" t="n">
        <f aca="false">SUMIFS(Permissions!$AL$2:$AL$3000,Permissions!$B$2:$B$3000,$A345,Permissions!$R$2:$R$3000,"Yes")</f>
        <v>3.7</v>
      </c>
      <c r="AW345" s="26" t="n">
        <f aca="false">SUMIFS(Permissions!$AM$2:$AM$3000,Permissions!$B$2:$B$3000,$A345,Permissions!$R$2:$R$3000,"Yes")</f>
        <v>2.3</v>
      </c>
      <c r="AX345" s="26" t="n">
        <f aca="false">SUMIFS(Permissions!$AN$2:$AN$3000,Permissions!$B$2:$B$3000,$A345,Permissions!$R$2:$R$3000,"Yes")</f>
        <v>0</v>
      </c>
      <c r="AY345" s="26" t="n">
        <f aca="false">SUMIFS(Permissions!$AO$2:$AO$3000,Permissions!$B$2:$B$3000,$A345,Permissions!$R$2:$R$3000,"Yes")</f>
        <v>0</v>
      </c>
      <c r="AZ345" s="24" t="n">
        <f aca="false">COUNTIFS(Permissions!$B$2:$B$3000,$A345,Permissions!$R$2:$R$3000,"Yes")</f>
        <v>1</v>
      </c>
      <c r="BA345" s="24" t="n">
        <f aca="false">SUMIFS(Permissions!$M$2:$M$3000,Permissions!$B$2:$B$3000,$A345,Permissions!$R$2:$R$3000,"Yes")</f>
        <v>0</v>
      </c>
      <c r="BB345" s="24" t="n">
        <f aca="false">SUMIFS(Permissions!$O$2:$O$3000,Permissions!$B$2:$B$3000,$A345,Permissions!$R$2:$R$3000,"Yes")</f>
        <v>0</v>
      </c>
      <c r="BC345" s="27" t="str">
        <f aca="false">IF(AND(AM345&gt;0,AR345&gt;=AM345,AP345=0),"Finished",IF(AR345&gt;0,"Partly built",IF(AM345&gt;0,"Consented – not built","No consent")))</f>
        <v>Consented – not built</v>
      </c>
      <c r="BD345" s="28" t="str">
        <f aca="false">IF(AND(R345&lt;&gt;"",AM345&gt;1.1*R345),"Consented above capacity",IF(AND(LEFT(B345,8)="Planning",AZ345=0),"Consent parcel with no permission",IF(COUNTIF($A$2:$A$3000,$A345)&gt;1,"Duplicate parcel_id","")))</f>
        <v/>
      </c>
    </row>
    <row r="346" customFormat="false" ht="15" hidden="false" customHeight="false" outlineLevel="0" collapsed="false">
      <c r="A346" s="15" t="s">
        <v>800</v>
      </c>
      <c r="B346" s="15" t="s">
        <v>12</v>
      </c>
      <c r="C346" s="15" t="s">
        <v>17</v>
      </c>
      <c r="D346" s="15" t="s">
        <v>68</v>
      </c>
      <c r="E346" s="15" t="s">
        <v>21</v>
      </c>
      <c r="F346" s="15" t="n">
        <v>0.76</v>
      </c>
      <c r="G346" s="15" t="s">
        <v>158</v>
      </c>
      <c r="H346" s="15"/>
      <c r="I346" s="15" t="s">
        <v>346</v>
      </c>
      <c r="J346" s="15" t="s">
        <v>363</v>
      </c>
      <c r="K346" s="15" t="s">
        <v>801</v>
      </c>
      <c r="L346" s="15"/>
      <c r="M346" s="15"/>
      <c r="N346" s="15"/>
      <c r="O346" s="15"/>
      <c r="P346" s="15" t="n">
        <v>0.353</v>
      </c>
      <c r="Q346" s="15" t="n">
        <v>0.353</v>
      </c>
      <c r="R346" s="15"/>
      <c r="S346" s="15" t="s">
        <v>459</v>
      </c>
      <c r="T346" s="15" t="n">
        <v>9</v>
      </c>
      <c r="U346" s="15"/>
      <c r="V346" s="15"/>
      <c r="W346" s="15"/>
      <c r="X346" s="15" t="s">
        <v>353</v>
      </c>
      <c r="Y346" s="15" t="n">
        <v>25</v>
      </c>
      <c r="Z346" s="15" t="s">
        <v>354</v>
      </c>
      <c r="AA346" s="15"/>
      <c r="AB346" s="15" t="n">
        <v>0</v>
      </c>
      <c r="AC346" s="15" t="n">
        <v>0</v>
      </c>
      <c r="AD346" s="15"/>
      <c r="AE346" s="15"/>
      <c r="AF346" s="15" t="s">
        <v>169</v>
      </c>
      <c r="AG346" s="15"/>
      <c r="AH346" s="24" t="n">
        <f aca="false">IF(R346="",AM346,R346)</f>
        <v>8</v>
      </c>
      <c r="AI346" s="24" t="n">
        <f aca="false">SUMIFS(Permissions!$G$2:$G$3000,Permissions!$B$2:$B$3000,$A346,Permissions!$I$2:$I$3000,"Complete",Permissions!$R$2:$R$3000,"Yes")</f>
        <v>0</v>
      </c>
      <c r="AJ346" s="24" t="n">
        <f aca="false">SUMIFS(Permissions!$G$2:$G$3000,Permissions!$B$2:$B$3000,$A346,Permissions!$I$2:$I$3000,"Under construction",Permissions!$R$2:$R$3000,"Yes")</f>
        <v>0</v>
      </c>
      <c r="AK346" s="24" t="n">
        <f aca="false">SUMIFS(Permissions!$G$2:$G$3000,Permissions!$B$2:$B$3000,$A346,Permissions!$I$2:$I$3000,"Permitted – not started",Permissions!$R$2:$R$3000,"Yes")</f>
        <v>8</v>
      </c>
      <c r="AL346" s="24" t="n">
        <f aca="false">SUMIFS(Permissions!$G$2:$G$3000,Permissions!$B$2:$B$3000,$A346,Permissions!$I$2:$I$3000,"Stalled",Permissions!$R$2:$R$3000,"Yes")</f>
        <v>0</v>
      </c>
      <c r="AM346" s="24" t="n">
        <f aca="false">AI346+AJ346+AK346+AL346</f>
        <v>8</v>
      </c>
      <c r="AN346" s="24" t="n">
        <f aca="false">SUMIFS(Permissions!$G$2:$G$3000,Permissions!$B$2:$B$3000,$A346,Permissions!$I$2:$I$3000,"Expired – not started",Permissions!$R$2:$R$3000,"Yes")</f>
        <v>0</v>
      </c>
      <c r="AO346" s="24" t="n">
        <f aca="false">SUMIFS(Permissions!$G$2:$G$3000,Permissions!$B$2:$B$3000,$A346,Permissions!$I$2:$I$3000,"In planning",Permissions!$R$2:$R$3000,"Yes")</f>
        <v>0</v>
      </c>
      <c r="AP346" s="24" t="n">
        <f aca="false">IF(R346="",0,MAX(R346-AM346,0))</f>
        <v>0</v>
      </c>
      <c r="AQ346" s="25" t="n">
        <f aca="false">AM346+AP346</f>
        <v>8</v>
      </c>
      <c r="AR346" s="24" t="n">
        <f aca="false">SUMIFS(Permissions!$L$2:$L$3000,Permissions!$B$2:$B$3000,$A346,Permissions!$R$2:$R$3000,"Yes",Permissions!$I$2:$I$3000,"&lt;&gt;Expired – not started",Permissions!$I$2:$I$3000,"&lt;&gt;In planning")</f>
        <v>0</v>
      </c>
      <c r="AS346" s="24" t="n">
        <f aca="false">AQ346-AR346</f>
        <v>8</v>
      </c>
      <c r="AT346" s="26" t="n">
        <f aca="false">SUMIFS(Permissions!$AJ$2:$AJ$3000,Permissions!$B$2:$B$3000,$A346,Permissions!$R$2:$R$3000,"Yes")</f>
        <v>0</v>
      </c>
      <c r="AU346" s="26" t="n">
        <f aca="false">SUMIFS(Permissions!$AK$2:$AK$3000,Permissions!$B$2:$B$3000,$A346,Permissions!$R$2:$R$3000,"Yes")</f>
        <v>0</v>
      </c>
      <c r="AV346" s="26" t="n">
        <f aca="false">SUMIFS(Permissions!$AL$2:$AL$3000,Permissions!$B$2:$B$3000,$A346,Permissions!$R$2:$R$3000,"Yes")</f>
        <v>0.5</v>
      </c>
      <c r="AW346" s="26" t="n">
        <f aca="false">SUMIFS(Permissions!$AM$2:$AM$3000,Permissions!$B$2:$B$3000,$A346,Permissions!$R$2:$R$3000,"Yes")</f>
        <v>7.5</v>
      </c>
      <c r="AX346" s="26" t="n">
        <f aca="false">SUMIFS(Permissions!$AN$2:$AN$3000,Permissions!$B$2:$B$3000,$A346,Permissions!$R$2:$R$3000,"Yes")</f>
        <v>0</v>
      </c>
      <c r="AY346" s="26" t="n">
        <f aca="false">SUMIFS(Permissions!$AO$2:$AO$3000,Permissions!$B$2:$B$3000,$A346,Permissions!$R$2:$R$3000,"Yes")</f>
        <v>0</v>
      </c>
      <c r="AZ346" s="24" t="n">
        <f aca="false">COUNTIFS(Permissions!$B$2:$B$3000,$A346,Permissions!$R$2:$R$3000,"Yes")</f>
        <v>1</v>
      </c>
      <c r="BA346" s="24" t="n">
        <f aca="false">SUMIFS(Permissions!$M$2:$M$3000,Permissions!$B$2:$B$3000,$A346,Permissions!$R$2:$R$3000,"Yes")</f>
        <v>0</v>
      </c>
      <c r="BB346" s="24" t="n">
        <f aca="false">SUMIFS(Permissions!$O$2:$O$3000,Permissions!$B$2:$B$3000,$A346,Permissions!$R$2:$R$3000,"Yes")</f>
        <v>0</v>
      </c>
      <c r="BC346" s="27" t="str">
        <f aca="false">IF(AND(AM346&gt;0,AR346&gt;=AM346,AP346=0),"Finished",IF(AR346&gt;0,"Partly built",IF(AM346&gt;0,"Consented – not built","No consent")))</f>
        <v>Consented – not built</v>
      </c>
      <c r="BD346" s="28" t="str">
        <f aca="false">IF(AND(R346&lt;&gt;"",AM346&gt;1.1*R346),"Consented above capacity",IF(AND(LEFT(B346,8)="Planning",AZ346=0),"Consent parcel with no permission",IF(COUNTIF($A$2:$A$3000,$A346)&gt;1,"Duplicate parcel_id","")))</f>
        <v/>
      </c>
    </row>
    <row r="347" customFormat="false" ht="15" hidden="false" customHeight="false" outlineLevel="0" collapsed="false">
      <c r="A347" s="15" t="s">
        <v>802</v>
      </c>
      <c r="B347" s="15" t="s">
        <v>12</v>
      </c>
      <c r="C347" s="15" t="s">
        <v>17</v>
      </c>
      <c r="D347" s="15" t="s">
        <v>67</v>
      </c>
      <c r="E347" s="15" t="s">
        <v>21</v>
      </c>
      <c r="F347" s="15" t="n">
        <v>0</v>
      </c>
      <c r="G347" s="15" t="s">
        <v>362</v>
      </c>
      <c r="H347" s="15"/>
      <c r="I347" s="15" t="s">
        <v>346</v>
      </c>
      <c r="J347" s="15" t="s">
        <v>347</v>
      </c>
      <c r="K347" s="15" t="s">
        <v>803</v>
      </c>
      <c r="L347" s="15"/>
      <c r="M347" s="15"/>
      <c r="N347" s="15"/>
      <c r="O347" s="15"/>
      <c r="P347" s="15" t="n">
        <v>1.248</v>
      </c>
      <c r="Q347" s="15" t="n">
        <v>1.248</v>
      </c>
      <c r="R347" s="15"/>
      <c r="S347" s="15" t="s">
        <v>459</v>
      </c>
      <c r="T347" s="15" t="n">
        <v>31</v>
      </c>
      <c r="U347" s="15"/>
      <c r="V347" s="15"/>
      <c r="W347" s="15"/>
      <c r="X347" s="15" t="s">
        <v>353</v>
      </c>
      <c r="Y347" s="15" t="n">
        <v>25</v>
      </c>
      <c r="Z347" s="15" t="s">
        <v>354</v>
      </c>
      <c r="AA347" s="15"/>
      <c r="AB347" s="15" t="n">
        <v>0</v>
      </c>
      <c r="AC347" s="15" t="n">
        <v>0</v>
      </c>
      <c r="AD347" s="15"/>
      <c r="AE347" s="15"/>
      <c r="AF347" s="15" t="s">
        <v>169</v>
      </c>
      <c r="AG347" s="15"/>
      <c r="AH347" s="24" t="n">
        <f aca="false">IF(R347="",AM347,R347)</f>
        <v>10</v>
      </c>
      <c r="AI347" s="24" t="n">
        <f aca="false">SUMIFS(Permissions!$G$2:$G$3000,Permissions!$B$2:$B$3000,$A347,Permissions!$I$2:$I$3000,"Complete",Permissions!$R$2:$R$3000,"Yes")</f>
        <v>0</v>
      </c>
      <c r="AJ347" s="24" t="n">
        <f aca="false">SUMIFS(Permissions!$G$2:$G$3000,Permissions!$B$2:$B$3000,$A347,Permissions!$I$2:$I$3000,"Under construction",Permissions!$R$2:$R$3000,"Yes")</f>
        <v>10</v>
      </c>
      <c r="AK347" s="24" t="n">
        <f aca="false">SUMIFS(Permissions!$G$2:$G$3000,Permissions!$B$2:$B$3000,$A347,Permissions!$I$2:$I$3000,"Permitted – not started",Permissions!$R$2:$R$3000,"Yes")</f>
        <v>0</v>
      </c>
      <c r="AL347" s="24" t="n">
        <f aca="false">SUMIFS(Permissions!$G$2:$G$3000,Permissions!$B$2:$B$3000,$A347,Permissions!$I$2:$I$3000,"Stalled",Permissions!$R$2:$R$3000,"Yes")</f>
        <v>0</v>
      </c>
      <c r="AM347" s="24" t="n">
        <f aca="false">AI347+AJ347+AK347+AL347</f>
        <v>10</v>
      </c>
      <c r="AN347" s="24" t="n">
        <f aca="false">SUMIFS(Permissions!$G$2:$G$3000,Permissions!$B$2:$B$3000,$A347,Permissions!$I$2:$I$3000,"Expired – not started",Permissions!$R$2:$R$3000,"Yes")</f>
        <v>0</v>
      </c>
      <c r="AO347" s="24" t="n">
        <f aca="false">SUMIFS(Permissions!$G$2:$G$3000,Permissions!$B$2:$B$3000,$A347,Permissions!$I$2:$I$3000,"In planning",Permissions!$R$2:$R$3000,"Yes")</f>
        <v>0</v>
      </c>
      <c r="AP347" s="24" t="n">
        <f aca="false">IF(R347="",0,MAX(R347-AM347,0))</f>
        <v>0</v>
      </c>
      <c r="AQ347" s="25" t="n">
        <f aca="false">AM347+AP347</f>
        <v>10</v>
      </c>
      <c r="AR347" s="24" t="n">
        <f aca="false">SUMIFS(Permissions!$L$2:$L$3000,Permissions!$B$2:$B$3000,$A347,Permissions!$R$2:$R$3000,"Yes",Permissions!$I$2:$I$3000,"&lt;&gt;Expired – not started",Permissions!$I$2:$I$3000,"&lt;&gt;In planning")</f>
        <v>0</v>
      </c>
      <c r="AS347" s="24" t="n">
        <f aca="false">AQ347-AR347</f>
        <v>10</v>
      </c>
      <c r="AT347" s="26" t="n">
        <f aca="false">SUMIFS(Permissions!$AJ$2:$AJ$3000,Permissions!$B$2:$B$3000,$A347,Permissions!$R$2:$R$3000,"Yes")</f>
        <v>0</v>
      </c>
      <c r="AU347" s="26" t="n">
        <f aca="false">SUMIFS(Permissions!$AK$2:$AK$3000,Permissions!$B$2:$B$3000,$A347,Permissions!$R$2:$R$3000,"Yes")</f>
        <v>6.9</v>
      </c>
      <c r="AV347" s="26" t="n">
        <f aca="false">SUMIFS(Permissions!$AL$2:$AL$3000,Permissions!$B$2:$B$3000,$A347,Permissions!$R$2:$R$3000,"Yes")</f>
        <v>3.1</v>
      </c>
      <c r="AW347" s="26" t="n">
        <f aca="false">SUMIFS(Permissions!$AM$2:$AM$3000,Permissions!$B$2:$B$3000,$A347,Permissions!$R$2:$R$3000,"Yes")</f>
        <v>0</v>
      </c>
      <c r="AX347" s="26" t="n">
        <f aca="false">SUMIFS(Permissions!$AN$2:$AN$3000,Permissions!$B$2:$B$3000,$A347,Permissions!$R$2:$R$3000,"Yes")</f>
        <v>0</v>
      </c>
      <c r="AY347" s="26" t="n">
        <f aca="false">SUMIFS(Permissions!$AO$2:$AO$3000,Permissions!$B$2:$B$3000,$A347,Permissions!$R$2:$R$3000,"Yes")</f>
        <v>0</v>
      </c>
      <c r="AZ347" s="24" t="n">
        <f aca="false">COUNTIFS(Permissions!$B$2:$B$3000,$A347,Permissions!$R$2:$R$3000,"Yes")</f>
        <v>1</v>
      </c>
      <c r="BA347" s="24" t="n">
        <f aca="false">SUMIFS(Permissions!$M$2:$M$3000,Permissions!$B$2:$B$3000,$A347,Permissions!$R$2:$R$3000,"Yes")</f>
        <v>0</v>
      </c>
      <c r="BB347" s="24" t="n">
        <f aca="false">SUMIFS(Permissions!$O$2:$O$3000,Permissions!$B$2:$B$3000,$A347,Permissions!$R$2:$R$3000,"Yes")</f>
        <v>0</v>
      </c>
      <c r="BC347" s="27" t="str">
        <f aca="false">IF(AND(AM347&gt;0,AR347&gt;=AM347,AP347=0),"Finished",IF(AR347&gt;0,"Partly built",IF(AM347&gt;0,"Consented – not built","No consent")))</f>
        <v>Consented – not built</v>
      </c>
      <c r="BD347" s="28" t="str">
        <f aca="false">IF(AND(R347&lt;&gt;"",AM347&gt;1.1*R347),"Consented above capacity",IF(AND(LEFT(B347,8)="Planning",AZ347=0),"Consent parcel with no permission",IF(COUNTIF($A$2:$A$3000,$A347)&gt;1,"Duplicate parcel_id","")))</f>
        <v/>
      </c>
    </row>
    <row r="348" customFormat="false" ht="15" hidden="false" customHeight="false" outlineLevel="0" collapsed="false">
      <c r="A348" s="15" t="s">
        <v>804</v>
      </c>
      <c r="B348" s="15" t="s">
        <v>12</v>
      </c>
      <c r="C348" s="15" t="s">
        <v>17</v>
      </c>
      <c r="D348" s="15" t="s">
        <v>64</v>
      </c>
      <c r="E348" s="15" t="s">
        <v>20</v>
      </c>
      <c r="F348" s="15" t="n">
        <v>1</v>
      </c>
      <c r="G348" s="15" t="s">
        <v>158</v>
      </c>
      <c r="H348" s="15"/>
      <c r="I348" s="15" t="s">
        <v>346</v>
      </c>
      <c r="J348" s="15" t="s">
        <v>390</v>
      </c>
      <c r="K348" s="15" t="s">
        <v>805</v>
      </c>
      <c r="L348" s="15"/>
      <c r="M348" s="15"/>
      <c r="N348" s="15"/>
      <c r="O348" s="15"/>
      <c r="P348" s="15" t="n">
        <v>0.081</v>
      </c>
      <c r="Q348" s="15" t="n">
        <v>0.081</v>
      </c>
      <c r="R348" s="15"/>
      <c r="S348" s="15" t="s">
        <v>459</v>
      </c>
      <c r="T348" s="15" t="n">
        <v>2</v>
      </c>
      <c r="U348" s="15"/>
      <c r="V348" s="15"/>
      <c r="W348" s="15"/>
      <c r="X348" s="15" t="s">
        <v>353</v>
      </c>
      <c r="Y348" s="15" t="n">
        <v>25</v>
      </c>
      <c r="Z348" s="15" t="s">
        <v>354</v>
      </c>
      <c r="AA348" s="15"/>
      <c r="AB348" s="15" t="n">
        <v>1</v>
      </c>
      <c r="AC348" s="15" t="n">
        <v>0</v>
      </c>
      <c r="AD348" s="15"/>
      <c r="AE348" s="15"/>
      <c r="AF348" s="15" t="s">
        <v>169</v>
      </c>
      <c r="AG348" s="15"/>
      <c r="AH348" s="24" t="n">
        <f aca="false">IF(R348="",AM348,R348)</f>
        <v>10</v>
      </c>
      <c r="AI348" s="24" t="n">
        <f aca="false">SUMIFS(Permissions!$G$2:$G$3000,Permissions!$B$2:$B$3000,$A348,Permissions!$I$2:$I$3000,"Complete",Permissions!$R$2:$R$3000,"Yes")</f>
        <v>0</v>
      </c>
      <c r="AJ348" s="24" t="n">
        <f aca="false">SUMIFS(Permissions!$G$2:$G$3000,Permissions!$B$2:$B$3000,$A348,Permissions!$I$2:$I$3000,"Under construction",Permissions!$R$2:$R$3000,"Yes")</f>
        <v>0</v>
      </c>
      <c r="AK348" s="24" t="n">
        <f aca="false">SUMIFS(Permissions!$G$2:$G$3000,Permissions!$B$2:$B$3000,$A348,Permissions!$I$2:$I$3000,"Permitted – not started",Permissions!$R$2:$R$3000,"Yes")</f>
        <v>10</v>
      </c>
      <c r="AL348" s="24" t="n">
        <f aca="false">SUMIFS(Permissions!$G$2:$G$3000,Permissions!$B$2:$B$3000,$A348,Permissions!$I$2:$I$3000,"Stalled",Permissions!$R$2:$R$3000,"Yes")</f>
        <v>0</v>
      </c>
      <c r="AM348" s="24" t="n">
        <f aca="false">AI348+AJ348+AK348+AL348</f>
        <v>10</v>
      </c>
      <c r="AN348" s="24" t="n">
        <f aca="false">SUMIFS(Permissions!$G$2:$G$3000,Permissions!$B$2:$B$3000,$A348,Permissions!$I$2:$I$3000,"Expired – not started",Permissions!$R$2:$R$3000,"Yes")</f>
        <v>0</v>
      </c>
      <c r="AO348" s="24" t="n">
        <f aca="false">SUMIFS(Permissions!$G$2:$G$3000,Permissions!$B$2:$B$3000,$A348,Permissions!$I$2:$I$3000,"In planning",Permissions!$R$2:$R$3000,"Yes")</f>
        <v>0</v>
      </c>
      <c r="AP348" s="24" t="n">
        <f aca="false">IF(R348="",0,MAX(R348-AM348,0))</f>
        <v>0</v>
      </c>
      <c r="AQ348" s="25" t="n">
        <f aca="false">AM348+AP348</f>
        <v>10</v>
      </c>
      <c r="AR348" s="24" t="n">
        <f aca="false">SUMIFS(Permissions!$L$2:$L$3000,Permissions!$B$2:$B$3000,$A348,Permissions!$R$2:$R$3000,"Yes",Permissions!$I$2:$I$3000,"&lt;&gt;Expired – not started",Permissions!$I$2:$I$3000,"&lt;&gt;In planning")</f>
        <v>0</v>
      </c>
      <c r="AS348" s="24" t="n">
        <f aca="false">AQ348-AR348</f>
        <v>10</v>
      </c>
      <c r="AT348" s="26" t="n">
        <f aca="false">SUMIFS(Permissions!$AJ$2:$AJ$3000,Permissions!$B$2:$B$3000,$A348,Permissions!$R$2:$R$3000,"Yes")</f>
        <v>0</v>
      </c>
      <c r="AU348" s="26" t="n">
        <f aca="false">SUMIFS(Permissions!$AK$2:$AK$3000,Permissions!$B$2:$B$3000,$A348,Permissions!$R$2:$R$3000,"Yes")</f>
        <v>0</v>
      </c>
      <c r="AV348" s="26" t="n">
        <f aca="false">SUMIFS(Permissions!$AL$2:$AL$3000,Permissions!$B$2:$B$3000,$A348,Permissions!$R$2:$R$3000,"Yes")</f>
        <v>8.4</v>
      </c>
      <c r="AW348" s="26" t="n">
        <f aca="false">SUMIFS(Permissions!$AM$2:$AM$3000,Permissions!$B$2:$B$3000,$A348,Permissions!$R$2:$R$3000,"Yes")</f>
        <v>1.6</v>
      </c>
      <c r="AX348" s="26" t="n">
        <f aca="false">SUMIFS(Permissions!$AN$2:$AN$3000,Permissions!$B$2:$B$3000,$A348,Permissions!$R$2:$R$3000,"Yes")</f>
        <v>0</v>
      </c>
      <c r="AY348" s="26" t="n">
        <f aca="false">SUMIFS(Permissions!$AO$2:$AO$3000,Permissions!$B$2:$B$3000,$A348,Permissions!$R$2:$R$3000,"Yes")</f>
        <v>0</v>
      </c>
      <c r="AZ348" s="24" t="n">
        <f aca="false">COUNTIFS(Permissions!$B$2:$B$3000,$A348,Permissions!$R$2:$R$3000,"Yes")</f>
        <v>1</v>
      </c>
      <c r="BA348" s="24" t="n">
        <f aca="false">SUMIFS(Permissions!$M$2:$M$3000,Permissions!$B$2:$B$3000,$A348,Permissions!$R$2:$R$3000,"Yes")</f>
        <v>0</v>
      </c>
      <c r="BB348" s="24" t="n">
        <f aca="false">SUMIFS(Permissions!$O$2:$O$3000,Permissions!$B$2:$B$3000,$A348,Permissions!$R$2:$R$3000,"Yes")</f>
        <v>0</v>
      </c>
      <c r="BC348" s="27" t="str">
        <f aca="false">IF(AND(AM348&gt;0,AR348&gt;=AM348,AP348=0),"Finished",IF(AR348&gt;0,"Partly built",IF(AM348&gt;0,"Consented – not built","No consent")))</f>
        <v>Consented – not built</v>
      </c>
      <c r="BD348" s="28" t="str">
        <f aca="false">IF(AND(R348&lt;&gt;"",AM348&gt;1.1*R348),"Consented above capacity",IF(AND(LEFT(B348,8)="Planning",AZ348=0),"Consent parcel with no permission",IF(COUNTIF($A$2:$A$3000,$A348)&gt;1,"Duplicate parcel_id","")))</f>
        <v/>
      </c>
    </row>
    <row r="349" customFormat="false" ht="15" hidden="false" customHeight="false" outlineLevel="0" collapsed="false">
      <c r="A349" s="15" t="s">
        <v>806</v>
      </c>
      <c r="B349" s="15" t="s">
        <v>12</v>
      </c>
      <c r="C349" s="15" t="s">
        <v>17</v>
      </c>
      <c r="D349" s="15" t="s">
        <v>74</v>
      </c>
      <c r="E349" s="15" t="s">
        <v>21</v>
      </c>
      <c r="F349" s="15" t="n">
        <v>0</v>
      </c>
      <c r="G349" s="15" t="s">
        <v>362</v>
      </c>
      <c r="H349" s="15"/>
      <c r="I349" s="15" t="s">
        <v>346</v>
      </c>
      <c r="J349" s="15" t="s">
        <v>159</v>
      </c>
      <c r="K349" s="15" t="s">
        <v>807</v>
      </c>
      <c r="L349" s="15"/>
      <c r="M349" s="15"/>
      <c r="N349" s="15"/>
      <c r="O349" s="15"/>
      <c r="P349" s="15" t="n">
        <v>5.848</v>
      </c>
      <c r="Q349" s="15" t="n">
        <v>5.848</v>
      </c>
      <c r="R349" s="15"/>
      <c r="S349" s="15" t="s">
        <v>459</v>
      </c>
      <c r="T349" s="15" t="n">
        <v>146</v>
      </c>
      <c r="U349" s="15"/>
      <c r="V349" s="15"/>
      <c r="W349" s="15"/>
      <c r="X349" s="15" t="s">
        <v>353</v>
      </c>
      <c r="Y349" s="15" t="n">
        <v>25</v>
      </c>
      <c r="Z349" s="15" t="s">
        <v>354</v>
      </c>
      <c r="AA349" s="15"/>
      <c r="AB349" s="15" t="n">
        <v>0</v>
      </c>
      <c r="AC349" s="15" t="n">
        <v>0</v>
      </c>
      <c r="AD349" s="15"/>
      <c r="AE349" s="15"/>
      <c r="AF349" s="15" t="s">
        <v>169</v>
      </c>
      <c r="AG349" s="15"/>
      <c r="AH349" s="24" t="n">
        <f aca="false">IF(R349="",AM349,R349)</f>
        <v>90</v>
      </c>
      <c r="AI349" s="24" t="n">
        <f aca="false">SUMIFS(Permissions!$G$2:$G$3000,Permissions!$B$2:$B$3000,$A349,Permissions!$I$2:$I$3000,"Complete",Permissions!$R$2:$R$3000,"Yes")</f>
        <v>0</v>
      </c>
      <c r="AJ349" s="24" t="n">
        <f aca="false">SUMIFS(Permissions!$G$2:$G$3000,Permissions!$B$2:$B$3000,$A349,Permissions!$I$2:$I$3000,"Under construction",Permissions!$R$2:$R$3000,"Yes")</f>
        <v>90</v>
      </c>
      <c r="AK349" s="24" t="n">
        <f aca="false">SUMIFS(Permissions!$G$2:$G$3000,Permissions!$B$2:$B$3000,$A349,Permissions!$I$2:$I$3000,"Permitted – not started",Permissions!$R$2:$R$3000,"Yes")</f>
        <v>0</v>
      </c>
      <c r="AL349" s="24" t="n">
        <f aca="false">SUMIFS(Permissions!$G$2:$G$3000,Permissions!$B$2:$B$3000,$A349,Permissions!$I$2:$I$3000,"Stalled",Permissions!$R$2:$R$3000,"Yes")</f>
        <v>0</v>
      </c>
      <c r="AM349" s="24" t="n">
        <f aca="false">AI349+AJ349+AK349+AL349</f>
        <v>90</v>
      </c>
      <c r="AN349" s="24" t="n">
        <f aca="false">SUMIFS(Permissions!$G$2:$G$3000,Permissions!$B$2:$B$3000,$A349,Permissions!$I$2:$I$3000,"Expired – not started",Permissions!$R$2:$R$3000,"Yes")</f>
        <v>0</v>
      </c>
      <c r="AO349" s="24" t="n">
        <f aca="false">SUMIFS(Permissions!$G$2:$G$3000,Permissions!$B$2:$B$3000,$A349,Permissions!$I$2:$I$3000,"In planning",Permissions!$R$2:$R$3000,"Yes")</f>
        <v>0</v>
      </c>
      <c r="AP349" s="24" t="n">
        <f aca="false">IF(R349="",0,MAX(R349-AM349,0))</f>
        <v>0</v>
      </c>
      <c r="AQ349" s="25" t="n">
        <f aca="false">AM349+AP349</f>
        <v>90</v>
      </c>
      <c r="AR349" s="24" t="n">
        <f aca="false">SUMIFS(Permissions!$L$2:$L$3000,Permissions!$B$2:$B$3000,$A349,Permissions!$R$2:$R$3000,"Yes",Permissions!$I$2:$I$3000,"&lt;&gt;Expired – not started",Permissions!$I$2:$I$3000,"&lt;&gt;In planning")</f>
        <v>0</v>
      </c>
      <c r="AS349" s="24" t="n">
        <f aca="false">AQ349-AR349</f>
        <v>90</v>
      </c>
      <c r="AT349" s="26" t="n">
        <f aca="false">SUMIFS(Permissions!$AJ$2:$AJ$3000,Permissions!$B$2:$B$3000,$A349,Permissions!$R$2:$R$3000,"Yes")</f>
        <v>8.4</v>
      </c>
      <c r="AU349" s="26" t="n">
        <f aca="false">SUMIFS(Permissions!$AK$2:$AK$3000,Permissions!$B$2:$B$3000,$A349,Permissions!$R$2:$R$3000,"Yes")</f>
        <v>47.7</v>
      </c>
      <c r="AV349" s="26" t="n">
        <f aca="false">SUMIFS(Permissions!$AL$2:$AL$3000,Permissions!$B$2:$B$3000,$A349,Permissions!$R$2:$R$3000,"Yes")</f>
        <v>33.9</v>
      </c>
      <c r="AW349" s="26" t="n">
        <f aca="false">SUMIFS(Permissions!$AM$2:$AM$3000,Permissions!$B$2:$B$3000,$A349,Permissions!$R$2:$R$3000,"Yes")</f>
        <v>0</v>
      </c>
      <c r="AX349" s="26" t="n">
        <f aca="false">SUMIFS(Permissions!$AN$2:$AN$3000,Permissions!$B$2:$B$3000,$A349,Permissions!$R$2:$R$3000,"Yes")</f>
        <v>0</v>
      </c>
      <c r="AY349" s="26" t="n">
        <f aca="false">SUMIFS(Permissions!$AO$2:$AO$3000,Permissions!$B$2:$B$3000,$A349,Permissions!$R$2:$R$3000,"Yes")</f>
        <v>0</v>
      </c>
      <c r="AZ349" s="24" t="n">
        <f aca="false">COUNTIFS(Permissions!$B$2:$B$3000,$A349,Permissions!$R$2:$R$3000,"Yes")</f>
        <v>2</v>
      </c>
      <c r="BA349" s="24" t="n">
        <f aca="false">SUMIFS(Permissions!$M$2:$M$3000,Permissions!$B$2:$B$3000,$A349,Permissions!$R$2:$R$3000,"Yes")</f>
        <v>0</v>
      </c>
      <c r="BB349" s="24" t="n">
        <f aca="false">SUMIFS(Permissions!$O$2:$O$3000,Permissions!$B$2:$B$3000,$A349,Permissions!$R$2:$R$3000,"Yes")</f>
        <v>0</v>
      </c>
      <c r="BC349" s="27" t="str">
        <f aca="false">IF(AND(AM349&gt;0,AR349&gt;=AM349,AP349=0),"Finished",IF(AR349&gt;0,"Partly built",IF(AM349&gt;0,"Consented – not built","No consent")))</f>
        <v>Consented – not built</v>
      </c>
      <c r="BD349" s="28" t="str">
        <f aca="false">IF(AND(R349&lt;&gt;"",AM349&gt;1.1*R349),"Consented above capacity",IF(AND(LEFT(B349,8)="Planning",AZ349=0),"Consent parcel with no permission",IF(COUNTIF($A$2:$A$3000,$A349)&gt;1,"Duplicate parcel_id","")))</f>
        <v/>
      </c>
    </row>
    <row r="350" customFormat="false" ht="15" hidden="false" customHeight="false" outlineLevel="0" collapsed="false">
      <c r="A350" s="15" t="s">
        <v>808</v>
      </c>
      <c r="B350" s="15" t="s">
        <v>12</v>
      </c>
      <c r="C350" s="15" t="s">
        <v>17</v>
      </c>
      <c r="D350" s="15" t="s">
        <v>60</v>
      </c>
      <c r="E350" s="15" t="s">
        <v>20</v>
      </c>
      <c r="F350" s="15" t="n">
        <v>0.84</v>
      </c>
      <c r="G350" s="15" t="s">
        <v>158</v>
      </c>
      <c r="H350" s="15"/>
      <c r="I350" s="15" t="s">
        <v>346</v>
      </c>
      <c r="J350" s="15" t="s">
        <v>390</v>
      </c>
      <c r="K350" s="15" t="s">
        <v>809</v>
      </c>
      <c r="L350" s="15"/>
      <c r="M350" s="15"/>
      <c r="N350" s="15"/>
      <c r="O350" s="15"/>
      <c r="P350" s="15" t="n">
        <v>0.56</v>
      </c>
      <c r="Q350" s="15" t="n">
        <v>0.56</v>
      </c>
      <c r="R350" s="15"/>
      <c r="S350" s="15" t="s">
        <v>459</v>
      </c>
      <c r="T350" s="15" t="n">
        <v>14</v>
      </c>
      <c r="U350" s="15"/>
      <c r="V350" s="15"/>
      <c r="W350" s="15"/>
      <c r="X350" s="15" t="s">
        <v>353</v>
      </c>
      <c r="Y350" s="15" t="n">
        <v>25</v>
      </c>
      <c r="Z350" s="15" t="s">
        <v>354</v>
      </c>
      <c r="AA350" s="15"/>
      <c r="AB350" s="15" t="n">
        <v>0</v>
      </c>
      <c r="AC350" s="15" t="n">
        <v>0</v>
      </c>
      <c r="AD350" s="15"/>
      <c r="AE350" s="15"/>
      <c r="AF350" s="15" t="s">
        <v>169</v>
      </c>
      <c r="AG350" s="15"/>
      <c r="AH350" s="24" t="n">
        <f aca="false">IF(R350="",AM350,R350)</f>
        <v>12</v>
      </c>
      <c r="AI350" s="24" t="n">
        <f aca="false">SUMIFS(Permissions!$G$2:$G$3000,Permissions!$B$2:$B$3000,$A350,Permissions!$I$2:$I$3000,"Complete",Permissions!$R$2:$R$3000,"Yes")</f>
        <v>0</v>
      </c>
      <c r="AJ350" s="24" t="n">
        <f aca="false">SUMIFS(Permissions!$G$2:$G$3000,Permissions!$B$2:$B$3000,$A350,Permissions!$I$2:$I$3000,"Under construction",Permissions!$R$2:$R$3000,"Yes")</f>
        <v>0</v>
      </c>
      <c r="AK350" s="24" t="n">
        <f aca="false">SUMIFS(Permissions!$G$2:$G$3000,Permissions!$B$2:$B$3000,$A350,Permissions!$I$2:$I$3000,"Permitted – not started",Permissions!$R$2:$R$3000,"Yes")</f>
        <v>12</v>
      </c>
      <c r="AL350" s="24" t="n">
        <f aca="false">SUMIFS(Permissions!$G$2:$G$3000,Permissions!$B$2:$B$3000,$A350,Permissions!$I$2:$I$3000,"Stalled",Permissions!$R$2:$R$3000,"Yes")</f>
        <v>0</v>
      </c>
      <c r="AM350" s="24" t="n">
        <f aca="false">AI350+AJ350+AK350+AL350</f>
        <v>12</v>
      </c>
      <c r="AN350" s="24" t="n">
        <f aca="false">SUMIFS(Permissions!$G$2:$G$3000,Permissions!$B$2:$B$3000,$A350,Permissions!$I$2:$I$3000,"Expired – not started",Permissions!$R$2:$R$3000,"Yes")</f>
        <v>0</v>
      </c>
      <c r="AO350" s="24" t="n">
        <f aca="false">SUMIFS(Permissions!$G$2:$G$3000,Permissions!$B$2:$B$3000,$A350,Permissions!$I$2:$I$3000,"In planning",Permissions!$R$2:$R$3000,"Yes")</f>
        <v>0</v>
      </c>
      <c r="AP350" s="24" t="n">
        <f aca="false">IF(R350="",0,MAX(R350-AM350,0))</f>
        <v>0</v>
      </c>
      <c r="AQ350" s="25" t="n">
        <f aca="false">AM350+AP350</f>
        <v>12</v>
      </c>
      <c r="AR350" s="24" t="n">
        <f aca="false">SUMIFS(Permissions!$L$2:$L$3000,Permissions!$B$2:$B$3000,$A350,Permissions!$R$2:$R$3000,"Yes",Permissions!$I$2:$I$3000,"&lt;&gt;Expired – not started",Permissions!$I$2:$I$3000,"&lt;&gt;In planning")</f>
        <v>0</v>
      </c>
      <c r="AS350" s="24" t="n">
        <f aca="false">AQ350-AR350</f>
        <v>12</v>
      </c>
      <c r="AT350" s="26" t="n">
        <f aca="false">SUMIFS(Permissions!$AJ$2:$AJ$3000,Permissions!$B$2:$B$3000,$A350,Permissions!$R$2:$R$3000,"Yes")</f>
        <v>0</v>
      </c>
      <c r="AU350" s="26" t="n">
        <f aca="false">SUMIFS(Permissions!$AK$2:$AK$3000,Permissions!$B$2:$B$3000,$A350,Permissions!$R$2:$R$3000,"Yes")</f>
        <v>0</v>
      </c>
      <c r="AV350" s="26" t="n">
        <f aca="false">SUMIFS(Permissions!$AL$2:$AL$3000,Permissions!$B$2:$B$3000,$A350,Permissions!$R$2:$R$3000,"Yes")</f>
        <v>0</v>
      </c>
      <c r="AW350" s="26" t="n">
        <f aca="false">SUMIFS(Permissions!$AM$2:$AM$3000,Permissions!$B$2:$B$3000,$A350,Permissions!$R$2:$R$3000,"Yes")</f>
        <v>11.3</v>
      </c>
      <c r="AX350" s="26" t="n">
        <f aca="false">SUMIFS(Permissions!$AN$2:$AN$3000,Permissions!$B$2:$B$3000,$A350,Permissions!$R$2:$R$3000,"Yes")</f>
        <v>0.7</v>
      </c>
      <c r="AY350" s="26" t="n">
        <f aca="false">SUMIFS(Permissions!$AO$2:$AO$3000,Permissions!$B$2:$B$3000,$A350,Permissions!$R$2:$R$3000,"Yes")</f>
        <v>0</v>
      </c>
      <c r="AZ350" s="24" t="n">
        <f aca="false">COUNTIFS(Permissions!$B$2:$B$3000,$A350,Permissions!$R$2:$R$3000,"Yes")</f>
        <v>1</v>
      </c>
      <c r="BA350" s="24" t="n">
        <f aca="false">SUMIFS(Permissions!$M$2:$M$3000,Permissions!$B$2:$B$3000,$A350,Permissions!$R$2:$R$3000,"Yes")</f>
        <v>0</v>
      </c>
      <c r="BB350" s="24" t="n">
        <f aca="false">SUMIFS(Permissions!$O$2:$O$3000,Permissions!$B$2:$B$3000,$A350,Permissions!$R$2:$R$3000,"Yes")</f>
        <v>0</v>
      </c>
      <c r="BC350" s="27" t="str">
        <f aca="false">IF(AND(AM350&gt;0,AR350&gt;=AM350,AP350=0),"Finished",IF(AR350&gt;0,"Partly built",IF(AM350&gt;0,"Consented – not built","No consent")))</f>
        <v>Consented – not built</v>
      </c>
      <c r="BD350" s="28" t="str">
        <f aca="false">IF(AND(R350&lt;&gt;"",AM350&gt;1.1*R350),"Consented above capacity",IF(AND(LEFT(B350,8)="Planning",AZ350=0),"Consent parcel with no permission",IF(COUNTIF($A$2:$A$3000,$A350)&gt;1,"Duplicate parcel_id","")))</f>
        <v/>
      </c>
    </row>
    <row r="351" customFormat="false" ht="15" hidden="false" customHeight="false" outlineLevel="0" collapsed="false">
      <c r="A351" s="15" t="s">
        <v>810</v>
      </c>
      <c r="B351" s="15" t="s">
        <v>12</v>
      </c>
      <c r="C351" s="15" t="s">
        <v>17</v>
      </c>
      <c r="D351" s="15" t="s">
        <v>22</v>
      </c>
      <c r="E351" s="15" t="s">
        <v>22</v>
      </c>
      <c r="F351" s="15"/>
      <c r="G351" s="15" t="s">
        <v>22</v>
      </c>
      <c r="H351" s="15"/>
      <c r="I351" s="15" t="s">
        <v>346</v>
      </c>
      <c r="J351" s="15" t="s">
        <v>390</v>
      </c>
      <c r="K351" s="15" t="s">
        <v>811</v>
      </c>
      <c r="L351" s="15"/>
      <c r="M351" s="15"/>
      <c r="N351" s="15"/>
      <c r="O351" s="15"/>
      <c r="P351" s="15" t="n">
        <v>0.639</v>
      </c>
      <c r="Q351" s="15" t="n">
        <v>0.639</v>
      </c>
      <c r="R351" s="15" t="n">
        <v>8</v>
      </c>
      <c r="S351" s="15" t="s">
        <v>485</v>
      </c>
      <c r="T351" s="15" t="n">
        <v>16</v>
      </c>
      <c r="U351" s="15"/>
      <c r="V351" s="15"/>
      <c r="W351" s="15"/>
      <c r="X351" s="15" t="s">
        <v>353</v>
      </c>
      <c r="Y351" s="15" t="n">
        <v>25</v>
      </c>
      <c r="Z351" s="15" t="s">
        <v>354</v>
      </c>
      <c r="AA351" s="15"/>
      <c r="AB351" s="15" t="n">
        <v>1</v>
      </c>
      <c r="AC351" s="15" t="n">
        <v>0</v>
      </c>
      <c r="AD351" s="15"/>
      <c r="AE351" s="15"/>
      <c r="AF351" s="15" t="s">
        <v>169</v>
      </c>
      <c r="AG351" s="15"/>
      <c r="AH351" s="24" t="n">
        <f aca="false">IF(R351="",AM351,R351)</f>
        <v>8</v>
      </c>
      <c r="AI351" s="24" t="n">
        <f aca="false">SUMIFS(Permissions!$G$2:$G$3000,Permissions!$B$2:$B$3000,$A351,Permissions!$I$2:$I$3000,"Complete",Permissions!$R$2:$R$3000,"Yes")</f>
        <v>0</v>
      </c>
      <c r="AJ351" s="24" t="n">
        <f aca="false">SUMIFS(Permissions!$G$2:$G$3000,Permissions!$B$2:$B$3000,$A351,Permissions!$I$2:$I$3000,"Under construction",Permissions!$R$2:$R$3000,"Yes")</f>
        <v>0</v>
      </c>
      <c r="AK351" s="24" t="n">
        <f aca="false">SUMIFS(Permissions!$G$2:$G$3000,Permissions!$B$2:$B$3000,$A351,Permissions!$I$2:$I$3000,"Permitted – not started",Permissions!$R$2:$R$3000,"Yes")</f>
        <v>0</v>
      </c>
      <c r="AL351" s="24" t="n">
        <f aca="false">SUMIFS(Permissions!$G$2:$G$3000,Permissions!$B$2:$B$3000,$A351,Permissions!$I$2:$I$3000,"Stalled",Permissions!$R$2:$R$3000,"Yes")</f>
        <v>0</v>
      </c>
      <c r="AM351" s="24" t="n">
        <f aca="false">AI351+AJ351+AK351+AL351</f>
        <v>0</v>
      </c>
      <c r="AN351" s="24" t="n">
        <f aca="false">SUMIFS(Permissions!$G$2:$G$3000,Permissions!$B$2:$B$3000,$A351,Permissions!$I$2:$I$3000,"Expired – not started",Permissions!$R$2:$R$3000,"Yes")</f>
        <v>0</v>
      </c>
      <c r="AO351" s="24" t="n">
        <f aca="false">SUMIFS(Permissions!$G$2:$G$3000,Permissions!$B$2:$B$3000,$A351,Permissions!$I$2:$I$3000,"In planning",Permissions!$R$2:$R$3000,"Yes")</f>
        <v>8</v>
      </c>
      <c r="AP351" s="24" t="n">
        <f aca="false">IF(R351="",0,MAX(R351-AM351,0))</f>
        <v>8</v>
      </c>
      <c r="AQ351" s="25" t="n">
        <f aca="false">AM351+AP351</f>
        <v>8</v>
      </c>
      <c r="AR351" s="24" t="n">
        <f aca="false">SUMIFS(Permissions!$L$2:$L$3000,Permissions!$B$2:$B$3000,$A351,Permissions!$R$2:$R$3000,"Yes",Permissions!$I$2:$I$3000,"&lt;&gt;Expired – not started",Permissions!$I$2:$I$3000,"&lt;&gt;In planning")</f>
        <v>0</v>
      </c>
      <c r="AS351" s="24" t="n">
        <f aca="false">AQ351-AR351</f>
        <v>8</v>
      </c>
      <c r="AT351" s="26" t="n">
        <f aca="false">SUMIFS(Permissions!$AJ$2:$AJ$3000,Permissions!$B$2:$B$3000,$A351,Permissions!$R$2:$R$3000,"Yes")</f>
        <v>0</v>
      </c>
      <c r="AU351" s="26" t="n">
        <f aca="false">SUMIFS(Permissions!$AK$2:$AK$3000,Permissions!$B$2:$B$3000,$A351,Permissions!$R$2:$R$3000,"Yes")</f>
        <v>0</v>
      </c>
      <c r="AV351" s="26" t="n">
        <f aca="false">SUMIFS(Permissions!$AL$2:$AL$3000,Permissions!$B$2:$B$3000,$A351,Permissions!$R$2:$R$3000,"Yes")</f>
        <v>0</v>
      </c>
      <c r="AW351" s="26" t="n">
        <f aca="false">SUMIFS(Permissions!$AM$2:$AM$3000,Permissions!$B$2:$B$3000,$A351,Permissions!$R$2:$R$3000,"Yes")</f>
        <v>0</v>
      </c>
      <c r="AX351" s="26" t="n">
        <f aca="false">SUMIFS(Permissions!$AN$2:$AN$3000,Permissions!$B$2:$B$3000,$A351,Permissions!$R$2:$R$3000,"Yes")</f>
        <v>0</v>
      </c>
      <c r="AY351" s="26" t="n">
        <f aca="false">SUMIFS(Permissions!$AO$2:$AO$3000,Permissions!$B$2:$B$3000,$A351,Permissions!$R$2:$R$3000,"Yes")</f>
        <v>0</v>
      </c>
      <c r="AZ351" s="24" t="n">
        <f aca="false">COUNTIFS(Permissions!$B$2:$B$3000,$A351,Permissions!$R$2:$R$3000,"Yes")</f>
        <v>1</v>
      </c>
      <c r="BA351" s="24" t="n">
        <f aca="false">SUMIFS(Permissions!$M$2:$M$3000,Permissions!$B$2:$B$3000,$A351,Permissions!$R$2:$R$3000,"Yes")</f>
        <v>0</v>
      </c>
      <c r="BB351" s="24" t="n">
        <f aca="false">SUMIFS(Permissions!$O$2:$O$3000,Permissions!$B$2:$B$3000,$A351,Permissions!$R$2:$R$3000,"Yes")</f>
        <v>0</v>
      </c>
      <c r="BC351" s="27" t="str">
        <f aca="false">IF(AND(AM351&gt;0,AR351&gt;=AM351,AP351=0),"Finished",IF(AR351&gt;0,"Partly built",IF(AM351&gt;0,"Consented – not built","No consent")))</f>
        <v>No consent</v>
      </c>
      <c r="BD351" s="28" t="str">
        <f aca="false">IF(AND(R351&lt;&gt;"",AM351&gt;1.1*R351),"Consented above capacity",IF(AND(LEFT(B351,8)="Planning",AZ351=0),"Consent parcel with no permission",IF(COUNTIF($A$2:$A$3000,$A351)&gt;1,"Duplicate parcel_id","")))</f>
        <v/>
      </c>
    </row>
    <row r="352" customFormat="false" ht="15" hidden="false" customHeight="false" outlineLevel="0" collapsed="false">
      <c r="A352" s="15" t="s">
        <v>812</v>
      </c>
      <c r="B352" s="15" t="s">
        <v>12</v>
      </c>
      <c r="C352" s="15" t="s">
        <v>17</v>
      </c>
      <c r="D352" s="15" t="s">
        <v>64</v>
      </c>
      <c r="E352" s="15" t="s">
        <v>20</v>
      </c>
      <c r="F352" s="15" t="n">
        <v>1</v>
      </c>
      <c r="G352" s="15" t="s">
        <v>158</v>
      </c>
      <c r="H352" s="15"/>
      <c r="I352" s="15" t="s">
        <v>346</v>
      </c>
      <c r="J352" s="15" t="s">
        <v>390</v>
      </c>
      <c r="K352" s="15" t="s">
        <v>813</v>
      </c>
      <c r="L352" s="15"/>
      <c r="M352" s="15"/>
      <c r="N352" s="15"/>
      <c r="O352" s="15"/>
      <c r="P352" s="15" t="n">
        <v>0.485</v>
      </c>
      <c r="Q352" s="15" t="n">
        <v>0.485</v>
      </c>
      <c r="R352" s="15" t="n">
        <v>30</v>
      </c>
      <c r="S352" s="15" t="s">
        <v>485</v>
      </c>
      <c r="T352" s="15" t="n">
        <v>12</v>
      </c>
      <c r="U352" s="15"/>
      <c r="V352" s="15"/>
      <c r="W352" s="15"/>
      <c r="X352" s="15" t="s">
        <v>353</v>
      </c>
      <c r="Y352" s="15" t="n">
        <v>25</v>
      </c>
      <c r="Z352" s="15" t="s">
        <v>354</v>
      </c>
      <c r="AA352" s="15"/>
      <c r="AB352" s="15" t="n">
        <v>0</v>
      </c>
      <c r="AC352" s="15" t="n">
        <v>0</v>
      </c>
      <c r="AD352" s="15"/>
      <c r="AE352" s="15"/>
      <c r="AF352" s="15" t="s">
        <v>169</v>
      </c>
      <c r="AG352" s="15"/>
      <c r="AH352" s="24" t="n">
        <f aca="false">IF(R352="",AM352,R352)</f>
        <v>30</v>
      </c>
      <c r="AI352" s="24" t="n">
        <f aca="false">SUMIFS(Permissions!$G$2:$G$3000,Permissions!$B$2:$B$3000,$A352,Permissions!$I$2:$I$3000,"Complete",Permissions!$R$2:$R$3000,"Yes")</f>
        <v>0</v>
      </c>
      <c r="AJ352" s="24" t="n">
        <f aca="false">SUMIFS(Permissions!$G$2:$G$3000,Permissions!$B$2:$B$3000,$A352,Permissions!$I$2:$I$3000,"Under construction",Permissions!$R$2:$R$3000,"Yes")</f>
        <v>0</v>
      </c>
      <c r="AK352" s="24" t="n">
        <f aca="false">SUMIFS(Permissions!$G$2:$G$3000,Permissions!$B$2:$B$3000,$A352,Permissions!$I$2:$I$3000,"Permitted – not started",Permissions!$R$2:$R$3000,"Yes")</f>
        <v>0</v>
      </c>
      <c r="AL352" s="24" t="n">
        <f aca="false">SUMIFS(Permissions!$G$2:$G$3000,Permissions!$B$2:$B$3000,$A352,Permissions!$I$2:$I$3000,"Stalled",Permissions!$R$2:$R$3000,"Yes")</f>
        <v>0</v>
      </c>
      <c r="AM352" s="24" t="n">
        <f aca="false">AI352+AJ352+AK352+AL352</f>
        <v>0</v>
      </c>
      <c r="AN352" s="24" t="n">
        <f aca="false">SUMIFS(Permissions!$G$2:$G$3000,Permissions!$B$2:$B$3000,$A352,Permissions!$I$2:$I$3000,"Expired – not started",Permissions!$R$2:$R$3000,"Yes")</f>
        <v>0</v>
      </c>
      <c r="AO352" s="24" t="n">
        <f aca="false">SUMIFS(Permissions!$G$2:$G$3000,Permissions!$B$2:$B$3000,$A352,Permissions!$I$2:$I$3000,"In planning",Permissions!$R$2:$R$3000,"Yes")</f>
        <v>30</v>
      </c>
      <c r="AP352" s="24" t="n">
        <f aca="false">IF(R352="",0,MAX(R352-AM352,0))</f>
        <v>30</v>
      </c>
      <c r="AQ352" s="25" t="n">
        <f aca="false">AM352+AP352</f>
        <v>30</v>
      </c>
      <c r="AR352" s="24" t="n">
        <f aca="false">SUMIFS(Permissions!$L$2:$L$3000,Permissions!$B$2:$B$3000,$A352,Permissions!$R$2:$R$3000,"Yes",Permissions!$I$2:$I$3000,"&lt;&gt;Expired – not started",Permissions!$I$2:$I$3000,"&lt;&gt;In planning")</f>
        <v>0</v>
      </c>
      <c r="AS352" s="24" t="n">
        <f aca="false">AQ352-AR352</f>
        <v>30</v>
      </c>
      <c r="AT352" s="26" t="n">
        <f aca="false">SUMIFS(Permissions!$AJ$2:$AJ$3000,Permissions!$B$2:$B$3000,$A352,Permissions!$R$2:$R$3000,"Yes")</f>
        <v>0</v>
      </c>
      <c r="AU352" s="26" t="n">
        <f aca="false">SUMIFS(Permissions!$AK$2:$AK$3000,Permissions!$B$2:$B$3000,$A352,Permissions!$R$2:$R$3000,"Yes")</f>
        <v>0</v>
      </c>
      <c r="AV352" s="26" t="n">
        <f aca="false">SUMIFS(Permissions!$AL$2:$AL$3000,Permissions!$B$2:$B$3000,$A352,Permissions!$R$2:$R$3000,"Yes")</f>
        <v>0</v>
      </c>
      <c r="AW352" s="26" t="n">
        <f aca="false">SUMIFS(Permissions!$AM$2:$AM$3000,Permissions!$B$2:$B$3000,$A352,Permissions!$R$2:$R$3000,"Yes")</f>
        <v>0</v>
      </c>
      <c r="AX352" s="26" t="n">
        <f aca="false">SUMIFS(Permissions!$AN$2:$AN$3000,Permissions!$B$2:$B$3000,$A352,Permissions!$R$2:$R$3000,"Yes")</f>
        <v>0</v>
      </c>
      <c r="AY352" s="26" t="n">
        <f aca="false">SUMIFS(Permissions!$AO$2:$AO$3000,Permissions!$B$2:$B$3000,$A352,Permissions!$R$2:$R$3000,"Yes")</f>
        <v>0</v>
      </c>
      <c r="AZ352" s="24" t="n">
        <f aca="false">COUNTIFS(Permissions!$B$2:$B$3000,$A352,Permissions!$R$2:$R$3000,"Yes")</f>
        <v>1</v>
      </c>
      <c r="BA352" s="24" t="n">
        <f aca="false">SUMIFS(Permissions!$M$2:$M$3000,Permissions!$B$2:$B$3000,$A352,Permissions!$R$2:$R$3000,"Yes")</f>
        <v>0</v>
      </c>
      <c r="BB352" s="24" t="n">
        <f aca="false">SUMIFS(Permissions!$O$2:$O$3000,Permissions!$B$2:$B$3000,$A352,Permissions!$R$2:$R$3000,"Yes")</f>
        <v>0</v>
      </c>
      <c r="BC352" s="27" t="str">
        <f aca="false">IF(AND(AM352&gt;0,AR352&gt;=AM352,AP352=0),"Finished",IF(AR352&gt;0,"Partly built",IF(AM352&gt;0,"Consented – not built","No consent")))</f>
        <v>No consent</v>
      </c>
      <c r="BD352" s="28" t="str">
        <f aca="false">IF(AND(R352&lt;&gt;"",AM352&gt;1.1*R352),"Consented above capacity",IF(AND(LEFT(B352,8)="Planning",AZ352=0),"Consent parcel with no permission",IF(COUNTIF($A$2:$A$3000,$A352)&gt;1,"Duplicate parcel_id","")))</f>
        <v/>
      </c>
    </row>
    <row r="353" customFormat="false" ht="15" hidden="false" customHeight="false" outlineLevel="0" collapsed="false">
      <c r="A353" s="15" t="s">
        <v>814</v>
      </c>
      <c r="B353" s="15" t="s">
        <v>12</v>
      </c>
      <c r="C353" s="15" t="s">
        <v>17</v>
      </c>
      <c r="D353" s="15" t="s">
        <v>67</v>
      </c>
      <c r="E353" s="15" t="s">
        <v>21</v>
      </c>
      <c r="F353" s="15" t="n">
        <v>0</v>
      </c>
      <c r="G353" s="15" t="s">
        <v>815</v>
      </c>
      <c r="H353" s="15"/>
      <c r="I353" s="15" t="s">
        <v>346</v>
      </c>
      <c r="J353" s="15" t="s">
        <v>347</v>
      </c>
      <c r="K353" s="15" t="s">
        <v>816</v>
      </c>
      <c r="L353" s="15"/>
      <c r="M353" s="15"/>
      <c r="N353" s="15"/>
      <c r="O353" s="15"/>
      <c r="P353" s="15" t="n">
        <v>15.516</v>
      </c>
      <c r="Q353" s="15" t="n">
        <v>15.516</v>
      </c>
      <c r="R353" s="15"/>
      <c r="S353" s="15" t="s">
        <v>459</v>
      </c>
      <c r="T353" s="15" t="n">
        <v>388</v>
      </c>
      <c r="U353" s="15"/>
      <c r="V353" s="15"/>
      <c r="W353" s="15"/>
      <c r="X353" s="15" t="s">
        <v>353</v>
      </c>
      <c r="Y353" s="15" t="n">
        <v>25</v>
      </c>
      <c r="Z353" s="15" t="s">
        <v>354</v>
      </c>
      <c r="AA353" s="15"/>
      <c r="AB353" s="15" t="n">
        <v>1</v>
      </c>
      <c r="AC353" s="15" t="n">
        <v>0</v>
      </c>
      <c r="AD353" s="15"/>
      <c r="AE353" s="15"/>
      <c r="AF353" s="15" t="s">
        <v>169</v>
      </c>
      <c r="AG353" s="15"/>
      <c r="AH353" s="24" t="n">
        <f aca="false">IF(R353="",AM353,R353)</f>
        <v>28</v>
      </c>
      <c r="AI353" s="24" t="n">
        <f aca="false">SUMIFS(Permissions!$G$2:$G$3000,Permissions!$B$2:$B$3000,$A353,Permissions!$I$2:$I$3000,"Complete",Permissions!$R$2:$R$3000,"Yes")</f>
        <v>0</v>
      </c>
      <c r="AJ353" s="24" t="n">
        <f aca="false">SUMIFS(Permissions!$G$2:$G$3000,Permissions!$B$2:$B$3000,$A353,Permissions!$I$2:$I$3000,"Under construction",Permissions!$R$2:$R$3000,"Yes")</f>
        <v>0</v>
      </c>
      <c r="AK353" s="24" t="n">
        <f aca="false">SUMIFS(Permissions!$G$2:$G$3000,Permissions!$B$2:$B$3000,$A353,Permissions!$I$2:$I$3000,"Permitted – not started",Permissions!$R$2:$R$3000,"Yes")</f>
        <v>28</v>
      </c>
      <c r="AL353" s="24" t="n">
        <f aca="false">SUMIFS(Permissions!$G$2:$G$3000,Permissions!$B$2:$B$3000,$A353,Permissions!$I$2:$I$3000,"Stalled",Permissions!$R$2:$R$3000,"Yes")</f>
        <v>0</v>
      </c>
      <c r="AM353" s="24" t="n">
        <f aca="false">AI353+AJ353+AK353+AL353</f>
        <v>28</v>
      </c>
      <c r="AN353" s="24" t="n">
        <f aca="false">SUMIFS(Permissions!$G$2:$G$3000,Permissions!$B$2:$B$3000,$A353,Permissions!$I$2:$I$3000,"Expired – not started",Permissions!$R$2:$R$3000,"Yes")</f>
        <v>0</v>
      </c>
      <c r="AO353" s="24" t="n">
        <f aca="false">SUMIFS(Permissions!$G$2:$G$3000,Permissions!$B$2:$B$3000,$A353,Permissions!$I$2:$I$3000,"In planning",Permissions!$R$2:$R$3000,"Yes")</f>
        <v>0</v>
      </c>
      <c r="AP353" s="24" t="n">
        <f aca="false">IF(R353="",0,MAX(R353-AM353,0))</f>
        <v>0</v>
      </c>
      <c r="AQ353" s="25" t="n">
        <f aca="false">AM353+AP353</f>
        <v>28</v>
      </c>
      <c r="AR353" s="24" t="n">
        <f aca="false">SUMIFS(Permissions!$L$2:$L$3000,Permissions!$B$2:$B$3000,$A353,Permissions!$R$2:$R$3000,"Yes",Permissions!$I$2:$I$3000,"&lt;&gt;Expired – not started",Permissions!$I$2:$I$3000,"&lt;&gt;In planning")</f>
        <v>0</v>
      </c>
      <c r="AS353" s="24" t="n">
        <f aca="false">AQ353-AR353</f>
        <v>28</v>
      </c>
      <c r="AT353" s="26" t="n">
        <f aca="false">SUMIFS(Permissions!$AJ$2:$AJ$3000,Permissions!$B$2:$B$3000,$A353,Permissions!$R$2:$R$3000,"Yes")</f>
        <v>0</v>
      </c>
      <c r="AU353" s="26" t="n">
        <f aca="false">SUMIFS(Permissions!$AK$2:$AK$3000,Permissions!$B$2:$B$3000,$A353,Permissions!$R$2:$R$3000,"Yes")</f>
        <v>0</v>
      </c>
      <c r="AV353" s="26" t="n">
        <f aca="false">SUMIFS(Permissions!$AL$2:$AL$3000,Permissions!$B$2:$B$3000,$A353,Permissions!$R$2:$R$3000,"Yes")</f>
        <v>0</v>
      </c>
      <c r="AW353" s="26" t="n">
        <f aca="false">SUMIFS(Permissions!$AM$2:$AM$3000,Permissions!$B$2:$B$3000,$A353,Permissions!$R$2:$R$3000,"Yes")</f>
        <v>27.8</v>
      </c>
      <c r="AX353" s="26" t="n">
        <f aca="false">SUMIFS(Permissions!$AN$2:$AN$3000,Permissions!$B$2:$B$3000,$A353,Permissions!$R$2:$R$3000,"Yes")</f>
        <v>0.2</v>
      </c>
      <c r="AY353" s="26" t="n">
        <f aca="false">SUMIFS(Permissions!$AO$2:$AO$3000,Permissions!$B$2:$B$3000,$A353,Permissions!$R$2:$R$3000,"Yes")</f>
        <v>0</v>
      </c>
      <c r="AZ353" s="24" t="n">
        <f aca="false">COUNTIFS(Permissions!$B$2:$B$3000,$A353,Permissions!$R$2:$R$3000,"Yes")</f>
        <v>1</v>
      </c>
      <c r="BA353" s="24" t="n">
        <f aca="false">SUMIFS(Permissions!$M$2:$M$3000,Permissions!$B$2:$B$3000,$A353,Permissions!$R$2:$R$3000,"Yes")</f>
        <v>0</v>
      </c>
      <c r="BB353" s="24" t="n">
        <f aca="false">SUMIFS(Permissions!$O$2:$O$3000,Permissions!$B$2:$B$3000,$A353,Permissions!$R$2:$R$3000,"Yes")</f>
        <v>0</v>
      </c>
      <c r="BC353" s="27" t="str">
        <f aca="false">IF(AND(AM353&gt;0,AR353&gt;=AM353,AP353=0),"Finished",IF(AR353&gt;0,"Partly built",IF(AM353&gt;0,"Consented – not built","No consent")))</f>
        <v>Consented – not built</v>
      </c>
      <c r="BD353" s="28" t="str">
        <f aca="false">IF(AND(R353&lt;&gt;"",AM353&gt;1.1*R353),"Consented above capacity",IF(AND(LEFT(B353,8)="Planning",AZ353=0),"Consent parcel with no permission",IF(COUNTIF($A$2:$A$3000,$A353)&gt;1,"Duplicate parcel_id","")))</f>
        <v/>
      </c>
    </row>
    <row r="354" customFormat="false" ht="15" hidden="false" customHeight="false" outlineLevel="0" collapsed="false">
      <c r="A354" s="15" t="s">
        <v>817</v>
      </c>
      <c r="B354" s="15" t="s">
        <v>12</v>
      </c>
      <c r="C354" s="15" t="s">
        <v>17</v>
      </c>
      <c r="D354" s="15" t="s">
        <v>22</v>
      </c>
      <c r="E354" s="15" t="s">
        <v>22</v>
      </c>
      <c r="F354" s="15"/>
      <c r="G354" s="15" t="s">
        <v>22</v>
      </c>
      <c r="H354" s="15"/>
      <c r="I354" s="15" t="s">
        <v>346</v>
      </c>
      <c r="J354" s="15" t="s">
        <v>159</v>
      </c>
      <c r="K354" s="15" t="s">
        <v>818</v>
      </c>
      <c r="L354" s="15"/>
      <c r="M354" s="15"/>
      <c r="N354" s="15"/>
      <c r="O354" s="15"/>
      <c r="P354" s="15" t="n">
        <v>0.196</v>
      </c>
      <c r="Q354" s="15" t="n">
        <v>0.196</v>
      </c>
      <c r="R354" s="15" t="n">
        <v>17</v>
      </c>
      <c r="S354" s="15" t="s">
        <v>472</v>
      </c>
      <c r="T354" s="15" t="n">
        <v>5</v>
      </c>
      <c r="U354" s="15"/>
      <c r="V354" s="15"/>
      <c r="W354" s="15"/>
      <c r="X354" s="15" t="s">
        <v>353</v>
      </c>
      <c r="Y354" s="15" t="n">
        <v>25</v>
      </c>
      <c r="Z354" s="15" t="s">
        <v>354</v>
      </c>
      <c r="AA354" s="15"/>
      <c r="AB354" s="15" t="n">
        <v>2</v>
      </c>
      <c r="AC354" s="15" t="n">
        <v>2</v>
      </c>
      <c r="AD354" s="15"/>
      <c r="AE354" s="15" t="s">
        <v>486</v>
      </c>
      <c r="AF354" s="15" t="s">
        <v>169</v>
      </c>
      <c r="AG354" s="15"/>
      <c r="AH354" s="24" t="n">
        <f aca="false">IF(R354="",AM354,R354)</f>
        <v>17</v>
      </c>
      <c r="AI354" s="24" t="n">
        <f aca="false">SUMIFS(Permissions!$G$2:$G$3000,Permissions!$B$2:$B$3000,$A354,Permissions!$I$2:$I$3000,"Complete",Permissions!$R$2:$R$3000,"Yes")</f>
        <v>0</v>
      </c>
      <c r="AJ354" s="24" t="n">
        <f aca="false">SUMIFS(Permissions!$G$2:$G$3000,Permissions!$B$2:$B$3000,$A354,Permissions!$I$2:$I$3000,"Under construction",Permissions!$R$2:$R$3000,"Yes")</f>
        <v>0</v>
      </c>
      <c r="AK354" s="24" t="n">
        <f aca="false">SUMIFS(Permissions!$G$2:$G$3000,Permissions!$B$2:$B$3000,$A354,Permissions!$I$2:$I$3000,"Permitted – not started",Permissions!$R$2:$R$3000,"Yes")</f>
        <v>0</v>
      </c>
      <c r="AL354" s="24" t="n">
        <f aca="false">SUMIFS(Permissions!$G$2:$G$3000,Permissions!$B$2:$B$3000,$A354,Permissions!$I$2:$I$3000,"Stalled",Permissions!$R$2:$R$3000,"Yes")</f>
        <v>0</v>
      </c>
      <c r="AM354" s="24" t="n">
        <f aca="false">AI354+AJ354+AK354+AL354</f>
        <v>0</v>
      </c>
      <c r="AN354" s="24" t="n">
        <f aca="false">SUMIFS(Permissions!$G$2:$G$3000,Permissions!$B$2:$B$3000,$A354,Permissions!$I$2:$I$3000,"Expired – not started",Permissions!$R$2:$R$3000,"Yes")</f>
        <v>17</v>
      </c>
      <c r="AO354" s="24" t="n">
        <f aca="false">SUMIFS(Permissions!$G$2:$G$3000,Permissions!$B$2:$B$3000,$A354,Permissions!$I$2:$I$3000,"In planning",Permissions!$R$2:$R$3000,"Yes")</f>
        <v>0</v>
      </c>
      <c r="AP354" s="24" t="n">
        <f aca="false">IF(R354="",0,MAX(R354-AM354,0))</f>
        <v>17</v>
      </c>
      <c r="AQ354" s="25" t="n">
        <f aca="false">AM354+AP354</f>
        <v>17</v>
      </c>
      <c r="AR354" s="24" t="n">
        <f aca="false">SUMIFS(Permissions!$L$2:$L$3000,Permissions!$B$2:$B$3000,$A354,Permissions!$R$2:$R$3000,"Yes",Permissions!$I$2:$I$3000,"&lt;&gt;Expired – not started",Permissions!$I$2:$I$3000,"&lt;&gt;In planning")</f>
        <v>0</v>
      </c>
      <c r="AS354" s="24" t="n">
        <f aca="false">AQ354-AR354</f>
        <v>17</v>
      </c>
      <c r="AT354" s="26" t="n">
        <f aca="false">SUMIFS(Permissions!$AJ$2:$AJ$3000,Permissions!$B$2:$B$3000,$A354,Permissions!$R$2:$R$3000,"Yes")</f>
        <v>0</v>
      </c>
      <c r="AU354" s="26" t="n">
        <f aca="false">SUMIFS(Permissions!$AK$2:$AK$3000,Permissions!$B$2:$B$3000,$A354,Permissions!$R$2:$R$3000,"Yes")</f>
        <v>0</v>
      </c>
      <c r="AV354" s="26" t="n">
        <f aca="false">SUMIFS(Permissions!$AL$2:$AL$3000,Permissions!$B$2:$B$3000,$A354,Permissions!$R$2:$R$3000,"Yes")</f>
        <v>0</v>
      </c>
      <c r="AW354" s="26" t="n">
        <f aca="false">SUMIFS(Permissions!$AM$2:$AM$3000,Permissions!$B$2:$B$3000,$A354,Permissions!$R$2:$R$3000,"Yes")</f>
        <v>0</v>
      </c>
      <c r="AX354" s="26" t="n">
        <f aca="false">SUMIFS(Permissions!$AN$2:$AN$3000,Permissions!$B$2:$B$3000,$A354,Permissions!$R$2:$R$3000,"Yes")</f>
        <v>0</v>
      </c>
      <c r="AY354" s="26" t="n">
        <f aca="false">SUMIFS(Permissions!$AO$2:$AO$3000,Permissions!$B$2:$B$3000,$A354,Permissions!$R$2:$R$3000,"Yes")</f>
        <v>0</v>
      </c>
      <c r="AZ354" s="24" t="n">
        <f aca="false">COUNTIFS(Permissions!$B$2:$B$3000,$A354,Permissions!$R$2:$R$3000,"Yes")</f>
        <v>1</v>
      </c>
      <c r="BA354" s="24" t="n">
        <f aca="false">SUMIFS(Permissions!$M$2:$M$3000,Permissions!$B$2:$B$3000,$A354,Permissions!$R$2:$R$3000,"Yes")</f>
        <v>3</v>
      </c>
      <c r="BB354" s="24" t="n">
        <f aca="false">SUMIFS(Permissions!$O$2:$O$3000,Permissions!$B$2:$B$3000,$A354,Permissions!$R$2:$R$3000,"Yes")</f>
        <v>0</v>
      </c>
      <c r="BC354" s="27" t="str">
        <f aca="false">IF(AND(AM354&gt;0,AR354&gt;=AM354,AP354=0),"Finished",IF(AR354&gt;0,"Partly built",IF(AM354&gt;0,"Consented – not built","No consent")))</f>
        <v>No consent</v>
      </c>
      <c r="BD354" s="28" t="str">
        <f aca="false">IF(AND(R354&lt;&gt;"",AM354&gt;1.1*R354),"Consented above capacity",IF(AND(LEFT(B354,8)="Planning",AZ354=0),"Consent parcel with no permission",IF(COUNTIF($A$2:$A$3000,$A354)&gt;1,"Duplicate parcel_id","")))</f>
        <v/>
      </c>
    </row>
    <row r="355" customFormat="false" ht="15" hidden="false" customHeight="false" outlineLevel="0" collapsed="false">
      <c r="A355" s="15" t="s">
        <v>819</v>
      </c>
      <c r="B355" s="15" t="s">
        <v>12</v>
      </c>
      <c r="C355" s="15" t="s">
        <v>17</v>
      </c>
      <c r="D355" s="15" t="s">
        <v>62</v>
      </c>
      <c r="E355" s="15" t="s">
        <v>20</v>
      </c>
      <c r="F355" s="15" t="n">
        <v>1</v>
      </c>
      <c r="G355" s="15" t="s">
        <v>158</v>
      </c>
      <c r="H355" s="15"/>
      <c r="I355" s="15" t="s">
        <v>346</v>
      </c>
      <c r="J355" s="15" t="s">
        <v>211</v>
      </c>
      <c r="K355" s="15" t="s">
        <v>820</v>
      </c>
      <c r="L355" s="15"/>
      <c r="M355" s="15"/>
      <c r="N355" s="15"/>
      <c r="O355" s="15"/>
      <c r="P355" s="15" t="n">
        <v>0.163</v>
      </c>
      <c r="Q355" s="15" t="n">
        <v>0.163</v>
      </c>
      <c r="R355" s="15"/>
      <c r="S355" s="15" t="s">
        <v>459</v>
      </c>
      <c r="T355" s="15" t="n">
        <v>4</v>
      </c>
      <c r="U355" s="15"/>
      <c r="V355" s="15"/>
      <c r="W355" s="15"/>
      <c r="X355" s="15" t="s">
        <v>353</v>
      </c>
      <c r="Y355" s="15" t="n">
        <v>25</v>
      </c>
      <c r="Z355" s="15" t="s">
        <v>354</v>
      </c>
      <c r="AA355" s="15"/>
      <c r="AB355" s="15" t="n">
        <v>4</v>
      </c>
      <c r="AC355" s="15" t="n">
        <v>4</v>
      </c>
      <c r="AD355" s="15"/>
      <c r="AE355" s="15"/>
      <c r="AF355" s="15" t="s">
        <v>169</v>
      </c>
      <c r="AG355" s="15"/>
      <c r="AH355" s="24" t="n">
        <f aca="false">IF(R355="",AM355,R355)</f>
        <v>4</v>
      </c>
      <c r="AI355" s="24" t="n">
        <f aca="false">SUMIFS(Permissions!$G$2:$G$3000,Permissions!$B$2:$B$3000,$A355,Permissions!$I$2:$I$3000,"Complete",Permissions!$R$2:$R$3000,"Yes")</f>
        <v>4</v>
      </c>
      <c r="AJ355" s="24" t="n">
        <f aca="false">SUMIFS(Permissions!$G$2:$G$3000,Permissions!$B$2:$B$3000,$A355,Permissions!$I$2:$I$3000,"Under construction",Permissions!$R$2:$R$3000,"Yes")</f>
        <v>0</v>
      </c>
      <c r="AK355" s="24" t="n">
        <f aca="false">SUMIFS(Permissions!$G$2:$G$3000,Permissions!$B$2:$B$3000,$A355,Permissions!$I$2:$I$3000,"Permitted – not started",Permissions!$R$2:$R$3000,"Yes")</f>
        <v>0</v>
      </c>
      <c r="AL355" s="24" t="n">
        <f aca="false">SUMIFS(Permissions!$G$2:$G$3000,Permissions!$B$2:$B$3000,$A355,Permissions!$I$2:$I$3000,"Stalled",Permissions!$R$2:$R$3000,"Yes")</f>
        <v>0</v>
      </c>
      <c r="AM355" s="24" t="n">
        <f aca="false">AI355+AJ355+AK355+AL355</f>
        <v>4</v>
      </c>
      <c r="AN355" s="24" t="n">
        <f aca="false">SUMIFS(Permissions!$G$2:$G$3000,Permissions!$B$2:$B$3000,$A355,Permissions!$I$2:$I$3000,"Expired – not started",Permissions!$R$2:$R$3000,"Yes")</f>
        <v>0</v>
      </c>
      <c r="AO355" s="24" t="n">
        <f aca="false">SUMIFS(Permissions!$G$2:$G$3000,Permissions!$B$2:$B$3000,$A355,Permissions!$I$2:$I$3000,"In planning",Permissions!$R$2:$R$3000,"Yes")</f>
        <v>0</v>
      </c>
      <c r="AP355" s="24" t="n">
        <f aca="false">IF(R355="",0,MAX(R355-AM355,0))</f>
        <v>0</v>
      </c>
      <c r="AQ355" s="25" t="n">
        <f aca="false">AM355+AP355</f>
        <v>4</v>
      </c>
      <c r="AR355" s="24" t="n">
        <f aca="false">SUMIFS(Permissions!$L$2:$L$3000,Permissions!$B$2:$B$3000,$A355,Permissions!$R$2:$R$3000,"Yes",Permissions!$I$2:$I$3000,"&lt;&gt;Expired – not started",Permissions!$I$2:$I$3000,"&lt;&gt;In planning")</f>
        <v>4</v>
      </c>
      <c r="AS355" s="24" t="n">
        <f aca="false">AQ355-AR355</f>
        <v>0</v>
      </c>
      <c r="AT355" s="26" t="n">
        <f aca="false">SUMIFS(Permissions!$AJ$2:$AJ$3000,Permissions!$B$2:$B$3000,$A355,Permissions!$R$2:$R$3000,"Yes")</f>
        <v>0</v>
      </c>
      <c r="AU355" s="26" t="n">
        <f aca="false">SUMIFS(Permissions!$AK$2:$AK$3000,Permissions!$B$2:$B$3000,$A355,Permissions!$R$2:$R$3000,"Yes")</f>
        <v>0</v>
      </c>
      <c r="AV355" s="26" t="n">
        <f aca="false">SUMIFS(Permissions!$AL$2:$AL$3000,Permissions!$B$2:$B$3000,$A355,Permissions!$R$2:$R$3000,"Yes")</f>
        <v>0</v>
      </c>
      <c r="AW355" s="26" t="n">
        <f aca="false">SUMIFS(Permissions!$AM$2:$AM$3000,Permissions!$B$2:$B$3000,$A355,Permissions!$R$2:$R$3000,"Yes")</f>
        <v>0</v>
      </c>
      <c r="AX355" s="26" t="n">
        <f aca="false">SUMIFS(Permissions!$AN$2:$AN$3000,Permissions!$B$2:$B$3000,$A355,Permissions!$R$2:$R$3000,"Yes")</f>
        <v>0</v>
      </c>
      <c r="AY355" s="26" t="n">
        <f aca="false">SUMIFS(Permissions!$AO$2:$AO$3000,Permissions!$B$2:$B$3000,$A355,Permissions!$R$2:$R$3000,"Yes")</f>
        <v>0</v>
      </c>
      <c r="AZ355" s="24" t="n">
        <f aca="false">COUNTIFS(Permissions!$B$2:$B$3000,$A355,Permissions!$R$2:$R$3000,"Yes")</f>
        <v>1</v>
      </c>
      <c r="BA355" s="24" t="n">
        <f aca="false">SUMIFS(Permissions!$M$2:$M$3000,Permissions!$B$2:$B$3000,$A355,Permissions!$R$2:$R$3000,"Yes")</f>
        <v>4</v>
      </c>
      <c r="BB355" s="24" t="n">
        <f aca="false">SUMIFS(Permissions!$O$2:$O$3000,Permissions!$B$2:$B$3000,$A355,Permissions!$R$2:$R$3000,"Yes")</f>
        <v>0</v>
      </c>
      <c r="BC355" s="27" t="str">
        <f aca="false">IF(AND(AM355&gt;0,AR355&gt;=AM355,AP355=0),"Finished",IF(AR355&gt;0,"Partly built",IF(AM355&gt;0,"Consented – not built","No consent")))</f>
        <v>Finished</v>
      </c>
      <c r="BD355" s="28" t="str">
        <f aca="false">IF(AND(R355&lt;&gt;"",AM355&gt;1.1*R355),"Consented above capacity",IF(AND(LEFT(B355,8)="Planning",AZ355=0),"Consent parcel with no permission",IF(COUNTIF($A$2:$A$3000,$A355)&gt;1,"Duplicate parcel_id","")))</f>
        <v/>
      </c>
    </row>
    <row r="356" customFormat="false" ht="15" hidden="false" customHeight="false" outlineLevel="0" collapsed="false">
      <c r="A356" s="15" t="s">
        <v>821</v>
      </c>
      <c r="B356" s="15" t="s">
        <v>12</v>
      </c>
      <c r="C356" s="15" t="s">
        <v>17</v>
      </c>
      <c r="D356" s="15" t="s">
        <v>74</v>
      </c>
      <c r="E356" s="15" t="s">
        <v>21</v>
      </c>
      <c r="F356" s="15" t="n">
        <v>1</v>
      </c>
      <c r="G356" s="15" t="s">
        <v>158</v>
      </c>
      <c r="H356" s="15"/>
      <c r="I356" s="15" t="s">
        <v>346</v>
      </c>
      <c r="J356" s="15" t="s">
        <v>159</v>
      </c>
      <c r="K356" s="15" t="s">
        <v>822</v>
      </c>
      <c r="L356" s="15"/>
      <c r="M356" s="15"/>
      <c r="N356" s="15"/>
      <c r="O356" s="15"/>
      <c r="P356" s="15" t="n">
        <v>0.196</v>
      </c>
      <c r="Q356" s="15" t="n">
        <v>0.196</v>
      </c>
      <c r="R356" s="15"/>
      <c r="S356" s="15" t="s">
        <v>459</v>
      </c>
      <c r="T356" s="15" t="n">
        <v>5</v>
      </c>
      <c r="U356" s="15"/>
      <c r="V356" s="15"/>
      <c r="W356" s="15"/>
      <c r="X356" s="15" t="s">
        <v>353</v>
      </c>
      <c r="Y356" s="15" t="n">
        <v>25</v>
      </c>
      <c r="Z356" s="15" t="s">
        <v>354</v>
      </c>
      <c r="AA356" s="15"/>
      <c r="AB356" s="15" t="n">
        <v>0</v>
      </c>
      <c r="AC356" s="15" t="n">
        <v>0</v>
      </c>
      <c r="AD356" s="15"/>
      <c r="AE356" s="15" t="s">
        <v>486</v>
      </c>
      <c r="AF356" s="15" t="s">
        <v>169</v>
      </c>
      <c r="AG356" s="15"/>
      <c r="AH356" s="24" t="n">
        <f aca="false">IF(R356="",AM356,R356)</f>
        <v>24</v>
      </c>
      <c r="AI356" s="24" t="n">
        <f aca="false">SUMIFS(Permissions!$G$2:$G$3000,Permissions!$B$2:$B$3000,$A356,Permissions!$I$2:$I$3000,"Complete",Permissions!$R$2:$R$3000,"Yes")</f>
        <v>0</v>
      </c>
      <c r="AJ356" s="24" t="n">
        <f aca="false">SUMIFS(Permissions!$G$2:$G$3000,Permissions!$B$2:$B$3000,$A356,Permissions!$I$2:$I$3000,"Under construction",Permissions!$R$2:$R$3000,"Yes")</f>
        <v>0</v>
      </c>
      <c r="AK356" s="24" t="n">
        <f aca="false">SUMIFS(Permissions!$G$2:$G$3000,Permissions!$B$2:$B$3000,$A356,Permissions!$I$2:$I$3000,"Permitted – not started",Permissions!$R$2:$R$3000,"Yes")</f>
        <v>24</v>
      </c>
      <c r="AL356" s="24" t="n">
        <f aca="false">SUMIFS(Permissions!$G$2:$G$3000,Permissions!$B$2:$B$3000,$A356,Permissions!$I$2:$I$3000,"Stalled",Permissions!$R$2:$R$3000,"Yes")</f>
        <v>0</v>
      </c>
      <c r="AM356" s="24" t="n">
        <f aca="false">AI356+AJ356+AK356+AL356</f>
        <v>24</v>
      </c>
      <c r="AN356" s="24" t="n">
        <f aca="false">SUMIFS(Permissions!$G$2:$G$3000,Permissions!$B$2:$B$3000,$A356,Permissions!$I$2:$I$3000,"Expired – not started",Permissions!$R$2:$R$3000,"Yes")</f>
        <v>0</v>
      </c>
      <c r="AO356" s="24" t="n">
        <f aca="false">SUMIFS(Permissions!$G$2:$G$3000,Permissions!$B$2:$B$3000,$A356,Permissions!$I$2:$I$3000,"In planning",Permissions!$R$2:$R$3000,"Yes")</f>
        <v>0</v>
      </c>
      <c r="AP356" s="24" t="n">
        <f aca="false">IF(R356="",0,MAX(R356-AM356,0))</f>
        <v>0</v>
      </c>
      <c r="AQ356" s="25" t="n">
        <f aca="false">AM356+AP356</f>
        <v>24</v>
      </c>
      <c r="AR356" s="24" t="n">
        <f aca="false">SUMIFS(Permissions!$L$2:$L$3000,Permissions!$B$2:$B$3000,$A356,Permissions!$R$2:$R$3000,"Yes",Permissions!$I$2:$I$3000,"&lt;&gt;Expired – not started",Permissions!$I$2:$I$3000,"&lt;&gt;In planning")</f>
        <v>0</v>
      </c>
      <c r="AS356" s="24" t="n">
        <f aca="false">AQ356-AR356</f>
        <v>24</v>
      </c>
      <c r="AT356" s="26" t="n">
        <f aca="false">SUMIFS(Permissions!$AJ$2:$AJ$3000,Permissions!$B$2:$B$3000,$A356,Permissions!$R$2:$R$3000,"Yes")</f>
        <v>0</v>
      </c>
      <c r="AU356" s="26" t="n">
        <f aca="false">SUMIFS(Permissions!$AK$2:$AK$3000,Permissions!$B$2:$B$3000,$A356,Permissions!$R$2:$R$3000,"Yes")</f>
        <v>0</v>
      </c>
      <c r="AV356" s="26" t="n">
        <f aca="false">SUMIFS(Permissions!$AL$2:$AL$3000,Permissions!$B$2:$B$3000,$A356,Permissions!$R$2:$R$3000,"Yes")</f>
        <v>6.2</v>
      </c>
      <c r="AW356" s="26" t="n">
        <f aca="false">SUMIFS(Permissions!$AM$2:$AM$3000,Permissions!$B$2:$B$3000,$A356,Permissions!$R$2:$R$3000,"Yes")</f>
        <v>12.8</v>
      </c>
      <c r="AX356" s="26" t="n">
        <f aca="false">SUMIFS(Permissions!$AN$2:$AN$3000,Permissions!$B$2:$B$3000,$A356,Permissions!$R$2:$R$3000,"Yes")</f>
        <v>5</v>
      </c>
      <c r="AY356" s="26" t="n">
        <f aca="false">SUMIFS(Permissions!$AO$2:$AO$3000,Permissions!$B$2:$B$3000,$A356,Permissions!$R$2:$R$3000,"Yes")</f>
        <v>0</v>
      </c>
      <c r="AZ356" s="24" t="n">
        <f aca="false">COUNTIFS(Permissions!$B$2:$B$3000,$A356,Permissions!$R$2:$R$3000,"Yes")</f>
        <v>1</v>
      </c>
      <c r="BA356" s="24" t="n">
        <f aca="false">SUMIFS(Permissions!$M$2:$M$3000,Permissions!$B$2:$B$3000,$A356,Permissions!$R$2:$R$3000,"Yes")</f>
        <v>0</v>
      </c>
      <c r="BB356" s="24" t="n">
        <f aca="false">SUMIFS(Permissions!$O$2:$O$3000,Permissions!$B$2:$B$3000,$A356,Permissions!$R$2:$R$3000,"Yes")</f>
        <v>0</v>
      </c>
      <c r="BC356" s="27" t="str">
        <f aca="false">IF(AND(AM356&gt;0,AR356&gt;=AM356,AP356=0),"Finished",IF(AR356&gt;0,"Partly built",IF(AM356&gt;0,"Consented – not built","No consent")))</f>
        <v>Consented – not built</v>
      </c>
      <c r="BD356" s="28" t="str">
        <f aca="false">IF(AND(R356&lt;&gt;"",AM356&gt;1.1*R356),"Consented above capacity",IF(AND(LEFT(B356,8)="Planning",AZ356=0),"Consent parcel with no permission",IF(COUNTIF($A$2:$A$3000,$A356)&gt;1,"Duplicate parcel_id","")))</f>
        <v/>
      </c>
    </row>
    <row r="357" customFormat="false" ht="15" hidden="false" customHeight="false" outlineLevel="0" collapsed="false">
      <c r="A357" s="15" t="s">
        <v>823</v>
      </c>
      <c r="B357" s="15" t="s">
        <v>12</v>
      </c>
      <c r="C357" s="15" t="s">
        <v>17</v>
      </c>
      <c r="D357" s="15" t="s">
        <v>22</v>
      </c>
      <c r="E357" s="15" t="s">
        <v>22</v>
      </c>
      <c r="F357" s="15"/>
      <c r="G357" s="15" t="s">
        <v>22</v>
      </c>
      <c r="H357" s="15"/>
      <c r="I357" s="15" t="s">
        <v>346</v>
      </c>
      <c r="J357" s="15" t="s">
        <v>390</v>
      </c>
      <c r="K357" s="15" t="s">
        <v>824</v>
      </c>
      <c r="L357" s="15"/>
      <c r="M357" s="15"/>
      <c r="N357" s="15"/>
      <c r="O357" s="15"/>
      <c r="P357" s="15" t="n">
        <v>0.196</v>
      </c>
      <c r="Q357" s="15" t="n">
        <v>0.196</v>
      </c>
      <c r="R357" s="15"/>
      <c r="S357" s="15" t="s">
        <v>459</v>
      </c>
      <c r="T357" s="15" t="n">
        <v>5</v>
      </c>
      <c r="U357" s="15"/>
      <c r="V357" s="15"/>
      <c r="W357" s="15"/>
      <c r="X357" s="15" t="s">
        <v>353</v>
      </c>
      <c r="Y357" s="15" t="n">
        <v>25</v>
      </c>
      <c r="Z357" s="15" t="s">
        <v>354</v>
      </c>
      <c r="AA357" s="15"/>
      <c r="AB357" s="15" t="n">
        <v>5</v>
      </c>
      <c r="AC357" s="15" t="n">
        <v>0</v>
      </c>
      <c r="AD357" s="15"/>
      <c r="AE357" s="15" t="s">
        <v>486</v>
      </c>
      <c r="AF357" s="15" t="s">
        <v>169</v>
      </c>
      <c r="AG357" s="15"/>
      <c r="AH357" s="24" t="n">
        <f aca="false">IF(R357="",AM357,R357)</f>
        <v>4</v>
      </c>
      <c r="AI357" s="24" t="n">
        <f aca="false">SUMIFS(Permissions!$G$2:$G$3000,Permissions!$B$2:$B$3000,$A357,Permissions!$I$2:$I$3000,"Complete",Permissions!$R$2:$R$3000,"Yes")</f>
        <v>0</v>
      </c>
      <c r="AJ357" s="24" t="n">
        <f aca="false">SUMIFS(Permissions!$G$2:$G$3000,Permissions!$B$2:$B$3000,$A357,Permissions!$I$2:$I$3000,"Under construction",Permissions!$R$2:$R$3000,"Yes")</f>
        <v>0</v>
      </c>
      <c r="AK357" s="24" t="n">
        <f aca="false">SUMIFS(Permissions!$G$2:$G$3000,Permissions!$B$2:$B$3000,$A357,Permissions!$I$2:$I$3000,"Permitted – not started",Permissions!$R$2:$R$3000,"Yes")</f>
        <v>4</v>
      </c>
      <c r="AL357" s="24" t="n">
        <f aca="false">SUMIFS(Permissions!$G$2:$G$3000,Permissions!$B$2:$B$3000,$A357,Permissions!$I$2:$I$3000,"Stalled",Permissions!$R$2:$R$3000,"Yes")</f>
        <v>0</v>
      </c>
      <c r="AM357" s="24" t="n">
        <f aca="false">AI357+AJ357+AK357+AL357</f>
        <v>4</v>
      </c>
      <c r="AN357" s="24" t="n">
        <f aca="false">SUMIFS(Permissions!$G$2:$G$3000,Permissions!$B$2:$B$3000,$A357,Permissions!$I$2:$I$3000,"Expired – not started",Permissions!$R$2:$R$3000,"Yes")</f>
        <v>0</v>
      </c>
      <c r="AO357" s="24" t="n">
        <f aca="false">SUMIFS(Permissions!$G$2:$G$3000,Permissions!$B$2:$B$3000,$A357,Permissions!$I$2:$I$3000,"In planning",Permissions!$R$2:$R$3000,"Yes")</f>
        <v>0</v>
      </c>
      <c r="AP357" s="24" t="n">
        <f aca="false">IF(R357="",0,MAX(R357-AM357,0))</f>
        <v>0</v>
      </c>
      <c r="AQ357" s="25" t="n">
        <f aca="false">AM357+AP357</f>
        <v>4</v>
      </c>
      <c r="AR357" s="24" t="n">
        <f aca="false">SUMIFS(Permissions!$L$2:$L$3000,Permissions!$B$2:$B$3000,$A357,Permissions!$R$2:$R$3000,"Yes",Permissions!$I$2:$I$3000,"&lt;&gt;Expired – not started",Permissions!$I$2:$I$3000,"&lt;&gt;In planning")</f>
        <v>0</v>
      </c>
      <c r="AS357" s="24" t="n">
        <f aca="false">AQ357-AR357</f>
        <v>4</v>
      </c>
      <c r="AT357" s="26" t="n">
        <f aca="false">SUMIFS(Permissions!$AJ$2:$AJ$3000,Permissions!$B$2:$B$3000,$A357,Permissions!$R$2:$R$3000,"Yes")</f>
        <v>0</v>
      </c>
      <c r="AU357" s="26" t="n">
        <f aca="false">SUMIFS(Permissions!$AK$2:$AK$3000,Permissions!$B$2:$B$3000,$A357,Permissions!$R$2:$R$3000,"Yes")</f>
        <v>0</v>
      </c>
      <c r="AV357" s="26" t="n">
        <f aca="false">SUMIFS(Permissions!$AL$2:$AL$3000,Permissions!$B$2:$B$3000,$A357,Permissions!$R$2:$R$3000,"Yes")</f>
        <v>3.5</v>
      </c>
      <c r="AW357" s="26" t="n">
        <f aca="false">SUMIFS(Permissions!$AM$2:$AM$3000,Permissions!$B$2:$B$3000,$A357,Permissions!$R$2:$R$3000,"Yes")</f>
        <v>0.5</v>
      </c>
      <c r="AX357" s="26" t="n">
        <f aca="false">SUMIFS(Permissions!$AN$2:$AN$3000,Permissions!$B$2:$B$3000,$A357,Permissions!$R$2:$R$3000,"Yes")</f>
        <v>0</v>
      </c>
      <c r="AY357" s="26" t="n">
        <f aca="false">SUMIFS(Permissions!$AO$2:$AO$3000,Permissions!$B$2:$B$3000,$A357,Permissions!$R$2:$R$3000,"Yes")</f>
        <v>0</v>
      </c>
      <c r="AZ357" s="24" t="n">
        <f aca="false">COUNTIFS(Permissions!$B$2:$B$3000,$A357,Permissions!$R$2:$R$3000,"Yes")</f>
        <v>1</v>
      </c>
      <c r="BA357" s="24" t="n">
        <f aca="false">SUMIFS(Permissions!$M$2:$M$3000,Permissions!$B$2:$B$3000,$A357,Permissions!$R$2:$R$3000,"Yes")</f>
        <v>0</v>
      </c>
      <c r="BB357" s="24" t="n">
        <f aca="false">SUMIFS(Permissions!$O$2:$O$3000,Permissions!$B$2:$B$3000,$A357,Permissions!$R$2:$R$3000,"Yes")</f>
        <v>0</v>
      </c>
      <c r="BC357" s="27" t="str">
        <f aca="false">IF(AND(AM357&gt;0,AR357&gt;=AM357,AP357=0),"Finished",IF(AR357&gt;0,"Partly built",IF(AM357&gt;0,"Consented – not built","No consent")))</f>
        <v>Consented – not built</v>
      </c>
      <c r="BD357" s="28" t="str">
        <f aca="false">IF(AND(R357&lt;&gt;"",AM357&gt;1.1*R357),"Consented above capacity",IF(AND(LEFT(B357,8)="Planning",AZ357=0),"Consent parcel with no permission",IF(COUNTIF($A$2:$A$3000,$A357)&gt;1,"Duplicate parcel_id","")))</f>
        <v/>
      </c>
    </row>
    <row r="358" customFormat="false" ht="15" hidden="false" customHeight="false" outlineLevel="0" collapsed="false">
      <c r="A358" s="15" t="s">
        <v>825</v>
      </c>
      <c r="B358" s="15" t="s">
        <v>12</v>
      </c>
      <c r="C358" s="15" t="s">
        <v>17</v>
      </c>
      <c r="D358" s="15" t="s">
        <v>65</v>
      </c>
      <c r="E358" s="15" t="s">
        <v>20</v>
      </c>
      <c r="F358" s="15" t="n">
        <v>1</v>
      </c>
      <c r="G358" s="15" t="s">
        <v>158</v>
      </c>
      <c r="H358" s="15"/>
      <c r="I358" s="15" t="s">
        <v>346</v>
      </c>
      <c r="J358" s="15" t="s">
        <v>347</v>
      </c>
      <c r="K358" s="15" t="s">
        <v>826</v>
      </c>
      <c r="L358" s="15"/>
      <c r="M358" s="15"/>
      <c r="N358" s="15"/>
      <c r="O358" s="15"/>
      <c r="P358" s="15" t="n">
        <v>0.196</v>
      </c>
      <c r="Q358" s="15" t="n">
        <v>0.196</v>
      </c>
      <c r="R358" s="15"/>
      <c r="S358" s="15" t="s">
        <v>459</v>
      </c>
      <c r="T358" s="15" t="n">
        <v>5</v>
      </c>
      <c r="U358" s="15"/>
      <c r="V358" s="15"/>
      <c r="W358" s="15"/>
      <c r="X358" s="15" t="s">
        <v>353</v>
      </c>
      <c r="Y358" s="15" t="n">
        <v>25</v>
      </c>
      <c r="Z358" s="15" t="s">
        <v>354</v>
      </c>
      <c r="AA358" s="15"/>
      <c r="AB358" s="15" t="n">
        <v>2</v>
      </c>
      <c r="AC358" s="15" t="n">
        <v>0</v>
      </c>
      <c r="AD358" s="15"/>
      <c r="AE358" s="15" t="s">
        <v>486</v>
      </c>
      <c r="AF358" s="15" t="s">
        <v>169</v>
      </c>
      <c r="AG358" s="15"/>
      <c r="AH358" s="24" t="n">
        <f aca="false">IF(R358="",AM358,R358)</f>
        <v>11</v>
      </c>
      <c r="AI358" s="24" t="n">
        <f aca="false">SUMIFS(Permissions!$G$2:$G$3000,Permissions!$B$2:$B$3000,$A358,Permissions!$I$2:$I$3000,"Complete",Permissions!$R$2:$R$3000,"Yes")</f>
        <v>0</v>
      </c>
      <c r="AJ358" s="24" t="n">
        <f aca="false">SUMIFS(Permissions!$G$2:$G$3000,Permissions!$B$2:$B$3000,$A358,Permissions!$I$2:$I$3000,"Under construction",Permissions!$R$2:$R$3000,"Yes")</f>
        <v>11</v>
      </c>
      <c r="AK358" s="24" t="n">
        <f aca="false">SUMIFS(Permissions!$G$2:$G$3000,Permissions!$B$2:$B$3000,$A358,Permissions!$I$2:$I$3000,"Permitted – not started",Permissions!$R$2:$R$3000,"Yes")</f>
        <v>0</v>
      </c>
      <c r="AL358" s="24" t="n">
        <f aca="false">SUMIFS(Permissions!$G$2:$G$3000,Permissions!$B$2:$B$3000,$A358,Permissions!$I$2:$I$3000,"Stalled",Permissions!$R$2:$R$3000,"Yes")</f>
        <v>0</v>
      </c>
      <c r="AM358" s="24" t="n">
        <f aca="false">AI358+AJ358+AK358+AL358</f>
        <v>11</v>
      </c>
      <c r="AN358" s="24" t="n">
        <f aca="false">SUMIFS(Permissions!$G$2:$G$3000,Permissions!$B$2:$B$3000,$A358,Permissions!$I$2:$I$3000,"Expired – not started",Permissions!$R$2:$R$3000,"Yes")</f>
        <v>0</v>
      </c>
      <c r="AO358" s="24" t="n">
        <f aca="false">SUMIFS(Permissions!$G$2:$G$3000,Permissions!$B$2:$B$3000,$A358,Permissions!$I$2:$I$3000,"In planning",Permissions!$R$2:$R$3000,"Yes")</f>
        <v>0</v>
      </c>
      <c r="AP358" s="24" t="n">
        <f aca="false">IF(R358="",0,MAX(R358-AM358,0))</f>
        <v>0</v>
      </c>
      <c r="AQ358" s="25" t="n">
        <f aca="false">AM358+AP358</f>
        <v>11</v>
      </c>
      <c r="AR358" s="24" t="n">
        <f aca="false">SUMIFS(Permissions!$L$2:$L$3000,Permissions!$B$2:$B$3000,$A358,Permissions!$R$2:$R$3000,"Yes",Permissions!$I$2:$I$3000,"&lt;&gt;Expired – not started",Permissions!$I$2:$I$3000,"&lt;&gt;In planning")</f>
        <v>0</v>
      </c>
      <c r="AS358" s="24" t="n">
        <f aca="false">AQ358-AR358</f>
        <v>11</v>
      </c>
      <c r="AT358" s="26" t="n">
        <f aca="false">SUMIFS(Permissions!$AJ$2:$AJ$3000,Permissions!$B$2:$B$3000,$A358,Permissions!$R$2:$R$3000,"Yes")</f>
        <v>2.6</v>
      </c>
      <c r="AU358" s="26" t="n">
        <f aca="false">SUMIFS(Permissions!$AK$2:$AK$3000,Permissions!$B$2:$B$3000,$A358,Permissions!$R$2:$R$3000,"Yes")</f>
        <v>8.4</v>
      </c>
      <c r="AV358" s="26" t="n">
        <f aca="false">SUMIFS(Permissions!$AL$2:$AL$3000,Permissions!$B$2:$B$3000,$A358,Permissions!$R$2:$R$3000,"Yes")</f>
        <v>0</v>
      </c>
      <c r="AW358" s="26" t="n">
        <f aca="false">SUMIFS(Permissions!$AM$2:$AM$3000,Permissions!$B$2:$B$3000,$A358,Permissions!$R$2:$R$3000,"Yes")</f>
        <v>0</v>
      </c>
      <c r="AX358" s="26" t="n">
        <f aca="false">SUMIFS(Permissions!$AN$2:$AN$3000,Permissions!$B$2:$B$3000,$A358,Permissions!$R$2:$R$3000,"Yes")</f>
        <v>0</v>
      </c>
      <c r="AY358" s="26" t="n">
        <f aca="false">SUMIFS(Permissions!$AO$2:$AO$3000,Permissions!$B$2:$B$3000,$A358,Permissions!$R$2:$R$3000,"Yes")</f>
        <v>0</v>
      </c>
      <c r="AZ358" s="24" t="n">
        <f aca="false">COUNTIFS(Permissions!$B$2:$B$3000,$A358,Permissions!$R$2:$R$3000,"Yes")</f>
        <v>1</v>
      </c>
      <c r="BA358" s="24" t="n">
        <f aca="false">SUMIFS(Permissions!$M$2:$M$3000,Permissions!$B$2:$B$3000,$A358,Permissions!$R$2:$R$3000,"Yes")</f>
        <v>0</v>
      </c>
      <c r="BB358" s="24" t="n">
        <f aca="false">SUMIFS(Permissions!$O$2:$O$3000,Permissions!$B$2:$B$3000,$A358,Permissions!$R$2:$R$3000,"Yes")</f>
        <v>0</v>
      </c>
      <c r="BC358" s="27" t="str">
        <f aca="false">IF(AND(AM358&gt;0,AR358&gt;=AM358,AP358=0),"Finished",IF(AR358&gt;0,"Partly built",IF(AM358&gt;0,"Consented – not built","No consent")))</f>
        <v>Consented – not built</v>
      </c>
      <c r="BD358" s="28" t="str">
        <f aca="false">IF(AND(R358&lt;&gt;"",AM358&gt;1.1*R358),"Consented above capacity",IF(AND(LEFT(B358,8)="Planning",AZ358=0),"Consent parcel with no permission",IF(COUNTIF($A$2:$A$3000,$A358)&gt;1,"Duplicate parcel_id","")))</f>
        <v/>
      </c>
    </row>
    <row r="359" customFormat="false" ht="15" hidden="false" customHeight="false" outlineLevel="0" collapsed="false">
      <c r="A359" s="15" t="s">
        <v>827</v>
      </c>
      <c r="B359" s="15" t="s">
        <v>12</v>
      </c>
      <c r="C359" s="15" t="s">
        <v>17</v>
      </c>
      <c r="D359" s="15" t="s">
        <v>22</v>
      </c>
      <c r="E359" s="15" t="s">
        <v>22</v>
      </c>
      <c r="F359" s="15"/>
      <c r="G359" s="15" t="s">
        <v>22</v>
      </c>
      <c r="H359" s="15"/>
      <c r="I359" s="15" t="s">
        <v>346</v>
      </c>
      <c r="J359" s="15" t="s">
        <v>363</v>
      </c>
      <c r="K359" s="15" t="s">
        <v>828</v>
      </c>
      <c r="L359" s="15"/>
      <c r="M359" s="15"/>
      <c r="N359" s="15"/>
      <c r="O359" s="15"/>
      <c r="P359" s="15" t="n">
        <v>0.196</v>
      </c>
      <c r="Q359" s="15" t="n">
        <v>0.196</v>
      </c>
      <c r="R359" s="15" t="n">
        <v>4</v>
      </c>
      <c r="S359" s="15" t="s">
        <v>485</v>
      </c>
      <c r="T359" s="15" t="n">
        <v>5</v>
      </c>
      <c r="U359" s="15"/>
      <c r="V359" s="15"/>
      <c r="W359" s="15"/>
      <c r="X359" s="15" t="s">
        <v>353</v>
      </c>
      <c r="Y359" s="15" t="n">
        <v>25</v>
      </c>
      <c r="Z359" s="15" t="s">
        <v>354</v>
      </c>
      <c r="AA359" s="15"/>
      <c r="AB359" s="15" t="n">
        <v>1</v>
      </c>
      <c r="AC359" s="15" t="n">
        <v>0</v>
      </c>
      <c r="AD359" s="15"/>
      <c r="AE359" s="15" t="s">
        <v>486</v>
      </c>
      <c r="AF359" s="15" t="s">
        <v>169</v>
      </c>
      <c r="AG359" s="15"/>
      <c r="AH359" s="24" t="n">
        <f aca="false">IF(R359="",AM359,R359)</f>
        <v>4</v>
      </c>
      <c r="AI359" s="24" t="n">
        <f aca="false">SUMIFS(Permissions!$G$2:$G$3000,Permissions!$B$2:$B$3000,$A359,Permissions!$I$2:$I$3000,"Complete",Permissions!$R$2:$R$3000,"Yes")</f>
        <v>0</v>
      </c>
      <c r="AJ359" s="24" t="n">
        <f aca="false">SUMIFS(Permissions!$G$2:$G$3000,Permissions!$B$2:$B$3000,$A359,Permissions!$I$2:$I$3000,"Under construction",Permissions!$R$2:$R$3000,"Yes")</f>
        <v>0</v>
      </c>
      <c r="AK359" s="24" t="n">
        <f aca="false">SUMIFS(Permissions!$G$2:$G$3000,Permissions!$B$2:$B$3000,$A359,Permissions!$I$2:$I$3000,"Permitted – not started",Permissions!$R$2:$R$3000,"Yes")</f>
        <v>0</v>
      </c>
      <c r="AL359" s="24" t="n">
        <f aca="false">SUMIFS(Permissions!$G$2:$G$3000,Permissions!$B$2:$B$3000,$A359,Permissions!$I$2:$I$3000,"Stalled",Permissions!$R$2:$R$3000,"Yes")</f>
        <v>0</v>
      </c>
      <c r="AM359" s="24" t="n">
        <f aca="false">AI359+AJ359+AK359+AL359</f>
        <v>0</v>
      </c>
      <c r="AN359" s="24" t="n">
        <f aca="false">SUMIFS(Permissions!$G$2:$G$3000,Permissions!$B$2:$B$3000,$A359,Permissions!$I$2:$I$3000,"Expired – not started",Permissions!$R$2:$R$3000,"Yes")</f>
        <v>0</v>
      </c>
      <c r="AO359" s="24" t="n">
        <f aca="false">SUMIFS(Permissions!$G$2:$G$3000,Permissions!$B$2:$B$3000,$A359,Permissions!$I$2:$I$3000,"In planning",Permissions!$R$2:$R$3000,"Yes")</f>
        <v>4</v>
      </c>
      <c r="AP359" s="24" t="n">
        <f aca="false">IF(R359="",0,MAX(R359-AM359,0))</f>
        <v>4</v>
      </c>
      <c r="AQ359" s="25" t="n">
        <f aca="false">AM359+AP359</f>
        <v>4</v>
      </c>
      <c r="AR359" s="24" t="n">
        <f aca="false">SUMIFS(Permissions!$L$2:$L$3000,Permissions!$B$2:$B$3000,$A359,Permissions!$R$2:$R$3000,"Yes",Permissions!$I$2:$I$3000,"&lt;&gt;Expired – not started",Permissions!$I$2:$I$3000,"&lt;&gt;In planning")</f>
        <v>0</v>
      </c>
      <c r="AS359" s="24" t="n">
        <f aca="false">AQ359-AR359</f>
        <v>4</v>
      </c>
      <c r="AT359" s="26" t="n">
        <f aca="false">SUMIFS(Permissions!$AJ$2:$AJ$3000,Permissions!$B$2:$B$3000,$A359,Permissions!$R$2:$R$3000,"Yes")</f>
        <v>0</v>
      </c>
      <c r="AU359" s="26" t="n">
        <f aca="false">SUMIFS(Permissions!$AK$2:$AK$3000,Permissions!$B$2:$B$3000,$A359,Permissions!$R$2:$R$3000,"Yes")</f>
        <v>0</v>
      </c>
      <c r="AV359" s="26" t="n">
        <f aca="false">SUMIFS(Permissions!$AL$2:$AL$3000,Permissions!$B$2:$B$3000,$A359,Permissions!$R$2:$R$3000,"Yes")</f>
        <v>0</v>
      </c>
      <c r="AW359" s="26" t="n">
        <f aca="false">SUMIFS(Permissions!$AM$2:$AM$3000,Permissions!$B$2:$B$3000,$A359,Permissions!$R$2:$R$3000,"Yes")</f>
        <v>0</v>
      </c>
      <c r="AX359" s="26" t="n">
        <f aca="false">SUMIFS(Permissions!$AN$2:$AN$3000,Permissions!$B$2:$B$3000,$A359,Permissions!$R$2:$R$3000,"Yes")</f>
        <v>0</v>
      </c>
      <c r="AY359" s="26" t="n">
        <f aca="false">SUMIFS(Permissions!$AO$2:$AO$3000,Permissions!$B$2:$B$3000,$A359,Permissions!$R$2:$R$3000,"Yes")</f>
        <v>0</v>
      </c>
      <c r="AZ359" s="24" t="n">
        <f aca="false">COUNTIFS(Permissions!$B$2:$B$3000,$A359,Permissions!$R$2:$R$3000,"Yes")</f>
        <v>1</v>
      </c>
      <c r="BA359" s="24" t="n">
        <f aca="false">SUMIFS(Permissions!$M$2:$M$3000,Permissions!$B$2:$B$3000,$A359,Permissions!$R$2:$R$3000,"Yes")</f>
        <v>0</v>
      </c>
      <c r="BB359" s="24" t="n">
        <f aca="false">SUMIFS(Permissions!$O$2:$O$3000,Permissions!$B$2:$B$3000,$A359,Permissions!$R$2:$R$3000,"Yes")</f>
        <v>0</v>
      </c>
      <c r="BC359" s="27" t="str">
        <f aca="false">IF(AND(AM359&gt;0,AR359&gt;=AM359,AP359=0),"Finished",IF(AR359&gt;0,"Partly built",IF(AM359&gt;0,"Consented – not built","No consent")))</f>
        <v>No consent</v>
      </c>
      <c r="BD359" s="28" t="str">
        <f aca="false">IF(AND(R359&lt;&gt;"",AM359&gt;1.1*R359),"Consented above capacity",IF(AND(LEFT(B359,8)="Planning",AZ359=0),"Consent parcel with no permission",IF(COUNTIF($A$2:$A$3000,$A359)&gt;1,"Duplicate parcel_id","")))</f>
        <v/>
      </c>
    </row>
    <row r="360" customFormat="false" ht="15" hidden="false" customHeight="false" outlineLevel="0" collapsed="false">
      <c r="A360" s="15" t="s">
        <v>829</v>
      </c>
      <c r="B360" s="15" t="s">
        <v>12</v>
      </c>
      <c r="C360" s="15" t="s">
        <v>17</v>
      </c>
      <c r="D360" s="15" t="s">
        <v>68</v>
      </c>
      <c r="E360" s="15" t="s">
        <v>21</v>
      </c>
      <c r="F360" s="15" t="n">
        <v>1</v>
      </c>
      <c r="G360" s="15" t="s">
        <v>158</v>
      </c>
      <c r="H360" s="15"/>
      <c r="I360" s="15" t="s">
        <v>346</v>
      </c>
      <c r="J360" s="15" t="s">
        <v>363</v>
      </c>
      <c r="K360" s="15" t="s">
        <v>830</v>
      </c>
      <c r="L360" s="15"/>
      <c r="M360" s="15"/>
      <c r="N360" s="15"/>
      <c r="O360" s="15"/>
      <c r="P360" s="15" t="n">
        <v>0.196</v>
      </c>
      <c r="Q360" s="15" t="n">
        <v>0.196</v>
      </c>
      <c r="R360" s="15"/>
      <c r="S360" s="15" t="s">
        <v>459</v>
      </c>
      <c r="T360" s="15" t="n">
        <v>5</v>
      </c>
      <c r="U360" s="15"/>
      <c r="V360" s="15"/>
      <c r="W360" s="15"/>
      <c r="X360" s="15" t="s">
        <v>353</v>
      </c>
      <c r="Y360" s="15" t="n">
        <v>25</v>
      </c>
      <c r="Z360" s="15" t="s">
        <v>354</v>
      </c>
      <c r="AA360" s="15"/>
      <c r="AB360" s="15" t="n">
        <v>14</v>
      </c>
      <c r="AC360" s="15" t="n">
        <v>1</v>
      </c>
      <c r="AD360" s="15"/>
      <c r="AE360" s="15" t="s">
        <v>486</v>
      </c>
      <c r="AF360" s="15" t="s">
        <v>169</v>
      </c>
      <c r="AG360" s="15"/>
      <c r="AH360" s="24" t="n">
        <f aca="false">IF(R360="",AM360,R360)</f>
        <v>18</v>
      </c>
      <c r="AI360" s="24" t="n">
        <f aca="false">SUMIFS(Permissions!$G$2:$G$3000,Permissions!$B$2:$B$3000,$A360,Permissions!$I$2:$I$3000,"Complete",Permissions!$R$2:$R$3000,"Yes")</f>
        <v>0</v>
      </c>
      <c r="AJ360" s="24" t="n">
        <f aca="false">SUMIFS(Permissions!$G$2:$G$3000,Permissions!$B$2:$B$3000,$A360,Permissions!$I$2:$I$3000,"Under construction",Permissions!$R$2:$R$3000,"Yes")</f>
        <v>18</v>
      </c>
      <c r="AK360" s="24" t="n">
        <f aca="false">SUMIFS(Permissions!$G$2:$G$3000,Permissions!$B$2:$B$3000,$A360,Permissions!$I$2:$I$3000,"Permitted – not started",Permissions!$R$2:$R$3000,"Yes")</f>
        <v>0</v>
      </c>
      <c r="AL360" s="24" t="n">
        <f aca="false">SUMIFS(Permissions!$G$2:$G$3000,Permissions!$B$2:$B$3000,$A360,Permissions!$I$2:$I$3000,"Stalled",Permissions!$R$2:$R$3000,"Yes")</f>
        <v>0</v>
      </c>
      <c r="AM360" s="24" t="n">
        <f aca="false">AI360+AJ360+AK360+AL360</f>
        <v>18</v>
      </c>
      <c r="AN360" s="24" t="n">
        <f aca="false">SUMIFS(Permissions!$G$2:$G$3000,Permissions!$B$2:$B$3000,$A360,Permissions!$I$2:$I$3000,"Expired – not started",Permissions!$R$2:$R$3000,"Yes")</f>
        <v>0</v>
      </c>
      <c r="AO360" s="24" t="n">
        <f aca="false">SUMIFS(Permissions!$G$2:$G$3000,Permissions!$B$2:$B$3000,$A360,Permissions!$I$2:$I$3000,"In planning",Permissions!$R$2:$R$3000,"Yes")</f>
        <v>0</v>
      </c>
      <c r="AP360" s="24" t="n">
        <f aca="false">IF(R360="",0,MAX(R360-AM360,0))</f>
        <v>0</v>
      </c>
      <c r="AQ360" s="25" t="n">
        <f aca="false">AM360+AP360</f>
        <v>18</v>
      </c>
      <c r="AR360" s="24" t="n">
        <f aca="false">SUMIFS(Permissions!$L$2:$L$3000,Permissions!$B$2:$B$3000,$A360,Permissions!$R$2:$R$3000,"Yes",Permissions!$I$2:$I$3000,"&lt;&gt;Expired – not started",Permissions!$I$2:$I$3000,"&lt;&gt;In planning")</f>
        <v>0</v>
      </c>
      <c r="AS360" s="24" t="n">
        <f aca="false">AQ360-AR360</f>
        <v>18</v>
      </c>
      <c r="AT360" s="26" t="n">
        <f aca="false">SUMIFS(Permissions!$AJ$2:$AJ$3000,Permissions!$B$2:$B$3000,$A360,Permissions!$R$2:$R$3000,"Yes")</f>
        <v>0</v>
      </c>
      <c r="AU360" s="26" t="n">
        <f aca="false">SUMIFS(Permissions!$AK$2:$AK$3000,Permissions!$B$2:$B$3000,$A360,Permissions!$R$2:$R$3000,"Yes")</f>
        <v>10.2</v>
      </c>
      <c r="AV360" s="26" t="n">
        <f aca="false">SUMIFS(Permissions!$AL$2:$AL$3000,Permissions!$B$2:$B$3000,$A360,Permissions!$R$2:$R$3000,"Yes")</f>
        <v>7.8</v>
      </c>
      <c r="AW360" s="26" t="n">
        <f aca="false">SUMIFS(Permissions!$AM$2:$AM$3000,Permissions!$B$2:$B$3000,$A360,Permissions!$R$2:$R$3000,"Yes")</f>
        <v>0</v>
      </c>
      <c r="AX360" s="26" t="n">
        <f aca="false">SUMIFS(Permissions!$AN$2:$AN$3000,Permissions!$B$2:$B$3000,$A360,Permissions!$R$2:$R$3000,"Yes")</f>
        <v>0</v>
      </c>
      <c r="AY360" s="26" t="n">
        <f aca="false">SUMIFS(Permissions!$AO$2:$AO$3000,Permissions!$B$2:$B$3000,$A360,Permissions!$R$2:$R$3000,"Yes")</f>
        <v>0</v>
      </c>
      <c r="AZ360" s="24" t="n">
        <f aca="false">COUNTIFS(Permissions!$B$2:$B$3000,$A360,Permissions!$R$2:$R$3000,"Yes")</f>
        <v>1</v>
      </c>
      <c r="BA360" s="24" t="n">
        <f aca="false">SUMIFS(Permissions!$M$2:$M$3000,Permissions!$B$2:$B$3000,$A360,Permissions!$R$2:$R$3000,"Yes")</f>
        <v>0</v>
      </c>
      <c r="BB360" s="24" t="n">
        <f aca="false">SUMIFS(Permissions!$O$2:$O$3000,Permissions!$B$2:$B$3000,$A360,Permissions!$R$2:$R$3000,"Yes")</f>
        <v>0</v>
      </c>
      <c r="BC360" s="27" t="str">
        <f aca="false">IF(AND(AM360&gt;0,AR360&gt;=AM360,AP360=0),"Finished",IF(AR360&gt;0,"Partly built",IF(AM360&gt;0,"Consented – not built","No consent")))</f>
        <v>Consented – not built</v>
      </c>
      <c r="BD360" s="28" t="str">
        <f aca="false">IF(AND(R360&lt;&gt;"",AM360&gt;1.1*R360),"Consented above capacity",IF(AND(LEFT(B360,8)="Planning",AZ360=0),"Consent parcel with no permission",IF(COUNTIF($A$2:$A$3000,$A360)&gt;1,"Duplicate parcel_id","")))</f>
        <v/>
      </c>
    </row>
    <row r="361" customFormat="false" ht="15" hidden="false" customHeight="false" outlineLevel="0" collapsed="false">
      <c r="A361" s="15" t="s">
        <v>831</v>
      </c>
      <c r="B361" s="15" t="s">
        <v>13</v>
      </c>
      <c r="C361" s="15" t="s">
        <v>16</v>
      </c>
      <c r="D361" s="15" t="s">
        <v>50</v>
      </c>
      <c r="E361" s="15" t="s">
        <v>19</v>
      </c>
      <c r="F361" s="15" t="n">
        <v>1</v>
      </c>
      <c r="G361" s="15" t="s">
        <v>158</v>
      </c>
      <c r="H361" s="15"/>
      <c r="I361" s="15" t="s">
        <v>50</v>
      </c>
      <c r="J361" s="15" t="s">
        <v>159</v>
      </c>
      <c r="K361" s="15" t="s">
        <v>832</v>
      </c>
      <c r="L361" s="15"/>
      <c r="M361" s="15" t="s">
        <v>349</v>
      </c>
      <c r="N361" s="15"/>
      <c r="O361" s="15"/>
      <c r="P361" s="15" t="n">
        <v>0.146</v>
      </c>
      <c r="Q361" s="15" t="n">
        <v>0.16</v>
      </c>
      <c r="R361" s="15" t="n">
        <v>5</v>
      </c>
      <c r="S361" s="15" t="s">
        <v>833</v>
      </c>
      <c r="T361" s="15" t="n">
        <v>5</v>
      </c>
      <c r="U361" s="15" t="s">
        <v>834</v>
      </c>
      <c r="V361" s="15" t="s">
        <v>835</v>
      </c>
      <c r="W361" s="15"/>
      <c r="X361" s="15" t="s">
        <v>165</v>
      </c>
      <c r="Y361" s="15" t="n">
        <v>34</v>
      </c>
      <c r="Z361" s="15" t="s">
        <v>836</v>
      </c>
      <c r="AA361" s="15" t="n">
        <v>1</v>
      </c>
      <c r="AB361" s="15" t="n">
        <v>0</v>
      </c>
      <c r="AC361" s="15" t="n">
        <v>0</v>
      </c>
      <c r="AD361" s="15"/>
      <c r="AE361" s="15"/>
      <c r="AF361" s="15" t="s">
        <v>169</v>
      </c>
      <c r="AG361" s="15"/>
      <c r="AH361" s="24" t="n">
        <f aca="false">IF(R361="",AM361,R361)</f>
        <v>5</v>
      </c>
      <c r="AI361" s="24" t="n">
        <f aca="false">SUMIFS(Permissions!$G$2:$G$3000,Permissions!$B$2:$B$3000,$A361,Permissions!$I$2:$I$3000,"Complete",Permissions!$R$2:$R$3000,"Yes")</f>
        <v>0</v>
      </c>
      <c r="AJ361" s="24" t="n">
        <f aca="false">SUMIFS(Permissions!$G$2:$G$3000,Permissions!$B$2:$B$3000,$A361,Permissions!$I$2:$I$3000,"Under construction",Permissions!$R$2:$R$3000,"Yes")</f>
        <v>0</v>
      </c>
      <c r="AK361" s="24" t="n">
        <f aca="false">SUMIFS(Permissions!$G$2:$G$3000,Permissions!$B$2:$B$3000,$A361,Permissions!$I$2:$I$3000,"Permitted – not started",Permissions!$R$2:$R$3000,"Yes")</f>
        <v>0</v>
      </c>
      <c r="AL361" s="24" t="n">
        <f aca="false">SUMIFS(Permissions!$G$2:$G$3000,Permissions!$B$2:$B$3000,$A361,Permissions!$I$2:$I$3000,"Stalled",Permissions!$R$2:$R$3000,"Yes")</f>
        <v>0</v>
      </c>
      <c r="AM361" s="24" t="n">
        <f aca="false">AI361+AJ361+AK361+AL361</f>
        <v>0</v>
      </c>
      <c r="AN361" s="24" t="n">
        <f aca="false">SUMIFS(Permissions!$G$2:$G$3000,Permissions!$B$2:$B$3000,$A361,Permissions!$I$2:$I$3000,"Expired – not started",Permissions!$R$2:$R$3000,"Yes")</f>
        <v>0</v>
      </c>
      <c r="AO361" s="24" t="n">
        <f aca="false">SUMIFS(Permissions!$G$2:$G$3000,Permissions!$B$2:$B$3000,$A361,Permissions!$I$2:$I$3000,"In planning",Permissions!$R$2:$R$3000,"Yes")</f>
        <v>0</v>
      </c>
      <c r="AP361" s="24" t="n">
        <f aca="false">IF(R361="",0,MAX(R361-AM361,0))</f>
        <v>5</v>
      </c>
      <c r="AQ361" s="25" t="n">
        <f aca="false">AM361+AP361</f>
        <v>5</v>
      </c>
      <c r="AR361" s="24" t="n">
        <f aca="false">SUMIFS(Permissions!$L$2:$L$3000,Permissions!$B$2:$B$3000,$A361,Permissions!$R$2:$R$3000,"Yes",Permissions!$I$2:$I$3000,"&lt;&gt;Expired – not started",Permissions!$I$2:$I$3000,"&lt;&gt;In planning")</f>
        <v>0</v>
      </c>
      <c r="AS361" s="24" t="n">
        <f aca="false">AQ361-AR361</f>
        <v>5</v>
      </c>
      <c r="AT361" s="26" t="n">
        <f aca="false">SUMIFS(Permissions!$AJ$2:$AJ$3000,Permissions!$B$2:$B$3000,$A361,Permissions!$R$2:$R$3000,"Yes")</f>
        <v>0</v>
      </c>
      <c r="AU361" s="26" t="n">
        <f aca="false">SUMIFS(Permissions!$AK$2:$AK$3000,Permissions!$B$2:$B$3000,$A361,Permissions!$R$2:$R$3000,"Yes")</f>
        <v>0</v>
      </c>
      <c r="AV361" s="26" t="n">
        <f aca="false">SUMIFS(Permissions!$AL$2:$AL$3000,Permissions!$B$2:$B$3000,$A361,Permissions!$R$2:$R$3000,"Yes")</f>
        <v>0</v>
      </c>
      <c r="AW361" s="26" t="n">
        <f aca="false">SUMIFS(Permissions!$AM$2:$AM$3000,Permissions!$B$2:$B$3000,$A361,Permissions!$R$2:$R$3000,"Yes")</f>
        <v>0</v>
      </c>
      <c r="AX361" s="26" t="n">
        <f aca="false">SUMIFS(Permissions!$AN$2:$AN$3000,Permissions!$B$2:$B$3000,$A361,Permissions!$R$2:$R$3000,"Yes")</f>
        <v>0</v>
      </c>
      <c r="AY361" s="26" t="n">
        <f aca="false">SUMIFS(Permissions!$AO$2:$AO$3000,Permissions!$B$2:$B$3000,$A361,Permissions!$R$2:$R$3000,"Yes")</f>
        <v>0</v>
      </c>
      <c r="AZ361" s="24" t="n">
        <f aca="false">COUNTIFS(Permissions!$B$2:$B$3000,$A361,Permissions!$R$2:$R$3000,"Yes")</f>
        <v>0</v>
      </c>
      <c r="BA361" s="24" t="n">
        <f aca="false">SUMIFS(Permissions!$M$2:$M$3000,Permissions!$B$2:$B$3000,$A361,Permissions!$R$2:$R$3000,"Yes")</f>
        <v>0</v>
      </c>
      <c r="BB361" s="24" t="n">
        <f aca="false">SUMIFS(Permissions!$O$2:$O$3000,Permissions!$B$2:$B$3000,$A361,Permissions!$R$2:$R$3000,"Yes")</f>
        <v>0</v>
      </c>
      <c r="BC361" s="27" t="str">
        <f aca="false">IF(AND(AM361&gt;0,AR361&gt;=AM361,AP361=0),"Finished",IF(AR361&gt;0,"Partly built",IF(AM361&gt;0,"Consented – not built","No consent")))</f>
        <v>No consent</v>
      </c>
      <c r="BD361" s="28" t="str">
        <f aca="false">IF(AND(R361&lt;&gt;"",AM361&gt;1.1*R361),"Consented above capacity",IF(AND(LEFT(B361,8)="Planning",AZ361=0),"Consent parcel with no permission",IF(COUNTIF($A$2:$A$3000,$A361)&gt;1,"Duplicate parcel_id","")))</f>
        <v/>
      </c>
    </row>
    <row r="362" customFormat="false" ht="15" hidden="false" customHeight="false" outlineLevel="0" collapsed="false">
      <c r="A362" s="15" t="s">
        <v>837</v>
      </c>
      <c r="B362" s="15" t="s">
        <v>13</v>
      </c>
      <c r="C362" s="15" t="s">
        <v>16</v>
      </c>
      <c r="D362" s="15" t="s">
        <v>52</v>
      </c>
      <c r="E362" s="15" t="s">
        <v>19</v>
      </c>
      <c r="F362" s="15" t="n">
        <v>1</v>
      </c>
      <c r="G362" s="15" t="s">
        <v>158</v>
      </c>
      <c r="H362" s="15"/>
      <c r="I362" s="15" t="s">
        <v>52</v>
      </c>
      <c r="J362" s="15" t="s">
        <v>211</v>
      </c>
      <c r="K362" s="15" t="s">
        <v>832</v>
      </c>
      <c r="L362" s="15"/>
      <c r="M362" s="15" t="s">
        <v>349</v>
      </c>
      <c r="N362" s="15"/>
      <c r="O362" s="15"/>
      <c r="P362" s="15" t="n">
        <v>0.139</v>
      </c>
      <c r="Q362" s="15" t="n">
        <v>0.152</v>
      </c>
      <c r="R362" s="15" t="n">
        <v>5</v>
      </c>
      <c r="S362" s="15" t="s">
        <v>833</v>
      </c>
      <c r="T362" s="15" t="n">
        <v>5</v>
      </c>
      <c r="U362" s="15" t="s">
        <v>834</v>
      </c>
      <c r="V362" s="15" t="s">
        <v>835</v>
      </c>
      <c r="W362" s="15"/>
      <c r="X362" s="15" t="s">
        <v>165</v>
      </c>
      <c r="Y362" s="15" t="n">
        <v>34</v>
      </c>
      <c r="Z362" s="15" t="s">
        <v>836</v>
      </c>
      <c r="AA362" s="15" t="n">
        <v>1</v>
      </c>
      <c r="AB362" s="15" t="n">
        <v>0</v>
      </c>
      <c r="AC362" s="15" t="n">
        <v>0</v>
      </c>
      <c r="AD362" s="15"/>
      <c r="AE362" s="15"/>
      <c r="AF362" s="15" t="s">
        <v>169</v>
      </c>
      <c r="AG362" s="15"/>
      <c r="AH362" s="24" t="n">
        <f aca="false">IF(R362="",AM362,R362)</f>
        <v>5</v>
      </c>
      <c r="AI362" s="24" t="n">
        <f aca="false">SUMIFS(Permissions!$G$2:$G$3000,Permissions!$B$2:$B$3000,$A362,Permissions!$I$2:$I$3000,"Complete",Permissions!$R$2:$R$3000,"Yes")</f>
        <v>0</v>
      </c>
      <c r="AJ362" s="24" t="n">
        <f aca="false">SUMIFS(Permissions!$G$2:$G$3000,Permissions!$B$2:$B$3000,$A362,Permissions!$I$2:$I$3000,"Under construction",Permissions!$R$2:$R$3000,"Yes")</f>
        <v>0</v>
      </c>
      <c r="AK362" s="24" t="n">
        <f aca="false">SUMIFS(Permissions!$G$2:$G$3000,Permissions!$B$2:$B$3000,$A362,Permissions!$I$2:$I$3000,"Permitted – not started",Permissions!$R$2:$R$3000,"Yes")</f>
        <v>0</v>
      </c>
      <c r="AL362" s="24" t="n">
        <f aca="false">SUMIFS(Permissions!$G$2:$G$3000,Permissions!$B$2:$B$3000,$A362,Permissions!$I$2:$I$3000,"Stalled",Permissions!$R$2:$R$3000,"Yes")</f>
        <v>0</v>
      </c>
      <c r="AM362" s="24" t="n">
        <f aca="false">AI362+AJ362+AK362+AL362</f>
        <v>0</v>
      </c>
      <c r="AN362" s="24" t="n">
        <f aca="false">SUMIFS(Permissions!$G$2:$G$3000,Permissions!$B$2:$B$3000,$A362,Permissions!$I$2:$I$3000,"Expired – not started",Permissions!$R$2:$R$3000,"Yes")</f>
        <v>0</v>
      </c>
      <c r="AO362" s="24" t="n">
        <f aca="false">SUMIFS(Permissions!$G$2:$G$3000,Permissions!$B$2:$B$3000,$A362,Permissions!$I$2:$I$3000,"In planning",Permissions!$R$2:$R$3000,"Yes")</f>
        <v>0</v>
      </c>
      <c r="AP362" s="24" t="n">
        <f aca="false">IF(R362="",0,MAX(R362-AM362,0))</f>
        <v>5</v>
      </c>
      <c r="AQ362" s="25" t="n">
        <f aca="false">AM362+AP362</f>
        <v>5</v>
      </c>
      <c r="AR362" s="24" t="n">
        <f aca="false">SUMIFS(Permissions!$L$2:$L$3000,Permissions!$B$2:$B$3000,$A362,Permissions!$R$2:$R$3000,"Yes",Permissions!$I$2:$I$3000,"&lt;&gt;Expired – not started",Permissions!$I$2:$I$3000,"&lt;&gt;In planning")</f>
        <v>0</v>
      </c>
      <c r="AS362" s="24" t="n">
        <f aca="false">AQ362-AR362</f>
        <v>5</v>
      </c>
      <c r="AT362" s="26" t="n">
        <f aca="false">SUMIFS(Permissions!$AJ$2:$AJ$3000,Permissions!$B$2:$B$3000,$A362,Permissions!$R$2:$R$3000,"Yes")</f>
        <v>0</v>
      </c>
      <c r="AU362" s="26" t="n">
        <f aca="false">SUMIFS(Permissions!$AK$2:$AK$3000,Permissions!$B$2:$B$3000,$A362,Permissions!$R$2:$R$3000,"Yes")</f>
        <v>0</v>
      </c>
      <c r="AV362" s="26" t="n">
        <f aca="false">SUMIFS(Permissions!$AL$2:$AL$3000,Permissions!$B$2:$B$3000,$A362,Permissions!$R$2:$R$3000,"Yes")</f>
        <v>0</v>
      </c>
      <c r="AW362" s="26" t="n">
        <f aca="false">SUMIFS(Permissions!$AM$2:$AM$3000,Permissions!$B$2:$B$3000,$A362,Permissions!$R$2:$R$3000,"Yes")</f>
        <v>0</v>
      </c>
      <c r="AX362" s="26" t="n">
        <f aca="false">SUMIFS(Permissions!$AN$2:$AN$3000,Permissions!$B$2:$B$3000,$A362,Permissions!$R$2:$R$3000,"Yes")</f>
        <v>0</v>
      </c>
      <c r="AY362" s="26" t="n">
        <f aca="false">SUMIFS(Permissions!$AO$2:$AO$3000,Permissions!$B$2:$B$3000,$A362,Permissions!$R$2:$R$3000,"Yes")</f>
        <v>0</v>
      </c>
      <c r="AZ362" s="24" t="n">
        <f aca="false">COUNTIFS(Permissions!$B$2:$B$3000,$A362,Permissions!$R$2:$R$3000,"Yes")</f>
        <v>0</v>
      </c>
      <c r="BA362" s="24" t="n">
        <f aca="false">SUMIFS(Permissions!$M$2:$M$3000,Permissions!$B$2:$B$3000,$A362,Permissions!$R$2:$R$3000,"Yes")</f>
        <v>0</v>
      </c>
      <c r="BB362" s="24" t="n">
        <f aca="false">SUMIFS(Permissions!$O$2:$O$3000,Permissions!$B$2:$B$3000,$A362,Permissions!$R$2:$R$3000,"Yes")</f>
        <v>0</v>
      </c>
      <c r="BC362" s="27" t="str">
        <f aca="false">IF(AND(AM362&gt;0,AR362&gt;=AM362,AP362=0),"Finished",IF(AR362&gt;0,"Partly built",IF(AM362&gt;0,"Consented – not built","No consent")))</f>
        <v>No consent</v>
      </c>
      <c r="BD362" s="28" t="str">
        <f aca="false">IF(AND(R362&lt;&gt;"",AM362&gt;1.1*R362),"Consented above capacity",IF(AND(LEFT(B362,8)="Planning",AZ362=0),"Consent parcel with no permission",IF(COUNTIF($A$2:$A$3000,$A362)&gt;1,"Duplicate parcel_id","")))</f>
        <v/>
      </c>
    </row>
    <row r="363" customFormat="false" ht="15" hidden="false" customHeight="false" outlineLevel="0" collapsed="false">
      <c r="A363" s="15" t="s">
        <v>838</v>
      </c>
      <c r="B363" s="15" t="s">
        <v>13</v>
      </c>
      <c r="C363" s="15" t="s">
        <v>16</v>
      </c>
      <c r="D363" s="15" t="s">
        <v>55</v>
      </c>
      <c r="E363" s="15" t="s">
        <v>19</v>
      </c>
      <c r="F363" s="15" t="n">
        <v>1</v>
      </c>
      <c r="G363" s="15" t="s">
        <v>158</v>
      </c>
      <c r="H363" s="15"/>
      <c r="I363" s="15" t="s">
        <v>55</v>
      </c>
      <c r="J363" s="15" t="s">
        <v>159</v>
      </c>
      <c r="K363" s="15" t="s">
        <v>832</v>
      </c>
      <c r="L363" s="15"/>
      <c r="M363" s="15" t="s">
        <v>349</v>
      </c>
      <c r="N363" s="15"/>
      <c r="O363" s="15"/>
      <c r="P363" s="15" t="n">
        <v>0.422</v>
      </c>
      <c r="Q363" s="15" t="n">
        <v>0.464</v>
      </c>
      <c r="R363" s="15" t="n">
        <v>14</v>
      </c>
      <c r="S363" s="15" t="s">
        <v>833</v>
      </c>
      <c r="T363" s="15" t="n">
        <v>14</v>
      </c>
      <c r="U363" s="15" t="s">
        <v>834</v>
      </c>
      <c r="V363" s="15" t="s">
        <v>835</v>
      </c>
      <c r="W363" s="15"/>
      <c r="X363" s="15" t="s">
        <v>165</v>
      </c>
      <c r="Y363" s="15" t="n">
        <v>34</v>
      </c>
      <c r="Z363" s="15" t="s">
        <v>836</v>
      </c>
      <c r="AA363" s="15" t="n">
        <v>1</v>
      </c>
      <c r="AB363" s="15" t="n">
        <v>0</v>
      </c>
      <c r="AC363" s="15" t="n">
        <v>0</v>
      </c>
      <c r="AD363" s="15"/>
      <c r="AE363" s="15"/>
      <c r="AF363" s="15" t="s">
        <v>169</v>
      </c>
      <c r="AG363" s="15"/>
      <c r="AH363" s="24" t="n">
        <f aca="false">IF(R363="",AM363,R363)</f>
        <v>14</v>
      </c>
      <c r="AI363" s="24" t="n">
        <f aca="false">SUMIFS(Permissions!$G$2:$G$3000,Permissions!$B$2:$B$3000,$A363,Permissions!$I$2:$I$3000,"Complete",Permissions!$R$2:$R$3000,"Yes")</f>
        <v>0</v>
      </c>
      <c r="AJ363" s="24" t="n">
        <f aca="false">SUMIFS(Permissions!$G$2:$G$3000,Permissions!$B$2:$B$3000,$A363,Permissions!$I$2:$I$3000,"Under construction",Permissions!$R$2:$R$3000,"Yes")</f>
        <v>0</v>
      </c>
      <c r="AK363" s="24" t="n">
        <f aca="false">SUMIFS(Permissions!$G$2:$G$3000,Permissions!$B$2:$B$3000,$A363,Permissions!$I$2:$I$3000,"Permitted – not started",Permissions!$R$2:$R$3000,"Yes")</f>
        <v>0</v>
      </c>
      <c r="AL363" s="24" t="n">
        <f aca="false">SUMIFS(Permissions!$G$2:$G$3000,Permissions!$B$2:$B$3000,$A363,Permissions!$I$2:$I$3000,"Stalled",Permissions!$R$2:$R$3000,"Yes")</f>
        <v>0</v>
      </c>
      <c r="AM363" s="24" t="n">
        <f aca="false">AI363+AJ363+AK363+AL363</f>
        <v>0</v>
      </c>
      <c r="AN363" s="24" t="n">
        <f aca="false">SUMIFS(Permissions!$G$2:$G$3000,Permissions!$B$2:$B$3000,$A363,Permissions!$I$2:$I$3000,"Expired – not started",Permissions!$R$2:$R$3000,"Yes")</f>
        <v>0</v>
      </c>
      <c r="AO363" s="24" t="n">
        <f aca="false">SUMIFS(Permissions!$G$2:$G$3000,Permissions!$B$2:$B$3000,$A363,Permissions!$I$2:$I$3000,"In planning",Permissions!$R$2:$R$3000,"Yes")</f>
        <v>0</v>
      </c>
      <c r="AP363" s="24" t="n">
        <f aca="false">IF(R363="",0,MAX(R363-AM363,0))</f>
        <v>14</v>
      </c>
      <c r="AQ363" s="25" t="n">
        <f aca="false">AM363+AP363</f>
        <v>14</v>
      </c>
      <c r="AR363" s="24" t="n">
        <f aca="false">SUMIFS(Permissions!$L$2:$L$3000,Permissions!$B$2:$B$3000,$A363,Permissions!$R$2:$R$3000,"Yes",Permissions!$I$2:$I$3000,"&lt;&gt;Expired – not started",Permissions!$I$2:$I$3000,"&lt;&gt;In planning")</f>
        <v>0</v>
      </c>
      <c r="AS363" s="24" t="n">
        <f aca="false">AQ363-AR363</f>
        <v>14</v>
      </c>
      <c r="AT363" s="26" t="n">
        <f aca="false">SUMIFS(Permissions!$AJ$2:$AJ$3000,Permissions!$B$2:$B$3000,$A363,Permissions!$R$2:$R$3000,"Yes")</f>
        <v>0</v>
      </c>
      <c r="AU363" s="26" t="n">
        <f aca="false">SUMIFS(Permissions!$AK$2:$AK$3000,Permissions!$B$2:$B$3000,$A363,Permissions!$R$2:$R$3000,"Yes")</f>
        <v>0</v>
      </c>
      <c r="AV363" s="26" t="n">
        <f aca="false">SUMIFS(Permissions!$AL$2:$AL$3000,Permissions!$B$2:$B$3000,$A363,Permissions!$R$2:$R$3000,"Yes")</f>
        <v>0</v>
      </c>
      <c r="AW363" s="26" t="n">
        <f aca="false">SUMIFS(Permissions!$AM$2:$AM$3000,Permissions!$B$2:$B$3000,$A363,Permissions!$R$2:$R$3000,"Yes")</f>
        <v>0</v>
      </c>
      <c r="AX363" s="26" t="n">
        <f aca="false">SUMIFS(Permissions!$AN$2:$AN$3000,Permissions!$B$2:$B$3000,$A363,Permissions!$R$2:$R$3000,"Yes")</f>
        <v>0</v>
      </c>
      <c r="AY363" s="26" t="n">
        <f aca="false">SUMIFS(Permissions!$AO$2:$AO$3000,Permissions!$B$2:$B$3000,$A363,Permissions!$R$2:$R$3000,"Yes")</f>
        <v>0</v>
      </c>
      <c r="AZ363" s="24" t="n">
        <f aca="false">COUNTIFS(Permissions!$B$2:$B$3000,$A363,Permissions!$R$2:$R$3000,"Yes")</f>
        <v>0</v>
      </c>
      <c r="BA363" s="24" t="n">
        <f aca="false">SUMIFS(Permissions!$M$2:$M$3000,Permissions!$B$2:$B$3000,$A363,Permissions!$R$2:$R$3000,"Yes")</f>
        <v>0</v>
      </c>
      <c r="BB363" s="24" t="n">
        <f aca="false">SUMIFS(Permissions!$O$2:$O$3000,Permissions!$B$2:$B$3000,$A363,Permissions!$R$2:$R$3000,"Yes")</f>
        <v>0</v>
      </c>
      <c r="BC363" s="27" t="str">
        <f aca="false">IF(AND(AM363&gt;0,AR363&gt;=AM363,AP363=0),"Finished",IF(AR363&gt;0,"Partly built",IF(AM363&gt;0,"Consented – not built","No consent")))</f>
        <v>No consent</v>
      </c>
      <c r="BD363" s="28" t="str">
        <f aca="false">IF(AND(R363&lt;&gt;"",AM363&gt;1.1*R363),"Consented above capacity",IF(AND(LEFT(B363,8)="Planning",AZ363=0),"Consent parcel with no permission",IF(COUNTIF($A$2:$A$3000,$A363)&gt;1,"Duplicate parcel_id","")))</f>
        <v/>
      </c>
    </row>
    <row r="364" customFormat="false" ht="15" hidden="false" customHeight="false" outlineLevel="0" collapsed="false">
      <c r="A364" s="15" t="s">
        <v>839</v>
      </c>
      <c r="B364" s="15" t="s">
        <v>13</v>
      </c>
      <c r="C364" s="15" t="s">
        <v>16</v>
      </c>
      <c r="D364" s="15" t="s">
        <v>57</v>
      </c>
      <c r="E364" s="15" t="s">
        <v>19</v>
      </c>
      <c r="F364" s="15" t="n">
        <v>1</v>
      </c>
      <c r="G364" s="15" t="s">
        <v>158</v>
      </c>
      <c r="H364" s="15"/>
      <c r="I364" s="15" t="s">
        <v>57</v>
      </c>
      <c r="J364" s="15" t="s">
        <v>182</v>
      </c>
      <c r="K364" s="15" t="s">
        <v>832</v>
      </c>
      <c r="L364" s="15"/>
      <c r="M364" s="15" t="s">
        <v>349</v>
      </c>
      <c r="N364" s="15"/>
      <c r="O364" s="15"/>
      <c r="P364" s="15" t="n">
        <v>0.136</v>
      </c>
      <c r="Q364" s="15" t="n">
        <v>0.15</v>
      </c>
      <c r="R364" s="15" t="n">
        <v>5</v>
      </c>
      <c r="S364" s="15" t="s">
        <v>833</v>
      </c>
      <c r="T364" s="15" t="n">
        <v>5</v>
      </c>
      <c r="U364" s="15" t="s">
        <v>834</v>
      </c>
      <c r="V364" s="15" t="s">
        <v>835</v>
      </c>
      <c r="W364" s="15"/>
      <c r="X364" s="15" t="s">
        <v>165</v>
      </c>
      <c r="Y364" s="15" t="n">
        <v>34</v>
      </c>
      <c r="Z364" s="15" t="s">
        <v>836</v>
      </c>
      <c r="AA364" s="15" t="n">
        <v>1</v>
      </c>
      <c r="AB364" s="15" t="n">
        <v>0</v>
      </c>
      <c r="AC364" s="15" t="n">
        <v>0</v>
      </c>
      <c r="AD364" s="15"/>
      <c r="AE364" s="15"/>
      <c r="AF364" s="15" t="s">
        <v>169</v>
      </c>
      <c r="AG364" s="15"/>
      <c r="AH364" s="24" t="n">
        <f aca="false">IF(R364="",AM364,R364)</f>
        <v>5</v>
      </c>
      <c r="AI364" s="24" t="n">
        <f aca="false">SUMIFS(Permissions!$G$2:$G$3000,Permissions!$B$2:$B$3000,$A364,Permissions!$I$2:$I$3000,"Complete",Permissions!$R$2:$R$3000,"Yes")</f>
        <v>0</v>
      </c>
      <c r="AJ364" s="24" t="n">
        <f aca="false">SUMIFS(Permissions!$G$2:$G$3000,Permissions!$B$2:$B$3000,$A364,Permissions!$I$2:$I$3000,"Under construction",Permissions!$R$2:$R$3000,"Yes")</f>
        <v>0</v>
      </c>
      <c r="AK364" s="24" t="n">
        <f aca="false">SUMIFS(Permissions!$G$2:$G$3000,Permissions!$B$2:$B$3000,$A364,Permissions!$I$2:$I$3000,"Permitted – not started",Permissions!$R$2:$R$3000,"Yes")</f>
        <v>0</v>
      </c>
      <c r="AL364" s="24" t="n">
        <f aca="false">SUMIFS(Permissions!$G$2:$G$3000,Permissions!$B$2:$B$3000,$A364,Permissions!$I$2:$I$3000,"Stalled",Permissions!$R$2:$R$3000,"Yes")</f>
        <v>0</v>
      </c>
      <c r="AM364" s="24" t="n">
        <f aca="false">AI364+AJ364+AK364+AL364</f>
        <v>0</v>
      </c>
      <c r="AN364" s="24" t="n">
        <f aca="false">SUMIFS(Permissions!$G$2:$G$3000,Permissions!$B$2:$B$3000,$A364,Permissions!$I$2:$I$3000,"Expired – not started",Permissions!$R$2:$R$3000,"Yes")</f>
        <v>0</v>
      </c>
      <c r="AO364" s="24" t="n">
        <f aca="false">SUMIFS(Permissions!$G$2:$G$3000,Permissions!$B$2:$B$3000,$A364,Permissions!$I$2:$I$3000,"In planning",Permissions!$R$2:$R$3000,"Yes")</f>
        <v>0</v>
      </c>
      <c r="AP364" s="24" t="n">
        <f aca="false">IF(R364="",0,MAX(R364-AM364,0))</f>
        <v>5</v>
      </c>
      <c r="AQ364" s="25" t="n">
        <f aca="false">AM364+AP364</f>
        <v>5</v>
      </c>
      <c r="AR364" s="24" t="n">
        <f aca="false">SUMIFS(Permissions!$L$2:$L$3000,Permissions!$B$2:$B$3000,$A364,Permissions!$R$2:$R$3000,"Yes",Permissions!$I$2:$I$3000,"&lt;&gt;Expired – not started",Permissions!$I$2:$I$3000,"&lt;&gt;In planning")</f>
        <v>0</v>
      </c>
      <c r="AS364" s="24" t="n">
        <f aca="false">AQ364-AR364</f>
        <v>5</v>
      </c>
      <c r="AT364" s="26" t="n">
        <f aca="false">SUMIFS(Permissions!$AJ$2:$AJ$3000,Permissions!$B$2:$B$3000,$A364,Permissions!$R$2:$R$3000,"Yes")</f>
        <v>0</v>
      </c>
      <c r="AU364" s="26" t="n">
        <f aca="false">SUMIFS(Permissions!$AK$2:$AK$3000,Permissions!$B$2:$B$3000,$A364,Permissions!$R$2:$R$3000,"Yes")</f>
        <v>0</v>
      </c>
      <c r="AV364" s="26" t="n">
        <f aca="false">SUMIFS(Permissions!$AL$2:$AL$3000,Permissions!$B$2:$B$3000,$A364,Permissions!$R$2:$R$3000,"Yes")</f>
        <v>0</v>
      </c>
      <c r="AW364" s="26" t="n">
        <f aca="false">SUMIFS(Permissions!$AM$2:$AM$3000,Permissions!$B$2:$B$3000,$A364,Permissions!$R$2:$R$3000,"Yes")</f>
        <v>0</v>
      </c>
      <c r="AX364" s="26" t="n">
        <f aca="false">SUMIFS(Permissions!$AN$2:$AN$3000,Permissions!$B$2:$B$3000,$A364,Permissions!$R$2:$R$3000,"Yes")</f>
        <v>0</v>
      </c>
      <c r="AY364" s="26" t="n">
        <f aca="false">SUMIFS(Permissions!$AO$2:$AO$3000,Permissions!$B$2:$B$3000,$A364,Permissions!$R$2:$R$3000,"Yes")</f>
        <v>0</v>
      </c>
      <c r="AZ364" s="24" t="n">
        <f aca="false">COUNTIFS(Permissions!$B$2:$B$3000,$A364,Permissions!$R$2:$R$3000,"Yes")</f>
        <v>0</v>
      </c>
      <c r="BA364" s="24" t="n">
        <f aca="false">SUMIFS(Permissions!$M$2:$M$3000,Permissions!$B$2:$B$3000,$A364,Permissions!$R$2:$R$3000,"Yes")</f>
        <v>0</v>
      </c>
      <c r="BB364" s="24" t="n">
        <f aca="false">SUMIFS(Permissions!$O$2:$O$3000,Permissions!$B$2:$B$3000,$A364,Permissions!$R$2:$R$3000,"Yes")</f>
        <v>0</v>
      </c>
      <c r="BC364" s="27" t="str">
        <f aca="false">IF(AND(AM364&gt;0,AR364&gt;=AM364,AP364=0),"Finished",IF(AR364&gt;0,"Partly built",IF(AM364&gt;0,"Consented – not built","No consent")))</f>
        <v>No consent</v>
      </c>
      <c r="BD364" s="28" t="str">
        <f aca="false">IF(AND(R364&lt;&gt;"",AM364&gt;1.1*R364),"Consented above capacity",IF(AND(LEFT(B364,8)="Planning",AZ364=0),"Consent parcel with no permission",IF(COUNTIF($A$2:$A$3000,$A364)&gt;1,"Duplicate parcel_id","")))</f>
        <v/>
      </c>
    </row>
    <row r="365" customFormat="false" ht="15" hidden="false" customHeight="false" outlineLevel="0" collapsed="false">
      <c r="A365" s="15" t="s">
        <v>840</v>
      </c>
      <c r="B365" s="15" t="s">
        <v>13</v>
      </c>
      <c r="C365" s="15" t="s">
        <v>16</v>
      </c>
      <c r="D365" s="15" t="s">
        <v>57</v>
      </c>
      <c r="E365" s="15" t="s">
        <v>19</v>
      </c>
      <c r="F365" s="15" t="n">
        <v>1</v>
      </c>
      <c r="G365" s="15" t="s">
        <v>158</v>
      </c>
      <c r="H365" s="15"/>
      <c r="I365" s="15" t="s">
        <v>57</v>
      </c>
      <c r="J365" s="15" t="s">
        <v>182</v>
      </c>
      <c r="K365" s="15" t="s">
        <v>832</v>
      </c>
      <c r="L365" s="15"/>
      <c r="M365" s="15" t="s">
        <v>349</v>
      </c>
      <c r="N365" s="15"/>
      <c r="O365" s="15"/>
      <c r="P365" s="15" t="n">
        <v>0.541</v>
      </c>
      <c r="Q365" s="15" t="n">
        <v>0.594</v>
      </c>
      <c r="R365" s="15" t="n">
        <v>18</v>
      </c>
      <c r="S365" s="15" t="s">
        <v>833</v>
      </c>
      <c r="T365" s="15" t="n">
        <v>18</v>
      </c>
      <c r="U365" s="15" t="s">
        <v>834</v>
      </c>
      <c r="V365" s="15" t="s">
        <v>835</v>
      </c>
      <c r="W365" s="15"/>
      <c r="X365" s="15" t="s">
        <v>165</v>
      </c>
      <c r="Y365" s="15" t="n">
        <v>34</v>
      </c>
      <c r="Z365" s="15" t="s">
        <v>836</v>
      </c>
      <c r="AA365" s="15" t="n">
        <v>1</v>
      </c>
      <c r="AB365" s="15" t="n">
        <v>0</v>
      </c>
      <c r="AC365" s="15" t="n">
        <v>0</v>
      </c>
      <c r="AD365" s="15"/>
      <c r="AE365" s="15"/>
      <c r="AF365" s="15" t="s">
        <v>169</v>
      </c>
      <c r="AG365" s="15"/>
      <c r="AH365" s="24" t="n">
        <f aca="false">IF(R365="",AM365,R365)</f>
        <v>18</v>
      </c>
      <c r="AI365" s="24" t="n">
        <f aca="false">SUMIFS(Permissions!$G$2:$G$3000,Permissions!$B$2:$B$3000,$A365,Permissions!$I$2:$I$3000,"Complete",Permissions!$R$2:$R$3000,"Yes")</f>
        <v>0</v>
      </c>
      <c r="AJ365" s="24" t="n">
        <f aca="false">SUMIFS(Permissions!$G$2:$G$3000,Permissions!$B$2:$B$3000,$A365,Permissions!$I$2:$I$3000,"Under construction",Permissions!$R$2:$R$3000,"Yes")</f>
        <v>0</v>
      </c>
      <c r="AK365" s="24" t="n">
        <f aca="false">SUMIFS(Permissions!$G$2:$G$3000,Permissions!$B$2:$B$3000,$A365,Permissions!$I$2:$I$3000,"Permitted – not started",Permissions!$R$2:$R$3000,"Yes")</f>
        <v>0</v>
      </c>
      <c r="AL365" s="24" t="n">
        <f aca="false">SUMIFS(Permissions!$G$2:$G$3000,Permissions!$B$2:$B$3000,$A365,Permissions!$I$2:$I$3000,"Stalled",Permissions!$R$2:$R$3000,"Yes")</f>
        <v>0</v>
      </c>
      <c r="AM365" s="24" t="n">
        <f aca="false">AI365+AJ365+AK365+AL365</f>
        <v>0</v>
      </c>
      <c r="AN365" s="24" t="n">
        <f aca="false">SUMIFS(Permissions!$G$2:$G$3000,Permissions!$B$2:$B$3000,$A365,Permissions!$I$2:$I$3000,"Expired – not started",Permissions!$R$2:$R$3000,"Yes")</f>
        <v>0</v>
      </c>
      <c r="AO365" s="24" t="n">
        <f aca="false">SUMIFS(Permissions!$G$2:$G$3000,Permissions!$B$2:$B$3000,$A365,Permissions!$I$2:$I$3000,"In planning",Permissions!$R$2:$R$3000,"Yes")</f>
        <v>0</v>
      </c>
      <c r="AP365" s="24" t="n">
        <f aca="false">IF(R365="",0,MAX(R365-AM365,0))</f>
        <v>18</v>
      </c>
      <c r="AQ365" s="25" t="n">
        <f aca="false">AM365+AP365</f>
        <v>18</v>
      </c>
      <c r="AR365" s="24" t="n">
        <f aca="false">SUMIFS(Permissions!$L$2:$L$3000,Permissions!$B$2:$B$3000,$A365,Permissions!$R$2:$R$3000,"Yes",Permissions!$I$2:$I$3000,"&lt;&gt;Expired – not started",Permissions!$I$2:$I$3000,"&lt;&gt;In planning")</f>
        <v>0</v>
      </c>
      <c r="AS365" s="24" t="n">
        <f aca="false">AQ365-AR365</f>
        <v>18</v>
      </c>
      <c r="AT365" s="26" t="n">
        <f aca="false">SUMIFS(Permissions!$AJ$2:$AJ$3000,Permissions!$B$2:$B$3000,$A365,Permissions!$R$2:$R$3000,"Yes")</f>
        <v>0</v>
      </c>
      <c r="AU365" s="26" t="n">
        <f aca="false">SUMIFS(Permissions!$AK$2:$AK$3000,Permissions!$B$2:$B$3000,$A365,Permissions!$R$2:$R$3000,"Yes")</f>
        <v>0</v>
      </c>
      <c r="AV365" s="26" t="n">
        <f aca="false">SUMIFS(Permissions!$AL$2:$AL$3000,Permissions!$B$2:$B$3000,$A365,Permissions!$R$2:$R$3000,"Yes")</f>
        <v>0</v>
      </c>
      <c r="AW365" s="26" t="n">
        <f aca="false">SUMIFS(Permissions!$AM$2:$AM$3000,Permissions!$B$2:$B$3000,$A365,Permissions!$R$2:$R$3000,"Yes")</f>
        <v>0</v>
      </c>
      <c r="AX365" s="26" t="n">
        <f aca="false">SUMIFS(Permissions!$AN$2:$AN$3000,Permissions!$B$2:$B$3000,$A365,Permissions!$R$2:$R$3000,"Yes")</f>
        <v>0</v>
      </c>
      <c r="AY365" s="26" t="n">
        <f aca="false">SUMIFS(Permissions!$AO$2:$AO$3000,Permissions!$B$2:$B$3000,$A365,Permissions!$R$2:$R$3000,"Yes")</f>
        <v>0</v>
      </c>
      <c r="AZ365" s="24" t="n">
        <f aca="false">COUNTIFS(Permissions!$B$2:$B$3000,$A365,Permissions!$R$2:$R$3000,"Yes")</f>
        <v>0</v>
      </c>
      <c r="BA365" s="24" t="n">
        <f aca="false">SUMIFS(Permissions!$M$2:$M$3000,Permissions!$B$2:$B$3000,$A365,Permissions!$R$2:$R$3000,"Yes")</f>
        <v>0</v>
      </c>
      <c r="BB365" s="24" t="n">
        <f aca="false">SUMIFS(Permissions!$O$2:$O$3000,Permissions!$B$2:$B$3000,$A365,Permissions!$R$2:$R$3000,"Yes")</f>
        <v>0</v>
      </c>
      <c r="BC365" s="27" t="str">
        <f aca="false">IF(AND(AM365&gt;0,AR365&gt;=AM365,AP365=0),"Finished",IF(AR365&gt;0,"Partly built",IF(AM365&gt;0,"Consented – not built","No consent")))</f>
        <v>No consent</v>
      </c>
      <c r="BD365" s="28" t="str">
        <f aca="false">IF(AND(R365&lt;&gt;"",AM365&gt;1.1*R365),"Consented above capacity",IF(AND(LEFT(B365,8)="Planning",AZ365=0),"Consent parcel with no permission",IF(COUNTIF($A$2:$A$3000,$A365)&gt;1,"Duplicate parcel_id","")))</f>
        <v/>
      </c>
    </row>
    <row r="366" customFormat="false" ht="15" hidden="false" customHeight="false" outlineLevel="0" collapsed="false">
      <c r="A366" s="15" t="s">
        <v>841</v>
      </c>
      <c r="B366" s="15" t="s">
        <v>13</v>
      </c>
      <c r="C366" s="15" t="s">
        <v>17</v>
      </c>
      <c r="D366" s="15" t="s">
        <v>60</v>
      </c>
      <c r="E366" s="15" t="s">
        <v>20</v>
      </c>
      <c r="F366" s="15" t="n">
        <v>0</v>
      </c>
      <c r="G366" s="15" t="s">
        <v>842</v>
      </c>
      <c r="H366" s="15"/>
      <c r="I366" s="15" t="s">
        <v>17</v>
      </c>
      <c r="J366" s="15" t="s">
        <v>390</v>
      </c>
      <c r="K366" s="15" t="s">
        <v>843</v>
      </c>
      <c r="L366" s="15"/>
      <c r="M366" s="15" t="s">
        <v>349</v>
      </c>
      <c r="N366" s="15"/>
      <c r="O366" s="15"/>
      <c r="P366" s="15" t="n">
        <v>1.572</v>
      </c>
      <c r="Q366" s="15" t="n">
        <v>1.728</v>
      </c>
      <c r="R366" s="15" t="n">
        <v>39</v>
      </c>
      <c r="S366" s="15" t="s">
        <v>833</v>
      </c>
      <c r="T366" s="15" t="n">
        <v>39</v>
      </c>
      <c r="U366" s="15" t="s">
        <v>844</v>
      </c>
      <c r="V366" s="15" t="s">
        <v>835</v>
      </c>
      <c r="W366" s="15"/>
      <c r="X366" s="15" t="s">
        <v>353</v>
      </c>
      <c r="Y366" s="15" t="n">
        <v>25</v>
      </c>
      <c r="Z366" s="15" t="s">
        <v>845</v>
      </c>
      <c r="AA366" s="15" t="n">
        <v>1</v>
      </c>
      <c r="AB366" s="15" t="n">
        <v>0</v>
      </c>
      <c r="AC366" s="15" t="n">
        <v>0</v>
      </c>
      <c r="AD366" s="15"/>
      <c r="AE366" s="15"/>
      <c r="AF366" s="15" t="s">
        <v>169</v>
      </c>
      <c r="AG366" s="15"/>
      <c r="AH366" s="24" t="n">
        <f aca="false">IF(R366="",AM366,R366)</f>
        <v>39</v>
      </c>
      <c r="AI366" s="24" t="n">
        <f aca="false">SUMIFS(Permissions!$G$2:$G$3000,Permissions!$B$2:$B$3000,$A366,Permissions!$I$2:$I$3000,"Complete",Permissions!$R$2:$R$3000,"Yes")</f>
        <v>0</v>
      </c>
      <c r="AJ366" s="24" t="n">
        <f aca="false">SUMIFS(Permissions!$G$2:$G$3000,Permissions!$B$2:$B$3000,$A366,Permissions!$I$2:$I$3000,"Under construction",Permissions!$R$2:$R$3000,"Yes")</f>
        <v>0</v>
      </c>
      <c r="AK366" s="24" t="n">
        <f aca="false">SUMIFS(Permissions!$G$2:$G$3000,Permissions!$B$2:$B$3000,$A366,Permissions!$I$2:$I$3000,"Permitted – not started",Permissions!$R$2:$R$3000,"Yes")</f>
        <v>0</v>
      </c>
      <c r="AL366" s="24" t="n">
        <f aca="false">SUMIFS(Permissions!$G$2:$G$3000,Permissions!$B$2:$B$3000,$A366,Permissions!$I$2:$I$3000,"Stalled",Permissions!$R$2:$R$3000,"Yes")</f>
        <v>0</v>
      </c>
      <c r="AM366" s="24" t="n">
        <f aca="false">AI366+AJ366+AK366+AL366</f>
        <v>0</v>
      </c>
      <c r="AN366" s="24" t="n">
        <f aca="false">SUMIFS(Permissions!$G$2:$G$3000,Permissions!$B$2:$B$3000,$A366,Permissions!$I$2:$I$3000,"Expired – not started",Permissions!$R$2:$R$3000,"Yes")</f>
        <v>0</v>
      </c>
      <c r="AO366" s="24" t="n">
        <f aca="false">SUMIFS(Permissions!$G$2:$G$3000,Permissions!$B$2:$B$3000,$A366,Permissions!$I$2:$I$3000,"In planning",Permissions!$R$2:$R$3000,"Yes")</f>
        <v>0</v>
      </c>
      <c r="AP366" s="24" t="n">
        <f aca="false">IF(R366="",0,MAX(R366-AM366,0))</f>
        <v>39</v>
      </c>
      <c r="AQ366" s="25" t="n">
        <f aca="false">AM366+AP366</f>
        <v>39</v>
      </c>
      <c r="AR366" s="24" t="n">
        <f aca="false">SUMIFS(Permissions!$L$2:$L$3000,Permissions!$B$2:$B$3000,$A366,Permissions!$R$2:$R$3000,"Yes",Permissions!$I$2:$I$3000,"&lt;&gt;Expired – not started",Permissions!$I$2:$I$3000,"&lt;&gt;In planning")</f>
        <v>0</v>
      </c>
      <c r="AS366" s="24" t="n">
        <f aca="false">AQ366-AR366</f>
        <v>39</v>
      </c>
      <c r="AT366" s="26" t="n">
        <f aca="false">SUMIFS(Permissions!$AJ$2:$AJ$3000,Permissions!$B$2:$B$3000,$A366,Permissions!$R$2:$R$3000,"Yes")</f>
        <v>0</v>
      </c>
      <c r="AU366" s="26" t="n">
        <f aca="false">SUMIFS(Permissions!$AK$2:$AK$3000,Permissions!$B$2:$B$3000,$A366,Permissions!$R$2:$R$3000,"Yes")</f>
        <v>0</v>
      </c>
      <c r="AV366" s="26" t="n">
        <f aca="false">SUMIFS(Permissions!$AL$2:$AL$3000,Permissions!$B$2:$B$3000,$A366,Permissions!$R$2:$R$3000,"Yes")</f>
        <v>0</v>
      </c>
      <c r="AW366" s="26" t="n">
        <f aca="false">SUMIFS(Permissions!$AM$2:$AM$3000,Permissions!$B$2:$B$3000,$A366,Permissions!$R$2:$R$3000,"Yes")</f>
        <v>0</v>
      </c>
      <c r="AX366" s="26" t="n">
        <f aca="false">SUMIFS(Permissions!$AN$2:$AN$3000,Permissions!$B$2:$B$3000,$A366,Permissions!$R$2:$R$3000,"Yes")</f>
        <v>0</v>
      </c>
      <c r="AY366" s="26" t="n">
        <f aca="false">SUMIFS(Permissions!$AO$2:$AO$3000,Permissions!$B$2:$B$3000,$A366,Permissions!$R$2:$R$3000,"Yes")</f>
        <v>0</v>
      </c>
      <c r="AZ366" s="24" t="n">
        <f aca="false">COUNTIFS(Permissions!$B$2:$B$3000,$A366,Permissions!$R$2:$R$3000,"Yes")</f>
        <v>0</v>
      </c>
      <c r="BA366" s="24" t="n">
        <f aca="false">SUMIFS(Permissions!$M$2:$M$3000,Permissions!$B$2:$B$3000,$A366,Permissions!$R$2:$R$3000,"Yes")</f>
        <v>0</v>
      </c>
      <c r="BB366" s="24" t="n">
        <f aca="false">SUMIFS(Permissions!$O$2:$O$3000,Permissions!$B$2:$B$3000,$A366,Permissions!$R$2:$R$3000,"Yes")</f>
        <v>0</v>
      </c>
      <c r="BC366" s="27" t="str">
        <f aca="false">IF(AND(AM366&gt;0,AR366&gt;=AM366,AP366=0),"Finished",IF(AR366&gt;0,"Partly built",IF(AM366&gt;0,"Consented – not built","No consent")))</f>
        <v>No consent</v>
      </c>
      <c r="BD366" s="28" t="str">
        <f aca="false">IF(AND(R366&lt;&gt;"",AM366&gt;1.1*R366),"Consented above capacity",IF(AND(LEFT(B366,8)="Planning",AZ366=0),"Consent parcel with no permission",IF(COUNTIF($A$2:$A$3000,$A366)&gt;1,"Duplicate parcel_id","")))</f>
        <v/>
      </c>
    </row>
    <row r="367" customFormat="false" ht="15" hidden="false" customHeight="false" outlineLevel="0" collapsed="false">
      <c r="A367" s="15" t="s">
        <v>846</v>
      </c>
      <c r="B367" s="15" t="s">
        <v>13</v>
      </c>
      <c r="C367" s="15" t="s">
        <v>17</v>
      </c>
      <c r="D367" s="15" t="s">
        <v>60</v>
      </c>
      <c r="E367" s="15" t="s">
        <v>20</v>
      </c>
      <c r="F367" s="15" t="n">
        <v>0</v>
      </c>
      <c r="G367" s="15" t="s">
        <v>842</v>
      </c>
      <c r="H367" s="15"/>
      <c r="I367" s="15" t="s">
        <v>17</v>
      </c>
      <c r="J367" s="15" t="s">
        <v>390</v>
      </c>
      <c r="K367" s="15" t="s">
        <v>843</v>
      </c>
      <c r="L367" s="15"/>
      <c r="M367" s="15" t="s">
        <v>349</v>
      </c>
      <c r="N367" s="15"/>
      <c r="O367" s="15"/>
      <c r="P367" s="15" t="n">
        <v>1.864</v>
      </c>
      <c r="Q367" s="15" t="n">
        <v>2.048</v>
      </c>
      <c r="R367" s="15" t="n">
        <v>47</v>
      </c>
      <c r="S367" s="15" t="s">
        <v>833</v>
      </c>
      <c r="T367" s="15" t="n">
        <v>47</v>
      </c>
      <c r="U367" s="15" t="s">
        <v>844</v>
      </c>
      <c r="V367" s="15" t="s">
        <v>835</v>
      </c>
      <c r="W367" s="15"/>
      <c r="X367" s="15" t="s">
        <v>353</v>
      </c>
      <c r="Y367" s="15" t="n">
        <v>25</v>
      </c>
      <c r="Z367" s="15" t="s">
        <v>845</v>
      </c>
      <c r="AA367" s="15" t="n">
        <v>0.99</v>
      </c>
      <c r="AB367" s="15" t="n">
        <v>0</v>
      </c>
      <c r="AC367" s="15" t="n">
        <v>0</v>
      </c>
      <c r="AD367" s="15"/>
      <c r="AE367" s="15"/>
      <c r="AF367" s="15" t="s">
        <v>169</v>
      </c>
      <c r="AG367" s="15"/>
      <c r="AH367" s="24" t="n">
        <f aca="false">IF(R367="",AM367,R367)</f>
        <v>47</v>
      </c>
      <c r="AI367" s="24" t="n">
        <f aca="false">SUMIFS(Permissions!$G$2:$G$3000,Permissions!$B$2:$B$3000,$A367,Permissions!$I$2:$I$3000,"Complete",Permissions!$R$2:$R$3000,"Yes")</f>
        <v>0</v>
      </c>
      <c r="AJ367" s="24" t="n">
        <f aca="false">SUMIFS(Permissions!$G$2:$G$3000,Permissions!$B$2:$B$3000,$A367,Permissions!$I$2:$I$3000,"Under construction",Permissions!$R$2:$R$3000,"Yes")</f>
        <v>0</v>
      </c>
      <c r="AK367" s="24" t="n">
        <f aca="false">SUMIFS(Permissions!$G$2:$G$3000,Permissions!$B$2:$B$3000,$A367,Permissions!$I$2:$I$3000,"Permitted – not started",Permissions!$R$2:$R$3000,"Yes")</f>
        <v>0</v>
      </c>
      <c r="AL367" s="24" t="n">
        <f aca="false">SUMIFS(Permissions!$G$2:$G$3000,Permissions!$B$2:$B$3000,$A367,Permissions!$I$2:$I$3000,"Stalled",Permissions!$R$2:$R$3000,"Yes")</f>
        <v>0</v>
      </c>
      <c r="AM367" s="24" t="n">
        <f aca="false">AI367+AJ367+AK367+AL367</f>
        <v>0</v>
      </c>
      <c r="AN367" s="24" t="n">
        <f aca="false">SUMIFS(Permissions!$G$2:$G$3000,Permissions!$B$2:$B$3000,$A367,Permissions!$I$2:$I$3000,"Expired – not started",Permissions!$R$2:$R$3000,"Yes")</f>
        <v>0</v>
      </c>
      <c r="AO367" s="24" t="n">
        <f aca="false">SUMIFS(Permissions!$G$2:$G$3000,Permissions!$B$2:$B$3000,$A367,Permissions!$I$2:$I$3000,"In planning",Permissions!$R$2:$R$3000,"Yes")</f>
        <v>0</v>
      </c>
      <c r="AP367" s="24" t="n">
        <f aca="false">IF(R367="",0,MAX(R367-AM367,0))</f>
        <v>47</v>
      </c>
      <c r="AQ367" s="25" t="n">
        <f aca="false">AM367+AP367</f>
        <v>47</v>
      </c>
      <c r="AR367" s="24" t="n">
        <f aca="false">SUMIFS(Permissions!$L$2:$L$3000,Permissions!$B$2:$B$3000,$A367,Permissions!$R$2:$R$3000,"Yes",Permissions!$I$2:$I$3000,"&lt;&gt;Expired – not started",Permissions!$I$2:$I$3000,"&lt;&gt;In planning")</f>
        <v>0</v>
      </c>
      <c r="AS367" s="24" t="n">
        <f aca="false">AQ367-AR367</f>
        <v>47</v>
      </c>
      <c r="AT367" s="26" t="n">
        <f aca="false">SUMIFS(Permissions!$AJ$2:$AJ$3000,Permissions!$B$2:$B$3000,$A367,Permissions!$R$2:$R$3000,"Yes")</f>
        <v>0</v>
      </c>
      <c r="AU367" s="26" t="n">
        <f aca="false">SUMIFS(Permissions!$AK$2:$AK$3000,Permissions!$B$2:$B$3000,$A367,Permissions!$R$2:$R$3000,"Yes")</f>
        <v>0</v>
      </c>
      <c r="AV367" s="26" t="n">
        <f aca="false">SUMIFS(Permissions!$AL$2:$AL$3000,Permissions!$B$2:$B$3000,$A367,Permissions!$R$2:$R$3000,"Yes")</f>
        <v>0</v>
      </c>
      <c r="AW367" s="26" t="n">
        <f aca="false">SUMIFS(Permissions!$AM$2:$AM$3000,Permissions!$B$2:$B$3000,$A367,Permissions!$R$2:$R$3000,"Yes")</f>
        <v>0</v>
      </c>
      <c r="AX367" s="26" t="n">
        <f aca="false">SUMIFS(Permissions!$AN$2:$AN$3000,Permissions!$B$2:$B$3000,$A367,Permissions!$R$2:$R$3000,"Yes")</f>
        <v>0</v>
      </c>
      <c r="AY367" s="26" t="n">
        <f aca="false">SUMIFS(Permissions!$AO$2:$AO$3000,Permissions!$B$2:$B$3000,$A367,Permissions!$R$2:$R$3000,"Yes")</f>
        <v>0</v>
      </c>
      <c r="AZ367" s="24" t="n">
        <f aca="false">COUNTIFS(Permissions!$B$2:$B$3000,$A367,Permissions!$R$2:$R$3000,"Yes")</f>
        <v>0</v>
      </c>
      <c r="BA367" s="24" t="n">
        <f aca="false">SUMIFS(Permissions!$M$2:$M$3000,Permissions!$B$2:$B$3000,$A367,Permissions!$R$2:$R$3000,"Yes")</f>
        <v>0</v>
      </c>
      <c r="BB367" s="24" t="n">
        <f aca="false">SUMIFS(Permissions!$O$2:$O$3000,Permissions!$B$2:$B$3000,$A367,Permissions!$R$2:$R$3000,"Yes")</f>
        <v>0</v>
      </c>
      <c r="BC367" s="27" t="str">
        <f aca="false">IF(AND(AM367&gt;0,AR367&gt;=AM367,AP367=0),"Finished",IF(AR367&gt;0,"Partly built",IF(AM367&gt;0,"Consented – not built","No consent")))</f>
        <v>No consent</v>
      </c>
      <c r="BD367" s="28" t="str">
        <f aca="false">IF(AND(R367&lt;&gt;"",AM367&gt;1.1*R367),"Consented above capacity",IF(AND(LEFT(B367,8)="Planning",AZ367=0),"Consent parcel with no permission",IF(COUNTIF($A$2:$A$3000,$A367)&gt;1,"Duplicate parcel_id","")))</f>
        <v/>
      </c>
    </row>
    <row r="368" customFormat="false" ht="15" hidden="false" customHeight="false" outlineLevel="0" collapsed="false">
      <c r="A368" s="15" t="s">
        <v>847</v>
      </c>
      <c r="B368" s="15" t="s">
        <v>13</v>
      </c>
      <c r="C368" s="15" t="s">
        <v>17</v>
      </c>
      <c r="D368" s="15" t="s">
        <v>60</v>
      </c>
      <c r="E368" s="15" t="s">
        <v>20</v>
      </c>
      <c r="F368" s="15" t="n">
        <v>0</v>
      </c>
      <c r="G368" s="15" t="s">
        <v>842</v>
      </c>
      <c r="H368" s="15"/>
      <c r="I368" s="15" t="s">
        <v>17</v>
      </c>
      <c r="J368" s="15" t="s">
        <v>390</v>
      </c>
      <c r="K368" s="15" t="s">
        <v>848</v>
      </c>
      <c r="L368" s="15"/>
      <c r="M368" s="15" t="s">
        <v>357</v>
      </c>
      <c r="N368" s="15"/>
      <c r="O368" s="15"/>
      <c r="P368" s="15" t="n">
        <v>1.334</v>
      </c>
      <c r="Q368" s="15" t="n">
        <v>1.466</v>
      </c>
      <c r="R368" s="15" t="n">
        <v>25</v>
      </c>
      <c r="S368" s="15" t="s">
        <v>833</v>
      </c>
      <c r="T368" s="15" t="n">
        <v>25</v>
      </c>
      <c r="U368" s="15" t="s">
        <v>844</v>
      </c>
      <c r="V368" s="15" t="s">
        <v>849</v>
      </c>
      <c r="W368" s="15"/>
      <c r="X368" s="15" t="s">
        <v>850</v>
      </c>
      <c r="Y368" s="15" t="n">
        <v>19</v>
      </c>
      <c r="Z368" s="15" t="s">
        <v>851</v>
      </c>
      <c r="AA368" s="15" t="n">
        <v>1</v>
      </c>
      <c r="AB368" s="15" t="n">
        <v>0</v>
      </c>
      <c r="AC368" s="15" t="n">
        <v>0</v>
      </c>
      <c r="AD368" s="15"/>
      <c r="AE368" s="15"/>
      <c r="AF368" s="15" t="s">
        <v>169</v>
      </c>
      <c r="AG368" s="15"/>
      <c r="AH368" s="24" t="n">
        <f aca="false">IF(R368="",AM368,R368)</f>
        <v>25</v>
      </c>
      <c r="AI368" s="24" t="n">
        <f aca="false">SUMIFS(Permissions!$G$2:$G$3000,Permissions!$B$2:$B$3000,$A368,Permissions!$I$2:$I$3000,"Complete",Permissions!$R$2:$R$3000,"Yes")</f>
        <v>0</v>
      </c>
      <c r="AJ368" s="24" t="n">
        <f aca="false">SUMIFS(Permissions!$G$2:$G$3000,Permissions!$B$2:$B$3000,$A368,Permissions!$I$2:$I$3000,"Under construction",Permissions!$R$2:$R$3000,"Yes")</f>
        <v>0</v>
      </c>
      <c r="AK368" s="24" t="n">
        <f aca="false">SUMIFS(Permissions!$G$2:$G$3000,Permissions!$B$2:$B$3000,$A368,Permissions!$I$2:$I$3000,"Permitted – not started",Permissions!$R$2:$R$3000,"Yes")</f>
        <v>0</v>
      </c>
      <c r="AL368" s="24" t="n">
        <f aca="false">SUMIFS(Permissions!$G$2:$G$3000,Permissions!$B$2:$B$3000,$A368,Permissions!$I$2:$I$3000,"Stalled",Permissions!$R$2:$R$3000,"Yes")</f>
        <v>0</v>
      </c>
      <c r="AM368" s="24" t="n">
        <f aca="false">AI368+AJ368+AK368+AL368</f>
        <v>0</v>
      </c>
      <c r="AN368" s="24" t="n">
        <f aca="false">SUMIFS(Permissions!$G$2:$G$3000,Permissions!$B$2:$B$3000,$A368,Permissions!$I$2:$I$3000,"Expired – not started",Permissions!$R$2:$R$3000,"Yes")</f>
        <v>0</v>
      </c>
      <c r="AO368" s="24" t="n">
        <f aca="false">SUMIFS(Permissions!$G$2:$G$3000,Permissions!$B$2:$B$3000,$A368,Permissions!$I$2:$I$3000,"In planning",Permissions!$R$2:$R$3000,"Yes")</f>
        <v>0</v>
      </c>
      <c r="AP368" s="24" t="n">
        <f aca="false">IF(R368="",0,MAX(R368-AM368,0))</f>
        <v>25</v>
      </c>
      <c r="AQ368" s="25" t="n">
        <f aca="false">AM368+AP368</f>
        <v>25</v>
      </c>
      <c r="AR368" s="24" t="n">
        <f aca="false">SUMIFS(Permissions!$L$2:$L$3000,Permissions!$B$2:$B$3000,$A368,Permissions!$R$2:$R$3000,"Yes",Permissions!$I$2:$I$3000,"&lt;&gt;Expired – not started",Permissions!$I$2:$I$3000,"&lt;&gt;In planning")</f>
        <v>0</v>
      </c>
      <c r="AS368" s="24" t="n">
        <f aca="false">AQ368-AR368</f>
        <v>25</v>
      </c>
      <c r="AT368" s="26" t="n">
        <f aca="false">SUMIFS(Permissions!$AJ$2:$AJ$3000,Permissions!$B$2:$B$3000,$A368,Permissions!$R$2:$R$3000,"Yes")</f>
        <v>0</v>
      </c>
      <c r="AU368" s="26" t="n">
        <f aca="false">SUMIFS(Permissions!$AK$2:$AK$3000,Permissions!$B$2:$B$3000,$A368,Permissions!$R$2:$R$3000,"Yes")</f>
        <v>0</v>
      </c>
      <c r="AV368" s="26" t="n">
        <f aca="false">SUMIFS(Permissions!$AL$2:$AL$3000,Permissions!$B$2:$B$3000,$A368,Permissions!$R$2:$R$3000,"Yes")</f>
        <v>0</v>
      </c>
      <c r="AW368" s="26" t="n">
        <f aca="false">SUMIFS(Permissions!$AM$2:$AM$3000,Permissions!$B$2:$B$3000,$A368,Permissions!$R$2:$R$3000,"Yes")</f>
        <v>0</v>
      </c>
      <c r="AX368" s="26" t="n">
        <f aca="false">SUMIFS(Permissions!$AN$2:$AN$3000,Permissions!$B$2:$B$3000,$A368,Permissions!$R$2:$R$3000,"Yes")</f>
        <v>0</v>
      </c>
      <c r="AY368" s="26" t="n">
        <f aca="false">SUMIFS(Permissions!$AO$2:$AO$3000,Permissions!$B$2:$B$3000,$A368,Permissions!$R$2:$R$3000,"Yes")</f>
        <v>0</v>
      </c>
      <c r="AZ368" s="24" t="n">
        <f aca="false">COUNTIFS(Permissions!$B$2:$B$3000,$A368,Permissions!$R$2:$R$3000,"Yes")</f>
        <v>0</v>
      </c>
      <c r="BA368" s="24" t="n">
        <f aca="false">SUMIFS(Permissions!$M$2:$M$3000,Permissions!$B$2:$B$3000,$A368,Permissions!$R$2:$R$3000,"Yes")</f>
        <v>0</v>
      </c>
      <c r="BB368" s="24" t="n">
        <f aca="false">SUMIFS(Permissions!$O$2:$O$3000,Permissions!$B$2:$B$3000,$A368,Permissions!$R$2:$R$3000,"Yes")</f>
        <v>0</v>
      </c>
      <c r="BC368" s="27" t="str">
        <f aca="false">IF(AND(AM368&gt;0,AR368&gt;=AM368,AP368=0),"Finished",IF(AR368&gt;0,"Partly built",IF(AM368&gt;0,"Consented – not built","No consent")))</f>
        <v>No consent</v>
      </c>
      <c r="BD368" s="28" t="str">
        <f aca="false">IF(AND(R368&lt;&gt;"",AM368&gt;1.1*R368),"Consented above capacity",IF(AND(LEFT(B368,8)="Planning",AZ368=0),"Consent parcel with no permission",IF(COUNTIF($A$2:$A$3000,$A368)&gt;1,"Duplicate parcel_id","")))</f>
        <v/>
      </c>
    </row>
    <row r="369" customFormat="false" ht="15" hidden="false" customHeight="false" outlineLevel="0" collapsed="false">
      <c r="A369" s="15" t="s">
        <v>852</v>
      </c>
      <c r="B369" s="15" t="s">
        <v>13</v>
      </c>
      <c r="C369" s="15" t="s">
        <v>17</v>
      </c>
      <c r="D369" s="15" t="s">
        <v>60</v>
      </c>
      <c r="E369" s="15" t="s">
        <v>20</v>
      </c>
      <c r="F369" s="15" t="n">
        <v>0</v>
      </c>
      <c r="G369" s="15" t="s">
        <v>842</v>
      </c>
      <c r="H369" s="15"/>
      <c r="I369" s="15" t="s">
        <v>17</v>
      </c>
      <c r="J369" s="15" t="s">
        <v>390</v>
      </c>
      <c r="K369" s="15" t="s">
        <v>848</v>
      </c>
      <c r="L369" s="15"/>
      <c r="M369" s="15" t="s">
        <v>357</v>
      </c>
      <c r="N369" s="15"/>
      <c r="O369" s="15"/>
      <c r="P369" s="15" t="n">
        <v>0.458</v>
      </c>
      <c r="Q369" s="15" t="n">
        <v>0.504</v>
      </c>
      <c r="R369" s="15" t="n">
        <v>9</v>
      </c>
      <c r="S369" s="15" t="s">
        <v>833</v>
      </c>
      <c r="T369" s="15" t="n">
        <v>9</v>
      </c>
      <c r="U369" s="15" t="s">
        <v>844</v>
      </c>
      <c r="V369" s="15" t="s">
        <v>849</v>
      </c>
      <c r="W369" s="15"/>
      <c r="X369" s="15" t="s">
        <v>850</v>
      </c>
      <c r="Y369" s="15" t="n">
        <v>19</v>
      </c>
      <c r="Z369" s="15" t="s">
        <v>851</v>
      </c>
      <c r="AA369" s="15" t="n">
        <v>1</v>
      </c>
      <c r="AB369" s="15" t="n">
        <v>0</v>
      </c>
      <c r="AC369" s="15" t="n">
        <v>0</v>
      </c>
      <c r="AD369" s="15"/>
      <c r="AE369" s="15"/>
      <c r="AF369" s="15" t="s">
        <v>169</v>
      </c>
      <c r="AG369" s="15"/>
      <c r="AH369" s="24" t="n">
        <f aca="false">IF(R369="",AM369,R369)</f>
        <v>9</v>
      </c>
      <c r="AI369" s="24" t="n">
        <f aca="false">SUMIFS(Permissions!$G$2:$G$3000,Permissions!$B$2:$B$3000,$A369,Permissions!$I$2:$I$3000,"Complete",Permissions!$R$2:$R$3000,"Yes")</f>
        <v>0</v>
      </c>
      <c r="AJ369" s="24" t="n">
        <f aca="false">SUMIFS(Permissions!$G$2:$G$3000,Permissions!$B$2:$B$3000,$A369,Permissions!$I$2:$I$3000,"Under construction",Permissions!$R$2:$R$3000,"Yes")</f>
        <v>0</v>
      </c>
      <c r="AK369" s="24" t="n">
        <f aca="false">SUMIFS(Permissions!$G$2:$G$3000,Permissions!$B$2:$B$3000,$A369,Permissions!$I$2:$I$3000,"Permitted – not started",Permissions!$R$2:$R$3000,"Yes")</f>
        <v>0</v>
      </c>
      <c r="AL369" s="24" t="n">
        <f aca="false">SUMIFS(Permissions!$G$2:$G$3000,Permissions!$B$2:$B$3000,$A369,Permissions!$I$2:$I$3000,"Stalled",Permissions!$R$2:$R$3000,"Yes")</f>
        <v>0</v>
      </c>
      <c r="AM369" s="24" t="n">
        <f aca="false">AI369+AJ369+AK369+AL369</f>
        <v>0</v>
      </c>
      <c r="AN369" s="24" t="n">
        <f aca="false">SUMIFS(Permissions!$G$2:$G$3000,Permissions!$B$2:$B$3000,$A369,Permissions!$I$2:$I$3000,"Expired – not started",Permissions!$R$2:$R$3000,"Yes")</f>
        <v>0</v>
      </c>
      <c r="AO369" s="24" t="n">
        <f aca="false">SUMIFS(Permissions!$G$2:$G$3000,Permissions!$B$2:$B$3000,$A369,Permissions!$I$2:$I$3000,"In planning",Permissions!$R$2:$R$3000,"Yes")</f>
        <v>0</v>
      </c>
      <c r="AP369" s="24" t="n">
        <f aca="false">IF(R369="",0,MAX(R369-AM369,0))</f>
        <v>9</v>
      </c>
      <c r="AQ369" s="25" t="n">
        <f aca="false">AM369+AP369</f>
        <v>9</v>
      </c>
      <c r="AR369" s="24" t="n">
        <f aca="false">SUMIFS(Permissions!$L$2:$L$3000,Permissions!$B$2:$B$3000,$A369,Permissions!$R$2:$R$3000,"Yes",Permissions!$I$2:$I$3000,"&lt;&gt;Expired – not started",Permissions!$I$2:$I$3000,"&lt;&gt;In planning")</f>
        <v>0</v>
      </c>
      <c r="AS369" s="24" t="n">
        <f aca="false">AQ369-AR369</f>
        <v>9</v>
      </c>
      <c r="AT369" s="26" t="n">
        <f aca="false">SUMIFS(Permissions!$AJ$2:$AJ$3000,Permissions!$B$2:$B$3000,$A369,Permissions!$R$2:$R$3000,"Yes")</f>
        <v>0</v>
      </c>
      <c r="AU369" s="26" t="n">
        <f aca="false">SUMIFS(Permissions!$AK$2:$AK$3000,Permissions!$B$2:$B$3000,$A369,Permissions!$R$2:$R$3000,"Yes")</f>
        <v>0</v>
      </c>
      <c r="AV369" s="26" t="n">
        <f aca="false">SUMIFS(Permissions!$AL$2:$AL$3000,Permissions!$B$2:$B$3000,$A369,Permissions!$R$2:$R$3000,"Yes")</f>
        <v>0</v>
      </c>
      <c r="AW369" s="26" t="n">
        <f aca="false">SUMIFS(Permissions!$AM$2:$AM$3000,Permissions!$B$2:$B$3000,$A369,Permissions!$R$2:$R$3000,"Yes")</f>
        <v>0</v>
      </c>
      <c r="AX369" s="26" t="n">
        <f aca="false">SUMIFS(Permissions!$AN$2:$AN$3000,Permissions!$B$2:$B$3000,$A369,Permissions!$R$2:$R$3000,"Yes")</f>
        <v>0</v>
      </c>
      <c r="AY369" s="26" t="n">
        <f aca="false">SUMIFS(Permissions!$AO$2:$AO$3000,Permissions!$B$2:$B$3000,$A369,Permissions!$R$2:$R$3000,"Yes")</f>
        <v>0</v>
      </c>
      <c r="AZ369" s="24" t="n">
        <f aca="false">COUNTIFS(Permissions!$B$2:$B$3000,$A369,Permissions!$R$2:$R$3000,"Yes")</f>
        <v>0</v>
      </c>
      <c r="BA369" s="24" t="n">
        <f aca="false">SUMIFS(Permissions!$M$2:$M$3000,Permissions!$B$2:$B$3000,$A369,Permissions!$R$2:$R$3000,"Yes")</f>
        <v>0</v>
      </c>
      <c r="BB369" s="24" t="n">
        <f aca="false">SUMIFS(Permissions!$O$2:$O$3000,Permissions!$B$2:$B$3000,$A369,Permissions!$R$2:$R$3000,"Yes")</f>
        <v>0</v>
      </c>
      <c r="BC369" s="27" t="str">
        <f aca="false">IF(AND(AM369&gt;0,AR369&gt;=AM369,AP369=0),"Finished",IF(AR369&gt;0,"Partly built",IF(AM369&gt;0,"Consented – not built","No consent")))</f>
        <v>No consent</v>
      </c>
      <c r="BD369" s="28" t="str">
        <f aca="false">IF(AND(R369&lt;&gt;"",AM369&gt;1.1*R369),"Consented above capacity",IF(AND(LEFT(B369,8)="Planning",AZ369=0),"Consent parcel with no permission",IF(COUNTIF($A$2:$A$3000,$A369)&gt;1,"Duplicate parcel_id","")))</f>
        <v/>
      </c>
    </row>
    <row r="370" customFormat="false" ht="15" hidden="false" customHeight="false" outlineLevel="0" collapsed="false">
      <c r="A370" s="15" t="s">
        <v>853</v>
      </c>
      <c r="B370" s="15" t="s">
        <v>13</v>
      </c>
      <c r="C370" s="15" t="s">
        <v>17</v>
      </c>
      <c r="D370" s="15" t="s">
        <v>60</v>
      </c>
      <c r="E370" s="15" t="s">
        <v>20</v>
      </c>
      <c r="F370" s="15" t="n">
        <v>1</v>
      </c>
      <c r="G370" s="15" t="s">
        <v>158</v>
      </c>
      <c r="H370" s="15"/>
      <c r="I370" s="15" t="s">
        <v>17</v>
      </c>
      <c r="J370" s="15" t="s">
        <v>390</v>
      </c>
      <c r="K370" s="15" t="s">
        <v>843</v>
      </c>
      <c r="L370" s="15"/>
      <c r="M370" s="15" t="s">
        <v>349</v>
      </c>
      <c r="N370" s="15"/>
      <c r="O370" s="15"/>
      <c r="P370" s="15" t="n">
        <v>0.34</v>
      </c>
      <c r="Q370" s="15" t="n">
        <v>0.374</v>
      </c>
      <c r="R370" s="15" t="n">
        <v>8</v>
      </c>
      <c r="S370" s="15" t="s">
        <v>833</v>
      </c>
      <c r="T370" s="15" t="n">
        <v>8</v>
      </c>
      <c r="U370" s="15" t="s">
        <v>844</v>
      </c>
      <c r="V370" s="15" t="s">
        <v>835</v>
      </c>
      <c r="W370" s="15"/>
      <c r="X370" s="15" t="s">
        <v>353</v>
      </c>
      <c r="Y370" s="15" t="n">
        <v>25</v>
      </c>
      <c r="Z370" s="15" t="s">
        <v>845</v>
      </c>
      <c r="AA370" s="15" t="n">
        <v>1</v>
      </c>
      <c r="AB370" s="15" t="n">
        <v>0</v>
      </c>
      <c r="AC370" s="15" t="n">
        <v>0</v>
      </c>
      <c r="AD370" s="15"/>
      <c r="AE370" s="15"/>
      <c r="AF370" s="15" t="s">
        <v>169</v>
      </c>
      <c r="AG370" s="15"/>
      <c r="AH370" s="24" t="n">
        <f aca="false">IF(R370="",AM370,R370)</f>
        <v>8</v>
      </c>
      <c r="AI370" s="24" t="n">
        <f aca="false">SUMIFS(Permissions!$G$2:$G$3000,Permissions!$B$2:$B$3000,$A370,Permissions!$I$2:$I$3000,"Complete",Permissions!$R$2:$R$3000,"Yes")</f>
        <v>0</v>
      </c>
      <c r="AJ370" s="24" t="n">
        <f aca="false">SUMIFS(Permissions!$G$2:$G$3000,Permissions!$B$2:$B$3000,$A370,Permissions!$I$2:$I$3000,"Under construction",Permissions!$R$2:$R$3000,"Yes")</f>
        <v>0</v>
      </c>
      <c r="AK370" s="24" t="n">
        <f aca="false">SUMIFS(Permissions!$G$2:$G$3000,Permissions!$B$2:$B$3000,$A370,Permissions!$I$2:$I$3000,"Permitted – not started",Permissions!$R$2:$R$3000,"Yes")</f>
        <v>0</v>
      </c>
      <c r="AL370" s="24" t="n">
        <f aca="false">SUMIFS(Permissions!$G$2:$G$3000,Permissions!$B$2:$B$3000,$A370,Permissions!$I$2:$I$3000,"Stalled",Permissions!$R$2:$R$3000,"Yes")</f>
        <v>0</v>
      </c>
      <c r="AM370" s="24" t="n">
        <f aca="false">AI370+AJ370+AK370+AL370</f>
        <v>0</v>
      </c>
      <c r="AN370" s="24" t="n">
        <f aca="false">SUMIFS(Permissions!$G$2:$G$3000,Permissions!$B$2:$B$3000,$A370,Permissions!$I$2:$I$3000,"Expired – not started",Permissions!$R$2:$R$3000,"Yes")</f>
        <v>0</v>
      </c>
      <c r="AO370" s="24" t="n">
        <f aca="false">SUMIFS(Permissions!$G$2:$G$3000,Permissions!$B$2:$B$3000,$A370,Permissions!$I$2:$I$3000,"In planning",Permissions!$R$2:$R$3000,"Yes")</f>
        <v>0</v>
      </c>
      <c r="AP370" s="24" t="n">
        <f aca="false">IF(R370="",0,MAX(R370-AM370,0))</f>
        <v>8</v>
      </c>
      <c r="AQ370" s="25" t="n">
        <f aca="false">AM370+AP370</f>
        <v>8</v>
      </c>
      <c r="AR370" s="24" t="n">
        <f aca="false">SUMIFS(Permissions!$L$2:$L$3000,Permissions!$B$2:$B$3000,$A370,Permissions!$R$2:$R$3000,"Yes",Permissions!$I$2:$I$3000,"&lt;&gt;Expired – not started",Permissions!$I$2:$I$3000,"&lt;&gt;In planning")</f>
        <v>0</v>
      </c>
      <c r="AS370" s="24" t="n">
        <f aca="false">AQ370-AR370</f>
        <v>8</v>
      </c>
      <c r="AT370" s="26" t="n">
        <f aca="false">SUMIFS(Permissions!$AJ$2:$AJ$3000,Permissions!$B$2:$B$3000,$A370,Permissions!$R$2:$R$3000,"Yes")</f>
        <v>0</v>
      </c>
      <c r="AU370" s="26" t="n">
        <f aca="false">SUMIFS(Permissions!$AK$2:$AK$3000,Permissions!$B$2:$B$3000,$A370,Permissions!$R$2:$R$3000,"Yes")</f>
        <v>0</v>
      </c>
      <c r="AV370" s="26" t="n">
        <f aca="false">SUMIFS(Permissions!$AL$2:$AL$3000,Permissions!$B$2:$B$3000,$A370,Permissions!$R$2:$R$3000,"Yes")</f>
        <v>0</v>
      </c>
      <c r="AW370" s="26" t="n">
        <f aca="false">SUMIFS(Permissions!$AM$2:$AM$3000,Permissions!$B$2:$B$3000,$A370,Permissions!$R$2:$R$3000,"Yes")</f>
        <v>0</v>
      </c>
      <c r="AX370" s="26" t="n">
        <f aca="false">SUMIFS(Permissions!$AN$2:$AN$3000,Permissions!$B$2:$B$3000,$A370,Permissions!$R$2:$R$3000,"Yes")</f>
        <v>0</v>
      </c>
      <c r="AY370" s="26" t="n">
        <f aca="false">SUMIFS(Permissions!$AO$2:$AO$3000,Permissions!$B$2:$B$3000,$A370,Permissions!$R$2:$R$3000,"Yes")</f>
        <v>0</v>
      </c>
      <c r="AZ370" s="24" t="n">
        <f aca="false">COUNTIFS(Permissions!$B$2:$B$3000,$A370,Permissions!$R$2:$R$3000,"Yes")</f>
        <v>0</v>
      </c>
      <c r="BA370" s="24" t="n">
        <f aca="false">SUMIFS(Permissions!$M$2:$M$3000,Permissions!$B$2:$B$3000,$A370,Permissions!$R$2:$R$3000,"Yes")</f>
        <v>0</v>
      </c>
      <c r="BB370" s="24" t="n">
        <f aca="false">SUMIFS(Permissions!$O$2:$O$3000,Permissions!$B$2:$B$3000,$A370,Permissions!$R$2:$R$3000,"Yes")</f>
        <v>0</v>
      </c>
      <c r="BC370" s="27" t="str">
        <f aca="false">IF(AND(AM370&gt;0,AR370&gt;=AM370,AP370=0),"Finished",IF(AR370&gt;0,"Partly built",IF(AM370&gt;0,"Consented – not built","No consent")))</f>
        <v>No consent</v>
      </c>
      <c r="BD370" s="28" t="str">
        <f aca="false">IF(AND(R370&lt;&gt;"",AM370&gt;1.1*R370),"Consented above capacity",IF(AND(LEFT(B370,8)="Planning",AZ370=0),"Consent parcel with no permission",IF(COUNTIF($A$2:$A$3000,$A370)&gt;1,"Duplicate parcel_id","")))</f>
        <v/>
      </c>
    </row>
    <row r="371" customFormat="false" ht="15" hidden="false" customHeight="false" outlineLevel="0" collapsed="false">
      <c r="A371" s="15" t="s">
        <v>854</v>
      </c>
      <c r="B371" s="15" t="s">
        <v>13</v>
      </c>
      <c r="C371" s="15" t="s">
        <v>17</v>
      </c>
      <c r="D371" s="15" t="s">
        <v>60</v>
      </c>
      <c r="E371" s="15" t="s">
        <v>20</v>
      </c>
      <c r="F371" s="15" t="n">
        <v>0.68</v>
      </c>
      <c r="G371" s="15" t="s">
        <v>158</v>
      </c>
      <c r="H371" s="15"/>
      <c r="I371" s="15" t="s">
        <v>17</v>
      </c>
      <c r="J371" s="15" t="s">
        <v>390</v>
      </c>
      <c r="K371" s="15" t="s">
        <v>843</v>
      </c>
      <c r="L371" s="15"/>
      <c r="M371" s="15" t="s">
        <v>349</v>
      </c>
      <c r="N371" s="15"/>
      <c r="O371" s="15"/>
      <c r="P371" s="15" t="n">
        <v>1.244</v>
      </c>
      <c r="Q371" s="15" t="n">
        <v>1.367</v>
      </c>
      <c r="R371" s="15" t="n">
        <v>31</v>
      </c>
      <c r="S371" s="15" t="s">
        <v>833</v>
      </c>
      <c r="T371" s="15" t="n">
        <v>31</v>
      </c>
      <c r="U371" s="15" t="s">
        <v>844</v>
      </c>
      <c r="V371" s="15" t="s">
        <v>835</v>
      </c>
      <c r="W371" s="15"/>
      <c r="X371" s="15" t="s">
        <v>353</v>
      </c>
      <c r="Y371" s="15" t="n">
        <v>25</v>
      </c>
      <c r="Z371" s="15" t="s">
        <v>845</v>
      </c>
      <c r="AA371" s="15" t="n">
        <v>1</v>
      </c>
      <c r="AB371" s="15" t="n">
        <v>0</v>
      </c>
      <c r="AC371" s="15" t="n">
        <v>0</v>
      </c>
      <c r="AD371" s="15"/>
      <c r="AE371" s="15"/>
      <c r="AF371" s="15" t="s">
        <v>169</v>
      </c>
      <c r="AG371" s="15"/>
      <c r="AH371" s="24" t="n">
        <f aca="false">IF(R371="",AM371,R371)</f>
        <v>31</v>
      </c>
      <c r="AI371" s="24" t="n">
        <f aca="false">SUMIFS(Permissions!$G$2:$G$3000,Permissions!$B$2:$B$3000,$A371,Permissions!$I$2:$I$3000,"Complete",Permissions!$R$2:$R$3000,"Yes")</f>
        <v>0</v>
      </c>
      <c r="AJ371" s="24" t="n">
        <f aca="false">SUMIFS(Permissions!$G$2:$G$3000,Permissions!$B$2:$B$3000,$A371,Permissions!$I$2:$I$3000,"Under construction",Permissions!$R$2:$R$3000,"Yes")</f>
        <v>0</v>
      </c>
      <c r="AK371" s="24" t="n">
        <f aca="false">SUMIFS(Permissions!$G$2:$G$3000,Permissions!$B$2:$B$3000,$A371,Permissions!$I$2:$I$3000,"Permitted – not started",Permissions!$R$2:$R$3000,"Yes")</f>
        <v>0</v>
      </c>
      <c r="AL371" s="24" t="n">
        <f aca="false">SUMIFS(Permissions!$G$2:$G$3000,Permissions!$B$2:$B$3000,$A371,Permissions!$I$2:$I$3000,"Stalled",Permissions!$R$2:$R$3000,"Yes")</f>
        <v>0</v>
      </c>
      <c r="AM371" s="24" t="n">
        <f aca="false">AI371+AJ371+AK371+AL371</f>
        <v>0</v>
      </c>
      <c r="AN371" s="24" t="n">
        <f aca="false">SUMIFS(Permissions!$G$2:$G$3000,Permissions!$B$2:$B$3000,$A371,Permissions!$I$2:$I$3000,"Expired – not started",Permissions!$R$2:$R$3000,"Yes")</f>
        <v>0</v>
      </c>
      <c r="AO371" s="24" t="n">
        <f aca="false">SUMIFS(Permissions!$G$2:$G$3000,Permissions!$B$2:$B$3000,$A371,Permissions!$I$2:$I$3000,"In planning",Permissions!$R$2:$R$3000,"Yes")</f>
        <v>0</v>
      </c>
      <c r="AP371" s="24" t="n">
        <f aca="false">IF(R371="",0,MAX(R371-AM371,0))</f>
        <v>31</v>
      </c>
      <c r="AQ371" s="25" t="n">
        <f aca="false">AM371+AP371</f>
        <v>31</v>
      </c>
      <c r="AR371" s="24" t="n">
        <f aca="false">SUMIFS(Permissions!$L$2:$L$3000,Permissions!$B$2:$B$3000,$A371,Permissions!$R$2:$R$3000,"Yes",Permissions!$I$2:$I$3000,"&lt;&gt;Expired – not started",Permissions!$I$2:$I$3000,"&lt;&gt;In planning")</f>
        <v>0</v>
      </c>
      <c r="AS371" s="24" t="n">
        <f aca="false">AQ371-AR371</f>
        <v>31</v>
      </c>
      <c r="AT371" s="26" t="n">
        <f aca="false">SUMIFS(Permissions!$AJ$2:$AJ$3000,Permissions!$B$2:$B$3000,$A371,Permissions!$R$2:$R$3000,"Yes")</f>
        <v>0</v>
      </c>
      <c r="AU371" s="26" t="n">
        <f aca="false">SUMIFS(Permissions!$AK$2:$AK$3000,Permissions!$B$2:$B$3000,$A371,Permissions!$R$2:$R$3000,"Yes")</f>
        <v>0</v>
      </c>
      <c r="AV371" s="26" t="n">
        <f aca="false">SUMIFS(Permissions!$AL$2:$AL$3000,Permissions!$B$2:$B$3000,$A371,Permissions!$R$2:$R$3000,"Yes")</f>
        <v>0</v>
      </c>
      <c r="AW371" s="26" t="n">
        <f aca="false">SUMIFS(Permissions!$AM$2:$AM$3000,Permissions!$B$2:$B$3000,$A371,Permissions!$R$2:$R$3000,"Yes")</f>
        <v>0</v>
      </c>
      <c r="AX371" s="26" t="n">
        <f aca="false">SUMIFS(Permissions!$AN$2:$AN$3000,Permissions!$B$2:$B$3000,$A371,Permissions!$R$2:$R$3000,"Yes")</f>
        <v>0</v>
      </c>
      <c r="AY371" s="26" t="n">
        <f aca="false">SUMIFS(Permissions!$AO$2:$AO$3000,Permissions!$B$2:$B$3000,$A371,Permissions!$R$2:$R$3000,"Yes")</f>
        <v>0</v>
      </c>
      <c r="AZ371" s="24" t="n">
        <f aca="false">COUNTIFS(Permissions!$B$2:$B$3000,$A371,Permissions!$R$2:$R$3000,"Yes")</f>
        <v>0</v>
      </c>
      <c r="BA371" s="24" t="n">
        <f aca="false">SUMIFS(Permissions!$M$2:$M$3000,Permissions!$B$2:$B$3000,$A371,Permissions!$R$2:$R$3000,"Yes")</f>
        <v>0</v>
      </c>
      <c r="BB371" s="24" t="n">
        <f aca="false">SUMIFS(Permissions!$O$2:$O$3000,Permissions!$B$2:$B$3000,$A371,Permissions!$R$2:$R$3000,"Yes")</f>
        <v>0</v>
      </c>
      <c r="BC371" s="27" t="str">
        <f aca="false">IF(AND(AM371&gt;0,AR371&gt;=AM371,AP371=0),"Finished",IF(AR371&gt;0,"Partly built",IF(AM371&gt;0,"Consented – not built","No consent")))</f>
        <v>No consent</v>
      </c>
      <c r="BD371" s="28" t="str">
        <f aca="false">IF(AND(R371&lt;&gt;"",AM371&gt;1.1*R371),"Consented above capacity",IF(AND(LEFT(B371,8)="Planning",AZ371=0),"Consent parcel with no permission",IF(COUNTIF($A$2:$A$3000,$A371)&gt;1,"Duplicate parcel_id","")))</f>
        <v/>
      </c>
    </row>
    <row r="372" customFormat="false" ht="15" hidden="false" customHeight="false" outlineLevel="0" collapsed="false">
      <c r="A372" s="15" t="s">
        <v>855</v>
      </c>
      <c r="B372" s="15" t="s">
        <v>13</v>
      </c>
      <c r="C372" s="15" t="s">
        <v>17</v>
      </c>
      <c r="D372" s="15" t="s">
        <v>60</v>
      </c>
      <c r="E372" s="15" t="s">
        <v>20</v>
      </c>
      <c r="F372" s="15" t="n">
        <v>0</v>
      </c>
      <c r="G372" s="15" t="s">
        <v>842</v>
      </c>
      <c r="H372" s="15"/>
      <c r="I372" s="15" t="s">
        <v>17</v>
      </c>
      <c r="J372" s="15" t="s">
        <v>390</v>
      </c>
      <c r="K372" s="15" t="s">
        <v>848</v>
      </c>
      <c r="L372" s="15"/>
      <c r="M372" s="15" t="s">
        <v>357</v>
      </c>
      <c r="N372" s="15"/>
      <c r="O372" s="15"/>
      <c r="P372" s="15" t="n">
        <v>0.905</v>
      </c>
      <c r="Q372" s="15" t="n">
        <v>0.995</v>
      </c>
      <c r="R372" s="15" t="n">
        <v>17</v>
      </c>
      <c r="S372" s="15" t="s">
        <v>833</v>
      </c>
      <c r="T372" s="15" t="n">
        <v>17</v>
      </c>
      <c r="U372" s="15" t="s">
        <v>844</v>
      </c>
      <c r="V372" s="15" t="s">
        <v>849</v>
      </c>
      <c r="W372" s="15"/>
      <c r="X372" s="15" t="s">
        <v>850</v>
      </c>
      <c r="Y372" s="15" t="n">
        <v>19</v>
      </c>
      <c r="Z372" s="15" t="s">
        <v>851</v>
      </c>
      <c r="AA372" s="15" t="n">
        <v>0.47</v>
      </c>
      <c r="AB372" s="15" t="n">
        <v>0</v>
      </c>
      <c r="AC372" s="15" t="n">
        <v>0</v>
      </c>
      <c r="AD372" s="15"/>
      <c r="AE372" s="15"/>
      <c r="AF372" s="15" t="s">
        <v>169</v>
      </c>
      <c r="AG372" s="15"/>
      <c r="AH372" s="24" t="n">
        <f aca="false">IF(R372="",AM372,R372)</f>
        <v>17</v>
      </c>
      <c r="AI372" s="24" t="n">
        <f aca="false">SUMIFS(Permissions!$G$2:$G$3000,Permissions!$B$2:$B$3000,$A372,Permissions!$I$2:$I$3000,"Complete",Permissions!$R$2:$R$3000,"Yes")</f>
        <v>0</v>
      </c>
      <c r="AJ372" s="24" t="n">
        <f aca="false">SUMIFS(Permissions!$G$2:$G$3000,Permissions!$B$2:$B$3000,$A372,Permissions!$I$2:$I$3000,"Under construction",Permissions!$R$2:$R$3000,"Yes")</f>
        <v>0</v>
      </c>
      <c r="AK372" s="24" t="n">
        <f aca="false">SUMIFS(Permissions!$G$2:$G$3000,Permissions!$B$2:$B$3000,$A372,Permissions!$I$2:$I$3000,"Permitted – not started",Permissions!$R$2:$R$3000,"Yes")</f>
        <v>0</v>
      </c>
      <c r="AL372" s="24" t="n">
        <f aca="false">SUMIFS(Permissions!$G$2:$G$3000,Permissions!$B$2:$B$3000,$A372,Permissions!$I$2:$I$3000,"Stalled",Permissions!$R$2:$R$3000,"Yes")</f>
        <v>0</v>
      </c>
      <c r="AM372" s="24" t="n">
        <f aca="false">AI372+AJ372+AK372+AL372</f>
        <v>0</v>
      </c>
      <c r="AN372" s="24" t="n">
        <f aca="false">SUMIFS(Permissions!$G$2:$G$3000,Permissions!$B$2:$B$3000,$A372,Permissions!$I$2:$I$3000,"Expired – not started",Permissions!$R$2:$R$3000,"Yes")</f>
        <v>0</v>
      </c>
      <c r="AO372" s="24" t="n">
        <f aca="false">SUMIFS(Permissions!$G$2:$G$3000,Permissions!$B$2:$B$3000,$A372,Permissions!$I$2:$I$3000,"In planning",Permissions!$R$2:$R$3000,"Yes")</f>
        <v>0</v>
      </c>
      <c r="AP372" s="24" t="n">
        <f aca="false">IF(R372="",0,MAX(R372-AM372,0))</f>
        <v>17</v>
      </c>
      <c r="AQ372" s="25" t="n">
        <f aca="false">AM372+AP372</f>
        <v>17</v>
      </c>
      <c r="AR372" s="24" t="n">
        <f aca="false">SUMIFS(Permissions!$L$2:$L$3000,Permissions!$B$2:$B$3000,$A372,Permissions!$R$2:$R$3000,"Yes",Permissions!$I$2:$I$3000,"&lt;&gt;Expired – not started",Permissions!$I$2:$I$3000,"&lt;&gt;In planning")</f>
        <v>0</v>
      </c>
      <c r="AS372" s="24" t="n">
        <f aca="false">AQ372-AR372</f>
        <v>17</v>
      </c>
      <c r="AT372" s="26" t="n">
        <f aca="false">SUMIFS(Permissions!$AJ$2:$AJ$3000,Permissions!$B$2:$B$3000,$A372,Permissions!$R$2:$R$3000,"Yes")</f>
        <v>0</v>
      </c>
      <c r="AU372" s="26" t="n">
        <f aca="false">SUMIFS(Permissions!$AK$2:$AK$3000,Permissions!$B$2:$B$3000,$A372,Permissions!$R$2:$R$3000,"Yes")</f>
        <v>0</v>
      </c>
      <c r="AV372" s="26" t="n">
        <f aca="false">SUMIFS(Permissions!$AL$2:$AL$3000,Permissions!$B$2:$B$3000,$A372,Permissions!$R$2:$R$3000,"Yes")</f>
        <v>0</v>
      </c>
      <c r="AW372" s="26" t="n">
        <f aca="false">SUMIFS(Permissions!$AM$2:$AM$3000,Permissions!$B$2:$B$3000,$A372,Permissions!$R$2:$R$3000,"Yes")</f>
        <v>0</v>
      </c>
      <c r="AX372" s="26" t="n">
        <f aca="false">SUMIFS(Permissions!$AN$2:$AN$3000,Permissions!$B$2:$B$3000,$A372,Permissions!$R$2:$R$3000,"Yes")</f>
        <v>0</v>
      </c>
      <c r="AY372" s="26" t="n">
        <f aca="false">SUMIFS(Permissions!$AO$2:$AO$3000,Permissions!$B$2:$B$3000,$A372,Permissions!$R$2:$R$3000,"Yes")</f>
        <v>0</v>
      </c>
      <c r="AZ372" s="24" t="n">
        <f aca="false">COUNTIFS(Permissions!$B$2:$B$3000,$A372,Permissions!$R$2:$R$3000,"Yes")</f>
        <v>0</v>
      </c>
      <c r="BA372" s="24" t="n">
        <f aca="false">SUMIFS(Permissions!$M$2:$M$3000,Permissions!$B$2:$B$3000,$A372,Permissions!$R$2:$R$3000,"Yes")</f>
        <v>0</v>
      </c>
      <c r="BB372" s="24" t="n">
        <f aca="false">SUMIFS(Permissions!$O$2:$O$3000,Permissions!$B$2:$B$3000,$A372,Permissions!$R$2:$R$3000,"Yes")</f>
        <v>0</v>
      </c>
      <c r="BC372" s="27" t="str">
        <f aca="false">IF(AND(AM372&gt;0,AR372&gt;=AM372,AP372=0),"Finished",IF(AR372&gt;0,"Partly built",IF(AM372&gt;0,"Consented – not built","No consent")))</f>
        <v>No consent</v>
      </c>
      <c r="BD372" s="28" t="str">
        <f aca="false">IF(AND(R372&lt;&gt;"",AM372&gt;1.1*R372),"Consented above capacity",IF(AND(LEFT(B372,8)="Planning",AZ372=0),"Consent parcel with no permission",IF(COUNTIF($A$2:$A$3000,$A372)&gt;1,"Duplicate parcel_id","")))</f>
        <v/>
      </c>
    </row>
    <row r="373" customFormat="false" ht="15" hidden="false" customHeight="false" outlineLevel="0" collapsed="false">
      <c r="A373" s="15" t="s">
        <v>856</v>
      </c>
      <c r="B373" s="15" t="s">
        <v>13</v>
      </c>
      <c r="C373" s="15" t="s">
        <v>17</v>
      </c>
      <c r="D373" s="15" t="s">
        <v>67</v>
      </c>
      <c r="E373" s="15" t="s">
        <v>21</v>
      </c>
      <c r="F373" s="15" t="n">
        <v>0</v>
      </c>
      <c r="G373" s="15" t="s">
        <v>857</v>
      </c>
      <c r="H373" s="15"/>
      <c r="I373" s="15" t="s">
        <v>17</v>
      </c>
      <c r="J373" s="15" t="s">
        <v>347</v>
      </c>
      <c r="K373" s="15" t="s">
        <v>858</v>
      </c>
      <c r="L373" s="15"/>
      <c r="M373" s="15" t="s">
        <v>357</v>
      </c>
      <c r="N373" s="15"/>
      <c r="O373" s="15"/>
      <c r="P373" s="15" t="n">
        <v>1.011</v>
      </c>
      <c r="Q373" s="15" t="n">
        <v>1.111</v>
      </c>
      <c r="R373" s="15" t="n">
        <v>19</v>
      </c>
      <c r="S373" s="15" t="s">
        <v>833</v>
      </c>
      <c r="T373" s="15" t="n">
        <v>19</v>
      </c>
      <c r="U373" s="15" t="s">
        <v>859</v>
      </c>
      <c r="V373" s="15" t="s">
        <v>849</v>
      </c>
      <c r="W373" s="15"/>
      <c r="X373" s="15" t="s">
        <v>850</v>
      </c>
      <c r="Y373" s="15" t="n">
        <v>19</v>
      </c>
      <c r="Z373" s="15" t="s">
        <v>851</v>
      </c>
      <c r="AA373" s="15" t="n">
        <v>0</v>
      </c>
      <c r="AB373" s="15" t="n">
        <v>0</v>
      </c>
      <c r="AC373" s="15" t="n">
        <v>0</v>
      </c>
      <c r="AD373" s="15"/>
      <c r="AE373" s="15"/>
      <c r="AF373" s="15" t="s">
        <v>169</v>
      </c>
      <c r="AG373" s="15"/>
      <c r="AH373" s="24" t="n">
        <f aca="false">IF(R373="",AM373,R373)</f>
        <v>19</v>
      </c>
      <c r="AI373" s="24" t="n">
        <f aca="false">SUMIFS(Permissions!$G$2:$G$3000,Permissions!$B$2:$B$3000,$A373,Permissions!$I$2:$I$3000,"Complete",Permissions!$R$2:$R$3000,"Yes")</f>
        <v>0</v>
      </c>
      <c r="AJ373" s="24" t="n">
        <f aca="false">SUMIFS(Permissions!$G$2:$G$3000,Permissions!$B$2:$B$3000,$A373,Permissions!$I$2:$I$3000,"Under construction",Permissions!$R$2:$R$3000,"Yes")</f>
        <v>0</v>
      </c>
      <c r="AK373" s="24" t="n">
        <f aca="false">SUMIFS(Permissions!$G$2:$G$3000,Permissions!$B$2:$B$3000,$A373,Permissions!$I$2:$I$3000,"Permitted – not started",Permissions!$R$2:$R$3000,"Yes")</f>
        <v>0</v>
      </c>
      <c r="AL373" s="24" t="n">
        <f aca="false">SUMIFS(Permissions!$G$2:$G$3000,Permissions!$B$2:$B$3000,$A373,Permissions!$I$2:$I$3000,"Stalled",Permissions!$R$2:$R$3000,"Yes")</f>
        <v>0</v>
      </c>
      <c r="AM373" s="24" t="n">
        <f aca="false">AI373+AJ373+AK373+AL373</f>
        <v>0</v>
      </c>
      <c r="AN373" s="24" t="n">
        <f aca="false">SUMIFS(Permissions!$G$2:$G$3000,Permissions!$B$2:$B$3000,$A373,Permissions!$I$2:$I$3000,"Expired – not started",Permissions!$R$2:$R$3000,"Yes")</f>
        <v>0</v>
      </c>
      <c r="AO373" s="24" t="n">
        <f aca="false">SUMIFS(Permissions!$G$2:$G$3000,Permissions!$B$2:$B$3000,$A373,Permissions!$I$2:$I$3000,"In planning",Permissions!$R$2:$R$3000,"Yes")</f>
        <v>0</v>
      </c>
      <c r="AP373" s="24" t="n">
        <f aca="false">IF(R373="",0,MAX(R373-AM373,0))</f>
        <v>19</v>
      </c>
      <c r="AQ373" s="25" t="n">
        <f aca="false">AM373+AP373</f>
        <v>19</v>
      </c>
      <c r="AR373" s="24" t="n">
        <f aca="false">SUMIFS(Permissions!$L$2:$L$3000,Permissions!$B$2:$B$3000,$A373,Permissions!$R$2:$R$3000,"Yes",Permissions!$I$2:$I$3000,"&lt;&gt;Expired – not started",Permissions!$I$2:$I$3000,"&lt;&gt;In planning")</f>
        <v>0</v>
      </c>
      <c r="AS373" s="24" t="n">
        <f aca="false">AQ373-AR373</f>
        <v>19</v>
      </c>
      <c r="AT373" s="26" t="n">
        <f aca="false">SUMIFS(Permissions!$AJ$2:$AJ$3000,Permissions!$B$2:$B$3000,$A373,Permissions!$R$2:$R$3000,"Yes")</f>
        <v>0</v>
      </c>
      <c r="AU373" s="26" t="n">
        <f aca="false">SUMIFS(Permissions!$AK$2:$AK$3000,Permissions!$B$2:$B$3000,$A373,Permissions!$R$2:$R$3000,"Yes")</f>
        <v>0</v>
      </c>
      <c r="AV373" s="26" t="n">
        <f aca="false">SUMIFS(Permissions!$AL$2:$AL$3000,Permissions!$B$2:$B$3000,$A373,Permissions!$R$2:$R$3000,"Yes")</f>
        <v>0</v>
      </c>
      <c r="AW373" s="26" t="n">
        <f aca="false">SUMIFS(Permissions!$AM$2:$AM$3000,Permissions!$B$2:$B$3000,$A373,Permissions!$R$2:$R$3000,"Yes")</f>
        <v>0</v>
      </c>
      <c r="AX373" s="26" t="n">
        <f aca="false">SUMIFS(Permissions!$AN$2:$AN$3000,Permissions!$B$2:$B$3000,$A373,Permissions!$R$2:$R$3000,"Yes")</f>
        <v>0</v>
      </c>
      <c r="AY373" s="26" t="n">
        <f aca="false">SUMIFS(Permissions!$AO$2:$AO$3000,Permissions!$B$2:$B$3000,$A373,Permissions!$R$2:$R$3000,"Yes")</f>
        <v>0</v>
      </c>
      <c r="AZ373" s="24" t="n">
        <f aca="false">COUNTIFS(Permissions!$B$2:$B$3000,$A373,Permissions!$R$2:$R$3000,"Yes")</f>
        <v>0</v>
      </c>
      <c r="BA373" s="24" t="n">
        <f aca="false">SUMIFS(Permissions!$M$2:$M$3000,Permissions!$B$2:$B$3000,$A373,Permissions!$R$2:$R$3000,"Yes")</f>
        <v>0</v>
      </c>
      <c r="BB373" s="24" t="n">
        <f aca="false">SUMIFS(Permissions!$O$2:$O$3000,Permissions!$B$2:$B$3000,$A373,Permissions!$R$2:$R$3000,"Yes")</f>
        <v>0</v>
      </c>
      <c r="BC373" s="27" t="str">
        <f aca="false">IF(AND(AM373&gt;0,AR373&gt;=AM373,AP373=0),"Finished",IF(AR373&gt;0,"Partly built",IF(AM373&gt;0,"Consented – not built","No consent")))</f>
        <v>No consent</v>
      </c>
      <c r="BD373" s="28" t="str">
        <f aca="false">IF(AND(R373&lt;&gt;"",AM373&gt;1.1*R373),"Consented above capacity",IF(AND(LEFT(B373,8)="Planning",AZ373=0),"Consent parcel with no permission",IF(COUNTIF($A$2:$A$3000,$A373)&gt;1,"Duplicate parcel_id","")))</f>
        <v/>
      </c>
    </row>
    <row r="374" customFormat="false" ht="15" hidden="false" customHeight="false" outlineLevel="0" collapsed="false">
      <c r="A374" s="15" t="s">
        <v>860</v>
      </c>
      <c r="B374" s="15" t="s">
        <v>13</v>
      </c>
      <c r="C374" s="15" t="s">
        <v>17</v>
      </c>
      <c r="D374" s="15" t="s">
        <v>67</v>
      </c>
      <c r="E374" s="15" t="s">
        <v>21</v>
      </c>
      <c r="F374" s="15" t="n">
        <v>0</v>
      </c>
      <c r="G374" s="15" t="s">
        <v>857</v>
      </c>
      <c r="H374" s="15"/>
      <c r="I374" s="15" t="s">
        <v>17</v>
      </c>
      <c r="J374" s="15" t="s">
        <v>347</v>
      </c>
      <c r="K374" s="15" t="s">
        <v>861</v>
      </c>
      <c r="L374" s="15"/>
      <c r="M374" s="15" t="s">
        <v>349</v>
      </c>
      <c r="N374" s="15"/>
      <c r="O374" s="15"/>
      <c r="P374" s="15" t="n">
        <v>0.109</v>
      </c>
      <c r="Q374" s="15" t="n">
        <v>0.12</v>
      </c>
      <c r="R374" s="15" t="n">
        <v>3</v>
      </c>
      <c r="S374" s="15" t="s">
        <v>833</v>
      </c>
      <c r="T374" s="15" t="n">
        <v>3</v>
      </c>
      <c r="U374" s="15" t="s">
        <v>859</v>
      </c>
      <c r="V374" s="15" t="s">
        <v>835</v>
      </c>
      <c r="W374" s="15"/>
      <c r="X374" s="15" t="s">
        <v>353</v>
      </c>
      <c r="Y374" s="15" t="n">
        <v>25</v>
      </c>
      <c r="Z374" s="15" t="s">
        <v>845</v>
      </c>
      <c r="AA374" s="15" t="n">
        <v>1</v>
      </c>
      <c r="AB374" s="15" t="n">
        <v>0</v>
      </c>
      <c r="AC374" s="15" t="n">
        <v>0</v>
      </c>
      <c r="AD374" s="15"/>
      <c r="AE374" s="15"/>
      <c r="AF374" s="15" t="s">
        <v>169</v>
      </c>
      <c r="AG374" s="15"/>
      <c r="AH374" s="24" t="n">
        <f aca="false">IF(R374="",AM374,R374)</f>
        <v>3</v>
      </c>
      <c r="AI374" s="24" t="n">
        <f aca="false">SUMIFS(Permissions!$G$2:$G$3000,Permissions!$B$2:$B$3000,$A374,Permissions!$I$2:$I$3000,"Complete",Permissions!$R$2:$R$3000,"Yes")</f>
        <v>0</v>
      </c>
      <c r="AJ374" s="24" t="n">
        <f aca="false">SUMIFS(Permissions!$G$2:$G$3000,Permissions!$B$2:$B$3000,$A374,Permissions!$I$2:$I$3000,"Under construction",Permissions!$R$2:$R$3000,"Yes")</f>
        <v>0</v>
      </c>
      <c r="AK374" s="24" t="n">
        <f aca="false">SUMIFS(Permissions!$G$2:$G$3000,Permissions!$B$2:$B$3000,$A374,Permissions!$I$2:$I$3000,"Permitted – not started",Permissions!$R$2:$R$3000,"Yes")</f>
        <v>0</v>
      </c>
      <c r="AL374" s="24" t="n">
        <f aca="false">SUMIFS(Permissions!$G$2:$G$3000,Permissions!$B$2:$B$3000,$A374,Permissions!$I$2:$I$3000,"Stalled",Permissions!$R$2:$R$3000,"Yes")</f>
        <v>0</v>
      </c>
      <c r="AM374" s="24" t="n">
        <f aca="false">AI374+AJ374+AK374+AL374</f>
        <v>0</v>
      </c>
      <c r="AN374" s="24" t="n">
        <f aca="false">SUMIFS(Permissions!$G$2:$G$3000,Permissions!$B$2:$B$3000,$A374,Permissions!$I$2:$I$3000,"Expired – not started",Permissions!$R$2:$R$3000,"Yes")</f>
        <v>0</v>
      </c>
      <c r="AO374" s="24" t="n">
        <f aca="false">SUMIFS(Permissions!$G$2:$G$3000,Permissions!$B$2:$B$3000,$A374,Permissions!$I$2:$I$3000,"In planning",Permissions!$R$2:$R$3000,"Yes")</f>
        <v>0</v>
      </c>
      <c r="AP374" s="24" t="n">
        <f aca="false">IF(R374="",0,MAX(R374-AM374,0))</f>
        <v>3</v>
      </c>
      <c r="AQ374" s="25" t="n">
        <f aca="false">AM374+AP374</f>
        <v>3</v>
      </c>
      <c r="AR374" s="24" t="n">
        <f aca="false">SUMIFS(Permissions!$L$2:$L$3000,Permissions!$B$2:$B$3000,$A374,Permissions!$R$2:$R$3000,"Yes",Permissions!$I$2:$I$3000,"&lt;&gt;Expired – not started",Permissions!$I$2:$I$3000,"&lt;&gt;In planning")</f>
        <v>0</v>
      </c>
      <c r="AS374" s="24" t="n">
        <f aca="false">AQ374-AR374</f>
        <v>3</v>
      </c>
      <c r="AT374" s="26" t="n">
        <f aca="false">SUMIFS(Permissions!$AJ$2:$AJ$3000,Permissions!$B$2:$B$3000,$A374,Permissions!$R$2:$R$3000,"Yes")</f>
        <v>0</v>
      </c>
      <c r="AU374" s="26" t="n">
        <f aca="false">SUMIFS(Permissions!$AK$2:$AK$3000,Permissions!$B$2:$B$3000,$A374,Permissions!$R$2:$R$3000,"Yes")</f>
        <v>0</v>
      </c>
      <c r="AV374" s="26" t="n">
        <f aca="false">SUMIFS(Permissions!$AL$2:$AL$3000,Permissions!$B$2:$B$3000,$A374,Permissions!$R$2:$R$3000,"Yes")</f>
        <v>0</v>
      </c>
      <c r="AW374" s="26" t="n">
        <f aca="false">SUMIFS(Permissions!$AM$2:$AM$3000,Permissions!$B$2:$B$3000,$A374,Permissions!$R$2:$R$3000,"Yes")</f>
        <v>0</v>
      </c>
      <c r="AX374" s="26" t="n">
        <f aca="false">SUMIFS(Permissions!$AN$2:$AN$3000,Permissions!$B$2:$B$3000,$A374,Permissions!$R$2:$R$3000,"Yes")</f>
        <v>0</v>
      </c>
      <c r="AY374" s="26" t="n">
        <f aca="false">SUMIFS(Permissions!$AO$2:$AO$3000,Permissions!$B$2:$B$3000,$A374,Permissions!$R$2:$R$3000,"Yes")</f>
        <v>0</v>
      </c>
      <c r="AZ374" s="24" t="n">
        <f aca="false">COUNTIFS(Permissions!$B$2:$B$3000,$A374,Permissions!$R$2:$R$3000,"Yes")</f>
        <v>0</v>
      </c>
      <c r="BA374" s="24" t="n">
        <f aca="false">SUMIFS(Permissions!$M$2:$M$3000,Permissions!$B$2:$B$3000,$A374,Permissions!$R$2:$R$3000,"Yes")</f>
        <v>0</v>
      </c>
      <c r="BB374" s="24" t="n">
        <f aca="false">SUMIFS(Permissions!$O$2:$O$3000,Permissions!$B$2:$B$3000,$A374,Permissions!$R$2:$R$3000,"Yes")</f>
        <v>0</v>
      </c>
      <c r="BC374" s="27" t="str">
        <f aca="false">IF(AND(AM374&gt;0,AR374&gt;=AM374,AP374=0),"Finished",IF(AR374&gt;0,"Partly built",IF(AM374&gt;0,"Consented – not built","No consent")))</f>
        <v>No consent</v>
      </c>
      <c r="BD374" s="28" t="str">
        <f aca="false">IF(AND(R374&lt;&gt;"",AM374&gt;1.1*R374),"Consented above capacity",IF(AND(LEFT(B374,8)="Planning",AZ374=0),"Consent parcel with no permission",IF(COUNTIF($A$2:$A$3000,$A374)&gt;1,"Duplicate parcel_id","")))</f>
        <v/>
      </c>
    </row>
    <row r="375" customFormat="false" ht="15" hidden="false" customHeight="false" outlineLevel="0" collapsed="false">
      <c r="A375" s="15" t="s">
        <v>862</v>
      </c>
      <c r="B375" s="15" t="s">
        <v>13</v>
      </c>
      <c r="C375" s="15" t="s">
        <v>17</v>
      </c>
      <c r="D375" s="15" t="s">
        <v>67</v>
      </c>
      <c r="E375" s="15" t="s">
        <v>21</v>
      </c>
      <c r="F375" s="15" t="n">
        <v>0.6</v>
      </c>
      <c r="G375" s="15" t="s">
        <v>158</v>
      </c>
      <c r="H375" s="15"/>
      <c r="I375" s="15" t="s">
        <v>17</v>
      </c>
      <c r="J375" s="15" t="s">
        <v>347</v>
      </c>
      <c r="K375" s="15" t="s">
        <v>861</v>
      </c>
      <c r="L375" s="15"/>
      <c r="M375" s="15" t="s">
        <v>349</v>
      </c>
      <c r="N375" s="15"/>
      <c r="O375" s="15"/>
      <c r="P375" s="15" t="n">
        <v>1.594</v>
      </c>
      <c r="Q375" s="15" t="n">
        <v>1.752</v>
      </c>
      <c r="R375" s="15" t="n">
        <v>40</v>
      </c>
      <c r="S375" s="15" t="s">
        <v>833</v>
      </c>
      <c r="T375" s="15" t="n">
        <v>40</v>
      </c>
      <c r="U375" s="15" t="s">
        <v>859</v>
      </c>
      <c r="V375" s="15" t="s">
        <v>835</v>
      </c>
      <c r="W375" s="15"/>
      <c r="X375" s="15" t="s">
        <v>353</v>
      </c>
      <c r="Y375" s="15" t="n">
        <v>25</v>
      </c>
      <c r="Z375" s="15" t="s">
        <v>845</v>
      </c>
      <c r="AA375" s="15" t="n">
        <v>1</v>
      </c>
      <c r="AB375" s="15" t="n">
        <v>0</v>
      </c>
      <c r="AC375" s="15" t="n">
        <v>0</v>
      </c>
      <c r="AD375" s="15"/>
      <c r="AE375" s="15"/>
      <c r="AF375" s="15" t="s">
        <v>169</v>
      </c>
      <c r="AG375" s="15"/>
      <c r="AH375" s="24" t="n">
        <f aca="false">IF(R375="",AM375,R375)</f>
        <v>40</v>
      </c>
      <c r="AI375" s="24" t="n">
        <f aca="false">SUMIFS(Permissions!$G$2:$G$3000,Permissions!$B$2:$B$3000,$A375,Permissions!$I$2:$I$3000,"Complete",Permissions!$R$2:$R$3000,"Yes")</f>
        <v>0</v>
      </c>
      <c r="AJ375" s="24" t="n">
        <f aca="false">SUMIFS(Permissions!$G$2:$G$3000,Permissions!$B$2:$B$3000,$A375,Permissions!$I$2:$I$3000,"Under construction",Permissions!$R$2:$R$3000,"Yes")</f>
        <v>0</v>
      </c>
      <c r="AK375" s="24" t="n">
        <f aca="false">SUMIFS(Permissions!$G$2:$G$3000,Permissions!$B$2:$B$3000,$A375,Permissions!$I$2:$I$3000,"Permitted – not started",Permissions!$R$2:$R$3000,"Yes")</f>
        <v>0</v>
      </c>
      <c r="AL375" s="24" t="n">
        <f aca="false">SUMIFS(Permissions!$G$2:$G$3000,Permissions!$B$2:$B$3000,$A375,Permissions!$I$2:$I$3000,"Stalled",Permissions!$R$2:$R$3000,"Yes")</f>
        <v>0</v>
      </c>
      <c r="AM375" s="24" t="n">
        <f aca="false">AI375+AJ375+AK375+AL375</f>
        <v>0</v>
      </c>
      <c r="AN375" s="24" t="n">
        <f aca="false">SUMIFS(Permissions!$G$2:$G$3000,Permissions!$B$2:$B$3000,$A375,Permissions!$I$2:$I$3000,"Expired – not started",Permissions!$R$2:$R$3000,"Yes")</f>
        <v>0</v>
      </c>
      <c r="AO375" s="24" t="n">
        <f aca="false">SUMIFS(Permissions!$G$2:$G$3000,Permissions!$B$2:$B$3000,$A375,Permissions!$I$2:$I$3000,"In planning",Permissions!$R$2:$R$3000,"Yes")</f>
        <v>0</v>
      </c>
      <c r="AP375" s="24" t="n">
        <f aca="false">IF(R375="",0,MAX(R375-AM375,0))</f>
        <v>40</v>
      </c>
      <c r="AQ375" s="25" t="n">
        <f aca="false">AM375+AP375</f>
        <v>40</v>
      </c>
      <c r="AR375" s="24" t="n">
        <f aca="false">SUMIFS(Permissions!$L$2:$L$3000,Permissions!$B$2:$B$3000,$A375,Permissions!$R$2:$R$3000,"Yes",Permissions!$I$2:$I$3000,"&lt;&gt;Expired – not started",Permissions!$I$2:$I$3000,"&lt;&gt;In planning")</f>
        <v>0</v>
      </c>
      <c r="AS375" s="24" t="n">
        <f aca="false">AQ375-AR375</f>
        <v>40</v>
      </c>
      <c r="AT375" s="26" t="n">
        <f aca="false">SUMIFS(Permissions!$AJ$2:$AJ$3000,Permissions!$B$2:$B$3000,$A375,Permissions!$R$2:$R$3000,"Yes")</f>
        <v>0</v>
      </c>
      <c r="AU375" s="26" t="n">
        <f aca="false">SUMIFS(Permissions!$AK$2:$AK$3000,Permissions!$B$2:$B$3000,$A375,Permissions!$R$2:$R$3000,"Yes")</f>
        <v>0</v>
      </c>
      <c r="AV375" s="26" t="n">
        <f aca="false">SUMIFS(Permissions!$AL$2:$AL$3000,Permissions!$B$2:$B$3000,$A375,Permissions!$R$2:$R$3000,"Yes")</f>
        <v>0</v>
      </c>
      <c r="AW375" s="26" t="n">
        <f aca="false">SUMIFS(Permissions!$AM$2:$AM$3000,Permissions!$B$2:$B$3000,$A375,Permissions!$R$2:$R$3000,"Yes")</f>
        <v>0</v>
      </c>
      <c r="AX375" s="26" t="n">
        <f aca="false">SUMIFS(Permissions!$AN$2:$AN$3000,Permissions!$B$2:$B$3000,$A375,Permissions!$R$2:$R$3000,"Yes")</f>
        <v>0</v>
      </c>
      <c r="AY375" s="26" t="n">
        <f aca="false">SUMIFS(Permissions!$AO$2:$AO$3000,Permissions!$B$2:$B$3000,$A375,Permissions!$R$2:$R$3000,"Yes")</f>
        <v>0</v>
      </c>
      <c r="AZ375" s="24" t="n">
        <f aca="false">COUNTIFS(Permissions!$B$2:$B$3000,$A375,Permissions!$R$2:$R$3000,"Yes")</f>
        <v>0</v>
      </c>
      <c r="BA375" s="24" t="n">
        <f aca="false">SUMIFS(Permissions!$M$2:$M$3000,Permissions!$B$2:$B$3000,$A375,Permissions!$R$2:$R$3000,"Yes")</f>
        <v>0</v>
      </c>
      <c r="BB375" s="24" t="n">
        <f aca="false">SUMIFS(Permissions!$O$2:$O$3000,Permissions!$B$2:$B$3000,$A375,Permissions!$R$2:$R$3000,"Yes")</f>
        <v>0</v>
      </c>
      <c r="BC375" s="27" t="str">
        <f aca="false">IF(AND(AM375&gt;0,AR375&gt;=AM375,AP375=0),"Finished",IF(AR375&gt;0,"Partly built",IF(AM375&gt;0,"Consented – not built","No consent")))</f>
        <v>No consent</v>
      </c>
      <c r="BD375" s="28" t="str">
        <f aca="false">IF(AND(R375&lt;&gt;"",AM375&gt;1.1*R375),"Consented above capacity",IF(AND(LEFT(B375,8)="Planning",AZ375=0),"Consent parcel with no permission",IF(COUNTIF($A$2:$A$3000,$A375)&gt;1,"Duplicate parcel_id","")))</f>
        <v/>
      </c>
    </row>
    <row r="376" customFormat="false" ht="15" hidden="false" customHeight="false" outlineLevel="0" collapsed="false">
      <c r="A376" s="15" t="s">
        <v>863</v>
      </c>
      <c r="B376" s="15" t="s">
        <v>13</v>
      </c>
      <c r="C376" s="15" t="s">
        <v>17</v>
      </c>
      <c r="D376" s="15" t="s">
        <v>67</v>
      </c>
      <c r="E376" s="15" t="s">
        <v>21</v>
      </c>
      <c r="F376" s="15" t="n">
        <v>1</v>
      </c>
      <c r="G376" s="15" t="s">
        <v>158</v>
      </c>
      <c r="H376" s="15"/>
      <c r="I376" s="15" t="s">
        <v>17</v>
      </c>
      <c r="J376" s="15" t="s">
        <v>347</v>
      </c>
      <c r="K376" s="15" t="s">
        <v>861</v>
      </c>
      <c r="L376" s="15"/>
      <c r="M376" s="15" t="s">
        <v>349</v>
      </c>
      <c r="N376" s="15"/>
      <c r="O376" s="15"/>
      <c r="P376" s="15" t="n">
        <v>1.53</v>
      </c>
      <c r="Q376" s="15" t="n">
        <v>1.681</v>
      </c>
      <c r="R376" s="15" t="n">
        <v>38</v>
      </c>
      <c r="S376" s="15" t="s">
        <v>833</v>
      </c>
      <c r="T376" s="15" t="n">
        <v>38</v>
      </c>
      <c r="U376" s="15" t="s">
        <v>859</v>
      </c>
      <c r="V376" s="15" t="s">
        <v>835</v>
      </c>
      <c r="W376" s="15"/>
      <c r="X376" s="15" t="s">
        <v>353</v>
      </c>
      <c r="Y376" s="15" t="n">
        <v>25</v>
      </c>
      <c r="Z376" s="15" t="s">
        <v>845</v>
      </c>
      <c r="AA376" s="15" t="n">
        <v>1</v>
      </c>
      <c r="AB376" s="15" t="n">
        <v>0</v>
      </c>
      <c r="AC376" s="15" t="n">
        <v>0</v>
      </c>
      <c r="AD376" s="15"/>
      <c r="AE376" s="15"/>
      <c r="AF376" s="15" t="s">
        <v>169</v>
      </c>
      <c r="AG376" s="15"/>
      <c r="AH376" s="24" t="n">
        <f aca="false">IF(R376="",AM376,R376)</f>
        <v>38</v>
      </c>
      <c r="AI376" s="24" t="n">
        <f aca="false">SUMIFS(Permissions!$G$2:$G$3000,Permissions!$B$2:$B$3000,$A376,Permissions!$I$2:$I$3000,"Complete",Permissions!$R$2:$R$3000,"Yes")</f>
        <v>0</v>
      </c>
      <c r="AJ376" s="24" t="n">
        <f aca="false">SUMIFS(Permissions!$G$2:$G$3000,Permissions!$B$2:$B$3000,$A376,Permissions!$I$2:$I$3000,"Under construction",Permissions!$R$2:$R$3000,"Yes")</f>
        <v>0</v>
      </c>
      <c r="AK376" s="24" t="n">
        <f aca="false">SUMIFS(Permissions!$G$2:$G$3000,Permissions!$B$2:$B$3000,$A376,Permissions!$I$2:$I$3000,"Permitted – not started",Permissions!$R$2:$R$3000,"Yes")</f>
        <v>0</v>
      </c>
      <c r="AL376" s="24" t="n">
        <f aca="false">SUMIFS(Permissions!$G$2:$G$3000,Permissions!$B$2:$B$3000,$A376,Permissions!$I$2:$I$3000,"Stalled",Permissions!$R$2:$R$3000,"Yes")</f>
        <v>0</v>
      </c>
      <c r="AM376" s="24" t="n">
        <f aca="false">AI376+AJ376+AK376+AL376</f>
        <v>0</v>
      </c>
      <c r="AN376" s="24" t="n">
        <f aca="false">SUMIFS(Permissions!$G$2:$G$3000,Permissions!$B$2:$B$3000,$A376,Permissions!$I$2:$I$3000,"Expired – not started",Permissions!$R$2:$R$3000,"Yes")</f>
        <v>0</v>
      </c>
      <c r="AO376" s="24" t="n">
        <f aca="false">SUMIFS(Permissions!$G$2:$G$3000,Permissions!$B$2:$B$3000,$A376,Permissions!$I$2:$I$3000,"In planning",Permissions!$R$2:$R$3000,"Yes")</f>
        <v>0</v>
      </c>
      <c r="AP376" s="24" t="n">
        <f aca="false">IF(R376="",0,MAX(R376-AM376,0))</f>
        <v>38</v>
      </c>
      <c r="AQ376" s="25" t="n">
        <f aca="false">AM376+AP376</f>
        <v>38</v>
      </c>
      <c r="AR376" s="24" t="n">
        <f aca="false">SUMIFS(Permissions!$L$2:$L$3000,Permissions!$B$2:$B$3000,$A376,Permissions!$R$2:$R$3000,"Yes",Permissions!$I$2:$I$3000,"&lt;&gt;Expired – not started",Permissions!$I$2:$I$3000,"&lt;&gt;In planning")</f>
        <v>0</v>
      </c>
      <c r="AS376" s="24" t="n">
        <f aca="false">AQ376-AR376</f>
        <v>38</v>
      </c>
      <c r="AT376" s="26" t="n">
        <f aca="false">SUMIFS(Permissions!$AJ$2:$AJ$3000,Permissions!$B$2:$B$3000,$A376,Permissions!$R$2:$R$3000,"Yes")</f>
        <v>0</v>
      </c>
      <c r="AU376" s="26" t="n">
        <f aca="false">SUMIFS(Permissions!$AK$2:$AK$3000,Permissions!$B$2:$B$3000,$A376,Permissions!$R$2:$R$3000,"Yes")</f>
        <v>0</v>
      </c>
      <c r="AV376" s="26" t="n">
        <f aca="false">SUMIFS(Permissions!$AL$2:$AL$3000,Permissions!$B$2:$B$3000,$A376,Permissions!$R$2:$R$3000,"Yes")</f>
        <v>0</v>
      </c>
      <c r="AW376" s="26" t="n">
        <f aca="false">SUMIFS(Permissions!$AM$2:$AM$3000,Permissions!$B$2:$B$3000,$A376,Permissions!$R$2:$R$3000,"Yes")</f>
        <v>0</v>
      </c>
      <c r="AX376" s="26" t="n">
        <f aca="false">SUMIFS(Permissions!$AN$2:$AN$3000,Permissions!$B$2:$B$3000,$A376,Permissions!$R$2:$R$3000,"Yes")</f>
        <v>0</v>
      </c>
      <c r="AY376" s="26" t="n">
        <f aca="false">SUMIFS(Permissions!$AO$2:$AO$3000,Permissions!$B$2:$B$3000,$A376,Permissions!$R$2:$R$3000,"Yes")</f>
        <v>0</v>
      </c>
      <c r="AZ376" s="24" t="n">
        <f aca="false">COUNTIFS(Permissions!$B$2:$B$3000,$A376,Permissions!$R$2:$R$3000,"Yes")</f>
        <v>0</v>
      </c>
      <c r="BA376" s="24" t="n">
        <f aca="false">SUMIFS(Permissions!$M$2:$M$3000,Permissions!$B$2:$B$3000,$A376,Permissions!$R$2:$R$3000,"Yes")</f>
        <v>0</v>
      </c>
      <c r="BB376" s="24" t="n">
        <f aca="false">SUMIFS(Permissions!$O$2:$O$3000,Permissions!$B$2:$B$3000,$A376,Permissions!$R$2:$R$3000,"Yes")</f>
        <v>0</v>
      </c>
      <c r="BC376" s="27" t="str">
        <f aca="false">IF(AND(AM376&gt;0,AR376&gt;=AM376,AP376=0),"Finished",IF(AR376&gt;0,"Partly built",IF(AM376&gt;0,"Consented – not built","No consent")))</f>
        <v>No consent</v>
      </c>
      <c r="BD376" s="28" t="str">
        <f aca="false">IF(AND(R376&lt;&gt;"",AM376&gt;1.1*R376),"Consented above capacity",IF(AND(LEFT(B376,8)="Planning",AZ376=0),"Consent parcel with no permission",IF(COUNTIF($A$2:$A$3000,$A376)&gt;1,"Duplicate parcel_id","")))</f>
        <v/>
      </c>
    </row>
    <row r="377" customFormat="false" ht="15" hidden="false" customHeight="false" outlineLevel="0" collapsed="false">
      <c r="A377" s="15" t="s">
        <v>864</v>
      </c>
      <c r="B377" s="15" t="s">
        <v>13</v>
      </c>
      <c r="C377" s="15" t="s">
        <v>17</v>
      </c>
      <c r="D377" s="15" t="s">
        <v>67</v>
      </c>
      <c r="E377" s="15" t="s">
        <v>21</v>
      </c>
      <c r="F377" s="15" t="n">
        <v>0</v>
      </c>
      <c r="G377" s="15" t="s">
        <v>857</v>
      </c>
      <c r="H377" s="15"/>
      <c r="I377" s="15" t="s">
        <v>17</v>
      </c>
      <c r="J377" s="15" t="s">
        <v>347</v>
      </c>
      <c r="K377" s="15" t="s">
        <v>858</v>
      </c>
      <c r="L377" s="15"/>
      <c r="M377" s="15" t="s">
        <v>357</v>
      </c>
      <c r="N377" s="15"/>
      <c r="O377" s="15"/>
      <c r="P377" s="15" t="n">
        <v>2.058</v>
      </c>
      <c r="Q377" s="15" t="n">
        <v>2.261</v>
      </c>
      <c r="R377" s="15" t="n">
        <v>39</v>
      </c>
      <c r="S377" s="15" t="s">
        <v>833</v>
      </c>
      <c r="T377" s="15" t="n">
        <v>39</v>
      </c>
      <c r="U377" s="15" t="s">
        <v>859</v>
      </c>
      <c r="V377" s="15" t="s">
        <v>849</v>
      </c>
      <c r="W377" s="15"/>
      <c r="X377" s="15" t="s">
        <v>850</v>
      </c>
      <c r="Y377" s="15" t="n">
        <v>19</v>
      </c>
      <c r="Z377" s="15" t="s">
        <v>851</v>
      </c>
      <c r="AA377" s="15" t="n">
        <v>0</v>
      </c>
      <c r="AB377" s="15" t="n">
        <v>0</v>
      </c>
      <c r="AC377" s="15" t="n">
        <v>0</v>
      </c>
      <c r="AD377" s="15"/>
      <c r="AE377" s="15"/>
      <c r="AF377" s="15" t="s">
        <v>169</v>
      </c>
      <c r="AG377" s="15"/>
      <c r="AH377" s="24" t="n">
        <f aca="false">IF(R377="",AM377,R377)</f>
        <v>39</v>
      </c>
      <c r="AI377" s="24" t="n">
        <f aca="false">SUMIFS(Permissions!$G$2:$G$3000,Permissions!$B$2:$B$3000,$A377,Permissions!$I$2:$I$3000,"Complete",Permissions!$R$2:$R$3000,"Yes")</f>
        <v>0</v>
      </c>
      <c r="AJ377" s="24" t="n">
        <f aca="false">SUMIFS(Permissions!$G$2:$G$3000,Permissions!$B$2:$B$3000,$A377,Permissions!$I$2:$I$3000,"Under construction",Permissions!$R$2:$R$3000,"Yes")</f>
        <v>0</v>
      </c>
      <c r="AK377" s="24" t="n">
        <f aca="false">SUMIFS(Permissions!$G$2:$G$3000,Permissions!$B$2:$B$3000,$A377,Permissions!$I$2:$I$3000,"Permitted – not started",Permissions!$R$2:$R$3000,"Yes")</f>
        <v>0</v>
      </c>
      <c r="AL377" s="24" t="n">
        <f aca="false">SUMIFS(Permissions!$G$2:$G$3000,Permissions!$B$2:$B$3000,$A377,Permissions!$I$2:$I$3000,"Stalled",Permissions!$R$2:$R$3000,"Yes")</f>
        <v>0</v>
      </c>
      <c r="AM377" s="24" t="n">
        <f aca="false">AI377+AJ377+AK377+AL377</f>
        <v>0</v>
      </c>
      <c r="AN377" s="24" t="n">
        <f aca="false">SUMIFS(Permissions!$G$2:$G$3000,Permissions!$B$2:$B$3000,$A377,Permissions!$I$2:$I$3000,"Expired – not started",Permissions!$R$2:$R$3000,"Yes")</f>
        <v>0</v>
      </c>
      <c r="AO377" s="24" t="n">
        <f aca="false">SUMIFS(Permissions!$G$2:$G$3000,Permissions!$B$2:$B$3000,$A377,Permissions!$I$2:$I$3000,"In planning",Permissions!$R$2:$R$3000,"Yes")</f>
        <v>0</v>
      </c>
      <c r="AP377" s="24" t="n">
        <f aca="false">IF(R377="",0,MAX(R377-AM377,0))</f>
        <v>39</v>
      </c>
      <c r="AQ377" s="25" t="n">
        <f aca="false">AM377+AP377</f>
        <v>39</v>
      </c>
      <c r="AR377" s="24" t="n">
        <f aca="false">SUMIFS(Permissions!$L$2:$L$3000,Permissions!$B$2:$B$3000,$A377,Permissions!$R$2:$R$3000,"Yes",Permissions!$I$2:$I$3000,"&lt;&gt;Expired – not started",Permissions!$I$2:$I$3000,"&lt;&gt;In planning")</f>
        <v>0</v>
      </c>
      <c r="AS377" s="24" t="n">
        <f aca="false">AQ377-AR377</f>
        <v>39</v>
      </c>
      <c r="AT377" s="26" t="n">
        <f aca="false">SUMIFS(Permissions!$AJ$2:$AJ$3000,Permissions!$B$2:$B$3000,$A377,Permissions!$R$2:$R$3000,"Yes")</f>
        <v>0</v>
      </c>
      <c r="AU377" s="26" t="n">
        <f aca="false">SUMIFS(Permissions!$AK$2:$AK$3000,Permissions!$B$2:$B$3000,$A377,Permissions!$R$2:$R$3000,"Yes")</f>
        <v>0</v>
      </c>
      <c r="AV377" s="26" t="n">
        <f aca="false">SUMIFS(Permissions!$AL$2:$AL$3000,Permissions!$B$2:$B$3000,$A377,Permissions!$R$2:$R$3000,"Yes")</f>
        <v>0</v>
      </c>
      <c r="AW377" s="26" t="n">
        <f aca="false">SUMIFS(Permissions!$AM$2:$AM$3000,Permissions!$B$2:$B$3000,$A377,Permissions!$R$2:$R$3000,"Yes")</f>
        <v>0</v>
      </c>
      <c r="AX377" s="26" t="n">
        <f aca="false">SUMIFS(Permissions!$AN$2:$AN$3000,Permissions!$B$2:$B$3000,$A377,Permissions!$R$2:$R$3000,"Yes")</f>
        <v>0</v>
      </c>
      <c r="AY377" s="26" t="n">
        <f aca="false">SUMIFS(Permissions!$AO$2:$AO$3000,Permissions!$B$2:$B$3000,$A377,Permissions!$R$2:$R$3000,"Yes")</f>
        <v>0</v>
      </c>
      <c r="AZ377" s="24" t="n">
        <f aca="false">COUNTIFS(Permissions!$B$2:$B$3000,$A377,Permissions!$R$2:$R$3000,"Yes")</f>
        <v>0</v>
      </c>
      <c r="BA377" s="24" t="n">
        <f aca="false">SUMIFS(Permissions!$M$2:$M$3000,Permissions!$B$2:$B$3000,$A377,Permissions!$R$2:$R$3000,"Yes")</f>
        <v>0</v>
      </c>
      <c r="BB377" s="24" t="n">
        <f aca="false">SUMIFS(Permissions!$O$2:$O$3000,Permissions!$B$2:$B$3000,$A377,Permissions!$R$2:$R$3000,"Yes")</f>
        <v>0</v>
      </c>
      <c r="BC377" s="27" t="str">
        <f aca="false">IF(AND(AM377&gt;0,AR377&gt;=AM377,AP377=0),"Finished",IF(AR377&gt;0,"Partly built",IF(AM377&gt;0,"Consented – not built","No consent")))</f>
        <v>No consent</v>
      </c>
      <c r="BD377" s="28" t="str">
        <f aca="false">IF(AND(R377&lt;&gt;"",AM377&gt;1.1*R377),"Consented above capacity",IF(AND(LEFT(B377,8)="Planning",AZ377=0),"Consent parcel with no permission",IF(COUNTIF($A$2:$A$3000,$A377)&gt;1,"Duplicate parcel_id","")))</f>
        <v/>
      </c>
    </row>
    <row r="378" customFormat="false" ht="15" hidden="false" customHeight="false" outlineLevel="0" collapsed="false">
      <c r="A378" s="15" t="s">
        <v>865</v>
      </c>
      <c r="B378" s="15" t="s">
        <v>13</v>
      </c>
      <c r="C378" s="15" t="s">
        <v>17</v>
      </c>
      <c r="D378" s="15" t="s">
        <v>67</v>
      </c>
      <c r="E378" s="15" t="s">
        <v>21</v>
      </c>
      <c r="F378" s="15" t="n">
        <v>0.82</v>
      </c>
      <c r="G378" s="15" t="s">
        <v>158</v>
      </c>
      <c r="H378" s="15"/>
      <c r="I378" s="15" t="s">
        <v>17</v>
      </c>
      <c r="J378" s="15" t="s">
        <v>347</v>
      </c>
      <c r="K378" s="15" t="s">
        <v>861</v>
      </c>
      <c r="L378" s="15"/>
      <c r="M378" s="15" t="s">
        <v>349</v>
      </c>
      <c r="N378" s="15"/>
      <c r="O378" s="15"/>
      <c r="P378" s="15" t="n">
        <v>1.771</v>
      </c>
      <c r="Q378" s="15" t="n">
        <v>1.946</v>
      </c>
      <c r="R378" s="15" t="n">
        <v>44</v>
      </c>
      <c r="S378" s="15" t="s">
        <v>833</v>
      </c>
      <c r="T378" s="15" t="n">
        <v>44</v>
      </c>
      <c r="U378" s="15" t="s">
        <v>859</v>
      </c>
      <c r="V378" s="15" t="s">
        <v>835</v>
      </c>
      <c r="W378" s="15"/>
      <c r="X378" s="15" t="s">
        <v>353</v>
      </c>
      <c r="Y378" s="15" t="n">
        <v>25</v>
      </c>
      <c r="Z378" s="15" t="s">
        <v>845</v>
      </c>
      <c r="AA378" s="15" t="n">
        <v>0</v>
      </c>
      <c r="AB378" s="15" t="n">
        <v>0</v>
      </c>
      <c r="AC378" s="15" t="n">
        <v>0</v>
      </c>
      <c r="AD378" s="15"/>
      <c r="AE378" s="15"/>
      <c r="AF378" s="15" t="s">
        <v>169</v>
      </c>
      <c r="AG378" s="15"/>
      <c r="AH378" s="24" t="n">
        <f aca="false">IF(R378="",AM378,R378)</f>
        <v>44</v>
      </c>
      <c r="AI378" s="24" t="n">
        <f aca="false">SUMIFS(Permissions!$G$2:$G$3000,Permissions!$B$2:$B$3000,$A378,Permissions!$I$2:$I$3000,"Complete",Permissions!$R$2:$R$3000,"Yes")</f>
        <v>0</v>
      </c>
      <c r="AJ378" s="24" t="n">
        <f aca="false">SUMIFS(Permissions!$G$2:$G$3000,Permissions!$B$2:$B$3000,$A378,Permissions!$I$2:$I$3000,"Under construction",Permissions!$R$2:$R$3000,"Yes")</f>
        <v>0</v>
      </c>
      <c r="AK378" s="24" t="n">
        <f aca="false">SUMIFS(Permissions!$G$2:$G$3000,Permissions!$B$2:$B$3000,$A378,Permissions!$I$2:$I$3000,"Permitted – not started",Permissions!$R$2:$R$3000,"Yes")</f>
        <v>0</v>
      </c>
      <c r="AL378" s="24" t="n">
        <f aca="false">SUMIFS(Permissions!$G$2:$G$3000,Permissions!$B$2:$B$3000,$A378,Permissions!$I$2:$I$3000,"Stalled",Permissions!$R$2:$R$3000,"Yes")</f>
        <v>0</v>
      </c>
      <c r="AM378" s="24" t="n">
        <f aca="false">AI378+AJ378+AK378+AL378</f>
        <v>0</v>
      </c>
      <c r="AN378" s="24" t="n">
        <f aca="false">SUMIFS(Permissions!$G$2:$G$3000,Permissions!$B$2:$B$3000,$A378,Permissions!$I$2:$I$3000,"Expired – not started",Permissions!$R$2:$R$3000,"Yes")</f>
        <v>0</v>
      </c>
      <c r="AO378" s="24" t="n">
        <f aca="false">SUMIFS(Permissions!$G$2:$G$3000,Permissions!$B$2:$B$3000,$A378,Permissions!$I$2:$I$3000,"In planning",Permissions!$R$2:$R$3000,"Yes")</f>
        <v>0</v>
      </c>
      <c r="AP378" s="24" t="n">
        <f aca="false">IF(R378="",0,MAX(R378-AM378,0))</f>
        <v>44</v>
      </c>
      <c r="AQ378" s="25" t="n">
        <f aca="false">AM378+AP378</f>
        <v>44</v>
      </c>
      <c r="AR378" s="24" t="n">
        <f aca="false">SUMIFS(Permissions!$L$2:$L$3000,Permissions!$B$2:$B$3000,$A378,Permissions!$R$2:$R$3000,"Yes",Permissions!$I$2:$I$3000,"&lt;&gt;Expired – not started",Permissions!$I$2:$I$3000,"&lt;&gt;In planning")</f>
        <v>0</v>
      </c>
      <c r="AS378" s="24" t="n">
        <f aca="false">AQ378-AR378</f>
        <v>44</v>
      </c>
      <c r="AT378" s="26" t="n">
        <f aca="false">SUMIFS(Permissions!$AJ$2:$AJ$3000,Permissions!$B$2:$B$3000,$A378,Permissions!$R$2:$R$3000,"Yes")</f>
        <v>0</v>
      </c>
      <c r="AU378" s="26" t="n">
        <f aca="false">SUMIFS(Permissions!$AK$2:$AK$3000,Permissions!$B$2:$B$3000,$A378,Permissions!$R$2:$R$3000,"Yes")</f>
        <v>0</v>
      </c>
      <c r="AV378" s="26" t="n">
        <f aca="false">SUMIFS(Permissions!$AL$2:$AL$3000,Permissions!$B$2:$B$3000,$A378,Permissions!$R$2:$R$3000,"Yes")</f>
        <v>0</v>
      </c>
      <c r="AW378" s="26" t="n">
        <f aca="false">SUMIFS(Permissions!$AM$2:$AM$3000,Permissions!$B$2:$B$3000,$A378,Permissions!$R$2:$R$3000,"Yes")</f>
        <v>0</v>
      </c>
      <c r="AX378" s="26" t="n">
        <f aca="false">SUMIFS(Permissions!$AN$2:$AN$3000,Permissions!$B$2:$B$3000,$A378,Permissions!$R$2:$R$3000,"Yes")</f>
        <v>0</v>
      </c>
      <c r="AY378" s="26" t="n">
        <f aca="false">SUMIFS(Permissions!$AO$2:$AO$3000,Permissions!$B$2:$B$3000,$A378,Permissions!$R$2:$R$3000,"Yes")</f>
        <v>0</v>
      </c>
      <c r="AZ378" s="24" t="n">
        <f aca="false">COUNTIFS(Permissions!$B$2:$B$3000,$A378,Permissions!$R$2:$R$3000,"Yes")</f>
        <v>0</v>
      </c>
      <c r="BA378" s="24" t="n">
        <f aca="false">SUMIFS(Permissions!$M$2:$M$3000,Permissions!$B$2:$B$3000,$A378,Permissions!$R$2:$R$3000,"Yes")</f>
        <v>0</v>
      </c>
      <c r="BB378" s="24" t="n">
        <f aca="false">SUMIFS(Permissions!$O$2:$O$3000,Permissions!$B$2:$B$3000,$A378,Permissions!$R$2:$R$3000,"Yes")</f>
        <v>0</v>
      </c>
      <c r="BC378" s="27" t="str">
        <f aca="false">IF(AND(AM378&gt;0,AR378&gt;=AM378,AP378=0),"Finished",IF(AR378&gt;0,"Partly built",IF(AM378&gt;0,"Consented – not built","No consent")))</f>
        <v>No consent</v>
      </c>
      <c r="BD378" s="28" t="str">
        <f aca="false">IF(AND(R378&lt;&gt;"",AM378&gt;1.1*R378),"Consented above capacity",IF(AND(LEFT(B378,8)="Planning",AZ378=0),"Consent parcel with no permission",IF(COUNTIF($A$2:$A$3000,$A378)&gt;1,"Duplicate parcel_id","")))</f>
        <v/>
      </c>
    </row>
    <row r="379" customFormat="false" ht="15" hidden="false" customHeight="false" outlineLevel="0" collapsed="false">
      <c r="A379" s="15" t="s">
        <v>866</v>
      </c>
      <c r="B379" s="15" t="s">
        <v>13</v>
      </c>
      <c r="C379" s="15" t="s">
        <v>17</v>
      </c>
      <c r="D379" s="15" t="s">
        <v>67</v>
      </c>
      <c r="E379" s="15" t="s">
        <v>21</v>
      </c>
      <c r="F379" s="15" t="n">
        <v>0.71</v>
      </c>
      <c r="G379" s="15" t="s">
        <v>158</v>
      </c>
      <c r="H379" s="15"/>
      <c r="I379" s="15" t="s">
        <v>17</v>
      </c>
      <c r="J379" s="15" t="s">
        <v>347</v>
      </c>
      <c r="K379" s="15" t="s">
        <v>861</v>
      </c>
      <c r="L379" s="15"/>
      <c r="M379" s="15" t="s">
        <v>349</v>
      </c>
      <c r="N379" s="15"/>
      <c r="O379" s="15"/>
      <c r="P379" s="15" t="n">
        <v>0.306</v>
      </c>
      <c r="Q379" s="15" t="n">
        <v>0.337</v>
      </c>
      <c r="R379" s="15" t="n">
        <v>8</v>
      </c>
      <c r="S379" s="15" t="s">
        <v>833</v>
      </c>
      <c r="T379" s="15" t="n">
        <v>8</v>
      </c>
      <c r="U379" s="15" t="s">
        <v>859</v>
      </c>
      <c r="V379" s="15" t="s">
        <v>835</v>
      </c>
      <c r="W379" s="15"/>
      <c r="X379" s="15" t="s">
        <v>353</v>
      </c>
      <c r="Y379" s="15" t="n">
        <v>25</v>
      </c>
      <c r="Z379" s="15" t="s">
        <v>845</v>
      </c>
      <c r="AA379" s="15" t="n">
        <v>1</v>
      </c>
      <c r="AB379" s="15" t="n">
        <v>0</v>
      </c>
      <c r="AC379" s="15" t="n">
        <v>0</v>
      </c>
      <c r="AD379" s="15"/>
      <c r="AE379" s="15"/>
      <c r="AF379" s="15" t="s">
        <v>169</v>
      </c>
      <c r="AG379" s="15"/>
      <c r="AH379" s="24" t="n">
        <f aca="false">IF(R379="",AM379,R379)</f>
        <v>8</v>
      </c>
      <c r="AI379" s="24" t="n">
        <f aca="false">SUMIFS(Permissions!$G$2:$G$3000,Permissions!$B$2:$B$3000,$A379,Permissions!$I$2:$I$3000,"Complete",Permissions!$R$2:$R$3000,"Yes")</f>
        <v>0</v>
      </c>
      <c r="AJ379" s="24" t="n">
        <f aca="false">SUMIFS(Permissions!$G$2:$G$3000,Permissions!$B$2:$B$3000,$A379,Permissions!$I$2:$I$3000,"Under construction",Permissions!$R$2:$R$3000,"Yes")</f>
        <v>0</v>
      </c>
      <c r="AK379" s="24" t="n">
        <f aca="false">SUMIFS(Permissions!$G$2:$G$3000,Permissions!$B$2:$B$3000,$A379,Permissions!$I$2:$I$3000,"Permitted – not started",Permissions!$R$2:$R$3000,"Yes")</f>
        <v>0</v>
      </c>
      <c r="AL379" s="24" t="n">
        <f aca="false">SUMIFS(Permissions!$G$2:$G$3000,Permissions!$B$2:$B$3000,$A379,Permissions!$I$2:$I$3000,"Stalled",Permissions!$R$2:$R$3000,"Yes")</f>
        <v>0</v>
      </c>
      <c r="AM379" s="24" t="n">
        <f aca="false">AI379+AJ379+AK379+AL379</f>
        <v>0</v>
      </c>
      <c r="AN379" s="24" t="n">
        <f aca="false">SUMIFS(Permissions!$G$2:$G$3000,Permissions!$B$2:$B$3000,$A379,Permissions!$I$2:$I$3000,"Expired – not started",Permissions!$R$2:$R$3000,"Yes")</f>
        <v>0</v>
      </c>
      <c r="AO379" s="24" t="n">
        <f aca="false">SUMIFS(Permissions!$G$2:$G$3000,Permissions!$B$2:$B$3000,$A379,Permissions!$I$2:$I$3000,"In planning",Permissions!$R$2:$R$3000,"Yes")</f>
        <v>0</v>
      </c>
      <c r="AP379" s="24" t="n">
        <f aca="false">IF(R379="",0,MAX(R379-AM379,0))</f>
        <v>8</v>
      </c>
      <c r="AQ379" s="25" t="n">
        <f aca="false">AM379+AP379</f>
        <v>8</v>
      </c>
      <c r="AR379" s="24" t="n">
        <f aca="false">SUMIFS(Permissions!$L$2:$L$3000,Permissions!$B$2:$B$3000,$A379,Permissions!$R$2:$R$3000,"Yes",Permissions!$I$2:$I$3000,"&lt;&gt;Expired – not started",Permissions!$I$2:$I$3000,"&lt;&gt;In planning")</f>
        <v>0</v>
      </c>
      <c r="AS379" s="24" t="n">
        <f aca="false">AQ379-AR379</f>
        <v>8</v>
      </c>
      <c r="AT379" s="26" t="n">
        <f aca="false">SUMIFS(Permissions!$AJ$2:$AJ$3000,Permissions!$B$2:$B$3000,$A379,Permissions!$R$2:$R$3000,"Yes")</f>
        <v>0</v>
      </c>
      <c r="AU379" s="26" t="n">
        <f aca="false">SUMIFS(Permissions!$AK$2:$AK$3000,Permissions!$B$2:$B$3000,$A379,Permissions!$R$2:$R$3000,"Yes")</f>
        <v>0</v>
      </c>
      <c r="AV379" s="26" t="n">
        <f aca="false">SUMIFS(Permissions!$AL$2:$AL$3000,Permissions!$B$2:$B$3000,$A379,Permissions!$R$2:$R$3000,"Yes")</f>
        <v>0</v>
      </c>
      <c r="AW379" s="26" t="n">
        <f aca="false">SUMIFS(Permissions!$AM$2:$AM$3000,Permissions!$B$2:$B$3000,$A379,Permissions!$R$2:$R$3000,"Yes")</f>
        <v>0</v>
      </c>
      <c r="AX379" s="26" t="n">
        <f aca="false">SUMIFS(Permissions!$AN$2:$AN$3000,Permissions!$B$2:$B$3000,$A379,Permissions!$R$2:$R$3000,"Yes")</f>
        <v>0</v>
      </c>
      <c r="AY379" s="26" t="n">
        <f aca="false">SUMIFS(Permissions!$AO$2:$AO$3000,Permissions!$B$2:$B$3000,$A379,Permissions!$R$2:$R$3000,"Yes")</f>
        <v>0</v>
      </c>
      <c r="AZ379" s="24" t="n">
        <f aca="false">COUNTIFS(Permissions!$B$2:$B$3000,$A379,Permissions!$R$2:$R$3000,"Yes")</f>
        <v>0</v>
      </c>
      <c r="BA379" s="24" t="n">
        <f aca="false">SUMIFS(Permissions!$M$2:$M$3000,Permissions!$B$2:$B$3000,$A379,Permissions!$R$2:$R$3000,"Yes")</f>
        <v>0</v>
      </c>
      <c r="BB379" s="24" t="n">
        <f aca="false">SUMIFS(Permissions!$O$2:$O$3000,Permissions!$B$2:$B$3000,$A379,Permissions!$R$2:$R$3000,"Yes")</f>
        <v>0</v>
      </c>
      <c r="BC379" s="27" t="str">
        <f aca="false">IF(AND(AM379&gt;0,AR379&gt;=AM379,AP379=0),"Finished",IF(AR379&gt;0,"Partly built",IF(AM379&gt;0,"Consented – not built","No consent")))</f>
        <v>No consent</v>
      </c>
      <c r="BD379" s="28" t="str">
        <f aca="false">IF(AND(R379&lt;&gt;"",AM379&gt;1.1*R379),"Consented above capacity",IF(AND(LEFT(B379,8)="Planning",AZ379=0),"Consent parcel with no permission",IF(COUNTIF($A$2:$A$3000,$A379)&gt;1,"Duplicate parcel_id","")))</f>
        <v/>
      </c>
    </row>
    <row r="380" customFormat="false" ht="15" hidden="false" customHeight="false" outlineLevel="0" collapsed="false">
      <c r="A380" s="15" t="s">
        <v>867</v>
      </c>
      <c r="B380" s="15" t="s">
        <v>13</v>
      </c>
      <c r="C380" s="15" t="s">
        <v>17</v>
      </c>
      <c r="D380" s="15" t="s">
        <v>61</v>
      </c>
      <c r="E380" s="15" t="s">
        <v>20</v>
      </c>
      <c r="F380" s="15" t="n">
        <v>1</v>
      </c>
      <c r="G380" s="15" t="s">
        <v>158</v>
      </c>
      <c r="H380" s="15"/>
      <c r="I380" s="15" t="s">
        <v>17</v>
      </c>
      <c r="J380" s="15" t="s">
        <v>363</v>
      </c>
      <c r="K380" s="15" t="s">
        <v>868</v>
      </c>
      <c r="L380" s="15"/>
      <c r="M380" s="15" t="s">
        <v>349</v>
      </c>
      <c r="N380" s="15"/>
      <c r="O380" s="15"/>
      <c r="P380" s="15" t="n">
        <v>0.146</v>
      </c>
      <c r="Q380" s="15" t="n">
        <v>0.161</v>
      </c>
      <c r="R380" s="15" t="n">
        <v>4</v>
      </c>
      <c r="S380" s="15" t="s">
        <v>833</v>
      </c>
      <c r="T380" s="15" t="n">
        <v>4</v>
      </c>
      <c r="U380" s="15" t="s">
        <v>869</v>
      </c>
      <c r="V380" s="15" t="s">
        <v>835</v>
      </c>
      <c r="W380" s="15"/>
      <c r="X380" s="15" t="s">
        <v>353</v>
      </c>
      <c r="Y380" s="15" t="n">
        <v>25</v>
      </c>
      <c r="Z380" s="15" t="s">
        <v>845</v>
      </c>
      <c r="AA380" s="15" t="n">
        <v>1</v>
      </c>
      <c r="AB380" s="15" t="n">
        <v>0</v>
      </c>
      <c r="AC380" s="15" t="n">
        <v>0</v>
      </c>
      <c r="AD380" s="15"/>
      <c r="AE380" s="15"/>
      <c r="AF380" s="15" t="s">
        <v>169</v>
      </c>
      <c r="AG380" s="15"/>
      <c r="AH380" s="24" t="n">
        <f aca="false">IF(R380="",AM380,R380)</f>
        <v>4</v>
      </c>
      <c r="AI380" s="24" t="n">
        <f aca="false">SUMIFS(Permissions!$G$2:$G$3000,Permissions!$B$2:$B$3000,$A380,Permissions!$I$2:$I$3000,"Complete",Permissions!$R$2:$R$3000,"Yes")</f>
        <v>0</v>
      </c>
      <c r="AJ380" s="24" t="n">
        <f aca="false">SUMIFS(Permissions!$G$2:$G$3000,Permissions!$B$2:$B$3000,$A380,Permissions!$I$2:$I$3000,"Under construction",Permissions!$R$2:$R$3000,"Yes")</f>
        <v>0</v>
      </c>
      <c r="AK380" s="24" t="n">
        <f aca="false">SUMIFS(Permissions!$G$2:$G$3000,Permissions!$B$2:$B$3000,$A380,Permissions!$I$2:$I$3000,"Permitted – not started",Permissions!$R$2:$R$3000,"Yes")</f>
        <v>0</v>
      </c>
      <c r="AL380" s="24" t="n">
        <f aca="false">SUMIFS(Permissions!$G$2:$G$3000,Permissions!$B$2:$B$3000,$A380,Permissions!$I$2:$I$3000,"Stalled",Permissions!$R$2:$R$3000,"Yes")</f>
        <v>0</v>
      </c>
      <c r="AM380" s="24" t="n">
        <f aca="false">AI380+AJ380+AK380+AL380</f>
        <v>0</v>
      </c>
      <c r="AN380" s="24" t="n">
        <f aca="false">SUMIFS(Permissions!$G$2:$G$3000,Permissions!$B$2:$B$3000,$A380,Permissions!$I$2:$I$3000,"Expired – not started",Permissions!$R$2:$R$3000,"Yes")</f>
        <v>0</v>
      </c>
      <c r="AO380" s="24" t="n">
        <f aca="false">SUMIFS(Permissions!$G$2:$G$3000,Permissions!$B$2:$B$3000,$A380,Permissions!$I$2:$I$3000,"In planning",Permissions!$R$2:$R$3000,"Yes")</f>
        <v>0</v>
      </c>
      <c r="AP380" s="24" t="n">
        <f aca="false">IF(R380="",0,MAX(R380-AM380,0))</f>
        <v>4</v>
      </c>
      <c r="AQ380" s="25" t="n">
        <f aca="false">AM380+AP380</f>
        <v>4</v>
      </c>
      <c r="AR380" s="24" t="n">
        <f aca="false">SUMIFS(Permissions!$L$2:$L$3000,Permissions!$B$2:$B$3000,$A380,Permissions!$R$2:$R$3000,"Yes",Permissions!$I$2:$I$3000,"&lt;&gt;Expired – not started",Permissions!$I$2:$I$3000,"&lt;&gt;In planning")</f>
        <v>0</v>
      </c>
      <c r="AS380" s="24" t="n">
        <f aca="false">AQ380-AR380</f>
        <v>4</v>
      </c>
      <c r="AT380" s="26" t="n">
        <f aca="false">SUMIFS(Permissions!$AJ$2:$AJ$3000,Permissions!$B$2:$B$3000,$A380,Permissions!$R$2:$R$3000,"Yes")</f>
        <v>0</v>
      </c>
      <c r="AU380" s="26" t="n">
        <f aca="false">SUMIFS(Permissions!$AK$2:$AK$3000,Permissions!$B$2:$B$3000,$A380,Permissions!$R$2:$R$3000,"Yes")</f>
        <v>0</v>
      </c>
      <c r="AV380" s="26" t="n">
        <f aca="false">SUMIFS(Permissions!$AL$2:$AL$3000,Permissions!$B$2:$B$3000,$A380,Permissions!$R$2:$R$3000,"Yes")</f>
        <v>0</v>
      </c>
      <c r="AW380" s="26" t="n">
        <f aca="false">SUMIFS(Permissions!$AM$2:$AM$3000,Permissions!$B$2:$B$3000,$A380,Permissions!$R$2:$R$3000,"Yes")</f>
        <v>0</v>
      </c>
      <c r="AX380" s="26" t="n">
        <f aca="false">SUMIFS(Permissions!$AN$2:$AN$3000,Permissions!$B$2:$B$3000,$A380,Permissions!$R$2:$R$3000,"Yes")</f>
        <v>0</v>
      </c>
      <c r="AY380" s="26" t="n">
        <f aca="false">SUMIFS(Permissions!$AO$2:$AO$3000,Permissions!$B$2:$B$3000,$A380,Permissions!$R$2:$R$3000,"Yes")</f>
        <v>0</v>
      </c>
      <c r="AZ380" s="24" t="n">
        <f aca="false">COUNTIFS(Permissions!$B$2:$B$3000,$A380,Permissions!$R$2:$R$3000,"Yes")</f>
        <v>0</v>
      </c>
      <c r="BA380" s="24" t="n">
        <f aca="false">SUMIFS(Permissions!$M$2:$M$3000,Permissions!$B$2:$B$3000,$A380,Permissions!$R$2:$R$3000,"Yes")</f>
        <v>0</v>
      </c>
      <c r="BB380" s="24" t="n">
        <f aca="false">SUMIFS(Permissions!$O$2:$O$3000,Permissions!$B$2:$B$3000,$A380,Permissions!$R$2:$R$3000,"Yes")</f>
        <v>0</v>
      </c>
      <c r="BC380" s="27" t="str">
        <f aca="false">IF(AND(AM380&gt;0,AR380&gt;=AM380,AP380=0),"Finished",IF(AR380&gt;0,"Partly built",IF(AM380&gt;0,"Consented – not built","No consent")))</f>
        <v>No consent</v>
      </c>
      <c r="BD380" s="28" t="str">
        <f aca="false">IF(AND(R380&lt;&gt;"",AM380&gt;1.1*R380),"Consented above capacity",IF(AND(LEFT(B380,8)="Planning",AZ380=0),"Consent parcel with no permission",IF(COUNTIF($A$2:$A$3000,$A380)&gt;1,"Duplicate parcel_id","")))</f>
        <v/>
      </c>
    </row>
    <row r="381" customFormat="false" ht="15" hidden="false" customHeight="false" outlineLevel="0" collapsed="false">
      <c r="A381" s="15" t="s">
        <v>870</v>
      </c>
      <c r="B381" s="15" t="s">
        <v>13</v>
      </c>
      <c r="C381" s="15" t="s">
        <v>17</v>
      </c>
      <c r="D381" s="15" t="s">
        <v>61</v>
      </c>
      <c r="E381" s="15" t="s">
        <v>20</v>
      </c>
      <c r="F381" s="15" t="n">
        <v>1</v>
      </c>
      <c r="G381" s="15" t="s">
        <v>158</v>
      </c>
      <c r="H381" s="15"/>
      <c r="I381" s="15" t="s">
        <v>17</v>
      </c>
      <c r="J381" s="15" t="s">
        <v>363</v>
      </c>
      <c r="K381" s="15" t="s">
        <v>868</v>
      </c>
      <c r="L381" s="15"/>
      <c r="M381" s="15" t="s">
        <v>349</v>
      </c>
      <c r="N381" s="15"/>
      <c r="O381" s="15"/>
      <c r="P381" s="15" t="n">
        <v>0.229</v>
      </c>
      <c r="Q381" s="15" t="n">
        <v>0.252</v>
      </c>
      <c r="R381" s="15" t="n">
        <v>6</v>
      </c>
      <c r="S381" s="15" t="s">
        <v>833</v>
      </c>
      <c r="T381" s="15" t="n">
        <v>6</v>
      </c>
      <c r="U381" s="15" t="s">
        <v>869</v>
      </c>
      <c r="V381" s="15" t="s">
        <v>835</v>
      </c>
      <c r="W381" s="15"/>
      <c r="X381" s="15" t="s">
        <v>353</v>
      </c>
      <c r="Y381" s="15" t="n">
        <v>25</v>
      </c>
      <c r="Z381" s="15" t="s">
        <v>845</v>
      </c>
      <c r="AA381" s="15" t="n">
        <v>1</v>
      </c>
      <c r="AB381" s="15" t="n">
        <v>0</v>
      </c>
      <c r="AC381" s="15" t="n">
        <v>0</v>
      </c>
      <c r="AD381" s="15"/>
      <c r="AE381" s="15"/>
      <c r="AF381" s="15" t="s">
        <v>169</v>
      </c>
      <c r="AG381" s="15"/>
      <c r="AH381" s="24" t="n">
        <f aca="false">IF(R381="",AM381,R381)</f>
        <v>6</v>
      </c>
      <c r="AI381" s="24" t="n">
        <f aca="false">SUMIFS(Permissions!$G$2:$G$3000,Permissions!$B$2:$B$3000,$A381,Permissions!$I$2:$I$3000,"Complete",Permissions!$R$2:$R$3000,"Yes")</f>
        <v>0</v>
      </c>
      <c r="AJ381" s="24" t="n">
        <f aca="false">SUMIFS(Permissions!$G$2:$G$3000,Permissions!$B$2:$B$3000,$A381,Permissions!$I$2:$I$3000,"Under construction",Permissions!$R$2:$R$3000,"Yes")</f>
        <v>0</v>
      </c>
      <c r="AK381" s="24" t="n">
        <f aca="false">SUMIFS(Permissions!$G$2:$G$3000,Permissions!$B$2:$B$3000,$A381,Permissions!$I$2:$I$3000,"Permitted – not started",Permissions!$R$2:$R$3000,"Yes")</f>
        <v>0</v>
      </c>
      <c r="AL381" s="24" t="n">
        <f aca="false">SUMIFS(Permissions!$G$2:$G$3000,Permissions!$B$2:$B$3000,$A381,Permissions!$I$2:$I$3000,"Stalled",Permissions!$R$2:$R$3000,"Yes")</f>
        <v>0</v>
      </c>
      <c r="AM381" s="24" t="n">
        <f aca="false">AI381+AJ381+AK381+AL381</f>
        <v>0</v>
      </c>
      <c r="AN381" s="24" t="n">
        <f aca="false">SUMIFS(Permissions!$G$2:$G$3000,Permissions!$B$2:$B$3000,$A381,Permissions!$I$2:$I$3000,"Expired – not started",Permissions!$R$2:$R$3000,"Yes")</f>
        <v>0</v>
      </c>
      <c r="AO381" s="24" t="n">
        <f aca="false">SUMIFS(Permissions!$G$2:$G$3000,Permissions!$B$2:$B$3000,$A381,Permissions!$I$2:$I$3000,"In planning",Permissions!$R$2:$R$3000,"Yes")</f>
        <v>0</v>
      </c>
      <c r="AP381" s="24" t="n">
        <f aca="false">IF(R381="",0,MAX(R381-AM381,0))</f>
        <v>6</v>
      </c>
      <c r="AQ381" s="25" t="n">
        <f aca="false">AM381+AP381</f>
        <v>6</v>
      </c>
      <c r="AR381" s="24" t="n">
        <f aca="false">SUMIFS(Permissions!$L$2:$L$3000,Permissions!$B$2:$B$3000,$A381,Permissions!$R$2:$R$3000,"Yes",Permissions!$I$2:$I$3000,"&lt;&gt;Expired – not started",Permissions!$I$2:$I$3000,"&lt;&gt;In planning")</f>
        <v>0</v>
      </c>
      <c r="AS381" s="24" t="n">
        <f aca="false">AQ381-AR381</f>
        <v>6</v>
      </c>
      <c r="AT381" s="26" t="n">
        <f aca="false">SUMIFS(Permissions!$AJ$2:$AJ$3000,Permissions!$B$2:$B$3000,$A381,Permissions!$R$2:$R$3000,"Yes")</f>
        <v>0</v>
      </c>
      <c r="AU381" s="26" t="n">
        <f aca="false">SUMIFS(Permissions!$AK$2:$AK$3000,Permissions!$B$2:$B$3000,$A381,Permissions!$R$2:$R$3000,"Yes")</f>
        <v>0</v>
      </c>
      <c r="AV381" s="26" t="n">
        <f aca="false">SUMIFS(Permissions!$AL$2:$AL$3000,Permissions!$B$2:$B$3000,$A381,Permissions!$R$2:$R$3000,"Yes")</f>
        <v>0</v>
      </c>
      <c r="AW381" s="26" t="n">
        <f aca="false">SUMIFS(Permissions!$AM$2:$AM$3000,Permissions!$B$2:$B$3000,$A381,Permissions!$R$2:$R$3000,"Yes")</f>
        <v>0</v>
      </c>
      <c r="AX381" s="26" t="n">
        <f aca="false">SUMIFS(Permissions!$AN$2:$AN$3000,Permissions!$B$2:$B$3000,$A381,Permissions!$R$2:$R$3000,"Yes")</f>
        <v>0</v>
      </c>
      <c r="AY381" s="26" t="n">
        <f aca="false">SUMIFS(Permissions!$AO$2:$AO$3000,Permissions!$B$2:$B$3000,$A381,Permissions!$R$2:$R$3000,"Yes")</f>
        <v>0</v>
      </c>
      <c r="AZ381" s="24" t="n">
        <f aca="false">COUNTIFS(Permissions!$B$2:$B$3000,$A381,Permissions!$R$2:$R$3000,"Yes")</f>
        <v>0</v>
      </c>
      <c r="BA381" s="24" t="n">
        <f aca="false">SUMIFS(Permissions!$M$2:$M$3000,Permissions!$B$2:$B$3000,$A381,Permissions!$R$2:$R$3000,"Yes")</f>
        <v>0</v>
      </c>
      <c r="BB381" s="24" t="n">
        <f aca="false">SUMIFS(Permissions!$O$2:$O$3000,Permissions!$B$2:$B$3000,$A381,Permissions!$R$2:$R$3000,"Yes")</f>
        <v>0</v>
      </c>
      <c r="BC381" s="27" t="str">
        <f aca="false">IF(AND(AM381&gt;0,AR381&gt;=AM381,AP381=0),"Finished",IF(AR381&gt;0,"Partly built",IF(AM381&gt;0,"Consented – not built","No consent")))</f>
        <v>No consent</v>
      </c>
      <c r="BD381" s="28" t="str">
        <f aca="false">IF(AND(R381&lt;&gt;"",AM381&gt;1.1*R381),"Consented above capacity",IF(AND(LEFT(B381,8)="Planning",AZ381=0),"Consent parcel with no permission",IF(COUNTIF($A$2:$A$3000,$A381)&gt;1,"Duplicate parcel_id","")))</f>
        <v/>
      </c>
    </row>
    <row r="382" customFormat="false" ht="15" hidden="false" customHeight="false" outlineLevel="0" collapsed="false">
      <c r="A382" s="15" t="s">
        <v>871</v>
      </c>
      <c r="B382" s="15" t="s">
        <v>13</v>
      </c>
      <c r="C382" s="15" t="s">
        <v>17</v>
      </c>
      <c r="D382" s="15" t="s">
        <v>61</v>
      </c>
      <c r="E382" s="15" t="s">
        <v>20</v>
      </c>
      <c r="F382" s="15" t="n">
        <v>0.39</v>
      </c>
      <c r="G382" s="15" t="s">
        <v>158</v>
      </c>
      <c r="H382" s="15"/>
      <c r="I382" s="15" t="s">
        <v>17</v>
      </c>
      <c r="J382" s="15" t="s">
        <v>363</v>
      </c>
      <c r="K382" s="15" t="s">
        <v>868</v>
      </c>
      <c r="L382" s="15"/>
      <c r="M382" s="15" t="s">
        <v>349</v>
      </c>
      <c r="N382" s="15"/>
      <c r="O382" s="15"/>
      <c r="P382" s="15" t="n">
        <v>2.346</v>
      </c>
      <c r="Q382" s="15" t="n">
        <v>2.578</v>
      </c>
      <c r="R382" s="15" t="n">
        <v>59</v>
      </c>
      <c r="S382" s="15" t="s">
        <v>833</v>
      </c>
      <c r="T382" s="15" t="n">
        <v>59</v>
      </c>
      <c r="U382" s="15" t="s">
        <v>869</v>
      </c>
      <c r="V382" s="15" t="s">
        <v>835</v>
      </c>
      <c r="W382" s="15"/>
      <c r="X382" s="15" t="s">
        <v>353</v>
      </c>
      <c r="Y382" s="15" t="n">
        <v>25</v>
      </c>
      <c r="Z382" s="15" t="s">
        <v>845</v>
      </c>
      <c r="AA382" s="15" t="n">
        <v>0.01</v>
      </c>
      <c r="AB382" s="15" t="n">
        <v>0</v>
      </c>
      <c r="AC382" s="15" t="n">
        <v>0</v>
      </c>
      <c r="AD382" s="15"/>
      <c r="AE382" s="15"/>
      <c r="AF382" s="15" t="s">
        <v>169</v>
      </c>
      <c r="AG382" s="15"/>
      <c r="AH382" s="24" t="n">
        <f aca="false">IF(R382="",AM382,R382)</f>
        <v>59</v>
      </c>
      <c r="AI382" s="24" t="n">
        <f aca="false">SUMIFS(Permissions!$G$2:$G$3000,Permissions!$B$2:$B$3000,$A382,Permissions!$I$2:$I$3000,"Complete",Permissions!$R$2:$R$3000,"Yes")</f>
        <v>0</v>
      </c>
      <c r="AJ382" s="24" t="n">
        <f aca="false">SUMIFS(Permissions!$G$2:$G$3000,Permissions!$B$2:$B$3000,$A382,Permissions!$I$2:$I$3000,"Under construction",Permissions!$R$2:$R$3000,"Yes")</f>
        <v>0</v>
      </c>
      <c r="AK382" s="24" t="n">
        <f aca="false">SUMIFS(Permissions!$G$2:$G$3000,Permissions!$B$2:$B$3000,$A382,Permissions!$I$2:$I$3000,"Permitted – not started",Permissions!$R$2:$R$3000,"Yes")</f>
        <v>0</v>
      </c>
      <c r="AL382" s="24" t="n">
        <f aca="false">SUMIFS(Permissions!$G$2:$G$3000,Permissions!$B$2:$B$3000,$A382,Permissions!$I$2:$I$3000,"Stalled",Permissions!$R$2:$R$3000,"Yes")</f>
        <v>0</v>
      </c>
      <c r="AM382" s="24" t="n">
        <f aca="false">AI382+AJ382+AK382+AL382</f>
        <v>0</v>
      </c>
      <c r="AN382" s="24" t="n">
        <f aca="false">SUMIFS(Permissions!$G$2:$G$3000,Permissions!$B$2:$B$3000,$A382,Permissions!$I$2:$I$3000,"Expired – not started",Permissions!$R$2:$R$3000,"Yes")</f>
        <v>0</v>
      </c>
      <c r="AO382" s="24" t="n">
        <f aca="false">SUMIFS(Permissions!$G$2:$G$3000,Permissions!$B$2:$B$3000,$A382,Permissions!$I$2:$I$3000,"In planning",Permissions!$R$2:$R$3000,"Yes")</f>
        <v>0</v>
      </c>
      <c r="AP382" s="24" t="n">
        <f aca="false">IF(R382="",0,MAX(R382-AM382,0))</f>
        <v>59</v>
      </c>
      <c r="AQ382" s="25" t="n">
        <f aca="false">AM382+AP382</f>
        <v>59</v>
      </c>
      <c r="AR382" s="24" t="n">
        <f aca="false">SUMIFS(Permissions!$L$2:$L$3000,Permissions!$B$2:$B$3000,$A382,Permissions!$R$2:$R$3000,"Yes",Permissions!$I$2:$I$3000,"&lt;&gt;Expired – not started",Permissions!$I$2:$I$3000,"&lt;&gt;In planning")</f>
        <v>0</v>
      </c>
      <c r="AS382" s="24" t="n">
        <f aca="false">AQ382-AR382</f>
        <v>59</v>
      </c>
      <c r="AT382" s="26" t="n">
        <f aca="false">SUMIFS(Permissions!$AJ$2:$AJ$3000,Permissions!$B$2:$B$3000,$A382,Permissions!$R$2:$R$3000,"Yes")</f>
        <v>0</v>
      </c>
      <c r="AU382" s="26" t="n">
        <f aca="false">SUMIFS(Permissions!$AK$2:$AK$3000,Permissions!$B$2:$B$3000,$A382,Permissions!$R$2:$R$3000,"Yes")</f>
        <v>0</v>
      </c>
      <c r="AV382" s="26" t="n">
        <f aca="false">SUMIFS(Permissions!$AL$2:$AL$3000,Permissions!$B$2:$B$3000,$A382,Permissions!$R$2:$R$3000,"Yes")</f>
        <v>0</v>
      </c>
      <c r="AW382" s="26" t="n">
        <f aca="false">SUMIFS(Permissions!$AM$2:$AM$3000,Permissions!$B$2:$B$3000,$A382,Permissions!$R$2:$R$3000,"Yes")</f>
        <v>0</v>
      </c>
      <c r="AX382" s="26" t="n">
        <f aca="false">SUMIFS(Permissions!$AN$2:$AN$3000,Permissions!$B$2:$B$3000,$A382,Permissions!$R$2:$R$3000,"Yes")</f>
        <v>0</v>
      </c>
      <c r="AY382" s="26" t="n">
        <f aca="false">SUMIFS(Permissions!$AO$2:$AO$3000,Permissions!$B$2:$B$3000,$A382,Permissions!$R$2:$R$3000,"Yes")</f>
        <v>0</v>
      </c>
      <c r="AZ382" s="24" t="n">
        <f aca="false">COUNTIFS(Permissions!$B$2:$B$3000,$A382,Permissions!$R$2:$R$3000,"Yes")</f>
        <v>0</v>
      </c>
      <c r="BA382" s="24" t="n">
        <f aca="false">SUMIFS(Permissions!$M$2:$M$3000,Permissions!$B$2:$B$3000,$A382,Permissions!$R$2:$R$3000,"Yes")</f>
        <v>0</v>
      </c>
      <c r="BB382" s="24" t="n">
        <f aca="false">SUMIFS(Permissions!$O$2:$O$3000,Permissions!$B$2:$B$3000,$A382,Permissions!$R$2:$R$3000,"Yes")</f>
        <v>0</v>
      </c>
      <c r="BC382" s="27" t="str">
        <f aca="false">IF(AND(AM382&gt;0,AR382&gt;=AM382,AP382=0),"Finished",IF(AR382&gt;0,"Partly built",IF(AM382&gt;0,"Consented – not built","No consent")))</f>
        <v>No consent</v>
      </c>
      <c r="BD382" s="28" t="str">
        <f aca="false">IF(AND(R382&lt;&gt;"",AM382&gt;1.1*R382),"Consented above capacity",IF(AND(LEFT(B382,8)="Planning",AZ382=0),"Consent parcel with no permission",IF(COUNTIF($A$2:$A$3000,$A382)&gt;1,"Duplicate parcel_id","")))</f>
        <v/>
      </c>
    </row>
    <row r="383" customFormat="false" ht="15" hidden="false" customHeight="false" outlineLevel="0" collapsed="false">
      <c r="A383" s="15" t="s">
        <v>872</v>
      </c>
      <c r="B383" s="15" t="s">
        <v>13</v>
      </c>
      <c r="C383" s="15" t="s">
        <v>17</v>
      </c>
      <c r="D383" s="15" t="s">
        <v>61</v>
      </c>
      <c r="E383" s="15" t="s">
        <v>20</v>
      </c>
      <c r="F383" s="15" t="n">
        <v>0.07</v>
      </c>
      <c r="G383" s="15" t="s">
        <v>158</v>
      </c>
      <c r="H383" s="15"/>
      <c r="I383" s="15" t="s">
        <v>17</v>
      </c>
      <c r="J383" s="15" t="s">
        <v>363</v>
      </c>
      <c r="K383" s="15" t="s">
        <v>868</v>
      </c>
      <c r="L383" s="15"/>
      <c r="M383" s="15" t="s">
        <v>349</v>
      </c>
      <c r="N383" s="15"/>
      <c r="O383" s="15"/>
      <c r="P383" s="15" t="n">
        <v>3.191</v>
      </c>
      <c r="Q383" s="15" t="n">
        <v>3.506</v>
      </c>
      <c r="R383" s="15" t="n">
        <v>80</v>
      </c>
      <c r="S383" s="15" t="s">
        <v>833</v>
      </c>
      <c r="T383" s="15" t="n">
        <v>80</v>
      </c>
      <c r="U383" s="15" t="s">
        <v>869</v>
      </c>
      <c r="V383" s="15" t="s">
        <v>835</v>
      </c>
      <c r="W383" s="15"/>
      <c r="X383" s="15" t="s">
        <v>353</v>
      </c>
      <c r="Y383" s="15" t="n">
        <v>25</v>
      </c>
      <c r="Z383" s="15" t="s">
        <v>845</v>
      </c>
      <c r="AA383" s="15" t="n">
        <v>0.62</v>
      </c>
      <c r="AB383" s="15" t="n">
        <v>0</v>
      </c>
      <c r="AC383" s="15" t="n">
        <v>0</v>
      </c>
      <c r="AD383" s="15"/>
      <c r="AE383" s="15"/>
      <c r="AF383" s="15" t="s">
        <v>169</v>
      </c>
      <c r="AG383" s="15"/>
      <c r="AH383" s="24" t="n">
        <f aca="false">IF(R383="",AM383,R383)</f>
        <v>80</v>
      </c>
      <c r="AI383" s="24" t="n">
        <f aca="false">SUMIFS(Permissions!$G$2:$G$3000,Permissions!$B$2:$B$3000,$A383,Permissions!$I$2:$I$3000,"Complete",Permissions!$R$2:$R$3000,"Yes")</f>
        <v>0</v>
      </c>
      <c r="AJ383" s="24" t="n">
        <f aca="false">SUMIFS(Permissions!$G$2:$G$3000,Permissions!$B$2:$B$3000,$A383,Permissions!$I$2:$I$3000,"Under construction",Permissions!$R$2:$R$3000,"Yes")</f>
        <v>0</v>
      </c>
      <c r="AK383" s="24" t="n">
        <f aca="false">SUMIFS(Permissions!$G$2:$G$3000,Permissions!$B$2:$B$3000,$A383,Permissions!$I$2:$I$3000,"Permitted – not started",Permissions!$R$2:$R$3000,"Yes")</f>
        <v>0</v>
      </c>
      <c r="AL383" s="24" t="n">
        <f aca="false">SUMIFS(Permissions!$G$2:$G$3000,Permissions!$B$2:$B$3000,$A383,Permissions!$I$2:$I$3000,"Stalled",Permissions!$R$2:$R$3000,"Yes")</f>
        <v>0</v>
      </c>
      <c r="AM383" s="24" t="n">
        <f aca="false">AI383+AJ383+AK383+AL383</f>
        <v>0</v>
      </c>
      <c r="AN383" s="24" t="n">
        <f aca="false">SUMIFS(Permissions!$G$2:$G$3000,Permissions!$B$2:$B$3000,$A383,Permissions!$I$2:$I$3000,"Expired – not started",Permissions!$R$2:$R$3000,"Yes")</f>
        <v>0</v>
      </c>
      <c r="AO383" s="24" t="n">
        <f aca="false">SUMIFS(Permissions!$G$2:$G$3000,Permissions!$B$2:$B$3000,$A383,Permissions!$I$2:$I$3000,"In planning",Permissions!$R$2:$R$3000,"Yes")</f>
        <v>0</v>
      </c>
      <c r="AP383" s="24" t="n">
        <f aca="false">IF(R383="",0,MAX(R383-AM383,0))</f>
        <v>80</v>
      </c>
      <c r="AQ383" s="25" t="n">
        <f aca="false">AM383+AP383</f>
        <v>80</v>
      </c>
      <c r="AR383" s="24" t="n">
        <f aca="false">SUMIFS(Permissions!$L$2:$L$3000,Permissions!$B$2:$B$3000,$A383,Permissions!$R$2:$R$3000,"Yes",Permissions!$I$2:$I$3000,"&lt;&gt;Expired – not started",Permissions!$I$2:$I$3000,"&lt;&gt;In planning")</f>
        <v>0</v>
      </c>
      <c r="AS383" s="24" t="n">
        <f aca="false">AQ383-AR383</f>
        <v>80</v>
      </c>
      <c r="AT383" s="26" t="n">
        <f aca="false">SUMIFS(Permissions!$AJ$2:$AJ$3000,Permissions!$B$2:$B$3000,$A383,Permissions!$R$2:$R$3000,"Yes")</f>
        <v>0</v>
      </c>
      <c r="AU383" s="26" t="n">
        <f aca="false">SUMIFS(Permissions!$AK$2:$AK$3000,Permissions!$B$2:$B$3000,$A383,Permissions!$R$2:$R$3000,"Yes")</f>
        <v>0</v>
      </c>
      <c r="AV383" s="26" t="n">
        <f aca="false">SUMIFS(Permissions!$AL$2:$AL$3000,Permissions!$B$2:$B$3000,$A383,Permissions!$R$2:$R$3000,"Yes")</f>
        <v>0</v>
      </c>
      <c r="AW383" s="26" t="n">
        <f aca="false">SUMIFS(Permissions!$AM$2:$AM$3000,Permissions!$B$2:$B$3000,$A383,Permissions!$R$2:$R$3000,"Yes")</f>
        <v>0</v>
      </c>
      <c r="AX383" s="26" t="n">
        <f aca="false">SUMIFS(Permissions!$AN$2:$AN$3000,Permissions!$B$2:$B$3000,$A383,Permissions!$R$2:$R$3000,"Yes")</f>
        <v>0</v>
      </c>
      <c r="AY383" s="26" t="n">
        <f aca="false">SUMIFS(Permissions!$AO$2:$AO$3000,Permissions!$B$2:$B$3000,$A383,Permissions!$R$2:$R$3000,"Yes")</f>
        <v>0</v>
      </c>
      <c r="AZ383" s="24" t="n">
        <f aca="false">COUNTIFS(Permissions!$B$2:$B$3000,$A383,Permissions!$R$2:$R$3000,"Yes")</f>
        <v>0</v>
      </c>
      <c r="BA383" s="24" t="n">
        <f aca="false">SUMIFS(Permissions!$M$2:$M$3000,Permissions!$B$2:$B$3000,$A383,Permissions!$R$2:$R$3000,"Yes")</f>
        <v>0</v>
      </c>
      <c r="BB383" s="24" t="n">
        <f aca="false">SUMIFS(Permissions!$O$2:$O$3000,Permissions!$B$2:$B$3000,$A383,Permissions!$R$2:$R$3000,"Yes")</f>
        <v>0</v>
      </c>
      <c r="BC383" s="27" t="str">
        <f aca="false">IF(AND(AM383&gt;0,AR383&gt;=AM383,AP383=0),"Finished",IF(AR383&gt;0,"Partly built",IF(AM383&gt;0,"Consented – not built","No consent")))</f>
        <v>No consent</v>
      </c>
      <c r="BD383" s="28" t="str">
        <f aca="false">IF(AND(R383&lt;&gt;"",AM383&gt;1.1*R383),"Consented above capacity",IF(AND(LEFT(B383,8)="Planning",AZ383=0),"Consent parcel with no permission",IF(COUNTIF($A$2:$A$3000,$A383)&gt;1,"Duplicate parcel_id","")))</f>
        <v/>
      </c>
    </row>
    <row r="384" customFormat="false" ht="15" hidden="false" customHeight="false" outlineLevel="0" collapsed="false">
      <c r="A384" s="15" t="s">
        <v>873</v>
      </c>
      <c r="B384" s="15" t="s">
        <v>13</v>
      </c>
      <c r="C384" s="15" t="s">
        <v>17</v>
      </c>
      <c r="D384" s="15" t="s">
        <v>61</v>
      </c>
      <c r="E384" s="15" t="s">
        <v>20</v>
      </c>
      <c r="F384" s="15" t="n">
        <v>1</v>
      </c>
      <c r="G384" s="15" t="s">
        <v>158</v>
      </c>
      <c r="H384" s="15"/>
      <c r="I384" s="15" t="s">
        <v>17</v>
      </c>
      <c r="J384" s="15" t="s">
        <v>363</v>
      </c>
      <c r="K384" s="15" t="s">
        <v>874</v>
      </c>
      <c r="L384" s="15"/>
      <c r="M384" s="15" t="s">
        <v>357</v>
      </c>
      <c r="N384" s="15"/>
      <c r="O384" s="15"/>
      <c r="P384" s="15" t="n">
        <v>1.897</v>
      </c>
      <c r="Q384" s="15" t="n">
        <v>2.084</v>
      </c>
      <c r="R384" s="15" t="n">
        <v>36</v>
      </c>
      <c r="S384" s="15" t="s">
        <v>833</v>
      </c>
      <c r="T384" s="15" t="n">
        <v>36</v>
      </c>
      <c r="U384" s="15" t="s">
        <v>869</v>
      </c>
      <c r="V384" s="15" t="s">
        <v>849</v>
      </c>
      <c r="W384" s="15"/>
      <c r="X384" s="15" t="s">
        <v>850</v>
      </c>
      <c r="Y384" s="15" t="n">
        <v>19</v>
      </c>
      <c r="Z384" s="15" t="s">
        <v>851</v>
      </c>
      <c r="AA384" s="15" t="n">
        <v>1</v>
      </c>
      <c r="AB384" s="15" t="n">
        <v>0</v>
      </c>
      <c r="AC384" s="15" t="n">
        <v>0</v>
      </c>
      <c r="AD384" s="15"/>
      <c r="AE384" s="15"/>
      <c r="AF384" s="15" t="s">
        <v>169</v>
      </c>
      <c r="AG384" s="15"/>
      <c r="AH384" s="24" t="n">
        <f aca="false">IF(R384="",AM384,R384)</f>
        <v>36</v>
      </c>
      <c r="AI384" s="24" t="n">
        <f aca="false">SUMIFS(Permissions!$G$2:$G$3000,Permissions!$B$2:$B$3000,$A384,Permissions!$I$2:$I$3000,"Complete",Permissions!$R$2:$R$3000,"Yes")</f>
        <v>0</v>
      </c>
      <c r="AJ384" s="24" t="n">
        <f aca="false">SUMIFS(Permissions!$G$2:$G$3000,Permissions!$B$2:$B$3000,$A384,Permissions!$I$2:$I$3000,"Under construction",Permissions!$R$2:$R$3000,"Yes")</f>
        <v>0</v>
      </c>
      <c r="AK384" s="24" t="n">
        <f aca="false">SUMIFS(Permissions!$G$2:$G$3000,Permissions!$B$2:$B$3000,$A384,Permissions!$I$2:$I$3000,"Permitted – not started",Permissions!$R$2:$R$3000,"Yes")</f>
        <v>0</v>
      </c>
      <c r="AL384" s="24" t="n">
        <f aca="false">SUMIFS(Permissions!$G$2:$G$3000,Permissions!$B$2:$B$3000,$A384,Permissions!$I$2:$I$3000,"Stalled",Permissions!$R$2:$R$3000,"Yes")</f>
        <v>0</v>
      </c>
      <c r="AM384" s="24" t="n">
        <f aca="false">AI384+AJ384+AK384+AL384</f>
        <v>0</v>
      </c>
      <c r="AN384" s="24" t="n">
        <f aca="false">SUMIFS(Permissions!$G$2:$G$3000,Permissions!$B$2:$B$3000,$A384,Permissions!$I$2:$I$3000,"Expired – not started",Permissions!$R$2:$R$3000,"Yes")</f>
        <v>0</v>
      </c>
      <c r="AO384" s="24" t="n">
        <f aca="false">SUMIFS(Permissions!$G$2:$G$3000,Permissions!$B$2:$B$3000,$A384,Permissions!$I$2:$I$3000,"In planning",Permissions!$R$2:$R$3000,"Yes")</f>
        <v>0</v>
      </c>
      <c r="AP384" s="24" t="n">
        <f aca="false">IF(R384="",0,MAX(R384-AM384,0))</f>
        <v>36</v>
      </c>
      <c r="AQ384" s="25" t="n">
        <f aca="false">AM384+AP384</f>
        <v>36</v>
      </c>
      <c r="AR384" s="24" t="n">
        <f aca="false">SUMIFS(Permissions!$L$2:$L$3000,Permissions!$B$2:$B$3000,$A384,Permissions!$R$2:$R$3000,"Yes",Permissions!$I$2:$I$3000,"&lt;&gt;Expired – not started",Permissions!$I$2:$I$3000,"&lt;&gt;In planning")</f>
        <v>0</v>
      </c>
      <c r="AS384" s="24" t="n">
        <f aca="false">AQ384-AR384</f>
        <v>36</v>
      </c>
      <c r="AT384" s="26" t="n">
        <f aca="false">SUMIFS(Permissions!$AJ$2:$AJ$3000,Permissions!$B$2:$B$3000,$A384,Permissions!$R$2:$R$3000,"Yes")</f>
        <v>0</v>
      </c>
      <c r="AU384" s="26" t="n">
        <f aca="false">SUMIFS(Permissions!$AK$2:$AK$3000,Permissions!$B$2:$B$3000,$A384,Permissions!$R$2:$R$3000,"Yes")</f>
        <v>0</v>
      </c>
      <c r="AV384" s="26" t="n">
        <f aca="false">SUMIFS(Permissions!$AL$2:$AL$3000,Permissions!$B$2:$B$3000,$A384,Permissions!$R$2:$R$3000,"Yes")</f>
        <v>0</v>
      </c>
      <c r="AW384" s="26" t="n">
        <f aca="false">SUMIFS(Permissions!$AM$2:$AM$3000,Permissions!$B$2:$B$3000,$A384,Permissions!$R$2:$R$3000,"Yes")</f>
        <v>0</v>
      </c>
      <c r="AX384" s="26" t="n">
        <f aca="false">SUMIFS(Permissions!$AN$2:$AN$3000,Permissions!$B$2:$B$3000,$A384,Permissions!$R$2:$R$3000,"Yes")</f>
        <v>0</v>
      </c>
      <c r="AY384" s="26" t="n">
        <f aca="false">SUMIFS(Permissions!$AO$2:$AO$3000,Permissions!$B$2:$B$3000,$A384,Permissions!$R$2:$R$3000,"Yes")</f>
        <v>0</v>
      </c>
      <c r="AZ384" s="24" t="n">
        <f aca="false">COUNTIFS(Permissions!$B$2:$B$3000,$A384,Permissions!$R$2:$R$3000,"Yes")</f>
        <v>0</v>
      </c>
      <c r="BA384" s="24" t="n">
        <f aca="false">SUMIFS(Permissions!$M$2:$M$3000,Permissions!$B$2:$B$3000,$A384,Permissions!$R$2:$R$3000,"Yes")</f>
        <v>0</v>
      </c>
      <c r="BB384" s="24" t="n">
        <f aca="false">SUMIFS(Permissions!$O$2:$O$3000,Permissions!$B$2:$B$3000,$A384,Permissions!$R$2:$R$3000,"Yes")</f>
        <v>0</v>
      </c>
      <c r="BC384" s="27" t="str">
        <f aca="false">IF(AND(AM384&gt;0,AR384&gt;=AM384,AP384=0),"Finished",IF(AR384&gt;0,"Partly built",IF(AM384&gt;0,"Consented – not built","No consent")))</f>
        <v>No consent</v>
      </c>
      <c r="BD384" s="28" t="str">
        <f aca="false">IF(AND(R384&lt;&gt;"",AM384&gt;1.1*R384),"Consented above capacity",IF(AND(LEFT(B384,8)="Planning",AZ384=0),"Consent parcel with no permission",IF(COUNTIF($A$2:$A$3000,$A384)&gt;1,"Duplicate parcel_id","")))</f>
        <v/>
      </c>
    </row>
    <row r="385" customFormat="false" ht="15" hidden="false" customHeight="false" outlineLevel="0" collapsed="false">
      <c r="A385" s="15" t="s">
        <v>875</v>
      </c>
      <c r="B385" s="15" t="s">
        <v>13</v>
      </c>
      <c r="C385" s="15" t="s">
        <v>17</v>
      </c>
      <c r="D385" s="15" t="s">
        <v>61</v>
      </c>
      <c r="E385" s="15" t="s">
        <v>20</v>
      </c>
      <c r="F385" s="15" t="n">
        <v>1</v>
      </c>
      <c r="G385" s="15" t="s">
        <v>158</v>
      </c>
      <c r="H385" s="15"/>
      <c r="I385" s="15" t="s">
        <v>17</v>
      </c>
      <c r="J385" s="15" t="s">
        <v>363</v>
      </c>
      <c r="K385" s="15" t="s">
        <v>868</v>
      </c>
      <c r="L385" s="15"/>
      <c r="M385" s="15" t="s">
        <v>349</v>
      </c>
      <c r="N385" s="15"/>
      <c r="O385" s="15"/>
      <c r="P385" s="15" t="n">
        <v>0.192</v>
      </c>
      <c r="Q385" s="15" t="n">
        <v>0.211</v>
      </c>
      <c r="R385" s="15" t="n">
        <v>5</v>
      </c>
      <c r="S385" s="15" t="s">
        <v>833</v>
      </c>
      <c r="T385" s="15" t="n">
        <v>5</v>
      </c>
      <c r="U385" s="15" t="s">
        <v>869</v>
      </c>
      <c r="V385" s="15" t="s">
        <v>835</v>
      </c>
      <c r="W385" s="15"/>
      <c r="X385" s="15" t="s">
        <v>353</v>
      </c>
      <c r="Y385" s="15" t="n">
        <v>25</v>
      </c>
      <c r="Z385" s="15" t="s">
        <v>845</v>
      </c>
      <c r="AA385" s="15" t="n">
        <v>1</v>
      </c>
      <c r="AB385" s="15" t="n">
        <v>0</v>
      </c>
      <c r="AC385" s="15" t="n">
        <v>0</v>
      </c>
      <c r="AD385" s="15"/>
      <c r="AE385" s="15"/>
      <c r="AF385" s="15" t="s">
        <v>169</v>
      </c>
      <c r="AG385" s="15"/>
      <c r="AH385" s="24" t="n">
        <f aca="false">IF(R385="",AM385,R385)</f>
        <v>5</v>
      </c>
      <c r="AI385" s="24" t="n">
        <f aca="false">SUMIFS(Permissions!$G$2:$G$3000,Permissions!$B$2:$B$3000,$A385,Permissions!$I$2:$I$3000,"Complete",Permissions!$R$2:$R$3000,"Yes")</f>
        <v>0</v>
      </c>
      <c r="AJ385" s="24" t="n">
        <f aca="false">SUMIFS(Permissions!$G$2:$G$3000,Permissions!$B$2:$B$3000,$A385,Permissions!$I$2:$I$3000,"Under construction",Permissions!$R$2:$R$3000,"Yes")</f>
        <v>0</v>
      </c>
      <c r="AK385" s="24" t="n">
        <f aca="false">SUMIFS(Permissions!$G$2:$G$3000,Permissions!$B$2:$B$3000,$A385,Permissions!$I$2:$I$3000,"Permitted – not started",Permissions!$R$2:$R$3000,"Yes")</f>
        <v>0</v>
      </c>
      <c r="AL385" s="24" t="n">
        <f aca="false">SUMIFS(Permissions!$G$2:$G$3000,Permissions!$B$2:$B$3000,$A385,Permissions!$I$2:$I$3000,"Stalled",Permissions!$R$2:$R$3000,"Yes")</f>
        <v>0</v>
      </c>
      <c r="AM385" s="24" t="n">
        <f aca="false">AI385+AJ385+AK385+AL385</f>
        <v>0</v>
      </c>
      <c r="AN385" s="24" t="n">
        <f aca="false">SUMIFS(Permissions!$G$2:$G$3000,Permissions!$B$2:$B$3000,$A385,Permissions!$I$2:$I$3000,"Expired – not started",Permissions!$R$2:$R$3000,"Yes")</f>
        <v>0</v>
      </c>
      <c r="AO385" s="24" t="n">
        <f aca="false">SUMIFS(Permissions!$G$2:$G$3000,Permissions!$B$2:$B$3000,$A385,Permissions!$I$2:$I$3000,"In planning",Permissions!$R$2:$R$3000,"Yes")</f>
        <v>0</v>
      </c>
      <c r="AP385" s="24" t="n">
        <f aca="false">IF(R385="",0,MAX(R385-AM385,0))</f>
        <v>5</v>
      </c>
      <c r="AQ385" s="25" t="n">
        <f aca="false">AM385+AP385</f>
        <v>5</v>
      </c>
      <c r="AR385" s="24" t="n">
        <f aca="false">SUMIFS(Permissions!$L$2:$L$3000,Permissions!$B$2:$B$3000,$A385,Permissions!$R$2:$R$3000,"Yes",Permissions!$I$2:$I$3000,"&lt;&gt;Expired – not started",Permissions!$I$2:$I$3000,"&lt;&gt;In planning")</f>
        <v>0</v>
      </c>
      <c r="AS385" s="24" t="n">
        <f aca="false">AQ385-AR385</f>
        <v>5</v>
      </c>
      <c r="AT385" s="26" t="n">
        <f aca="false">SUMIFS(Permissions!$AJ$2:$AJ$3000,Permissions!$B$2:$B$3000,$A385,Permissions!$R$2:$R$3000,"Yes")</f>
        <v>0</v>
      </c>
      <c r="AU385" s="26" t="n">
        <f aca="false">SUMIFS(Permissions!$AK$2:$AK$3000,Permissions!$B$2:$B$3000,$A385,Permissions!$R$2:$R$3000,"Yes")</f>
        <v>0</v>
      </c>
      <c r="AV385" s="26" t="n">
        <f aca="false">SUMIFS(Permissions!$AL$2:$AL$3000,Permissions!$B$2:$B$3000,$A385,Permissions!$R$2:$R$3000,"Yes")</f>
        <v>0</v>
      </c>
      <c r="AW385" s="26" t="n">
        <f aca="false">SUMIFS(Permissions!$AM$2:$AM$3000,Permissions!$B$2:$B$3000,$A385,Permissions!$R$2:$R$3000,"Yes")</f>
        <v>0</v>
      </c>
      <c r="AX385" s="26" t="n">
        <f aca="false">SUMIFS(Permissions!$AN$2:$AN$3000,Permissions!$B$2:$B$3000,$A385,Permissions!$R$2:$R$3000,"Yes")</f>
        <v>0</v>
      </c>
      <c r="AY385" s="26" t="n">
        <f aca="false">SUMIFS(Permissions!$AO$2:$AO$3000,Permissions!$B$2:$B$3000,$A385,Permissions!$R$2:$R$3000,"Yes")</f>
        <v>0</v>
      </c>
      <c r="AZ385" s="24" t="n">
        <f aca="false">COUNTIFS(Permissions!$B$2:$B$3000,$A385,Permissions!$R$2:$R$3000,"Yes")</f>
        <v>0</v>
      </c>
      <c r="BA385" s="24" t="n">
        <f aca="false">SUMIFS(Permissions!$M$2:$M$3000,Permissions!$B$2:$B$3000,$A385,Permissions!$R$2:$R$3000,"Yes")</f>
        <v>0</v>
      </c>
      <c r="BB385" s="24" t="n">
        <f aca="false">SUMIFS(Permissions!$O$2:$O$3000,Permissions!$B$2:$B$3000,$A385,Permissions!$R$2:$R$3000,"Yes")</f>
        <v>0</v>
      </c>
      <c r="BC385" s="27" t="str">
        <f aca="false">IF(AND(AM385&gt;0,AR385&gt;=AM385,AP385=0),"Finished",IF(AR385&gt;0,"Partly built",IF(AM385&gt;0,"Consented – not built","No consent")))</f>
        <v>No consent</v>
      </c>
      <c r="BD385" s="28" t="str">
        <f aca="false">IF(AND(R385&lt;&gt;"",AM385&gt;1.1*R385),"Consented above capacity",IF(AND(LEFT(B385,8)="Planning",AZ385=0),"Consent parcel with no permission",IF(COUNTIF($A$2:$A$3000,$A385)&gt;1,"Duplicate parcel_id","")))</f>
        <v/>
      </c>
    </row>
    <row r="386" customFormat="false" ht="15" hidden="false" customHeight="false" outlineLevel="0" collapsed="false">
      <c r="A386" s="15" t="s">
        <v>876</v>
      </c>
      <c r="B386" s="15" t="s">
        <v>13</v>
      </c>
      <c r="C386" s="15" t="s">
        <v>17</v>
      </c>
      <c r="D386" s="15" t="s">
        <v>62</v>
      </c>
      <c r="E386" s="15" t="s">
        <v>20</v>
      </c>
      <c r="F386" s="15" t="n">
        <v>1</v>
      </c>
      <c r="G386" s="15" t="s">
        <v>158</v>
      </c>
      <c r="H386" s="15"/>
      <c r="I386" s="15" t="s">
        <v>17</v>
      </c>
      <c r="J386" s="15" t="s">
        <v>211</v>
      </c>
      <c r="K386" s="15" t="s">
        <v>877</v>
      </c>
      <c r="L386" s="15"/>
      <c r="M386" s="15" t="s">
        <v>349</v>
      </c>
      <c r="N386" s="15"/>
      <c r="O386" s="15"/>
      <c r="P386" s="15" t="n">
        <v>0.197</v>
      </c>
      <c r="Q386" s="15" t="n">
        <v>0.216</v>
      </c>
      <c r="R386" s="15" t="n">
        <v>5</v>
      </c>
      <c r="S386" s="15" t="s">
        <v>833</v>
      </c>
      <c r="T386" s="15" t="n">
        <v>5</v>
      </c>
      <c r="U386" s="15" t="s">
        <v>878</v>
      </c>
      <c r="V386" s="15" t="s">
        <v>835</v>
      </c>
      <c r="W386" s="15"/>
      <c r="X386" s="15" t="s">
        <v>353</v>
      </c>
      <c r="Y386" s="15" t="n">
        <v>25</v>
      </c>
      <c r="Z386" s="15" t="s">
        <v>845</v>
      </c>
      <c r="AA386" s="15" t="n">
        <v>1</v>
      </c>
      <c r="AB386" s="15" t="n">
        <v>0</v>
      </c>
      <c r="AC386" s="15" t="n">
        <v>0</v>
      </c>
      <c r="AD386" s="15"/>
      <c r="AE386" s="15"/>
      <c r="AF386" s="15" t="s">
        <v>169</v>
      </c>
      <c r="AG386" s="15"/>
      <c r="AH386" s="24" t="n">
        <f aca="false">IF(R386="",AM386,R386)</f>
        <v>5</v>
      </c>
      <c r="AI386" s="24" t="n">
        <f aca="false">SUMIFS(Permissions!$G$2:$G$3000,Permissions!$B$2:$B$3000,$A386,Permissions!$I$2:$I$3000,"Complete",Permissions!$R$2:$R$3000,"Yes")</f>
        <v>0</v>
      </c>
      <c r="AJ386" s="24" t="n">
        <f aca="false">SUMIFS(Permissions!$G$2:$G$3000,Permissions!$B$2:$B$3000,$A386,Permissions!$I$2:$I$3000,"Under construction",Permissions!$R$2:$R$3000,"Yes")</f>
        <v>0</v>
      </c>
      <c r="AK386" s="24" t="n">
        <f aca="false">SUMIFS(Permissions!$G$2:$G$3000,Permissions!$B$2:$B$3000,$A386,Permissions!$I$2:$I$3000,"Permitted – not started",Permissions!$R$2:$R$3000,"Yes")</f>
        <v>0</v>
      </c>
      <c r="AL386" s="24" t="n">
        <f aca="false">SUMIFS(Permissions!$G$2:$G$3000,Permissions!$B$2:$B$3000,$A386,Permissions!$I$2:$I$3000,"Stalled",Permissions!$R$2:$R$3000,"Yes")</f>
        <v>0</v>
      </c>
      <c r="AM386" s="24" t="n">
        <f aca="false">AI386+AJ386+AK386+AL386</f>
        <v>0</v>
      </c>
      <c r="AN386" s="24" t="n">
        <f aca="false">SUMIFS(Permissions!$G$2:$G$3000,Permissions!$B$2:$B$3000,$A386,Permissions!$I$2:$I$3000,"Expired – not started",Permissions!$R$2:$R$3000,"Yes")</f>
        <v>0</v>
      </c>
      <c r="AO386" s="24" t="n">
        <f aca="false">SUMIFS(Permissions!$G$2:$G$3000,Permissions!$B$2:$B$3000,$A386,Permissions!$I$2:$I$3000,"In planning",Permissions!$R$2:$R$3000,"Yes")</f>
        <v>0</v>
      </c>
      <c r="AP386" s="24" t="n">
        <f aca="false">IF(R386="",0,MAX(R386-AM386,0))</f>
        <v>5</v>
      </c>
      <c r="AQ386" s="25" t="n">
        <f aca="false">AM386+AP386</f>
        <v>5</v>
      </c>
      <c r="AR386" s="24" t="n">
        <f aca="false">SUMIFS(Permissions!$L$2:$L$3000,Permissions!$B$2:$B$3000,$A386,Permissions!$R$2:$R$3000,"Yes",Permissions!$I$2:$I$3000,"&lt;&gt;Expired – not started",Permissions!$I$2:$I$3000,"&lt;&gt;In planning")</f>
        <v>0</v>
      </c>
      <c r="AS386" s="24" t="n">
        <f aca="false">AQ386-AR386</f>
        <v>5</v>
      </c>
      <c r="AT386" s="26" t="n">
        <f aca="false">SUMIFS(Permissions!$AJ$2:$AJ$3000,Permissions!$B$2:$B$3000,$A386,Permissions!$R$2:$R$3000,"Yes")</f>
        <v>0</v>
      </c>
      <c r="AU386" s="26" t="n">
        <f aca="false">SUMIFS(Permissions!$AK$2:$AK$3000,Permissions!$B$2:$B$3000,$A386,Permissions!$R$2:$R$3000,"Yes")</f>
        <v>0</v>
      </c>
      <c r="AV386" s="26" t="n">
        <f aca="false">SUMIFS(Permissions!$AL$2:$AL$3000,Permissions!$B$2:$B$3000,$A386,Permissions!$R$2:$R$3000,"Yes")</f>
        <v>0</v>
      </c>
      <c r="AW386" s="26" t="n">
        <f aca="false">SUMIFS(Permissions!$AM$2:$AM$3000,Permissions!$B$2:$B$3000,$A386,Permissions!$R$2:$R$3000,"Yes")</f>
        <v>0</v>
      </c>
      <c r="AX386" s="26" t="n">
        <f aca="false">SUMIFS(Permissions!$AN$2:$AN$3000,Permissions!$B$2:$B$3000,$A386,Permissions!$R$2:$R$3000,"Yes")</f>
        <v>0</v>
      </c>
      <c r="AY386" s="26" t="n">
        <f aca="false">SUMIFS(Permissions!$AO$2:$AO$3000,Permissions!$B$2:$B$3000,$A386,Permissions!$R$2:$R$3000,"Yes")</f>
        <v>0</v>
      </c>
      <c r="AZ386" s="24" t="n">
        <f aca="false">COUNTIFS(Permissions!$B$2:$B$3000,$A386,Permissions!$R$2:$R$3000,"Yes")</f>
        <v>0</v>
      </c>
      <c r="BA386" s="24" t="n">
        <f aca="false">SUMIFS(Permissions!$M$2:$M$3000,Permissions!$B$2:$B$3000,$A386,Permissions!$R$2:$R$3000,"Yes")</f>
        <v>0</v>
      </c>
      <c r="BB386" s="24" t="n">
        <f aca="false">SUMIFS(Permissions!$O$2:$O$3000,Permissions!$B$2:$B$3000,$A386,Permissions!$R$2:$R$3000,"Yes")</f>
        <v>0</v>
      </c>
      <c r="BC386" s="27" t="str">
        <f aca="false">IF(AND(AM386&gt;0,AR386&gt;=AM386,AP386=0),"Finished",IF(AR386&gt;0,"Partly built",IF(AM386&gt;0,"Consented – not built","No consent")))</f>
        <v>No consent</v>
      </c>
      <c r="BD386" s="28" t="str">
        <f aca="false">IF(AND(R386&lt;&gt;"",AM386&gt;1.1*R386),"Consented above capacity",IF(AND(LEFT(B386,8)="Planning",AZ386=0),"Consent parcel with no permission",IF(COUNTIF($A$2:$A$3000,$A386)&gt;1,"Duplicate parcel_id","")))</f>
        <v/>
      </c>
    </row>
    <row r="387" customFormat="false" ht="15" hidden="false" customHeight="false" outlineLevel="0" collapsed="false">
      <c r="A387" s="15" t="s">
        <v>879</v>
      </c>
      <c r="B387" s="15" t="s">
        <v>13</v>
      </c>
      <c r="C387" s="15" t="s">
        <v>17</v>
      </c>
      <c r="D387" s="15" t="s">
        <v>62</v>
      </c>
      <c r="E387" s="15" t="s">
        <v>20</v>
      </c>
      <c r="F387" s="15" t="n">
        <v>0</v>
      </c>
      <c r="G387" s="15" t="s">
        <v>880</v>
      </c>
      <c r="H387" s="15"/>
      <c r="I387" s="15" t="s">
        <v>17</v>
      </c>
      <c r="J387" s="15" t="s">
        <v>211</v>
      </c>
      <c r="K387" s="15" t="s">
        <v>881</v>
      </c>
      <c r="L387" s="15"/>
      <c r="M387" s="15" t="s">
        <v>357</v>
      </c>
      <c r="N387" s="15"/>
      <c r="O387" s="15"/>
      <c r="P387" s="15" t="n">
        <v>1.504</v>
      </c>
      <c r="Q387" s="15" t="n">
        <v>1.653</v>
      </c>
      <c r="R387" s="15" t="n">
        <v>29</v>
      </c>
      <c r="S387" s="15" t="s">
        <v>833</v>
      </c>
      <c r="T387" s="15" t="n">
        <v>29</v>
      </c>
      <c r="U387" s="15" t="s">
        <v>878</v>
      </c>
      <c r="V387" s="15" t="s">
        <v>849</v>
      </c>
      <c r="W387" s="15"/>
      <c r="X387" s="15" t="s">
        <v>850</v>
      </c>
      <c r="Y387" s="15" t="n">
        <v>19</v>
      </c>
      <c r="Z387" s="15" t="s">
        <v>851</v>
      </c>
      <c r="AA387" s="15" t="n">
        <v>0</v>
      </c>
      <c r="AB387" s="15" t="n">
        <v>0</v>
      </c>
      <c r="AC387" s="15" t="n">
        <v>0</v>
      </c>
      <c r="AD387" s="15"/>
      <c r="AE387" s="15"/>
      <c r="AF387" s="15" t="s">
        <v>169</v>
      </c>
      <c r="AG387" s="15"/>
      <c r="AH387" s="24" t="n">
        <f aca="false">IF(R387="",AM387,R387)</f>
        <v>29</v>
      </c>
      <c r="AI387" s="24" t="n">
        <f aca="false">SUMIFS(Permissions!$G$2:$G$3000,Permissions!$B$2:$B$3000,$A387,Permissions!$I$2:$I$3000,"Complete",Permissions!$R$2:$R$3000,"Yes")</f>
        <v>0</v>
      </c>
      <c r="AJ387" s="24" t="n">
        <f aca="false">SUMIFS(Permissions!$G$2:$G$3000,Permissions!$B$2:$B$3000,$A387,Permissions!$I$2:$I$3000,"Under construction",Permissions!$R$2:$R$3000,"Yes")</f>
        <v>0</v>
      </c>
      <c r="AK387" s="24" t="n">
        <f aca="false">SUMIFS(Permissions!$G$2:$G$3000,Permissions!$B$2:$B$3000,$A387,Permissions!$I$2:$I$3000,"Permitted – not started",Permissions!$R$2:$R$3000,"Yes")</f>
        <v>0</v>
      </c>
      <c r="AL387" s="24" t="n">
        <f aca="false">SUMIFS(Permissions!$G$2:$G$3000,Permissions!$B$2:$B$3000,$A387,Permissions!$I$2:$I$3000,"Stalled",Permissions!$R$2:$R$3000,"Yes")</f>
        <v>0</v>
      </c>
      <c r="AM387" s="24" t="n">
        <f aca="false">AI387+AJ387+AK387+AL387</f>
        <v>0</v>
      </c>
      <c r="AN387" s="24" t="n">
        <f aca="false">SUMIFS(Permissions!$G$2:$G$3000,Permissions!$B$2:$B$3000,$A387,Permissions!$I$2:$I$3000,"Expired – not started",Permissions!$R$2:$R$3000,"Yes")</f>
        <v>0</v>
      </c>
      <c r="AO387" s="24" t="n">
        <f aca="false">SUMIFS(Permissions!$G$2:$G$3000,Permissions!$B$2:$B$3000,$A387,Permissions!$I$2:$I$3000,"In planning",Permissions!$R$2:$R$3000,"Yes")</f>
        <v>0</v>
      </c>
      <c r="AP387" s="24" t="n">
        <f aca="false">IF(R387="",0,MAX(R387-AM387,0))</f>
        <v>29</v>
      </c>
      <c r="AQ387" s="25" t="n">
        <f aca="false">AM387+AP387</f>
        <v>29</v>
      </c>
      <c r="AR387" s="24" t="n">
        <f aca="false">SUMIFS(Permissions!$L$2:$L$3000,Permissions!$B$2:$B$3000,$A387,Permissions!$R$2:$R$3000,"Yes",Permissions!$I$2:$I$3000,"&lt;&gt;Expired – not started",Permissions!$I$2:$I$3000,"&lt;&gt;In planning")</f>
        <v>0</v>
      </c>
      <c r="AS387" s="24" t="n">
        <f aca="false">AQ387-AR387</f>
        <v>29</v>
      </c>
      <c r="AT387" s="26" t="n">
        <f aca="false">SUMIFS(Permissions!$AJ$2:$AJ$3000,Permissions!$B$2:$B$3000,$A387,Permissions!$R$2:$R$3000,"Yes")</f>
        <v>0</v>
      </c>
      <c r="AU387" s="26" t="n">
        <f aca="false">SUMIFS(Permissions!$AK$2:$AK$3000,Permissions!$B$2:$B$3000,$A387,Permissions!$R$2:$R$3000,"Yes")</f>
        <v>0</v>
      </c>
      <c r="AV387" s="26" t="n">
        <f aca="false">SUMIFS(Permissions!$AL$2:$AL$3000,Permissions!$B$2:$B$3000,$A387,Permissions!$R$2:$R$3000,"Yes")</f>
        <v>0</v>
      </c>
      <c r="AW387" s="26" t="n">
        <f aca="false">SUMIFS(Permissions!$AM$2:$AM$3000,Permissions!$B$2:$B$3000,$A387,Permissions!$R$2:$R$3000,"Yes")</f>
        <v>0</v>
      </c>
      <c r="AX387" s="26" t="n">
        <f aca="false">SUMIFS(Permissions!$AN$2:$AN$3000,Permissions!$B$2:$B$3000,$A387,Permissions!$R$2:$R$3000,"Yes")</f>
        <v>0</v>
      </c>
      <c r="AY387" s="26" t="n">
        <f aca="false">SUMIFS(Permissions!$AO$2:$AO$3000,Permissions!$B$2:$B$3000,$A387,Permissions!$R$2:$R$3000,"Yes")</f>
        <v>0</v>
      </c>
      <c r="AZ387" s="24" t="n">
        <f aca="false">COUNTIFS(Permissions!$B$2:$B$3000,$A387,Permissions!$R$2:$R$3000,"Yes")</f>
        <v>0</v>
      </c>
      <c r="BA387" s="24" t="n">
        <f aca="false">SUMIFS(Permissions!$M$2:$M$3000,Permissions!$B$2:$B$3000,$A387,Permissions!$R$2:$R$3000,"Yes")</f>
        <v>0</v>
      </c>
      <c r="BB387" s="24" t="n">
        <f aca="false">SUMIFS(Permissions!$O$2:$O$3000,Permissions!$B$2:$B$3000,$A387,Permissions!$R$2:$R$3000,"Yes")</f>
        <v>0</v>
      </c>
      <c r="BC387" s="27" t="str">
        <f aca="false">IF(AND(AM387&gt;0,AR387&gt;=AM387,AP387=0),"Finished",IF(AR387&gt;0,"Partly built",IF(AM387&gt;0,"Consented – not built","No consent")))</f>
        <v>No consent</v>
      </c>
      <c r="BD387" s="28" t="str">
        <f aca="false">IF(AND(R387&lt;&gt;"",AM387&gt;1.1*R387),"Consented above capacity",IF(AND(LEFT(B387,8)="Planning",AZ387=0),"Consent parcel with no permission",IF(COUNTIF($A$2:$A$3000,$A387)&gt;1,"Duplicate parcel_id","")))</f>
        <v/>
      </c>
    </row>
    <row r="388" customFormat="false" ht="15" hidden="false" customHeight="false" outlineLevel="0" collapsed="false">
      <c r="A388" s="15" t="s">
        <v>882</v>
      </c>
      <c r="B388" s="15" t="s">
        <v>13</v>
      </c>
      <c r="C388" s="15" t="s">
        <v>17</v>
      </c>
      <c r="D388" s="15" t="s">
        <v>62</v>
      </c>
      <c r="E388" s="15" t="s">
        <v>20</v>
      </c>
      <c r="F388" s="15" t="n">
        <v>0</v>
      </c>
      <c r="G388" s="15" t="s">
        <v>880</v>
      </c>
      <c r="H388" s="15"/>
      <c r="I388" s="15" t="s">
        <v>17</v>
      </c>
      <c r="J388" s="15" t="s">
        <v>211</v>
      </c>
      <c r="K388" s="15" t="s">
        <v>877</v>
      </c>
      <c r="L388" s="15"/>
      <c r="M388" s="15" t="s">
        <v>349</v>
      </c>
      <c r="N388" s="15"/>
      <c r="O388" s="15"/>
      <c r="P388" s="15" t="n">
        <v>2.619</v>
      </c>
      <c r="Q388" s="15" t="n">
        <v>2.878</v>
      </c>
      <c r="R388" s="15" t="n">
        <v>65</v>
      </c>
      <c r="S388" s="15" t="s">
        <v>833</v>
      </c>
      <c r="T388" s="15" t="n">
        <v>65</v>
      </c>
      <c r="U388" s="15" t="s">
        <v>878</v>
      </c>
      <c r="V388" s="15" t="s">
        <v>835</v>
      </c>
      <c r="W388" s="15"/>
      <c r="X388" s="15" t="s">
        <v>353</v>
      </c>
      <c r="Y388" s="15" t="n">
        <v>25</v>
      </c>
      <c r="Z388" s="15" t="s">
        <v>845</v>
      </c>
      <c r="AA388" s="15" t="n">
        <v>0.81</v>
      </c>
      <c r="AB388" s="15" t="n">
        <v>0</v>
      </c>
      <c r="AC388" s="15" t="n">
        <v>0</v>
      </c>
      <c r="AD388" s="15"/>
      <c r="AE388" s="15"/>
      <c r="AF388" s="15" t="s">
        <v>169</v>
      </c>
      <c r="AG388" s="15"/>
      <c r="AH388" s="24" t="n">
        <f aca="false">IF(R388="",AM388,R388)</f>
        <v>65</v>
      </c>
      <c r="AI388" s="24" t="n">
        <f aca="false">SUMIFS(Permissions!$G$2:$G$3000,Permissions!$B$2:$B$3000,$A388,Permissions!$I$2:$I$3000,"Complete",Permissions!$R$2:$R$3000,"Yes")</f>
        <v>0</v>
      </c>
      <c r="AJ388" s="24" t="n">
        <f aca="false">SUMIFS(Permissions!$G$2:$G$3000,Permissions!$B$2:$B$3000,$A388,Permissions!$I$2:$I$3000,"Under construction",Permissions!$R$2:$R$3000,"Yes")</f>
        <v>0</v>
      </c>
      <c r="AK388" s="24" t="n">
        <f aca="false">SUMIFS(Permissions!$G$2:$G$3000,Permissions!$B$2:$B$3000,$A388,Permissions!$I$2:$I$3000,"Permitted – not started",Permissions!$R$2:$R$3000,"Yes")</f>
        <v>0</v>
      </c>
      <c r="AL388" s="24" t="n">
        <f aca="false">SUMIFS(Permissions!$G$2:$G$3000,Permissions!$B$2:$B$3000,$A388,Permissions!$I$2:$I$3000,"Stalled",Permissions!$R$2:$R$3000,"Yes")</f>
        <v>0</v>
      </c>
      <c r="AM388" s="24" t="n">
        <f aca="false">AI388+AJ388+AK388+AL388</f>
        <v>0</v>
      </c>
      <c r="AN388" s="24" t="n">
        <f aca="false">SUMIFS(Permissions!$G$2:$G$3000,Permissions!$B$2:$B$3000,$A388,Permissions!$I$2:$I$3000,"Expired – not started",Permissions!$R$2:$R$3000,"Yes")</f>
        <v>0</v>
      </c>
      <c r="AO388" s="24" t="n">
        <f aca="false">SUMIFS(Permissions!$G$2:$G$3000,Permissions!$B$2:$B$3000,$A388,Permissions!$I$2:$I$3000,"In planning",Permissions!$R$2:$R$3000,"Yes")</f>
        <v>0</v>
      </c>
      <c r="AP388" s="24" t="n">
        <f aca="false">IF(R388="",0,MAX(R388-AM388,0))</f>
        <v>65</v>
      </c>
      <c r="AQ388" s="25" t="n">
        <f aca="false">AM388+AP388</f>
        <v>65</v>
      </c>
      <c r="AR388" s="24" t="n">
        <f aca="false">SUMIFS(Permissions!$L$2:$L$3000,Permissions!$B$2:$B$3000,$A388,Permissions!$R$2:$R$3000,"Yes",Permissions!$I$2:$I$3000,"&lt;&gt;Expired – not started",Permissions!$I$2:$I$3000,"&lt;&gt;In planning")</f>
        <v>0</v>
      </c>
      <c r="AS388" s="24" t="n">
        <f aca="false">AQ388-AR388</f>
        <v>65</v>
      </c>
      <c r="AT388" s="26" t="n">
        <f aca="false">SUMIFS(Permissions!$AJ$2:$AJ$3000,Permissions!$B$2:$B$3000,$A388,Permissions!$R$2:$R$3000,"Yes")</f>
        <v>0</v>
      </c>
      <c r="AU388" s="26" t="n">
        <f aca="false">SUMIFS(Permissions!$AK$2:$AK$3000,Permissions!$B$2:$B$3000,$A388,Permissions!$R$2:$R$3000,"Yes")</f>
        <v>0</v>
      </c>
      <c r="AV388" s="26" t="n">
        <f aca="false">SUMIFS(Permissions!$AL$2:$AL$3000,Permissions!$B$2:$B$3000,$A388,Permissions!$R$2:$R$3000,"Yes")</f>
        <v>0</v>
      </c>
      <c r="AW388" s="26" t="n">
        <f aca="false">SUMIFS(Permissions!$AM$2:$AM$3000,Permissions!$B$2:$B$3000,$A388,Permissions!$R$2:$R$3000,"Yes")</f>
        <v>0</v>
      </c>
      <c r="AX388" s="26" t="n">
        <f aca="false">SUMIFS(Permissions!$AN$2:$AN$3000,Permissions!$B$2:$B$3000,$A388,Permissions!$R$2:$R$3000,"Yes")</f>
        <v>0</v>
      </c>
      <c r="AY388" s="26" t="n">
        <f aca="false">SUMIFS(Permissions!$AO$2:$AO$3000,Permissions!$B$2:$B$3000,$A388,Permissions!$R$2:$R$3000,"Yes")</f>
        <v>0</v>
      </c>
      <c r="AZ388" s="24" t="n">
        <f aca="false">COUNTIFS(Permissions!$B$2:$B$3000,$A388,Permissions!$R$2:$R$3000,"Yes")</f>
        <v>0</v>
      </c>
      <c r="BA388" s="24" t="n">
        <f aca="false">SUMIFS(Permissions!$M$2:$M$3000,Permissions!$B$2:$B$3000,$A388,Permissions!$R$2:$R$3000,"Yes")</f>
        <v>0</v>
      </c>
      <c r="BB388" s="24" t="n">
        <f aca="false">SUMIFS(Permissions!$O$2:$O$3000,Permissions!$B$2:$B$3000,$A388,Permissions!$R$2:$R$3000,"Yes")</f>
        <v>0</v>
      </c>
      <c r="BC388" s="27" t="str">
        <f aca="false">IF(AND(AM388&gt;0,AR388&gt;=AM388,AP388=0),"Finished",IF(AR388&gt;0,"Partly built",IF(AM388&gt;0,"Consented – not built","No consent")))</f>
        <v>No consent</v>
      </c>
      <c r="BD388" s="28" t="str">
        <f aca="false">IF(AND(R388&lt;&gt;"",AM388&gt;1.1*R388),"Consented above capacity",IF(AND(LEFT(B388,8)="Planning",AZ388=0),"Consent parcel with no permission",IF(COUNTIF($A$2:$A$3000,$A388)&gt;1,"Duplicate parcel_id","")))</f>
        <v/>
      </c>
    </row>
    <row r="389" customFormat="false" ht="15" hidden="false" customHeight="false" outlineLevel="0" collapsed="false">
      <c r="A389" s="15" t="s">
        <v>883</v>
      </c>
      <c r="B389" s="15" t="s">
        <v>13</v>
      </c>
      <c r="C389" s="15" t="s">
        <v>17</v>
      </c>
      <c r="D389" s="15" t="s">
        <v>62</v>
      </c>
      <c r="E389" s="15" t="s">
        <v>20</v>
      </c>
      <c r="F389" s="15" t="n">
        <v>0</v>
      </c>
      <c r="G389" s="15" t="s">
        <v>880</v>
      </c>
      <c r="H389" s="15"/>
      <c r="I389" s="15" t="s">
        <v>17</v>
      </c>
      <c r="J389" s="15" t="s">
        <v>211</v>
      </c>
      <c r="K389" s="15" t="s">
        <v>877</v>
      </c>
      <c r="L389" s="15"/>
      <c r="M389" s="15" t="s">
        <v>349</v>
      </c>
      <c r="N389" s="15"/>
      <c r="O389" s="15"/>
      <c r="P389" s="15" t="n">
        <v>0.868</v>
      </c>
      <c r="Q389" s="15" t="n">
        <v>0.954</v>
      </c>
      <c r="R389" s="15" t="n">
        <v>22</v>
      </c>
      <c r="S389" s="15" t="s">
        <v>833</v>
      </c>
      <c r="T389" s="15" t="n">
        <v>22</v>
      </c>
      <c r="U389" s="15" t="s">
        <v>878</v>
      </c>
      <c r="V389" s="15" t="s">
        <v>835</v>
      </c>
      <c r="W389" s="15"/>
      <c r="X389" s="15" t="s">
        <v>353</v>
      </c>
      <c r="Y389" s="15" t="n">
        <v>25</v>
      </c>
      <c r="Z389" s="15" t="s">
        <v>845</v>
      </c>
      <c r="AA389" s="15" t="n">
        <v>0</v>
      </c>
      <c r="AB389" s="15" t="n">
        <v>0</v>
      </c>
      <c r="AC389" s="15" t="n">
        <v>0</v>
      </c>
      <c r="AD389" s="15"/>
      <c r="AE389" s="15"/>
      <c r="AF389" s="15" t="s">
        <v>169</v>
      </c>
      <c r="AG389" s="15"/>
      <c r="AH389" s="24" t="n">
        <f aca="false">IF(R389="",AM389,R389)</f>
        <v>22</v>
      </c>
      <c r="AI389" s="24" t="n">
        <f aca="false">SUMIFS(Permissions!$G$2:$G$3000,Permissions!$B$2:$B$3000,$A389,Permissions!$I$2:$I$3000,"Complete",Permissions!$R$2:$R$3000,"Yes")</f>
        <v>0</v>
      </c>
      <c r="AJ389" s="24" t="n">
        <f aca="false">SUMIFS(Permissions!$G$2:$G$3000,Permissions!$B$2:$B$3000,$A389,Permissions!$I$2:$I$3000,"Under construction",Permissions!$R$2:$R$3000,"Yes")</f>
        <v>0</v>
      </c>
      <c r="AK389" s="24" t="n">
        <f aca="false">SUMIFS(Permissions!$G$2:$G$3000,Permissions!$B$2:$B$3000,$A389,Permissions!$I$2:$I$3000,"Permitted – not started",Permissions!$R$2:$R$3000,"Yes")</f>
        <v>0</v>
      </c>
      <c r="AL389" s="24" t="n">
        <f aca="false">SUMIFS(Permissions!$G$2:$G$3000,Permissions!$B$2:$B$3000,$A389,Permissions!$I$2:$I$3000,"Stalled",Permissions!$R$2:$R$3000,"Yes")</f>
        <v>0</v>
      </c>
      <c r="AM389" s="24" t="n">
        <f aca="false">AI389+AJ389+AK389+AL389</f>
        <v>0</v>
      </c>
      <c r="AN389" s="24" t="n">
        <f aca="false">SUMIFS(Permissions!$G$2:$G$3000,Permissions!$B$2:$B$3000,$A389,Permissions!$I$2:$I$3000,"Expired – not started",Permissions!$R$2:$R$3000,"Yes")</f>
        <v>0</v>
      </c>
      <c r="AO389" s="24" t="n">
        <f aca="false">SUMIFS(Permissions!$G$2:$G$3000,Permissions!$B$2:$B$3000,$A389,Permissions!$I$2:$I$3000,"In planning",Permissions!$R$2:$R$3000,"Yes")</f>
        <v>0</v>
      </c>
      <c r="AP389" s="24" t="n">
        <f aca="false">IF(R389="",0,MAX(R389-AM389,0))</f>
        <v>22</v>
      </c>
      <c r="AQ389" s="25" t="n">
        <f aca="false">AM389+AP389</f>
        <v>22</v>
      </c>
      <c r="AR389" s="24" t="n">
        <f aca="false">SUMIFS(Permissions!$L$2:$L$3000,Permissions!$B$2:$B$3000,$A389,Permissions!$R$2:$R$3000,"Yes",Permissions!$I$2:$I$3000,"&lt;&gt;Expired – not started",Permissions!$I$2:$I$3000,"&lt;&gt;In planning")</f>
        <v>0</v>
      </c>
      <c r="AS389" s="24" t="n">
        <f aca="false">AQ389-AR389</f>
        <v>22</v>
      </c>
      <c r="AT389" s="26" t="n">
        <f aca="false">SUMIFS(Permissions!$AJ$2:$AJ$3000,Permissions!$B$2:$B$3000,$A389,Permissions!$R$2:$R$3000,"Yes")</f>
        <v>0</v>
      </c>
      <c r="AU389" s="26" t="n">
        <f aca="false">SUMIFS(Permissions!$AK$2:$AK$3000,Permissions!$B$2:$B$3000,$A389,Permissions!$R$2:$R$3000,"Yes")</f>
        <v>0</v>
      </c>
      <c r="AV389" s="26" t="n">
        <f aca="false">SUMIFS(Permissions!$AL$2:$AL$3000,Permissions!$B$2:$B$3000,$A389,Permissions!$R$2:$R$3000,"Yes")</f>
        <v>0</v>
      </c>
      <c r="AW389" s="26" t="n">
        <f aca="false">SUMIFS(Permissions!$AM$2:$AM$3000,Permissions!$B$2:$B$3000,$A389,Permissions!$R$2:$R$3000,"Yes")</f>
        <v>0</v>
      </c>
      <c r="AX389" s="26" t="n">
        <f aca="false">SUMIFS(Permissions!$AN$2:$AN$3000,Permissions!$B$2:$B$3000,$A389,Permissions!$R$2:$R$3000,"Yes")</f>
        <v>0</v>
      </c>
      <c r="AY389" s="26" t="n">
        <f aca="false">SUMIFS(Permissions!$AO$2:$AO$3000,Permissions!$B$2:$B$3000,$A389,Permissions!$R$2:$R$3000,"Yes")</f>
        <v>0</v>
      </c>
      <c r="AZ389" s="24" t="n">
        <f aca="false">COUNTIFS(Permissions!$B$2:$B$3000,$A389,Permissions!$R$2:$R$3000,"Yes")</f>
        <v>0</v>
      </c>
      <c r="BA389" s="24" t="n">
        <f aca="false">SUMIFS(Permissions!$M$2:$M$3000,Permissions!$B$2:$B$3000,$A389,Permissions!$R$2:$R$3000,"Yes")</f>
        <v>0</v>
      </c>
      <c r="BB389" s="24" t="n">
        <f aca="false">SUMIFS(Permissions!$O$2:$O$3000,Permissions!$B$2:$B$3000,$A389,Permissions!$R$2:$R$3000,"Yes")</f>
        <v>0</v>
      </c>
      <c r="BC389" s="27" t="str">
        <f aca="false">IF(AND(AM389&gt;0,AR389&gt;=AM389,AP389=0),"Finished",IF(AR389&gt;0,"Partly built",IF(AM389&gt;0,"Consented – not built","No consent")))</f>
        <v>No consent</v>
      </c>
      <c r="BD389" s="28" t="str">
        <f aca="false">IF(AND(R389&lt;&gt;"",AM389&gt;1.1*R389),"Consented above capacity",IF(AND(LEFT(B389,8)="Planning",AZ389=0),"Consent parcel with no permission",IF(COUNTIF($A$2:$A$3000,$A389)&gt;1,"Duplicate parcel_id","")))</f>
        <v/>
      </c>
    </row>
    <row r="390" customFormat="false" ht="15" hidden="false" customHeight="false" outlineLevel="0" collapsed="false">
      <c r="A390" s="15" t="s">
        <v>884</v>
      </c>
      <c r="B390" s="15" t="s">
        <v>13</v>
      </c>
      <c r="C390" s="15" t="s">
        <v>17</v>
      </c>
      <c r="D390" s="15" t="s">
        <v>62</v>
      </c>
      <c r="E390" s="15" t="s">
        <v>20</v>
      </c>
      <c r="F390" s="15" t="n">
        <v>1</v>
      </c>
      <c r="G390" s="15" t="s">
        <v>158</v>
      </c>
      <c r="H390" s="15"/>
      <c r="I390" s="15" t="s">
        <v>17</v>
      </c>
      <c r="J390" s="15" t="s">
        <v>211</v>
      </c>
      <c r="K390" s="15" t="s">
        <v>877</v>
      </c>
      <c r="L390" s="15"/>
      <c r="M390" s="15" t="s">
        <v>349</v>
      </c>
      <c r="N390" s="15"/>
      <c r="O390" s="15"/>
      <c r="P390" s="15" t="n">
        <v>0.509</v>
      </c>
      <c r="Q390" s="15" t="n">
        <v>0.559</v>
      </c>
      <c r="R390" s="15" t="n">
        <v>13</v>
      </c>
      <c r="S390" s="15" t="s">
        <v>833</v>
      </c>
      <c r="T390" s="15" t="n">
        <v>13</v>
      </c>
      <c r="U390" s="15" t="s">
        <v>878</v>
      </c>
      <c r="V390" s="15" t="s">
        <v>835</v>
      </c>
      <c r="W390" s="15"/>
      <c r="X390" s="15" t="s">
        <v>353</v>
      </c>
      <c r="Y390" s="15" t="n">
        <v>25</v>
      </c>
      <c r="Z390" s="15" t="s">
        <v>845</v>
      </c>
      <c r="AA390" s="15" t="n">
        <v>1</v>
      </c>
      <c r="AB390" s="15" t="n">
        <v>0</v>
      </c>
      <c r="AC390" s="15" t="n">
        <v>0</v>
      </c>
      <c r="AD390" s="15"/>
      <c r="AE390" s="15"/>
      <c r="AF390" s="15" t="s">
        <v>169</v>
      </c>
      <c r="AG390" s="15"/>
      <c r="AH390" s="24" t="n">
        <f aca="false">IF(R390="",AM390,R390)</f>
        <v>13</v>
      </c>
      <c r="AI390" s="24" t="n">
        <f aca="false">SUMIFS(Permissions!$G$2:$G$3000,Permissions!$B$2:$B$3000,$A390,Permissions!$I$2:$I$3000,"Complete",Permissions!$R$2:$R$3000,"Yes")</f>
        <v>0</v>
      </c>
      <c r="AJ390" s="24" t="n">
        <f aca="false">SUMIFS(Permissions!$G$2:$G$3000,Permissions!$B$2:$B$3000,$A390,Permissions!$I$2:$I$3000,"Under construction",Permissions!$R$2:$R$3000,"Yes")</f>
        <v>0</v>
      </c>
      <c r="AK390" s="24" t="n">
        <f aca="false">SUMIFS(Permissions!$G$2:$G$3000,Permissions!$B$2:$B$3000,$A390,Permissions!$I$2:$I$3000,"Permitted – not started",Permissions!$R$2:$R$3000,"Yes")</f>
        <v>0</v>
      </c>
      <c r="AL390" s="24" t="n">
        <f aca="false">SUMIFS(Permissions!$G$2:$G$3000,Permissions!$B$2:$B$3000,$A390,Permissions!$I$2:$I$3000,"Stalled",Permissions!$R$2:$R$3000,"Yes")</f>
        <v>0</v>
      </c>
      <c r="AM390" s="24" t="n">
        <f aca="false">AI390+AJ390+AK390+AL390</f>
        <v>0</v>
      </c>
      <c r="AN390" s="24" t="n">
        <f aca="false">SUMIFS(Permissions!$G$2:$G$3000,Permissions!$B$2:$B$3000,$A390,Permissions!$I$2:$I$3000,"Expired – not started",Permissions!$R$2:$R$3000,"Yes")</f>
        <v>0</v>
      </c>
      <c r="AO390" s="24" t="n">
        <f aca="false">SUMIFS(Permissions!$G$2:$G$3000,Permissions!$B$2:$B$3000,$A390,Permissions!$I$2:$I$3000,"In planning",Permissions!$R$2:$R$3000,"Yes")</f>
        <v>0</v>
      </c>
      <c r="AP390" s="24" t="n">
        <f aca="false">IF(R390="",0,MAX(R390-AM390,0))</f>
        <v>13</v>
      </c>
      <c r="AQ390" s="25" t="n">
        <f aca="false">AM390+AP390</f>
        <v>13</v>
      </c>
      <c r="AR390" s="24" t="n">
        <f aca="false">SUMIFS(Permissions!$L$2:$L$3000,Permissions!$B$2:$B$3000,$A390,Permissions!$R$2:$R$3000,"Yes",Permissions!$I$2:$I$3000,"&lt;&gt;Expired – not started",Permissions!$I$2:$I$3000,"&lt;&gt;In planning")</f>
        <v>0</v>
      </c>
      <c r="AS390" s="24" t="n">
        <f aca="false">AQ390-AR390</f>
        <v>13</v>
      </c>
      <c r="AT390" s="26" t="n">
        <f aca="false">SUMIFS(Permissions!$AJ$2:$AJ$3000,Permissions!$B$2:$B$3000,$A390,Permissions!$R$2:$R$3000,"Yes")</f>
        <v>0</v>
      </c>
      <c r="AU390" s="26" t="n">
        <f aca="false">SUMIFS(Permissions!$AK$2:$AK$3000,Permissions!$B$2:$B$3000,$A390,Permissions!$R$2:$R$3000,"Yes")</f>
        <v>0</v>
      </c>
      <c r="AV390" s="26" t="n">
        <f aca="false">SUMIFS(Permissions!$AL$2:$AL$3000,Permissions!$B$2:$B$3000,$A390,Permissions!$R$2:$R$3000,"Yes")</f>
        <v>0</v>
      </c>
      <c r="AW390" s="26" t="n">
        <f aca="false">SUMIFS(Permissions!$AM$2:$AM$3000,Permissions!$B$2:$B$3000,$A390,Permissions!$R$2:$R$3000,"Yes")</f>
        <v>0</v>
      </c>
      <c r="AX390" s="26" t="n">
        <f aca="false">SUMIFS(Permissions!$AN$2:$AN$3000,Permissions!$B$2:$B$3000,$A390,Permissions!$R$2:$R$3000,"Yes")</f>
        <v>0</v>
      </c>
      <c r="AY390" s="26" t="n">
        <f aca="false">SUMIFS(Permissions!$AO$2:$AO$3000,Permissions!$B$2:$B$3000,$A390,Permissions!$R$2:$R$3000,"Yes")</f>
        <v>0</v>
      </c>
      <c r="AZ390" s="24" t="n">
        <f aca="false">COUNTIFS(Permissions!$B$2:$B$3000,$A390,Permissions!$R$2:$R$3000,"Yes")</f>
        <v>0</v>
      </c>
      <c r="BA390" s="24" t="n">
        <f aca="false">SUMIFS(Permissions!$M$2:$M$3000,Permissions!$B$2:$B$3000,$A390,Permissions!$R$2:$R$3000,"Yes")</f>
        <v>0</v>
      </c>
      <c r="BB390" s="24" t="n">
        <f aca="false">SUMIFS(Permissions!$O$2:$O$3000,Permissions!$B$2:$B$3000,$A390,Permissions!$R$2:$R$3000,"Yes")</f>
        <v>0</v>
      </c>
      <c r="BC390" s="27" t="str">
        <f aca="false">IF(AND(AM390&gt;0,AR390&gt;=AM390,AP390=0),"Finished",IF(AR390&gt;0,"Partly built",IF(AM390&gt;0,"Consented – not built","No consent")))</f>
        <v>No consent</v>
      </c>
      <c r="BD390" s="28" t="str">
        <f aca="false">IF(AND(R390&lt;&gt;"",AM390&gt;1.1*R390),"Consented above capacity",IF(AND(LEFT(B390,8)="Planning",AZ390=0),"Consent parcel with no permission",IF(COUNTIF($A$2:$A$3000,$A390)&gt;1,"Duplicate parcel_id","")))</f>
        <v/>
      </c>
    </row>
    <row r="391" customFormat="false" ht="15" hidden="false" customHeight="false" outlineLevel="0" collapsed="false">
      <c r="A391" s="15" t="s">
        <v>885</v>
      </c>
      <c r="B391" s="15" t="s">
        <v>13</v>
      </c>
      <c r="C391" s="15" t="s">
        <v>17</v>
      </c>
      <c r="D391" s="15" t="s">
        <v>62</v>
      </c>
      <c r="E391" s="15" t="s">
        <v>20</v>
      </c>
      <c r="F391" s="15" t="n">
        <v>1</v>
      </c>
      <c r="G391" s="15" t="s">
        <v>158</v>
      </c>
      <c r="H391" s="15"/>
      <c r="I391" s="15" t="s">
        <v>17</v>
      </c>
      <c r="J391" s="15" t="s">
        <v>211</v>
      </c>
      <c r="K391" s="15" t="s">
        <v>877</v>
      </c>
      <c r="L391" s="15"/>
      <c r="M391" s="15" t="s">
        <v>349</v>
      </c>
      <c r="N391" s="15"/>
      <c r="O391" s="15"/>
      <c r="P391" s="15" t="n">
        <v>0.517</v>
      </c>
      <c r="Q391" s="15" t="n">
        <v>0.568</v>
      </c>
      <c r="R391" s="15" t="n">
        <v>13</v>
      </c>
      <c r="S391" s="15" t="s">
        <v>833</v>
      </c>
      <c r="T391" s="15" t="n">
        <v>13</v>
      </c>
      <c r="U391" s="15" t="s">
        <v>878</v>
      </c>
      <c r="V391" s="15" t="s">
        <v>835</v>
      </c>
      <c r="W391" s="15"/>
      <c r="X391" s="15" t="s">
        <v>353</v>
      </c>
      <c r="Y391" s="15" t="n">
        <v>25</v>
      </c>
      <c r="Z391" s="15" t="s">
        <v>845</v>
      </c>
      <c r="AA391" s="15" t="n">
        <v>1</v>
      </c>
      <c r="AB391" s="15" t="n">
        <v>0</v>
      </c>
      <c r="AC391" s="15" t="n">
        <v>0</v>
      </c>
      <c r="AD391" s="15"/>
      <c r="AE391" s="15"/>
      <c r="AF391" s="15" t="s">
        <v>169</v>
      </c>
      <c r="AG391" s="15"/>
      <c r="AH391" s="24" t="n">
        <f aca="false">IF(R391="",AM391,R391)</f>
        <v>13</v>
      </c>
      <c r="AI391" s="24" t="n">
        <f aca="false">SUMIFS(Permissions!$G$2:$G$3000,Permissions!$B$2:$B$3000,$A391,Permissions!$I$2:$I$3000,"Complete",Permissions!$R$2:$R$3000,"Yes")</f>
        <v>0</v>
      </c>
      <c r="AJ391" s="24" t="n">
        <f aca="false">SUMIFS(Permissions!$G$2:$G$3000,Permissions!$B$2:$B$3000,$A391,Permissions!$I$2:$I$3000,"Under construction",Permissions!$R$2:$R$3000,"Yes")</f>
        <v>0</v>
      </c>
      <c r="AK391" s="24" t="n">
        <f aca="false">SUMIFS(Permissions!$G$2:$G$3000,Permissions!$B$2:$B$3000,$A391,Permissions!$I$2:$I$3000,"Permitted – not started",Permissions!$R$2:$R$3000,"Yes")</f>
        <v>0</v>
      </c>
      <c r="AL391" s="24" t="n">
        <f aca="false">SUMIFS(Permissions!$G$2:$G$3000,Permissions!$B$2:$B$3000,$A391,Permissions!$I$2:$I$3000,"Stalled",Permissions!$R$2:$R$3000,"Yes")</f>
        <v>0</v>
      </c>
      <c r="AM391" s="24" t="n">
        <f aca="false">AI391+AJ391+AK391+AL391</f>
        <v>0</v>
      </c>
      <c r="AN391" s="24" t="n">
        <f aca="false">SUMIFS(Permissions!$G$2:$G$3000,Permissions!$B$2:$B$3000,$A391,Permissions!$I$2:$I$3000,"Expired – not started",Permissions!$R$2:$R$3000,"Yes")</f>
        <v>0</v>
      </c>
      <c r="AO391" s="24" t="n">
        <f aca="false">SUMIFS(Permissions!$G$2:$G$3000,Permissions!$B$2:$B$3000,$A391,Permissions!$I$2:$I$3000,"In planning",Permissions!$R$2:$R$3000,"Yes")</f>
        <v>0</v>
      </c>
      <c r="AP391" s="24" t="n">
        <f aca="false">IF(R391="",0,MAX(R391-AM391,0))</f>
        <v>13</v>
      </c>
      <c r="AQ391" s="25" t="n">
        <f aca="false">AM391+AP391</f>
        <v>13</v>
      </c>
      <c r="AR391" s="24" t="n">
        <f aca="false">SUMIFS(Permissions!$L$2:$L$3000,Permissions!$B$2:$B$3000,$A391,Permissions!$R$2:$R$3000,"Yes",Permissions!$I$2:$I$3000,"&lt;&gt;Expired – not started",Permissions!$I$2:$I$3000,"&lt;&gt;In planning")</f>
        <v>0</v>
      </c>
      <c r="AS391" s="24" t="n">
        <f aca="false">AQ391-AR391</f>
        <v>13</v>
      </c>
      <c r="AT391" s="26" t="n">
        <f aca="false">SUMIFS(Permissions!$AJ$2:$AJ$3000,Permissions!$B$2:$B$3000,$A391,Permissions!$R$2:$R$3000,"Yes")</f>
        <v>0</v>
      </c>
      <c r="AU391" s="26" t="n">
        <f aca="false">SUMIFS(Permissions!$AK$2:$AK$3000,Permissions!$B$2:$B$3000,$A391,Permissions!$R$2:$R$3000,"Yes")</f>
        <v>0</v>
      </c>
      <c r="AV391" s="26" t="n">
        <f aca="false">SUMIFS(Permissions!$AL$2:$AL$3000,Permissions!$B$2:$B$3000,$A391,Permissions!$R$2:$R$3000,"Yes")</f>
        <v>0</v>
      </c>
      <c r="AW391" s="26" t="n">
        <f aca="false">SUMIFS(Permissions!$AM$2:$AM$3000,Permissions!$B$2:$B$3000,$A391,Permissions!$R$2:$R$3000,"Yes")</f>
        <v>0</v>
      </c>
      <c r="AX391" s="26" t="n">
        <f aca="false">SUMIFS(Permissions!$AN$2:$AN$3000,Permissions!$B$2:$B$3000,$A391,Permissions!$R$2:$R$3000,"Yes")</f>
        <v>0</v>
      </c>
      <c r="AY391" s="26" t="n">
        <f aca="false">SUMIFS(Permissions!$AO$2:$AO$3000,Permissions!$B$2:$B$3000,$A391,Permissions!$R$2:$R$3000,"Yes")</f>
        <v>0</v>
      </c>
      <c r="AZ391" s="24" t="n">
        <f aca="false">COUNTIFS(Permissions!$B$2:$B$3000,$A391,Permissions!$R$2:$R$3000,"Yes")</f>
        <v>0</v>
      </c>
      <c r="BA391" s="24" t="n">
        <f aca="false">SUMIFS(Permissions!$M$2:$M$3000,Permissions!$B$2:$B$3000,$A391,Permissions!$R$2:$R$3000,"Yes")</f>
        <v>0</v>
      </c>
      <c r="BB391" s="24" t="n">
        <f aca="false">SUMIFS(Permissions!$O$2:$O$3000,Permissions!$B$2:$B$3000,$A391,Permissions!$R$2:$R$3000,"Yes")</f>
        <v>0</v>
      </c>
      <c r="BC391" s="27" t="str">
        <f aca="false">IF(AND(AM391&gt;0,AR391&gt;=AM391,AP391=0),"Finished",IF(AR391&gt;0,"Partly built",IF(AM391&gt;0,"Consented – not built","No consent")))</f>
        <v>No consent</v>
      </c>
      <c r="BD391" s="28" t="str">
        <f aca="false">IF(AND(R391&lt;&gt;"",AM391&gt;1.1*R391),"Consented above capacity",IF(AND(LEFT(B391,8)="Planning",AZ391=0),"Consent parcel with no permission",IF(COUNTIF($A$2:$A$3000,$A391)&gt;1,"Duplicate parcel_id","")))</f>
        <v/>
      </c>
    </row>
    <row r="392" customFormat="false" ht="15" hidden="false" customHeight="false" outlineLevel="0" collapsed="false">
      <c r="A392" s="15" t="s">
        <v>886</v>
      </c>
      <c r="B392" s="15" t="s">
        <v>13</v>
      </c>
      <c r="C392" s="15" t="s">
        <v>17</v>
      </c>
      <c r="D392" s="15" t="s">
        <v>62</v>
      </c>
      <c r="E392" s="15" t="s">
        <v>20</v>
      </c>
      <c r="F392" s="15" t="n">
        <v>1</v>
      </c>
      <c r="G392" s="15" t="s">
        <v>158</v>
      </c>
      <c r="H392" s="15"/>
      <c r="I392" s="15" t="s">
        <v>17</v>
      </c>
      <c r="J392" s="15" t="s">
        <v>211</v>
      </c>
      <c r="K392" s="15" t="s">
        <v>881</v>
      </c>
      <c r="L392" s="15"/>
      <c r="M392" s="15" t="s">
        <v>357</v>
      </c>
      <c r="N392" s="15"/>
      <c r="O392" s="15"/>
      <c r="P392" s="15" t="n">
        <v>0.976</v>
      </c>
      <c r="Q392" s="15" t="n">
        <v>1.072</v>
      </c>
      <c r="R392" s="15" t="n">
        <v>19</v>
      </c>
      <c r="S392" s="15" t="s">
        <v>833</v>
      </c>
      <c r="T392" s="15" t="n">
        <v>19</v>
      </c>
      <c r="U392" s="15" t="s">
        <v>878</v>
      </c>
      <c r="V392" s="15" t="s">
        <v>849</v>
      </c>
      <c r="W392" s="15"/>
      <c r="X392" s="15" t="s">
        <v>850</v>
      </c>
      <c r="Y392" s="15" t="n">
        <v>19</v>
      </c>
      <c r="Z392" s="15" t="s">
        <v>851</v>
      </c>
      <c r="AA392" s="15" t="n">
        <v>1</v>
      </c>
      <c r="AB392" s="15" t="n">
        <v>0</v>
      </c>
      <c r="AC392" s="15" t="n">
        <v>0</v>
      </c>
      <c r="AD392" s="15"/>
      <c r="AE392" s="15"/>
      <c r="AF392" s="15" t="s">
        <v>169</v>
      </c>
      <c r="AG392" s="15"/>
      <c r="AH392" s="24" t="n">
        <f aca="false">IF(R392="",AM392,R392)</f>
        <v>19</v>
      </c>
      <c r="AI392" s="24" t="n">
        <f aca="false">SUMIFS(Permissions!$G$2:$G$3000,Permissions!$B$2:$B$3000,$A392,Permissions!$I$2:$I$3000,"Complete",Permissions!$R$2:$R$3000,"Yes")</f>
        <v>0</v>
      </c>
      <c r="AJ392" s="24" t="n">
        <f aca="false">SUMIFS(Permissions!$G$2:$G$3000,Permissions!$B$2:$B$3000,$A392,Permissions!$I$2:$I$3000,"Under construction",Permissions!$R$2:$R$3000,"Yes")</f>
        <v>0</v>
      </c>
      <c r="AK392" s="24" t="n">
        <f aca="false">SUMIFS(Permissions!$G$2:$G$3000,Permissions!$B$2:$B$3000,$A392,Permissions!$I$2:$I$3000,"Permitted – not started",Permissions!$R$2:$R$3000,"Yes")</f>
        <v>0</v>
      </c>
      <c r="AL392" s="24" t="n">
        <f aca="false">SUMIFS(Permissions!$G$2:$G$3000,Permissions!$B$2:$B$3000,$A392,Permissions!$I$2:$I$3000,"Stalled",Permissions!$R$2:$R$3000,"Yes")</f>
        <v>0</v>
      </c>
      <c r="AM392" s="24" t="n">
        <f aca="false">AI392+AJ392+AK392+AL392</f>
        <v>0</v>
      </c>
      <c r="AN392" s="24" t="n">
        <f aca="false">SUMIFS(Permissions!$G$2:$G$3000,Permissions!$B$2:$B$3000,$A392,Permissions!$I$2:$I$3000,"Expired – not started",Permissions!$R$2:$R$3000,"Yes")</f>
        <v>0</v>
      </c>
      <c r="AO392" s="24" t="n">
        <f aca="false">SUMIFS(Permissions!$G$2:$G$3000,Permissions!$B$2:$B$3000,$A392,Permissions!$I$2:$I$3000,"In planning",Permissions!$R$2:$R$3000,"Yes")</f>
        <v>0</v>
      </c>
      <c r="AP392" s="24" t="n">
        <f aca="false">IF(R392="",0,MAX(R392-AM392,0))</f>
        <v>19</v>
      </c>
      <c r="AQ392" s="25" t="n">
        <f aca="false">AM392+AP392</f>
        <v>19</v>
      </c>
      <c r="AR392" s="24" t="n">
        <f aca="false">SUMIFS(Permissions!$L$2:$L$3000,Permissions!$B$2:$B$3000,$A392,Permissions!$R$2:$R$3000,"Yes",Permissions!$I$2:$I$3000,"&lt;&gt;Expired – not started",Permissions!$I$2:$I$3000,"&lt;&gt;In planning")</f>
        <v>0</v>
      </c>
      <c r="AS392" s="24" t="n">
        <f aca="false">AQ392-AR392</f>
        <v>19</v>
      </c>
      <c r="AT392" s="26" t="n">
        <f aca="false">SUMIFS(Permissions!$AJ$2:$AJ$3000,Permissions!$B$2:$B$3000,$A392,Permissions!$R$2:$R$3000,"Yes")</f>
        <v>0</v>
      </c>
      <c r="AU392" s="26" t="n">
        <f aca="false">SUMIFS(Permissions!$AK$2:$AK$3000,Permissions!$B$2:$B$3000,$A392,Permissions!$R$2:$R$3000,"Yes")</f>
        <v>0</v>
      </c>
      <c r="AV392" s="26" t="n">
        <f aca="false">SUMIFS(Permissions!$AL$2:$AL$3000,Permissions!$B$2:$B$3000,$A392,Permissions!$R$2:$R$3000,"Yes")</f>
        <v>0</v>
      </c>
      <c r="AW392" s="26" t="n">
        <f aca="false">SUMIFS(Permissions!$AM$2:$AM$3000,Permissions!$B$2:$B$3000,$A392,Permissions!$R$2:$R$3000,"Yes")</f>
        <v>0</v>
      </c>
      <c r="AX392" s="26" t="n">
        <f aca="false">SUMIFS(Permissions!$AN$2:$AN$3000,Permissions!$B$2:$B$3000,$A392,Permissions!$R$2:$R$3000,"Yes")</f>
        <v>0</v>
      </c>
      <c r="AY392" s="26" t="n">
        <f aca="false">SUMIFS(Permissions!$AO$2:$AO$3000,Permissions!$B$2:$B$3000,$A392,Permissions!$R$2:$R$3000,"Yes")</f>
        <v>0</v>
      </c>
      <c r="AZ392" s="24" t="n">
        <f aca="false">COUNTIFS(Permissions!$B$2:$B$3000,$A392,Permissions!$R$2:$R$3000,"Yes")</f>
        <v>0</v>
      </c>
      <c r="BA392" s="24" t="n">
        <f aca="false">SUMIFS(Permissions!$M$2:$M$3000,Permissions!$B$2:$B$3000,$A392,Permissions!$R$2:$R$3000,"Yes")</f>
        <v>0</v>
      </c>
      <c r="BB392" s="24" t="n">
        <f aca="false">SUMIFS(Permissions!$O$2:$O$3000,Permissions!$B$2:$B$3000,$A392,Permissions!$R$2:$R$3000,"Yes")</f>
        <v>0</v>
      </c>
      <c r="BC392" s="27" t="str">
        <f aca="false">IF(AND(AM392&gt;0,AR392&gt;=AM392,AP392=0),"Finished",IF(AR392&gt;0,"Partly built",IF(AM392&gt;0,"Consented – not built","No consent")))</f>
        <v>No consent</v>
      </c>
      <c r="BD392" s="28" t="str">
        <f aca="false">IF(AND(R392&lt;&gt;"",AM392&gt;1.1*R392),"Consented above capacity",IF(AND(LEFT(B392,8)="Planning",AZ392=0),"Consent parcel with no permission",IF(COUNTIF($A$2:$A$3000,$A392)&gt;1,"Duplicate parcel_id","")))</f>
        <v/>
      </c>
    </row>
    <row r="393" customFormat="false" ht="15" hidden="false" customHeight="false" outlineLevel="0" collapsed="false">
      <c r="A393" s="15" t="s">
        <v>887</v>
      </c>
      <c r="B393" s="15" t="s">
        <v>13</v>
      </c>
      <c r="C393" s="15" t="s">
        <v>17</v>
      </c>
      <c r="D393" s="15" t="s">
        <v>62</v>
      </c>
      <c r="E393" s="15" t="s">
        <v>20</v>
      </c>
      <c r="F393" s="15" t="n">
        <v>0.19</v>
      </c>
      <c r="G393" s="15" t="s">
        <v>158</v>
      </c>
      <c r="H393" s="15"/>
      <c r="I393" s="15" t="s">
        <v>17</v>
      </c>
      <c r="J393" s="15" t="s">
        <v>211</v>
      </c>
      <c r="K393" s="15" t="s">
        <v>881</v>
      </c>
      <c r="L393" s="15"/>
      <c r="M393" s="15" t="s">
        <v>357</v>
      </c>
      <c r="N393" s="15"/>
      <c r="O393" s="15"/>
      <c r="P393" s="15" t="n">
        <v>1.474</v>
      </c>
      <c r="Q393" s="15" t="n">
        <v>1.619</v>
      </c>
      <c r="R393" s="15" t="n">
        <v>28</v>
      </c>
      <c r="S393" s="15" t="s">
        <v>833</v>
      </c>
      <c r="T393" s="15" t="n">
        <v>28</v>
      </c>
      <c r="U393" s="15" t="s">
        <v>878</v>
      </c>
      <c r="V393" s="15" t="s">
        <v>849</v>
      </c>
      <c r="W393" s="15"/>
      <c r="X393" s="15" t="s">
        <v>850</v>
      </c>
      <c r="Y393" s="15" t="n">
        <v>19</v>
      </c>
      <c r="Z393" s="15" t="s">
        <v>851</v>
      </c>
      <c r="AA393" s="15" t="n">
        <v>0.96</v>
      </c>
      <c r="AB393" s="15" t="n">
        <v>0</v>
      </c>
      <c r="AC393" s="15" t="n">
        <v>0</v>
      </c>
      <c r="AD393" s="15"/>
      <c r="AE393" s="15"/>
      <c r="AF393" s="15" t="s">
        <v>169</v>
      </c>
      <c r="AG393" s="15"/>
      <c r="AH393" s="24" t="n">
        <f aca="false">IF(R393="",AM393,R393)</f>
        <v>28</v>
      </c>
      <c r="AI393" s="24" t="n">
        <f aca="false">SUMIFS(Permissions!$G$2:$G$3000,Permissions!$B$2:$B$3000,$A393,Permissions!$I$2:$I$3000,"Complete",Permissions!$R$2:$R$3000,"Yes")</f>
        <v>0</v>
      </c>
      <c r="AJ393" s="24" t="n">
        <f aca="false">SUMIFS(Permissions!$G$2:$G$3000,Permissions!$B$2:$B$3000,$A393,Permissions!$I$2:$I$3000,"Under construction",Permissions!$R$2:$R$3000,"Yes")</f>
        <v>0</v>
      </c>
      <c r="AK393" s="24" t="n">
        <f aca="false">SUMIFS(Permissions!$G$2:$G$3000,Permissions!$B$2:$B$3000,$A393,Permissions!$I$2:$I$3000,"Permitted – not started",Permissions!$R$2:$R$3000,"Yes")</f>
        <v>0</v>
      </c>
      <c r="AL393" s="24" t="n">
        <f aca="false">SUMIFS(Permissions!$G$2:$G$3000,Permissions!$B$2:$B$3000,$A393,Permissions!$I$2:$I$3000,"Stalled",Permissions!$R$2:$R$3000,"Yes")</f>
        <v>0</v>
      </c>
      <c r="AM393" s="24" t="n">
        <f aca="false">AI393+AJ393+AK393+AL393</f>
        <v>0</v>
      </c>
      <c r="AN393" s="24" t="n">
        <f aca="false">SUMIFS(Permissions!$G$2:$G$3000,Permissions!$B$2:$B$3000,$A393,Permissions!$I$2:$I$3000,"Expired – not started",Permissions!$R$2:$R$3000,"Yes")</f>
        <v>0</v>
      </c>
      <c r="AO393" s="24" t="n">
        <f aca="false">SUMIFS(Permissions!$G$2:$G$3000,Permissions!$B$2:$B$3000,$A393,Permissions!$I$2:$I$3000,"In planning",Permissions!$R$2:$R$3000,"Yes")</f>
        <v>0</v>
      </c>
      <c r="AP393" s="24" t="n">
        <f aca="false">IF(R393="",0,MAX(R393-AM393,0))</f>
        <v>28</v>
      </c>
      <c r="AQ393" s="25" t="n">
        <f aca="false">AM393+AP393</f>
        <v>28</v>
      </c>
      <c r="AR393" s="24" t="n">
        <f aca="false">SUMIFS(Permissions!$L$2:$L$3000,Permissions!$B$2:$B$3000,$A393,Permissions!$R$2:$R$3000,"Yes",Permissions!$I$2:$I$3000,"&lt;&gt;Expired – not started",Permissions!$I$2:$I$3000,"&lt;&gt;In planning")</f>
        <v>0</v>
      </c>
      <c r="AS393" s="24" t="n">
        <f aca="false">AQ393-AR393</f>
        <v>28</v>
      </c>
      <c r="AT393" s="26" t="n">
        <f aca="false">SUMIFS(Permissions!$AJ$2:$AJ$3000,Permissions!$B$2:$B$3000,$A393,Permissions!$R$2:$R$3000,"Yes")</f>
        <v>0</v>
      </c>
      <c r="AU393" s="26" t="n">
        <f aca="false">SUMIFS(Permissions!$AK$2:$AK$3000,Permissions!$B$2:$B$3000,$A393,Permissions!$R$2:$R$3000,"Yes")</f>
        <v>0</v>
      </c>
      <c r="AV393" s="26" t="n">
        <f aca="false">SUMIFS(Permissions!$AL$2:$AL$3000,Permissions!$B$2:$B$3000,$A393,Permissions!$R$2:$R$3000,"Yes")</f>
        <v>0</v>
      </c>
      <c r="AW393" s="26" t="n">
        <f aca="false">SUMIFS(Permissions!$AM$2:$AM$3000,Permissions!$B$2:$B$3000,$A393,Permissions!$R$2:$R$3000,"Yes")</f>
        <v>0</v>
      </c>
      <c r="AX393" s="26" t="n">
        <f aca="false">SUMIFS(Permissions!$AN$2:$AN$3000,Permissions!$B$2:$B$3000,$A393,Permissions!$R$2:$R$3000,"Yes")</f>
        <v>0</v>
      </c>
      <c r="AY393" s="26" t="n">
        <f aca="false">SUMIFS(Permissions!$AO$2:$AO$3000,Permissions!$B$2:$B$3000,$A393,Permissions!$R$2:$R$3000,"Yes")</f>
        <v>0</v>
      </c>
      <c r="AZ393" s="24" t="n">
        <f aca="false">COUNTIFS(Permissions!$B$2:$B$3000,$A393,Permissions!$R$2:$R$3000,"Yes")</f>
        <v>0</v>
      </c>
      <c r="BA393" s="24" t="n">
        <f aca="false">SUMIFS(Permissions!$M$2:$M$3000,Permissions!$B$2:$B$3000,$A393,Permissions!$R$2:$R$3000,"Yes")</f>
        <v>0</v>
      </c>
      <c r="BB393" s="24" t="n">
        <f aca="false">SUMIFS(Permissions!$O$2:$O$3000,Permissions!$B$2:$B$3000,$A393,Permissions!$R$2:$R$3000,"Yes")</f>
        <v>0</v>
      </c>
      <c r="BC393" s="27" t="str">
        <f aca="false">IF(AND(AM393&gt;0,AR393&gt;=AM393,AP393=0),"Finished",IF(AR393&gt;0,"Partly built",IF(AM393&gt;0,"Consented – not built","No consent")))</f>
        <v>No consent</v>
      </c>
      <c r="BD393" s="28" t="str">
        <f aca="false">IF(AND(R393&lt;&gt;"",AM393&gt;1.1*R393),"Consented above capacity",IF(AND(LEFT(B393,8)="Planning",AZ393=0),"Consent parcel with no permission",IF(COUNTIF($A$2:$A$3000,$A393)&gt;1,"Duplicate parcel_id","")))</f>
        <v/>
      </c>
    </row>
    <row r="394" customFormat="false" ht="15" hidden="false" customHeight="false" outlineLevel="0" collapsed="false">
      <c r="A394" s="15" t="s">
        <v>888</v>
      </c>
      <c r="B394" s="15" t="s">
        <v>13</v>
      </c>
      <c r="C394" s="15" t="s">
        <v>17</v>
      </c>
      <c r="D394" s="15" t="s">
        <v>62</v>
      </c>
      <c r="E394" s="15" t="s">
        <v>20</v>
      </c>
      <c r="F394" s="15" t="n">
        <v>1</v>
      </c>
      <c r="G394" s="15" t="s">
        <v>158</v>
      </c>
      <c r="H394" s="15"/>
      <c r="I394" s="15" t="s">
        <v>17</v>
      </c>
      <c r="J394" s="15" t="s">
        <v>211</v>
      </c>
      <c r="K394" s="15" t="s">
        <v>877</v>
      </c>
      <c r="L394" s="15"/>
      <c r="M394" s="15" t="s">
        <v>349</v>
      </c>
      <c r="N394" s="15"/>
      <c r="O394" s="15"/>
      <c r="P394" s="15" t="n">
        <v>0.546</v>
      </c>
      <c r="Q394" s="15" t="n">
        <v>0.6</v>
      </c>
      <c r="R394" s="15" t="n">
        <v>14</v>
      </c>
      <c r="S394" s="15" t="s">
        <v>833</v>
      </c>
      <c r="T394" s="15" t="n">
        <v>14</v>
      </c>
      <c r="U394" s="15" t="s">
        <v>878</v>
      </c>
      <c r="V394" s="15" t="s">
        <v>835</v>
      </c>
      <c r="W394" s="15"/>
      <c r="X394" s="15" t="s">
        <v>353</v>
      </c>
      <c r="Y394" s="15" t="n">
        <v>25</v>
      </c>
      <c r="Z394" s="15" t="s">
        <v>845</v>
      </c>
      <c r="AA394" s="15" t="n">
        <v>0.62</v>
      </c>
      <c r="AB394" s="15" t="n">
        <v>0</v>
      </c>
      <c r="AC394" s="15" t="n">
        <v>0</v>
      </c>
      <c r="AD394" s="15"/>
      <c r="AE394" s="15"/>
      <c r="AF394" s="15" t="s">
        <v>169</v>
      </c>
      <c r="AG394" s="15"/>
      <c r="AH394" s="24" t="n">
        <f aca="false">IF(R394="",AM394,R394)</f>
        <v>14</v>
      </c>
      <c r="AI394" s="24" t="n">
        <f aca="false">SUMIFS(Permissions!$G$2:$G$3000,Permissions!$B$2:$B$3000,$A394,Permissions!$I$2:$I$3000,"Complete",Permissions!$R$2:$R$3000,"Yes")</f>
        <v>0</v>
      </c>
      <c r="AJ394" s="24" t="n">
        <f aca="false">SUMIFS(Permissions!$G$2:$G$3000,Permissions!$B$2:$B$3000,$A394,Permissions!$I$2:$I$3000,"Under construction",Permissions!$R$2:$R$3000,"Yes")</f>
        <v>0</v>
      </c>
      <c r="AK394" s="24" t="n">
        <f aca="false">SUMIFS(Permissions!$G$2:$G$3000,Permissions!$B$2:$B$3000,$A394,Permissions!$I$2:$I$3000,"Permitted – not started",Permissions!$R$2:$R$3000,"Yes")</f>
        <v>0</v>
      </c>
      <c r="AL394" s="24" t="n">
        <f aca="false">SUMIFS(Permissions!$G$2:$G$3000,Permissions!$B$2:$B$3000,$A394,Permissions!$I$2:$I$3000,"Stalled",Permissions!$R$2:$R$3000,"Yes")</f>
        <v>0</v>
      </c>
      <c r="AM394" s="24" t="n">
        <f aca="false">AI394+AJ394+AK394+AL394</f>
        <v>0</v>
      </c>
      <c r="AN394" s="24" t="n">
        <f aca="false">SUMIFS(Permissions!$G$2:$G$3000,Permissions!$B$2:$B$3000,$A394,Permissions!$I$2:$I$3000,"Expired – not started",Permissions!$R$2:$R$3000,"Yes")</f>
        <v>0</v>
      </c>
      <c r="AO394" s="24" t="n">
        <f aca="false">SUMIFS(Permissions!$G$2:$G$3000,Permissions!$B$2:$B$3000,$A394,Permissions!$I$2:$I$3000,"In planning",Permissions!$R$2:$R$3000,"Yes")</f>
        <v>0</v>
      </c>
      <c r="AP394" s="24" t="n">
        <f aca="false">IF(R394="",0,MAX(R394-AM394,0))</f>
        <v>14</v>
      </c>
      <c r="AQ394" s="25" t="n">
        <f aca="false">AM394+AP394</f>
        <v>14</v>
      </c>
      <c r="AR394" s="24" t="n">
        <f aca="false">SUMIFS(Permissions!$L$2:$L$3000,Permissions!$B$2:$B$3000,$A394,Permissions!$R$2:$R$3000,"Yes",Permissions!$I$2:$I$3000,"&lt;&gt;Expired – not started",Permissions!$I$2:$I$3000,"&lt;&gt;In planning")</f>
        <v>0</v>
      </c>
      <c r="AS394" s="24" t="n">
        <f aca="false">AQ394-AR394</f>
        <v>14</v>
      </c>
      <c r="AT394" s="26" t="n">
        <f aca="false">SUMIFS(Permissions!$AJ$2:$AJ$3000,Permissions!$B$2:$B$3000,$A394,Permissions!$R$2:$R$3000,"Yes")</f>
        <v>0</v>
      </c>
      <c r="AU394" s="26" t="n">
        <f aca="false">SUMIFS(Permissions!$AK$2:$AK$3000,Permissions!$B$2:$B$3000,$A394,Permissions!$R$2:$R$3000,"Yes")</f>
        <v>0</v>
      </c>
      <c r="AV394" s="26" t="n">
        <f aca="false">SUMIFS(Permissions!$AL$2:$AL$3000,Permissions!$B$2:$B$3000,$A394,Permissions!$R$2:$R$3000,"Yes")</f>
        <v>0</v>
      </c>
      <c r="AW394" s="26" t="n">
        <f aca="false">SUMIFS(Permissions!$AM$2:$AM$3000,Permissions!$B$2:$B$3000,$A394,Permissions!$R$2:$R$3000,"Yes")</f>
        <v>0</v>
      </c>
      <c r="AX394" s="26" t="n">
        <f aca="false">SUMIFS(Permissions!$AN$2:$AN$3000,Permissions!$B$2:$B$3000,$A394,Permissions!$R$2:$R$3000,"Yes")</f>
        <v>0</v>
      </c>
      <c r="AY394" s="26" t="n">
        <f aca="false">SUMIFS(Permissions!$AO$2:$AO$3000,Permissions!$B$2:$B$3000,$A394,Permissions!$R$2:$R$3000,"Yes")</f>
        <v>0</v>
      </c>
      <c r="AZ394" s="24" t="n">
        <f aca="false">COUNTIFS(Permissions!$B$2:$B$3000,$A394,Permissions!$R$2:$R$3000,"Yes")</f>
        <v>0</v>
      </c>
      <c r="BA394" s="24" t="n">
        <f aca="false">SUMIFS(Permissions!$M$2:$M$3000,Permissions!$B$2:$B$3000,$A394,Permissions!$R$2:$R$3000,"Yes")</f>
        <v>0</v>
      </c>
      <c r="BB394" s="24" t="n">
        <f aca="false">SUMIFS(Permissions!$O$2:$O$3000,Permissions!$B$2:$B$3000,$A394,Permissions!$R$2:$R$3000,"Yes")</f>
        <v>0</v>
      </c>
      <c r="BC394" s="27" t="str">
        <f aca="false">IF(AND(AM394&gt;0,AR394&gt;=AM394,AP394=0),"Finished",IF(AR394&gt;0,"Partly built",IF(AM394&gt;0,"Consented – not built","No consent")))</f>
        <v>No consent</v>
      </c>
      <c r="BD394" s="28" t="str">
        <f aca="false">IF(AND(R394&lt;&gt;"",AM394&gt;1.1*R394),"Consented above capacity",IF(AND(LEFT(B394,8)="Planning",AZ394=0),"Consent parcel with no permission",IF(COUNTIF($A$2:$A$3000,$A394)&gt;1,"Duplicate parcel_id","")))</f>
        <v/>
      </c>
    </row>
    <row r="395" customFormat="false" ht="15" hidden="false" customHeight="false" outlineLevel="0" collapsed="false">
      <c r="A395" s="15" t="s">
        <v>889</v>
      </c>
      <c r="B395" s="15" t="s">
        <v>13</v>
      </c>
      <c r="C395" s="15" t="s">
        <v>17</v>
      </c>
      <c r="D395" s="15" t="s">
        <v>70</v>
      </c>
      <c r="E395" s="15" t="s">
        <v>21</v>
      </c>
      <c r="F395" s="15" t="n">
        <v>1</v>
      </c>
      <c r="G395" s="15" t="s">
        <v>158</v>
      </c>
      <c r="H395" s="15"/>
      <c r="I395" s="15" t="s">
        <v>17</v>
      </c>
      <c r="J395" s="15" t="s">
        <v>347</v>
      </c>
      <c r="K395" s="15" t="s">
        <v>890</v>
      </c>
      <c r="L395" s="15"/>
      <c r="M395" s="15" t="s">
        <v>891</v>
      </c>
      <c r="N395" s="15"/>
      <c r="O395" s="15"/>
      <c r="P395" s="15" t="n">
        <v>0.208</v>
      </c>
      <c r="Q395" s="15" t="n">
        <v>0.228</v>
      </c>
      <c r="R395" s="15" t="n">
        <v>4</v>
      </c>
      <c r="S395" s="15" t="s">
        <v>833</v>
      </c>
      <c r="T395" s="15" t="n">
        <v>4</v>
      </c>
      <c r="U395" s="15" t="s">
        <v>892</v>
      </c>
      <c r="V395" s="15" t="s">
        <v>849</v>
      </c>
      <c r="W395" s="15"/>
      <c r="X395" s="15" t="s">
        <v>850</v>
      </c>
      <c r="Y395" s="15" t="n">
        <v>19</v>
      </c>
      <c r="Z395" s="15" t="s">
        <v>851</v>
      </c>
      <c r="AA395" s="15" t="n">
        <v>0</v>
      </c>
      <c r="AB395" s="15" t="n">
        <v>0</v>
      </c>
      <c r="AC395" s="15" t="n">
        <v>0</v>
      </c>
      <c r="AD395" s="15"/>
      <c r="AE395" s="15"/>
      <c r="AF395" s="15" t="s">
        <v>169</v>
      </c>
      <c r="AG395" s="15"/>
      <c r="AH395" s="24" t="n">
        <f aca="false">IF(R395="",AM395,R395)</f>
        <v>4</v>
      </c>
      <c r="AI395" s="24" t="n">
        <f aca="false">SUMIFS(Permissions!$G$2:$G$3000,Permissions!$B$2:$B$3000,$A395,Permissions!$I$2:$I$3000,"Complete",Permissions!$R$2:$R$3000,"Yes")</f>
        <v>0</v>
      </c>
      <c r="AJ395" s="24" t="n">
        <f aca="false">SUMIFS(Permissions!$G$2:$G$3000,Permissions!$B$2:$B$3000,$A395,Permissions!$I$2:$I$3000,"Under construction",Permissions!$R$2:$R$3000,"Yes")</f>
        <v>0</v>
      </c>
      <c r="AK395" s="24" t="n">
        <f aca="false">SUMIFS(Permissions!$G$2:$G$3000,Permissions!$B$2:$B$3000,$A395,Permissions!$I$2:$I$3000,"Permitted – not started",Permissions!$R$2:$R$3000,"Yes")</f>
        <v>0</v>
      </c>
      <c r="AL395" s="24" t="n">
        <f aca="false">SUMIFS(Permissions!$G$2:$G$3000,Permissions!$B$2:$B$3000,$A395,Permissions!$I$2:$I$3000,"Stalled",Permissions!$R$2:$R$3000,"Yes")</f>
        <v>0</v>
      </c>
      <c r="AM395" s="24" t="n">
        <f aca="false">AI395+AJ395+AK395+AL395</f>
        <v>0</v>
      </c>
      <c r="AN395" s="24" t="n">
        <f aca="false">SUMIFS(Permissions!$G$2:$G$3000,Permissions!$B$2:$B$3000,$A395,Permissions!$I$2:$I$3000,"Expired – not started",Permissions!$R$2:$R$3000,"Yes")</f>
        <v>0</v>
      </c>
      <c r="AO395" s="24" t="n">
        <f aca="false">SUMIFS(Permissions!$G$2:$G$3000,Permissions!$B$2:$B$3000,$A395,Permissions!$I$2:$I$3000,"In planning",Permissions!$R$2:$R$3000,"Yes")</f>
        <v>0</v>
      </c>
      <c r="AP395" s="24" t="n">
        <f aca="false">IF(R395="",0,MAX(R395-AM395,0))</f>
        <v>4</v>
      </c>
      <c r="AQ395" s="25" t="n">
        <f aca="false">AM395+AP395</f>
        <v>4</v>
      </c>
      <c r="AR395" s="24" t="n">
        <f aca="false">SUMIFS(Permissions!$L$2:$L$3000,Permissions!$B$2:$B$3000,$A395,Permissions!$R$2:$R$3000,"Yes",Permissions!$I$2:$I$3000,"&lt;&gt;Expired – not started",Permissions!$I$2:$I$3000,"&lt;&gt;In planning")</f>
        <v>0</v>
      </c>
      <c r="AS395" s="24" t="n">
        <f aca="false">AQ395-AR395</f>
        <v>4</v>
      </c>
      <c r="AT395" s="26" t="n">
        <f aca="false">SUMIFS(Permissions!$AJ$2:$AJ$3000,Permissions!$B$2:$B$3000,$A395,Permissions!$R$2:$R$3000,"Yes")</f>
        <v>0</v>
      </c>
      <c r="AU395" s="26" t="n">
        <f aca="false">SUMIFS(Permissions!$AK$2:$AK$3000,Permissions!$B$2:$B$3000,$A395,Permissions!$R$2:$R$3000,"Yes")</f>
        <v>0</v>
      </c>
      <c r="AV395" s="26" t="n">
        <f aca="false">SUMIFS(Permissions!$AL$2:$AL$3000,Permissions!$B$2:$B$3000,$A395,Permissions!$R$2:$R$3000,"Yes")</f>
        <v>0</v>
      </c>
      <c r="AW395" s="26" t="n">
        <f aca="false">SUMIFS(Permissions!$AM$2:$AM$3000,Permissions!$B$2:$B$3000,$A395,Permissions!$R$2:$R$3000,"Yes")</f>
        <v>0</v>
      </c>
      <c r="AX395" s="26" t="n">
        <f aca="false">SUMIFS(Permissions!$AN$2:$AN$3000,Permissions!$B$2:$B$3000,$A395,Permissions!$R$2:$R$3000,"Yes")</f>
        <v>0</v>
      </c>
      <c r="AY395" s="26" t="n">
        <f aca="false">SUMIFS(Permissions!$AO$2:$AO$3000,Permissions!$B$2:$B$3000,$A395,Permissions!$R$2:$R$3000,"Yes")</f>
        <v>0</v>
      </c>
      <c r="AZ395" s="24" t="n">
        <f aca="false">COUNTIFS(Permissions!$B$2:$B$3000,$A395,Permissions!$R$2:$R$3000,"Yes")</f>
        <v>0</v>
      </c>
      <c r="BA395" s="24" t="n">
        <f aca="false">SUMIFS(Permissions!$M$2:$M$3000,Permissions!$B$2:$B$3000,$A395,Permissions!$R$2:$R$3000,"Yes")</f>
        <v>0</v>
      </c>
      <c r="BB395" s="24" t="n">
        <f aca="false">SUMIFS(Permissions!$O$2:$O$3000,Permissions!$B$2:$B$3000,$A395,Permissions!$R$2:$R$3000,"Yes")</f>
        <v>0</v>
      </c>
      <c r="BC395" s="27" t="str">
        <f aca="false">IF(AND(AM395&gt;0,AR395&gt;=AM395,AP395=0),"Finished",IF(AR395&gt;0,"Partly built",IF(AM395&gt;0,"Consented – not built","No consent")))</f>
        <v>No consent</v>
      </c>
      <c r="BD395" s="28" t="str">
        <f aca="false">IF(AND(R395&lt;&gt;"",AM395&gt;1.1*R395),"Consented above capacity",IF(AND(LEFT(B395,8)="Planning",AZ395=0),"Consent parcel with no permission",IF(COUNTIF($A$2:$A$3000,$A395)&gt;1,"Duplicate parcel_id","")))</f>
        <v/>
      </c>
    </row>
    <row r="396" customFormat="false" ht="15" hidden="false" customHeight="false" outlineLevel="0" collapsed="false">
      <c r="A396" s="15" t="s">
        <v>893</v>
      </c>
      <c r="B396" s="15" t="s">
        <v>13</v>
      </c>
      <c r="C396" s="15" t="s">
        <v>17</v>
      </c>
      <c r="D396" s="15" t="s">
        <v>70</v>
      </c>
      <c r="E396" s="15" t="s">
        <v>21</v>
      </c>
      <c r="F396" s="15" t="n">
        <v>1</v>
      </c>
      <c r="G396" s="15" t="s">
        <v>158</v>
      </c>
      <c r="H396" s="15"/>
      <c r="I396" s="15" t="s">
        <v>17</v>
      </c>
      <c r="J396" s="15" t="s">
        <v>347</v>
      </c>
      <c r="K396" s="15" t="s">
        <v>894</v>
      </c>
      <c r="L396" s="15"/>
      <c r="M396" s="15" t="s">
        <v>895</v>
      </c>
      <c r="N396" s="15"/>
      <c r="O396" s="15"/>
      <c r="P396" s="15" t="n">
        <v>0.891</v>
      </c>
      <c r="Q396" s="15" t="n">
        <v>0.979</v>
      </c>
      <c r="R396" s="15" t="n">
        <v>22</v>
      </c>
      <c r="S396" s="15" t="s">
        <v>833</v>
      </c>
      <c r="T396" s="15" t="n">
        <v>22</v>
      </c>
      <c r="U396" s="15" t="s">
        <v>892</v>
      </c>
      <c r="V396" s="15" t="s">
        <v>849</v>
      </c>
      <c r="W396" s="15"/>
      <c r="X396" s="15" t="s">
        <v>353</v>
      </c>
      <c r="Y396" s="15" t="n">
        <v>25</v>
      </c>
      <c r="Z396" s="15" t="s">
        <v>845</v>
      </c>
      <c r="AA396" s="15" t="n">
        <v>0</v>
      </c>
      <c r="AB396" s="15" t="n">
        <v>0</v>
      </c>
      <c r="AC396" s="15" t="n">
        <v>0</v>
      </c>
      <c r="AD396" s="15"/>
      <c r="AE396" s="15"/>
      <c r="AF396" s="15" t="s">
        <v>169</v>
      </c>
      <c r="AG396" s="15"/>
      <c r="AH396" s="24" t="n">
        <f aca="false">IF(R396="",AM396,R396)</f>
        <v>22</v>
      </c>
      <c r="AI396" s="24" t="n">
        <f aca="false">SUMIFS(Permissions!$G$2:$G$3000,Permissions!$B$2:$B$3000,$A396,Permissions!$I$2:$I$3000,"Complete",Permissions!$R$2:$R$3000,"Yes")</f>
        <v>0</v>
      </c>
      <c r="AJ396" s="24" t="n">
        <f aca="false">SUMIFS(Permissions!$G$2:$G$3000,Permissions!$B$2:$B$3000,$A396,Permissions!$I$2:$I$3000,"Under construction",Permissions!$R$2:$R$3000,"Yes")</f>
        <v>0</v>
      </c>
      <c r="AK396" s="24" t="n">
        <f aca="false">SUMIFS(Permissions!$G$2:$G$3000,Permissions!$B$2:$B$3000,$A396,Permissions!$I$2:$I$3000,"Permitted – not started",Permissions!$R$2:$R$3000,"Yes")</f>
        <v>0</v>
      </c>
      <c r="AL396" s="24" t="n">
        <f aca="false">SUMIFS(Permissions!$G$2:$G$3000,Permissions!$B$2:$B$3000,$A396,Permissions!$I$2:$I$3000,"Stalled",Permissions!$R$2:$R$3000,"Yes")</f>
        <v>0</v>
      </c>
      <c r="AM396" s="24" t="n">
        <f aca="false">AI396+AJ396+AK396+AL396</f>
        <v>0</v>
      </c>
      <c r="AN396" s="24" t="n">
        <f aca="false">SUMIFS(Permissions!$G$2:$G$3000,Permissions!$B$2:$B$3000,$A396,Permissions!$I$2:$I$3000,"Expired – not started",Permissions!$R$2:$R$3000,"Yes")</f>
        <v>0</v>
      </c>
      <c r="AO396" s="24" t="n">
        <f aca="false">SUMIFS(Permissions!$G$2:$G$3000,Permissions!$B$2:$B$3000,$A396,Permissions!$I$2:$I$3000,"In planning",Permissions!$R$2:$R$3000,"Yes")</f>
        <v>0</v>
      </c>
      <c r="AP396" s="24" t="n">
        <f aca="false">IF(R396="",0,MAX(R396-AM396,0))</f>
        <v>22</v>
      </c>
      <c r="AQ396" s="25" t="n">
        <f aca="false">AM396+AP396</f>
        <v>22</v>
      </c>
      <c r="AR396" s="24" t="n">
        <f aca="false">SUMIFS(Permissions!$L$2:$L$3000,Permissions!$B$2:$B$3000,$A396,Permissions!$R$2:$R$3000,"Yes",Permissions!$I$2:$I$3000,"&lt;&gt;Expired – not started",Permissions!$I$2:$I$3000,"&lt;&gt;In planning")</f>
        <v>0</v>
      </c>
      <c r="AS396" s="24" t="n">
        <f aca="false">AQ396-AR396</f>
        <v>22</v>
      </c>
      <c r="AT396" s="26" t="n">
        <f aca="false">SUMIFS(Permissions!$AJ$2:$AJ$3000,Permissions!$B$2:$B$3000,$A396,Permissions!$R$2:$R$3000,"Yes")</f>
        <v>0</v>
      </c>
      <c r="AU396" s="26" t="n">
        <f aca="false">SUMIFS(Permissions!$AK$2:$AK$3000,Permissions!$B$2:$B$3000,$A396,Permissions!$R$2:$R$3000,"Yes")</f>
        <v>0</v>
      </c>
      <c r="AV396" s="26" t="n">
        <f aca="false">SUMIFS(Permissions!$AL$2:$AL$3000,Permissions!$B$2:$B$3000,$A396,Permissions!$R$2:$R$3000,"Yes")</f>
        <v>0</v>
      </c>
      <c r="AW396" s="26" t="n">
        <f aca="false">SUMIFS(Permissions!$AM$2:$AM$3000,Permissions!$B$2:$B$3000,$A396,Permissions!$R$2:$R$3000,"Yes")</f>
        <v>0</v>
      </c>
      <c r="AX396" s="26" t="n">
        <f aca="false">SUMIFS(Permissions!$AN$2:$AN$3000,Permissions!$B$2:$B$3000,$A396,Permissions!$R$2:$R$3000,"Yes")</f>
        <v>0</v>
      </c>
      <c r="AY396" s="26" t="n">
        <f aca="false">SUMIFS(Permissions!$AO$2:$AO$3000,Permissions!$B$2:$B$3000,$A396,Permissions!$R$2:$R$3000,"Yes")</f>
        <v>0</v>
      </c>
      <c r="AZ396" s="24" t="n">
        <f aca="false">COUNTIFS(Permissions!$B$2:$B$3000,$A396,Permissions!$R$2:$R$3000,"Yes")</f>
        <v>0</v>
      </c>
      <c r="BA396" s="24" t="n">
        <f aca="false">SUMIFS(Permissions!$M$2:$M$3000,Permissions!$B$2:$B$3000,$A396,Permissions!$R$2:$R$3000,"Yes")</f>
        <v>0</v>
      </c>
      <c r="BB396" s="24" t="n">
        <f aca="false">SUMIFS(Permissions!$O$2:$O$3000,Permissions!$B$2:$B$3000,$A396,Permissions!$R$2:$R$3000,"Yes")</f>
        <v>0</v>
      </c>
      <c r="BC396" s="27" t="str">
        <f aca="false">IF(AND(AM396&gt;0,AR396&gt;=AM396,AP396=0),"Finished",IF(AR396&gt;0,"Partly built",IF(AM396&gt;0,"Consented – not built","No consent")))</f>
        <v>No consent</v>
      </c>
      <c r="BD396" s="28" t="str">
        <f aca="false">IF(AND(R396&lt;&gt;"",AM396&gt;1.1*R396),"Consented above capacity",IF(AND(LEFT(B396,8)="Planning",AZ396=0),"Consent parcel with no permission",IF(COUNTIF($A$2:$A$3000,$A396)&gt;1,"Duplicate parcel_id","")))</f>
        <v/>
      </c>
    </row>
    <row r="397" customFormat="false" ht="15" hidden="false" customHeight="false" outlineLevel="0" collapsed="false">
      <c r="A397" s="15" t="s">
        <v>896</v>
      </c>
      <c r="B397" s="15" t="s">
        <v>13</v>
      </c>
      <c r="C397" s="15" t="s">
        <v>17</v>
      </c>
      <c r="D397" s="15" t="s">
        <v>70</v>
      </c>
      <c r="E397" s="15" t="s">
        <v>21</v>
      </c>
      <c r="F397" s="15" t="n">
        <v>1</v>
      </c>
      <c r="G397" s="15" t="s">
        <v>158</v>
      </c>
      <c r="H397" s="15"/>
      <c r="I397" s="15" t="s">
        <v>17</v>
      </c>
      <c r="J397" s="15" t="s">
        <v>347</v>
      </c>
      <c r="K397" s="15" t="s">
        <v>894</v>
      </c>
      <c r="L397" s="15"/>
      <c r="M397" s="15" t="s">
        <v>895</v>
      </c>
      <c r="N397" s="15"/>
      <c r="O397" s="15"/>
      <c r="P397" s="15" t="n">
        <v>0.502</v>
      </c>
      <c r="Q397" s="15" t="n">
        <v>0.551</v>
      </c>
      <c r="R397" s="15" t="n">
        <v>13</v>
      </c>
      <c r="S397" s="15" t="s">
        <v>833</v>
      </c>
      <c r="T397" s="15" t="n">
        <v>13</v>
      </c>
      <c r="U397" s="15" t="s">
        <v>892</v>
      </c>
      <c r="V397" s="15" t="s">
        <v>849</v>
      </c>
      <c r="W397" s="15"/>
      <c r="X397" s="15" t="s">
        <v>353</v>
      </c>
      <c r="Y397" s="15" t="n">
        <v>25</v>
      </c>
      <c r="Z397" s="15" t="s">
        <v>845</v>
      </c>
      <c r="AA397" s="15" t="n">
        <v>0</v>
      </c>
      <c r="AB397" s="15" t="n">
        <v>0</v>
      </c>
      <c r="AC397" s="15" t="n">
        <v>0</v>
      </c>
      <c r="AD397" s="15"/>
      <c r="AE397" s="15"/>
      <c r="AF397" s="15" t="s">
        <v>169</v>
      </c>
      <c r="AG397" s="15"/>
      <c r="AH397" s="24" t="n">
        <f aca="false">IF(R397="",AM397,R397)</f>
        <v>13</v>
      </c>
      <c r="AI397" s="24" t="n">
        <f aca="false">SUMIFS(Permissions!$G$2:$G$3000,Permissions!$B$2:$B$3000,$A397,Permissions!$I$2:$I$3000,"Complete",Permissions!$R$2:$R$3000,"Yes")</f>
        <v>0</v>
      </c>
      <c r="AJ397" s="24" t="n">
        <f aca="false">SUMIFS(Permissions!$G$2:$G$3000,Permissions!$B$2:$B$3000,$A397,Permissions!$I$2:$I$3000,"Under construction",Permissions!$R$2:$R$3000,"Yes")</f>
        <v>0</v>
      </c>
      <c r="AK397" s="24" t="n">
        <f aca="false">SUMIFS(Permissions!$G$2:$G$3000,Permissions!$B$2:$B$3000,$A397,Permissions!$I$2:$I$3000,"Permitted – not started",Permissions!$R$2:$R$3000,"Yes")</f>
        <v>0</v>
      </c>
      <c r="AL397" s="24" t="n">
        <f aca="false">SUMIFS(Permissions!$G$2:$G$3000,Permissions!$B$2:$B$3000,$A397,Permissions!$I$2:$I$3000,"Stalled",Permissions!$R$2:$R$3000,"Yes")</f>
        <v>0</v>
      </c>
      <c r="AM397" s="24" t="n">
        <f aca="false">AI397+AJ397+AK397+AL397</f>
        <v>0</v>
      </c>
      <c r="AN397" s="24" t="n">
        <f aca="false">SUMIFS(Permissions!$G$2:$G$3000,Permissions!$B$2:$B$3000,$A397,Permissions!$I$2:$I$3000,"Expired – not started",Permissions!$R$2:$R$3000,"Yes")</f>
        <v>0</v>
      </c>
      <c r="AO397" s="24" t="n">
        <f aca="false">SUMIFS(Permissions!$G$2:$G$3000,Permissions!$B$2:$B$3000,$A397,Permissions!$I$2:$I$3000,"In planning",Permissions!$R$2:$R$3000,"Yes")</f>
        <v>0</v>
      </c>
      <c r="AP397" s="24" t="n">
        <f aca="false">IF(R397="",0,MAX(R397-AM397,0))</f>
        <v>13</v>
      </c>
      <c r="AQ397" s="25" t="n">
        <f aca="false">AM397+AP397</f>
        <v>13</v>
      </c>
      <c r="AR397" s="24" t="n">
        <f aca="false">SUMIFS(Permissions!$L$2:$L$3000,Permissions!$B$2:$B$3000,$A397,Permissions!$R$2:$R$3000,"Yes",Permissions!$I$2:$I$3000,"&lt;&gt;Expired – not started",Permissions!$I$2:$I$3000,"&lt;&gt;In planning")</f>
        <v>0</v>
      </c>
      <c r="AS397" s="24" t="n">
        <f aca="false">AQ397-AR397</f>
        <v>13</v>
      </c>
      <c r="AT397" s="26" t="n">
        <f aca="false">SUMIFS(Permissions!$AJ$2:$AJ$3000,Permissions!$B$2:$B$3000,$A397,Permissions!$R$2:$R$3000,"Yes")</f>
        <v>0</v>
      </c>
      <c r="AU397" s="26" t="n">
        <f aca="false">SUMIFS(Permissions!$AK$2:$AK$3000,Permissions!$B$2:$B$3000,$A397,Permissions!$R$2:$R$3000,"Yes")</f>
        <v>0</v>
      </c>
      <c r="AV397" s="26" t="n">
        <f aca="false">SUMIFS(Permissions!$AL$2:$AL$3000,Permissions!$B$2:$B$3000,$A397,Permissions!$R$2:$R$3000,"Yes")</f>
        <v>0</v>
      </c>
      <c r="AW397" s="26" t="n">
        <f aca="false">SUMIFS(Permissions!$AM$2:$AM$3000,Permissions!$B$2:$B$3000,$A397,Permissions!$R$2:$R$3000,"Yes")</f>
        <v>0</v>
      </c>
      <c r="AX397" s="26" t="n">
        <f aca="false">SUMIFS(Permissions!$AN$2:$AN$3000,Permissions!$B$2:$B$3000,$A397,Permissions!$R$2:$R$3000,"Yes")</f>
        <v>0</v>
      </c>
      <c r="AY397" s="26" t="n">
        <f aca="false">SUMIFS(Permissions!$AO$2:$AO$3000,Permissions!$B$2:$B$3000,$A397,Permissions!$R$2:$R$3000,"Yes")</f>
        <v>0</v>
      </c>
      <c r="AZ397" s="24" t="n">
        <f aca="false">COUNTIFS(Permissions!$B$2:$B$3000,$A397,Permissions!$R$2:$R$3000,"Yes")</f>
        <v>0</v>
      </c>
      <c r="BA397" s="24" t="n">
        <f aca="false">SUMIFS(Permissions!$M$2:$M$3000,Permissions!$B$2:$B$3000,$A397,Permissions!$R$2:$R$3000,"Yes")</f>
        <v>0</v>
      </c>
      <c r="BB397" s="24" t="n">
        <f aca="false">SUMIFS(Permissions!$O$2:$O$3000,Permissions!$B$2:$B$3000,$A397,Permissions!$R$2:$R$3000,"Yes")</f>
        <v>0</v>
      </c>
      <c r="BC397" s="27" t="str">
        <f aca="false">IF(AND(AM397&gt;0,AR397&gt;=AM397,AP397=0),"Finished",IF(AR397&gt;0,"Partly built",IF(AM397&gt;0,"Consented – not built","No consent")))</f>
        <v>No consent</v>
      </c>
      <c r="BD397" s="28" t="str">
        <f aca="false">IF(AND(R397&lt;&gt;"",AM397&gt;1.1*R397),"Consented above capacity",IF(AND(LEFT(B397,8)="Planning",AZ397=0),"Consent parcel with no permission",IF(COUNTIF($A$2:$A$3000,$A397)&gt;1,"Duplicate parcel_id","")))</f>
        <v/>
      </c>
    </row>
    <row r="398" customFormat="false" ht="15" hidden="false" customHeight="false" outlineLevel="0" collapsed="false">
      <c r="A398" s="15" t="s">
        <v>897</v>
      </c>
      <c r="B398" s="15" t="s">
        <v>13</v>
      </c>
      <c r="C398" s="15" t="s">
        <v>17</v>
      </c>
      <c r="D398" s="15" t="s">
        <v>70</v>
      </c>
      <c r="E398" s="15" t="s">
        <v>21</v>
      </c>
      <c r="F398" s="15" t="n">
        <v>1</v>
      </c>
      <c r="G398" s="15" t="s">
        <v>158</v>
      </c>
      <c r="H398" s="15"/>
      <c r="I398" s="15" t="s">
        <v>17</v>
      </c>
      <c r="J398" s="15" t="s">
        <v>347</v>
      </c>
      <c r="K398" s="15" t="s">
        <v>894</v>
      </c>
      <c r="L398" s="15"/>
      <c r="M398" s="15" t="s">
        <v>895</v>
      </c>
      <c r="N398" s="15"/>
      <c r="O398" s="15"/>
      <c r="P398" s="15" t="n">
        <v>0.175</v>
      </c>
      <c r="Q398" s="15" t="n">
        <v>0.193</v>
      </c>
      <c r="R398" s="15" t="n">
        <v>4</v>
      </c>
      <c r="S398" s="15" t="s">
        <v>833</v>
      </c>
      <c r="T398" s="15" t="n">
        <v>4</v>
      </c>
      <c r="U398" s="15" t="s">
        <v>892</v>
      </c>
      <c r="V398" s="15" t="s">
        <v>849</v>
      </c>
      <c r="W398" s="15"/>
      <c r="X398" s="15" t="s">
        <v>353</v>
      </c>
      <c r="Y398" s="15" t="n">
        <v>25</v>
      </c>
      <c r="Z398" s="15" t="s">
        <v>845</v>
      </c>
      <c r="AA398" s="15" t="n">
        <v>0</v>
      </c>
      <c r="AB398" s="15" t="n">
        <v>0</v>
      </c>
      <c r="AC398" s="15" t="n">
        <v>0</v>
      </c>
      <c r="AD398" s="15"/>
      <c r="AE398" s="15"/>
      <c r="AF398" s="15" t="s">
        <v>169</v>
      </c>
      <c r="AG398" s="15"/>
      <c r="AH398" s="24" t="n">
        <f aca="false">IF(R398="",AM398,R398)</f>
        <v>4</v>
      </c>
      <c r="AI398" s="24" t="n">
        <f aca="false">SUMIFS(Permissions!$G$2:$G$3000,Permissions!$B$2:$B$3000,$A398,Permissions!$I$2:$I$3000,"Complete",Permissions!$R$2:$R$3000,"Yes")</f>
        <v>0</v>
      </c>
      <c r="AJ398" s="24" t="n">
        <f aca="false">SUMIFS(Permissions!$G$2:$G$3000,Permissions!$B$2:$B$3000,$A398,Permissions!$I$2:$I$3000,"Under construction",Permissions!$R$2:$R$3000,"Yes")</f>
        <v>0</v>
      </c>
      <c r="AK398" s="24" t="n">
        <f aca="false">SUMIFS(Permissions!$G$2:$G$3000,Permissions!$B$2:$B$3000,$A398,Permissions!$I$2:$I$3000,"Permitted – not started",Permissions!$R$2:$R$3000,"Yes")</f>
        <v>0</v>
      </c>
      <c r="AL398" s="24" t="n">
        <f aca="false">SUMIFS(Permissions!$G$2:$G$3000,Permissions!$B$2:$B$3000,$A398,Permissions!$I$2:$I$3000,"Stalled",Permissions!$R$2:$R$3000,"Yes")</f>
        <v>0</v>
      </c>
      <c r="AM398" s="24" t="n">
        <f aca="false">AI398+AJ398+AK398+AL398</f>
        <v>0</v>
      </c>
      <c r="AN398" s="24" t="n">
        <f aca="false">SUMIFS(Permissions!$G$2:$G$3000,Permissions!$B$2:$B$3000,$A398,Permissions!$I$2:$I$3000,"Expired – not started",Permissions!$R$2:$R$3000,"Yes")</f>
        <v>0</v>
      </c>
      <c r="AO398" s="24" t="n">
        <f aca="false">SUMIFS(Permissions!$G$2:$G$3000,Permissions!$B$2:$B$3000,$A398,Permissions!$I$2:$I$3000,"In planning",Permissions!$R$2:$R$3000,"Yes")</f>
        <v>0</v>
      </c>
      <c r="AP398" s="24" t="n">
        <f aca="false">IF(R398="",0,MAX(R398-AM398,0))</f>
        <v>4</v>
      </c>
      <c r="AQ398" s="25" t="n">
        <f aca="false">AM398+AP398</f>
        <v>4</v>
      </c>
      <c r="AR398" s="24" t="n">
        <f aca="false">SUMIFS(Permissions!$L$2:$L$3000,Permissions!$B$2:$B$3000,$A398,Permissions!$R$2:$R$3000,"Yes",Permissions!$I$2:$I$3000,"&lt;&gt;Expired – not started",Permissions!$I$2:$I$3000,"&lt;&gt;In planning")</f>
        <v>0</v>
      </c>
      <c r="AS398" s="24" t="n">
        <f aca="false">AQ398-AR398</f>
        <v>4</v>
      </c>
      <c r="AT398" s="26" t="n">
        <f aca="false">SUMIFS(Permissions!$AJ$2:$AJ$3000,Permissions!$B$2:$B$3000,$A398,Permissions!$R$2:$R$3000,"Yes")</f>
        <v>0</v>
      </c>
      <c r="AU398" s="26" t="n">
        <f aca="false">SUMIFS(Permissions!$AK$2:$AK$3000,Permissions!$B$2:$B$3000,$A398,Permissions!$R$2:$R$3000,"Yes")</f>
        <v>0</v>
      </c>
      <c r="AV398" s="26" t="n">
        <f aca="false">SUMIFS(Permissions!$AL$2:$AL$3000,Permissions!$B$2:$B$3000,$A398,Permissions!$R$2:$R$3000,"Yes")</f>
        <v>0</v>
      </c>
      <c r="AW398" s="26" t="n">
        <f aca="false">SUMIFS(Permissions!$AM$2:$AM$3000,Permissions!$B$2:$B$3000,$A398,Permissions!$R$2:$R$3000,"Yes")</f>
        <v>0</v>
      </c>
      <c r="AX398" s="26" t="n">
        <f aca="false">SUMIFS(Permissions!$AN$2:$AN$3000,Permissions!$B$2:$B$3000,$A398,Permissions!$R$2:$R$3000,"Yes")</f>
        <v>0</v>
      </c>
      <c r="AY398" s="26" t="n">
        <f aca="false">SUMIFS(Permissions!$AO$2:$AO$3000,Permissions!$B$2:$B$3000,$A398,Permissions!$R$2:$R$3000,"Yes")</f>
        <v>0</v>
      </c>
      <c r="AZ398" s="24" t="n">
        <f aca="false">COUNTIFS(Permissions!$B$2:$B$3000,$A398,Permissions!$R$2:$R$3000,"Yes")</f>
        <v>0</v>
      </c>
      <c r="BA398" s="24" t="n">
        <f aca="false">SUMIFS(Permissions!$M$2:$M$3000,Permissions!$B$2:$B$3000,$A398,Permissions!$R$2:$R$3000,"Yes")</f>
        <v>0</v>
      </c>
      <c r="BB398" s="24" t="n">
        <f aca="false">SUMIFS(Permissions!$O$2:$O$3000,Permissions!$B$2:$B$3000,$A398,Permissions!$R$2:$R$3000,"Yes")</f>
        <v>0</v>
      </c>
      <c r="BC398" s="27" t="str">
        <f aca="false">IF(AND(AM398&gt;0,AR398&gt;=AM398,AP398=0),"Finished",IF(AR398&gt;0,"Partly built",IF(AM398&gt;0,"Consented – not built","No consent")))</f>
        <v>No consent</v>
      </c>
      <c r="BD398" s="28" t="str">
        <f aca="false">IF(AND(R398&lt;&gt;"",AM398&gt;1.1*R398),"Consented above capacity",IF(AND(LEFT(B398,8)="Planning",AZ398=0),"Consent parcel with no permission",IF(COUNTIF($A$2:$A$3000,$A398)&gt;1,"Duplicate parcel_id","")))</f>
        <v/>
      </c>
    </row>
    <row r="399" customFormat="false" ht="15" hidden="false" customHeight="false" outlineLevel="0" collapsed="false">
      <c r="A399" s="15" t="s">
        <v>898</v>
      </c>
      <c r="B399" s="15" t="s">
        <v>13</v>
      </c>
      <c r="C399" s="15" t="s">
        <v>17</v>
      </c>
      <c r="D399" s="15" t="s">
        <v>70</v>
      </c>
      <c r="E399" s="15" t="s">
        <v>21</v>
      </c>
      <c r="F399" s="15" t="n">
        <v>1</v>
      </c>
      <c r="G399" s="15" t="s">
        <v>158</v>
      </c>
      <c r="H399" s="15"/>
      <c r="I399" s="15" t="s">
        <v>17</v>
      </c>
      <c r="J399" s="15" t="s">
        <v>347</v>
      </c>
      <c r="K399" s="15" t="s">
        <v>894</v>
      </c>
      <c r="L399" s="15"/>
      <c r="M399" s="15" t="s">
        <v>895</v>
      </c>
      <c r="N399" s="15"/>
      <c r="O399" s="15"/>
      <c r="P399" s="15" t="n">
        <v>3.686</v>
      </c>
      <c r="Q399" s="15" t="n">
        <v>4.05</v>
      </c>
      <c r="R399" s="15" t="n">
        <v>92</v>
      </c>
      <c r="S399" s="15" t="s">
        <v>833</v>
      </c>
      <c r="T399" s="15" t="n">
        <v>92</v>
      </c>
      <c r="U399" s="15" t="s">
        <v>892</v>
      </c>
      <c r="V399" s="15" t="s">
        <v>849</v>
      </c>
      <c r="W399" s="15"/>
      <c r="X399" s="15" t="s">
        <v>353</v>
      </c>
      <c r="Y399" s="15" t="n">
        <v>25</v>
      </c>
      <c r="Z399" s="15" t="s">
        <v>845</v>
      </c>
      <c r="AA399" s="15" t="n">
        <v>0</v>
      </c>
      <c r="AB399" s="15" t="n">
        <v>0</v>
      </c>
      <c r="AC399" s="15" t="n">
        <v>0</v>
      </c>
      <c r="AD399" s="15"/>
      <c r="AE399" s="15"/>
      <c r="AF399" s="15" t="s">
        <v>169</v>
      </c>
      <c r="AG399" s="15"/>
      <c r="AH399" s="24" t="n">
        <f aca="false">IF(R399="",AM399,R399)</f>
        <v>92</v>
      </c>
      <c r="AI399" s="24" t="n">
        <f aca="false">SUMIFS(Permissions!$G$2:$G$3000,Permissions!$B$2:$B$3000,$A399,Permissions!$I$2:$I$3000,"Complete",Permissions!$R$2:$R$3000,"Yes")</f>
        <v>0</v>
      </c>
      <c r="AJ399" s="24" t="n">
        <f aca="false">SUMIFS(Permissions!$G$2:$G$3000,Permissions!$B$2:$B$3000,$A399,Permissions!$I$2:$I$3000,"Under construction",Permissions!$R$2:$R$3000,"Yes")</f>
        <v>0</v>
      </c>
      <c r="AK399" s="24" t="n">
        <f aca="false">SUMIFS(Permissions!$G$2:$G$3000,Permissions!$B$2:$B$3000,$A399,Permissions!$I$2:$I$3000,"Permitted – not started",Permissions!$R$2:$R$3000,"Yes")</f>
        <v>0</v>
      </c>
      <c r="AL399" s="24" t="n">
        <f aca="false">SUMIFS(Permissions!$G$2:$G$3000,Permissions!$B$2:$B$3000,$A399,Permissions!$I$2:$I$3000,"Stalled",Permissions!$R$2:$R$3000,"Yes")</f>
        <v>0</v>
      </c>
      <c r="AM399" s="24" t="n">
        <f aca="false">AI399+AJ399+AK399+AL399</f>
        <v>0</v>
      </c>
      <c r="AN399" s="24" t="n">
        <f aca="false">SUMIFS(Permissions!$G$2:$G$3000,Permissions!$B$2:$B$3000,$A399,Permissions!$I$2:$I$3000,"Expired – not started",Permissions!$R$2:$R$3000,"Yes")</f>
        <v>0</v>
      </c>
      <c r="AO399" s="24" t="n">
        <f aca="false">SUMIFS(Permissions!$G$2:$G$3000,Permissions!$B$2:$B$3000,$A399,Permissions!$I$2:$I$3000,"In planning",Permissions!$R$2:$R$3000,"Yes")</f>
        <v>0</v>
      </c>
      <c r="AP399" s="24" t="n">
        <f aca="false">IF(R399="",0,MAX(R399-AM399,0))</f>
        <v>92</v>
      </c>
      <c r="AQ399" s="25" t="n">
        <f aca="false">AM399+AP399</f>
        <v>92</v>
      </c>
      <c r="AR399" s="24" t="n">
        <f aca="false">SUMIFS(Permissions!$L$2:$L$3000,Permissions!$B$2:$B$3000,$A399,Permissions!$R$2:$R$3000,"Yes",Permissions!$I$2:$I$3000,"&lt;&gt;Expired – not started",Permissions!$I$2:$I$3000,"&lt;&gt;In planning")</f>
        <v>0</v>
      </c>
      <c r="AS399" s="24" t="n">
        <f aca="false">AQ399-AR399</f>
        <v>92</v>
      </c>
      <c r="AT399" s="26" t="n">
        <f aca="false">SUMIFS(Permissions!$AJ$2:$AJ$3000,Permissions!$B$2:$B$3000,$A399,Permissions!$R$2:$R$3000,"Yes")</f>
        <v>0</v>
      </c>
      <c r="AU399" s="26" t="n">
        <f aca="false">SUMIFS(Permissions!$AK$2:$AK$3000,Permissions!$B$2:$B$3000,$A399,Permissions!$R$2:$R$3000,"Yes")</f>
        <v>0</v>
      </c>
      <c r="AV399" s="26" t="n">
        <f aca="false">SUMIFS(Permissions!$AL$2:$AL$3000,Permissions!$B$2:$B$3000,$A399,Permissions!$R$2:$R$3000,"Yes")</f>
        <v>0</v>
      </c>
      <c r="AW399" s="26" t="n">
        <f aca="false">SUMIFS(Permissions!$AM$2:$AM$3000,Permissions!$B$2:$B$3000,$A399,Permissions!$R$2:$R$3000,"Yes")</f>
        <v>0</v>
      </c>
      <c r="AX399" s="26" t="n">
        <f aca="false">SUMIFS(Permissions!$AN$2:$AN$3000,Permissions!$B$2:$B$3000,$A399,Permissions!$R$2:$R$3000,"Yes")</f>
        <v>0</v>
      </c>
      <c r="AY399" s="26" t="n">
        <f aca="false">SUMIFS(Permissions!$AO$2:$AO$3000,Permissions!$B$2:$B$3000,$A399,Permissions!$R$2:$R$3000,"Yes")</f>
        <v>0</v>
      </c>
      <c r="AZ399" s="24" t="n">
        <f aca="false">COUNTIFS(Permissions!$B$2:$B$3000,$A399,Permissions!$R$2:$R$3000,"Yes")</f>
        <v>0</v>
      </c>
      <c r="BA399" s="24" t="n">
        <f aca="false">SUMIFS(Permissions!$M$2:$M$3000,Permissions!$B$2:$B$3000,$A399,Permissions!$R$2:$R$3000,"Yes")</f>
        <v>0</v>
      </c>
      <c r="BB399" s="24" t="n">
        <f aca="false">SUMIFS(Permissions!$O$2:$O$3000,Permissions!$B$2:$B$3000,$A399,Permissions!$R$2:$R$3000,"Yes")</f>
        <v>0</v>
      </c>
      <c r="BC399" s="27" t="str">
        <f aca="false">IF(AND(AM399&gt;0,AR399&gt;=AM399,AP399=0),"Finished",IF(AR399&gt;0,"Partly built",IF(AM399&gt;0,"Consented – not built","No consent")))</f>
        <v>No consent</v>
      </c>
      <c r="BD399" s="28" t="str">
        <f aca="false">IF(AND(R399&lt;&gt;"",AM399&gt;1.1*R399),"Consented above capacity",IF(AND(LEFT(B399,8)="Planning",AZ399=0),"Consent parcel with no permission",IF(COUNTIF($A$2:$A$3000,$A399)&gt;1,"Duplicate parcel_id","")))</f>
        <v/>
      </c>
    </row>
    <row r="400" customFormat="false" ht="15" hidden="false" customHeight="false" outlineLevel="0" collapsed="false">
      <c r="A400" s="15" t="s">
        <v>899</v>
      </c>
      <c r="B400" s="15" t="s">
        <v>13</v>
      </c>
      <c r="C400" s="15" t="s">
        <v>17</v>
      </c>
      <c r="D400" s="15" t="s">
        <v>70</v>
      </c>
      <c r="E400" s="15" t="s">
        <v>21</v>
      </c>
      <c r="F400" s="15" t="n">
        <v>1</v>
      </c>
      <c r="G400" s="15" t="s">
        <v>158</v>
      </c>
      <c r="H400" s="15"/>
      <c r="I400" s="15" t="s">
        <v>17</v>
      </c>
      <c r="J400" s="15" t="s">
        <v>347</v>
      </c>
      <c r="K400" s="15" t="s">
        <v>894</v>
      </c>
      <c r="L400" s="15"/>
      <c r="M400" s="15" t="s">
        <v>895</v>
      </c>
      <c r="N400" s="15"/>
      <c r="O400" s="15"/>
      <c r="P400" s="15" t="n">
        <v>0.449</v>
      </c>
      <c r="Q400" s="15" t="n">
        <v>0.494</v>
      </c>
      <c r="R400" s="15" t="n">
        <v>11</v>
      </c>
      <c r="S400" s="15" t="s">
        <v>833</v>
      </c>
      <c r="T400" s="15" t="n">
        <v>11</v>
      </c>
      <c r="U400" s="15" t="s">
        <v>892</v>
      </c>
      <c r="V400" s="15" t="s">
        <v>849</v>
      </c>
      <c r="W400" s="15"/>
      <c r="X400" s="15" t="s">
        <v>353</v>
      </c>
      <c r="Y400" s="15" t="n">
        <v>25</v>
      </c>
      <c r="Z400" s="15" t="s">
        <v>845</v>
      </c>
      <c r="AA400" s="15" t="n">
        <v>0</v>
      </c>
      <c r="AB400" s="15" t="n">
        <v>0</v>
      </c>
      <c r="AC400" s="15" t="n">
        <v>0</v>
      </c>
      <c r="AD400" s="15"/>
      <c r="AE400" s="15"/>
      <c r="AF400" s="15" t="s">
        <v>169</v>
      </c>
      <c r="AG400" s="15"/>
      <c r="AH400" s="24" t="n">
        <f aca="false">IF(R400="",AM400,R400)</f>
        <v>11</v>
      </c>
      <c r="AI400" s="24" t="n">
        <f aca="false">SUMIFS(Permissions!$G$2:$G$3000,Permissions!$B$2:$B$3000,$A400,Permissions!$I$2:$I$3000,"Complete",Permissions!$R$2:$R$3000,"Yes")</f>
        <v>0</v>
      </c>
      <c r="AJ400" s="24" t="n">
        <f aca="false">SUMIFS(Permissions!$G$2:$G$3000,Permissions!$B$2:$B$3000,$A400,Permissions!$I$2:$I$3000,"Under construction",Permissions!$R$2:$R$3000,"Yes")</f>
        <v>0</v>
      </c>
      <c r="AK400" s="24" t="n">
        <f aca="false">SUMIFS(Permissions!$G$2:$G$3000,Permissions!$B$2:$B$3000,$A400,Permissions!$I$2:$I$3000,"Permitted – not started",Permissions!$R$2:$R$3000,"Yes")</f>
        <v>0</v>
      </c>
      <c r="AL400" s="24" t="n">
        <f aca="false">SUMIFS(Permissions!$G$2:$G$3000,Permissions!$B$2:$B$3000,$A400,Permissions!$I$2:$I$3000,"Stalled",Permissions!$R$2:$R$3000,"Yes")</f>
        <v>0</v>
      </c>
      <c r="AM400" s="24" t="n">
        <f aca="false">AI400+AJ400+AK400+AL400</f>
        <v>0</v>
      </c>
      <c r="AN400" s="24" t="n">
        <f aca="false">SUMIFS(Permissions!$G$2:$G$3000,Permissions!$B$2:$B$3000,$A400,Permissions!$I$2:$I$3000,"Expired – not started",Permissions!$R$2:$R$3000,"Yes")</f>
        <v>0</v>
      </c>
      <c r="AO400" s="24" t="n">
        <f aca="false">SUMIFS(Permissions!$G$2:$G$3000,Permissions!$B$2:$B$3000,$A400,Permissions!$I$2:$I$3000,"In planning",Permissions!$R$2:$R$3000,"Yes")</f>
        <v>0</v>
      </c>
      <c r="AP400" s="24" t="n">
        <f aca="false">IF(R400="",0,MAX(R400-AM400,0))</f>
        <v>11</v>
      </c>
      <c r="AQ400" s="25" t="n">
        <f aca="false">AM400+AP400</f>
        <v>11</v>
      </c>
      <c r="AR400" s="24" t="n">
        <f aca="false">SUMIFS(Permissions!$L$2:$L$3000,Permissions!$B$2:$B$3000,$A400,Permissions!$R$2:$R$3000,"Yes",Permissions!$I$2:$I$3000,"&lt;&gt;Expired – not started",Permissions!$I$2:$I$3000,"&lt;&gt;In planning")</f>
        <v>0</v>
      </c>
      <c r="AS400" s="24" t="n">
        <f aca="false">AQ400-AR400</f>
        <v>11</v>
      </c>
      <c r="AT400" s="26" t="n">
        <f aca="false">SUMIFS(Permissions!$AJ$2:$AJ$3000,Permissions!$B$2:$B$3000,$A400,Permissions!$R$2:$R$3000,"Yes")</f>
        <v>0</v>
      </c>
      <c r="AU400" s="26" t="n">
        <f aca="false">SUMIFS(Permissions!$AK$2:$AK$3000,Permissions!$B$2:$B$3000,$A400,Permissions!$R$2:$R$3000,"Yes")</f>
        <v>0</v>
      </c>
      <c r="AV400" s="26" t="n">
        <f aca="false">SUMIFS(Permissions!$AL$2:$AL$3000,Permissions!$B$2:$B$3000,$A400,Permissions!$R$2:$R$3000,"Yes")</f>
        <v>0</v>
      </c>
      <c r="AW400" s="26" t="n">
        <f aca="false">SUMIFS(Permissions!$AM$2:$AM$3000,Permissions!$B$2:$B$3000,$A400,Permissions!$R$2:$R$3000,"Yes")</f>
        <v>0</v>
      </c>
      <c r="AX400" s="26" t="n">
        <f aca="false">SUMIFS(Permissions!$AN$2:$AN$3000,Permissions!$B$2:$B$3000,$A400,Permissions!$R$2:$R$3000,"Yes")</f>
        <v>0</v>
      </c>
      <c r="AY400" s="26" t="n">
        <f aca="false">SUMIFS(Permissions!$AO$2:$AO$3000,Permissions!$B$2:$B$3000,$A400,Permissions!$R$2:$R$3000,"Yes")</f>
        <v>0</v>
      </c>
      <c r="AZ400" s="24" t="n">
        <f aca="false">COUNTIFS(Permissions!$B$2:$B$3000,$A400,Permissions!$R$2:$R$3000,"Yes")</f>
        <v>0</v>
      </c>
      <c r="BA400" s="24" t="n">
        <f aca="false">SUMIFS(Permissions!$M$2:$M$3000,Permissions!$B$2:$B$3000,$A400,Permissions!$R$2:$R$3000,"Yes")</f>
        <v>0</v>
      </c>
      <c r="BB400" s="24" t="n">
        <f aca="false">SUMIFS(Permissions!$O$2:$O$3000,Permissions!$B$2:$B$3000,$A400,Permissions!$R$2:$R$3000,"Yes")</f>
        <v>0</v>
      </c>
      <c r="BC400" s="27" t="str">
        <f aca="false">IF(AND(AM400&gt;0,AR400&gt;=AM400,AP400=0),"Finished",IF(AR400&gt;0,"Partly built",IF(AM400&gt;0,"Consented – not built","No consent")))</f>
        <v>No consent</v>
      </c>
      <c r="BD400" s="28" t="str">
        <f aca="false">IF(AND(R400&lt;&gt;"",AM400&gt;1.1*R400),"Consented above capacity",IF(AND(LEFT(B400,8)="Planning",AZ400=0),"Consent parcel with no permission",IF(COUNTIF($A$2:$A$3000,$A400)&gt;1,"Duplicate parcel_id","")))</f>
        <v/>
      </c>
    </row>
    <row r="401" customFormat="false" ht="15" hidden="false" customHeight="false" outlineLevel="0" collapsed="false">
      <c r="A401" s="15" t="s">
        <v>900</v>
      </c>
      <c r="B401" s="15" t="s">
        <v>13</v>
      </c>
      <c r="C401" s="15" t="s">
        <v>17</v>
      </c>
      <c r="D401" s="15" t="s">
        <v>70</v>
      </c>
      <c r="E401" s="15" t="s">
        <v>21</v>
      </c>
      <c r="F401" s="15" t="n">
        <v>1</v>
      </c>
      <c r="G401" s="15" t="s">
        <v>158</v>
      </c>
      <c r="H401" s="15"/>
      <c r="I401" s="15" t="s">
        <v>17</v>
      </c>
      <c r="J401" s="15" t="s">
        <v>347</v>
      </c>
      <c r="K401" s="15" t="s">
        <v>890</v>
      </c>
      <c r="L401" s="15"/>
      <c r="M401" s="15" t="s">
        <v>891</v>
      </c>
      <c r="N401" s="15"/>
      <c r="O401" s="15"/>
      <c r="P401" s="15" t="n">
        <v>2.435</v>
      </c>
      <c r="Q401" s="15" t="n">
        <v>2.676</v>
      </c>
      <c r="R401" s="15" t="n">
        <v>46</v>
      </c>
      <c r="S401" s="15" t="s">
        <v>833</v>
      </c>
      <c r="T401" s="15" t="n">
        <v>46</v>
      </c>
      <c r="U401" s="15" t="s">
        <v>892</v>
      </c>
      <c r="V401" s="15" t="s">
        <v>849</v>
      </c>
      <c r="W401" s="15"/>
      <c r="X401" s="15" t="s">
        <v>850</v>
      </c>
      <c r="Y401" s="15" t="n">
        <v>19</v>
      </c>
      <c r="Z401" s="15" t="s">
        <v>851</v>
      </c>
      <c r="AA401" s="15" t="n">
        <v>0</v>
      </c>
      <c r="AB401" s="15" t="n">
        <v>0</v>
      </c>
      <c r="AC401" s="15" t="n">
        <v>0</v>
      </c>
      <c r="AD401" s="15"/>
      <c r="AE401" s="15"/>
      <c r="AF401" s="15" t="s">
        <v>169</v>
      </c>
      <c r="AG401" s="15"/>
      <c r="AH401" s="24" t="n">
        <f aca="false">IF(R401="",AM401,R401)</f>
        <v>46</v>
      </c>
      <c r="AI401" s="24" t="n">
        <f aca="false">SUMIFS(Permissions!$G$2:$G$3000,Permissions!$B$2:$B$3000,$A401,Permissions!$I$2:$I$3000,"Complete",Permissions!$R$2:$R$3000,"Yes")</f>
        <v>0</v>
      </c>
      <c r="AJ401" s="24" t="n">
        <f aca="false">SUMIFS(Permissions!$G$2:$G$3000,Permissions!$B$2:$B$3000,$A401,Permissions!$I$2:$I$3000,"Under construction",Permissions!$R$2:$R$3000,"Yes")</f>
        <v>0</v>
      </c>
      <c r="AK401" s="24" t="n">
        <f aca="false">SUMIFS(Permissions!$G$2:$G$3000,Permissions!$B$2:$B$3000,$A401,Permissions!$I$2:$I$3000,"Permitted – not started",Permissions!$R$2:$R$3000,"Yes")</f>
        <v>0</v>
      </c>
      <c r="AL401" s="24" t="n">
        <f aca="false">SUMIFS(Permissions!$G$2:$G$3000,Permissions!$B$2:$B$3000,$A401,Permissions!$I$2:$I$3000,"Stalled",Permissions!$R$2:$R$3000,"Yes")</f>
        <v>0</v>
      </c>
      <c r="AM401" s="24" t="n">
        <f aca="false">AI401+AJ401+AK401+AL401</f>
        <v>0</v>
      </c>
      <c r="AN401" s="24" t="n">
        <f aca="false">SUMIFS(Permissions!$G$2:$G$3000,Permissions!$B$2:$B$3000,$A401,Permissions!$I$2:$I$3000,"Expired – not started",Permissions!$R$2:$R$3000,"Yes")</f>
        <v>0</v>
      </c>
      <c r="AO401" s="24" t="n">
        <f aca="false">SUMIFS(Permissions!$G$2:$G$3000,Permissions!$B$2:$B$3000,$A401,Permissions!$I$2:$I$3000,"In planning",Permissions!$R$2:$R$3000,"Yes")</f>
        <v>0</v>
      </c>
      <c r="AP401" s="24" t="n">
        <f aca="false">IF(R401="",0,MAX(R401-AM401,0))</f>
        <v>46</v>
      </c>
      <c r="AQ401" s="25" t="n">
        <f aca="false">AM401+AP401</f>
        <v>46</v>
      </c>
      <c r="AR401" s="24" t="n">
        <f aca="false">SUMIFS(Permissions!$L$2:$L$3000,Permissions!$B$2:$B$3000,$A401,Permissions!$R$2:$R$3000,"Yes",Permissions!$I$2:$I$3000,"&lt;&gt;Expired – not started",Permissions!$I$2:$I$3000,"&lt;&gt;In planning")</f>
        <v>0</v>
      </c>
      <c r="AS401" s="24" t="n">
        <f aca="false">AQ401-AR401</f>
        <v>46</v>
      </c>
      <c r="AT401" s="26" t="n">
        <f aca="false">SUMIFS(Permissions!$AJ$2:$AJ$3000,Permissions!$B$2:$B$3000,$A401,Permissions!$R$2:$R$3000,"Yes")</f>
        <v>0</v>
      </c>
      <c r="AU401" s="26" t="n">
        <f aca="false">SUMIFS(Permissions!$AK$2:$AK$3000,Permissions!$B$2:$B$3000,$A401,Permissions!$R$2:$R$3000,"Yes")</f>
        <v>0</v>
      </c>
      <c r="AV401" s="26" t="n">
        <f aca="false">SUMIFS(Permissions!$AL$2:$AL$3000,Permissions!$B$2:$B$3000,$A401,Permissions!$R$2:$R$3000,"Yes")</f>
        <v>0</v>
      </c>
      <c r="AW401" s="26" t="n">
        <f aca="false">SUMIFS(Permissions!$AM$2:$AM$3000,Permissions!$B$2:$B$3000,$A401,Permissions!$R$2:$R$3000,"Yes")</f>
        <v>0</v>
      </c>
      <c r="AX401" s="26" t="n">
        <f aca="false">SUMIFS(Permissions!$AN$2:$AN$3000,Permissions!$B$2:$B$3000,$A401,Permissions!$R$2:$R$3000,"Yes")</f>
        <v>0</v>
      </c>
      <c r="AY401" s="26" t="n">
        <f aca="false">SUMIFS(Permissions!$AO$2:$AO$3000,Permissions!$B$2:$B$3000,$A401,Permissions!$R$2:$R$3000,"Yes")</f>
        <v>0</v>
      </c>
      <c r="AZ401" s="24" t="n">
        <f aca="false">COUNTIFS(Permissions!$B$2:$B$3000,$A401,Permissions!$R$2:$R$3000,"Yes")</f>
        <v>0</v>
      </c>
      <c r="BA401" s="24" t="n">
        <f aca="false">SUMIFS(Permissions!$M$2:$M$3000,Permissions!$B$2:$B$3000,$A401,Permissions!$R$2:$R$3000,"Yes")</f>
        <v>0</v>
      </c>
      <c r="BB401" s="24" t="n">
        <f aca="false">SUMIFS(Permissions!$O$2:$O$3000,Permissions!$B$2:$B$3000,$A401,Permissions!$R$2:$R$3000,"Yes")</f>
        <v>0</v>
      </c>
      <c r="BC401" s="27" t="str">
        <f aca="false">IF(AND(AM401&gt;0,AR401&gt;=AM401,AP401=0),"Finished",IF(AR401&gt;0,"Partly built",IF(AM401&gt;0,"Consented – not built","No consent")))</f>
        <v>No consent</v>
      </c>
      <c r="BD401" s="28" t="str">
        <f aca="false">IF(AND(R401&lt;&gt;"",AM401&gt;1.1*R401),"Consented above capacity",IF(AND(LEFT(B401,8)="Planning",AZ401=0),"Consent parcel with no permission",IF(COUNTIF($A$2:$A$3000,$A401)&gt;1,"Duplicate parcel_id","")))</f>
        <v/>
      </c>
    </row>
    <row r="402" customFormat="false" ht="15" hidden="false" customHeight="false" outlineLevel="0" collapsed="false">
      <c r="A402" s="15" t="s">
        <v>901</v>
      </c>
      <c r="B402" s="15" t="s">
        <v>13</v>
      </c>
      <c r="C402" s="15" t="s">
        <v>17</v>
      </c>
      <c r="D402" s="15" t="s">
        <v>63</v>
      </c>
      <c r="E402" s="15" t="s">
        <v>20</v>
      </c>
      <c r="F402" s="15" t="n">
        <v>0</v>
      </c>
      <c r="G402" s="15" t="s">
        <v>902</v>
      </c>
      <c r="H402" s="15"/>
      <c r="I402" s="15" t="s">
        <v>17</v>
      </c>
      <c r="J402" s="15" t="s">
        <v>363</v>
      </c>
      <c r="K402" s="15" t="s">
        <v>903</v>
      </c>
      <c r="L402" s="15"/>
      <c r="M402" s="15" t="s">
        <v>895</v>
      </c>
      <c r="N402" s="15"/>
      <c r="O402" s="15"/>
      <c r="P402" s="15" t="n">
        <v>3.4</v>
      </c>
      <c r="Q402" s="15" t="n">
        <v>3.736</v>
      </c>
      <c r="R402" s="15" t="n">
        <v>85</v>
      </c>
      <c r="S402" s="15" t="s">
        <v>833</v>
      </c>
      <c r="T402" s="15" t="n">
        <v>85</v>
      </c>
      <c r="U402" s="15" t="s">
        <v>904</v>
      </c>
      <c r="V402" s="15" t="s">
        <v>849</v>
      </c>
      <c r="W402" s="15"/>
      <c r="X402" s="15" t="s">
        <v>353</v>
      </c>
      <c r="Y402" s="15" t="n">
        <v>25</v>
      </c>
      <c r="Z402" s="15" t="s">
        <v>845</v>
      </c>
      <c r="AA402" s="15" t="n">
        <v>1</v>
      </c>
      <c r="AB402" s="15" t="n">
        <v>0</v>
      </c>
      <c r="AC402" s="15" t="n">
        <v>0</v>
      </c>
      <c r="AD402" s="15"/>
      <c r="AE402" s="15"/>
      <c r="AF402" s="15" t="s">
        <v>169</v>
      </c>
      <c r="AG402" s="15"/>
      <c r="AH402" s="24" t="n">
        <f aca="false">IF(R402="",AM402,R402)</f>
        <v>85</v>
      </c>
      <c r="AI402" s="24" t="n">
        <f aca="false">SUMIFS(Permissions!$G$2:$G$3000,Permissions!$B$2:$B$3000,$A402,Permissions!$I$2:$I$3000,"Complete",Permissions!$R$2:$R$3000,"Yes")</f>
        <v>0</v>
      </c>
      <c r="AJ402" s="24" t="n">
        <f aca="false">SUMIFS(Permissions!$G$2:$G$3000,Permissions!$B$2:$B$3000,$A402,Permissions!$I$2:$I$3000,"Under construction",Permissions!$R$2:$R$3000,"Yes")</f>
        <v>0</v>
      </c>
      <c r="AK402" s="24" t="n">
        <f aca="false">SUMIFS(Permissions!$G$2:$G$3000,Permissions!$B$2:$B$3000,$A402,Permissions!$I$2:$I$3000,"Permitted – not started",Permissions!$R$2:$R$3000,"Yes")</f>
        <v>0</v>
      </c>
      <c r="AL402" s="24" t="n">
        <f aca="false">SUMIFS(Permissions!$G$2:$G$3000,Permissions!$B$2:$B$3000,$A402,Permissions!$I$2:$I$3000,"Stalled",Permissions!$R$2:$R$3000,"Yes")</f>
        <v>0</v>
      </c>
      <c r="AM402" s="24" t="n">
        <f aca="false">AI402+AJ402+AK402+AL402</f>
        <v>0</v>
      </c>
      <c r="AN402" s="24" t="n">
        <f aca="false">SUMIFS(Permissions!$G$2:$G$3000,Permissions!$B$2:$B$3000,$A402,Permissions!$I$2:$I$3000,"Expired – not started",Permissions!$R$2:$R$3000,"Yes")</f>
        <v>0</v>
      </c>
      <c r="AO402" s="24" t="n">
        <f aca="false">SUMIFS(Permissions!$G$2:$G$3000,Permissions!$B$2:$B$3000,$A402,Permissions!$I$2:$I$3000,"In planning",Permissions!$R$2:$R$3000,"Yes")</f>
        <v>0</v>
      </c>
      <c r="AP402" s="24" t="n">
        <f aca="false">IF(R402="",0,MAX(R402-AM402,0))</f>
        <v>85</v>
      </c>
      <c r="AQ402" s="25" t="n">
        <f aca="false">AM402+AP402</f>
        <v>85</v>
      </c>
      <c r="AR402" s="24" t="n">
        <f aca="false">SUMIFS(Permissions!$L$2:$L$3000,Permissions!$B$2:$B$3000,$A402,Permissions!$R$2:$R$3000,"Yes",Permissions!$I$2:$I$3000,"&lt;&gt;Expired – not started",Permissions!$I$2:$I$3000,"&lt;&gt;In planning")</f>
        <v>0</v>
      </c>
      <c r="AS402" s="24" t="n">
        <f aca="false">AQ402-AR402</f>
        <v>85</v>
      </c>
      <c r="AT402" s="26" t="n">
        <f aca="false">SUMIFS(Permissions!$AJ$2:$AJ$3000,Permissions!$B$2:$B$3000,$A402,Permissions!$R$2:$R$3000,"Yes")</f>
        <v>0</v>
      </c>
      <c r="AU402" s="26" t="n">
        <f aca="false">SUMIFS(Permissions!$AK$2:$AK$3000,Permissions!$B$2:$B$3000,$A402,Permissions!$R$2:$R$3000,"Yes")</f>
        <v>0</v>
      </c>
      <c r="AV402" s="26" t="n">
        <f aca="false">SUMIFS(Permissions!$AL$2:$AL$3000,Permissions!$B$2:$B$3000,$A402,Permissions!$R$2:$R$3000,"Yes")</f>
        <v>0</v>
      </c>
      <c r="AW402" s="26" t="n">
        <f aca="false">SUMIFS(Permissions!$AM$2:$AM$3000,Permissions!$B$2:$B$3000,$A402,Permissions!$R$2:$R$3000,"Yes")</f>
        <v>0</v>
      </c>
      <c r="AX402" s="26" t="n">
        <f aca="false">SUMIFS(Permissions!$AN$2:$AN$3000,Permissions!$B$2:$B$3000,$A402,Permissions!$R$2:$R$3000,"Yes")</f>
        <v>0</v>
      </c>
      <c r="AY402" s="26" t="n">
        <f aca="false">SUMIFS(Permissions!$AO$2:$AO$3000,Permissions!$B$2:$B$3000,$A402,Permissions!$R$2:$R$3000,"Yes")</f>
        <v>0</v>
      </c>
      <c r="AZ402" s="24" t="n">
        <f aca="false">COUNTIFS(Permissions!$B$2:$B$3000,$A402,Permissions!$R$2:$R$3000,"Yes")</f>
        <v>0</v>
      </c>
      <c r="BA402" s="24" t="n">
        <f aca="false">SUMIFS(Permissions!$M$2:$M$3000,Permissions!$B$2:$B$3000,$A402,Permissions!$R$2:$R$3000,"Yes")</f>
        <v>0</v>
      </c>
      <c r="BB402" s="24" t="n">
        <f aca="false">SUMIFS(Permissions!$O$2:$O$3000,Permissions!$B$2:$B$3000,$A402,Permissions!$R$2:$R$3000,"Yes")</f>
        <v>0</v>
      </c>
      <c r="BC402" s="27" t="str">
        <f aca="false">IF(AND(AM402&gt;0,AR402&gt;=AM402,AP402=0),"Finished",IF(AR402&gt;0,"Partly built",IF(AM402&gt;0,"Consented – not built","No consent")))</f>
        <v>No consent</v>
      </c>
      <c r="BD402" s="28" t="str">
        <f aca="false">IF(AND(R402&lt;&gt;"",AM402&gt;1.1*R402),"Consented above capacity",IF(AND(LEFT(B402,8)="Planning",AZ402=0),"Consent parcel with no permission",IF(COUNTIF($A$2:$A$3000,$A402)&gt;1,"Duplicate parcel_id","")))</f>
        <v/>
      </c>
    </row>
    <row r="403" customFormat="false" ht="15" hidden="false" customHeight="false" outlineLevel="0" collapsed="false">
      <c r="A403" s="15" t="s">
        <v>905</v>
      </c>
      <c r="B403" s="15" t="s">
        <v>13</v>
      </c>
      <c r="C403" s="15" t="s">
        <v>17</v>
      </c>
      <c r="D403" s="15" t="s">
        <v>63</v>
      </c>
      <c r="E403" s="15" t="s">
        <v>20</v>
      </c>
      <c r="F403" s="15" t="n">
        <v>0.74</v>
      </c>
      <c r="G403" s="15" t="s">
        <v>158</v>
      </c>
      <c r="H403" s="15"/>
      <c r="I403" s="15" t="s">
        <v>17</v>
      </c>
      <c r="J403" s="15" t="s">
        <v>363</v>
      </c>
      <c r="K403" s="15" t="s">
        <v>903</v>
      </c>
      <c r="L403" s="15"/>
      <c r="M403" s="15" t="s">
        <v>895</v>
      </c>
      <c r="N403" s="15"/>
      <c r="O403" s="15"/>
      <c r="P403" s="15" t="n">
        <v>1.11</v>
      </c>
      <c r="Q403" s="15" t="n">
        <v>1.22</v>
      </c>
      <c r="R403" s="15" t="n">
        <v>28</v>
      </c>
      <c r="S403" s="15" t="s">
        <v>833</v>
      </c>
      <c r="T403" s="15" t="n">
        <v>28</v>
      </c>
      <c r="U403" s="15" t="s">
        <v>904</v>
      </c>
      <c r="V403" s="15" t="s">
        <v>849</v>
      </c>
      <c r="W403" s="15"/>
      <c r="X403" s="15" t="s">
        <v>353</v>
      </c>
      <c r="Y403" s="15" t="n">
        <v>25</v>
      </c>
      <c r="Z403" s="15" t="s">
        <v>845</v>
      </c>
      <c r="AA403" s="15" t="n">
        <v>1</v>
      </c>
      <c r="AB403" s="15" t="n">
        <v>0</v>
      </c>
      <c r="AC403" s="15" t="n">
        <v>0</v>
      </c>
      <c r="AD403" s="15"/>
      <c r="AE403" s="15"/>
      <c r="AF403" s="15" t="s">
        <v>169</v>
      </c>
      <c r="AG403" s="15"/>
      <c r="AH403" s="24" t="n">
        <f aca="false">IF(R403="",AM403,R403)</f>
        <v>28</v>
      </c>
      <c r="AI403" s="24" t="n">
        <f aca="false">SUMIFS(Permissions!$G$2:$G$3000,Permissions!$B$2:$B$3000,$A403,Permissions!$I$2:$I$3000,"Complete",Permissions!$R$2:$R$3000,"Yes")</f>
        <v>0</v>
      </c>
      <c r="AJ403" s="24" t="n">
        <f aca="false">SUMIFS(Permissions!$G$2:$G$3000,Permissions!$B$2:$B$3000,$A403,Permissions!$I$2:$I$3000,"Under construction",Permissions!$R$2:$R$3000,"Yes")</f>
        <v>0</v>
      </c>
      <c r="AK403" s="24" t="n">
        <f aca="false">SUMIFS(Permissions!$G$2:$G$3000,Permissions!$B$2:$B$3000,$A403,Permissions!$I$2:$I$3000,"Permitted – not started",Permissions!$R$2:$R$3000,"Yes")</f>
        <v>0</v>
      </c>
      <c r="AL403" s="24" t="n">
        <f aca="false">SUMIFS(Permissions!$G$2:$G$3000,Permissions!$B$2:$B$3000,$A403,Permissions!$I$2:$I$3000,"Stalled",Permissions!$R$2:$R$3000,"Yes")</f>
        <v>0</v>
      </c>
      <c r="AM403" s="24" t="n">
        <f aca="false">AI403+AJ403+AK403+AL403</f>
        <v>0</v>
      </c>
      <c r="AN403" s="24" t="n">
        <f aca="false">SUMIFS(Permissions!$G$2:$G$3000,Permissions!$B$2:$B$3000,$A403,Permissions!$I$2:$I$3000,"Expired – not started",Permissions!$R$2:$R$3000,"Yes")</f>
        <v>0</v>
      </c>
      <c r="AO403" s="24" t="n">
        <f aca="false">SUMIFS(Permissions!$G$2:$G$3000,Permissions!$B$2:$B$3000,$A403,Permissions!$I$2:$I$3000,"In planning",Permissions!$R$2:$R$3000,"Yes")</f>
        <v>0</v>
      </c>
      <c r="AP403" s="24" t="n">
        <f aca="false">IF(R403="",0,MAX(R403-AM403,0))</f>
        <v>28</v>
      </c>
      <c r="AQ403" s="25" t="n">
        <f aca="false">AM403+AP403</f>
        <v>28</v>
      </c>
      <c r="AR403" s="24" t="n">
        <f aca="false">SUMIFS(Permissions!$L$2:$L$3000,Permissions!$B$2:$B$3000,$A403,Permissions!$R$2:$R$3000,"Yes",Permissions!$I$2:$I$3000,"&lt;&gt;Expired – not started",Permissions!$I$2:$I$3000,"&lt;&gt;In planning")</f>
        <v>0</v>
      </c>
      <c r="AS403" s="24" t="n">
        <f aca="false">AQ403-AR403</f>
        <v>28</v>
      </c>
      <c r="AT403" s="26" t="n">
        <f aca="false">SUMIFS(Permissions!$AJ$2:$AJ$3000,Permissions!$B$2:$B$3000,$A403,Permissions!$R$2:$R$3000,"Yes")</f>
        <v>0</v>
      </c>
      <c r="AU403" s="26" t="n">
        <f aca="false">SUMIFS(Permissions!$AK$2:$AK$3000,Permissions!$B$2:$B$3000,$A403,Permissions!$R$2:$R$3000,"Yes")</f>
        <v>0</v>
      </c>
      <c r="AV403" s="26" t="n">
        <f aca="false">SUMIFS(Permissions!$AL$2:$AL$3000,Permissions!$B$2:$B$3000,$A403,Permissions!$R$2:$R$3000,"Yes")</f>
        <v>0</v>
      </c>
      <c r="AW403" s="26" t="n">
        <f aca="false">SUMIFS(Permissions!$AM$2:$AM$3000,Permissions!$B$2:$B$3000,$A403,Permissions!$R$2:$R$3000,"Yes")</f>
        <v>0</v>
      </c>
      <c r="AX403" s="26" t="n">
        <f aca="false">SUMIFS(Permissions!$AN$2:$AN$3000,Permissions!$B$2:$B$3000,$A403,Permissions!$R$2:$R$3000,"Yes")</f>
        <v>0</v>
      </c>
      <c r="AY403" s="26" t="n">
        <f aca="false">SUMIFS(Permissions!$AO$2:$AO$3000,Permissions!$B$2:$B$3000,$A403,Permissions!$R$2:$R$3000,"Yes")</f>
        <v>0</v>
      </c>
      <c r="AZ403" s="24" t="n">
        <f aca="false">COUNTIFS(Permissions!$B$2:$B$3000,$A403,Permissions!$R$2:$R$3000,"Yes")</f>
        <v>0</v>
      </c>
      <c r="BA403" s="24" t="n">
        <f aca="false">SUMIFS(Permissions!$M$2:$M$3000,Permissions!$B$2:$B$3000,$A403,Permissions!$R$2:$R$3000,"Yes")</f>
        <v>0</v>
      </c>
      <c r="BB403" s="24" t="n">
        <f aca="false">SUMIFS(Permissions!$O$2:$O$3000,Permissions!$B$2:$B$3000,$A403,Permissions!$R$2:$R$3000,"Yes")</f>
        <v>0</v>
      </c>
      <c r="BC403" s="27" t="str">
        <f aca="false">IF(AND(AM403&gt;0,AR403&gt;=AM403,AP403=0),"Finished",IF(AR403&gt;0,"Partly built",IF(AM403&gt;0,"Consented – not built","No consent")))</f>
        <v>No consent</v>
      </c>
      <c r="BD403" s="28" t="str">
        <f aca="false">IF(AND(R403&lt;&gt;"",AM403&gt;1.1*R403),"Consented above capacity",IF(AND(LEFT(B403,8)="Planning",AZ403=0),"Consent parcel with no permission",IF(COUNTIF($A$2:$A$3000,$A403)&gt;1,"Duplicate parcel_id","")))</f>
        <v/>
      </c>
    </row>
    <row r="404" customFormat="false" ht="15" hidden="false" customHeight="false" outlineLevel="0" collapsed="false">
      <c r="A404" s="15" t="s">
        <v>906</v>
      </c>
      <c r="B404" s="15" t="s">
        <v>13</v>
      </c>
      <c r="C404" s="15" t="s">
        <v>17</v>
      </c>
      <c r="D404" s="15" t="s">
        <v>63</v>
      </c>
      <c r="E404" s="15" t="s">
        <v>20</v>
      </c>
      <c r="F404" s="15" t="n">
        <v>0</v>
      </c>
      <c r="G404" s="15" t="s">
        <v>902</v>
      </c>
      <c r="H404" s="15"/>
      <c r="I404" s="15" t="s">
        <v>17</v>
      </c>
      <c r="J404" s="15" t="s">
        <v>363</v>
      </c>
      <c r="K404" s="15" t="s">
        <v>903</v>
      </c>
      <c r="L404" s="15"/>
      <c r="M404" s="15" t="s">
        <v>895</v>
      </c>
      <c r="N404" s="15"/>
      <c r="O404" s="15"/>
      <c r="P404" s="15" t="n">
        <v>1.218</v>
      </c>
      <c r="Q404" s="15" t="n">
        <v>1.339</v>
      </c>
      <c r="R404" s="15" t="n">
        <v>30</v>
      </c>
      <c r="S404" s="15" t="s">
        <v>833</v>
      </c>
      <c r="T404" s="15" t="n">
        <v>30</v>
      </c>
      <c r="U404" s="15" t="s">
        <v>904</v>
      </c>
      <c r="V404" s="15" t="s">
        <v>849</v>
      </c>
      <c r="W404" s="15"/>
      <c r="X404" s="15" t="s">
        <v>353</v>
      </c>
      <c r="Y404" s="15" t="n">
        <v>25</v>
      </c>
      <c r="Z404" s="15" t="s">
        <v>845</v>
      </c>
      <c r="AA404" s="15" t="n">
        <v>0</v>
      </c>
      <c r="AB404" s="15" t="n">
        <v>0</v>
      </c>
      <c r="AC404" s="15" t="n">
        <v>0</v>
      </c>
      <c r="AD404" s="15"/>
      <c r="AE404" s="15"/>
      <c r="AF404" s="15" t="s">
        <v>169</v>
      </c>
      <c r="AG404" s="15"/>
      <c r="AH404" s="24" t="n">
        <f aca="false">IF(R404="",AM404,R404)</f>
        <v>30</v>
      </c>
      <c r="AI404" s="24" t="n">
        <f aca="false">SUMIFS(Permissions!$G$2:$G$3000,Permissions!$B$2:$B$3000,$A404,Permissions!$I$2:$I$3000,"Complete",Permissions!$R$2:$R$3000,"Yes")</f>
        <v>0</v>
      </c>
      <c r="AJ404" s="24" t="n">
        <f aca="false">SUMIFS(Permissions!$G$2:$G$3000,Permissions!$B$2:$B$3000,$A404,Permissions!$I$2:$I$3000,"Under construction",Permissions!$R$2:$R$3000,"Yes")</f>
        <v>0</v>
      </c>
      <c r="AK404" s="24" t="n">
        <f aca="false">SUMIFS(Permissions!$G$2:$G$3000,Permissions!$B$2:$B$3000,$A404,Permissions!$I$2:$I$3000,"Permitted – not started",Permissions!$R$2:$R$3000,"Yes")</f>
        <v>0</v>
      </c>
      <c r="AL404" s="24" t="n">
        <f aca="false">SUMIFS(Permissions!$G$2:$G$3000,Permissions!$B$2:$B$3000,$A404,Permissions!$I$2:$I$3000,"Stalled",Permissions!$R$2:$R$3000,"Yes")</f>
        <v>0</v>
      </c>
      <c r="AM404" s="24" t="n">
        <f aca="false">AI404+AJ404+AK404+AL404</f>
        <v>0</v>
      </c>
      <c r="AN404" s="24" t="n">
        <f aca="false">SUMIFS(Permissions!$G$2:$G$3000,Permissions!$B$2:$B$3000,$A404,Permissions!$I$2:$I$3000,"Expired – not started",Permissions!$R$2:$R$3000,"Yes")</f>
        <v>0</v>
      </c>
      <c r="AO404" s="24" t="n">
        <f aca="false">SUMIFS(Permissions!$G$2:$G$3000,Permissions!$B$2:$B$3000,$A404,Permissions!$I$2:$I$3000,"In planning",Permissions!$R$2:$R$3000,"Yes")</f>
        <v>0</v>
      </c>
      <c r="AP404" s="24" t="n">
        <f aca="false">IF(R404="",0,MAX(R404-AM404,0))</f>
        <v>30</v>
      </c>
      <c r="AQ404" s="25" t="n">
        <f aca="false">AM404+AP404</f>
        <v>30</v>
      </c>
      <c r="AR404" s="24" t="n">
        <f aca="false">SUMIFS(Permissions!$L$2:$L$3000,Permissions!$B$2:$B$3000,$A404,Permissions!$R$2:$R$3000,"Yes",Permissions!$I$2:$I$3000,"&lt;&gt;Expired – not started",Permissions!$I$2:$I$3000,"&lt;&gt;In planning")</f>
        <v>0</v>
      </c>
      <c r="AS404" s="24" t="n">
        <f aca="false">AQ404-AR404</f>
        <v>30</v>
      </c>
      <c r="AT404" s="26" t="n">
        <f aca="false">SUMIFS(Permissions!$AJ$2:$AJ$3000,Permissions!$B$2:$B$3000,$A404,Permissions!$R$2:$R$3000,"Yes")</f>
        <v>0</v>
      </c>
      <c r="AU404" s="26" t="n">
        <f aca="false">SUMIFS(Permissions!$AK$2:$AK$3000,Permissions!$B$2:$B$3000,$A404,Permissions!$R$2:$R$3000,"Yes")</f>
        <v>0</v>
      </c>
      <c r="AV404" s="26" t="n">
        <f aca="false">SUMIFS(Permissions!$AL$2:$AL$3000,Permissions!$B$2:$B$3000,$A404,Permissions!$R$2:$R$3000,"Yes")</f>
        <v>0</v>
      </c>
      <c r="AW404" s="26" t="n">
        <f aca="false">SUMIFS(Permissions!$AM$2:$AM$3000,Permissions!$B$2:$B$3000,$A404,Permissions!$R$2:$R$3000,"Yes")</f>
        <v>0</v>
      </c>
      <c r="AX404" s="26" t="n">
        <f aca="false">SUMIFS(Permissions!$AN$2:$AN$3000,Permissions!$B$2:$B$3000,$A404,Permissions!$R$2:$R$3000,"Yes")</f>
        <v>0</v>
      </c>
      <c r="AY404" s="26" t="n">
        <f aca="false">SUMIFS(Permissions!$AO$2:$AO$3000,Permissions!$B$2:$B$3000,$A404,Permissions!$R$2:$R$3000,"Yes")</f>
        <v>0</v>
      </c>
      <c r="AZ404" s="24" t="n">
        <f aca="false">COUNTIFS(Permissions!$B$2:$B$3000,$A404,Permissions!$R$2:$R$3000,"Yes")</f>
        <v>0</v>
      </c>
      <c r="BA404" s="24" t="n">
        <f aca="false">SUMIFS(Permissions!$M$2:$M$3000,Permissions!$B$2:$B$3000,$A404,Permissions!$R$2:$R$3000,"Yes")</f>
        <v>0</v>
      </c>
      <c r="BB404" s="24" t="n">
        <f aca="false">SUMIFS(Permissions!$O$2:$O$3000,Permissions!$B$2:$B$3000,$A404,Permissions!$R$2:$R$3000,"Yes")</f>
        <v>0</v>
      </c>
      <c r="BC404" s="27" t="str">
        <f aca="false">IF(AND(AM404&gt;0,AR404&gt;=AM404,AP404=0),"Finished",IF(AR404&gt;0,"Partly built",IF(AM404&gt;0,"Consented – not built","No consent")))</f>
        <v>No consent</v>
      </c>
      <c r="BD404" s="28" t="str">
        <f aca="false">IF(AND(R404&lt;&gt;"",AM404&gt;1.1*R404),"Consented above capacity",IF(AND(LEFT(B404,8)="Planning",AZ404=0),"Consent parcel with no permission",IF(COUNTIF($A$2:$A$3000,$A404)&gt;1,"Duplicate parcel_id","")))</f>
        <v/>
      </c>
    </row>
    <row r="405" customFormat="false" ht="15" hidden="false" customHeight="false" outlineLevel="0" collapsed="false">
      <c r="A405" s="15" t="s">
        <v>907</v>
      </c>
      <c r="B405" s="15" t="s">
        <v>13</v>
      </c>
      <c r="C405" s="15" t="s">
        <v>17</v>
      </c>
      <c r="D405" s="15" t="s">
        <v>63</v>
      </c>
      <c r="E405" s="15" t="s">
        <v>20</v>
      </c>
      <c r="F405" s="15" t="n">
        <v>0</v>
      </c>
      <c r="G405" s="15" t="s">
        <v>902</v>
      </c>
      <c r="H405" s="15"/>
      <c r="I405" s="15" t="s">
        <v>17</v>
      </c>
      <c r="J405" s="15" t="s">
        <v>363</v>
      </c>
      <c r="K405" s="15" t="s">
        <v>903</v>
      </c>
      <c r="L405" s="15"/>
      <c r="M405" s="15" t="s">
        <v>895</v>
      </c>
      <c r="N405" s="15"/>
      <c r="O405" s="15"/>
      <c r="P405" s="15" t="n">
        <v>2.527</v>
      </c>
      <c r="Q405" s="15" t="n">
        <v>2.777</v>
      </c>
      <c r="R405" s="15" t="n">
        <v>63</v>
      </c>
      <c r="S405" s="15" t="s">
        <v>833</v>
      </c>
      <c r="T405" s="15" t="n">
        <v>63</v>
      </c>
      <c r="U405" s="15" t="s">
        <v>904</v>
      </c>
      <c r="V405" s="15" t="s">
        <v>849</v>
      </c>
      <c r="W405" s="15"/>
      <c r="X405" s="15" t="s">
        <v>353</v>
      </c>
      <c r="Y405" s="15" t="n">
        <v>25</v>
      </c>
      <c r="Z405" s="15" t="s">
        <v>845</v>
      </c>
      <c r="AA405" s="15" t="n">
        <v>0</v>
      </c>
      <c r="AB405" s="15" t="n">
        <v>0</v>
      </c>
      <c r="AC405" s="15" t="n">
        <v>0</v>
      </c>
      <c r="AD405" s="15"/>
      <c r="AE405" s="15"/>
      <c r="AF405" s="15" t="s">
        <v>169</v>
      </c>
      <c r="AG405" s="15"/>
      <c r="AH405" s="24" t="n">
        <f aca="false">IF(R405="",AM405,R405)</f>
        <v>63</v>
      </c>
      <c r="AI405" s="24" t="n">
        <f aca="false">SUMIFS(Permissions!$G$2:$G$3000,Permissions!$B$2:$B$3000,$A405,Permissions!$I$2:$I$3000,"Complete",Permissions!$R$2:$R$3000,"Yes")</f>
        <v>0</v>
      </c>
      <c r="AJ405" s="24" t="n">
        <f aca="false">SUMIFS(Permissions!$G$2:$G$3000,Permissions!$B$2:$B$3000,$A405,Permissions!$I$2:$I$3000,"Under construction",Permissions!$R$2:$R$3000,"Yes")</f>
        <v>0</v>
      </c>
      <c r="AK405" s="24" t="n">
        <f aca="false">SUMIFS(Permissions!$G$2:$G$3000,Permissions!$B$2:$B$3000,$A405,Permissions!$I$2:$I$3000,"Permitted – not started",Permissions!$R$2:$R$3000,"Yes")</f>
        <v>0</v>
      </c>
      <c r="AL405" s="24" t="n">
        <f aca="false">SUMIFS(Permissions!$G$2:$G$3000,Permissions!$B$2:$B$3000,$A405,Permissions!$I$2:$I$3000,"Stalled",Permissions!$R$2:$R$3000,"Yes")</f>
        <v>0</v>
      </c>
      <c r="AM405" s="24" t="n">
        <f aca="false">AI405+AJ405+AK405+AL405</f>
        <v>0</v>
      </c>
      <c r="AN405" s="24" t="n">
        <f aca="false">SUMIFS(Permissions!$G$2:$G$3000,Permissions!$B$2:$B$3000,$A405,Permissions!$I$2:$I$3000,"Expired – not started",Permissions!$R$2:$R$3000,"Yes")</f>
        <v>0</v>
      </c>
      <c r="AO405" s="24" t="n">
        <f aca="false">SUMIFS(Permissions!$G$2:$G$3000,Permissions!$B$2:$B$3000,$A405,Permissions!$I$2:$I$3000,"In planning",Permissions!$R$2:$R$3000,"Yes")</f>
        <v>0</v>
      </c>
      <c r="AP405" s="24" t="n">
        <f aca="false">IF(R405="",0,MAX(R405-AM405,0))</f>
        <v>63</v>
      </c>
      <c r="AQ405" s="25" t="n">
        <f aca="false">AM405+AP405</f>
        <v>63</v>
      </c>
      <c r="AR405" s="24" t="n">
        <f aca="false">SUMIFS(Permissions!$L$2:$L$3000,Permissions!$B$2:$B$3000,$A405,Permissions!$R$2:$R$3000,"Yes",Permissions!$I$2:$I$3000,"&lt;&gt;Expired – not started",Permissions!$I$2:$I$3000,"&lt;&gt;In planning")</f>
        <v>0</v>
      </c>
      <c r="AS405" s="24" t="n">
        <f aca="false">AQ405-AR405</f>
        <v>63</v>
      </c>
      <c r="AT405" s="26" t="n">
        <f aca="false">SUMIFS(Permissions!$AJ$2:$AJ$3000,Permissions!$B$2:$B$3000,$A405,Permissions!$R$2:$R$3000,"Yes")</f>
        <v>0</v>
      </c>
      <c r="AU405" s="26" t="n">
        <f aca="false">SUMIFS(Permissions!$AK$2:$AK$3000,Permissions!$B$2:$B$3000,$A405,Permissions!$R$2:$R$3000,"Yes")</f>
        <v>0</v>
      </c>
      <c r="AV405" s="26" t="n">
        <f aca="false">SUMIFS(Permissions!$AL$2:$AL$3000,Permissions!$B$2:$B$3000,$A405,Permissions!$R$2:$R$3000,"Yes")</f>
        <v>0</v>
      </c>
      <c r="AW405" s="26" t="n">
        <f aca="false">SUMIFS(Permissions!$AM$2:$AM$3000,Permissions!$B$2:$B$3000,$A405,Permissions!$R$2:$R$3000,"Yes")</f>
        <v>0</v>
      </c>
      <c r="AX405" s="26" t="n">
        <f aca="false">SUMIFS(Permissions!$AN$2:$AN$3000,Permissions!$B$2:$B$3000,$A405,Permissions!$R$2:$R$3000,"Yes")</f>
        <v>0</v>
      </c>
      <c r="AY405" s="26" t="n">
        <f aca="false">SUMIFS(Permissions!$AO$2:$AO$3000,Permissions!$B$2:$B$3000,$A405,Permissions!$R$2:$R$3000,"Yes")</f>
        <v>0</v>
      </c>
      <c r="AZ405" s="24" t="n">
        <f aca="false">COUNTIFS(Permissions!$B$2:$B$3000,$A405,Permissions!$R$2:$R$3000,"Yes")</f>
        <v>0</v>
      </c>
      <c r="BA405" s="24" t="n">
        <f aca="false">SUMIFS(Permissions!$M$2:$M$3000,Permissions!$B$2:$B$3000,$A405,Permissions!$R$2:$R$3000,"Yes")</f>
        <v>0</v>
      </c>
      <c r="BB405" s="24" t="n">
        <f aca="false">SUMIFS(Permissions!$O$2:$O$3000,Permissions!$B$2:$B$3000,$A405,Permissions!$R$2:$R$3000,"Yes")</f>
        <v>0</v>
      </c>
      <c r="BC405" s="27" t="str">
        <f aca="false">IF(AND(AM405&gt;0,AR405&gt;=AM405,AP405=0),"Finished",IF(AR405&gt;0,"Partly built",IF(AM405&gt;0,"Consented – not built","No consent")))</f>
        <v>No consent</v>
      </c>
      <c r="BD405" s="28" t="str">
        <f aca="false">IF(AND(R405&lt;&gt;"",AM405&gt;1.1*R405),"Consented above capacity",IF(AND(LEFT(B405,8)="Planning",AZ405=0),"Consent parcel with no permission",IF(COUNTIF($A$2:$A$3000,$A405)&gt;1,"Duplicate parcel_id","")))</f>
        <v/>
      </c>
    </row>
    <row r="406" customFormat="false" ht="15" hidden="false" customHeight="false" outlineLevel="0" collapsed="false">
      <c r="A406" s="15" t="s">
        <v>908</v>
      </c>
      <c r="B406" s="15" t="s">
        <v>13</v>
      </c>
      <c r="C406" s="15" t="s">
        <v>17</v>
      </c>
      <c r="D406" s="15" t="s">
        <v>63</v>
      </c>
      <c r="E406" s="15" t="s">
        <v>20</v>
      </c>
      <c r="F406" s="15" t="n">
        <v>0</v>
      </c>
      <c r="G406" s="15" t="s">
        <v>902</v>
      </c>
      <c r="H406" s="15"/>
      <c r="I406" s="15" t="s">
        <v>17</v>
      </c>
      <c r="J406" s="15" t="s">
        <v>363</v>
      </c>
      <c r="K406" s="15" t="s">
        <v>903</v>
      </c>
      <c r="L406" s="15"/>
      <c r="M406" s="15" t="s">
        <v>895</v>
      </c>
      <c r="N406" s="15"/>
      <c r="O406" s="15"/>
      <c r="P406" s="15" t="n">
        <v>0.427</v>
      </c>
      <c r="Q406" s="15" t="n">
        <v>0.469</v>
      </c>
      <c r="R406" s="15" t="n">
        <v>11</v>
      </c>
      <c r="S406" s="15" t="s">
        <v>833</v>
      </c>
      <c r="T406" s="15" t="n">
        <v>11</v>
      </c>
      <c r="U406" s="15" t="s">
        <v>904</v>
      </c>
      <c r="V406" s="15" t="s">
        <v>849</v>
      </c>
      <c r="W406" s="15"/>
      <c r="X406" s="15" t="s">
        <v>353</v>
      </c>
      <c r="Y406" s="15" t="n">
        <v>25</v>
      </c>
      <c r="Z406" s="15" t="s">
        <v>845</v>
      </c>
      <c r="AA406" s="15" t="n">
        <v>0</v>
      </c>
      <c r="AB406" s="15" t="n">
        <v>0</v>
      </c>
      <c r="AC406" s="15" t="n">
        <v>0</v>
      </c>
      <c r="AD406" s="15"/>
      <c r="AE406" s="15"/>
      <c r="AF406" s="15" t="s">
        <v>169</v>
      </c>
      <c r="AG406" s="15"/>
      <c r="AH406" s="24" t="n">
        <f aca="false">IF(R406="",AM406,R406)</f>
        <v>11</v>
      </c>
      <c r="AI406" s="24" t="n">
        <f aca="false">SUMIFS(Permissions!$G$2:$G$3000,Permissions!$B$2:$B$3000,$A406,Permissions!$I$2:$I$3000,"Complete",Permissions!$R$2:$R$3000,"Yes")</f>
        <v>0</v>
      </c>
      <c r="AJ406" s="24" t="n">
        <f aca="false">SUMIFS(Permissions!$G$2:$G$3000,Permissions!$B$2:$B$3000,$A406,Permissions!$I$2:$I$3000,"Under construction",Permissions!$R$2:$R$3000,"Yes")</f>
        <v>0</v>
      </c>
      <c r="AK406" s="24" t="n">
        <f aca="false">SUMIFS(Permissions!$G$2:$G$3000,Permissions!$B$2:$B$3000,$A406,Permissions!$I$2:$I$3000,"Permitted – not started",Permissions!$R$2:$R$3000,"Yes")</f>
        <v>0</v>
      </c>
      <c r="AL406" s="24" t="n">
        <f aca="false">SUMIFS(Permissions!$G$2:$G$3000,Permissions!$B$2:$B$3000,$A406,Permissions!$I$2:$I$3000,"Stalled",Permissions!$R$2:$R$3000,"Yes")</f>
        <v>0</v>
      </c>
      <c r="AM406" s="24" t="n">
        <f aca="false">AI406+AJ406+AK406+AL406</f>
        <v>0</v>
      </c>
      <c r="AN406" s="24" t="n">
        <f aca="false">SUMIFS(Permissions!$G$2:$G$3000,Permissions!$B$2:$B$3000,$A406,Permissions!$I$2:$I$3000,"Expired – not started",Permissions!$R$2:$R$3000,"Yes")</f>
        <v>0</v>
      </c>
      <c r="AO406" s="24" t="n">
        <f aca="false">SUMIFS(Permissions!$G$2:$G$3000,Permissions!$B$2:$B$3000,$A406,Permissions!$I$2:$I$3000,"In planning",Permissions!$R$2:$R$3000,"Yes")</f>
        <v>0</v>
      </c>
      <c r="AP406" s="24" t="n">
        <f aca="false">IF(R406="",0,MAX(R406-AM406,0))</f>
        <v>11</v>
      </c>
      <c r="AQ406" s="25" t="n">
        <f aca="false">AM406+AP406</f>
        <v>11</v>
      </c>
      <c r="AR406" s="24" t="n">
        <f aca="false">SUMIFS(Permissions!$L$2:$L$3000,Permissions!$B$2:$B$3000,$A406,Permissions!$R$2:$R$3000,"Yes",Permissions!$I$2:$I$3000,"&lt;&gt;Expired – not started",Permissions!$I$2:$I$3000,"&lt;&gt;In planning")</f>
        <v>0</v>
      </c>
      <c r="AS406" s="24" t="n">
        <f aca="false">AQ406-AR406</f>
        <v>11</v>
      </c>
      <c r="AT406" s="26" t="n">
        <f aca="false">SUMIFS(Permissions!$AJ$2:$AJ$3000,Permissions!$B$2:$B$3000,$A406,Permissions!$R$2:$R$3000,"Yes")</f>
        <v>0</v>
      </c>
      <c r="AU406" s="26" t="n">
        <f aca="false">SUMIFS(Permissions!$AK$2:$AK$3000,Permissions!$B$2:$B$3000,$A406,Permissions!$R$2:$R$3000,"Yes")</f>
        <v>0</v>
      </c>
      <c r="AV406" s="26" t="n">
        <f aca="false">SUMIFS(Permissions!$AL$2:$AL$3000,Permissions!$B$2:$B$3000,$A406,Permissions!$R$2:$R$3000,"Yes")</f>
        <v>0</v>
      </c>
      <c r="AW406" s="26" t="n">
        <f aca="false">SUMIFS(Permissions!$AM$2:$AM$3000,Permissions!$B$2:$B$3000,$A406,Permissions!$R$2:$R$3000,"Yes")</f>
        <v>0</v>
      </c>
      <c r="AX406" s="26" t="n">
        <f aca="false">SUMIFS(Permissions!$AN$2:$AN$3000,Permissions!$B$2:$B$3000,$A406,Permissions!$R$2:$R$3000,"Yes")</f>
        <v>0</v>
      </c>
      <c r="AY406" s="26" t="n">
        <f aca="false">SUMIFS(Permissions!$AO$2:$AO$3000,Permissions!$B$2:$B$3000,$A406,Permissions!$R$2:$R$3000,"Yes")</f>
        <v>0</v>
      </c>
      <c r="AZ406" s="24" t="n">
        <f aca="false">COUNTIFS(Permissions!$B$2:$B$3000,$A406,Permissions!$R$2:$R$3000,"Yes")</f>
        <v>0</v>
      </c>
      <c r="BA406" s="24" t="n">
        <f aca="false">SUMIFS(Permissions!$M$2:$M$3000,Permissions!$B$2:$B$3000,$A406,Permissions!$R$2:$R$3000,"Yes")</f>
        <v>0</v>
      </c>
      <c r="BB406" s="24" t="n">
        <f aca="false">SUMIFS(Permissions!$O$2:$O$3000,Permissions!$B$2:$B$3000,$A406,Permissions!$R$2:$R$3000,"Yes")</f>
        <v>0</v>
      </c>
      <c r="BC406" s="27" t="str">
        <f aca="false">IF(AND(AM406&gt;0,AR406&gt;=AM406,AP406=0),"Finished",IF(AR406&gt;0,"Partly built",IF(AM406&gt;0,"Consented – not built","No consent")))</f>
        <v>No consent</v>
      </c>
      <c r="BD406" s="28" t="str">
        <f aca="false">IF(AND(R406&lt;&gt;"",AM406&gt;1.1*R406),"Consented above capacity",IF(AND(LEFT(B406,8)="Planning",AZ406=0),"Consent parcel with no permission",IF(COUNTIF($A$2:$A$3000,$A406)&gt;1,"Duplicate parcel_id","")))</f>
        <v/>
      </c>
    </row>
    <row r="407" customFormat="false" ht="15" hidden="false" customHeight="false" outlineLevel="0" collapsed="false">
      <c r="A407" s="15" t="s">
        <v>909</v>
      </c>
      <c r="B407" s="15" t="s">
        <v>13</v>
      </c>
      <c r="C407" s="15" t="s">
        <v>17</v>
      </c>
      <c r="D407" s="15" t="s">
        <v>63</v>
      </c>
      <c r="E407" s="15" t="s">
        <v>20</v>
      </c>
      <c r="F407" s="15" t="n">
        <v>0</v>
      </c>
      <c r="G407" s="15" t="s">
        <v>902</v>
      </c>
      <c r="H407" s="15"/>
      <c r="I407" s="15" t="s">
        <v>17</v>
      </c>
      <c r="J407" s="15" t="s">
        <v>363</v>
      </c>
      <c r="K407" s="15" t="s">
        <v>910</v>
      </c>
      <c r="L407" s="15"/>
      <c r="M407" s="15" t="s">
        <v>891</v>
      </c>
      <c r="N407" s="15"/>
      <c r="O407" s="15"/>
      <c r="P407" s="15" t="n">
        <v>3.392</v>
      </c>
      <c r="Q407" s="15" t="n">
        <v>3.728</v>
      </c>
      <c r="R407" s="15" t="n">
        <v>64</v>
      </c>
      <c r="S407" s="15" t="s">
        <v>833</v>
      </c>
      <c r="T407" s="15" t="n">
        <v>64</v>
      </c>
      <c r="U407" s="15" t="s">
        <v>904</v>
      </c>
      <c r="V407" s="15" t="s">
        <v>849</v>
      </c>
      <c r="W407" s="15"/>
      <c r="X407" s="15" t="s">
        <v>850</v>
      </c>
      <c r="Y407" s="15" t="n">
        <v>19</v>
      </c>
      <c r="Z407" s="15" t="s">
        <v>851</v>
      </c>
      <c r="AA407" s="15" t="n">
        <v>1</v>
      </c>
      <c r="AB407" s="15" t="n">
        <v>0</v>
      </c>
      <c r="AC407" s="15" t="n">
        <v>0</v>
      </c>
      <c r="AD407" s="15"/>
      <c r="AE407" s="15"/>
      <c r="AF407" s="15" t="s">
        <v>169</v>
      </c>
      <c r="AG407" s="15"/>
      <c r="AH407" s="24" t="n">
        <f aca="false">IF(R407="",AM407,R407)</f>
        <v>64</v>
      </c>
      <c r="AI407" s="24" t="n">
        <f aca="false">SUMIFS(Permissions!$G$2:$G$3000,Permissions!$B$2:$B$3000,$A407,Permissions!$I$2:$I$3000,"Complete",Permissions!$R$2:$R$3000,"Yes")</f>
        <v>0</v>
      </c>
      <c r="AJ407" s="24" t="n">
        <f aca="false">SUMIFS(Permissions!$G$2:$G$3000,Permissions!$B$2:$B$3000,$A407,Permissions!$I$2:$I$3000,"Under construction",Permissions!$R$2:$R$3000,"Yes")</f>
        <v>0</v>
      </c>
      <c r="AK407" s="24" t="n">
        <f aca="false">SUMIFS(Permissions!$G$2:$G$3000,Permissions!$B$2:$B$3000,$A407,Permissions!$I$2:$I$3000,"Permitted – not started",Permissions!$R$2:$R$3000,"Yes")</f>
        <v>0</v>
      </c>
      <c r="AL407" s="24" t="n">
        <f aca="false">SUMIFS(Permissions!$G$2:$G$3000,Permissions!$B$2:$B$3000,$A407,Permissions!$I$2:$I$3000,"Stalled",Permissions!$R$2:$R$3000,"Yes")</f>
        <v>0</v>
      </c>
      <c r="AM407" s="24" t="n">
        <f aca="false">AI407+AJ407+AK407+AL407</f>
        <v>0</v>
      </c>
      <c r="AN407" s="24" t="n">
        <f aca="false">SUMIFS(Permissions!$G$2:$G$3000,Permissions!$B$2:$B$3000,$A407,Permissions!$I$2:$I$3000,"Expired – not started",Permissions!$R$2:$R$3000,"Yes")</f>
        <v>0</v>
      </c>
      <c r="AO407" s="24" t="n">
        <f aca="false">SUMIFS(Permissions!$G$2:$G$3000,Permissions!$B$2:$B$3000,$A407,Permissions!$I$2:$I$3000,"In planning",Permissions!$R$2:$R$3000,"Yes")</f>
        <v>0</v>
      </c>
      <c r="AP407" s="24" t="n">
        <f aca="false">IF(R407="",0,MAX(R407-AM407,0))</f>
        <v>64</v>
      </c>
      <c r="AQ407" s="25" t="n">
        <f aca="false">AM407+AP407</f>
        <v>64</v>
      </c>
      <c r="AR407" s="24" t="n">
        <f aca="false">SUMIFS(Permissions!$L$2:$L$3000,Permissions!$B$2:$B$3000,$A407,Permissions!$R$2:$R$3000,"Yes",Permissions!$I$2:$I$3000,"&lt;&gt;Expired – not started",Permissions!$I$2:$I$3000,"&lt;&gt;In planning")</f>
        <v>0</v>
      </c>
      <c r="AS407" s="24" t="n">
        <f aca="false">AQ407-AR407</f>
        <v>64</v>
      </c>
      <c r="AT407" s="26" t="n">
        <f aca="false">SUMIFS(Permissions!$AJ$2:$AJ$3000,Permissions!$B$2:$B$3000,$A407,Permissions!$R$2:$R$3000,"Yes")</f>
        <v>0</v>
      </c>
      <c r="AU407" s="26" t="n">
        <f aca="false">SUMIFS(Permissions!$AK$2:$AK$3000,Permissions!$B$2:$B$3000,$A407,Permissions!$R$2:$R$3000,"Yes")</f>
        <v>0</v>
      </c>
      <c r="AV407" s="26" t="n">
        <f aca="false">SUMIFS(Permissions!$AL$2:$AL$3000,Permissions!$B$2:$B$3000,$A407,Permissions!$R$2:$R$3000,"Yes")</f>
        <v>0</v>
      </c>
      <c r="AW407" s="26" t="n">
        <f aca="false">SUMIFS(Permissions!$AM$2:$AM$3000,Permissions!$B$2:$B$3000,$A407,Permissions!$R$2:$R$3000,"Yes")</f>
        <v>0</v>
      </c>
      <c r="AX407" s="26" t="n">
        <f aca="false">SUMIFS(Permissions!$AN$2:$AN$3000,Permissions!$B$2:$B$3000,$A407,Permissions!$R$2:$R$3000,"Yes")</f>
        <v>0</v>
      </c>
      <c r="AY407" s="26" t="n">
        <f aca="false">SUMIFS(Permissions!$AO$2:$AO$3000,Permissions!$B$2:$B$3000,$A407,Permissions!$R$2:$R$3000,"Yes")</f>
        <v>0</v>
      </c>
      <c r="AZ407" s="24" t="n">
        <f aca="false">COUNTIFS(Permissions!$B$2:$B$3000,$A407,Permissions!$R$2:$R$3000,"Yes")</f>
        <v>0</v>
      </c>
      <c r="BA407" s="24" t="n">
        <f aca="false">SUMIFS(Permissions!$M$2:$M$3000,Permissions!$B$2:$B$3000,$A407,Permissions!$R$2:$R$3000,"Yes")</f>
        <v>0</v>
      </c>
      <c r="BB407" s="24" t="n">
        <f aca="false">SUMIFS(Permissions!$O$2:$O$3000,Permissions!$B$2:$B$3000,$A407,Permissions!$R$2:$R$3000,"Yes")</f>
        <v>0</v>
      </c>
      <c r="BC407" s="27" t="str">
        <f aca="false">IF(AND(AM407&gt;0,AR407&gt;=AM407,AP407=0),"Finished",IF(AR407&gt;0,"Partly built",IF(AM407&gt;0,"Consented – not built","No consent")))</f>
        <v>No consent</v>
      </c>
      <c r="BD407" s="28" t="str">
        <f aca="false">IF(AND(R407&lt;&gt;"",AM407&gt;1.1*R407),"Consented above capacity",IF(AND(LEFT(B407,8)="Planning",AZ407=0),"Consent parcel with no permission",IF(COUNTIF($A$2:$A$3000,$A407)&gt;1,"Duplicate parcel_id","")))</f>
        <v/>
      </c>
    </row>
    <row r="408" customFormat="false" ht="15" hidden="false" customHeight="false" outlineLevel="0" collapsed="false">
      <c r="A408" s="15" t="s">
        <v>911</v>
      </c>
      <c r="B408" s="15" t="s">
        <v>13</v>
      </c>
      <c r="C408" s="15" t="s">
        <v>17</v>
      </c>
      <c r="D408" s="15" t="s">
        <v>63</v>
      </c>
      <c r="E408" s="15" t="s">
        <v>20</v>
      </c>
      <c r="F408" s="15" t="n">
        <v>0</v>
      </c>
      <c r="G408" s="15" t="s">
        <v>902</v>
      </c>
      <c r="H408" s="15"/>
      <c r="I408" s="15" t="s">
        <v>17</v>
      </c>
      <c r="J408" s="15" t="s">
        <v>363</v>
      </c>
      <c r="K408" s="15" t="s">
        <v>910</v>
      </c>
      <c r="L408" s="15"/>
      <c r="M408" s="15" t="s">
        <v>891</v>
      </c>
      <c r="N408" s="15"/>
      <c r="O408" s="15"/>
      <c r="P408" s="15" t="n">
        <v>3.316</v>
      </c>
      <c r="Q408" s="15" t="n">
        <v>3.644</v>
      </c>
      <c r="R408" s="15" t="n">
        <v>63</v>
      </c>
      <c r="S408" s="15" t="s">
        <v>833</v>
      </c>
      <c r="T408" s="15" t="n">
        <v>63</v>
      </c>
      <c r="U408" s="15" t="s">
        <v>904</v>
      </c>
      <c r="V408" s="15" t="s">
        <v>849</v>
      </c>
      <c r="W408" s="15"/>
      <c r="X408" s="15" t="s">
        <v>850</v>
      </c>
      <c r="Y408" s="15" t="n">
        <v>19</v>
      </c>
      <c r="Z408" s="15" t="s">
        <v>851</v>
      </c>
      <c r="AA408" s="15" t="n">
        <v>1</v>
      </c>
      <c r="AB408" s="15" t="n">
        <v>0</v>
      </c>
      <c r="AC408" s="15" t="n">
        <v>0</v>
      </c>
      <c r="AD408" s="15"/>
      <c r="AE408" s="15"/>
      <c r="AF408" s="15" t="s">
        <v>169</v>
      </c>
      <c r="AG408" s="15"/>
      <c r="AH408" s="24" t="n">
        <f aca="false">IF(R408="",AM408,R408)</f>
        <v>63</v>
      </c>
      <c r="AI408" s="24" t="n">
        <f aca="false">SUMIFS(Permissions!$G$2:$G$3000,Permissions!$B$2:$B$3000,$A408,Permissions!$I$2:$I$3000,"Complete",Permissions!$R$2:$R$3000,"Yes")</f>
        <v>0</v>
      </c>
      <c r="AJ408" s="24" t="n">
        <f aca="false">SUMIFS(Permissions!$G$2:$G$3000,Permissions!$B$2:$B$3000,$A408,Permissions!$I$2:$I$3000,"Under construction",Permissions!$R$2:$R$3000,"Yes")</f>
        <v>0</v>
      </c>
      <c r="AK408" s="24" t="n">
        <f aca="false">SUMIFS(Permissions!$G$2:$G$3000,Permissions!$B$2:$B$3000,$A408,Permissions!$I$2:$I$3000,"Permitted – not started",Permissions!$R$2:$R$3000,"Yes")</f>
        <v>0</v>
      </c>
      <c r="AL408" s="24" t="n">
        <f aca="false">SUMIFS(Permissions!$G$2:$G$3000,Permissions!$B$2:$B$3000,$A408,Permissions!$I$2:$I$3000,"Stalled",Permissions!$R$2:$R$3000,"Yes")</f>
        <v>0</v>
      </c>
      <c r="AM408" s="24" t="n">
        <f aca="false">AI408+AJ408+AK408+AL408</f>
        <v>0</v>
      </c>
      <c r="AN408" s="24" t="n">
        <f aca="false">SUMIFS(Permissions!$G$2:$G$3000,Permissions!$B$2:$B$3000,$A408,Permissions!$I$2:$I$3000,"Expired – not started",Permissions!$R$2:$R$3000,"Yes")</f>
        <v>0</v>
      </c>
      <c r="AO408" s="24" t="n">
        <f aca="false">SUMIFS(Permissions!$G$2:$G$3000,Permissions!$B$2:$B$3000,$A408,Permissions!$I$2:$I$3000,"In planning",Permissions!$R$2:$R$3000,"Yes")</f>
        <v>0</v>
      </c>
      <c r="AP408" s="24" t="n">
        <f aca="false">IF(R408="",0,MAX(R408-AM408,0))</f>
        <v>63</v>
      </c>
      <c r="AQ408" s="25" t="n">
        <f aca="false">AM408+AP408</f>
        <v>63</v>
      </c>
      <c r="AR408" s="24" t="n">
        <f aca="false">SUMIFS(Permissions!$L$2:$L$3000,Permissions!$B$2:$B$3000,$A408,Permissions!$R$2:$R$3000,"Yes",Permissions!$I$2:$I$3000,"&lt;&gt;Expired – not started",Permissions!$I$2:$I$3000,"&lt;&gt;In planning")</f>
        <v>0</v>
      </c>
      <c r="AS408" s="24" t="n">
        <f aca="false">AQ408-AR408</f>
        <v>63</v>
      </c>
      <c r="AT408" s="26" t="n">
        <f aca="false">SUMIFS(Permissions!$AJ$2:$AJ$3000,Permissions!$B$2:$B$3000,$A408,Permissions!$R$2:$R$3000,"Yes")</f>
        <v>0</v>
      </c>
      <c r="AU408" s="26" t="n">
        <f aca="false">SUMIFS(Permissions!$AK$2:$AK$3000,Permissions!$B$2:$B$3000,$A408,Permissions!$R$2:$R$3000,"Yes")</f>
        <v>0</v>
      </c>
      <c r="AV408" s="26" t="n">
        <f aca="false">SUMIFS(Permissions!$AL$2:$AL$3000,Permissions!$B$2:$B$3000,$A408,Permissions!$R$2:$R$3000,"Yes")</f>
        <v>0</v>
      </c>
      <c r="AW408" s="26" t="n">
        <f aca="false">SUMIFS(Permissions!$AM$2:$AM$3000,Permissions!$B$2:$B$3000,$A408,Permissions!$R$2:$R$3000,"Yes")</f>
        <v>0</v>
      </c>
      <c r="AX408" s="26" t="n">
        <f aca="false">SUMIFS(Permissions!$AN$2:$AN$3000,Permissions!$B$2:$B$3000,$A408,Permissions!$R$2:$R$3000,"Yes")</f>
        <v>0</v>
      </c>
      <c r="AY408" s="26" t="n">
        <f aca="false">SUMIFS(Permissions!$AO$2:$AO$3000,Permissions!$B$2:$B$3000,$A408,Permissions!$R$2:$R$3000,"Yes")</f>
        <v>0</v>
      </c>
      <c r="AZ408" s="24" t="n">
        <f aca="false">COUNTIFS(Permissions!$B$2:$B$3000,$A408,Permissions!$R$2:$R$3000,"Yes")</f>
        <v>0</v>
      </c>
      <c r="BA408" s="24" t="n">
        <f aca="false">SUMIFS(Permissions!$M$2:$M$3000,Permissions!$B$2:$B$3000,$A408,Permissions!$R$2:$R$3000,"Yes")</f>
        <v>0</v>
      </c>
      <c r="BB408" s="24" t="n">
        <f aca="false">SUMIFS(Permissions!$O$2:$O$3000,Permissions!$B$2:$B$3000,$A408,Permissions!$R$2:$R$3000,"Yes")</f>
        <v>0</v>
      </c>
      <c r="BC408" s="27" t="str">
        <f aca="false">IF(AND(AM408&gt;0,AR408&gt;=AM408,AP408=0),"Finished",IF(AR408&gt;0,"Partly built",IF(AM408&gt;0,"Consented – not built","No consent")))</f>
        <v>No consent</v>
      </c>
      <c r="BD408" s="28" t="str">
        <f aca="false">IF(AND(R408&lt;&gt;"",AM408&gt;1.1*R408),"Consented above capacity",IF(AND(LEFT(B408,8)="Planning",AZ408=0),"Consent parcel with no permission",IF(COUNTIF($A$2:$A$3000,$A408)&gt;1,"Duplicate parcel_id","")))</f>
        <v/>
      </c>
    </row>
    <row r="409" customFormat="false" ht="15" hidden="false" customHeight="false" outlineLevel="0" collapsed="false">
      <c r="A409" s="15" t="s">
        <v>912</v>
      </c>
      <c r="B409" s="15" t="s">
        <v>13</v>
      </c>
      <c r="C409" s="15" t="s">
        <v>17</v>
      </c>
      <c r="D409" s="15" t="s">
        <v>63</v>
      </c>
      <c r="E409" s="15" t="s">
        <v>20</v>
      </c>
      <c r="F409" s="15" t="n">
        <v>0</v>
      </c>
      <c r="G409" s="15" t="s">
        <v>902</v>
      </c>
      <c r="H409" s="15"/>
      <c r="I409" s="15" t="s">
        <v>17</v>
      </c>
      <c r="J409" s="15" t="s">
        <v>363</v>
      </c>
      <c r="K409" s="15" t="s">
        <v>903</v>
      </c>
      <c r="L409" s="15"/>
      <c r="M409" s="15" t="s">
        <v>895</v>
      </c>
      <c r="N409" s="15"/>
      <c r="O409" s="15"/>
      <c r="P409" s="15" t="n">
        <v>0.212</v>
      </c>
      <c r="Q409" s="15" t="n">
        <v>0.233</v>
      </c>
      <c r="R409" s="15" t="n">
        <v>5</v>
      </c>
      <c r="S409" s="15" t="s">
        <v>833</v>
      </c>
      <c r="T409" s="15" t="n">
        <v>5</v>
      </c>
      <c r="U409" s="15" t="s">
        <v>904</v>
      </c>
      <c r="V409" s="15" t="s">
        <v>849</v>
      </c>
      <c r="W409" s="15"/>
      <c r="X409" s="15" t="s">
        <v>353</v>
      </c>
      <c r="Y409" s="15" t="n">
        <v>25</v>
      </c>
      <c r="Z409" s="15" t="s">
        <v>845</v>
      </c>
      <c r="AA409" s="15" t="n">
        <v>0</v>
      </c>
      <c r="AB409" s="15" t="n">
        <v>0</v>
      </c>
      <c r="AC409" s="15" t="n">
        <v>0</v>
      </c>
      <c r="AD409" s="15"/>
      <c r="AE409" s="15"/>
      <c r="AF409" s="15" t="s">
        <v>169</v>
      </c>
      <c r="AG409" s="15"/>
      <c r="AH409" s="24" t="n">
        <f aca="false">IF(R409="",AM409,R409)</f>
        <v>5</v>
      </c>
      <c r="AI409" s="24" t="n">
        <f aca="false">SUMIFS(Permissions!$G$2:$G$3000,Permissions!$B$2:$B$3000,$A409,Permissions!$I$2:$I$3000,"Complete",Permissions!$R$2:$R$3000,"Yes")</f>
        <v>0</v>
      </c>
      <c r="AJ409" s="24" t="n">
        <f aca="false">SUMIFS(Permissions!$G$2:$G$3000,Permissions!$B$2:$B$3000,$A409,Permissions!$I$2:$I$3000,"Under construction",Permissions!$R$2:$R$3000,"Yes")</f>
        <v>0</v>
      </c>
      <c r="AK409" s="24" t="n">
        <f aca="false">SUMIFS(Permissions!$G$2:$G$3000,Permissions!$B$2:$B$3000,$A409,Permissions!$I$2:$I$3000,"Permitted – not started",Permissions!$R$2:$R$3000,"Yes")</f>
        <v>0</v>
      </c>
      <c r="AL409" s="24" t="n">
        <f aca="false">SUMIFS(Permissions!$G$2:$G$3000,Permissions!$B$2:$B$3000,$A409,Permissions!$I$2:$I$3000,"Stalled",Permissions!$R$2:$R$3000,"Yes")</f>
        <v>0</v>
      </c>
      <c r="AM409" s="24" t="n">
        <f aca="false">AI409+AJ409+AK409+AL409</f>
        <v>0</v>
      </c>
      <c r="AN409" s="24" t="n">
        <f aca="false">SUMIFS(Permissions!$G$2:$G$3000,Permissions!$B$2:$B$3000,$A409,Permissions!$I$2:$I$3000,"Expired – not started",Permissions!$R$2:$R$3000,"Yes")</f>
        <v>0</v>
      </c>
      <c r="AO409" s="24" t="n">
        <f aca="false">SUMIFS(Permissions!$G$2:$G$3000,Permissions!$B$2:$B$3000,$A409,Permissions!$I$2:$I$3000,"In planning",Permissions!$R$2:$R$3000,"Yes")</f>
        <v>0</v>
      </c>
      <c r="AP409" s="24" t="n">
        <f aca="false">IF(R409="",0,MAX(R409-AM409,0))</f>
        <v>5</v>
      </c>
      <c r="AQ409" s="25" t="n">
        <f aca="false">AM409+AP409</f>
        <v>5</v>
      </c>
      <c r="AR409" s="24" t="n">
        <f aca="false">SUMIFS(Permissions!$L$2:$L$3000,Permissions!$B$2:$B$3000,$A409,Permissions!$R$2:$R$3000,"Yes",Permissions!$I$2:$I$3000,"&lt;&gt;Expired – not started",Permissions!$I$2:$I$3000,"&lt;&gt;In planning")</f>
        <v>0</v>
      </c>
      <c r="AS409" s="24" t="n">
        <f aca="false">AQ409-AR409</f>
        <v>5</v>
      </c>
      <c r="AT409" s="26" t="n">
        <f aca="false">SUMIFS(Permissions!$AJ$2:$AJ$3000,Permissions!$B$2:$B$3000,$A409,Permissions!$R$2:$R$3000,"Yes")</f>
        <v>0</v>
      </c>
      <c r="AU409" s="26" t="n">
        <f aca="false">SUMIFS(Permissions!$AK$2:$AK$3000,Permissions!$B$2:$B$3000,$A409,Permissions!$R$2:$R$3000,"Yes")</f>
        <v>0</v>
      </c>
      <c r="AV409" s="26" t="n">
        <f aca="false">SUMIFS(Permissions!$AL$2:$AL$3000,Permissions!$B$2:$B$3000,$A409,Permissions!$R$2:$R$3000,"Yes")</f>
        <v>0</v>
      </c>
      <c r="AW409" s="26" t="n">
        <f aca="false">SUMIFS(Permissions!$AM$2:$AM$3000,Permissions!$B$2:$B$3000,$A409,Permissions!$R$2:$R$3000,"Yes")</f>
        <v>0</v>
      </c>
      <c r="AX409" s="26" t="n">
        <f aca="false">SUMIFS(Permissions!$AN$2:$AN$3000,Permissions!$B$2:$B$3000,$A409,Permissions!$R$2:$R$3000,"Yes")</f>
        <v>0</v>
      </c>
      <c r="AY409" s="26" t="n">
        <f aca="false">SUMIFS(Permissions!$AO$2:$AO$3000,Permissions!$B$2:$B$3000,$A409,Permissions!$R$2:$R$3000,"Yes")</f>
        <v>0</v>
      </c>
      <c r="AZ409" s="24" t="n">
        <f aca="false">COUNTIFS(Permissions!$B$2:$B$3000,$A409,Permissions!$R$2:$R$3000,"Yes")</f>
        <v>0</v>
      </c>
      <c r="BA409" s="24" t="n">
        <f aca="false">SUMIFS(Permissions!$M$2:$M$3000,Permissions!$B$2:$B$3000,$A409,Permissions!$R$2:$R$3000,"Yes")</f>
        <v>0</v>
      </c>
      <c r="BB409" s="24" t="n">
        <f aca="false">SUMIFS(Permissions!$O$2:$O$3000,Permissions!$B$2:$B$3000,$A409,Permissions!$R$2:$R$3000,"Yes")</f>
        <v>0</v>
      </c>
      <c r="BC409" s="27" t="str">
        <f aca="false">IF(AND(AM409&gt;0,AR409&gt;=AM409,AP409=0),"Finished",IF(AR409&gt;0,"Partly built",IF(AM409&gt;0,"Consented – not built","No consent")))</f>
        <v>No consent</v>
      </c>
      <c r="BD409" s="28" t="str">
        <f aca="false">IF(AND(R409&lt;&gt;"",AM409&gt;1.1*R409),"Consented above capacity",IF(AND(LEFT(B409,8)="Planning",AZ409=0),"Consent parcel with no permission",IF(COUNTIF($A$2:$A$3000,$A409)&gt;1,"Duplicate parcel_id","")))</f>
        <v/>
      </c>
    </row>
    <row r="410" customFormat="false" ht="15" hidden="false" customHeight="false" outlineLevel="0" collapsed="false">
      <c r="A410" s="15" t="s">
        <v>913</v>
      </c>
      <c r="B410" s="15" t="s">
        <v>13</v>
      </c>
      <c r="C410" s="15" t="s">
        <v>17</v>
      </c>
      <c r="D410" s="15" t="s">
        <v>63</v>
      </c>
      <c r="E410" s="15" t="s">
        <v>20</v>
      </c>
      <c r="F410" s="15" t="n">
        <v>0.3</v>
      </c>
      <c r="G410" s="15" t="s">
        <v>158</v>
      </c>
      <c r="H410" s="15"/>
      <c r="I410" s="15" t="s">
        <v>17</v>
      </c>
      <c r="J410" s="15" t="s">
        <v>363</v>
      </c>
      <c r="K410" s="15" t="s">
        <v>903</v>
      </c>
      <c r="L410" s="15"/>
      <c r="M410" s="15" t="s">
        <v>895</v>
      </c>
      <c r="N410" s="15"/>
      <c r="O410" s="15"/>
      <c r="P410" s="15" t="n">
        <v>0.223</v>
      </c>
      <c r="Q410" s="15" t="n">
        <v>0.245</v>
      </c>
      <c r="R410" s="15" t="n">
        <v>6</v>
      </c>
      <c r="S410" s="15" t="s">
        <v>833</v>
      </c>
      <c r="T410" s="15" t="n">
        <v>6</v>
      </c>
      <c r="U410" s="15" t="s">
        <v>904</v>
      </c>
      <c r="V410" s="15" t="s">
        <v>849</v>
      </c>
      <c r="W410" s="15"/>
      <c r="X410" s="15" t="s">
        <v>353</v>
      </c>
      <c r="Y410" s="15" t="n">
        <v>25</v>
      </c>
      <c r="Z410" s="15" t="s">
        <v>845</v>
      </c>
      <c r="AA410" s="15" t="n">
        <v>0.74</v>
      </c>
      <c r="AB410" s="15" t="n">
        <v>0</v>
      </c>
      <c r="AC410" s="15" t="n">
        <v>0</v>
      </c>
      <c r="AD410" s="15"/>
      <c r="AE410" s="15"/>
      <c r="AF410" s="15" t="s">
        <v>169</v>
      </c>
      <c r="AG410" s="15"/>
      <c r="AH410" s="24" t="n">
        <f aca="false">IF(R410="",AM410,R410)</f>
        <v>6</v>
      </c>
      <c r="AI410" s="24" t="n">
        <f aca="false">SUMIFS(Permissions!$G$2:$G$3000,Permissions!$B$2:$B$3000,$A410,Permissions!$I$2:$I$3000,"Complete",Permissions!$R$2:$R$3000,"Yes")</f>
        <v>0</v>
      </c>
      <c r="AJ410" s="24" t="n">
        <f aca="false">SUMIFS(Permissions!$G$2:$G$3000,Permissions!$B$2:$B$3000,$A410,Permissions!$I$2:$I$3000,"Under construction",Permissions!$R$2:$R$3000,"Yes")</f>
        <v>0</v>
      </c>
      <c r="AK410" s="24" t="n">
        <f aca="false">SUMIFS(Permissions!$G$2:$G$3000,Permissions!$B$2:$B$3000,$A410,Permissions!$I$2:$I$3000,"Permitted – not started",Permissions!$R$2:$R$3000,"Yes")</f>
        <v>0</v>
      </c>
      <c r="AL410" s="24" t="n">
        <f aca="false">SUMIFS(Permissions!$G$2:$G$3000,Permissions!$B$2:$B$3000,$A410,Permissions!$I$2:$I$3000,"Stalled",Permissions!$R$2:$R$3000,"Yes")</f>
        <v>0</v>
      </c>
      <c r="AM410" s="24" t="n">
        <f aca="false">AI410+AJ410+AK410+AL410</f>
        <v>0</v>
      </c>
      <c r="AN410" s="24" t="n">
        <f aca="false">SUMIFS(Permissions!$G$2:$G$3000,Permissions!$B$2:$B$3000,$A410,Permissions!$I$2:$I$3000,"Expired – not started",Permissions!$R$2:$R$3000,"Yes")</f>
        <v>0</v>
      </c>
      <c r="AO410" s="24" t="n">
        <f aca="false">SUMIFS(Permissions!$G$2:$G$3000,Permissions!$B$2:$B$3000,$A410,Permissions!$I$2:$I$3000,"In planning",Permissions!$R$2:$R$3000,"Yes")</f>
        <v>0</v>
      </c>
      <c r="AP410" s="24" t="n">
        <f aca="false">IF(R410="",0,MAX(R410-AM410,0))</f>
        <v>6</v>
      </c>
      <c r="AQ410" s="25" t="n">
        <f aca="false">AM410+AP410</f>
        <v>6</v>
      </c>
      <c r="AR410" s="24" t="n">
        <f aca="false">SUMIFS(Permissions!$L$2:$L$3000,Permissions!$B$2:$B$3000,$A410,Permissions!$R$2:$R$3000,"Yes",Permissions!$I$2:$I$3000,"&lt;&gt;Expired – not started",Permissions!$I$2:$I$3000,"&lt;&gt;In planning")</f>
        <v>0</v>
      </c>
      <c r="AS410" s="24" t="n">
        <f aca="false">AQ410-AR410</f>
        <v>6</v>
      </c>
      <c r="AT410" s="26" t="n">
        <f aca="false">SUMIFS(Permissions!$AJ$2:$AJ$3000,Permissions!$B$2:$B$3000,$A410,Permissions!$R$2:$R$3000,"Yes")</f>
        <v>0</v>
      </c>
      <c r="AU410" s="26" t="n">
        <f aca="false">SUMIFS(Permissions!$AK$2:$AK$3000,Permissions!$B$2:$B$3000,$A410,Permissions!$R$2:$R$3000,"Yes")</f>
        <v>0</v>
      </c>
      <c r="AV410" s="26" t="n">
        <f aca="false">SUMIFS(Permissions!$AL$2:$AL$3000,Permissions!$B$2:$B$3000,$A410,Permissions!$R$2:$R$3000,"Yes")</f>
        <v>0</v>
      </c>
      <c r="AW410" s="26" t="n">
        <f aca="false">SUMIFS(Permissions!$AM$2:$AM$3000,Permissions!$B$2:$B$3000,$A410,Permissions!$R$2:$R$3000,"Yes")</f>
        <v>0</v>
      </c>
      <c r="AX410" s="26" t="n">
        <f aca="false">SUMIFS(Permissions!$AN$2:$AN$3000,Permissions!$B$2:$B$3000,$A410,Permissions!$R$2:$R$3000,"Yes")</f>
        <v>0</v>
      </c>
      <c r="AY410" s="26" t="n">
        <f aca="false">SUMIFS(Permissions!$AO$2:$AO$3000,Permissions!$B$2:$B$3000,$A410,Permissions!$R$2:$R$3000,"Yes")</f>
        <v>0</v>
      </c>
      <c r="AZ410" s="24" t="n">
        <f aca="false">COUNTIFS(Permissions!$B$2:$B$3000,$A410,Permissions!$R$2:$R$3000,"Yes")</f>
        <v>0</v>
      </c>
      <c r="BA410" s="24" t="n">
        <f aca="false">SUMIFS(Permissions!$M$2:$M$3000,Permissions!$B$2:$B$3000,$A410,Permissions!$R$2:$R$3000,"Yes")</f>
        <v>0</v>
      </c>
      <c r="BB410" s="24" t="n">
        <f aca="false">SUMIFS(Permissions!$O$2:$O$3000,Permissions!$B$2:$B$3000,$A410,Permissions!$R$2:$R$3000,"Yes")</f>
        <v>0</v>
      </c>
      <c r="BC410" s="27" t="str">
        <f aca="false">IF(AND(AM410&gt;0,AR410&gt;=AM410,AP410=0),"Finished",IF(AR410&gt;0,"Partly built",IF(AM410&gt;0,"Consented – not built","No consent")))</f>
        <v>No consent</v>
      </c>
      <c r="BD410" s="28" t="str">
        <f aca="false">IF(AND(R410&lt;&gt;"",AM410&gt;1.1*R410),"Consented above capacity",IF(AND(LEFT(B410,8)="Planning",AZ410=0),"Consent parcel with no permission",IF(COUNTIF($A$2:$A$3000,$A410)&gt;1,"Duplicate parcel_id","")))</f>
        <v/>
      </c>
    </row>
    <row r="411" customFormat="false" ht="15" hidden="false" customHeight="false" outlineLevel="0" collapsed="false">
      <c r="A411" s="15" t="s">
        <v>914</v>
      </c>
      <c r="B411" s="15" t="s">
        <v>13</v>
      </c>
      <c r="C411" s="15" t="s">
        <v>17</v>
      </c>
      <c r="D411" s="15" t="s">
        <v>64</v>
      </c>
      <c r="E411" s="15" t="s">
        <v>20</v>
      </c>
      <c r="F411" s="15" t="n">
        <v>1</v>
      </c>
      <c r="G411" s="15" t="s">
        <v>158</v>
      </c>
      <c r="H411" s="15"/>
      <c r="I411" s="15" t="s">
        <v>17</v>
      </c>
      <c r="J411" s="15" t="s">
        <v>390</v>
      </c>
      <c r="K411" s="15" t="s">
        <v>915</v>
      </c>
      <c r="L411" s="15"/>
      <c r="M411" s="15" t="s">
        <v>349</v>
      </c>
      <c r="N411" s="15"/>
      <c r="O411" s="15"/>
      <c r="P411" s="15" t="n">
        <v>1.732</v>
      </c>
      <c r="Q411" s="15" t="n">
        <v>1.904</v>
      </c>
      <c r="R411" s="15" t="n">
        <v>43</v>
      </c>
      <c r="S411" s="15" t="s">
        <v>833</v>
      </c>
      <c r="T411" s="15" t="n">
        <v>43</v>
      </c>
      <c r="U411" s="15" t="s">
        <v>916</v>
      </c>
      <c r="V411" s="15" t="s">
        <v>835</v>
      </c>
      <c r="W411" s="15"/>
      <c r="X411" s="15" t="s">
        <v>353</v>
      </c>
      <c r="Y411" s="15" t="n">
        <v>25</v>
      </c>
      <c r="Z411" s="15" t="s">
        <v>845</v>
      </c>
      <c r="AA411" s="15" t="n">
        <v>0</v>
      </c>
      <c r="AB411" s="15" t="n">
        <v>0</v>
      </c>
      <c r="AC411" s="15" t="n">
        <v>0</v>
      </c>
      <c r="AD411" s="15"/>
      <c r="AE411" s="15"/>
      <c r="AF411" s="15" t="s">
        <v>169</v>
      </c>
      <c r="AG411" s="15"/>
      <c r="AH411" s="24" t="n">
        <f aca="false">IF(R411="",AM411,R411)</f>
        <v>43</v>
      </c>
      <c r="AI411" s="24" t="n">
        <f aca="false">SUMIFS(Permissions!$G$2:$G$3000,Permissions!$B$2:$B$3000,$A411,Permissions!$I$2:$I$3000,"Complete",Permissions!$R$2:$R$3000,"Yes")</f>
        <v>0</v>
      </c>
      <c r="AJ411" s="24" t="n">
        <f aca="false">SUMIFS(Permissions!$G$2:$G$3000,Permissions!$B$2:$B$3000,$A411,Permissions!$I$2:$I$3000,"Under construction",Permissions!$R$2:$R$3000,"Yes")</f>
        <v>0</v>
      </c>
      <c r="AK411" s="24" t="n">
        <f aca="false">SUMIFS(Permissions!$G$2:$G$3000,Permissions!$B$2:$B$3000,$A411,Permissions!$I$2:$I$3000,"Permitted – not started",Permissions!$R$2:$R$3000,"Yes")</f>
        <v>0</v>
      </c>
      <c r="AL411" s="24" t="n">
        <f aca="false">SUMIFS(Permissions!$G$2:$G$3000,Permissions!$B$2:$B$3000,$A411,Permissions!$I$2:$I$3000,"Stalled",Permissions!$R$2:$R$3000,"Yes")</f>
        <v>0</v>
      </c>
      <c r="AM411" s="24" t="n">
        <f aca="false">AI411+AJ411+AK411+AL411</f>
        <v>0</v>
      </c>
      <c r="AN411" s="24" t="n">
        <f aca="false">SUMIFS(Permissions!$G$2:$G$3000,Permissions!$B$2:$B$3000,$A411,Permissions!$I$2:$I$3000,"Expired – not started",Permissions!$R$2:$R$3000,"Yes")</f>
        <v>0</v>
      </c>
      <c r="AO411" s="24" t="n">
        <f aca="false">SUMIFS(Permissions!$G$2:$G$3000,Permissions!$B$2:$B$3000,$A411,Permissions!$I$2:$I$3000,"In planning",Permissions!$R$2:$R$3000,"Yes")</f>
        <v>0</v>
      </c>
      <c r="AP411" s="24" t="n">
        <f aca="false">IF(R411="",0,MAX(R411-AM411,0))</f>
        <v>43</v>
      </c>
      <c r="AQ411" s="25" t="n">
        <f aca="false">AM411+AP411</f>
        <v>43</v>
      </c>
      <c r="AR411" s="24" t="n">
        <f aca="false">SUMIFS(Permissions!$L$2:$L$3000,Permissions!$B$2:$B$3000,$A411,Permissions!$R$2:$R$3000,"Yes",Permissions!$I$2:$I$3000,"&lt;&gt;Expired – not started",Permissions!$I$2:$I$3000,"&lt;&gt;In planning")</f>
        <v>0</v>
      </c>
      <c r="AS411" s="24" t="n">
        <f aca="false">AQ411-AR411</f>
        <v>43</v>
      </c>
      <c r="AT411" s="26" t="n">
        <f aca="false">SUMIFS(Permissions!$AJ$2:$AJ$3000,Permissions!$B$2:$B$3000,$A411,Permissions!$R$2:$R$3000,"Yes")</f>
        <v>0</v>
      </c>
      <c r="AU411" s="26" t="n">
        <f aca="false">SUMIFS(Permissions!$AK$2:$AK$3000,Permissions!$B$2:$B$3000,$A411,Permissions!$R$2:$R$3000,"Yes")</f>
        <v>0</v>
      </c>
      <c r="AV411" s="26" t="n">
        <f aca="false">SUMIFS(Permissions!$AL$2:$AL$3000,Permissions!$B$2:$B$3000,$A411,Permissions!$R$2:$R$3000,"Yes")</f>
        <v>0</v>
      </c>
      <c r="AW411" s="26" t="n">
        <f aca="false">SUMIFS(Permissions!$AM$2:$AM$3000,Permissions!$B$2:$B$3000,$A411,Permissions!$R$2:$R$3000,"Yes")</f>
        <v>0</v>
      </c>
      <c r="AX411" s="26" t="n">
        <f aca="false">SUMIFS(Permissions!$AN$2:$AN$3000,Permissions!$B$2:$B$3000,$A411,Permissions!$R$2:$R$3000,"Yes")</f>
        <v>0</v>
      </c>
      <c r="AY411" s="26" t="n">
        <f aca="false">SUMIFS(Permissions!$AO$2:$AO$3000,Permissions!$B$2:$B$3000,$A411,Permissions!$R$2:$R$3000,"Yes")</f>
        <v>0</v>
      </c>
      <c r="AZ411" s="24" t="n">
        <f aca="false">COUNTIFS(Permissions!$B$2:$B$3000,$A411,Permissions!$R$2:$R$3000,"Yes")</f>
        <v>0</v>
      </c>
      <c r="BA411" s="24" t="n">
        <f aca="false">SUMIFS(Permissions!$M$2:$M$3000,Permissions!$B$2:$B$3000,$A411,Permissions!$R$2:$R$3000,"Yes")</f>
        <v>0</v>
      </c>
      <c r="BB411" s="24" t="n">
        <f aca="false">SUMIFS(Permissions!$O$2:$O$3000,Permissions!$B$2:$B$3000,$A411,Permissions!$R$2:$R$3000,"Yes")</f>
        <v>0</v>
      </c>
      <c r="BC411" s="27" t="str">
        <f aca="false">IF(AND(AM411&gt;0,AR411&gt;=AM411,AP411=0),"Finished",IF(AR411&gt;0,"Partly built",IF(AM411&gt;0,"Consented – not built","No consent")))</f>
        <v>No consent</v>
      </c>
      <c r="BD411" s="28" t="str">
        <f aca="false">IF(AND(R411&lt;&gt;"",AM411&gt;1.1*R411),"Consented above capacity",IF(AND(LEFT(B411,8)="Planning",AZ411=0),"Consent parcel with no permission",IF(COUNTIF($A$2:$A$3000,$A411)&gt;1,"Duplicate parcel_id","")))</f>
        <v/>
      </c>
    </row>
    <row r="412" customFormat="false" ht="15" hidden="false" customHeight="false" outlineLevel="0" collapsed="false">
      <c r="A412" s="15" t="s">
        <v>917</v>
      </c>
      <c r="B412" s="15" t="s">
        <v>13</v>
      </c>
      <c r="C412" s="15" t="s">
        <v>17</v>
      </c>
      <c r="D412" s="15" t="s">
        <v>64</v>
      </c>
      <c r="E412" s="15" t="s">
        <v>20</v>
      </c>
      <c r="F412" s="15" t="n">
        <v>0</v>
      </c>
      <c r="G412" s="15" t="s">
        <v>918</v>
      </c>
      <c r="H412" s="15"/>
      <c r="I412" s="15" t="s">
        <v>17</v>
      </c>
      <c r="J412" s="15" t="s">
        <v>390</v>
      </c>
      <c r="K412" s="15" t="s">
        <v>915</v>
      </c>
      <c r="L412" s="15"/>
      <c r="M412" s="15" t="s">
        <v>349</v>
      </c>
      <c r="N412" s="15"/>
      <c r="O412" s="15"/>
      <c r="P412" s="15" t="n">
        <v>2.909</v>
      </c>
      <c r="Q412" s="15" t="n">
        <v>3.197</v>
      </c>
      <c r="R412" s="15" t="n">
        <v>73</v>
      </c>
      <c r="S412" s="15" t="s">
        <v>833</v>
      </c>
      <c r="T412" s="15" t="n">
        <v>73</v>
      </c>
      <c r="U412" s="15" t="s">
        <v>916</v>
      </c>
      <c r="V412" s="15" t="s">
        <v>835</v>
      </c>
      <c r="W412" s="15"/>
      <c r="X412" s="15" t="s">
        <v>353</v>
      </c>
      <c r="Y412" s="15" t="n">
        <v>25</v>
      </c>
      <c r="Z412" s="15" t="s">
        <v>845</v>
      </c>
      <c r="AA412" s="15" t="n">
        <v>0</v>
      </c>
      <c r="AB412" s="15" t="n">
        <v>0</v>
      </c>
      <c r="AC412" s="15" t="n">
        <v>0</v>
      </c>
      <c r="AD412" s="15"/>
      <c r="AE412" s="15"/>
      <c r="AF412" s="15" t="s">
        <v>169</v>
      </c>
      <c r="AG412" s="15"/>
      <c r="AH412" s="24" t="n">
        <f aca="false">IF(R412="",AM412,R412)</f>
        <v>73</v>
      </c>
      <c r="AI412" s="24" t="n">
        <f aca="false">SUMIFS(Permissions!$G$2:$G$3000,Permissions!$B$2:$B$3000,$A412,Permissions!$I$2:$I$3000,"Complete",Permissions!$R$2:$R$3000,"Yes")</f>
        <v>0</v>
      </c>
      <c r="AJ412" s="24" t="n">
        <f aca="false">SUMIFS(Permissions!$G$2:$G$3000,Permissions!$B$2:$B$3000,$A412,Permissions!$I$2:$I$3000,"Under construction",Permissions!$R$2:$R$3000,"Yes")</f>
        <v>0</v>
      </c>
      <c r="AK412" s="24" t="n">
        <f aca="false">SUMIFS(Permissions!$G$2:$G$3000,Permissions!$B$2:$B$3000,$A412,Permissions!$I$2:$I$3000,"Permitted – not started",Permissions!$R$2:$R$3000,"Yes")</f>
        <v>0</v>
      </c>
      <c r="AL412" s="24" t="n">
        <f aca="false">SUMIFS(Permissions!$G$2:$G$3000,Permissions!$B$2:$B$3000,$A412,Permissions!$I$2:$I$3000,"Stalled",Permissions!$R$2:$R$3000,"Yes")</f>
        <v>0</v>
      </c>
      <c r="AM412" s="24" t="n">
        <f aca="false">AI412+AJ412+AK412+AL412</f>
        <v>0</v>
      </c>
      <c r="AN412" s="24" t="n">
        <f aca="false">SUMIFS(Permissions!$G$2:$G$3000,Permissions!$B$2:$B$3000,$A412,Permissions!$I$2:$I$3000,"Expired – not started",Permissions!$R$2:$R$3000,"Yes")</f>
        <v>0</v>
      </c>
      <c r="AO412" s="24" t="n">
        <f aca="false">SUMIFS(Permissions!$G$2:$G$3000,Permissions!$B$2:$B$3000,$A412,Permissions!$I$2:$I$3000,"In planning",Permissions!$R$2:$R$3000,"Yes")</f>
        <v>0</v>
      </c>
      <c r="AP412" s="24" t="n">
        <f aca="false">IF(R412="",0,MAX(R412-AM412,0))</f>
        <v>73</v>
      </c>
      <c r="AQ412" s="25" t="n">
        <f aca="false">AM412+AP412</f>
        <v>73</v>
      </c>
      <c r="AR412" s="24" t="n">
        <f aca="false">SUMIFS(Permissions!$L$2:$L$3000,Permissions!$B$2:$B$3000,$A412,Permissions!$R$2:$R$3000,"Yes",Permissions!$I$2:$I$3000,"&lt;&gt;Expired – not started",Permissions!$I$2:$I$3000,"&lt;&gt;In planning")</f>
        <v>0</v>
      </c>
      <c r="AS412" s="24" t="n">
        <f aca="false">AQ412-AR412</f>
        <v>73</v>
      </c>
      <c r="AT412" s="26" t="n">
        <f aca="false">SUMIFS(Permissions!$AJ$2:$AJ$3000,Permissions!$B$2:$B$3000,$A412,Permissions!$R$2:$R$3000,"Yes")</f>
        <v>0</v>
      </c>
      <c r="AU412" s="26" t="n">
        <f aca="false">SUMIFS(Permissions!$AK$2:$AK$3000,Permissions!$B$2:$B$3000,$A412,Permissions!$R$2:$R$3000,"Yes")</f>
        <v>0</v>
      </c>
      <c r="AV412" s="26" t="n">
        <f aca="false">SUMIFS(Permissions!$AL$2:$AL$3000,Permissions!$B$2:$B$3000,$A412,Permissions!$R$2:$R$3000,"Yes")</f>
        <v>0</v>
      </c>
      <c r="AW412" s="26" t="n">
        <f aca="false">SUMIFS(Permissions!$AM$2:$AM$3000,Permissions!$B$2:$B$3000,$A412,Permissions!$R$2:$R$3000,"Yes")</f>
        <v>0</v>
      </c>
      <c r="AX412" s="26" t="n">
        <f aca="false">SUMIFS(Permissions!$AN$2:$AN$3000,Permissions!$B$2:$B$3000,$A412,Permissions!$R$2:$R$3000,"Yes")</f>
        <v>0</v>
      </c>
      <c r="AY412" s="26" t="n">
        <f aca="false">SUMIFS(Permissions!$AO$2:$AO$3000,Permissions!$B$2:$B$3000,$A412,Permissions!$R$2:$R$3000,"Yes")</f>
        <v>0</v>
      </c>
      <c r="AZ412" s="24" t="n">
        <f aca="false">COUNTIFS(Permissions!$B$2:$B$3000,$A412,Permissions!$R$2:$R$3000,"Yes")</f>
        <v>0</v>
      </c>
      <c r="BA412" s="24" t="n">
        <f aca="false">SUMIFS(Permissions!$M$2:$M$3000,Permissions!$B$2:$B$3000,$A412,Permissions!$R$2:$R$3000,"Yes")</f>
        <v>0</v>
      </c>
      <c r="BB412" s="24" t="n">
        <f aca="false">SUMIFS(Permissions!$O$2:$O$3000,Permissions!$B$2:$B$3000,$A412,Permissions!$R$2:$R$3000,"Yes")</f>
        <v>0</v>
      </c>
      <c r="BC412" s="27" t="str">
        <f aca="false">IF(AND(AM412&gt;0,AR412&gt;=AM412,AP412=0),"Finished",IF(AR412&gt;0,"Partly built",IF(AM412&gt;0,"Consented – not built","No consent")))</f>
        <v>No consent</v>
      </c>
      <c r="BD412" s="28" t="str">
        <f aca="false">IF(AND(R412&lt;&gt;"",AM412&gt;1.1*R412),"Consented above capacity",IF(AND(LEFT(B412,8)="Planning",AZ412=0),"Consent parcel with no permission",IF(COUNTIF($A$2:$A$3000,$A412)&gt;1,"Duplicate parcel_id","")))</f>
        <v/>
      </c>
    </row>
    <row r="413" customFormat="false" ht="15" hidden="false" customHeight="false" outlineLevel="0" collapsed="false">
      <c r="A413" s="15" t="s">
        <v>919</v>
      </c>
      <c r="B413" s="15" t="s">
        <v>13</v>
      </c>
      <c r="C413" s="15" t="s">
        <v>17</v>
      </c>
      <c r="D413" s="15" t="s">
        <v>64</v>
      </c>
      <c r="E413" s="15" t="s">
        <v>20</v>
      </c>
      <c r="F413" s="15" t="n">
        <v>1</v>
      </c>
      <c r="G413" s="15" t="s">
        <v>158</v>
      </c>
      <c r="H413" s="15"/>
      <c r="I413" s="15" t="s">
        <v>17</v>
      </c>
      <c r="J413" s="15" t="s">
        <v>390</v>
      </c>
      <c r="K413" s="15" t="s">
        <v>920</v>
      </c>
      <c r="L413" s="15"/>
      <c r="M413" s="15" t="s">
        <v>357</v>
      </c>
      <c r="N413" s="15"/>
      <c r="O413" s="15"/>
      <c r="P413" s="15" t="n">
        <v>1.317</v>
      </c>
      <c r="Q413" s="15" t="n">
        <v>1.447</v>
      </c>
      <c r="R413" s="15" t="n">
        <v>25</v>
      </c>
      <c r="S413" s="15" t="s">
        <v>833</v>
      </c>
      <c r="T413" s="15" t="n">
        <v>25</v>
      </c>
      <c r="U413" s="15" t="s">
        <v>916</v>
      </c>
      <c r="V413" s="15" t="s">
        <v>849</v>
      </c>
      <c r="W413" s="15"/>
      <c r="X413" s="15" t="s">
        <v>850</v>
      </c>
      <c r="Y413" s="15" t="n">
        <v>19</v>
      </c>
      <c r="Z413" s="15" t="s">
        <v>851</v>
      </c>
      <c r="AA413" s="15" t="n">
        <v>0</v>
      </c>
      <c r="AB413" s="15" t="n">
        <v>0</v>
      </c>
      <c r="AC413" s="15" t="n">
        <v>0</v>
      </c>
      <c r="AD413" s="15"/>
      <c r="AE413" s="15"/>
      <c r="AF413" s="15" t="s">
        <v>169</v>
      </c>
      <c r="AG413" s="15"/>
      <c r="AH413" s="24" t="n">
        <f aca="false">IF(R413="",AM413,R413)</f>
        <v>25</v>
      </c>
      <c r="AI413" s="24" t="n">
        <f aca="false">SUMIFS(Permissions!$G$2:$G$3000,Permissions!$B$2:$B$3000,$A413,Permissions!$I$2:$I$3000,"Complete",Permissions!$R$2:$R$3000,"Yes")</f>
        <v>0</v>
      </c>
      <c r="AJ413" s="24" t="n">
        <f aca="false">SUMIFS(Permissions!$G$2:$G$3000,Permissions!$B$2:$B$3000,$A413,Permissions!$I$2:$I$3000,"Under construction",Permissions!$R$2:$R$3000,"Yes")</f>
        <v>0</v>
      </c>
      <c r="AK413" s="24" t="n">
        <f aca="false">SUMIFS(Permissions!$G$2:$G$3000,Permissions!$B$2:$B$3000,$A413,Permissions!$I$2:$I$3000,"Permitted – not started",Permissions!$R$2:$R$3000,"Yes")</f>
        <v>0</v>
      </c>
      <c r="AL413" s="24" t="n">
        <f aca="false">SUMIFS(Permissions!$G$2:$G$3000,Permissions!$B$2:$B$3000,$A413,Permissions!$I$2:$I$3000,"Stalled",Permissions!$R$2:$R$3000,"Yes")</f>
        <v>0</v>
      </c>
      <c r="AM413" s="24" t="n">
        <f aca="false">AI413+AJ413+AK413+AL413</f>
        <v>0</v>
      </c>
      <c r="AN413" s="24" t="n">
        <f aca="false">SUMIFS(Permissions!$G$2:$G$3000,Permissions!$B$2:$B$3000,$A413,Permissions!$I$2:$I$3000,"Expired – not started",Permissions!$R$2:$R$3000,"Yes")</f>
        <v>0</v>
      </c>
      <c r="AO413" s="24" t="n">
        <f aca="false">SUMIFS(Permissions!$G$2:$G$3000,Permissions!$B$2:$B$3000,$A413,Permissions!$I$2:$I$3000,"In planning",Permissions!$R$2:$R$3000,"Yes")</f>
        <v>0</v>
      </c>
      <c r="AP413" s="24" t="n">
        <f aca="false">IF(R413="",0,MAX(R413-AM413,0))</f>
        <v>25</v>
      </c>
      <c r="AQ413" s="25" t="n">
        <f aca="false">AM413+AP413</f>
        <v>25</v>
      </c>
      <c r="AR413" s="24" t="n">
        <f aca="false">SUMIFS(Permissions!$L$2:$L$3000,Permissions!$B$2:$B$3000,$A413,Permissions!$R$2:$R$3000,"Yes",Permissions!$I$2:$I$3000,"&lt;&gt;Expired – not started",Permissions!$I$2:$I$3000,"&lt;&gt;In planning")</f>
        <v>0</v>
      </c>
      <c r="AS413" s="24" t="n">
        <f aca="false">AQ413-AR413</f>
        <v>25</v>
      </c>
      <c r="AT413" s="26" t="n">
        <f aca="false">SUMIFS(Permissions!$AJ$2:$AJ$3000,Permissions!$B$2:$B$3000,$A413,Permissions!$R$2:$R$3000,"Yes")</f>
        <v>0</v>
      </c>
      <c r="AU413" s="26" t="n">
        <f aca="false">SUMIFS(Permissions!$AK$2:$AK$3000,Permissions!$B$2:$B$3000,$A413,Permissions!$R$2:$R$3000,"Yes")</f>
        <v>0</v>
      </c>
      <c r="AV413" s="26" t="n">
        <f aca="false">SUMIFS(Permissions!$AL$2:$AL$3000,Permissions!$B$2:$B$3000,$A413,Permissions!$R$2:$R$3000,"Yes")</f>
        <v>0</v>
      </c>
      <c r="AW413" s="26" t="n">
        <f aca="false">SUMIFS(Permissions!$AM$2:$AM$3000,Permissions!$B$2:$B$3000,$A413,Permissions!$R$2:$R$3000,"Yes")</f>
        <v>0</v>
      </c>
      <c r="AX413" s="26" t="n">
        <f aca="false">SUMIFS(Permissions!$AN$2:$AN$3000,Permissions!$B$2:$B$3000,$A413,Permissions!$R$2:$R$3000,"Yes")</f>
        <v>0</v>
      </c>
      <c r="AY413" s="26" t="n">
        <f aca="false">SUMIFS(Permissions!$AO$2:$AO$3000,Permissions!$B$2:$B$3000,$A413,Permissions!$R$2:$R$3000,"Yes")</f>
        <v>0</v>
      </c>
      <c r="AZ413" s="24" t="n">
        <f aca="false">COUNTIFS(Permissions!$B$2:$B$3000,$A413,Permissions!$R$2:$R$3000,"Yes")</f>
        <v>0</v>
      </c>
      <c r="BA413" s="24" t="n">
        <f aca="false">SUMIFS(Permissions!$M$2:$M$3000,Permissions!$B$2:$B$3000,$A413,Permissions!$R$2:$R$3000,"Yes")</f>
        <v>0</v>
      </c>
      <c r="BB413" s="24" t="n">
        <f aca="false">SUMIFS(Permissions!$O$2:$O$3000,Permissions!$B$2:$B$3000,$A413,Permissions!$R$2:$R$3000,"Yes")</f>
        <v>0</v>
      </c>
      <c r="BC413" s="27" t="str">
        <f aca="false">IF(AND(AM413&gt;0,AR413&gt;=AM413,AP413=0),"Finished",IF(AR413&gt;0,"Partly built",IF(AM413&gt;0,"Consented – not built","No consent")))</f>
        <v>No consent</v>
      </c>
      <c r="BD413" s="28" t="str">
        <f aca="false">IF(AND(R413&lt;&gt;"",AM413&gt;1.1*R413),"Consented above capacity",IF(AND(LEFT(B413,8)="Planning",AZ413=0),"Consent parcel with no permission",IF(COUNTIF($A$2:$A$3000,$A413)&gt;1,"Duplicate parcel_id","")))</f>
        <v/>
      </c>
    </row>
    <row r="414" customFormat="false" ht="15" hidden="false" customHeight="false" outlineLevel="0" collapsed="false">
      <c r="A414" s="15" t="s">
        <v>921</v>
      </c>
      <c r="B414" s="15" t="s">
        <v>13</v>
      </c>
      <c r="C414" s="15" t="s">
        <v>17</v>
      </c>
      <c r="D414" s="15" t="s">
        <v>64</v>
      </c>
      <c r="E414" s="15" t="s">
        <v>20</v>
      </c>
      <c r="F414" s="15" t="n">
        <v>1</v>
      </c>
      <c r="G414" s="15" t="s">
        <v>158</v>
      </c>
      <c r="H414" s="15"/>
      <c r="I414" s="15" t="s">
        <v>17</v>
      </c>
      <c r="J414" s="15" t="s">
        <v>390</v>
      </c>
      <c r="K414" s="15" t="s">
        <v>915</v>
      </c>
      <c r="L414" s="15"/>
      <c r="M414" s="15" t="s">
        <v>349</v>
      </c>
      <c r="N414" s="15"/>
      <c r="O414" s="15"/>
      <c r="P414" s="15" t="n">
        <v>1.023</v>
      </c>
      <c r="Q414" s="15" t="n">
        <v>1.125</v>
      </c>
      <c r="R414" s="15" t="n">
        <v>26</v>
      </c>
      <c r="S414" s="15" t="s">
        <v>833</v>
      </c>
      <c r="T414" s="15" t="n">
        <v>26</v>
      </c>
      <c r="U414" s="15" t="s">
        <v>916</v>
      </c>
      <c r="V414" s="15" t="s">
        <v>835</v>
      </c>
      <c r="W414" s="15"/>
      <c r="X414" s="15" t="s">
        <v>353</v>
      </c>
      <c r="Y414" s="15" t="n">
        <v>25</v>
      </c>
      <c r="Z414" s="15" t="s">
        <v>845</v>
      </c>
      <c r="AA414" s="15" t="n">
        <v>0</v>
      </c>
      <c r="AB414" s="15" t="n">
        <v>0</v>
      </c>
      <c r="AC414" s="15" t="n">
        <v>0</v>
      </c>
      <c r="AD414" s="15"/>
      <c r="AE414" s="15"/>
      <c r="AF414" s="15" t="s">
        <v>169</v>
      </c>
      <c r="AG414" s="15"/>
      <c r="AH414" s="24" t="n">
        <f aca="false">IF(R414="",AM414,R414)</f>
        <v>26</v>
      </c>
      <c r="AI414" s="24" t="n">
        <f aca="false">SUMIFS(Permissions!$G$2:$G$3000,Permissions!$B$2:$B$3000,$A414,Permissions!$I$2:$I$3000,"Complete",Permissions!$R$2:$R$3000,"Yes")</f>
        <v>0</v>
      </c>
      <c r="AJ414" s="24" t="n">
        <f aca="false">SUMIFS(Permissions!$G$2:$G$3000,Permissions!$B$2:$B$3000,$A414,Permissions!$I$2:$I$3000,"Under construction",Permissions!$R$2:$R$3000,"Yes")</f>
        <v>0</v>
      </c>
      <c r="AK414" s="24" t="n">
        <f aca="false">SUMIFS(Permissions!$G$2:$G$3000,Permissions!$B$2:$B$3000,$A414,Permissions!$I$2:$I$3000,"Permitted – not started",Permissions!$R$2:$R$3000,"Yes")</f>
        <v>0</v>
      </c>
      <c r="AL414" s="24" t="n">
        <f aca="false">SUMIFS(Permissions!$G$2:$G$3000,Permissions!$B$2:$B$3000,$A414,Permissions!$I$2:$I$3000,"Stalled",Permissions!$R$2:$R$3000,"Yes")</f>
        <v>0</v>
      </c>
      <c r="AM414" s="24" t="n">
        <f aca="false">AI414+AJ414+AK414+AL414</f>
        <v>0</v>
      </c>
      <c r="AN414" s="24" t="n">
        <f aca="false">SUMIFS(Permissions!$G$2:$G$3000,Permissions!$B$2:$B$3000,$A414,Permissions!$I$2:$I$3000,"Expired – not started",Permissions!$R$2:$R$3000,"Yes")</f>
        <v>0</v>
      </c>
      <c r="AO414" s="24" t="n">
        <f aca="false">SUMIFS(Permissions!$G$2:$G$3000,Permissions!$B$2:$B$3000,$A414,Permissions!$I$2:$I$3000,"In planning",Permissions!$R$2:$R$3000,"Yes")</f>
        <v>0</v>
      </c>
      <c r="AP414" s="24" t="n">
        <f aca="false">IF(R414="",0,MAX(R414-AM414,0))</f>
        <v>26</v>
      </c>
      <c r="AQ414" s="25" t="n">
        <f aca="false">AM414+AP414</f>
        <v>26</v>
      </c>
      <c r="AR414" s="24" t="n">
        <f aca="false">SUMIFS(Permissions!$L$2:$L$3000,Permissions!$B$2:$B$3000,$A414,Permissions!$R$2:$R$3000,"Yes",Permissions!$I$2:$I$3000,"&lt;&gt;Expired – not started",Permissions!$I$2:$I$3000,"&lt;&gt;In planning")</f>
        <v>0</v>
      </c>
      <c r="AS414" s="24" t="n">
        <f aca="false">AQ414-AR414</f>
        <v>26</v>
      </c>
      <c r="AT414" s="26" t="n">
        <f aca="false">SUMIFS(Permissions!$AJ$2:$AJ$3000,Permissions!$B$2:$B$3000,$A414,Permissions!$R$2:$R$3000,"Yes")</f>
        <v>0</v>
      </c>
      <c r="AU414" s="26" t="n">
        <f aca="false">SUMIFS(Permissions!$AK$2:$AK$3000,Permissions!$B$2:$B$3000,$A414,Permissions!$R$2:$R$3000,"Yes")</f>
        <v>0</v>
      </c>
      <c r="AV414" s="26" t="n">
        <f aca="false">SUMIFS(Permissions!$AL$2:$AL$3000,Permissions!$B$2:$B$3000,$A414,Permissions!$R$2:$R$3000,"Yes")</f>
        <v>0</v>
      </c>
      <c r="AW414" s="26" t="n">
        <f aca="false">SUMIFS(Permissions!$AM$2:$AM$3000,Permissions!$B$2:$B$3000,$A414,Permissions!$R$2:$R$3000,"Yes")</f>
        <v>0</v>
      </c>
      <c r="AX414" s="26" t="n">
        <f aca="false">SUMIFS(Permissions!$AN$2:$AN$3000,Permissions!$B$2:$B$3000,$A414,Permissions!$R$2:$R$3000,"Yes")</f>
        <v>0</v>
      </c>
      <c r="AY414" s="26" t="n">
        <f aca="false">SUMIFS(Permissions!$AO$2:$AO$3000,Permissions!$B$2:$B$3000,$A414,Permissions!$R$2:$R$3000,"Yes")</f>
        <v>0</v>
      </c>
      <c r="AZ414" s="24" t="n">
        <f aca="false">COUNTIFS(Permissions!$B$2:$B$3000,$A414,Permissions!$R$2:$R$3000,"Yes")</f>
        <v>0</v>
      </c>
      <c r="BA414" s="24" t="n">
        <f aca="false">SUMIFS(Permissions!$M$2:$M$3000,Permissions!$B$2:$B$3000,$A414,Permissions!$R$2:$R$3000,"Yes")</f>
        <v>0</v>
      </c>
      <c r="BB414" s="24" t="n">
        <f aca="false">SUMIFS(Permissions!$O$2:$O$3000,Permissions!$B$2:$B$3000,$A414,Permissions!$R$2:$R$3000,"Yes")</f>
        <v>0</v>
      </c>
      <c r="BC414" s="27" t="str">
        <f aca="false">IF(AND(AM414&gt;0,AR414&gt;=AM414,AP414=0),"Finished",IF(AR414&gt;0,"Partly built",IF(AM414&gt;0,"Consented – not built","No consent")))</f>
        <v>No consent</v>
      </c>
      <c r="BD414" s="28" t="str">
        <f aca="false">IF(AND(R414&lt;&gt;"",AM414&gt;1.1*R414),"Consented above capacity",IF(AND(LEFT(B414,8)="Planning",AZ414=0),"Consent parcel with no permission",IF(COUNTIF($A$2:$A$3000,$A414)&gt;1,"Duplicate parcel_id","")))</f>
        <v/>
      </c>
    </row>
    <row r="415" customFormat="false" ht="15" hidden="false" customHeight="false" outlineLevel="0" collapsed="false">
      <c r="A415" s="15" t="s">
        <v>922</v>
      </c>
      <c r="B415" s="15" t="s">
        <v>13</v>
      </c>
      <c r="C415" s="15" t="s">
        <v>17</v>
      </c>
      <c r="D415" s="15" t="s">
        <v>64</v>
      </c>
      <c r="E415" s="15" t="s">
        <v>20</v>
      </c>
      <c r="F415" s="15" t="n">
        <v>1</v>
      </c>
      <c r="G415" s="15" t="s">
        <v>158</v>
      </c>
      <c r="H415" s="15"/>
      <c r="I415" s="15" t="s">
        <v>17</v>
      </c>
      <c r="J415" s="15" t="s">
        <v>390</v>
      </c>
      <c r="K415" s="15" t="s">
        <v>920</v>
      </c>
      <c r="L415" s="15"/>
      <c r="M415" s="15" t="s">
        <v>357</v>
      </c>
      <c r="N415" s="15"/>
      <c r="O415" s="15"/>
      <c r="P415" s="15" t="n">
        <v>1.7</v>
      </c>
      <c r="Q415" s="15" t="n">
        <v>1.868</v>
      </c>
      <c r="R415" s="15" t="n">
        <v>32</v>
      </c>
      <c r="S415" s="15" t="s">
        <v>833</v>
      </c>
      <c r="T415" s="15" t="n">
        <v>32</v>
      </c>
      <c r="U415" s="15" t="s">
        <v>916</v>
      </c>
      <c r="V415" s="15" t="s">
        <v>849</v>
      </c>
      <c r="W415" s="15"/>
      <c r="X415" s="15" t="s">
        <v>850</v>
      </c>
      <c r="Y415" s="15" t="n">
        <v>19</v>
      </c>
      <c r="Z415" s="15" t="s">
        <v>851</v>
      </c>
      <c r="AA415" s="15" t="n">
        <v>0</v>
      </c>
      <c r="AB415" s="15" t="n">
        <v>0</v>
      </c>
      <c r="AC415" s="15" t="n">
        <v>0</v>
      </c>
      <c r="AD415" s="15"/>
      <c r="AE415" s="15"/>
      <c r="AF415" s="15" t="s">
        <v>169</v>
      </c>
      <c r="AG415" s="15"/>
      <c r="AH415" s="24" t="n">
        <f aca="false">IF(R415="",AM415,R415)</f>
        <v>32</v>
      </c>
      <c r="AI415" s="24" t="n">
        <f aca="false">SUMIFS(Permissions!$G$2:$G$3000,Permissions!$B$2:$B$3000,$A415,Permissions!$I$2:$I$3000,"Complete",Permissions!$R$2:$R$3000,"Yes")</f>
        <v>0</v>
      </c>
      <c r="AJ415" s="24" t="n">
        <f aca="false">SUMIFS(Permissions!$G$2:$G$3000,Permissions!$B$2:$B$3000,$A415,Permissions!$I$2:$I$3000,"Under construction",Permissions!$R$2:$R$3000,"Yes")</f>
        <v>0</v>
      </c>
      <c r="AK415" s="24" t="n">
        <f aca="false">SUMIFS(Permissions!$G$2:$G$3000,Permissions!$B$2:$B$3000,$A415,Permissions!$I$2:$I$3000,"Permitted – not started",Permissions!$R$2:$R$3000,"Yes")</f>
        <v>0</v>
      </c>
      <c r="AL415" s="24" t="n">
        <f aca="false">SUMIFS(Permissions!$G$2:$G$3000,Permissions!$B$2:$B$3000,$A415,Permissions!$I$2:$I$3000,"Stalled",Permissions!$R$2:$R$3000,"Yes")</f>
        <v>0</v>
      </c>
      <c r="AM415" s="24" t="n">
        <f aca="false">AI415+AJ415+AK415+AL415</f>
        <v>0</v>
      </c>
      <c r="AN415" s="24" t="n">
        <f aca="false">SUMIFS(Permissions!$G$2:$G$3000,Permissions!$B$2:$B$3000,$A415,Permissions!$I$2:$I$3000,"Expired – not started",Permissions!$R$2:$R$3000,"Yes")</f>
        <v>0</v>
      </c>
      <c r="AO415" s="24" t="n">
        <f aca="false">SUMIFS(Permissions!$G$2:$G$3000,Permissions!$B$2:$B$3000,$A415,Permissions!$I$2:$I$3000,"In planning",Permissions!$R$2:$R$3000,"Yes")</f>
        <v>0</v>
      </c>
      <c r="AP415" s="24" t="n">
        <f aca="false">IF(R415="",0,MAX(R415-AM415,0))</f>
        <v>32</v>
      </c>
      <c r="AQ415" s="25" t="n">
        <f aca="false">AM415+AP415</f>
        <v>32</v>
      </c>
      <c r="AR415" s="24" t="n">
        <f aca="false">SUMIFS(Permissions!$L$2:$L$3000,Permissions!$B$2:$B$3000,$A415,Permissions!$R$2:$R$3000,"Yes",Permissions!$I$2:$I$3000,"&lt;&gt;Expired – not started",Permissions!$I$2:$I$3000,"&lt;&gt;In planning")</f>
        <v>0</v>
      </c>
      <c r="AS415" s="24" t="n">
        <f aca="false">AQ415-AR415</f>
        <v>32</v>
      </c>
      <c r="AT415" s="26" t="n">
        <f aca="false">SUMIFS(Permissions!$AJ$2:$AJ$3000,Permissions!$B$2:$B$3000,$A415,Permissions!$R$2:$R$3000,"Yes")</f>
        <v>0</v>
      </c>
      <c r="AU415" s="26" t="n">
        <f aca="false">SUMIFS(Permissions!$AK$2:$AK$3000,Permissions!$B$2:$B$3000,$A415,Permissions!$R$2:$R$3000,"Yes")</f>
        <v>0</v>
      </c>
      <c r="AV415" s="26" t="n">
        <f aca="false">SUMIFS(Permissions!$AL$2:$AL$3000,Permissions!$B$2:$B$3000,$A415,Permissions!$R$2:$R$3000,"Yes")</f>
        <v>0</v>
      </c>
      <c r="AW415" s="26" t="n">
        <f aca="false">SUMIFS(Permissions!$AM$2:$AM$3000,Permissions!$B$2:$B$3000,$A415,Permissions!$R$2:$R$3000,"Yes")</f>
        <v>0</v>
      </c>
      <c r="AX415" s="26" t="n">
        <f aca="false">SUMIFS(Permissions!$AN$2:$AN$3000,Permissions!$B$2:$B$3000,$A415,Permissions!$R$2:$R$3000,"Yes")</f>
        <v>0</v>
      </c>
      <c r="AY415" s="26" t="n">
        <f aca="false">SUMIFS(Permissions!$AO$2:$AO$3000,Permissions!$B$2:$B$3000,$A415,Permissions!$R$2:$R$3000,"Yes")</f>
        <v>0</v>
      </c>
      <c r="AZ415" s="24" t="n">
        <f aca="false">COUNTIFS(Permissions!$B$2:$B$3000,$A415,Permissions!$R$2:$R$3000,"Yes")</f>
        <v>0</v>
      </c>
      <c r="BA415" s="24" t="n">
        <f aca="false">SUMIFS(Permissions!$M$2:$M$3000,Permissions!$B$2:$B$3000,$A415,Permissions!$R$2:$R$3000,"Yes")</f>
        <v>0</v>
      </c>
      <c r="BB415" s="24" t="n">
        <f aca="false">SUMIFS(Permissions!$O$2:$O$3000,Permissions!$B$2:$B$3000,$A415,Permissions!$R$2:$R$3000,"Yes")</f>
        <v>0</v>
      </c>
      <c r="BC415" s="27" t="str">
        <f aca="false">IF(AND(AM415&gt;0,AR415&gt;=AM415,AP415=0),"Finished",IF(AR415&gt;0,"Partly built",IF(AM415&gt;0,"Consented – not built","No consent")))</f>
        <v>No consent</v>
      </c>
      <c r="BD415" s="28" t="str">
        <f aca="false">IF(AND(R415&lt;&gt;"",AM415&gt;1.1*R415),"Consented above capacity",IF(AND(LEFT(B415,8)="Planning",AZ415=0),"Consent parcel with no permission",IF(COUNTIF($A$2:$A$3000,$A415)&gt;1,"Duplicate parcel_id","")))</f>
        <v/>
      </c>
    </row>
    <row r="416" customFormat="false" ht="15" hidden="false" customHeight="false" outlineLevel="0" collapsed="false">
      <c r="A416" s="15" t="s">
        <v>923</v>
      </c>
      <c r="B416" s="15" t="s">
        <v>13</v>
      </c>
      <c r="C416" s="15" t="s">
        <v>17</v>
      </c>
      <c r="D416" s="15" t="s">
        <v>64</v>
      </c>
      <c r="E416" s="15" t="s">
        <v>20</v>
      </c>
      <c r="F416" s="15" t="n">
        <v>1</v>
      </c>
      <c r="G416" s="15" t="s">
        <v>158</v>
      </c>
      <c r="H416" s="15"/>
      <c r="I416" s="15" t="s">
        <v>17</v>
      </c>
      <c r="J416" s="15" t="s">
        <v>390</v>
      </c>
      <c r="K416" s="15" t="s">
        <v>915</v>
      </c>
      <c r="L416" s="15"/>
      <c r="M416" s="15" t="s">
        <v>349</v>
      </c>
      <c r="N416" s="15"/>
      <c r="O416" s="15"/>
      <c r="P416" s="15" t="n">
        <v>1.134</v>
      </c>
      <c r="Q416" s="15" t="n">
        <v>1.246</v>
      </c>
      <c r="R416" s="15" t="n">
        <v>28</v>
      </c>
      <c r="S416" s="15" t="s">
        <v>833</v>
      </c>
      <c r="T416" s="15" t="n">
        <v>28</v>
      </c>
      <c r="U416" s="15" t="s">
        <v>916</v>
      </c>
      <c r="V416" s="15" t="s">
        <v>835</v>
      </c>
      <c r="W416" s="15"/>
      <c r="X416" s="15" t="s">
        <v>353</v>
      </c>
      <c r="Y416" s="15" t="n">
        <v>25</v>
      </c>
      <c r="Z416" s="15" t="s">
        <v>845</v>
      </c>
      <c r="AA416" s="15" t="n">
        <v>0</v>
      </c>
      <c r="AB416" s="15" t="n">
        <v>0</v>
      </c>
      <c r="AC416" s="15" t="n">
        <v>0</v>
      </c>
      <c r="AD416" s="15"/>
      <c r="AE416" s="15"/>
      <c r="AF416" s="15" t="s">
        <v>169</v>
      </c>
      <c r="AG416" s="15"/>
      <c r="AH416" s="24" t="n">
        <f aca="false">IF(R416="",AM416,R416)</f>
        <v>28</v>
      </c>
      <c r="AI416" s="24" t="n">
        <f aca="false">SUMIFS(Permissions!$G$2:$G$3000,Permissions!$B$2:$B$3000,$A416,Permissions!$I$2:$I$3000,"Complete",Permissions!$R$2:$R$3000,"Yes")</f>
        <v>0</v>
      </c>
      <c r="AJ416" s="24" t="n">
        <f aca="false">SUMIFS(Permissions!$G$2:$G$3000,Permissions!$B$2:$B$3000,$A416,Permissions!$I$2:$I$3000,"Under construction",Permissions!$R$2:$R$3000,"Yes")</f>
        <v>0</v>
      </c>
      <c r="AK416" s="24" t="n">
        <f aca="false">SUMIFS(Permissions!$G$2:$G$3000,Permissions!$B$2:$B$3000,$A416,Permissions!$I$2:$I$3000,"Permitted – not started",Permissions!$R$2:$R$3000,"Yes")</f>
        <v>0</v>
      </c>
      <c r="AL416" s="24" t="n">
        <f aca="false">SUMIFS(Permissions!$G$2:$G$3000,Permissions!$B$2:$B$3000,$A416,Permissions!$I$2:$I$3000,"Stalled",Permissions!$R$2:$R$3000,"Yes")</f>
        <v>0</v>
      </c>
      <c r="AM416" s="24" t="n">
        <f aca="false">AI416+AJ416+AK416+AL416</f>
        <v>0</v>
      </c>
      <c r="AN416" s="24" t="n">
        <f aca="false">SUMIFS(Permissions!$G$2:$G$3000,Permissions!$B$2:$B$3000,$A416,Permissions!$I$2:$I$3000,"Expired – not started",Permissions!$R$2:$R$3000,"Yes")</f>
        <v>0</v>
      </c>
      <c r="AO416" s="24" t="n">
        <f aca="false">SUMIFS(Permissions!$G$2:$G$3000,Permissions!$B$2:$B$3000,$A416,Permissions!$I$2:$I$3000,"In planning",Permissions!$R$2:$R$3000,"Yes")</f>
        <v>0</v>
      </c>
      <c r="AP416" s="24" t="n">
        <f aca="false">IF(R416="",0,MAX(R416-AM416,0))</f>
        <v>28</v>
      </c>
      <c r="AQ416" s="25" t="n">
        <f aca="false">AM416+AP416</f>
        <v>28</v>
      </c>
      <c r="AR416" s="24" t="n">
        <f aca="false">SUMIFS(Permissions!$L$2:$L$3000,Permissions!$B$2:$B$3000,$A416,Permissions!$R$2:$R$3000,"Yes",Permissions!$I$2:$I$3000,"&lt;&gt;Expired – not started",Permissions!$I$2:$I$3000,"&lt;&gt;In planning")</f>
        <v>0</v>
      </c>
      <c r="AS416" s="24" t="n">
        <f aca="false">AQ416-AR416</f>
        <v>28</v>
      </c>
      <c r="AT416" s="26" t="n">
        <f aca="false">SUMIFS(Permissions!$AJ$2:$AJ$3000,Permissions!$B$2:$B$3000,$A416,Permissions!$R$2:$R$3000,"Yes")</f>
        <v>0</v>
      </c>
      <c r="AU416" s="26" t="n">
        <f aca="false">SUMIFS(Permissions!$AK$2:$AK$3000,Permissions!$B$2:$B$3000,$A416,Permissions!$R$2:$R$3000,"Yes")</f>
        <v>0</v>
      </c>
      <c r="AV416" s="26" t="n">
        <f aca="false">SUMIFS(Permissions!$AL$2:$AL$3000,Permissions!$B$2:$B$3000,$A416,Permissions!$R$2:$R$3000,"Yes")</f>
        <v>0</v>
      </c>
      <c r="AW416" s="26" t="n">
        <f aca="false">SUMIFS(Permissions!$AM$2:$AM$3000,Permissions!$B$2:$B$3000,$A416,Permissions!$R$2:$R$3000,"Yes")</f>
        <v>0</v>
      </c>
      <c r="AX416" s="26" t="n">
        <f aca="false">SUMIFS(Permissions!$AN$2:$AN$3000,Permissions!$B$2:$B$3000,$A416,Permissions!$R$2:$R$3000,"Yes")</f>
        <v>0</v>
      </c>
      <c r="AY416" s="26" t="n">
        <f aca="false">SUMIFS(Permissions!$AO$2:$AO$3000,Permissions!$B$2:$B$3000,$A416,Permissions!$R$2:$R$3000,"Yes")</f>
        <v>0</v>
      </c>
      <c r="AZ416" s="24" t="n">
        <f aca="false">COUNTIFS(Permissions!$B$2:$B$3000,$A416,Permissions!$R$2:$R$3000,"Yes")</f>
        <v>0</v>
      </c>
      <c r="BA416" s="24" t="n">
        <f aca="false">SUMIFS(Permissions!$M$2:$M$3000,Permissions!$B$2:$B$3000,$A416,Permissions!$R$2:$R$3000,"Yes")</f>
        <v>0</v>
      </c>
      <c r="BB416" s="24" t="n">
        <f aca="false">SUMIFS(Permissions!$O$2:$O$3000,Permissions!$B$2:$B$3000,$A416,Permissions!$R$2:$R$3000,"Yes")</f>
        <v>0</v>
      </c>
      <c r="BC416" s="27" t="str">
        <f aca="false">IF(AND(AM416&gt;0,AR416&gt;=AM416,AP416=0),"Finished",IF(AR416&gt;0,"Partly built",IF(AM416&gt;0,"Consented – not built","No consent")))</f>
        <v>No consent</v>
      </c>
      <c r="BD416" s="28" t="str">
        <f aca="false">IF(AND(R416&lt;&gt;"",AM416&gt;1.1*R416),"Consented above capacity",IF(AND(LEFT(B416,8)="Planning",AZ416=0),"Consent parcel with no permission",IF(COUNTIF($A$2:$A$3000,$A416)&gt;1,"Duplicate parcel_id","")))</f>
        <v/>
      </c>
    </row>
    <row r="417" customFormat="false" ht="15" hidden="false" customHeight="false" outlineLevel="0" collapsed="false">
      <c r="A417" s="15" t="s">
        <v>924</v>
      </c>
      <c r="B417" s="15" t="s">
        <v>13</v>
      </c>
      <c r="C417" s="15" t="s">
        <v>17</v>
      </c>
      <c r="D417" s="15" t="s">
        <v>64</v>
      </c>
      <c r="E417" s="15" t="s">
        <v>20</v>
      </c>
      <c r="F417" s="15" t="n">
        <v>0.98</v>
      </c>
      <c r="G417" s="15" t="s">
        <v>158</v>
      </c>
      <c r="H417" s="15"/>
      <c r="I417" s="15" t="s">
        <v>17</v>
      </c>
      <c r="J417" s="15" t="s">
        <v>390</v>
      </c>
      <c r="K417" s="15" t="s">
        <v>915</v>
      </c>
      <c r="L417" s="15"/>
      <c r="M417" s="15" t="s">
        <v>349</v>
      </c>
      <c r="N417" s="15"/>
      <c r="O417" s="15"/>
      <c r="P417" s="15" t="n">
        <v>1.501</v>
      </c>
      <c r="Q417" s="15" t="n">
        <v>1.649</v>
      </c>
      <c r="R417" s="15" t="n">
        <v>38</v>
      </c>
      <c r="S417" s="15" t="s">
        <v>833</v>
      </c>
      <c r="T417" s="15" t="n">
        <v>38</v>
      </c>
      <c r="U417" s="15" t="s">
        <v>916</v>
      </c>
      <c r="V417" s="15" t="s">
        <v>835</v>
      </c>
      <c r="W417" s="15"/>
      <c r="X417" s="15" t="s">
        <v>353</v>
      </c>
      <c r="Y417" s="15" t="n">
        <v>25</v>
      </c>
      <c r="Z417" s="15" t="s">
        <v>845</v>
      </c>
      <c r="AA417" s="15" t="n">
        <v>0</v>
      </c>
      <c r="AB417" s="15" t="n">
        <v>0</v>
      </c>
      <c r="AC417" s="15" t="n">
        <v>0</v>
      </c>
      <c r="AD417" s="15"/>
      <c r="AE417" s="15"/>
      <c r="AF417" s="15" t="s">
        <v>169</v>
      </c>
      <c r="AG417" s="15"/>
      <c r="AH417" s="24" t="n">
        <f aca="false">IF(R417="",AM417,R417)</f>
        <v>38</v>
      </c>
      <c r="AI417" s="24" t="n">
        <f aca="false">SUMIFS(Permissions!$G$2:$G$3000,Permissions!$B$2:$B$3000,$A417,Permissions!$I$2:$I$3000,"Complete",Permissions!$R$2:$R$3000,"Yes")</f>
        <v>0</v>
      </c>
      <c r="AJ417" s="24" t="n">
        <f aca="false">SUMIFS(Permissions!$G$2:$G$3000,Permissions!$B$2:$B$3000,$A417,Permissions!$I$2:$I$3000,"Under construction",Permissions!$R$2:$R$3000,"Yes")</f>
        <v>0</v>
      </c>
      <c r="AK417" s="24" t="n">
        <f aca="false">SUMIFS(Permissions!$G$2:$G$3000,Permissions!$B$2:$B$3000,$A417,Permissions!$I$2:$I$3000,"Permitted – not started",Permissions!$R$2:$R$3000,"Yes")</f>
        <v>0</v>
      </c>
      <c r="AL417" s="24" t="n">
        <f aca="false">SUMIFS(Permissions!$G$2:$G$3000,Permissions!$B$2:$B$3000,$A417,Permissions!$I$2:$I$3000,"Stalled",Permissions!$R$2:$R$3000,"Yes")</f>
        <v>0</v>
      </c>
      <c r="AM417" s="24" t="n">
        <f aca="false">AI417+AJ417+AK417+AL417</f>
        <v>0</v>
      </c>
      <c r="AN417" s="24" t="n">
        <f aca="false">SUMIFS(Permissions!$G$2:$G$3000,Permissions!$B$2:$B$3000,$A417,Permissions!$I$2:$I$3000,"Expired – not started",Permissions!$R$2:$R$3000,"Yes")</f>
        <v>0</v>
      </c>
      <c r="AO417" s="24" t="n">
        <f aca="false">SUMIFS(Permissions!$G$2:$G$3000,Permissions!$B$2:$B$3000,$A417,Permissions!$I$2:$I$3000,"In planning",Permissions!$R$2:$R$3000,"Yes")</f>
        <v>0</v>
      </c>
      <c r="AP417" s="24" t="n">
        <f aca="false">IF(R417="",0,MAX(R417-AM417,0))</f>
        <v>38</v>
      </c>
      <c r="AQ417" s="25" t="n">
        <f aca="false">AM417+AP417</f>
        <v>38</v>
      </c>
      <c r="AR417" s="24" t="n">
        <f aca="false">SUMIFS(Permissions!$L$2:$L$3000,Permissions!$B$2:$B$3000,$A417,Permissions!$R$2:$R$3000,"Yes",Permissions!$I$2:$I$3000,"&lt;&gt;Expired – not started",Permissions!$I$2:$I$3000,"&lt;&gt;In planning")</f>
        <v>0</v>
      </c>
      <c r="AS417" s="24" t="n">
        <f aca="false">AQ417-AR417</f>
        <v>38</v>
      </c>
      <c r="AT417" s="26" t="n">
        <f aca="false">SUMIFS(Permissions!$AJ$2:$AJ$3000,Permissions!$B$2:$B$3000,$A417,Permissions!$R$2:$R$3000,"Yes")</f>
        <v>0</v>
      </c>
      <c r="AU417" s="26" t="n">
        <f aca="false">SUMIFS(Permissions!$AK$2:$AK$3000,Permissions!$B$2:$B$3000,$A417,Permissions!$R$2:$R$3000,"Yes")</f>
        <v>0</v>
      </c>
      <c r="AV417" s="26" t="n">
        <f aca="false">SUMIFS(Permissions!$AL$2:$AL$3000,Permissions!$B$2:$B$3000,$A417,Permissions!$R$2:$R$3000,"Yes")</f>
        <v>0</v>
      </c>
      <c r="AW417" s="26" t="n">
        <f aca="false">SUMIFS(Permissions!$AM$2:$AM$3000,Permissions!$B$2:$B$3000,$A417,Permissions!$R$2:$R$3000,"Yes")</f>
        <v>0</v>
      </c>
      <c r="AX417" s="26" t="n">
        <f aca="false">SUMIFS(Permissions!$AN$2:$AN$3000,Permissions!$B$2:$B$3000,$A417,Permissions!$R$2:$R$3000,"Yes")</f>
        <v>0</v>
      </c>
      <c r="AY417" s="26" t="n">
        <f aca="false">SUMIFS(Permissions!$AO$2:$AO$3000,Permissions!$B$2:$B$3000,$A417,Permissions!$R$2:$R$3000,"Yes")</f>
        <v>0</v>
      </c>
      <c r="AZ417" s="24" t="n">
        <f aca="false">COUNTIFS(Permissions!$B$2:$B$3000,$A417,Permissions!$R$2:$R$3000,"Yes")</f>
        <v>0</v>
      </c>
      <c r="BA417" s="24" t="n">
        <f aca="false">SUMIFS(Permissions!$M$2:$M$3000,Permissions!$B$2:$B$3000,$A417,Permissions!$R$2:$R$3000,"Yes")</f>
        <v>0</v>
      </c>
      <c r="BB417" s="24" t="n">
        <f aca="false">SUMIFS(Permissions!$O$2:$O$3000,Permissions!$B$2:$B$3000,$A417,Permissions!$R$2:$R$3000,"Yes")</f>
        <v>0</v>
      </c>
      <c r="BC417" s="27" t="str">
        <f aca="false">IF(AND(AM417&gt;0,AR417&gt;=AM417,AP417=0),"Finished",IF(AR417&gt;0,"Partly built",IF(AM417&gt;0,"Consented – not built","No consent")))</f>
        <v>No consent</v>
      </c>
      <c r="BD417" s="28" t="str">
        <f aca="false">IF(AND(R417&lt;&gt;"",AM417&gt;1.1*R417),"Consented above capacity",IF(AND(LEFT(B417,8)="Planning",AZ417=0),"Consent parcel with no permission",IF(COUNTIF($A$2:$A$3000,$A417)&gt;1,"Duplicate parcel_id","")))</f>
        <v/>
      </c>
    </row>
    <row r="418" customFormat="false" ht="15" hidden="false" customHeight="false" outlineLevel="0" collapsed="false">
      <c r="A418" s="15" t="s">
        <v>925</v>
      </c>
      <c r="B418" s="15" t="s">
        <v>13</v>
      </c>
      <c r="C418" s="15" t="s">
        <v>17</v>
      </c>
      <c r="D418" s="15" t="s">
        <v>64</v>
      </c>
      <c r="E418" s="15" t="s">
        <v>20</v>
      </c>
      <c r="F418" s="15" t="n">
        <v>1</v>
      </c>
      <c r="G418" s="15" t="s">
        <v>158</v>
      </c>
      <c r="H418" s="15"/>
      <c r="I418" s="15" t="s">
        <v>17</v>
      </c>
      <c r="J418" s="15" t="s">
        <v>390</v>
      </c>
      <c r="K418" s="15" t="s">
        <v>915</v>
      </c>
      <c r="L418" s="15"/>
      <c r="M418" s="15" t="s">
        <v>349</v>
      </c>
      <c r="N418" s="15"/>
      <c r="O418" s="15"/>
      <c r="P418" s="15" t="n">
        <v>8.757</v>
      </c>
      <c r="Q418" s="15" t="n">
        <v>9.623</v>
      </c>
      <c r="R418" s="15" t="n">
        <v>219</v>
      </c>
      <c r="S418" s="15" t="s">
        <v>833</v>
      </c>
      <c r="T418" s="15" t="n">
        <v>219</v>
      </c>
      <c r="U418" s="15" t="s">
        <v>916</v>
      </c>
      <c r="V418" s="15" t="s">
        <v>835</v>
      </c>
      <c r="W418" s="15"/>
      <c r="X418" s="15" t="s">
        <v>353</v>
      </c>
      <c r="Y418" s="15" t="n">
        <v>25</v>
      </c>
      <c r="Z418" s="15" t="s">
        <v>845</v>
      </c>
      <c r="AA418" s="15" t="n">
        <v>0</v>
      </c>
      <c r="AB418" s="15" t="n">
        <v>0</v>
      </c>
      <c r="AC418" s="15" t="n">
        <v>0</v>
      </c>
      <c r="AD418" s="15"/>
      <c r="AE418" s="15"/>
      <c r="AF418" s="15" t="s">
        <v>169</v>
      </c>
      <c r="AG418" s="15"/>
      <c r="AH418" s="24" t="n">
        <f aca="false">IF(R418="",AM418,R418)</f>
        <v>219</v>
      </c>
      <c r="AI418" s="24" t="n">
        <f aca="false">SUMIFS(Permissions!$G$2:$G$3000,Permissions!$B$2:$B$3000,$A418,Permissions!$I$2:$I$3000,"Complete",Permissions!$R$2:$R$3000,"Yes")</f>
        <v>0</v>
      </c>
      <c r="AJ418" s="24" t="n">
        <f aca="false">SUMIFS(Permissions!$G$2:$G$3000,Permissions!$B$2:$B$3000,$A418,Permissions!$I$2:$I$3000,"Under construction",Permissions!$R$2:$R$3000,"Yes")</f>
        <v>0</v>
      </c>
      <c r="AK418" s="24" t="n">
        <f aca="false">SUMIFS(Permissions!$G$2:$G$3000,Permissions!$B$2:$B$3000,$A418,Permissions!$I$2:$I$3000,"Permitted – not started",Permissions!$R$2:$R$3000,"Yes")</f>
        <v>0</v>
      </c>
      <c r="AL418" s="24" t="n">
        <f aca="false">SUMIFS(Permissions!$G$2:$G$3000,Permissions!$B$2:$B$3000,$A418,Permissions!$I$2:$I$3000,"Stalled",Permissions!$R$2:$R$3000,"Yes")</f>
        <v>0</v>
      </c>
      <c r="AM418" s="24" t="n">
        <f aca="false">AI418+AJ418+AK418+AL418</f>
        <v>0</v>
      </c>
      <c r="AN418" s="24" t="n">
        <f aca="false">SUMIFS(Permissions!$G$2:$G$3000,Permissions!$B$2:$B$3000,$A418,Permissions!$I$2:$I$3000,"Expired – not started",Permissions!$R$2:$R$3000,"Yes")</f>
        <v>0</v>
      </c>
      <c r="AO418" s="24" t="n">
        <f aca="false">SUMIFS(Permissions!$G$2:$G$3000,Permissions!$B$2:$B$3000,$A418,Permissions!$I$2:$I$3000,"In planning",Permissions!$R$2:$R$3000,"Yes")</f>
        <v>0</v>
      </c>
      <c r="AP418" s="24" t="n">
        <f aca="false">IF(R418="",0,MAX(R418-AM418,0))</f>
        <v>219</v>
      </c>
      <c r="AQ418" s="25" t="n">
        <f aca="false">AM418+AP418</f>
        <v>219</v>
      </c>
      <c r="AR418" s="24" t="n">
        <f aca="false">SUMIFS(Permissions!$L$2:$L$3000,Permissions!$B$2:$B$3000,$A418,Permissions!$R$2:$R$3000,"Yes",Permissions!$I$2:$I$3000,"&lt;&gt;Expired – not started",Permissions!$I$2:$I$3000,"&lt;&gt;In planning")</f>
        <v>0</v>
      </c>
      <c r="AS418" s="24" t="n">
        <f aca="false">AQ418-AR418</f>
        <v>219</v>
      </c>
      <c r="AT418" s="26" t="n">
        <f aca="false">SUMIFS(Permissions!$AJ$2:$AJ$3000,Permissions!$B$2:$B$3000,$A418,Permissions!$R$2:$R$3000,"Yes")</f>
        <v>0</v>
      </c>
      <c r="AU418" s="26" t="n">
        <f aca="false">SUMIFS(Permissions!$AK$2:$AK$3000,Permissions!$B$2:$B$3000,$A418,Permissions!$R$2:$R$3000,"Yes")</f>
        <v>0</v>
      </c>
      <c r="AV418" s="26" t="n">
        <f aca="false">SUMIFS(Permissions!$AL$2:$AL$3000,Permissions!$B$2:$B$3000,$A418,Permissions!$R$2:$R$3000,"Yes")</f>
        <v>0</v>
      </c>
      <c r="AW418" s="26" t="n">
        <f aca="false">SUMIFS(Permissions!$AM$2:$AM$3000,Permissions!$B$2:$B$3000,$A418,Permissions!$R$2:$R$3000,"Yes")</f>
        <v>0</v>
      </c>
      <c r="AX418" s="26" t="n">
        <f aca="false">SUMIFS(Permissions!$AN$2:$AN$3000,Permissions!$B$2:$B$3000,$A418,Permissions!$R$2:$R$3000,"Yes")</f>
        <v>0</v>
      </c>
      <c r="AY418" s="26" t="n">
        <f aca="false">SUMIFS(Permissions!$AO$2:$AO$3000,Permissions!$B$2:$B$3000,$A418,Permissions!$R$2:$R$3000,"Yes")</f>
        <v>0</v>
      </c>
      <c r="AZ418" s="24" t="n">
        <f aca="false">COUNTIFS(Permissions!$B$2:$B$3000,$A418,Permissions!$R$2:$R$3000,"Yes")</f>
        <v>0</v>
      </c>
      <c r="BA418" s="24" t="n">
        <f aca="false">SUMIFS(Permissions!$M$2:$M$3000,Permissions!$B$2:$B$3000,$A418,Permissions!$R$2:$R$3000,"Yes")</f>
        <v>0</v>
      </c>
      <c r="BB418" s="24" t="n">
        <f aca="false">SUMIFS(Permissions!$O$2:$O$3000,Permissions!$B$2:$B$3000,$A418,Permissions!$R$2:$R$3000,"Yes")</f>
        <v>0</v>
      </c>
      <c r="BC418" s="27" t="str">
        <f aca="false">IF(AND(AM418&gt;0,AR418&gt;=AM418,AP418=0),"Finished",IF(AR418&gt;0,"Partly built",IF(AM418&gt;0,"Consented – not built","No consent")))</f>
        <v>No consent</v>
      </c>
      <c r="BD418" s="28" t="str">
        <f aca="false">IF(AND(R418&lt;&gt;"",AM418&gt;1.1*R418),"Consented above capacity",IF(AND(LEFT(B418,8)="Planning",AZ418=0),"Consent parcel with no permission",IF(COUNTIF($A$2:$A$3000,$A418)&gt;1,"Duplicate parcel_id","")))</f>
        <v/>
      </c>
    </row>
    <row r="419" customFormat="false" ht="15" hidden="false" customHeight="false" outlineLevel="0" collapsed="false">
      <c r="A419" s="15" t="s">
        <v>926</v>
      </c>
      <c r="B419" s="15" t="s">
        <v>13</v>
      </c>
      <c r="C419" s="15" t="s">
        <v>17</v>
      </c>
      <c r="D419" s="15" t="s">
        <v>64</v>
      </c>
      <c r="E419" s="15" t="s">
        <v>20</v>
      </c>
      <c r="F419" s="15" t="n">
        <v>0</v>
      </c>
      <c r="G419" s="15" t="s">
        <v>918</v>
      </c>
      <c r="H419" s="15"/>
      <c r="I419" s="15" t="s">
        <v>17</v>
      </c>
      <c r="J419" s="15" t="s">
        <v>390</v>
      </c>
      <c r="K419" s="15" t="s">
        <v>915</v>
      </c>
      <c r="L419" s="15"/>
      <c r="M419" s="15" t="s">
        <v>349</v>
      </c>
      <c r="N419" s="15"/>
      <c r="O419" s="15"/>
      <c r="P419" s="15" t="n">
        <v>3.411</v>
      </c>
      <c r="Q419" s="15" t="n">
        <v>3.749</v>
      </c>
      <c r="R419" s="15" t="n">
        <v>85</v>
      </c>
      <c r="S419" s="15" t="s">
        <v>833</v>
      </c>
      <c r="T419" s="15" t="n">
        <v>85</v>
      </c>
      <c r="U419" s="15" t="s">
        <v>916</v>
      </c>
      <c r="V419" s="15" t="s">
        <v>835</v>
      </c>
      <c r="W419" s="15"/>
      <c r="X419" s="15" t="s">
        <v>353</v>
      </c>
      <c r="Y419" s="15" t="n">
        <v>25</v>
      </c>
      <c r="Z419" s="15" t="s">
        <v>845</v>
      </c>
      <c r="AA419" s="15" t="n">
        <v>0</v>
      </c>
      <c r="AB419" s="15" t="n">
        <v>0</v>
      </c>
      <c r="AC419" s="15" t="n">
        <v>0</v>
      </c>
      <c r="AD419" s="15"/>
      <c r="AE419" s="15"/>
      <c r="AF419" s="15" t="s">
        <v>169</v>
      </c>
      <c r="AG419" s="15"/>
      <c r="AH419" s="24" t="n">
        <f aca="false">IF(R419="",AM419,R419)</f>
        <v>85</v>
      </c>
      <c r="AI419" s="24" t="n">
        <f aca="false">SUMIFS(Permissions!$G$2:$G$3000,Permissions!$B$2:$B$3000,$A419,Permissions!$I$2:$I$3000,"Complete",Permissions!$R$2:$R$3000,"Yes")</f>
        <v>0</v>
      </c>
      <c r="AJ419" s="24" t="n">
        <f aca="false">SUMIFS(Permissions!$G$2:$G$3000,Permissions!$B$2:$B$3000,$A419,Permissions!$I$2:$I$3000,"Under construction",Permissions!$R$2:$R$3000,"Yes")</f>
        <v>0</v>
      </c>
      <c r="AK419" s="24" t="n">
        <f aca="false">SUMIFS(Permissions!$G$2:$G$3000,Permissions!$B$2:$B$3000,$A419,Permissions!$I$2:$I$3000,"Permitted – not started",Permissions!$R$2:$R$3000,"Yes")</f>
        <v>0</v>
      </c>
      <c r="AL419" s="24" t="n">
        <f aca="false">SUMIFS(Permissions!$G$2:$G$3000,Permissions!$B$2:$B$3000,$A419,Permissions!$I$2:$I$3000,"Stalled",Permissions!$R$2:$R$3000,"Yes")</f>
        <v>0</v>
      </c>
      <c r="AM419" s="24" t="n">
        <f aca="false">AI419+AJ419+AK419+AL419</f>
        <v>0</v>
      </c>
      <c r="AN419" s="24" t="n">
        <f aca="false">SUMIFS(Permissions!$G$2:$G$3000,Permissions!$B$2:$B$3000,$A419,Permissions!$I$2:$I$3000,"Expired – not started",Permissions!$R$2:$R$3000,"Yes")</f>
        <v>0</v>
      </c>
      <c r="AO419" s="24" t="n">
        <f aca="false">SUMIFS(Permissions!$G$2:$G$3000,Permissions!$B$2:$B$3000,$A419,Permissions!$I$2:$I$3000,"In planning",Permissions!$R$2:$R$3000,"Yes")</f>
        <v>0</v>
      </c>
      <c r="AP419" s="24" t="n">
        <f aca="false">IF(R419="",0,MAX(R419-AM419,0))</f>
        <v>85</v>
      </c>
      <c r="AQ419" s="25" t="n">
        <f aca="false">AM419+AP419</f>
        <v>85</v>
      </c>
      <c r="AR419" s="24" t="n">
        <f aca="false">SUMIFS(Permissions!$L$2:$L$3000,Permissions!$B$2:$B$3000,$A419,Permissions!$R$2:$R$3000,"Yes",Permissions!$I$2:$I$3000,"&lt;&gt;Expired – not started",Permissions!$I$2:$I$3000,"&lt;&gt;In planning")</f>
        <v>0</v>
      </c>
      <c r="AS419" s="24" t="n">
        <f aca="false">AQ419-AR419</f>
        <v>85</v>
      </c>
      <c r="AT419" s="26" t="n">
        <f aca="false">SUMIFS(Permissions!$AJ$2:$AJ$3000,Permissions!$B$2:$B$3000,$A419,Permissions!$R$2:$R$3000,"Yes")</f>
        <v>0</v>
      </c>
      <c r="AU419" s="26" t="n">
        <f aca="false">SUMIFS(Permissions!$AK$2:$AK$3000,Permissions!$B$2:$B$3000,$A419,Permissions!$R$2:$R$3000,"Yes")</f>
        <v>0</v>
      </c>
      <c r="AV419" s="26" t="n">
        <f aca="false">SUMIFS(Permissions!$AL$2:$AL$3000,Permissions!$B$2:$B$3000,$A419,Permissions!$R$2:$R$3000,"Yes")</f>
        <v>0</v>
      </c>
      <c r="AW419" s="26" t="n">
        <f aca="false">SUMIFS(Permissions!$AM$2:$AM$3000,Permissions!$B$2:$B$3000,$A419,Permissions!$R$2:$R$3000,"Yes")</f>
        <v>0</v>
      </c>
      <c r="AX419" s="26" t="n">
        <f aca="false">SUMIFS(Permissions!$AN$2:$AN$3000,Permissions!$B$2:$B$3000,$A419,Permissions!$R$2:$R$3000,"Yes")</f>
        <v>0</v>
      </c>
      <c r="AY419" s="26" t="n">
        <f aca="false">SUMIFS(Permissions!$AO$2:$AO$3000,Permissions!$B$2:$B$3000,$A419,Permissions!$R$2:$R$3000,"Yes")</f>
        <v>0</v>
      </c>
      <c r="AZ419" s="24" t="n">
        <f aca="false">COUNTIFS(Permissions!$B$2:$B$3000,$A419,Permissions!$R$2:$R$3000,"Yes")</f>
        <v>0</v>
      </c>
      <c r="BA419" s="24" t="n">
        <f aca="false">SUMIFS(Permissions!$M$2:$M$3000,Permissions!$B$2:$B$3000,$A419,Permissions!$R$2:$R$3000,"Yes")</f>
        <v>0</v>
      </c>
      <c r="BB419" s="24" t="n">
        <f aca="false">SUMIFS(Permissions!$O$2:$O$3000,Permissions!$B$2:$B$3000,$A419,Permissions!$R$2:$R$3000,"Yes")</f>
        <v>0</v>
      </c>
      <c r="BC419" s="27" t="str">
        <f aca="false">IF(AND(AM419&gt;0,AR419&gt;=AM419,AP419=0),"Finished",IF(AR419&gt;0,"Partly built",IF(AM419&gt;0,"Consented – not built","No consent")))</f>
        <v>No consent</v>
      </c>
      <c r="BD419" s="28" t="str">
        <f aca="false">IF(AND(R419&lt;&gt;"",AM419&gt;1.1*R419),"Consented above capacity",IF(AND(LEFT(B419,8)="Planning",AZ419=0),"Consent parcel with no permission",IF(COUNTIF($A$2:$A$3000,$A419)&gt;1,"Duplicate parcel_id","")))</f>
        <v/>
      </c>
    </row>
    <row r="420" customFormat="false" ht="15" hidden="false" customHeight="false" outlineLevel="0" collapsed="false">
      <c r="A420" s="15" t="s">
        <v>927</v>
      </c>
      <c r="B420" s="15" t="s">
        <v>13</v>
      </c>
      <c r="C420" s="15" t="s">
        <v>17</v>
      </c>
      <c r="D420" s="15" t="s">
        <v>64</v>
      </c>
      <c r="E420" s="15" t="s">
        <v>20</v>
      </c>
      <c r="F420" s="15" t="n">
        <v>1</v>
      </c>
      <c r="G420" s="15" t="s">
        <v>158</v>
      </c>
      <c r="H420" s="15"/>
      <c r="I420" s="15" t="s">
        <v>17</v>
      </c>
      <c r="J420" s="15" t="s">
        <v>390</v>
      </c>
      <c r="K420" s="15" t="s">
        <v>920</v>
      </c>
      <c r="L420" s="15"/>
      <c r="M420" s="15" t="s">
        <v>357</v>
      </c>
      <c r="N420" s="15"/>
      <c r="O420" s="15"/>
      <c r="P420" s="15" t="n">
        <v>1.776</v>
      </c>
      <c r="Q420" s="15" t="n">
        <v>1.951</v>
      </c>
      <c r="R420" s="15" t="n">
        <v>34</v>
      </c>
      <c r="S420" s="15" t="s">
        <v>833</v>
      </c>
      <c r="T420" s="15" t="n">
        <v>34</v>
      </c>
      <c r="U420" s="15" t="s">
        <v>916</v>
      </c>
      <c r="V420" s="15" t="s">
        <v>849</v>
      </c>
      <c r="W420" s="15"/>
      <c r="X420" s="15" t="s">
        <v>850</v>
      </c>
      <c r="Y420" s="15" t="n">
        <v>19</v>
      </c>
      <c r="Z420" s="15" t="s">
        <v>851</v>
      </c>
      <c r="AA420" s="15" t="n">
        <v>0</v>
      </c>
      <c r="AB420" s="15" t="n">
        <v>0</v>
      </c>
      <c r="AC420" s="15" t="n">
        <v>0</v>
      </c>
      <c r="AD420" s="15"/>
      <c r="AE420" s="15"/>
      <c r="AF420" s="15" t="s">
        <v>169</v>
      </c>
      <c r="AG420" s="15"/>
      <c r="AH420" s="24" t="n">
        <f aca="false">IF(R420="",AM420,R420)</f>
        <v>34</v>
      </c>
      <c r="AI420" s="24" t="n">
        <f aca="false">SUMIFS(Permissions!$G$2:$G$3000,Permissions!$B$2:$B$3000,$A420,Permissions!$I$2:$I$3000,"Complete",Permissions!$R$2:$R$3000,"Yes")</f>
        <v>0</v>
      </c>
      <c r="AJ420" s="24" t="n">
        <f aca="false">SUMIFS(Permissions!$G$2:$G$3000,Permissions!$B$2:$B$3000,$A420,Permissions!$I$2:$I$3000,"Under construction",Permissions!$R$2:$R$3000,"Yes")</f>
        <v>0</v>
      </c>
      <c r="AK420" s="24" t="n">
        <f aca="false">SUMIFS(Permissions!$G$2:$G$3000,Permissions!$B$2:$B$3000,$A420,Permissions!$I$2:$I$3000,"Permitted – not started",Permissions!$R$2:$R$3000,"Yes")</f>
        <v>0</v>
      </c>
      <c r="AL420" s="24" t="n">
        <f aca="false">SUMIFS(Permissions!$G$2:$G$3000,Permissions!$B$2:$B$3000,$A420,Permissions!$I$2:$I$3000,"Stalled",Permissions!$R$2:$R$3000,"Yes")</f>
        <v>0</v>
      </c>
      <c r="AM420" s="24" t="n">
        <f aca="false">AI420+AJ420+AK420+AL420</f>
        <v>0</v>
      </c>
      <c r="AN420" s="24" t="n">
        <f aca="false">SUMIFS(Permissions!$G$2:$G$3000,Permissions!$B$2:$B$3000,$A420,Permissions!$I$2:$I$3000,"Expired – not started",Permissions!$R$2:$R$3000,"Yes")</f>
        <v>0</v>
      </c>
      <c r="AO420" s="24" t="n">
        <f aca="false">SUMIFS(Permissions!$G$2:$G$3000,Permissions!$B$2:$B$3000,$A420,Permissions!$I$2:$I$3000,"In planning",Permissions!$R$2:$R$3000,"Yes")</f>
        <v>0</v>
      </c>
      <c r="AP420" s="24" t="n">
        <f aca="false">IF(R420="",0,MAX(R420-AM420,0))</f>
        <v>34</v>
      </c>
      <c r="AQ420" s="25" t="n">
        <f aca="false">AM420+AP420</f>
        <v>34</v>
      </c>
      <c r="AR420" s="24" t="n">
        <f aca="false">SUMIFS(Permissions!$L$2:$L$3000,Permissions!$B$2:$B$3000,$A420,Permissions!$R$2:$R$3000,"Yes",Permissions!$I$2:$I$3000,"&lt;&gt;Expired – not started",Permissions!$I$2:$I$3000,"&lt;&gt;In planning")</f>
        <v>0</v>
      </c>
      <c r="AS420" s="24" t="n">
        <f aca="false">AQ420-AR420</f>
        <v>34</v>
      </c>
      <c r="AT420" s="26" t="n">
        <f aca="false">SUMIFS(Permissions!$AJ$2:$AJ$3000,Permissions!$B$2:$B$3000,$A420,Permissions!$R$2:$R$3000,"Yes")</f>
        <v>0</v>
      </c>
      <c r="AU420" s="26" t="n">
        <f aca="false">SUMIFS(Permissions!$AK$2:$AK$3000,Permissions!$B$2:$B$3000,$A420,Permissions!$R$2:$R$3000,"Yes")</f>
        <v>0</v>
      </c>
      <c r="AV420" s="26" t="n">
        <f aca="false">SUMIFS(Permissions!$AL$2:$AL$3000,Permissions!$B$2:$B$3000,$A420,Permissions!$R$2:$R$3000,"Yes")</f>
        <v>0</v>
      </c>
      <c r="AW420" s="26" t="n">
        <f aca="false">SUMIFS(Permissions!$AM$2:$AM$3000,Permissions!$B$2:$B$3000,$A420,Permissions!$R$2:$R$3000,"Yes")</f>
        <v>0</v>
      </c>
      <c r="AX420" s="26" t="n">
        <f aca="false">SUMIFS(Permissions!$AN$2:$AN$3000,Permissions!$B$2:$B$3000,$A420,Permissions!$R$2:$R$3000,"Yes")</f>
        <v>0</v>
      </c>
      <c r="AY420" s="26" t="n">
        <f aca="false">SUMIFS(Permissions!$AO$2:$AO$3000,Permissions!$B$2:$B$3000,$A420,Permissions!$R$2:$R$3000,"Yes")</f>
        <v>0</v>
      </c>
      <c r="AZ420" s="24" t="n">
        <f aca="false">COUNTIFS(Permissions!$B$2:$B$3000,$A420,Permissions!$R$2:$R$3000,"Yes")</f>
        <v>0</v>
      </c>
      <c r="BA420" s="24" t="n">
        <f aca="false">SUMIFS(Permissions!$M$2:$M$3000,Permissions!$B$2:$B$3000,$A420,Permissions!$R$2:$R$3000,"Yes")</f>
        <v>0</v>
      </c>
      <c r="BB420" s="24" t="n">
        <f aca="false">SUMIFS(Permissions!$O$2:$O$3000,Permissions!$B$2:$B$3000,$A420,Permissions!$R$2:$R$3000,"Yes")</f>
        <v>0</v>
      </c>
      <c r="BC420" s="27" t="str">
        <f aca="false">IF(AND(AM420&gt;0,AR420&gt;=AM420,AP420=0),"Finished",IF(AR420&gt;0,"Partly built",IF(AM420&gt;0,"Consented – not built","No consent")))</f>
        <v>No consent</v>
      </c>
      <c r="BD420" s="28" t="str">
        <f aca="false">IF(AND(R420&lt;&gt;"",AM420&gt;1.1*R420),"Consented above capacity",IF(AND(LEFT(B420,8)="Planning",AZ420=0),"Consent parcel with no permission",IF(COUNTIF($A$2:$A$3000,$A420)&gt;1,"Duplicate parcel_id","")))</f>
        <v/>
      </c>
    </row>
    <row r="421" customFormat="false" ht="15" hidden="false" customHeight="false" outlineLevel="0" collapsed="false">
      <c r="A421" s="15" t="s">
        <v>928</v>
      </c>
      <c r="B421" s="15" t="s">
        <v>13</v>
      </c>
      <c r="C421" s="15" t="s">
        <v>17</v>
      </c>
      <c r="D421" s="15" t="s">
        <v>64</v>
      </c>
      <c r="E421" s="15" t="s">
        <v>20</v>
      </c>
      <c r="F421" s="15" t="n">
        <v>0.74</v>
      </c>
      <c r="G421" s="15" t="s">
        <v>158</v>
      </c>
      <c r="H421" s="15"/>
      <c r="I421" s="15" t="s">
        <v>17</v>
      </c>
      <c r="J421" s="15" t="s">
        <v>390</v>
      </c>
      <c r="K421" s="15" t="s">
        <v>915</v>
      </c>
      <c r="L421" s="15"/>
      <c r="M421" s="15" t="s">
        <v>349</v>
      </c>
      <c r="N421" s="15"/>
      <c r="O421" s="15"/>
      <c r="P421" s="15" t="n">
        <v>8.31</v>
      </c>
      <c r="Q421" s="15" t="n">
        <v>9.132</v>
      </c>
      <c r="R421" s="15" t="n">
        <v>208</v>
      </c>
      <c r="S421" s="15" t="s">
        <v>833</v>
      </c>
      <c r="T421" s="15" t="n">
        <v>208</v>
      </c>
      <c r="U421" s="15" t="s">
        <v>916</v>
      </c>
      <c r="V421" s="15" t="s">
        <v>835</v>
      </c>
      <c r="W421" s="15"/>
      <c r="X421" s="15" t="s">
        <v>353</v>
      </c>
      <c r="Y421" s="15" t="n">
        <v>25</v>
      </c>
      <c r="Z421" s="15" t="s">
        <v>845</v>
      </c>
      <c r="AA421" s="15" t="n">
        <v>0</v>
      </c>
      <c r="AB421" s="15" t="n">
        <v>0</v>
      </c>
      <c r="AC421" s="15" t="n">
        <v>0</v>
      </c>
      <c r="AD421" s="15"/>
      <c r="AE421" s="15"/>
      <c r="AF421" s="15" t="s">
        <v>169</v>
      </c>
      <c r="AG421" s="15"/>
      <c r="AH421" s="24" t="n">
        <f aca="false">IF(R421="",AM421,R421)</f>
        <v>208</v>
      </c>
      <c r="AI421" s="24" t="n">
        <f aca="false">SUMIFS(Permissions!$G$2:$G$3000,Permissions!$B$2:$B$3000,$A421,Permissions!$I$2:$I$3000,"Complete",Permissions!$R$2:$R$3000,"Yes")</f>
        <v>0</v>
      </c>
      <c r="AJ421" s="24" t="n">
        <f aca="false">SUMIFS(Permissions!$G$2:$G$3000,Permissions!$B$2:$B$3000,$A421,Permissions!$I$2:$I$3000,"Under construction",Permissions!$R$2:$R$3000,"Yes")</f>
        <v>0</v>
      </c>
      <c r="AK421" s="24" t="n">
        <f aca="false">SUMIFS(Permissions!$G$2:$G$3000,Permissions!$B$2:$B$3000,$A421,Permissions!$I$2:$I$3000,"Permitted – not started",Permissions!$R$2:$R$3000,"Yes")</f>
        <v>0</v>
      </c>
      <c r="AL421" s="24" t="n">
        <f aca="false">SUMIFS(Permissions!$G$2:$G$3000,Permissions!$B$2:$B$3000,$A421,Permissions!$I$2:$I$3000,"Stalled",Permissions!$R$2:$R$3000,"Yes")</f>
        <v>0</v>
      </c>
      <c r="AM421" s="24" t="n">
        <f aca="false">AI421+AJ421+AK421+AL421</f>
        <v>0</v>
      </c>
      <c r="AN421" s="24" t="n">
        <f aca="false">SUMIFS(Permissions!$G$2:$G$3000,Permissions!$B$2:$B$3000,$A421,Permissions!$I$2:$I$3000,"Expired – not started",Permissions!$R$2:$R$3000,"Yes")</f>
        <v>0</v>
      </c>
      <c r="AO421" s="24" t="n">
        <f aca="false">SUMIFS(Permissions!$G$2:$G$3000,Permissions!$B$2:$B$3000,$A421,Permissions!$I$2:$I$3000,"In planning",Permissions!$R$2:$R$3000,"Yes")</f>
        <v>0</v>
      </c>
      <c r="AP421" s="24" t="n">
        <f aca="false">IF(R421="",0,MAX(R421-AM421,0))</f>
        <v>208</v>
      </c>
      <c r="AQ421" s="25" t="n">
        <f aca="false">AM421+AP421</f>
        <v>208</v>
      </c>
      <c r="AR421" s="24" t="n">
        <f aca="false">SUMIFS(Permissions!$L$2:$L$3000,Permissions!$B$2:$B$3000,$A421,Permissions!$R$2:$R$3000,"Yes",Permissions!$I$2:$I$3000,"&lt;&gt;Expired – not started",Permissions!$I$2:$I$3000,"&lt;&gt;In planning")</f>
        <v>0</v>
      </c>
      <c r="AS421" s="24" t="n">
        <f aca="false">AQ421-AR421</f>
        <v>208</v>
      </c>
      <c r="AT421" s="26" t="n">
        <f aca="false">SUMIFS(Permissions!$AJ$2:$AJ$3000,Permissions!$B$2:$B$3000,$A421,Permissions!$R$2:$R$3000,"Yes")</f>
        <v>0</v>
      </c>
      <c r="AU421" s="26" t="n">
        <f aca="false">SUMIFS(Permissions!$AK$2:$AK$3000,Permissions!$B$2:$B$3000,$A421,Permissions!$R$2:$R$3000,"Yes")</f>
        <v>0</v>
      </c>
      <c r="AV421" s="26" t="n">
        <f aca="false">SUMIFS(Permissions!$AL$2:$AL$3000,Permissions!$B$2:$B$3000,$A421,Permissions!$R$2:$R$3000,"Yes")</f>
        <v>0</v>
      </c>
      <c r="AW421" s="26" t="n">
        <f aca="false">SUMIFS(Permissions!$AM$2:$AM$3000,Permissions!$B$2:$B$3000,$A421,Permissions!$R$2:$R$3000,"Yes")</f>
        <v>0</v>
      </c>
      <c r="AX421" s="26" t="n">
        <f aca="false">SUMIFS(Permissions!$AN$2:$AN$3000,Permissions!$B$2:$B$3000,$A421,Permissions!$R$2:$R$3000,"Yes")</f>
        <v>0</v>
      </c>
      <c r="AY421" s="26" t="n">
        <f aca="false">SUMIFS(Permissions!$AO$2:$AO$3000,Permissions!$B$2:$B$3000,$A421,Permissions!$R$2:$R$3000,"Yes")</f>
        <v>0</v>
      </c>
      <c r="AZ421" s="24" t="n">
        <f aca="false">COUNTIFS(Permissions!$B$2:$B$3000,$A421,Permissions!$R$2:$R$3000,"Yes")</f>
        <v>0</v>
      </c>
      <c r="BA421" s="24" t="n">
        <f aca="false">SUMIFS(Permissions!$M$2:$M$3000,Permissions!$B$2:$B$3000,$A421,Permissions!$R$2:$R$3000,"Yes")</f>
        <v>0</v>
      </c>
      <c r="BB421" s="24" t="n">
        <f aca="false">SUMIFS(Permissions!$O$2:$O$3000,Permissions!$B$2:$B$3000,$A421,Permissions!$R$2:$R$3000,"Yes")</f>
        <v>0</v>
      </c>
      <c r="BC421" s="27" t="str">
        <f aca="false">IF(AND(AM421&gt;0,AR421&gt;=AM421,AP421=0),"Finished",IF(AR421&gt;0,"Partly built",IF(AM421&gt;0,"Consented – not built","No consent")))</f>
        <v>No consent</v>
      </c>
      <c r="BD421" s="28" t="str">
        <f aca="false">IF(AND(R421&lt;&gt;"",AM421&gt;1.1*R421),"Consented above capacity",IF(AND(LEFT(B421,8)="Planning",AZ421=0),"Consent parcel with no permission",IF(COUNTIF($A$2:$A$3000,$A421)&gt;1,"Duplicate parcel_id","")))</f>
        <v/>
      </c>
    </row>
    <row r="422" customFormat="false" ht="15" hidden="false" customHeight="false" outlineLevel="0" collapsed="false">
      <c r="A422" s="15" t="s">
        <v>929</v>
      </c>
      <c r="B422" s="15" t="s">
        <v>13</v>
      </c>
      <c r="C422" s="15" t="s">
        <v>17</v>
      </c>
      <c r="D422" s="15" t="s">
        <v>64</v>
      </c>
      <c r="E422" s="15" t="s">
        <v>20</v>
      </c>
      <c r="F422" s="15" t="n">
        <v>1</v>
      </c>
      <c r="G422" s="15" t="s">
        <v>158</v>
      </c>
      <c r="H422" s="15"/>
      <c r="I422" s="15" t="s">
        <v>17</v>
      </c>
      <c r="J422" s="15" t="s">
        <v>390</v>
      </c>
      <c r="K422" s="15" t="s">
        <v>915</v>
      </c>
      <c r="L422" s="15"/>
      <c r="M422" s="15" t="s">
        <v>349</v>
      </c>
      <c r="N422" s="15"/>
      <c r="O422" s="15"/>
      <c r="P422" s="15" t="n">
        <v>0.105</v>
      </c>
      <c r="Q422" s="15" t="n">
        <v>0.115</v>
      </c>
      <c r="R422" s="15" t="n">
        <v>3</v>
      </c>
      <c r="S422" s="15" t="s">
        <v>833</v>
      </c>
      <c r="T422" s="15" t="n">
        <v>3</v>
      </c>
      <c r="U422" s="15" t="s">
        <v>916</v>
      </c>
      <c r="V422" s="15" t="s">
        <v>835</v>
      </c>
      <c r="W422" s="15"/>
      <c r="X422" s="15" t="s">
        <v>353</v>
      </c>
      <c r="Y422" s="15" t="n">
        <v>25</v>
      </c>
      <c r="Z422" s="15" t="s">
        <v>845</v>
      </c>
      <c r="AA422" s="15" t="n">
        <v>0</v>
      </c>
      <c r="AB422" s="15" t="n">
        <v>0</v>
      </c>
      <c r="AC422" s="15" t="n">
        <v>0</v>
      </c>
      <c r="AD422" s="15"/>
      <c r="AE422" s="15"/>
      <c r="AF422" s="15" t="s">
        <v>169</v>
      </c>
      <c r="AG422" s="15"/>
      <c r="AH422" s="24" t="n">
        <f aca="false">IF(R422="",AM422,R422)</f>
        <v>3</v>
      </c>
      <c r="AI422" s="24" t="n">
        <f aca="false">SUMIFS(Permissions!$G$2:$G$3000,Permissions!$B$2:$B$3000,$A422,Permissions!$I$2:$I$3000,"Complete",Permissions!$R$2:$R$3000,"Yes")</f>
        <v>0</v>
      </c>
      <c r="AJ422" s="24" t="n">
        <f aca="false">SUMIFS(Permissions!$G$2:$G$3000,Permissions!$B$2:$B$3000,$A422,Permissions!$I$2:$I$3000,"Under construction",Permissions!$R$2:$R$3000,"Yes")</f>
        <v>0</v>
      </c>
      <c r="AK422" s="24" t="n">
        <f aca="false">SUMIFS(Permissions!$G$2:$G$3000,Permissions!$B$2:$B$3000,$A422,Permissions!$I$2:$I$3000,"Permitted – not started",Permissions!$R$2:$R$3000,"Yes")</f>
        <v>0</v>
      </c>
      <c r="AL422" s="24" t="n">
        <f aca="false">SUMIFS(Permissions!$G$2:$G$3000,Permissions!$B$2:$B$3000,$A422,Permissions!$I$2:$I$3000,"Stalled",Permissions!$R$2:$R$3000,"Yes")</f>
        <v>0</v>
      </c>
      <c r="AM422" s="24" t="n">
        <f aca="false">AI422+AJ422+AK422+AL422</f>
        <v>0</v>
      </c>
      <c r="AN422" s="24" t="n">
        <f aca="false">SUMIFS(Permissions!$G$2:$G$3000,Permissions!$B$2:$B$3000,$A422,Permissions!$I$2:$I$3000,"Expired – not started",Permissions!$R$2:$R$3000,"Yes")</f>
        <v>0</v>
      </c>
      <c r="AO422" s="24" t="n">
        <f aca="false">SUMIFS(Permissions!$G$2:$G$3000,Permissions!$B$2:$B$3000,$A422,Permissions!$I$2:$I$3000,"In planning",Permissions!$R$2:$R$3000,"Yes")</f>
        <v>0</v>
      </c>
      <c r="AP422" s="24" t="n">
        <f aca="false">IF(R422="",0,MAX(R422-AM422,0))</f>
        <v>3</v>
      </c>
      <c r="AQ422" s="25" t="n">
        <f aca="false">AM422+AP422</f>
        <v>3</v>
      </c>
      <c r="AR422" s="24" t="n">
        <f aca="false">SUMIFS(Permissions!$L$2:$L$3000,Permissions!$B$2:$B$3000,$A422,Permissions!$R$2:$R$3000,"Yes",Permissions!$I$2:$I$3000,"&lt;&gt;Expired – not started",Permissions!$I$2:$I$3000,"&lt;&gt;In planning")</f>
        <v>0</v>
      </c>
      <c r="AS422" s="24" t="n">
        <f aca="false">AQ422-AR422</f>
        <v>3</v>
      </c>
      <c r="AT422" s="26" t="n">
        <f aca="false">SUMIFS(Permissions!$AJ$2:$AJ$3000,Permissions!$B$2:$B$3000,$A422,Permissions!$R$2:$R$3000,"Yes")</f>
        <v>0</v>
      </c>
      <c r="AU422" s="26" t="n">
        <f aca="false">SUMIFS(Permissions!$AK$2:$AK$3000,Permissions!$B$2:$B$3000,$A422,Permissions!$R$2:$R$3000,"Yes")</f>
        <v>0</v>
      </c>
      <c r="AV422" s="26" t="n">
        <f aca="false">SUMIFS(Permissions!$AL$2:$AL$3000,Permissions!$B$2:$B$3000,$A422,Permissions!$R$2:$R$3000,"Yes")</f>
        <v>0</v>
      </c>
      <c r="AW422" s="26" t="n">
        <f aca="false">SUMIFS(Permissions!$AM$2:$AM$3000,Permissions!$B$2:$B$3000,$A422,Permissions!$R$2:$R$3000,"Yes")</f>
        <v>0</v>
      </c>
      <c r="AX422" s="26" t="n">
        <f aca="false">SUMIFS(Permissions!$AN$2:$AN$3000,Permissions!$B$2:$B$3000,$A422,Permissions!$R$2:$R$3000,"Yes")</f>
        <v>0</v>
      </c>
      <c r="AY422" s="26" t="n">
        <f aca="false">SUMIFS(Permissions!$AO$2:$AO$3000,Permissions!$B$2:$B$3000,$A422,Permissions!$R$2:$R$3000,"Yes")</f>
        <v>0</v>
      </c>
      <c r="AZ422" s="24" t="n">
        <f aca="false">COUNTIFS(Permissions!$B$2:$B$3000,$A422,Permissions!$R$2:$R$3000,"Yes")</f>
        <v>0</v>
      </c>
      <c r="BA422" s="24" t="n">
        <f aca="false">SUMIFS(Permissions!$M$2:$M$3000,Permissions!$B$2:$B$3000,$A422,Permissions!$R$2:$R$3000,"Yes")</f>
        <v>0</v>
      </c>
      <c r="BB422" s="24" t="n">
        <f aca="false">SUMIFS(Permissions!$O$2:$O$3000,Permissions!$B$2:$B$3000,$A422,Permissions!$R$2:$R$3000,"Yes")</f>
        <v>0</v>
      </c>
      <c r="BC422" s="27" t="str">
        <f aca="false">IF(AND(AM422&gt;0,AR422&gt;=AM422,AP422=0),"Finished",IF(AR422&gt;0,"Partly built",IF(AM422&gt;0,"Consented – not built","No consent")))</f>
        <v>No consent</v>
      </c>
      <c r="BD422" s="28" t="str">
        <f aca="false">IF(AND(R422&lt;&gt;"",AM422&gt;1.1*R422),"Consented above capacity",IF(AND(LEFT(B422,8)="Planning",AZ422=0),"Consent parcel with no permission",IF(COUNTIF($A$2:$A$3000,$A422)&gt;1,"Duplicate parcel_id","")))</f>
        <v/>
      </c>
    </row>
    <row r="423" customFormat="false" ht="15" hidden="false" customHeight="false" outlineLevel="0" collapsed="false">
      <c r="A423" s="15" t="s">
        <v>930</v>
      </c>
      <c r="B423" s="15" t="s">
        <v>13</v>
      </c>
      <c r="C423" s="15" t="s">
        <v>17</v>
      </c>
      <c r="D423" s="15" t="s">
        <v>64</v>
      </c>
      <c r="E423" s="15" t="s">
        <v>20</v>
      </c>
      <c r="F423" s="15" t="n">
        <v>0</v>
      </c>
      <c r="G423" s="15" t="s">
        <v>918</v>
      </c>
      <c r="H423" s="15"/>
      <c r="I423" s="15" t="s">
        <v>17</v>
      </c>
      <c r="J423" s="15" t="s">
        <v>390</v>
      </c>
      <c r="K423" s="15" t="s">
        <v>915</v>
      </c>
      <c r="L423" s="15"/>
      <c r="M423" s="15" t="s">
        <v>349</v>
      </c>
      <c r="N423" s="15"/>
      <c r="O423" s="15"/>
      <c r="P423" s="15" t="n">
        <v>8.631</v>
      </c>
      <c r="Q423" s="15" t="n">
        <v>9.484</v>
      </c>
      <c r="R423" s="15" t="n">
        <v>216</v>
      </c>
      <c r="S423" s="15" t="s">
        <v>833</v>
      </c>
      <c r="T423" s="15" t="n">
        <v>216</v>
      </c>
      <c r="U423" s="15" t="s">
        <v>916</v>
      </c>
      <c r="V423" s="15" t="s">
        <v>835</v>
      </c>
      <c r="W423" s="15"/>
      <c r="X423" s="15" t="s">
        <v>353</v>
      </c>
      <c r="Y423" s="15" t="n">
        <v>25</v>
      </c>
      <c r="Z423" s="15" t="s">
        <v>845</v>
      </c>
      <c r="AA423" s="15" t="n">
        <v>0</v>
      </c>
      <c r="AB423" s="15" t="n">
        <v>0</v>
      </c>
      <c r="AC423" s="15" t="n">
        <v>0</v>
      </c>
      <c r="AD423" s="15"/>
      <c r="AE423" s="15"/>
      <c r="AF423" s="15" t="s">
        <v>169</v>
      </c>
      <c r="AG423" s="15"/>
      <c r="AH423" s="24" t="n">
        <f aca="false">IF(R423="",AM423,R423)</f>
        <v>216</v>
      </c>
      <c r="AI423" s="24" t="n">
        <f aca="false">SUMIFS(Permissions!$G$2:$G$3000,Permissions!$B$2:$B$3000,$A423,Permissions!$I$2:$I$3000,"Complete",Permissions!$R$2:$R$3000,"Yes")</f>
        <v>0</v>
      </c>
      <c r="AJ423" s="24" t="n">
        <f aca="false">SUMIFS(Permissions!$G$2:$G$3000,Permissions!$B$2:$B$3000,$A423,Permissions!$I$2:$I$3000,"Under construction",Permissions!$R$2:$R$3000,"Yes")</f>
        <v>0</v>
      </c>
      <c r="AK423" s="24" t="n">
        <f aca="false">SUMIFS(Permissions!$G$2:$G$3000,Permissions!$B$2:$B$3000,$A423,Permissions!$I$2:$I$3000,"Permitted – not started",Permissions!$R$2:$R$3000,"Yes")</f>
        <v>0</v>
      </c>
      <c r="AL423" s="24" t="n">
        <f aca="false">SUMIFS(Permissions!$G$2:$G$3000,Permissions!$B$2:$B$3000,$A423,Permissions!$I$2:$I$3000,"Stalled",Permissions!$R$2:$R$3000,"Yes")</f>
        <v>0</v>
      </c>
      <c r="AM423" s="24" t="n">
        <f aca="false">AI423+AJ423+AK423+AL423</f>
        <v>0</v>
      </c>
      <c r="AN423" s="24" t="n">
        <f aca="false">SUMIFS(Permissions!$G$2:$G$3000,Permissions!$B$2:$B$3000,$A423,Permissions!$I$2:$I$3000,"Expired – not started",Permissions!$R$2:$R$3000,"Yes")</f>
        <v>0</v>
      </c>
      <c r="AO423" s="24" t="n">
        <f aca="false">SUMIFS(Permissions!$G$2:$G$3000,Permissions!$B$2:$B$3000,$A423,Permissions!$I$2:$I$3000,"In planning",Permissions!$R$2:$R$3000,"Yes")</f>
        <v>0</v>
      </c>
      <c r="AP423" s="24" t="n">
        <f aca="false">IF(R423="",0,MAX(R423-AM423,0))</f>
        <v>216</v>
      </c>
      <c r="AQ423" s="25" t="n">
        <f aca="false">AM423+AP423</f>
        <v>216</v>
      </c>
      <c r="AR423" s="24" t="n">
        <f aca="false">SUMIFS(Permissions!$L$2:$L$3000,Permissions!$B$2:$B$3000,$A423,Permissions!$R$2:$R$3000,"Yes",Permissions!$I$2:$I$3000,"&lt;&gt;Expired – not started",Permissions!$I$2:$I$3000,"&lt;&gt;In planning")</f>
        <v>0</v>
      </c>
      <c r="AS423" s="24" t="n">
        <f aca="false">AQ423-AR423</f>
        <v>216</v>
      </c>
      <c r="AT423" s="26" t="n">
        <f aca="false">SUMIFS(Permissions!$AJ$2:$AJ$3000,Permissions!$B$2:$B$3000,$A423,Permissions!$R$2:$R$3000,"Yes")</f>
        <v>0</v>
      </c>
      <c r="AU423" s="26" t="n">
        <f aca="false">SUMIFS(Permissions!$AK$2:$AK$3000,Permissions!$B$2:$B$3000,$A423,Permissions!$R$2:$R$3000,"Yes")</f>
        <v>0</v>
      </c>
      <c r="AV423" s="26" t="n">
        <f aca="false">SUMIFS(Permissions!$AL$2:$AL$3000,Permissions!$B$2:$B$3000,$A423,Permissions!$R$2:$R$3000,"Yes")</f>
        <v>0</v>
      </c>
      <c r="AW423" s="26" t="n">
        <f aca="false">SUMIFS(Permissions!$AM$2:$AM$3000,Permissions!$B$2:$B$3000,$A423,Permissions!$R$2:$R$3000,"Yes")</f>
        <v>0</v>
      </c>
      <c r="AX423" s="26" t="n">
        <f aca="false">SUMIFS(Permissions!$AN$2:$AN$3000,Permissions!$B$2:$B$3000,$A423,Permissions!$R$2:$R$3000,"Yes")</f>
        <v>0</v>
      </c>
      <c r="AY423" s="26" t="n">
        <f aca="false">SUMIFS(Permissions!$AO$2:$AO$3000,Permissions!$B$2:$B$3000,$A423,Permissions!$R$2:$R$3000,"Yes")</f>
        <v>0</v>
      </c>
      <c r="AZ423" s="24" t="n">
        <f aca="false">COUNTIFS(Permissions!$B$2:$B$3000,$A423,Permissions!$R$2:$R$3000,"Yes")</f>
        <v>0</v>
      </c>
      <c r="BA423" s="24" t="n">
        <f aca="false">SUMIFS(Permissions!$M$2:$M$3000,Permissions!$B$2:$B$3000,$A423,Permissions!$R$2:$R$3000,"Yes")</f>
        <v>0</v>
      </c>
      <c r="BB423" s="24" t="n">
        <f aca="false">SUMIFS(Permissions!$O$2:$O$3000,Permissions!$B$2:$B$3000,$A423,Permissions!$R$2:$R$3000,"Yes")</f>
        <v>0</v>
      </c>
      <c r="BC423" s="27" t="str">
        <f aca="false">IF(AND(AM423&gt;0,AR423&gt;=AM423,AP423=0),"Finished",IF(AR423&gt;0,"Partly built",IF(AM423&gt;0,"Consented – not built","No consent")))</f>
        <v>No consent</v>
      </c>
      <c r="BD423" s="28" t="str">
        <f aca="false">IF(AND(R423&lt;&gt;"",AM423&gt;1.1*R423),"Consented above capacity",IF(AND(LEFT(B423,8)="Planning",AZ423=0),"Consent parcel with no permission",IF(COUNTIF($A$2:$A$3000,$A423)&gt;1,"Duplicate parcel_id","")))</f>
        <v/>
      </c>
    </row>
    <row r="424" customFormat="false" ht="15" hidden="false" customHeight="false" outlineLevel="0" collapsed="false">
      <c r="A424" s="15" t="s">
        <v>931</v>
      </c>
      <c r="B424" s="15" t="s">
        <v>13</v>
      </c>
      <c r="C424" s="15" t="s">
        <v>17</v>
      </c>
      <c r="D424" s="15" t="s">
        <v>64</v>
      </c>
      <c r="E424" s="15" t="s">
        <v>20</v>
      </c>
      <c r="F424" s="15" t="n">
        <v>0</v>
      </c>
      <c r="G424" s="15" t="s">
        <v>918</v>
      </c>
      <c r="H424" s="15"/>
      <c r="I424" s="15" t="s">
        <v>17</v>
      </c>
      <c r="J424" s="15" t="s">
        <v>390</v>
      </c>
      <c r="K424" s="15" t="s">
        <v>915</v>
      </c>
      <c r="L424" s="15"/>
      <c r="M424" s="15" t="s">
        <v>349</v>
      </c>
      <c r="N424" s="15"/>
      <c r="O424" s="15"/>
      <c r="P424" s="15" t="n">
        <v>2.952</v>
      </c>
      <c r="Q424" s="15" t="n">
        <v>3.244</v>
      </c>
      <c r="R424" s="15" t="n">
        <v>74</v>
      </c>
      <c r="S424" s="15" t="s">
        <v>833</v>
      </c>
      <c r="T424" s="15" t="n">
        <v>74</v>
      </c>
      <c r="U424" s="15" t="s">
        <v>916</v>
      </c>
      <c r="V424" s="15" t="s">
        <v>835</v>
      </c>
      <c r="W424" s="15"/>
      <c r="X424" s="15" t="s">
        <v>353</v>
      </c>
      <c r="Y424" s="15" t="n">
        <v>25</v>
      </c>
      <c r="Z424" s="15" t="s">
        <v>845</v>
      </c>
      <c r="AA424" s="15" t="n">
        <v>0</v>
      </c>
      <c r="AB424" s="15" t="n">
        <v>0</v>
      </c>
      <c r="AC424" s="15" t="n">
        <v>0</v>
      </c>
      <c r="AD424" s="15"/>
      <c r="AE424" s="15"/>
      <c r="AF424" s="15" t="s">
        <v>169</v>
      </c>
      <c r="AG424" s="15"/>
      <c r="AH424" s="24" t="n">
        <f aca="false">IF(R424="",AM424,R424)</f>
        <v>74</v>
      </c>
      <c r="AI424" s="24" t="n">
        <f aca="false">SUMIFS(Permissions!$G$2:$G$3000,Permissions!$B$2:$B$3000,$A424,Permissions!$I$2:$I$3000,"Complete",Permissions!$R$2:$R$3000,"Yes")</f>
        <v>0</v>
      </c>
      <c r="AJ424" s="24" t="n">
        <f aca="false">SUMIFS(Permissions!$G$2:$G$3000,Permissions!$B$2:$B$3000,$A424,Permissions!$I$2:$I$3000,"Under construction",Permissions!$R$2:$R$3000,"Yes")</f>
        <v>0</v>
      </c>
      <c r="AK424" s="24" t="n">
        <f aca="false">SUMIFS(Permissions!$G$2:$G$3000,Permissions!$B$2:$B$3000,$A424,Permissions!$I$2:$I$3000,"Permitted – not started",Permissions!$R$2:$R$3000,"Yes")</f>
        <v>0</v>
      </c>
      <c r="AL424" s="24" t="n">
        <f aca="false">SUMIFS(Permissions!$G$2:$G$3000,Permissions!$B$2:$B$3000,$A424,Permissions!$I$2:$I$3000,"Stalled",Permissions!$R$2:$R$3000,"Yes")</f>
        <v>0</v>
      </c>
      <c r="AM424" s="24" t="n">
        <f aca="false">AI424+AJ424+AK424+AL424</f>
        <v>0</v>
      </c>
      <c r="AN424" s="24" t="n">
        <f aca="false">SUMIFS(Permissions!$G$2:$G$3000,Permissions!$B$2:$B$3000,$A424,Permissions!$I$2:$I$3000,"Expired – not started",Permissions!$R$2:$R$3000,"Yes")</f>
        <v>0</v>
      </c>
      <c r="AO424" s="24" t="n">
        <f aca="false">SUMIFS(Permissions!$G$2:$G$3000,Permissions!$B$2:$B$3000,$A424,Permissions!$I$2:$I$3000,"In planning",Permissions!$R$2:$R$3000,"Yes")</f>
        <v>0</v>
      </c>
      <c r="AP424" s="24" t="n">
        <f aca="false">IF(R424="",0,MAX(R424-AM424,0))</f>
        <v>74</v>
      </c>
      <c r="AQ424" s="25" t="n">
        <f aca="false">AM424+AP424</f>
        <v>74</v>
      </c>
      <c r="AR424" s="24" t="n">
        <f aca="false">SUMIFS(Permissions!$L$2:$L$3000,Permissions!$B$2:$B$3000,$A424,Permissions!$R$2:$R$3000,"Yes",Permissions!$I$2:$I$3000,"&lt;&gt;Expired – not started",Permissions!$I$2:$I$3000,"&lt;&gt;In planning")</f>
        <v>0</v>
      </c>
      <c r="AS424" s="24" t="n">
        <f aca="false">AQ424-AR424</f>
        <v>74</v>
      </c>
      <c r="AT424" s="26" t="n">
        <f aca="false">SUMIFS(Permissions!$AJ$2:$AJ$3000,Permissions!$B$2:$B$3000,$A424,Permissions!$R$2:$R$3000,"Yes")</f>
        <v>0</v>
      </c>
      <c r="AU424" s="26" t="n">
        <f aca="false">SUMIFS(Permissions!$AK$2:$AK$3000,Permissions!$B$2:$B$3000,$A424,Permissions!$R$2:$R$3000,"Yes")</f>
        <v>0</v>
      </c>
      <c r="AV424" s="26" t="n">
        <f aca="false">SUMIFS(Permissions!$AL$2:$AL$3000,Permissions!$B$2:$B$3000,$A424,Permissions!$R$2:$R$3000,"Yes")</f>
        <v>0</v>
      </c>
      <c r="AW424" s="26" t="n">
        <f aca="false">SUMIFS(Permissions!$AM$2:$AM$3000,Permissions!$B$2:$B$3000,$A424,Permissions!$R$2:$R$3000,"Yes")</f>
        <v>0</v>
      </c>
      <c r="AX424" s="26" t="n">
        <f aca="false">SUMIFS(Permissions!$AN$2:$AN$3000,Permissions!$B$2:$B$3000,$A424,Permissions!$R$2:$R$3000,"Yes")</f>
        <v>0</v>
      </c>
      <c r="AY424" s="26" t="n">
        <f aca="false">SUMIFS(Permissions!$AO$2:$AO$3000,Permissions!$B$2:$B$3000,$A424,Permissions!$R$2:$R$3000,"Yes")</f>
        <v>0</v>
      </c>
      <c r="AZ424" s="24" t="n">
        <f aca="false">COUNTIFS(Permissions!$B$2:$B$3000,$A424,Permissions!$R$2:$R$3000,"Yes")</f>
        <v>0</v>
      </c>
      <c r="BA424" s="24" t="n">
        <f aca="false">SUMIFS(Permissions!$M$2:$M$3000,Permissions!$B$2:$B$3000,$A424,Permissions!$R$2:$R$3000,"Yes")</f>
        <v>0</v>
      </c>
      <c r="BB424" s="24" t="n">
        <f aca="false">SUMIFS(Permissions!$O$2:$O$3000,Permissions!$B$2:$B$3000,$A424,Permissions!$R$2:$R$3000,"Yes")</f>
        <v>0</v>
      </c>
      <c r="BC424" s="27" t="str">
        <f aca="false">IF(AND(AM424&gt;0,AR424&gt;=AM424,AP424=0),"Finished",IF(AR424&gt;0,"Partly built",IF(AM424&gt;0,"Consented – not built","No consent")))</f>
        <v>No consent</v>
      </c>
      <c r="BD424" s="28" t="str">
        <f aca="false">IF(AND(R424&lt;&gt;"",AM424&gt;1.1*R424),"Consented above capacity",IF(AND(LEFT(B424,8)="Planning",AZ424=0),"Consent parcel with no permission",IF(COUNTIF($A$2:$A$3000,$A424)&gt;1,"Duplicate parcel_id","")))</f>
        <v/>
      </c>
    </row>
    <row r="425" customFormat="false" ht="15" hidden="false" customHeight="false" outlineLevel="0" collapsed="false">
      <c r="A425" s="15" t="s">
        <v>932</v>
      </c>
      <c r="B425" s="15" t="s">
        <v>13</v>
      </c>
      <c r="C425" s="15" t="s">
        <v>17</v>
      </c>
      <c r="D425" s="15" t="s">
        <v>64</v>
      </c>
      <c r="E425" s="15" t="s">
        <v>20</v>
      </c>
      <c r="F425" s="15" t="n">
        <v>1</v>
      </c>
      <c r="G425" s="15" t="s">
        <v>158</v>
      </c>
      <c r="H425" s="15"/>
      <c r="I425" s="15" t="s">
        <v>17</v>
      </c>
      <c r="J425" s="15" t="s">
        <v>390</v>
      </c>
      <c r="K425" s="15" t="s">
        <v>915</v>
      </c>
      <c r="L425" s="15"/>
      <c r="M425" s="15" t="s">
        <v>349</v>
      </c>
      <c r="N425" s="15"/>
      <c r="O425" s="15"/>
      <c r="P425" s="15" t="n">
        <v>0.546</v>
      </c>
      <c r="Q425" s="15" t="n">
        <v>0.6</v>
      </c>
      <c r="R425" s="15" t="n">
        <v>14</v>
      </c>
      <c r="S425" s="15" t="s">
        <v>833</v>
      </c>
      <c r="T425" s="15" t="n">
        <v>14</v>
      </c>
      <c r="U425" s="15" t="s">
        <v>916</v>
      </c>
      <c r="V425" s="15" t="s">
        <v>835</v>
      </c>
      <c r="W425" s="15"/>
      <c r="X425" s="15" t="s">
        <v>353</v>
      </c>
      <c r="Y425" s="15" t="n">
        <v>25</v>
      </c>
      <c r="Z425" s="15" t="s">
        <v>845</v>
      </c>
      <c r="AA425" s="15" t="n">
        <v>0</v>
      </c>
      <c r="AB425" s="15" t="n">
        <v>0</v>
      </c>
      <c r="AC425" s="15" t="n">
        <v>0</v>
      </c>
      <c r="AD425" s="15"/>
      <c r="AE425" s="15"/>
      <c r="AF425" s="15" t="s">
        <v>169</v>
      </c>
      <c r="AG425" s="15"/>
      <c r="AH425" s="24" t="n">
        <f aca="false">IF(R425="",AM425,R425)</f>
        <v>14</v>
      </c>
      <c r="AI425" s="24" t="n">
        <f aca="false">SUMIFS(Permissions!$G$2:$G$3000,Permissions!$B$2:$B$3000,$A425,Permissions!$I$2:$I$3000,"Complete",Permissions!$R$2:$R$3000,"Yes")</f>
        <v>0</v>
      </c>
      <c r="AJ425" s="24" t="n">
        <f aca="false">SUMIFS(Permissions!$G$2:$G$3000,Permissions!$B$2:$B$3000,$A425,Permissions!$I$2:$I$3000,"Under construction",Permissions!$R$2:$R$3000,"Yes")</f>
        <v>0</v>
      </c>
      <c r="AK425" s="24" t="n">
        <f aca="false">SUMIFS(Permissions!$G$2:$G$3000,Permissions!$B$2:$B$3000,$A425,Permissions!$I$2:$I$3000,"Permitted – not started",Permissions!$R$2:$R$3000,"Yes")</f>
        <v>0</v>
      </c>
      <c r="AL425" s="24" t="n">
        <f aca="false">SUMIFS(Permissions!$G$2:$G$3000,Permissions!$B$2:$B$3000,$A425,Permissions!$I$2:$I$3000,"Stalled",Permissions!$R$2:$R$3000,"Yes")</f>
        <v>0</v>
      </c>
      <c r="AM425" s="24" t="n">
        <f aca="false">AI425+AJ425+AK425+AL425</f>
        <v>0</v>
      </c>
      <c r="AN425" s="24" t="n">
        <f aca="false">SUMIFS(Permissions!$G$2:$G$3000,Permissions!$B$2:$B$3000,$A425,Permissions!$I$2:$I$3000,"Expired – not started",Permissions!$R$2:$R$3000,"Yes")</f>
        <v>0</v>
      </c>
      <c r="AO425" s="24" t="n">
        <f aca="false">SUMIFS(Permissions!$G$2:$G$3000,Permissions!$B$2:$B$3000,$A425,Permissions!$I$2:$I$3000,"In planning",Permissions!$R$2:$R$3000,"Yes")</f>
        <v>0</v>
      </c>
      <c r="AP425" s="24" t="n">
        <f aca="false">IF(R425="",0,MAX(R425-AM425,0))</f>
        <v>14</v>
      </c>
      <c r="AQ425" s="25" t="n">
        <f aca="false">AM425+AP425</f>
        <v>14</v>
      </c>
      <c r="AR425" s="24" t="n">
        <f aca="false">SUMIFS(Permissions!$L$2:$L$3000,Permissions!$B$2:$B$3000,$A425,Permissions!$R$2:$R$3000,"Yes",Permissions!$I$2:$I$3000,"&lt;&gt;Expired – not started",Permissions!$I$2:$I$3000,"&lt;&gt;In planning")</f>
        <v>0</v>
      </c>
      <c r="AS425" s="24" t="n">
        <f aca="false">AQ425-AR425</f>
        <v>14</v>
      </c>
      <c r="AT425" s="26" t="n">
        <f aca="false">SUMIFS(Permissions!$AJ$2:$AJ$3000,Permissions!$B$2:$B$3000,$A425,Permissions!$R$2:$R$3000,"Yes")</f>
        <v>0</v>
      </c>
      <c r="AU425" s="26" t="n">
        <f aca="false">SUMIFS(Permissions!$AK$2:$AK$3000,Permissions!$B$2:$B$3000,$A425,Permissions!$R$2:$R$3000,"Yes")</f>
        <v>0</v>
      </c>
      <c r="AV425" s="26" t="n">
        <f aca="false">SUMIFS(Permissions!$AL$2:$AL$3000,Permissions!$B$2:$B$3000,$A425,Permissions!$R$2:$R$3000,"Yes")</f>
        <v>0</v>
      </c>
      <c r="AW425" s="26" t="n">
        <f aca="false">SUMIFS(Permissions!$AM$2:$AM$3000,Permissions!$B$2:$B$3000,$A425,Permissions!$R$2:$R$3000,"Yes")</f>
        <v>0</v>
      </c>
      <c r="AX425" s="26" t="n">
        <f aca="false">SUMIFS(Permissions!$AN$2:$AN$3000,Permissions!$B$2:$B$3000,$A425,Permissions!$R$2:$R$3000,"Yes")</f>
        <v>0</v>
      </c>
      <c r="AY425" s="26" t="n">
        <f aca="false">SUMIFS(Permissions!$AO$2:$AO$3000,Permissions!$B$2:$B$3000,$A425,Permissions!$R$2:$R$3000,"Yes")</f>
        <v>0</v>
      </c>
      <c r="AZ425" s="24" t="n">
        <f aca="false">COUNTIFS(Permissions!$B$2:$B$3000,$A425,Permissions!$R$2:$R$3000,"Yes")</f>
        <v>0</v>
      </c>
      <c r="BA425" s="24" t="n">
        <f aca="false">SUMIFS(Permissions!$M$2:$M$3000,Permissions!$B$2:$B$3000,$A425,Permissions!$R$2:$R$3000,"Yes")</f>
        <v>0</v>
      </c>
      <c r="BB425" s="24" t="n">
        <f aca="false">SUMIFS(Permissions!$O$2:$O$3000,Permissions!$B$2:$B$3000,$A425,Permissions!$R$2:$R$3000,"Yes")</f>
        <v>0</v>
      </c>
      <c r="BC425" s="27" t="str">
        <f aca="false">IF(AND(AM425&gt;0,AR425&gt;=AM425,AP425=0),"Finished",IF(AR425&gt;0,"Partly built",IF(AM425&gt;0,"Consented – not built","No consent")))</f>
        <v>No consent</v>
      </c>
      <c r="BD425" s="28" t="str">
        <f aca="false">IF(AND(R425&lt;&gt;"",AM425&gt;1.1*R425),"Consented above capacity",IF(AND(LEFT(B425,8)="Planning",AZ425=0),"Consent parcel with no permission",IF(COUNTIF($A$2:$A$3000,$A425)&gt;1,"Duplicate parcel_id","")))</f>
        <v/>
      </c>
    </row>
    <row r="426" customFormat="false" ht="15" hidden="false" customHeight="false" outlineLevel="0" collapsed="false">
      <c r="A426" s="15" t="s">
        <v>933</v>
      </c>
      <c r="B426" s="15" t="s">
        <v>13</v>
      </c>
      <c r="C426" s="15" t="s">
        <v>17</v>
      </c>
      <c r="D426" s="15" t="s">
        <v>64</v>
      </c>
      <c r="E426" s="15" t="s">
        <v>20</v>
      </c>
      <c r="F426" s="15" t="n">
        <v>0.06</v>
      </c>
      <c r="G426" s="15" t="s">
        <v>158</v>
      </c>
      <c r="H426" s="15"/>
      <c r="I426" s="15" t="s">
        <v>17</v>
      </c>
      <c r="J426" s="15" t="s">
        <v>390</v>
      </c>
      <c r="K426" s="15" t="s">
        <v>915</v>
      </c>
      <c r="L426" s="15"/>
      <c r="M426" s="15" t="s">
        <v>349</v>
      </c>
      <c r="N426" s="15"/>
      <c r="O426" s="15"/>
      <c r="P426" s="15" t="n">
        <v>1.238</v>
      </c>
      <c r="Q426" s="15" t="n">
        <v>1.361</v>
      </c>
      <c r="R426" s="15" t="n">
        <v>31</v>
      </c>
      <c r="S426" s="15" t="s">
        <v>833</v>
      </c>
      <c r="T426" s="15" t="n">
        <v>31</v>
      </c>
      <c r="U426" s="15" t="s">
        <v>916</v>
      </c>
      <c r="V426" s="15" t="s">
        <v>835</v>
      </c>
      <c r="W426" s="15"/>
      <c r="X426" s="15" t="s">
        <v>353</v>
      </c>
      <c r="Y426" s="15" t="n">
        <v>25</v>
      </c>
      <c r="Z426" s="15" t="s">
        <v>845</v>
      </c>
      <c r="AA426" s="15" t="n">
        <v>0</v>
      </c>
      <c r="AB426" s="15" t="n">
        <v>0</v>
      </c>
      <c r="AC426" s="15" t="n">
        <v>0</v>
      </c>
      <c r="AD426" s="15"/>
      <c r="AE426" s="15"/>
      <c r="AF426" s="15" t="s">
        <v>169</v>
      </c>
      <c r="AG426" s="15"/>
      <c r="AH426" s="24" t="n">
        <f aca="false">IF(R426="",AM426,R426)</f>
        <v>31</v>
      </c>
      <c r="AI426" s="24" t="n">
        <f aca="false">SUMIFS(Permissions!$G$2:$G$3000,Permissions!$B$2:$B$3000,$A426,Permissions!$I$2:$I$3000,"Complete",Permissions!$R$2:$R$3000,"Yes")</f>
        <v>0</v>
      </c>
      <c r="AJ426" s="24" t="n">
        <f aca="false">SUMIFS(Permissions!$G$2:$G$3000,Permissions!$B$2:$B$3000,$A426,Permissions!$I$2:$I$3000,"Under construction",Permissions!$R$2:$R$3000,"Yes")</f>
        <v>0</v>
      </c>
      <c r="AK426" s="24" t="n">
        <f aca="false">SUMIFS(Permissions!$G$2:$G$3000,Permissions!$B$2:$B$3000,$A426,Permissions!$I$2:$I$3000,"Permitted – not started",Permissions!$R$2:$R$3000,"Yes")</f>
        <v>0</v>
      </c>
      <c r="AL426" s="24" t="n">
        <f aca="false">SUMIFS(Permissions!$G$2:$G$3000,Permissions!$B$2:$B$3000,$A426,Permissions!$I$2:$I$3000,"Stalled",Permissions!$R$2:$R$3000,"Yes")</f>
        <v>0</v>
      </c>
      <c r="AM426" s="24" t="n">
        <f aca="false">AI426+AJ426+AK426+AL426</f>
        <v>0</v>
      </c>
      <c r="AN426" s="24" t="n">
        <f aca="false">SUMIFS(Permissions!$G$2:$G$3000,Permissions!$B$2:$B$3000,$A426,Permissions!$I$2:$I$3000,"Expired – not started",Permissions!$R$2:$R$3000,"Yes")</f>
        <v>0</v>
      </c>
      <c r="AO426" s="24" t="n">
        <f aca="false">SUMIFS(Permissions!$G$2:$G$3000,Permissions!$B$2:$B$3000,$A426,Permissions!$I$2:$I$3000,"In planning",Permissions!$R$2:$R$3000,"Yes")</f>
        <v>0</v>
      </c>
      <c r="AP426" s="24" t="n">
        <f aca="false">IF(R426="",0,MAX(R426-AM426,0))</f>
        <v>31</v>
      </c>
      <c r="AQ426" s="25" t="n">
        <f aca="false">AM426+AP426</f>
        <v>31</v>
      </c>
      <c r="AR426" s="24" t="n">
        <f aca="false">SUMIFS(Permissions!$L$2:$L$3000,Permissions!$B$2:$B$3000,$A426,Permissions!$R$2:$R$3000,"Yes",Permissions!$I$2:$I$3000,"&lt;&gt;Expired – not started",Permissions!$I$2:$I$3000,"&lt;&gt;In planning")</f>
        <v>0</v>
      </c>
      <c r="AS426" s="24" t="n">
        <f aca="false">AQ426-AR426</f>
        <v>31</v>
      </c>
      <c r="AT426" s="26" t="n">
        <f aca="false">SUMIFS(Permissions!$AJ$2:$AJ$3000,Permissions!$B$2:$B$3000,$A426,Permissions!$R$2:$R$3000,"Yes")</f>
        <v>0</v>
      </c>
      <c r="AU426" s="26" t="n">
        <f aca="false">SUMIFS(Permissions!$AK$2:$AK$3000,Permissions!$B$2:$B$3000,$A426,Permissions!$R$2:$R$3000,"Yes")</f>
        <v>0</v>
      </c>
      <c r="AV426" s="26" t="n">
        <f aca="false">SUMIFS(Permissions!$AL$2:$AL$3000,Permissions!$B$2:$B$3000,$A426,Permissions!$R$2:$R$3000,"Yes")</f>
        <v>0</v>
      </c>
      <c r="AW426" s="26" t="n">
        <f aca="false">SUMIFS(Permissions!$AM$2:$AM$3000,Permissions!$B$2:$B$3000,$A426,Permissions!$R$2:$R$3000,"Yes")</f>
        <v>0</v>
      </c>
      <c r="AX426" s="26" t="n">
        <f aca="false">SUMIFS(Permissions!$AN$2:$AN$3000,Permissions!$B$2:$B$3000,$A426,Permissions!$R$2:$R$3000,"Yes")</f>
        <v>0</v>
      </c>
      <c r="AY426" s="26" t="n">
        <f aca="false">SUMIFS(Permissions!$AO$2:$AO$3000,Permissions!$B$2:$B$3000,$A426,Permissions!$R$2:$R$3000,"Yes")</f>
        <v>0</v>
      </c>
      <c r="AZ426" s="24" t="n">
        <f aca="false">COUNTIFS(Permissions!$B$2:$B$3000,$A426,Permissions!$R$2:$R$3000,"Yes")</f>
        <v>0</v>
      </c>
      <c r="BA426" s="24" t="n">
        <f aca="false">SUMIFS(Permissions!$M$2:$M$3000,Permissions!$B$2:$B$3000,$A426,Permissions!$R$2:$R$3000,"Yes")</f>
        <v>0</v>
      </c>
      <c r="BB426" s="24" t="n">
        <f aca="false">SUMIFS(Permissions!$O$2:$O$3000,Permissions!$B$2:$B$3000,$A426,Permissions!$R$2:$R$3000,"Yes")</f>
        <v>0</v>
      </c>
      <c r="BC426" s="27" t="str">
        <f aca="false">IF(AND(AM426&gt;0,AR426&gt;=AM426,AP426=0),"Finished",IF(AR426&gt;0,"Partly built",IF(AM426&gt;0,"Consented – not built","No consent")))</f>
        <v>No consent</v>
      </c>
      <c r="BD426" s="28" t="str">
        <f aca="false">IF(AND(R426&lt;&gt;"",AM426&gt;1.1*R426),"Consented above capacity",IF(AND(LEFT(B426,8)="Planning",AZ426=0),"Consent parcel with no permission",IF(COUNTIF($A$2:$A$3000,$A426)&gt;1,"Duplicate parcel_id","")))</f>
        <v/>
      </c>
    </row>
    <row r="427" customFormat="false" ht="15" hidden="false" customHeight="false" outlineLevel="0" collapsed="false">
      <c r="A427" s="15" t="s">
        <v>934</v>
      </c>
      <c r="B427" s="15" t="s">
        <v>13</v>
      </c>
      <c r="C427" s="15" t="s">
        <v>17</v>
      </c>
      <c r="D427" s="15" t="s">
        <v>64</v>
      </c>
      <c r="E427" s="15" t="s">
        <v>20</v>
      </c>
      <c r="F427" s="15" t="n">
        <v>1</v>
      </c>
      <c r="G427" s="15" t="s">
        <v>158</v>
      </c>
      <c r="H427" s="15"/>
      <c r="I427" s="15" t="s">
        <v>17</v>
      </c>
      <c r="J427" s="15" t="s">
        <v>390</v>
      </c>
      <c r="K427" s="15" t="s">
        <v>915</v>
      </c>
      <c r="L427" s="15"/>
      <c r="M427" s="15" t="s">
        <v>349</v>
      </c>
      <c r="N427" s="15"/>
      <c r="O427" s="15"/>
      <c r="P427" s="15" t="n">
        <v>0.238</v>
      </c>
      <c r="Q427" s="15" t="n">
        <v>0.262</v>
      </c>
      <c r="R427" s="15" t="n">
        <v>6</v>
      </c>
      <c r="S427" s="15" t="s">
        <v>833</v>
      </c>
      <c r="T427" s="15" t="n">
        <v>6</v>
      </c>
      <c r="U427" s="15" t="s">
        <v>916</v>
      </c>
      <c r="V427" s="15" t="s">
        <v>835</v>
      </c>
      <c r="W427" s="15"/>
      <c r="X427" s="15" t="s">
        <v>353</v>
      </c>
      <c r="Y427" s="15" t="n">
        <v>25</v>
      </c>
      <c r="Z427" s="15" t="s">
        <v>845</v>
      </c>
      <c r="AA427" s="15" t="n">
        <v>0</v>
      </c>
      <c r="AB427" s="15" t="n">
        <v>0</v>
      </c>
      <c r="AC427" s="15" t="n">
        <v>0</v>
      </c>
      <c r="AD427" s="15"/>
      <c r="AE427" s="15"/>
      <c r="AF427" s="15" t="s">
        <v>169</v>
      </c>
      <c r="AG427" s="15"/>
      <c r="AH427" s="24" t="n">
        <f aca="false">IF(R427="",AM427,R427)</f>
        <v>6</v>
      </c>
      <c r="AI427" s="24" t="n">
        <f aca="false">SUMIFS(Permissions!$G$2:$G$3000,Permissions!$B$2:$B$3000,$A427,Permissions!$I$2:$I$3000,"Complete",Permissions!$R$2:$R$3000,"Yes")</f>
        <v>0</v>
      </c>
      <c r="AJ427" s="24" t="n">
        <f aca="false">SUMIFS(Permissions!$G$2:$G$3000,Permissions!$B$2:$B$3000,$A427,Permissions!$I$2:$I$3000,"Under construction",Permissions!$R$2:$R$3000,"Yes")</f>
        <v>0</v>
      </c>
      <c r="AK427" s="24" t="n">
        <f aca="false">SUMIFS(Permissions!$G$2:$G$3000,Permissions!$B$2:$B$3000,$A427,Permissions!$I$2:$I$3000,"Permitted – not started",Permissions!$R$2:$R$3000,"Yes")</f>
        <v>0</v>
      </c>
      <c r="AL427" s="24" t="n">
        <f aca="false">SUMIFS(Permissions!$G$2:$G$3000,Permissions!$B$2:$B$3000,$A427,Permissions!$I$2:$I$3000,"Stalled",Permissions!$R$2:$R$3000,"Yes")</f>
        <v>0</v>
      </c>
      <c r="AM427" s="24" t="n">
        <f aca="false">AI427+AJ427+AK427+AL427</f>
        <v>0</v>
      </c>
      <c r="AN427" s="24" t="n">
        <f aca="false">SUMIFS(Permissions!$G$2:$G$3000,Permissions!$B$2:$B$3000,$A427,Permissions!$I$2:$I$3000,"Expired – not started",Permissions!$R$2:$R$3000,"Yes")</f>
        <v>0</v>
      </c>
      <c r="AO427" s="24" t="n">
        <f aca="false">SUMIFS(Permissions!$G$2:$G$3000,Permissions!$B$2:$B$3000,$A427,Permissions!$I$2:$I$3000,"In planning",Permissions!$R$2:$R$3000,"Yes")</f>
        <v>0</v>
      </c>
      <c r="AP427" s="24" t="n">
        <f aca="false">IF(R427="",0,MAX(R427-AM427,0))</f>
        <v>6</v>
      </c>
      <c r="AQ427" s="25" t="n">
        <f aca="false">AM427+AP427</f>
        <v>6</v>
      </c>
      <c r="AR427" s="24" t="n">
        <f aca="false">SUMIFS(Permissions!$L$2:$L$3000,Permissions!$B$2:$B$3000,$A427,Permissions!$R$2:$R$3000,"Yes",Permissions!$I$2:$I$3000,"&lt;&gt;Expired – not started",Permissions!$I$2:$I$3000,"&lt;&gt;In planning")</f>
        <v>0</v>
      </c>
      <c r="AS427" s="24" t="n">
        <f aca="false">AQ427-AR427</f>
        <v>6</v>
      </c>
      <c r="AT427" s="26" t="n">
        <f aca="false">SUMIFS(Permissions!$AJ$2:$AJ$3000,Permissions!$B$2:$B$3000,$A427,Permissions!$R$2:$R$3000,"Yes")</f>
        <v>0</v>
      </c>
      <c r="AU427" s="26" t="n">
        <f aca="false">SUMIFS(Permissions!$AK$2:$AK$3000,Permissions!$B$2:$B$3000,$A427,Permissions!$R$2:$R$3000,"Yes")</f>
        <v>0</v>
      </c>
      <c r="AV427" s="26" t="n">
        <f aca="false">SUMIFS(Permissions!$AL$2:$AL$3000,Permissions!$B$2:$B$3000,$A427,Permissions!$R$2:$R$3000,"Yes")</f>
        <v>0</v>
      </c>
      <c r="AW427" s="26" t="n">
        <f aca="false">SUMIFS(Permissions!$AM$2:$AM$3000,Permissions!$B$2:$B$3000,$A427,Permissions!$R$2:$R$3000,"Yes")</f>
        <v>0</v>
      </c>
      <c r="AX427" s="26" t="n">
        <f aca="false">SUMIFS(Permissions!$AN$2:$AN$3000,Permissions!$B$2:$B$3000,$A427,Permissions!$R$2:$R$3000,"Yes")</f>
        <v>0</v>
      </c>
      <c r="AY427" s="26" t="n">
        <f aca="false">SUMIFS(Permissions!$AO$2:$AO$3000,Permissions!$B$2:$B$3000,$A427,Permissions!$R$2:$R$3000,"Yes")</f>
        <v>0</v>
      </c>
      <c r="AZ427" s="24" t="n">
        <f aca="false">COUNTIFS(Permissions!$B$2:$B$3000,$A427,Permissions!$R$2:$R$3000,"Yes")</f>
        <v>0</v>
      </c>
      <c r="BA427" s="24" t="n">
        <f aca="false">SUMIFS(Permissions!$M$2:$M$3000,Permissions!$B$2:$B$3000,$A427,Permissions!$R$2:$R$3000,"Yes")</f>
        <v>0</v>
      </c>
      <c r="BB427" s="24" t="n">
        <f aca="false">SUMIFS(Permissions!$O$2:$O$3000,Permissions!$B$2:$B$3000,$A427,Permissions!$R$2:$R$3000,"Yes")</f>
        <v>0</v>
      </c>
      <c r="BC427" s="27" t="str">
        <f aca="false">IF(AND(AM427&gt;0,AR427&gt;=AM427,AP427=0),"Finished",IF(AR427&gt;0,"Partly built",IF(AM427&gt;0,"Consented – not built","No consent")))</f>
        <v>No consent</v>
      </c>
      <c r="BD427" s="28" t="str">
        <f aca="false">IF(AND(R427&lt;&gt;"",AM427&gt;1.1*R427),"Consented above capacity",IF(AND(LEFT(B427,8)="Planning",AZ427=0),"Consent parcel with no permission",IF(COUNTIF($A$2:$A$3000,$A427)&gt;1,"Duplicate parcel_id","")))</f>
        <v/>
      </c>
    </row>
    <row r="428" customFormat="false" ht="15" hidden="false" customHeight="false" outlineLevel="0" collapsed="false">
      <c r="A428" s="15" t="s">
        <v>935</v>
      </c>
      <c r="B428" s="15" t="s">
        <v>13</v>
      </c>
      <c r="C428" s="15" t="s">
        <v>17</v>
      </c>
      <c r="D428" s="15" t="s">
        <v>64</v>
      </c>
      <c r="E428" s="15" t="s">
        <v>20</v>
      </c>
      <c r="F428" s="15" t="n">
        <v>1</v>
      </c>
      <c r="G428" s="15" t="s">
        <v>158</v>
      </c>
      <c r="H428" s="15"/>
      <c r="I428" s="15" t="s">
        <v>17</v>
      </c>
      <c r="J428" s="15" t="s">
        <v>390</v>
      </c>
      <c r="K428" s="15" t="s">
        <v>915</v>
      </c>
      <c r="L428" s="15"/>
      <c r="M428" s="15" t="s">
        <v>349</v>
      </c>
      <c r="N428" s="15"/>
      <c r="O428" s="15"/>
      <c r="P428" s="15" t="n">
        <v>0.254</v>
      </c>
      <c r="Q428" s="15" t="n">
        <v>0.279</v>
      </c>
      <c r="R428" s="15" t="n">
        <v>6</v>
      </c>
      <c r="S428" s="15" t="s">
        <v>833</v>
      </c>
      <c r="T428" s="15" t="n">
        <v>6</v>
      </c>
      <c r="U428" s="15" t="s">
        <v>916</v>
      </c>
      <c r="V428" s="15" t="s">
        <v>835</v>
      </c>
      <c r="W428" s="15"/>
      <c r="X428" s="15" t="s">
        <v>353</v>
      </c>
      <c r="Y428" s="15" t="n">
        <v>25</v>
      </c>
      <c r="Z428" s="15" t="s">
        <v>845</v>
      </c>
      <c r="AA428" s="15" t="n">
        <v>0</v>
      </c>
      <c r="AB428" s="15" t="n">
        <v>0</v>
      </c>
      <c r="AC428" s="15" t="n">
        <v>0</v>
      </c>
      <c r="AD428" s="15"/>
      <c r="AE428" s="15"/>
      <c r="AF428" s="15" t="s">
        <v>169</v>
      </c>
      <c r="AG428" s="15"/>
      <c r="AH428" s="24" t="n">
        <f aca="false">IF(R428="",AM428,R428)</f>
        <v>6</v>
      </c>
      <c r="AI428" s="24" t="n">
        <f aca="false">SUMIFS(Permissions!$G$2:$G$3000,Permissions!$B$2:$B$3000,$A428,Permissions!$I$2:$I$3000,"Complete",Permissions!$R$2:$R$3000,"Yes")</f>
        <v>0</v>
      </c>
      <c r="AJ428" s="24" t="n">
        <f aca="false">SUMIFS(Permissions!$G$2:$G$3000,Permissions!$B$2:$B$3000,$A428,Permissions!$I$2:$I$3000,"Under construction",Permissions!$R$2:$R$3000,"Yes")</f>
        <v>0</v>
      </c>
      <c r="AK428" s="24" t="n">
        <f aca="false">SUMIFS(Permissions!$G$2:$G$3000,Permissions!$B$2:$B$3000,$A428,Permissions!$I$2:$I$3000,"Permitted – not started",Permissions!$R$2:$R$3000,"Yes")</f>
        <v>0</v>
      </c>
      <c r="AL428" s="24" t="n">
        <f aca="false">SUMIFS(Permissions!$G$2:$G$3000,Permissions!$B$2:$B$3000,$A428,Permissions!$I$2:$I$3000,"Stalled",Permissions!$R$2:$R$3000,"Yes")</f>
        <v>0</v>
      </c>
      <c r="AM428" s="24" t="n">
        <f aca="false">AI428+AJ428+AK428+AL428</f>
        <v>0</v>
      </c>
      <c r="AN428" s="24" t="n">
        <f aca="false">SUMIFS(Permissions!$G$2:$G$3000,Permissions!$B$2:$B$3000,$A428,Permissions!$I$2:$I$3000,"Expired – not started",Permissions!$R$2:$R$3000,"Yes")</f>
        <v>0</v>
      </c>
      <c r="AO428" s="24" t="n">
        <f aca="false">SUMIFS(Permissions!$G$2:$G$3000,Permissions!$B$2:$B$3000,$A428,Permissions!$I$2:$I$3000,"In planning",Permissions!$R$2:$R$3000,"Yes")</f>
        <v>0</v>
      </c>
      <c r="AP428" s="24" t="n">
        <f aca="false">IF(R428="",0,MAX(R428-AM428,0))</f>
        <v>6</v>
      </c>
      <c r="AQ428" s="25" t="n">
        <f aca="false">AM428+AP428</f>
        <v>6</v>
      </c>
      <c r="AR428" s="24" t="n">
        <f aca="false">SUMIFS(Permissions!$L$2:$L$3000,Permissions!$B$2:$B$3000,$A428,Permissions!$R$2:$R$3000,"Yes",Permissions!$I$2:$I$3000,"&lt;&gt;Expired – not started",Permissions!$I$2:$I$3000,"&lt;&gt;In planning")</f>
        <v>0</v>
      </c>
      <c r="AS428" s="24" t="n">
        <f aca="false">AQ428-AR428</f>
        <v>6</v>
      </c>
      <c r="AT428" s="26" t="n">
        <f aca="false">SUMIFS(Permissions!$AJ$2:$AJ$3000,Permissions!$B$2:$B$3000,$A428,Permissions!$R$2:$R$3000,"Yes")</f>
        <v>0</v>
      </c>
      <c r="AU428" s="26" t="n">
        <f aca="false">SUMIFS(Permissions!$AK$2:$AK$3000,Permissions!$B$2:$B$3000,$A428,Permissions!$R$2:$R$3000,"Yes")</f>
        <v>0</v>
      </c>
      <c r="AV428" s="26" t="n">
        <f aca="false">SUMIFS(Permissions!$AL$2:$AL$3000,Permissions!$B$2:$B$3000,$A428,Permissions!$R$2:$R$3000,"Yes")</f>
        <v>0</v>
      </c>
      <c r="AW428" s="26" t="n">
        <f aca="false">SUMIFS(Permissions!$AM$2:$AM$3000,Permissions!$B$2:$B$3000,$A428,Permissions!$R$2:$R$3000,"Yes")</f>
        <v>0</v>
      </c>
      <c r="AX428" s="26" t="n">
        <f aca="false">SUMIFS(Permissions!$AN$2:$AN$3000,Permissions!$B$2:$B$3000,$A428,Permissions!$R$2:$R$3000,"Yes")</f>
        <v>0</v>
      </c>
      <c r="AY428" s="26" t="n">
        <f aca="false">SUMIFS(Permissions!$AO$2:$AO$3000,Permissions!$B$2:$B$3000,$A428,Permissions!$R$2:$R$3000,"Yes")</f>
        <v>0</v>
      </c>
      <c r="AZ428" s="24" t="n">
        <f aca="false">COUNTIFS(Permissions!$B$2:$B$3000,$A428,Permissions!$R$2:$R$3000,"Yes")</f>
        <v>0</v>
      </c>
      <c r="BA428" s="24" t="n">
        <f aca="false">SUMIFS(Permissions!$M$2:$M$3000,Permissions!$B$2:$B$3000,$A428,Permissions!$R$2:$R$3000,"Yes")</f>
        <v>0</v>
      </c>
      <c r="BB428" s="24" t="n">
        <f aca="false">SUMIFS(Permissions!$O$2:$O$3000,Permissions!$B$2:$B$3000,$A428,Permissions!$R$2:$R$3000,"Yes")</f>
        <v>0</v>
      </c>
      <c r="BC428" s="27" t="str">
        <f aca="false">IF(AND(AM428&gt;0,AR428&gt;=AM428,AP428=0),"Finished",IF(AR428&gt;0,"Partly built",IF(AM428&gt;0,"Consented – not built","No consent")))</f>
        <v>No consent</v>
      </c>
      <c r="BD428" s="28" t="str">
        <f aca="false">IF(AND(R428&lt;&gt;"",AM428&gt;1.1*R428),"Consented above capacity",IF(AND(LEFT(B428,8)="Planning",AZ428=0),"Consent parcel with no permission",IF(COUNTIF($A$2:$A$3000,$A428)&gt;1,"Duplicate parcel_id","")))</f>
        <v/>
      </c>
    </row>
    <row r="429" customFormat="false" ht="15" hidden="false" customHeight="false" outlineLevel="0" collapsed="false">
      <c r="A429" s="15" t="s">
        <v>936</v>
      </c>
      <c r="B429" s="15" t="s">
        <v>13</v>
      </c>
      <c r="C429" s="15" t="s">
        <v>17</v>
      </c>
      <c r="D429" s="15" t="s">
        <v>64</v>
      </c>
      <c r="E429" s="15" t="s">
        <v>20</v>
      </c>
      <c r="F429" s="15" t="n">
        <v>1</v>
      </c>
      <c r="G429" s="15" t="s">
        <v>158</v>
      </c>
      <c r="H429" s="15"/>
      <c r="I429" s="15" t="s">
        <v>17</v>
      </c>
      <c r="J429" s="15" t="s">
        <v>390</v>
      </c>
      <c r="K429" s="15" t="s">
        <v>915</v>
      </c>
      <c r="L429" s="15"/>
      <c r="M429" s="15" t="s">
        <v>349</v>
      </c>
      <c r="N429" s="15"/>
      <c r="O429" s="15"/>
      <c r="P429" s="15" t="n">
        <v>0.724</v>
      </c>
      <c r="Q429" s="15" t="n">
        <v>0.796</v>
      </c>
      <c r="R429" s="15" t="n">
        <v>18</v>
      </c>
      <c r="S429" s="15" t="s">
        <v>833</v>
      </c>
      <c r="T429" s="15" t="n">
        <v>18</v>
      </c>
      <c r="U429" s="15" t="s">
        <v>916</v>
      </c>
      <c r="V429" s="15" t="s">
        <v>835</v>
      </c>
      <c r="W429" s="15"/>
      <c r="X429" s="15" t="s">
        <v>353</v>
      </c>
      <c r="Y429" s="15" t="n">
        <v>25</v>
      </c>
      <c r="Z429" s="15" t="s">
        <v>845</v>
      </c>
      <c r="AA429" s="15" t="n">
        <v>0</v>
      </c>
      <c r="AB429" s="15" t="n">
        <v>0</v>
      </c>
      <c r="AC429" s="15" t="n">
        <v>0</v>
      </c>
      <c r="AD429" s="15"/>
      <c r="AE429" s="15"/>
      <c r="AF429" s="15" t="s">
        <v>169</v>
      </c>
      <c r="AG429" s="15"/>
      <c r="AH429" s="24" t="n">
        <f aca="false">IF(R429="",AM429,R429)</f>
        <v>18</v>
      </c>
      <c r="AI429" s="24" t="n">
        <f aca="false">SUMIFS(Permissions!$G$2:$G$3000,Permissions!$B$2:$B$3000,$A429,Permissions!$I$2:$I$3000,"Complete",Permissions!$R$2:$R$3000,"Yes")</f>
        <v>0</v>
      </c>
      <c r="AJ429" s="24" t="n">
        <f aca="false">SUMIFS(Permissions!$G$2:$G$3000,Permissions!$B$2:$B$3000,$A429,Permissions!$I$2:$I$3000,"Under construction",Permissions!$R$2:$R$3000,"Yes")</f>
        <v>0</v>
      </c>
      <c r="AK429" s="24" t="n">
        <f aca="false">SUMIFS(Permissions!$G$2:$G$3000,Permissions!$B$2:$B$3000,$A429,Permissions!$I$2:$I$3000,"Permitted – not started",Permissions!$R$2:$R$3000,"Yes")</f>
        <v>0</v>
      </c>
      <c r="AL429" s="24" t="n">
        <f aca="false">SUMIFS(Permissions!$G$2:$G$3000,Permissions!$B$2:$B$3000,$A429,Permissions!$I$2:$I$3000,"Stalled",Permissions!$R$2:$R$3000,"Yes")</f>
        <v>0</v>
      </c>
      <c r="AM429" s="24" t="n">
        <f aca="false">AI429+AJ429+AK429+AL429</f>
        <v>0</v>
      </c>
      <c r="AN429" s="24" t="n">
        <f aca="false">SUMIFS(Permissions!$G$2:$G$3000,Permissions!$B$2:$B$3000,$A429,Permissions!$I$2:$I$3000,"Expired – not started",Permissions!$R$2:$R$3000,"Yes")</f>
        <v>0</v>
      </c>
      <c r="AO429" s="24" t="n">
        <f aca="false">SUMIFS(Permissions!$G$2:$G$3000,Permissions!$B$2:$B$3000,$A429,Permissions!$I$2:$I$3000,"In planning",Permissions!$R$2:$R$3000,"Yes")</f>
        <v>0</v>
      </c>
      <c r="AP429" s="24" t="n">
        <f aca="false">IF(R429="",0,MAX(R429-AM429,0))</f>
        <v>18</v>
      </c>
      <c r="AQ429" s="25" t="n">
        <f aca="false">AM429+AP429</f>
        <v>18</v>
      </c>
      <c r="AR429" s="24" t="n">
        <f aca="false">SUMIFS(Permissions!$L$2:$L$3000,Permissions!$B$2:$B$3000,$A429,Permissions!$R$2:$R$3000,"Yes",Permissions!$I$2:$I$3000,"&lt;&gt;Expired – not started",Permissions!$I$2:$I$3000,"&lt;&gt;In planning")</f>
        <v>0</v>
      </c>
      <c r="AS429" s="24" t="n">
        <f aca="false">AQ429-AR429</f>
        <v>18</v>
      </c>
      <c r="AT429" s="26" t="n">
        <f aca="false">SUMIFS(Permissions!$AJ$2:$AJ$3000,Permissions!$B$2:$B$3000,$A429,Permissions!$R$2:$R$3000,"Yes")</f>
        <v>0</v>
      </c>
      <c r="AU429" s="26" t="n">
        <f aca="false">SUMIFS(Permissions!$AK$2:$AK$3000,Permissions!$B$2:$B$3000,$A429,Permissions!$R$2:$R$3000,"Yes")</f>
        <v>0</v>
      </c>
      <c r="AV429" s="26" t="n">
        <f aca="false">SUMIFS(Permissions!$AL$2:$AL$3000,Permissions!$B$2:$B$3000,$A429,Permissions!$R$2:$R$3000,"Yes")</f>
        <v>0</v>
      </c>
      <c r="AW429" s="26" t="n">
        <f aca="false">SUMIFS(Permissions!$AM$2:$AM$3000,Permissions!$B$2:$B$3000,$A429,Permissions!$R$2:$R$3000,"Yes")</f>
        <v>0</v>
      </c>
      <c r="AX429" s="26" t="n">
        <f aca="false">SUMIFS(Permissions!$AN$2:$AN$3000,Permissions!$B$2:$B$3000,$A429,Permissions!$R$2:$R$3000,"Yes")</f>
        <v>0</v>
      </c>
      <c r="AY429" s="26" t="n">
        <f aca="false">SUMIFS(Permissions!$AO$2:$AO$3000,Permissions!$B$2:$B$3000,$A429,Permissions!$R$2:$R$3000,"Yes")</f>
        <v>0</v>
      </c>
      <c r="AZ429" s="24" t="n">
        <f aca="false">COUNTIFS(Permissions!$B$2:$B$3000,$A429,Permissions!$R$2:$R$3000,"Yes")</f>
        <v>0</v>
      </c>
      <c r="BA429" s="24" t="n">
        <f aca="false">SUMIFS(Permissions!$M$2:$M$3000,Permissions!$B$2:$B$3000,$A429,Permissions!$R$2:$R$3000,"Yes")</f>
        <v>0</v>
      </c>
      <c r="BB429" s="24" t="n">
        <f aca="false">SUMIFS(Permissions!$O$2:$O$3000,Permissions!$B$2:$B$3000,$A429,Permissions!$R$2:$R$3000,"Yes")</f>
        <v>0</v>
      </c>
      <c r="BC429" s="27" t="str">
        <f aca="false">IF(AND(AM429&gt;0,AR429&gt;=AM429,AP429=0),"Finished",IF(AR429&gt;0,"Partly built",IF(AM429&gt;0,"Consented – not built","No consent")))</f>
        <v>No consent</v>
      </c>
      <c r="BD429" s="28" t="str">
        <f aca="false">IF(AND(R429&lt;&gt;"",AM429&gt;1.1*R429),"Consented above capacity",IF(AND(LEFT(B429,8)="Planning",AZ429=0),"Consent parcel with no permission",IF(COUNTIF($A$2:$A$3000,$A429)&gt;1,"Duplicate parcel_id","")))</f>
        <v/>
      </c>
    </row>
    <row r="430" customFormat="false" ht="15" hidden="false" customHeight="false" outlineLevel="0" collapsed="false">
      <c r="A430" s="15" t="s">
        <v>937</v>
      </c>
      <c r="B430" s="15" t="s">
        <v>13</v>
      </c>
      <c r="C430" s="15" t="s">
        <v>17</v>
      </c>
      <c r="D430" s="15" t="s">
        <v>74</v>
      </c>
      <c r="E430" s="15" t="s">
        <v>21</v>
      </c>
      <c r="F430" s="15" t="n">
        <v>1</v>
      </c>
      <c r="G430" s="15" t="s">
        <v>158</v>
      </c>
      <c r="H430" s="15"/>
      <c r="I430" s="15" t="s">
        <v>17</v>
      </c>
      <c r="J430" s="15" t="s">
        <v>159</v>
      </c>
      <c r="K430" s="15" t="s">
        <v>938</v>
      </c>
      <c r="L430" s="15"/>
      <c r="M430" s="15" t="s">
        <v>939</v>
      </c>
      <c r="N430" s="15"/>
      <c r="O430" s="15"/>
      <c r="P430" s="15" t="n">
        <v>0.192</v>
      </c>
      <c r="Q430" s="15" t="n">
        <v>0.211</v>
      </c>
      <c r="R430" s="15" t="n">
        <v>5</v>
      </c>
      <c r="S430" s="15" t="s">
        <v>833</v>
      </c>
      <c r="T430" s="15" t="n">
        <v>5</v>
      </c>
      <c r="U430" s="15" t="s">
        <v>940</v>
      </c>
      <c r="V430" s="15" t="s">
        <v>849</v>
      </c>
      <c r="W430" s="15"/>
      <c r="X430" s="15" t="s">
        <v>353</v>
      </c>
      <c r="Y430" s="15" t="n">
        <v>25</v>
      </c>
      <c r="Z430" s="15" t="s">
        <v>845</v>
      </c>
      <c r="AA430" s="15" t="n">
        <v>1</v>
      </c>
      <c r="AB430" s="15" t="n">
        <v>0</v>
      </c>
      <c r="AC430" s="15" t="n">
        <v>0</v>
      </c>
      <c r="AD430" s="15"/>
      <c r="AE430" s="15"/>
      <c r="AF430" s="15" t="s">
        <v>169</v>
      </c>
      <c r="AG430" s="15"/>
      <c r="AH430" s="24" t="n">
        <f aca="false">IF(R430="",AM430,R430)</f>
        <v>5</v>
      </c>
      <c r="AI430" s="24" t="n">
        <f aca="false">SUMIFS(Permissions!$G$2:$G$3000,Permissions!$B$2:$B$3000,$A430,Permissions!$I$2:$I$3000,"Complete",Permissions!$R$2:$R$3000,"Yes")</f>
        <v>0</v>
      </c>
      <c r="AJ430" s="24" t="n">
        <f aca="false">SUMIFS(Permissions!$G$2:$G$3000,Permissions!$B$2:$B$3000,$A430,Permissions!$I$2:$I$3000,"Under construction",Permissions!$R$2:$R$3000,"Yes")</f>
        <v>0</v>
      </c>
      <c r="AK430" s="24" t="n">
        <f aca="false">SUMIFS(Permissions!$G$2:$G$3000,Permissions!$B$2:$B$3000,$A430,Permissions!$I$2:$I$3000,"Permitted – not started",Permissions!$R$2:$R$3000,"Yes")</f>
        <v>0</v>
      </c>
      <c r="AL430" s="24" t="n">
        <f aca="false">SUMIFS(Permissions!$G$2:$G$3000,Permissions!$B$2:$B$3000,$A430,Permissions!$I$2:$I$3000,"Stalled",Permissions!$R$2:$R$3000,"Yes")</f>
        <v>0</v>
      </c>
      <c r="AM430" s="24" t="n">
        <f aca="false">AI430+AJ430+AK430+AL430</f>
        <v>0</v>
      </c>
      <c r="AN430" s="24" t="n">
        <f aca="false">SUMIFS(Permissions!$G$2:$G$3000,Permissions!$B$2:$B$3000,$A430,Permissions!$I$2:$I$3000,"Expired – not started",Permissions!$R$2:$R$3000,"Yes")</f>
        <v>0</v>
      </c>
      <c r="AO430" s="24" t="n">
        <f aca="false">SUMIFS(Permissions!$G$2:$G$3000,Permissions!$B$2:$B$3000,$A430,Permissions!$I$2:$I$3000,"In planning",Permissions!$R$2:$R$3000,"Yes")</f>
        <v>0</v>
      </c>
      <c r="AP430" s="24" t="n">
        <f aca="false">IF(R430="",0,MAX(R430-AM430,0))</f>
        <v>5</v>
      </c>
      <c r="AQ430" s="25" t="n">
        <f aca="false">AM430+AP430</f>
        <v>5</v>
      </c>
      <c r="AR430" s="24" t="n">
        <f aca="false">SUMIFS(Permissions!$L$2:$L$3000,Permissions!$B$2:$B$3000,$A430,Permissions!$R$2:$R$3000,"Yes",Permissions!$I$2:$I$3000,"&lt;&gt;Expired – not started",Permissions!$I$2:$I$3000,"&lt;&gt;In planning")</f>
        <v>0</v>
      </c>
      <c r="AS430" s="24" t="n">
        <f aca="false">AQ430-AR430</f>
        <v>5</v>
      </c>
      <c r="AT430" s="26" t="n">
        <f aca="false">SUMIFS(Permissions!$AJ$2:$AJ$3000,Permissions!$B$2:$B$3000,$A430,Permissions!$R$2:$R$3000,"Yes")</f>
        <v>0</v>
      </c>
      <c r="AU430" s="26" t="n">
        <f aca="false">SUMIFS(Permissions!$AK$2:$AK$3000,Permissions!$B$2:$B$3000,$A430,Permissions!$R$2:$R$3000,"Yes")</f>
        <v>0</v>
      </c>
      <c r="AV430" s="26" t="n">
        <f aca="false">SUMIFS(Permissions!$AL$2:$AL$3000,Permissions!$B$2:$B$3000,$A430,Permissions!$R$2:$R$3000,"Yes")</f>
        <v>0</v>
      </c>
      <c r="AW430" s="26" t="n">
        <f aca="false">SUMIFS(Permissions!$AM$2:$AM$3000,Permissions!$B$2:$B$3000,$A430,Permissions!$R$2:$R$3000,"Yes")</f>
        <v>0</v>
      </c>
      <c r="AX430" s="26" t="n">
        <f aca="false">SUMIFS(Permissions!$AN$2:$AN$3000,Permissions!$B$2:$B$3000,$A430,Permissions!$R$2:$R$3000,"Yes")</f>
        <v>0</v>
      </c>
      <c r="AY430" s="26" t="n">
        <f aca="false">SUMIFS(Permissions!$AO$2:$AO$3000,Permissions!$B$2:$B$3000,$A430,Permissions!$R$2:$R$3000,"Yes")</f>
        <v>0</v>
      </c>
      <c r="AZ430" s="24" t="n">
        <f aca="false">COUNTIFS(Permissions!$B$2:$B$3000,$A430,Permissions!$R$2:$R$3000,"Yes")</f>
        <v>0</v>
      </c>
      <c r="BA430" s="24" t="n">
        <f aca="false">SUMIFS(Permissions!$M$2:$M$3000,Permissions!$B$2:$B$3000,$A430,Permissions!$R$2:$R$3000,"Yes")</f>
        <v>0</v>
      </c>
      <c r="BB430" s="24" t="n">
        <f aca="false">SUMIFS(Permissions!$O$2:$O$3000,Permissions!$B$2:$B$3000,$A430,Permissions!$R$2:$R$3000,"Yes")</f>
        <v>0</v>
      </c>
      <c r="BC430" s="27" t="str">
        <f aca="false">IF(AND(AM430&gt;0,AR430&gt;=AM430,AP430=0),"Finished",IF(AR430&gt;0,"Partly built",IF(AM430&gt;0,"Consented – not built","No consent")))</f>
        <v>No consent</v>
      </c>
      <c r="BD430" s="28" t="str">
        <f aca="false">IF(AND(R430&lt;&gt;"",AM430&gt;1.1*R430),"Consented above capacity",IF(AND(LEFT(B430,8)="Planning",AZ430=0),"Consent parcel with no permission",IF(COUNTIF($A$2:$A$3000,$A430)&gt;1,"Duplicate parcel_id","")))</f>
        <v/>
      </c>
    </row>
    <row r="431" customFormat="false" ht="15" hidden="false" customHeight="false" outlineLevel="0" collapsed="false">
      <c r="A431" s="15" t="s">
        <v>941</v>
      </c>
      <c r="B431" s="15" t="s">
        <v>13</v>
      </c>
      <c r="C431" s="15" t="s">
        <v>17</v>
      </c>
      <c r="D431" s="15" t="s">
        <v>74</v>
      </c>
      <c r="E431" s="15" t="s">
        <v>21</v>
      </c>
      <c r="F431" s="15" t="n">
        <v>1</v>
      </c>
      <c r="G431" s="15" t="s">
        <v>158</v>
      </c>
      <c r="H431" s="15"/>
      <c r="I431" s="15" t="s">
        <v>17</v>
      </c>
      <c r="J431" s="15" t="s">
        <v>159</v>
      </c>
      <c r="K431" s="15" t="s">
        <v>938</v>
      </c>
      <c r="L431" s="15"/>
      <c r="M431" s="15" t="s">
        <v>939</v>
      </c>
      <c r="N431" s="15"/>
      <c r="O431" s="15"/>
      <c r="P431" s="15" t="n">
        <v>0.121</v>
      </c>
      <c r="Q431" s="15" t="n">
        <v>0.133</v>
      </c>
      <c r="R431" s="15" t="n">
        <v>3</v>
      </c>
      <c r="S431" s="15" t="s">
        <v>833</v>
      </c>
      <c r="T431" s="15" t="n">
        <v>3</v>
      </c>
      <c r="U431" s="15" t="s">
        <v>940</v>
      </c>
      <c r="V431" s="15" t="s">
        <v>849</v>
      </c>
      <c r="W431" s="15"/>
      <c r="X431" s="15" t="s">
        <v>353</v>
      </c>
      <c r="Y431" s="15" t="n">
        <v>25</v>
      </c>
      <c r="Z431" s="15" t="s">
        <v>845</v>
      </c>
      <c r="AA431" s="15" t="n">
        <v>1</v>
      </c>
      <c r="AB431" s="15" t="n">
        <v>0</v>
      </c>
      <c r="AC431" s="15" t="n">
        <v>0</v>
      </c>
      <c r="AD431" s="15"/>
      <c r="AE431" s="15"/>
      <c r="AF431" s="15" t="s">
        <v>169</v>
      </c>
      <c r="AG431" s="15"/>
      <c r="AH431" s="24" t="n">
        <f aca="false">IF(R431="",AM431,R431)</f>
        <v>3</v>
      </c>
      <c r="AI431" s="24" t="n">
        <f aca="false">SUMIFS(Permissions!$G$2:$G$3000,Permissions!$B$2:$B$3000,$A431,Permissions!$I$2:$I$3000,"Complete",Permissions!$R$2:$R$3000,"Yes")</f>
        <v>0</v>
      </c>
      <c r="AJ431" s="24" t="n">
        <f aca="false">SUMIFS(Permissions!$G$2:$G$3000,Permissions!$B$2:$B$3000,$A431,Permissions!$I$2:$I$3000,"Under construction",Permissions!$R$2:$R$3000,"Yes")</f>
        <v>0</v>
      </c>
      <c r="AK431" s="24" t="n">
        <f aca="false">SUMIFS(Permissions!$G$2:$G$3000,Permissions!$B$2:$B$3000,$A431,Permissions!$I$2:$I$3000,"Permitted – not started",Permissions!$R$2:$R$3000,"Yes")</f>
        <v>0</v>
      </c>
      <c r="AL431" s="24" t="n">
        <f aca="false">SUMIFS(Permissions!$G$2:$G$3000,Permissions!$B$2:$B$3000,$A431,Permissions!$I$2:$I$3000,"Stalled",Permissions!$R$2:$R$3000,"Yes")</f>
        <v>0</v>
      </c>
      <c r="AM431" s="24" t="n">
        <f aca="false">AI431+AJ431+AK431+AL431</f>
        <v>0</v>
      </c>
      <c r="AN431" s="24" t="n">
        <f aca="false">SUMIFS(Permissions!$G$2:$G$3000,Permissions!$B$2:$B$3000,$A431,Permissions!$I$2:$I$3000,"Expired – not started",Permissions!$R$2:$R$3000,"Yes")</f>
        <v>0</v>
      </c>
      <c r="AO431" s="24" t="n">
        <f aca="false">SUMIFS(Permissions!$G$2:$G$3000,Permissions!$B$2:$B$3000,$A431,Permissions!$I$2:$I$3000,"In planning",Permissions!$R$2:$R$3000,"Yes")</f>
        <v>0</v>
      </c>
      <c r="AP431" s="24" t="n">
        <f aca="false">IF(R431="",0,MAX(R431-AM431,0))</f>
        <v>3</v>
      </c>
      <c r="AQ431" s="25" t="n">
        <f aca="false">AM431+AP431</f>
        <v>3</v>
      </c>
      <c r="AR431" s="24" t="n">
        <f aca="false">SUMIFS(Permissions!$L$2:$L$3000,Permissions!$B$2:$B$3000,$A431,Permissions!$R$2:$R$3000,"Yes",Permissions!$I$2:$I$3000,"&lt;&gt;Expired – not started",Permissions!$I$2:$I$3000,"&lt;&gt;In planning")</f>
        <v>0</v>
      </c>
      <c r="AS431" s="24" t="n">
        <f aca="false">AQ431-AR431</f>
        <v>3</v>
      </c>
      <c r="AT431" s="26" t="n">
        <f aca="false">SUMIFS(Permissions!$AJ$2:$AJ$3000,Permissions!$B$2:$B$3000,$A431,Permissions!$R$2:$R$3000,"Yes")</f>
        <v>0</v>
      </c>
      <c r="AU431" s="26" t="n">
        <f aca="false">SUMIFS(Permissions!$AK$2:$AK$3000,Permissions!$B$2:$B$3000,$A431,Permissions!$R$2:$R$3000,"Yes")</f>
        <v>0</v>
      </c>
      <c r="AV431" s="26" t="n">
        <f aca="false">SUMIFS(Permissions!$AL$2:$AL$3000,Permissions!$B$2:$B$3000,$A431,Permissions!$R$2:$R$3000,"Yes")</f>
        <v>0</v>
      </c>
      <c r="AW431" s="26" t="n">
        <f aca="false">SUMIFS(Permissions!$AM$2:$AM$3000,Permissions!$B$2:$B$3000,$A431,Permissions!$R$2:$R$3000,"Yes")</f>
        <v>0</v>
      </c>
      <c r="AX431" s="26" t="n">
        <f aca="false">SUMIFS(Permissions!$AN$2:$AN$3000,Permissions!$B$2:$B$3000,$A431,Permissions!$R$2:$R$3000,"Yes")</f>
        <v>0</v>
      </c>
      <c r="AY431" s="26" t="n">
        <f aca="false">SUMIFS(Permissions!$AO$2:$AO$3000,Permissions!$B$2:$B$3000,$A431,Permissions!$R$2:$R$3000,"Yes")</f>
        <v>0</v>
      </c>
      <c r="AZ431" s="24" t="n">
        <f aca="false">COUNTIFS(Permissions!$B$2:$B$3000,$A431,Permissions!$R$2:$R$3000,"Yes")</f>
        <v>0</v>
      </c>
      <c r="BA431" s="24" t="n">
        <f aca="false">SUMIFS(Permissions!$M$2:$M$3000,Permissions!$B$2:$B$3000,$A431,Permissions!$R$2:$R$3000,"Yes")</f>
        <v>0</v>
      </c>
      <c r="BB431" s="24" t="n">
        <f aca="false">SUMIFS(Permissions!$O$2:$O$3000,Permissions!$B$2:$B$3000,$A431,Permissions!$R$2:$R$3000,"Yes")</f>
        <v>0</v>
      </c>
      <c r="BC431" s="27" t="str">
        <f aca="false">IF(AND(AM431&gt;0,AR431&gt;=AM431,AP431=0),"Finished",IF(AR431&gt;0,"Partly built",IF(AM431&gt;0,"Consented – not built","No consent")))</f>
        <v>No consent</v>
      </c>
      <c r="BD431" s="28" t="str">
        <f aca="false">IF(AND(R431&lt;&gt;"",AM431&gt;1.1*R431),"Consented above capacity",IF(AND(LEFT(B431,8)="Planning",AZ431=0),"Consent parcel with no permission",IF(COUNTIF($A$2:$A$3000,$A431)&gt;1,"Duplicate parcel_id","")))</f>
        <v/>
      </c>
    </row>
    <row r="432" customFormat="false" ht="15" hidden="false" customHeight="false" outlineLevel="0" collapsed="false">
      <c r="A432" s="15" t="s">
        <v>942</v>
      </c>
      <c r="B432" s="15" t="s">
        <v>13</v>
      </c>
      <c r="C432" s="15" t="s">
        <v>17</v>
      </c>
      <c r="D432" s="15" t="s">
        <v>74</v>
      </c>
      <c r="E432" s="15" t="s">
        <v>21</v>
      </c>
      <c r="F432" s="15" t="n">
        <v>0</v>
      </c>
      <c r="G432" s="15" t="s">
        <v>943</v>
      </c>
      <c r="H432" s="15"/>
      <c r="I432" s="15" t="s">
        <v>17</v>
      </c>
      <c r="J432" s="15" t="s">
        <v>159</v>
      </c>
      <c r="K432" s="15" t="s">
        <v>944</v>
      </c>
      <c r="L432" s="15"/>
      <c r="M432" s="15" t="s">
        <v>357</v>
      </c>
      <c r="N432" s="15"/>
      <c r="O432" s="15"/>
      <c r="P432" s="15" t="n">
        <v>0.36</v>
      </c>
      <c r="Q432" s="15" t="n">
        <v>0.395</v>
      </c>
      <c r="R432" s="15" t="n">
        <v>7</v>
      </c>
      <c r="S432" s="15" t="s">
        <v>833</v>
      </c>
      <c r="T432" s="15" t="n">
        <v>7</v>
      </c>
      <c r="U432" s="15" t="s">
        <v>940</v>
      </c>
      <c r="V432" s="15" t="s">
        <v>849</v>
      </c>
      <c r="W432" s="15"/>
      <c r="X432" s="15" t="s">
        <v>850</v>
      </c>
      <c r="Y432" s="15" t="n">
        <v>19</v>
      </c>
      <c r="Z432" s="15" t="s">
        <v>851</v>
      </c>
      <c r="AA432" s="15" t="n">
        <v>0</v>
      </c>
      <c r="AB432" s="15" t="n">
        <v>0</v>
      </c>
      <c r="AC432" s="15" t="n">
        <v>0</v>
      </c>
      <c r="AD432" s="15"/>
      <c r="AE432" s="15"/>
      <c r="AF432" s="15" t="s">
        <v>169</v>
      </c>
      <c r="AG432" s="15"/>
      <c r="AH432" s="24" t="n">
        <f aca="false">IF(R432="",AM432,R432)</f>
        <v>7</v>
      </c>
      <c r="AI432" s="24" t="n">
        <f aca="false">SUMIFS(Permissions!$G$2:$G$3000,Permissions!$B$2:$B$3000,$A432,Permissions!$I$2:$I$3000,"Complete",Permissions!$R$2:$R$3000,"Yes")</f>
        <v>0</v>
      </c>
      <c r="AJ432" s="24" t="n">
        <f aca="false">SUMIFS(Permissions!$G$2:$G$3000,Permissions!$B$2:$B$3000,$A432,Permissions!$I$2:$I$3000,"Under construction",Permissions!$R$2:$R$3000,"Yes")</f>
        <v>0</v>
      </c>
      <c r="AK432" s="24" t="n">
        <f aca="false">SUMIFS(Permissions!$G$2:$G$3000,Permissions!$B$2:$B$3000,$A432,Permissions!$I$2:$I$3000,"Permitted – not started",Permissions!$R$2:$R$3000,"Yes")</f>
        <v>0</v>
      </c>
      <c r="AL432" s="24" t="n">
        <f aca="false">SUMIFS(Permissions!$G$2:$G$3000,Permissions!$B$2:$B$3000,$A432,Permissions!$I$2:$I$3000,"Stalled",Permissions!$R$2:$R$3000,"Yes")</f>
        <v>0</v>
      </c>
      <c r="AM432" s="24" t="n">
        <f aca="false">AI432+AJ432+AK432+AL432</f>
        <v>0</v>
      </c>
      <c r="AN432" s="24" t="n">
        <f aca="false">SUMIFS(Permissions!$G$2:$G$3000,Permissions!$B$2:$B$3000,$A432,Permissions!$I$2:$I$3000,"Expired – not started",Permissions!$R$2:$R$3000,"Yes")</f>
        <v>0</v>
      </c>
      <c r="AO432" s="24" t="n">
        <f aca="false">SUMIFS(Permissions!$G$2:$G$3000,Permissions!$B$2:$B$3000,$A432,Permissions!$I$2:$I$3000,"In planning",Permissions!$R$2:$R$3000,"Yes")</f>
        <v>0</v>
      </c>
      <c r="AP432" s="24" t="n">
        <f aca="false">IF(R432="",0,MAX(R432-AM432,0))</f>
        <v>7</v>
      </c>
      <c r="AQ432" s="25" t="n">
        <f aca="false">AM432+AP432</f>
        <v>7</v>
      </c>
      <c r="AR432" s="24" t="n">
        <f aca="false">SUMIFS(Permissions!$L$2:$L$3000,Permissions!$B$2:$B$3000,$A432,Permissions!$R$2:$R$3000,"Yes",Permissions!$I$2:$I$3000,"&lt;&gt;Expired – not started",Permissions!$I$2:$I$3000,"&lt;&gt;In planning")</f>
        <v>0</v>
      </c>
      <c r="AS432" s="24" t="n">
        <f aca="false">AQ432-AR432</f>
        <v>7</v>
      </c>
      <c r="AT432" s="26" t="n">
        <f aca="false">SUMIFS(Permissions!$AJ$2:$AJ$3000,Permissions!$B$2:$B$3000,$A432,Permissions!$R$2:$R$3000,"Yes")</f>
        <v>0</v>
      </c>
      <c r="AU432" s="26" t="n">
        <f aca="false">SUMIFS(Permissions!$AK$2:$AK$3000,Permissions!$B$2:$B$3000,$A432,Permissions!$R$2:$R$3000,"Yes")</f>
        <v>0</v>
      </c>
      <c r="AV432" s="26" t="n">
        <f aca="false">SUMIFS(Permissions!$AL$2:$AL$3000,Permissions!$B$2:$B$3000,$A432,Permissions!$R$2:$R$3000,"Yes")</f>
        <v>0</v>
      </c>
      <c r="AW432" s="26" t="n">
        <f aca="false">SUMIFS(Permissions!$AM$2:$AM$3000,Permissions!$B$2:$B$3000,$A432,Permissions!$R$2:$R$3000,"Yes")</f>
        <v>0</v>
      </c>
      <c r="AX432" s="26" t="n">
        <f aca="false">SUMIFS(Permissions!$AN$2:$AN$3000,Permissions!$B$2:$B$3000,$A432,Permissions!$R$2:$R$3000,"Yes")</f>
        <v>0</v>
      </c>
      <c r="AY432" s="26" t="n">
        <f aca="false">SUMIFS(Permissions!$AO$2:$AO$3000,Permissions!$B$2:$B$3000,$A432,Permissions!$R$2:$R$3000,"Yes")</f>
        <v>0</v>
      </c>
      <c r="AZ432" s="24" t="n">
        <f aca="false">COUNTIFS(Permissions!$B$2:$B$3000,$A432,Permissions!$R$2:$R$3000,"Yes")</f>
        <v>0</v>
      </c>
      <c r="BA432" s="24" t="n">
        <f aca="false">SUMIFS(Permissions!$M$2:$M$3000,Permissions!$B$2:$B$3000,$A432,Permissions!$R$2:$R$3000,"Yes")</f>
        <v>0</v>
      </c>
      <c r="BB432" s="24" t="n">
        <f aca="false">SUMIFS(Permissions!$O$2:$O$3000,Permissions!$B$2:$B$3000,$A432,Permissions!$R$2:$R$3000,"Yes")</f>
        <v>0</v>
      </c>
      <c r="BC432" s="27" t="str">
        <f aca="false">IF(AND(AM432&gt;0,AR432&gt;=AM432,AP432=0),"Finished",IF(AR432&gt;0,"Partly built",IF(AM432&gt;0,"Consented – not built","No consent")))</f>
        <v>No consent</v>
      </c>
      <c r="BD432" s="28" t="str">
        <f aca="false">IF(AND(R432&lt;&gt;"",AM432&gt;1.1*R432),"Consented above capacity",IF(AND(LEFT(B432,8)="Planning",AZ432=0),"Consent parcel with no permission",IF(COUNTIF($A$2:$A$3000,$A432)&gt;1,"Duplicate parcel_id","")))</f>
        <v/>
      </c>
    </row>
    <row r="433" customFormat="false" ht="15" hidden="false" customHeight="false" outlineLevel="0" collapsed="false">
      <c r="A433" s="15" t="s">
        <v>945</v>
      </c>
      <c r="B433" s="15" t="s">
        <v>13</v>
      </c>
      <c r="C433" s="15" t="s">
        <v>17</v>
      </c>
      <c r="D433" s="15" t="s">
        <v>74</v>
      </c>
      <c r="E433" s="15" t="s">
        <v>21</v>
      </c>
      <c r="F433" s="15" t="n">
        <v>1</v>
      </c>
      <c r="G433" s="15" t="s">
        <v>158</v>
      </c>
      <c r="H433" s="15"/>
      <c r="I433" s="15" t="s">
        <v>17</v>
      </c>
      <c r="J433" s="15" t="s">
        <v>159</v>
      </c>
      <c r="K433" s="15" t="s">
        <v>938</v>
      </c>
      <c r="L433" s="15"/>
      <c r="M433" s="15" t="s">
        <v>939</v>
      </c>
      <c r="N433" s="15"/>
      <c r="O433" s="15"/>
      <c r="P433" s="15" t="n">
        <v>0.35</v>
      </c>
      <c r="Q433" s="15" t="n">
        <v>0.384</v>
      </c>
      <c r="R433" s="15" t="n">
        <v>9</v>
      </c>
      <c r="S433" s="15" t="s">
        <v>833</v>
      </c>
      <c r="T433" s="15" t="n">
        <v>9</v>
      </c>
      <c r="U433" s="15" t="s">
        <v>940</v>
      </c>
      <c r="V433" s="15" t="s">
        <v>849</v>
      </c>
      <c r="W433" s="15"/>
      <c r="X433" s="15" t="s">
        <v>353</v>
      </c>
      <c r="Y433" s="15" t="n">
        <v>25</v>
      </c>
      <c r="Z433" s="15" t="s">
        <v>845</v>
      </c>
      <c r="AA433" s="15" t="n">
        <v>1</v>
      </c>
      <c r="AB433" s="15" t="n">
        <v>0</v>
      </c>
      <c r="AC433" s="15" t="n">
        <v>0</v>
      </c>
      <c r="AD433" s="15"/>
      <c r="AE433" s="15"/>
      <c r="AF433" s="15" t="s">
        <v>169</v>
      </c>
      <c r="AG433" s="15"/>
      <c r="AH433" s="24" t="n">
        <f aca="false">IF(R433="",AM433,R433)</f>
        <v>9</v>
      </c>
      <c r="AI433" s="24" t="n">
        <f aca="false">SUMIFS(Permissions!$G$2:$G$3000,Permissions!$B$2:$B$3000,$A433,Permissions!$I$2:$I$3000,"Complete",Permissions!$R$2:$R$3000,"Yes")</f>
        <v>0</v>
      </c>
      <c r="AJ433" s="24" t="n">
        <f aca="false">SUMIFS(Permissions!$G$2:$G$3000,Permissions!$B$2:$B$3000,$A433,Permissions!$I$2:$I$3000,"Under construction",Permissions!$R$2:$R$3000,"Yes")</f>
        <v>0</v>
      </c>
      <c r="AK433" s="24" t="n">
        <f aca="false">SUMIFS(Permissions!$G$2:$G$3000,Permissions!$B$2:$B$3000,$A433,Permissions!$I$2:$I$3000,"Permitted – not started",Permissions!$R$2:$R$3000,"Yes")</f>
        <v>0</v>
      </c>
      <c r="AL433" s="24" t="n">
        <f aca="false">SUMIFS(Permissions!$G$2:$G$3000,Permissions!$B$2:$B$3000,$A433,Permissions!$I$2:$I$3000,"Stalled",Permissions!$R$2:$R$3000,"Yes")</f>
        <v>0</v>
      </c>
      <c r="AM433" s="24" t="n">
        <f aca="false">AI433+AJ433+AK433+AL433</f>
        <v>0</v>
      </c>
      <c r="AN433" s="24" t="n">
        <f aca="false">SUMIFS(Permissions!$G$2:$G$3000,Permissions!$B$2:$B$3000,$A433,Permissions!$I$2:$I$3000,"Expired – not started",Permissions!$R$2:$R$3000,"Yes")</f>
        <v>0</v>
      </c>
      <c r="AO433" s="24" t="n">
        <f aca="false">SUMIFS(Permissions!$G$2:$G$3000,Permissions!$B$2:$B$3000,$A433,Permissions!$I$2:$I$3000,"In planning",Permissions!$R$2:$R$3000,"Yes")</f>
        <v>0</v>
      </c>
      <c r="AP433" s="24" t="n">
        <f aca="false">IF(R433="",0,MAX(R433-AM433,0))</f>
        <v>9</v>
      </c>
      <c r="AQ433" s="25" t="n">
        <f aca="false">AM433+AP433</f>
        <v>9</v>
      </c>
      <c r="AR433" s="24" t="n">
        <f aca="false">SUMIFS(Permissions!$L$2:$L$3000,Permissions!$B$2:$B$3000,$A433,Permissions!$R$2:$R$3000,"Yes",Permissions!$I$2:$I$3000,"&lt;&gt;Expired – not started",Permissions!$I$2:$I$3000,"&lt;&gt;In planning")</f>
        <v>0</v>
      </c>
      <c r="AS433" s="24" t="n">
        <f aca="false">AQ433-AR433</f>
        <v>9</v>
      </c>
      <c r="AT433" s="26" t="n">
        <f aca="false">SUMIFS(Permissions!$AJ$2:$AJ$3000,Permissions!$B$2:$B$3000,$A433,Permissions!$R$2:$R$3000,"Yes")</f>
        <v>0</v>
      </c>
      <c r="AU433" s="26" t="n">
        <f aca="false">SUMIFS(Permissions!$AK$2:$AK$3000,Permissions!$B$2:$B$3000,$A433,Permissions!$R$2:$R$3000,"Yes")</f>
        <v>0</v>
      </c>
      <c r="AV433" s="26" t="n">
        <f aca="false">SUMIFS(Permissions!$AL$2:$AL$3000,Permissions!$B$2:$B$3000,$A433,Permissions!$R$2:$R$3000,"Yes")</f>
        <v>0</v>
      </c>
      <c r="AW433" s="26" t="n">
        <f aca="false">SUMIFS(Permissions!$AM$2:$AM$3000,Permissions!$B$2:$B$3000,$A433,Permissions!$R$2:$R$3000,"Yes")</f>
        <v>0</v>
      </c>
      <c r="AX433" s="26" t="n">
        <f aca="false">SUMIFS(Permissions!$AN$2:$AN$3000,Permissions!$B$2:$B$3000,$A433,Permissions!$R$2:$R$3000,"Yes")</f>
        <v>0</v>
      </c>
      <c r="AY433" s="26" t="n">
        <f aca="false">SUMIFS(Permissions!$AO$2:$AO$3000,Permissions!$B$2:$B$3000,$A433,Permissions!$R$2:$R$3000,"Yes")</f>
        <v>0</v>
      </c>
      <c r="AZ433" s="24" t="n">
        <f aca="false">COUNTIFS(Permissions!$B$2:$B$3000,$A433,Permissions!$R$2:$R$3000,"Yes")</f>
        <v>0</v>
      </c>
      <c r="BA433" s="24" t="n">
        <f aca="false">SUMIFS(Permissions!$M$2:$M$3000,Permissions!$B$2:$B$3000,$A433,Permissions!$R$2:$R$3000,"Yes")</f>
        <v>0</v>
      </c>
      <c r="BB433" s="24" t="n">
        <f aca="false">SUMIFS(Permissions!$O$2:$O$3000,Permissions!$B$2:$B$3000,$A433,Permissions!$R$2:$R$3000,"Yes")</f>
        <v>0</v>
      </c>
      <c r="BC433" s="27" t="str">
        <f aca="false">IF(AND(AM433&gt;0,AR433&gt;=AM433,AP433=0),"Finished",IF(AR433&gt;0,"Partly built",IF(AM433&gt;0,"Consented – not built","No consent")))</f>
        <v>No consent</v>
      </c>
      <c r="BD433" s="28" t="str">
        <f aca="false">IF(AND(R433&lt;&gt;"",AM433&gt;1.1*R433),"Consented above capacity",IF(AND(LEFT(B433,8)="Planning",AZ433=0),"Consent parcel with no permission",IF(COUNTIF($A$2:$A$3000,$A433)&gt;1,"Duplicate parcel_id","")))</f>
        <v/>
      </c>
    </row>
    <row r="434" customFormat="false" ht="15" hidden="false" customHeight="false" outlineLevel="0" collapsed="false">
      <c r="A434" s="15" t="s">
        <v>946</v>
      </c>
      <c r="B434" s="15" t="s">
        <v>13</v>
      </c>
      <c r="C434" s="15" t="s">
        <v>17</v>
      </c>
      <c r="D434" s="15" t="s">
        <v>74</v>
      </c>
      <c r="E434" s="15" t="s">
        <v>21</v>
      </c>
      <c r="F434" s="15" t="n">
        <v>0.25</v>
      </c>
      <c r="G434" s="15" t="s">
        <v>158</v>
      </c>
      <c r="H434" s="15"/>
      <c r="I434" s="15" t="s">
        <v>17</v>
      </c>
      <c r="J434" s="15" t="s">
        <v>159</v>
      </c>
      <c r="K434" s="15" t="s">
        <v>947</v>
      </c>
      <c r="L434" s="15"/>
      <c r="M434" s="15" t="s">
        <v>948</v>
      </c>
      <c r="N434" s="15"/>
      <c r="O434" s="15"/>
      <c r="P434" s="15" t="n">
        <v>0.343</v>
      </c>
      <c r="Q434" s="15" t="n">
        <v>0.377</v>
      </c>
      <c r="R434" s="15" t="n">
        <v>9</v>
      </c>
      <c r="S434" s="15" t="s">
        <v>833</v>
      </c>
      <c r="T434" s="15" t="n">
        <v>9</v>
      </c>
      <c r="U434" s="15" t="s">
        <v>940</v>
      </c>
      <c r="V434" s="15" t="s">
        <v>849</v>
      </c>
      <c r="W434" s="15" t="s">
        <v>949</v>
      </c>
      <c r="X434" s="15" t="s">
        <v>353</v>
      </c>
      <c r="Y434" s="15" t="n">
        <v>25</v>
      </c>
      <c r="Z434" s="15" t="s">
        <v>845</v>
      </c>
      <c r="AA434" s="15" t="n">
        <v>0</v>
      </c>
      <c r="AB434" s="15" t="n">
        <v>0</v>
      </c>
      <c r="AC434" s="15" t="n">
        <v>0</v>
      </c>
      <c r="AD434" s="15"/>
      <c r="AE434" s="15" t="s">
        <v>950</v>
      </c>
      <c r="AF434" s="15" t="s">
        <v>169</v>
      </c>
      <c r="AG434" s="15"/>
      <c r="AH434" s="24" t="n">
        <f aca="false">IF(R434="",AM434,R434)</f>
        <v>9</v>
      </c>
      <c r="AI434" s="24" t="n">
        <f aca="false">SUMIFS(Permissions!$G$2:$G$3000,Permissions!$B$2:$B$3000,$A434,Permissions!$I$2:$I$3000,"Complete",Permissions!$R$2:$R$3000,"Yes")</f>
        <v>0</v>
      </c>
      <c r="AJ434" s="24" t="n">
        <f aca="false">SUMIFS(Permissions!$G$2:$G$3000,Permissions!$B$2:$B$3000,$A434,Permissions!$I$2:$I$3000,"Under construction",Permissions!$R$2:$R$3000,"Yes")</f>
        <v>0</v>
      </c>
      <c r="AK434" s="24" t="n">
        <f aca="false">SUMIFS(Permissions!$G$2:$G$3000,Permissions!$B$2:$B$3000,$A434,Permissions!$I$2:$I$3000,"Permitted – not started",Permissions!$R$2:$R$3000,"Yes")</f>
        <v>0</v>
      </c>
      <c r="AL434" s="24" t="n">
        <f aca="false">SUMIFS(Permissions!$G$2:$G$3000,Permissions!$B$2:$B$3000,$A434,Permissions!$I$2:$I$3000,"Stalled",Permissions!$R$2:$R$3000,"Yes")</f>
        <v>0</v>
      </c>
      <c r="AM434" s="24" t="n">
        <f aca="false">AI434+AJ434+AK434+AL434</f>
        <v>0</v>
      </c>
      <c r="AN434" s="24" t="n">
        <f aca="false">SUMIFS(Permissions!$G$2:$G$3000,Permissions!$B$2:$B$3000,$A434,Permissions!$I$2:$I$3000,"Expired – not started",Permissions!$R$2:$R$3000,"Yes")</f>
        <v>0</v>
      </c>
      <c r="AO434" s="24" t="n">
        <f aca="false">SUMIFS(Permissions!$G$2:$G$3000,Permissions!$B$2:$B$3000,$A434,Permissions!$I$2:$I$3000,"In planning",Permissions!$R$2:$R$3000,"Yes")</f>
        <v>0</v>
      </c>
      <c r="AP434" s="24" t="n">
        <f aca="false">IF(R434="",0,MAX(R434-AM434,0))</f>
        <v>9</v>
      </c>
      <c r="AQ434" s="25" t="n">
        <f aca="false">AM434+AP434</f>
        <v>9</v>
      </c>
      <c r="AR434" s="24" t="n">
        <f aca="false">SUMIFS(Permissions!$L$2:$L$3000,Permissions!$B$2:$B$3000,$A434,Permissions!$R$2:$R$3000,"Yes",Permissions!$I$2:$I$3000,"&lt;&gt;Expired – not started",Permissions!$I$2:$I$3000,"&lt;&gt;In planning")</f>
        <v>0</v>
      </c>
      <c r="AS434" s="24" t="n">
        <f aca="false">AQ434-AR434</f>
        <v>9</v>
      </c>
      <c r="AT434" s="26" t="n">
        <f aca="false">SUMIFS(Permissions!$AJ$2:$AJ$3000,Permissions!$B$2:$B$3000,$A434,Permissions!$R$2:$R$3000,"Yes")</f>
        <v>0</v>
      </c>
      <c r="AU434" s="26" t="n">
        <f aca="false">SUMIFS(Permissions!$AK$2:$AK$3000,Permissions!$B$2:$B$3000,$A434,Permissions!$R$2:$R$3000,"Yes")</f>
        <v>0</v>
      </c>
      <c r="AV434" s="26" t="n">
        <f aca="false">SUMIFS(Permissions!$AL$2:$AL$3000,Permissions!$B$2:$B$3000,$A434,Permissions!$R$2:$R$3000,"Yes")</f>
        <v>0</v>
      </c>
      <c r="AW434" s="26" t="n">
        <f aca="false">SUMIFS(Permissions!$AM$2:$AM$3000,Permissions!$B$2:$B$3000,$A434,Permissions!$R$2:$R$3000,"Yes")</f>
        <v>0</v>
      </c>
      <c r="AX434" s="26" t="n">
        <f aca="false">SUMIFS(Permissions!$AN$2:$AN$3000,Permissions!$B$2:$B$3000,$A434,Permissions!$R$2:$R$3000,"Yes")</f>
        <v>0</v>
      </c>
      <c r="AY434" s="26" t="n">
        <f aca="false">SUMIFS(Permissions!$AO$2:$AO$3000,Permissions!$B$2:$B$3000,$A434,Permissions!$R$2:$R$3000,"Yes")</f>
        <v>0</v>
      </c>
      <c r="AZ434" s="24" t="n">
        <f aca="false">COUNTIFS(Permissions!$B$2:$B$3000,$A434,Permissions!$R$2:$R$3000,"Yes")</f>
        <v>0</v>
      </c>
      <c r="BA434" s="24" t="n">
        <f aca="false">SUMIFS(Permissions!$M$2:$M$3000,Permissions!$B$2:$B$3000,$A434,Permissions!$R$2:$R$3000,"Yes")</f>
        <v>0</v>
      </c>
      <c r="BB434" s="24" t="n">
        <f aca="false">SUMIFS(Permissions!$O$2:$O$3000,Permissions!$B$2:$B$3000,$A434,Permissions!$R$2:$R$3000,"Yes")</f>
        <v>0</v>
      </c>
      <c r="BC434" s="27" t="str">
        <f aca="false">IF(AND(AM434&gt;0,AR434&gt;=AM434,AP434=0),"Finished",IF(AR434&gt;0,"Partly built",IF(AM434&gt;0,"Consented – not built","No consent")))</f>
        <v>No consent</v>
      </c>
      <c r="BD434" s="28" t="str">
        <f aca="false">IF(AND(R434&lt;&gt;"",AM434&gt;1.1*R434),"Consented above capacity",IF(AND(LEFT(B434,8)="Planning",AZ434=0),"Consent parcel with no permission",IF(COUNTIF($A$2:$A$3000,$A434)&gt;1,"Duplicate parcel_id","")))</f>
        <v/>
      </c>
    </row>
    <row r="435" customFormat="false" ht="15" hidden="false" customHeight="false" outlineLevel="0" collapsed="false">
      <c r="A435" s="15" t="s">
        <v>951</v>
      </c>
      <c r="B435" s="15" t="s">
        <v>13</v>
      </c>
      <c r="C435" s="15" t="s">
        <v>17</v>
      </c>
      <c r="D435" s="15" t="s">
        <v>74</v>
      </c>
      <c r="E435" s="15" t="s">
        <v>21</v>
      </c>
      <c r="F435" s="15" t="n">
        <v>0</v>
      </c>
      <c r="G435" s="15" t="s">
        <v>943</v>
      </c>
      <c r="H435" s="15"/>
      <c r="I435" s="15" t="s">
        <v>17</v>
      </c>
      <c r="J435" s="15" t="s">
        <v>159</v>
      </c>
      <c r="K435" s="15" t="s">
        <v>947</v>
      </c>
      <c r="L435" s="15"/>
      <c r="M435" s="15" t="s">
        <v>948</v>
      </c>
      <c r="N435" s="15"/>
      <c r="O435" s="15"/>
      <c r="P435" s="15" t="n">
        <v>0.167</v>
      </c>
      <c r="Q435" s="15" t="n">
        <v>0.184</v>
      </c>
      <c r="R435" s="15" t="n">
        <v>4</v>
      </c>
      <c r="S435" s="15" t="s">
        <v>833</v>
      </c>
      <c r="T435" s="15" t="n">
        <v>4</v>
      </c>
      <c r="U435" s="15" t="s">
        <v>940</v>
      </c>
      <c r="V435" s="15" t="s">
        <v>849</v>
      </c>
      <c r="W435" s="15" t="s">
        <v>949</v>
      </c>
      <c r="X435" s="15" t="s">
        <v>353</v>
      </c>
      <c r="Y435" s="15" t="n">
        <v>25</v>
      </c>
      <c r="Z435" s="15" t="s">
        <v>845</v>
      </c>
      <c r="AA435" s="15" t="n">
        <v>0</v>
      </c>
      <c r="AB435" s="15" t="n">
        <v>0</v>
      </c>
      <c r="AC435" s="15" t="n">
        <v>0</v>
      </c>
      <c r="AD435" s="15"/>
      <c r="AE435" s="15" t="s">
        <v>950</v>
      </c>
      <c r="AF435" s="15" t="s">
        <v>169</v>
      </c>
      <c r="AG435" s="15"/>
      <c r="AH435" s="24" t="n">
        <f aca="false">IF(R435="",AM435,R435)</f>
        <v>4</v>
      </c>
      <c r="AI435" s="24" t="n">
        <f aca="false">SUMIFS(Permissions!$G$2:$G$3000,Permissions!$B$2:$B$3000,$A435,Permissions!$I$2:$I$3000,"Complete",Permissions!$R$2:$R$3000,"Yes")</f>
        <v>0</v>
      </c>
      <c r="AJ435" s="24" t="n">
        <f aca="false">SUMIFS(Permissions!$G$2:$G$3000,Permissions!$B$2:$B$3000,$A435,Permissions!$I$2:$I$3000,"Under construction",Permissions!$R$2:$R$3000,"Yes")</f>
        <v>0</v>
      </c>
      <c r="AK435" s="24" t="n">
        <f aca="false">SUMIFS(Permissions!$G$2:$G$3000,Permissions!$B$2:$B$3000,$A435,Permissions!$I$2:$I$3000,"Permitted – not started",Permissions!$R$2:$R$3000,"Yes")</f>
        <v>0</v>
      </c>
      <c r="AL435" s="24" t="n">
        <f aca="false">SUMIFS(Permissions!$G$2:$G$3000,Permissions!$B$2:$B$3000,$A435,Permissions!$I$2:$I$3000,"Stalled",Permissions!$R$2:$R$3000,"Yes")</f>
        <v>0</v>
      </c>
      <c r="AM435" s="24" t="n">
        <f aca="false">AI435+AJ435+AK435+AL435</f>
        <v>0</v>
      </c>
      <c r="AN435" s="24" t="n">
        <f aca="false">SUMIFS(Permissions!$G$2:$G$3000,Permissions!$B$2:$B$3000,$A435,Permissions!$I$2:$I$3000,"Expired – not started",Permissions!$R$2:$R$3000,"Yes")</f>
        <v>0</v>
      </c>
      <c r="AO435" s="24" t="n">
        <f aca="false">SUMIFS(Permissions!$G$2:$G$3000,Permissions!$B$2:$B$3000,$A435,Permissions!$I$2:$I$3000,"In planning",Permissions!$R$2:$R$3000,"Yes")</f>
        <v>0</v>
      </c>
      <c r="AP435" s="24" t="n">
        <f aca="false">IF(R435="",0,MAX(R435-AM435,0))</f>
        <v>4</v>
      </c>
      <c r="AQ435" s="25" t="n">
        <f aca="false">AM435+AP435</f>
        <v>4</v>
      </c>
      <c r="AR435" s="24" t="n">
        <f aca="false">SUMIFS(Permissions!$L$2:$L$3000,Permissions!$B$2:$B$3000,$A435,Permissions!$R$2:$R$3000,"Yes",Permissions!$I$2:$I$3000,"&lt;&gt;Expired – not started",Permissions!$I$2:$I$3000,"&lt;&gt;In planning")</f>
        <v>0</v>
      </c>
      <c r="AS435" s="24" t="n">
        <f aca="false">AQ435-AR435</f>
        <v>4</v>
      </c>
      <c r="AT435" s="26" t="n">
        <f aca="false">SUMIFS(Permissions!$AJ$2:$AJ$3000,Permissions!$B$2:$B$3000,$A435,Permissions!$R$2:$R$3000,"Yes")</f>
        <v>0</v>
      </c>
      <c r="AU435" s="26" t="n">
        <f aca="false">SUMIFS(Permissions!$AK$2:$AK$3000,Permissions!$B$2:$B$3000,$A435,Permissions!$R$2:$R$3000,"Yes")</f>
        <v>0</v>
      </c>
      <c r="AV435" s="26" t="n">
        <f aca="false">SUMIFS(Permissions!$AL$2:$AL$3000,Permissions!$B$2:$B$3000,$A435,Permissions!$R$2:$R$3000,"Yes")</f>
        <v>0</v>
      </c>
      <c r="AW435" s="26" t="n">
        <f aca="false">SUMIFS(Permissions!$AM$2:$AM$3000,Permissions!$B$2:$B$3000,$A435,Permissions!$R$2:$R$3000,"Yes")</f>
        <v>0</v>
      </c>
      <c r="AX435" s="26" t="n">
        <f aca="false">SUMIFS(Permissions!$AN$2:$AN$3000,Permissions!$B$2:$B$3000,$A435,Permissions!$R$2:$R$3000,"Yes")</f>
        <v>0</v>
      </c>
      <c r="AY435" s="26" t="n">
        <f aca="false">SUMIFS(Permissions!$AO$2:$AO$3000,Permissions!$B$2:$B$3000,$A435,Permissions!$R$2:$R$3000,"Yes")</f>
        <v>0</v>
      </c>
      <c r="AZ435" s="24" t="n">
        <f aca="false">COUNTIFS(Permissions!$B$2:$B$3000,$A435,Permissions!$R$2:$R$3000,"Yes")</f>
        <v>0</v>
      </c>
      <c r="BA435" s="24" t="n">
        <f aca="false">SUMIFS(Permissions!$M$2:$M$3000,Permissions!$B$2:$B$3000,$A435,Permissions!$R$2:$R$3000,"Yes")</f>
        <v>0</v>
      </c>
      <c r="BB435" s="24" t="n">
        <f aca="false">SUMIFS(Permissions!$O$2:$O$3000,Permissions!$B$2:$B$3000,$A435,Permissions!$R$2:$R$3000,"Yes")</f>
        <v>0</v>
      </c>
      <c r="BC435" s="27" t="str">
        <f aca="false">IF(AND(AM435&gt;0,AR435&gt;=AM435,AP435=0),"Finished",IF(AR435&gt;0,"Partly built",IF(AM435&gt;0,"Consented – not built","No consent")))</f>
        <v>No consent</v>
      </c>
      <c r="BD435" s="28" t="str">
        <f aca="false">IF(AND(R435&lt;&gt;"",AM435&gt;1.1*R435),"Consented above capacity",IF(AND(LEFT(B435,8)="Planning",AZ435=0),"Consent parcel with no permission",IF(COUNTIF($A$2:$A$3000,$A435)&gt;1,"Duplicate parcel_id","")))</f>
        <v/>
      </c>
    </row>
    <row r="436" customFormat="false" ht="15" hidden="false" customHeight="false" outlineLevel="0" collapsed="false">
      <c r="A436" s="15" t="s">
        <v>952</v>
      </c>
      <c r="B436" s="15" t="s">
        <v>13</v>
      </c>
      <c r="C436" s="15" t="s">
        <v>17</v>
      </c>
      <c r="D436" s="15" t="s">
        <v>74</v>
      </c>
      <c r="E436" s="15" t="s">
        <v>21</v>
      </c>
      <c r="F436" s="15" t="n">
        <v>0</v>
      </c>
      <c r="G436" s="15" t="s">
        <v>943</v>
      </c>
      <c r="H436" s="15"/>
      <c r="I436" s="15" t="s">
        <v>17</v>
      </c>
      <c r="J436" s="15" t="s">
        <v>159</v>
      </c>
      <c r="K436" s="15" t="s">
        <v>947</v>
      </c>
      <c r="L436" s="15"/>
      <c r="M436" s="15" t="s">
        <v>948</v>
      </c>
      <c r="N436" s="15"/>
      <c r="O436" s="15"/>
      <c r="P436" s="15" t="n">
        <v>0.496</v>
      </c>
      <c r="Q436" s="15" t="n">
        <v>0.545</v>
      </c>
      <c r="R436" s="15" t="n">
        <v>12</v>
      </c>
      <c r="S436" s="15" t="s">
        <v>833</v>
      </c>
      <c r="T436" s="15" t="n">
        <v>12</v>
      </c>
      <c r="U436" s="15" t="s">
        <v>940</v>
      </c>
      <c r="V436" s="15" t="s">
        <v>849</v>
      </c>
      <c r="W436" s="15" t="s">
        <v>949</v>
      </c>
      <c r="X436" s="15" t="s">
        <v>353</v>
      </c>
      <c r="Y436" s="15" t="n">
        <v>25</v>
      </c>
      <c r="Z436" s="15" t="s">
        <v>845</v>
      </c>
      <c r="AA436" s="15" t="n">
        <v>0</v>
      </c>
      <c r="AB436" s="15" t="n">
        <v>0</v>
      </c>
      <c r="AC436" s="15" t="n">
        <v>0</v>
      </c>
      <c r="AD436" s="15"/>
      <c r="AE436" s="15" t="s">
        <v>950</v>
      </c>
      <c r="AF436" s="15" t="s">
        <v>169</v>
      </c>
      <c r="AG436" s="15"/>
      <c r="AH436" s="24" t="n">
        <f aca="false">IF(R436="",AM436,R436)</f>
        <v>12</v>
      </c>
      <c r="AI436" s="24" t="n">
        <f aca="false">SUMIFS(Permissions!$G$2:$G$3000,Permissions!$B$2:$B$3000,$A436,Permissions!$I$2:$I$3000,"Complete",Permissions!$R$2:$R$3000,"Yes")</f>
        <v>0</v>
      </c>
      <c r="AJ436" s="24" t="n">
        <f aca="false">SUMIFS(Permissions!$G$2:$G$3000,Permissions!$B$2:$B$3000,$A436,Permissions!$I$2:$I$3000,"Under construction",Permissions!$R$2:$R$3000,"Yes")</f>
        <v>0</v>
      </c>
      <c r="AK436" s="24" t="n">
        <f aca="false">SUMIFS(Permissions!$G$2:$G$3000,Permissions!$B$2:$B$3000,$A436,Permissions!$I$2:$I$3000,"Permitted – not started",Permissions!$R$2:$R$3000,"Yes")</f>
        <v>0</v>
      </c>
      <c r="AL436" s="24" t="n">
        <f aca="false">SUMIFS(Permissions!$G$2:$G$3000,Permissions!$B$2:$B$3000,$A436,Permissions!$I$2:$I$3000,"Stalled",Permissions!$R$2:$R$3000,"Yes")</f>
        <v>0</v>
      </c>
      <c r="AM436" s="24" t="n">
        <f aca="false">AI436+AJ436+AK436+AL436</f>
        <v>0</v>
      </c>
      <c r="AN436" s="24" t="n">
        <f aca="false">SUMIFS(Permissions!$G$2:$G$3000,Permissions!$B$2:$B$3000,$A436,Permissions!$I$2:$I$3000,"Expired – not started",Permissions!$R$2:$R$3000,"Yes")</f>
        <v>0</v>
      </c>
      <c r="AO436" s="24" t="n">
        <f aca="false">SUMIFS(Permissions!$G$2:$G$3000,Permissions!$B$2:$B$3000,$A436,Permissions!$I$2:$I$3000,"In planning",Permissions!$R$2:$R$3000,"Yes")</f>
        <v>0</v>
      </c>
      <c r="AP436" s="24" t="n">
        <f aca="false">IF(R436="",0,MAX(R436-AM436,0))</f>
        <v>12</v>
      </c>
      <c r="AQ436" s="25" t="n">
        <f aca="false">AM436+AP436</f>
        <v>12</v>
      </c>
      <c r="AR436" s="24" t="n">
        <f aca="false">SUMIFS(Permissions!$L$2:$L$3000,Permissions!$B$2:$B$3000,$A436,Permissions!$R$2:$R$3000,"Yes",Permissions!$I$2:$I$3000,"&lt;&gt;Expired – not started",Permissions!$I$2:$I$3000,"&lt;&gt;In planning")</f>
        <v>0</v>
      </c>
      <c r="AS436" s="24" t="n">
        <f aca="false">AQ436-AR436</f>
        <v>12</v>
      </c>
      <c r="AT436" s="26" t="n">
        <f aca="false">SUMIFS(Permissions!$AJ$2:$AJ$3000,Permissions!$B$2:$B$3000,$A436,Permissions!$R$2:$R$3000,"Yes")</f>
        <v>0</v>
      </c>
      <c r="AU436" s="26" t="n">
        <f aca="false">SUMIFS(Permissions!$AK$2:$AK$3000,Permissions!$B$2:$B$3000,$A436,Permissions!$R$2:$R$3000,"Yes")</f>
        <v>0</v>
      </c>
      <c r="AV436" s="26" t="n">
        <f aca="false">SUMIFS(Permissions!$AL$2:$AL$3000,Permissions!$B$2:$B$3000,$A436,Permissions!$R$2:$R$3000,"Yes")</f>
        <v>0</v>
      </c>
      <c r="AW436" s="26" t="n">
        <f aca="false">SUMIFS(Permissions!$AM$2:$AM$3000,Permissions!$B$2:$B$3000,$A436,Permissions!$R$2:$R$3000,"Yes")</f>
        <v>0</v>
      </c>
      <c r="AX436" s="26" t="n">
        <f aca="false">SUMIFS(Permissions!$AN$2:$AN$3000,Permissions!$B$2:$B$3000,$A436,Permissions!$R$2:$R$3000,"Yes")</f>
        <v>0</v>
      </c>
      <c r="AY436" s="26" t="n">
        <f aca="false">SUMIFS(Permissions!$AO$2:$AO$3000,Permissions!$B$2:$B$3000,$A436,Permissions!$R$2:$R$3000,"Yes")</f>
        <v>0</v>
      </c>
      <c r="AZ436" s="24" t="n">
        <f aca="false">COUNTIFS(Permissions!$B$2:$B$3000,$A436,Permissions!$R$2:$R$3000,"Yes")</f>
        <v>0</v>
      </c>
      <c r="BA436" s="24" t="n">
        <f aca="false">SUMIFS(Permissions!$M$2:$M$3000,Permissions!$B$2:$B$3000,$A436,Permissions!$R$2:$R$3000,"Yes")</f>
        <v>0</v>
      </c>
      <c r="BB436" s="24" t="n">
        <f aca="false">SUMIFS(Permissions!$O$2:$O$3000,Permissions!$B$2:$B$3000,$A436,Permissions!$R$2:$R$3000,"Yes")</f>
        <v>0</v>
      </c>
      <c r="BC436" s="27" t="str">
        <f aca="false">IF(AND(AM436&gt;0,AR436&gt;=AM436,AP436=0),"Finished",IF(AR436&gt;0,"Partly built",IF(AM436&gt;0,"Consented – not built","No consent")))</f>
        <v>No consent</v>
      </c>
      <c r="BD436" s="28" t="str">
        <f aca="false">IF(AND(R436&lt;&gt;"",AM436&gt;1.1*R436),"Consented above capacity",IF(AND(LEFT(B436,8)="Planning",AZ436=0),"Consent parcel with no permission",IF(COUNTIF($A$2:$A$3000,$A436)&gt;1,"Duplicate parcel_id","")))</f>
        <v/>
      </c>
    </row>
    <row r="437" customFormat="false" ht="15" hidden="false" customHeight="false" outlineLevel="0" collapsed="false">
      <c r="A437" s="15" t="s">
        <v>953</v>
      </c>
      <c r="B437" s="15" t="s">
        <v>13</v>
      </c>
      <c r="C437" s="15" t="s">
        <v>17</v>
      </c>
      <c r="D437" s="15" t="s">
        <v>74</v>
      </c>
      <c r="E437" s="15" t="s">
        <v>21</v>
      </c>
      <c r="F437" s="15" t="n">
        <v>0</v>
      </c>
      <c r="G437" s="15" t="s">
        <v>943</v>
      </c>
      <c r="H437" s="15"/>
      <c r="I437" s="15" t="s">
        <v>17</v>
      </c>
      <c r="J437" s="15" t="s">
        <v>159</v>
      </c>
      <c r="K437" s="15" t="s">
        <v>947</v>
      </c>
      <c r="L437" s="15"/>
      <c r="M437" s="15" t="s">
        <v>948</v>
      </c>
      <c r="N437" s="15"/>
      <c r="O437" s="15"/>
      <c r="P437" s="15" t="n">
        <v>0.383</v>
      </c>
      <c r="Q437" s="15" t="n">
        <v>0.421</v>
      </c>
      <c r="R437" s="15" t="n">
        <v>10</v>
      </c>
      <c r="S437" s="15" t="s">
        <v>833</v>
      </c>
      <c r="T437" s="15" t="n">
        <v>10</v>
      </c>
      <c r="U437" s="15" t="s">
        <v>940</v>
      </c>
      <c r="V437" s="15" t="s">
        <v>849</v>
      </c>
      <c r="W437" s="15" t="s">
        <v>949</v>
      </c>
      <c r="X437" s="15" t="s">
        <v>353</v>
      </c>
      <c r="Y437" s="15" t="n">
        <v>25</v>
      </c>
      <c r="Z437" s="15" t="s">
        <v>845</v>
      </c>
      <c r="AA437" s="15" t="n">
        <v>0</v>
      </c>
      <c r="AB437" s="15" t="n">
        <v>0</v>
      </c>
      <c r="AC437" s="15" t="n">
        <v>0</v>
      </c>
      <c r="AD437" s="15"/>
      <c r="AE437" s="15" t="s">
        <v>950</v>
      </c>
      <c r="AF437" s="15" t="s">
        <v>169</v>
      </c>
      <c r="AG437" s="15"/>
      <c r="AH437" s="24" t="n">
        <f aca="false">IF(R437="",AM437,R437)</f>
        <v>10</v>
      </c>
      <c r="AI437" s="24" t="n">
        <f aca="false">SUMIFS(Permissions!$G$2:$G$3000,Permissions!$B$2:$B$3000,$A437,Permissions!$I$2:$I$3000,"Complete",Permissions!$R$2:$R$3000,"Yes")</f>
        <v>0</v>
      </c>
      <c r="AJ437" s="24" t="n">
        <f aca="false">SUMIFS(Permissions!$G$2:$G$3000,Permissions!$B$2:$B$3000,$A437,Permissions!$I$2:$I$3000,"Under construction",Permissions!$R$2:$R$3000,"Yes")</f>
        <v>0</v>
      </c>
      <c r="AK437" s="24" t="n">
        <f aca="false">SUMIFS(Permissions!$G$2:$G$3000,Permissions!$B$2:$B$3000,$A437,Permissions!$I$2:$I$3000,"Permitted – not started",Permissions!$R$2:$R$3000,"Yes")</f>
        <v>0</v>
      </c>
      <c r="AL437" s="24" t="n">
        <f aca="false">SUMIFS(Permissions!$G$2:$G$3000,Permissions!$B$2:$B$3000,$A437,Permissions!$I$2:$I$3000,"Stalled",Permissions!$R$2:$R$3000,"Yes")</f>
        <v>0</v>
      </c>
      <c r="AM437" s="24" t="n">
        <f aca="false">AI437+AJ437+AK437+AL437</f>
        <v>0</v>
      </c>
      <c r="AN437" s="24" t="n">
        <f aca="false">SUMIFS(Permissions!$G$2:$G$3000,Permissions!$B$2:$B$3000,$A437,Permissions!$I$2:$I$3000,"Expired – not started",Permissions!$R$2:$R$3000,"Yes")</f>
        <v>0</v>
      </c>
      <c r="AO437" s="24" t="n">
        <f aca="false">SUMIFS(Permissions!$G$2:$G$3000,Permissions!$B$2:$B$3000,$A437,Permissions!$I$2:$I$3000,"In planning",Permissions!$R$2:$R$3000,"Yes")</f>
        <v>0</v>
      </c>
      <c r="AP437" s="24" t="n">
        <f aca="false">IF(R437="",0,MAX(R437-AM437,0))</f>
        <v>10</v>
      </c>
      <c r="AQ437" s="25" t="n">
        <f aca="false">AM437+AP437</f>
        <v>10</v>
      </c>
      <c r="AR437" s="24" t="n">
        <f aca="false">SUMIFS(Permissions!$L$2:$L$3000,Permissions!$B$2:$B$3000,$A437,Permissions!$R$2:$R$3000,"Yes",Permissions!$I$2:$I$3000,"&lt;&gt;Expired – not started",Permissions!$I$2:$I$3000,"&lt;&gt;In planning")</f>
        <v>0</v>
      </c>
      <c r="AS437" s="24" t="n">
        <f aca="false">AQ437-AR437</f>
        <v>10</v>
      </c>
      <c r="AT437" s="26" t="n">
        <f aca="false">SUMIFS(Permissions!$AJ$2:$AJ$3000,Permissions!$B$2:$B$3000,$A437,Permissions!$R$2:$R$3000,"Yes")</f>
        <v>0</v>
      </c>
      <c r="AU437" s="26" t="n">
        <f aca="false">SUMIFS(Permissions!$AK$2:$AK$3000,Permissions!$B$2:$B$3000,$A437,Permissions!$R$2:$R$3000,"Yes")</f>
        <v>0</v>
      </c>
      <c r="AV437" s="26" t="n">
        <f aca="false">SUMIFS(Permissions!$AL$2:$AL$3000,Permissions!$B$2:$B$3000,$A437,Permissions!$R$2:$R$3000,"Yes")</f>
        <v>0</v>
      </c>
      <c r="AW437" s="26" t="n">
        <f aca="false">SUMIFS(Permissions!$AM$2:$AM$3000,Permissions!$B$2:$B$3000,$A437,Permissions!$R$2:$R$3000,"Yes")</f>
        <v>0</v>
      </c>
      <c r="AX437" s="26" t="n">
        <f aca="false">SUMIFS(Permissions!$AN$2:$AN$3000,Permissions!$B$2:$B$3000,$A437,Permissions!$R$2:$R$3000,"Yes")</f>
        <v>0</v>
      </c>
      <c r="AY437" s="26" t="n">
        <f aca="false">SUMIFS(Permissions!$AO$2:$AO$3000,Permissions!$B$2:$B$3000,$A437,Permissions!$R$2:$R$3000,"Yes")</f>
        <v>0</v>
      </c>
      <c r="AZ437" s="24" t="n">
        <f aca="false">COUNTIFS(Permissions!$B$2:$B$3000,$A437,Permissions!$R$2:$R$3000,"Yes")</f>
        <v>0</v>
      </c>
      <c r="BA437" s="24" t="n">
        <f aca="false">SUMIFS(Permissions!$M$2:$M$3000,Permissions!$B$2:$B$3000,$A437,Permissions!$R$2:$R$3000,"Yes")</f>
        <v>0</v>
      </c>
      <c r="BB437" s="24" t="n">
        <f aca="false">SUMIFS(Permissions!$O$2:$O$3000,Permissions!$B$2:$B$3000,$A437,Permissions!$R$2:$R$3000,"Yes")</f>
        <v>0</v>
      </c>
      <c r="BC437" s="27" t="str">
        <f aca="false">IF(AND(AM437&gt;0,AR437&gt;=AM437,AP437=0),"Finished",IF(AR437&gt;0,"Partly built",IF(AM437&gt;0,"Consented – not built","No consent")))</f>
        <v>No consent</v>
      </c>
      <c r="BD437" s="28" t="str">
        <f aca="false">IF(AND(R437&lt;&gt;"",AM437&gt;1.1*R437),"Consented above capacity",IF(AND(LEFT(B437,8)="Planning",AZ437=0),"Consent parcel with no permission",IF(COUNTIF($A$2:$A$3000,$A437)&gt;1,"Duplicate parcel_id","")))</f>
        <v/>
      </c>
    </row>
    <row r="438" customFormat="false" ht="15" hidden="false" customHeight="false" outlineLevel="0" collapsed="false">
      <c r="A438" s="15" t="s">
        <v>954</v>
      </c>
      <c r="B438" s="15" t="s">
        <v>13</v>
      </c>
      <c r="C438" s="15" t="s">
        <v>17</v>
      </c>
      <c r="D438" s="15" t="s">
        <v>74</v>
      </c>
      <c r="E438" s="15" t="s">
        <v>21</v>
      </c>
      <c r="F438" s="15" t="n">
        <v>1</v>
      </c>
      <c r="G438" s="15" t="s">
        <v>158</v>
      </c>
      <c r="H438" s="15"/>
      <c r="I438" s="15" t="s">
        <v>17</v>
      </c>
      <c r="J438" s="15" t="s">
        <v>159</v>
      </c>
      <c r="K438" s="15" t="s">
        <v>938</v>
      </c>
      <c r="L438" s="15"/>
      <c r="M438" s="15" t="s">
        <v>939</v>
      </c>
      <c r="N438" s="15"/>
      <c r="O438" s="15"/>
      <c r="P438" s="15" t="n">
        <v>0.764</v>
      </c>
      <c r="Q438" s="15" t="n">
        <v>0.84</v>
      </c>
      <c r="R438" s="15" t="n">
        <v>19</v>
      </c>
      <c r="S438" s="15" t="s">
        <v>833</v>
      </c>
      <c r="T438" s="15" t="n">
        <v>19</v>
      </c>
      <c r="U438" s="15" t="s">
        <v>940</v>
      </c>
      <c r="V438" s="15" t="s">
        <v>849</v>
      </c>
      <c r="W438" s="15"/>
      <c r="X438" s="15" t="s">
        <v>353</v>
      </c>
      <c r="Y438" s="15" t="n">
        <v>25</v>
      </c>
      <c r="Z438" s="15" t="s">
        <v>845</v>
      </c>
      <c r="AA438" s="15" t="n">
        <v>1</v>
      </c>
      <c r="AB438" s="15" t="n">
        <v>0</v>
      </c>
      <c r="AC438" s="15" t="n">
        <v>0</v>
      </c>
      <c r="AD438" s="15"/>
      <c r="AE438" s="15"/>
      <c r="AF438" s="15" t="s">
        <v>169</v>
      </c>
      <c r="AG438" s="15"/>
      <c r="AH438" s="24" t="n">
        <f aca="false">IF(R438="",AM438,R438)</f>
        <v>19</v>
      </c>
      <c r="AI438" s="24" t="n">
        <f aca="false">SUMIFS(Permissions!$G$2:$G$3000,Permissions!$B$2:$B$3000,$A438,Permissions!$I$2:$I$3000,"Complete",Permissions!$R$2:$R$3000,"Yes")</f>
        <v>0</v>
      </c>
      <c r="AJ438" s="24" t="n">
        <f aca="false">SUMIFS(Permissions!$G$2:$G$3000,Permissions!$B$2:$B$3000,$A438,Permissions!$I$2:$I$3000,"Under construction",Permissions!$R$2:$R$3000,"Yes")</f>
        <v>0</v>
      </c>
      <c r="AK438" s="24" t="n">
        <f aca="false">SUMIFS(Permissions!$G$2:$G$3000,Permissions!$B$2:$B$3000,$A438,Permissions!$I$2:$I$3000,"Permitted – not started",Permissions!$R$2:$R$3000,"Yes")</f>
        <v>0</v>
      </c>
      <c r="AL438" s="24" t="n">
        <f aca="false">SUMIFS(Permissions!$G$2:$G$3000,Permissions!$B$2:$B$3000,$A438,Permissions!$I$2:$I$3000,"Stalled",Permissions!$R$2:$R$3000,"Yes")</f>
        <v>0</v>
      </c>
      <c r="AM438" s="24" t="n">
        <f aca="false">AI438+AJ438+AK438+AL438</f>
        <v>0</v>
      </c>
      <c r="AN438" s="24" t="n">
        <f aca="false">SUMIFS(Permissions!$G$2:$G$3000,Permissions!$B$2:$B$3000,$A438,Permissions!$I$2:$I$3000,"Expired – not started",Permissions!$R$2:$R$3000,"Yes")</f>
        <v>0</v>
      </c>
      <c r="AO438" s="24" t="n">
        <f aca="false">SUMIFS(Permissions!$G$2:$G$3000,Permissions!$B$2:$B$3000,$A438,Permissions!$I$2:$I$3000,"In planning",Permissions!$R$2:$R$3000,"Yes")</f>
        <v>0</v>
      </c>
      <c r="AP438" s="24" t="n">
        <f aca="false">IF(R438="",0,MAX(R438-AM438,0))</f>
        <v>19</v>
      </c>
      <c r="AQ438" s="25" t="n">
        <f aca="false">AM438+AP438</f>
        <v>19</v>
      </c>
      <c r="AR438" s="24" t="n">
        <f aca="false">SUMIFS(Permissions!$L$2:$L$3000,Permissions!$B$2:$B$3000,$A438,Permissions!$R$2:$R$3000,"Yes",Permissions!$I$2:$I$3000,"&lt;&gt;Expired – not started",Permissions!$I$2:$I$3000,"&lt;&gt;In planning")</f>
        <v>0</v>
      </c>
      <c r="AS438" s="24" t="n">
        <f aca="false">AQ438-AR438</f>
        <v>19</v>
      </c>
      <c r="AT438" s="26" t="n">
        <f aca="false">SUMIFS(Permissions!$AJ$2:$AJ$3000,Permissions!$B$2:$B$3000,$A438,Permissions!$R$2:$R$3000,"Yes")</f>
        <v>0</v>
      </c>
      <c r="AU438" s="26" t="n">
        <f aca="false">SUMIFS(Permissions!$AK$2:$AK$3000,Permissions!$B$2:$B$3000,$A438,Permissions!$R$2:$R$3000,"Yes")</f>
        <v>0</v>
      </c>
      <c r="AV438" s="26" t="n">
        <f aca="false">SUMIFS(Permissions!$AL$2:$AL$3000,Permissions!$B$2:$B$3000,$A438,Permissions!$R$2:$R$3000,"Yes")</f>
        <v>0</v>
      </c>
      <c r="AW438" s="26" t="n">
        <f aca="false">SUMIFS(Permissions!$AM$2:$AM$3000,Permissions!$B$2:$B$3000,$A438,Permissions!$R$2:$R$3000,"Yes")</f>
        <v>0</v>
      </c>
      <c r="AX438" s="26" t="n">
        <f aca="false">SUMIFS(Permissions!$AN$2:$AN$3000,Permissions!$B$2:$B$3000,$A438,Permissions!$R$2:$R$3000,"Yes")</f>
        <v>0</v>
      </c>
      <c r="AY438" s="26" t="n">
        <f aca="false">SUMIFS(Permissions!$AO$2:$AO$3000,Permissions!$B$2:$B$3000,$A438,Permissions!$R$2:$R$3000,"Yes")</f>
        <v>0</v>
      </c>
      <c r="AZ438" s="24" t="n">
        <f aca="false">COUNTIFS(Permissions!$B$2:$B$3000,$A438,Permissions!$R$2:$R$3000,"Yes")</f>
        <v>0</v>
      </c>
      <c r="BA438" s="24" t="n">
        <f aca="false">SUMIFS(Permissions!$M$2:$M$3000,Permissions!$B$2:$B$3000,$A438,Permissions!$R$2:$R$3000,"Yes")</f>
        <v>0</v>
      </c>
      <c r="BB438" s="24" t="n">
        <f aca="false">SUMIFS(Permissions!$O$2:$O$3000,Permissions!$B$2:$B$3000,$A438,Permissions!$R$2:$R$3000,"Yes")</f>
        <v>0</v>
      </c>
      <c r="BC438" s="27" t="str">
        <f aca="false">IF(AND(AM438&gt;0,AR438&gt;=AM438,AP438=0),"Finished",IF(AR438&gt;0,"Partly built",IF(AM438&gt;0,"Consented – not built","No consent")))</f>
        <v>No consent</v>
      </c>
      <c r="BD438" s="28" t="str">
        <f aca="false">IF(AND(R438&lt;&gt;"",AM438&gt;1.1*R438),"Consented above capacity",IF(AND(LEFT(B438,8)="Planning",AZ438=0),"Consent parcel with no permission",IF(COUNTIF($A$2:$A$3000,$A438)&gt;1,"Duplicate parcel_id","")))</f>
        <v/>
      </c>
    </row>
    <row r="439" customFormat="false" ht="15" hidden="false" customHeight="false" outlineLevel="0" collapsed="false">
      <c r="A439" s="15" t="s">
        <v>955</v>
      </c>
      <c r="B439" s="15" t="s">
        <v>13</v>
      </c>
      <c r="C439" s="15" t="s">
        <v>17</v>
      </c>
      <c r="D439" s="15" t="s">
        <v>65</v>
      </c>
      <c r="E439" s="15" t="s">
        <v>20</v>
      </c>
      <c r="F439" s="15" t="n">
        <v>1</v>
      </c>
      <c r="G439" s="15" t="s">
        <v>158</v>
      </c>
      <c r="H439" s="15"/>
      <c r="I439" s="15" t="s">
        <v>17</v>
      </c>
      <c r="J439" s="15" t="s">
        <v>347</v>
      </c>
      <c r="K439" s="15" t="s">
        <v>956</v>
      </c>
      <c r="L439" s="15"/>
      <c r="M439" s="15" t="s">
        <v>349</v>
      </c>
      <c r="N439" s="15"/>
      <c r="O439" s="15"/>
      <c r="P439" s="15" t="n">
        <v>1.319</v>
      </c>
      <c r="Q439" s="15" t="n">
        <v>1.449</v>
      </c>
      <c r="R439" s="15" t="n">
        <v>33</v>
      </c>
      <c r="S439" s="15" t="s">
        <v>833</v>
      </c>
      <c r="T439" s="15" t="n">
        <v>33</v>
      </c>
      <c r="U439" s="15" t="s">
        <v>957</v>
      </c>
      <c r="V439" s="15" t="s">
        <v>835</v>
      </c>
      <c r="W439" s="15"/>
      <c r="X439" s="15" t="s">
        <v>353</v>
      </c>
      <c r="Y439" s="15" t="n">
        <v>25</v>
      </c>
      <c r="Z439" s="15" t="s">
        <v>845</v>
      </c>
      <c r="AA439" s="15" t="n">
        <v>1</v>
      </c>
      <c r="AB439" s="15" t="n">
        <v>0</v>
      </c>
      <c r="AC439" s="15" t="n">
        <v>0</v>
      </c>
      <c r="AD439" s="15"/>
      <c r="AE439" s="15"/>
      <c r="AF439" s="15" t="s">
        <v>169</v>
      </c>
      <c r="AG439" s="15"/>
      <c r="AH439" s="24" t="n">
        <f aca="false">IF(R439="",AM439,R439)</f>
        <v>33</v>
      </c>
      <c r="AI439" s="24" t="n">
        <f aca="false">SUMIFS(Permissions!$G$2:$G$3000,Permissions!$B$2:$B$3000,$A439,Permissions!$I$2:$I$3000,"Complete",Permissions!$R$2:$R$3000,"Yes")</f>
        <v>0</v>
      </c>
      <c r="AJ439" s="24" t="n">
        <f aca="false">SUMIFS(Permissions!$G$2:$G$3000,Permissions!$B$2:$B$3000,$A439,Permissions!$I$2:$I$3000,"Under construction",Permissions!$R$2:$R$3000,"Yes")</f>
        <v>0</v>
      </c>
      <c r="AK439" s="24" t="n">
        <f aca="false">SUMIFS(Permissions!$G$2:$G$3000,Permissions!$B$2:$B$3000,$A439,Permissions!$I$2:$I$3000,"Permitted – not started",Permissions!$R$2:$R$3000,"Yes")</f>
        <v>0</v>
      </c>
      <c r="AL439" s="24" t="n">
        <f aca="false">SUMIFS(Permissions!$G$2:$G$3000,Permissions!$B$2:$B$3000,$A439,Permissions!$I$2:$I$3000,"Stalled",Permissions!$R$2:$R$3000,"Yes")</f>
        <v>0</v>
      </c>
      <c r="AM439" s="24" t="n">
        <f aca="false">AI439+AJ439+AK439+AL439</f>
        <v>0</v>
      </c>
      <c r="AN439" s="24" t="n">
        <f aca="false">SUMIFS(Permissions!$G$2:$G$3000,Permissions!$B$2:$B$3000,$A439,Permissions!$I$2:$I$3000,"Expired – not started",Permissions!$R$2:$R$3000,"Yes")</f>
        <v>0</v>
      </c>
      <c r="AO439" s="24" t="n">
        <f aca="false">SUMIFS(Permissions!$G$2:$G$3000,Permissions!$B$2:$B$3000,$A439,Permissions!$I$2:$I$3000,"In planning",Permissions!$R$2:$R$3000,"Yes")</f>
        <v>0</v>
      </c>
      <c r="AP439" s="24" t="n">
        <f aca="false">IF(R439="",0,MAX(R439-AM439,0))</f>
        <v>33</v>
      </c>
      <c r="AQ439" s="25" t="n">
        <f aca="false">AM439+AP439</f>
        <v>33</v>
      </c>
      <c r="AR439" s="24" t="n">
        <f aca="false">SUMIFS(Permissions!$L$2:$L$3000,Permissions!$B$2:$B$3000,$A439,Permissions!$R$2:$R$3000,"Yes",Permissions!$I$2:$I$3000,"&lt;&gt;Expired – not started",Permissions!$I$2:$I$3000,"&lt;&gt;In planning")</f>
        <v>0</v>
      </c>
      <c r="AS439" s="24" t="n">
        <f aca="false">AQ439-AR439</f>
        <v>33</v>
      </c>
      <c r="AT439" s="26" t="n">
        <f aca="false">SUMIFS(Permissions!$AJ$2:$AJ$3000,Permissions!$B$2:$B$3000,$A439,Permissions!$R$2:$R$3000,"Yes")</f>
        <v>0</v>
      </c>
      <c r="AU439" s="26" t="n">
        <f aca="false">SUMIFS(Permissions!$AK$2:$AK$3000,Permissions!$B$2:$B$3000,$A439,Permissions!$R$2:$R$3000,"Yes")</f>
        <v>0</v>
      </c>
      <c r="AV439" s="26" t="n">
        <f aca="false">SUMIFS(Permissions!$AL$2:$AL$3000,Permissions!$B$2:$B$3000,$A439,Permissions!$R$2:$R$3000,"Yes")</f>
        <v>0</v>
      </c>
      <c r="AW439" s="26" t="n">
        <f aca="false">SUMIFS(Permissions!$AM$2:$AM$3000,Permissions!$B$2:$B$3000,$A439,Permissions!$R$2:$R$3000,"Yes")</f>
        <v>0</v>
      </c>
      <c r="AX439" s="26" t="n">
        <f aca="false">SUMIFS(Permissions!$AN$2:$AN$3000,Permissions!$B$2:$B$3000,$A439,Permissions!$R$2:$R$3000,"Yes")</f>
        <v>0</v>
      </c>
      <c r="AY439" s="26" t="n">
        <f aca="false">SUMIFS(Permissions!$AO$2:$AO$3000,Permissions!$B$2:$B$3000,$A439,Permissions!$R$2:$R$3000,"Yes")</f>
        <v>0</v>
      </c>
      <c r="AZ439" s="24" t="n">
        <f aca="false">COUNTIFS(Permissions!$B$2:$B$3000,$A439,Permissions!$R$2:$R$3000,"Yes")</f>
        <v>0</v>
      </c>
      <c r="BA439" s="24" t="n">
        <f aca="false">SUMIFS(Permissions!$M$2:$M$3000,Permissions!$B$2:$B$3000,$A439,Permissions!$R$2:$R$3000,"Yes")</f>
        <v>0</v>
      </c>
      <c r="BB439" s="24" t="n">
        <f aca="false">SUMIFS(Permissions!$O$2:$O$3000,Permissions!$B$2:$B$3000,$A439,Permissions!$R$2:$R$3000,"Yes")</f>
        <v>0</v>
      </c>
      <c r="BC439" s="27" t="str">
        <f aca="false">IF(AND(AM439&gt;0,AR439&gt;=AM439,AP439=0),"Finished",IF(AR439&gt;0,"Partly built",IF(AM439&gt;0,"Consented – not built","No consent")))</f>
        <v>No consent</v>
      </c>
      <c r="BD439" s="28" t="str">
        <f aca="false">IF(AND(R439&lt;&gt;"",AM439&gt;1.1*R439),"Consented above capacity",IF(AND(LEFT(B439,8)="Planning",AZ439=0),"Consent parcel with no permission",IF(COUNTIF($A$2:$A$3000,$A439)&gt;1,"Duplicate parcel_id","")))</f>
        <v/>
      </c>
    </row>
    <row r="440" customFormat="false" ht="15" hidden="false" customHeight="false" outlineLevel="0" collapsed="false">
      <c r="A440" s="15" t="s">
        <v>958</v>
      </c>
      <c r="B440" s="15" t="s">
        <v>13</v>
      </c>
      <c r="C440" s="15" t="s">
        <v>17</v>
      </c>
      <c r="D440" s="15" t="s">
        <v>65</v>
      </c>
      <c r="E440" s="15" t="s">
        <v>20</v>
      </c>
      <c r="F440" s="15" t="n">
        <v>1</v>
      </c>
      <c r="G440" s="15" t="s">
        <v>158</v>
      </c>
      <c r="H440" s="15"/>
      <c r="I440" s="15" t="s">
        <v>17</v>
      </c>
      <c r="J440" s="15" t="s">
        <v>347</v>
      </c>
      <c r="K440" s="15" t="s">
        <v>956</v>
      </c>
      <c r="L440" s="15"/>
      <c r="M440" s="15" t="s">
        <v>349</v>
      </c>
      <c r="N440" s="15"/>
      <c r="O440" s="15"/>
      <c r="P440" s="15" t="n">
        <v>0.397</v>
      </c>
      <c r="Q440" s="15" t="n">
        <v>0.436</v>
      </c>
      <c r="R440" s="15" t="n">
        <v>10</v>
      </c>
      <c r="S440" s="15" t="s">
        <v>833</v>
      </c>
      <c r="T440" s="15" t="n">
        <v>10</v>
      </c>
      <c r="U440" s="15" t="s">
        <v>957</v>
      </c>
      <c r="V440" s="15" t="s">
        <v>835</v>
      </c>
      <c r="W440" s="15"/>
      <c r="X440" s="15" t="s">
        <v>353</v>
      </c>
      <c r="Y440" s="15" t="n">
        <v>25</v>
      </c>
      <c r="Z440" s="15" t="s">
        <v>845</v>
      </c>
      <c r="AA440" s="15" t="n">
        <v>0</v>
      </c>
      <c r="AB440" s="15" t="n">
        <v>0</v>
      </c>
      <c r="AC440" s="15" t="n">
        <v>0</v>
      </c>
      <c r="AD440" s="15"/>
      <c r="AE440" s="15"/>
      <c r="AF440" s="15" t="s">
        <v>169</v>
      </c>
      <c r="AG440" s="15"/>
      <c r="AH440" s="24" t="n">
        <f aca="false">IF(R440="",AM440,R440)</f>
        <v>10</v>
      </c>
      <c r="AI440" s="24" t="n">
        <f aca="false">SUMIFS(Permissions!$G$2:$G$3000,Permissions!$B$2:$B$3000,$A440,Permissions!$I$2:$I$3000,"Complete",Permissions!$R$2:$R$3000,"Yes")</f>
        <v>0</v>
      </c>
      <c r="AJ440" s="24" t="n">
        <f aca="false">SUMIFS(Permissions!$G$2:$G$3000,Permissions!$B$2:$B$3000,$A440,Permissions!$I$2:$I$3000,"Under construction",Permissions!$R$2:$R$3000,"Yes")</f>
        <v>0</v>
      </c>
      <c r="AK440" s="24" t="n">
        <f aca="false">SUMIFS(Permissions!$G$2:$G$3000,Permissions!$B$2:$B$3000,$A440,Permissions!$I$2:$I$3000,"Permitted – not started",Permissions!$R$2:$R$3000,"Yes")</f>
        <v>0</v>
      </c>
      <c r="AL440" s="24" t="n">
        <f aca="false">SUMIFS(Permissions!$G$2:$G$3000,Permissions!$B$2:$B$3000,$A440,Permissions!$I$2:$I$3000,"Stalled",Permissions!$R$2:$R$3000,"Yes")</f>
        <v>0</v>
      </c>
      <c r="AM440" s="24" t="n">
        <f aca="false">AI440+AJ440+AK440+AL440</f>
        <v>0</v>
      </c>
      <c r="AN440" s="24" t="n">
        <f aca="false">SUMIFS(Permissions!$G$2:$G$3000,Permissions!$B$2:$B$3000,$A440,Permissions!$I$2:$I$3000,"Expired – not started",Permissions!$R$2:$R$3000,"Yes")</f>
        <v>0</v>
      </c>
      <c r="AO440" s="24" t="n">
        <f aca="false">SUMIFS(Permissions!$G$2:$G$3000,Permissions!$B$2:$B$3000,$A440,Permissions!$I$2:$I$3000,"In planning",Permissions!$R$2:$R$3000,"Yes")</f>
        <v>0</v>
      </c>
      <c r="AP440" s="24" t="n">
        <f aca="false">IF(R440="",0,MAX(R440-AM440,0))</f>
        <v>10</v>
      </c>
      <c r="AQ440" s="25" t="n">
        <f aca="false">AM440+AP440</f>
        <v>10</v>
      </c>
      <c r="AR440" s="24" t="n">
        <f aca="false">SUMIFS(Permissions!$L$2:$L$3000,Permissions!$B$2:$B$3000,$A440,Permissions!$R$2:$R$3000,"Yes",Permissions!$I$2:$I$3000,"&lt;&gt;Expired – not started",Permissions!$I$2:$I$3000,"&lt;&gt;In planning")</f>
        <v>0</v>
      </c>
      <c r="AS440" s="24" t="n">
        <f aca="false">AQ440-AR440</f>
        <v>10</v>
      </c>
      <c r="AT440" s="26" t="n">
        <f aca="false">SUMIFS(Permissions!$AJ$2:$AJ$3000,Permissions!$B$2:$B$3000,$A440,Permissions!$R$2:$R$3000,"Yes")</f>
        <v>0</v>
      </c>
      <c r="AU440" s="26" t="n">
        <f aca="false">SUMIFS(Permissions!$AK$2:$AK$3000,Permissions!$B$2:$B$3000,$A440,Permissions!$R$2:$R$3000,"Yes")</f>
        <v>0</v>
      </c>
      <c r="AV440" s="26" t="n">
        <f aca="false">SUMIFS(Permissions!$AL$2:$AL$3000,Permissions!$B$2:$B$3000,$A440,Permissions!$R$2:$R$3000,"Yes")</f>
        <v>0</v>
      </c>
      <c r="AW440" s="26" t="n">
        <f aca="false">SUMIFS(Permissions!$AM$2:$AM$3000,Permissions!$B$2:$B$3000,$A440,Permissions!$R$2:$R$3000,"Yes")</f>
        <v>0</v>
      </c>
      <c r="AX440" s="26" t="n">
        <f aca="false">SUMIFS(Permissions!$AN$2:$AN$3000,Permissions!$B$2:$B$3000,$A440,Permissions!$R$2:$R$3000,"Yes")</f>
        <v>0</v>
      </c>
      <c r="AY440" s="26" t="n">
        <f aca="false">SUMIFS(Permissions!$AO$2:$AO$3000,Permissions!$B$2:$B$3000,$A440,Permissions!$R$2:$R$3000,"Yes")</f>
        <v>0</v>
      </c>
      <c r="AZ440" s="24" t="n">
        <f aca="false">COUNTIFS(Permissions!$B$2:$B$3000,$A440,Permissions!$R$2:$R$3000,"Yes")</f>
        <v>0</v>
      </c>
      <c r="BA440" s="24" t="n">
        <f aca="false">SUMIFS(Permissions!$M$2:$M$3000,Permissions!$B$2:$B$3000,$A440,Permissions!$R$2:$R$3000,"Yes")</f>
        <v>0</v>
      </c>
      <c r="BB440" s="24" t="n">
        <f aca="false">SUMIFS(Permissions!$O$2:$O$3000,Permissions!$B$2:$B$3000,$A440,Permissions!$R$2:$R$3000,"Yes")</f>
        <v>0</v>
      </c>
      <c r="BC440" s="27" t="str">
        <f aca="false">IF(AND(AM440&gt;0,AR440&gt;=AM440,AP440=0),"Finished",IF(AR440&gt;0,"Partly built",IF(AM440&gt;0,"Consented – not built","No consent")))</f>
        <v>No consent</v>
      </c>
      <c r="BD440" s="28" t="str">
        <f aca="false">IF(AND(R440&lt;&gt;"",AM440&gt;1.1*R440),"Consented above capacity",IF(AND(LEFT(B440,8)="Planning",AZ440=0),"Consent parcel with no permission",IF(COUNTIF($A$2:$A$3000,$A440)&gt;1,"Duplicate parcel_id","")))</f>
        <v/>
      </c>
    </row>
    <row r="441" customFormat="false" ht="15" hidden="false" customHeight="false" outlineLevel="0" collapsed="false">
      <c r="A441" s="15" t="s">
        <v>959</v>
      </c>
      <c r="B441" s="15" t="s">
        <v>13</v>
      </c>
      <c r="C441" s="15" t="s">
        <v>17</v>
      </c>
      <c r="D441" s="15" t="s">
        <v>65</v>
      </c>
      <c r="E441" s="15" t="s">
        <v>20</v>
      </c>
      <c r="F441" s="15" t="n">
        <v>1</v>
      </c>
      <c r="G441" s="15" t="s">
        <v>158</v>
      </c>
      <c r="H441" s="15"/>
      <c r="I441" s="15" t="s">
        <v>17</v>
      </c>
      <c r="J441" s="15" t="s">
        <v>347</v>
      </c>
      <c r="K441" s="15" t="s">
        <v>956</v>
      </c>
      <c r="L441" s="15"/>
      <c r="M441" s="15" t="s">
        <v>349</v>
      </c>
      <c r="N441" s="15"/>
      <c r="O441" s="15"/>
      <c r="P441" s="15" t="n">
        <v>0.335</v>
      </c>
      <c r="Q441" s="15" t="n">
        <v>0.369</v>
      </c>
      <c r="R441" s="15" t="n">
        <v>8</v>
      </c>
      <c r="S441" s="15" t="s">
        <v>833</v>
      </c>
      <c r="T441" s="15" t="n">
        <v>8</v>
      </c>
      <c r="U441" s="15" t="s">
        <v>957</v>
      </c>
      <c r="V441" s="15" t="s">
        <v>835</v>
      </c>
      <c r="W441" s="15"/>
      <c r="X441" s="15" t="s">
        <v>353</v>
      </c>
      <c r="Y441" s="15" t="n">
        <v>25</v>
      </c>
      <c r="Z441" s="15" t="s">
        <v>845</v>
      </c>
      <c r="AA441" s="15" t="n">
        <v>1</v>
      </c>
      <c r="AB441" s="15" t="n">
        <v>0</v>
      </c>
      <c r="AC441" s="15" t="n">
        <v>0</v>
      </c>
      <c r="AD441" s="15"/>
      <c r="AE441" s="15"/>
      <c r="AF441" s="15" t="s">
        <v>169</v>
      </c>
      <c r="AG441" s="15"/>
      <c r="AH441" s="24" t="n">
        <f aca="false">IF(R441="",AM441,R441)</f>
        <v>8</v>
      </c>
      <c r="AI441" s="24" t="n">
        <f aca="false">SUMIFS(Permissions!$G$2:$G$3000,Permissions!$B$2:$B$3000,$A441,Permissions!$I$2:$I$3000,"Complete",Permissions!$R$2:$R$3000,"Yes")</f>
        <v>0</v>
      </c>
      <c r="AJ441" s="24" t="n">
        <f aca="false">SUMIFS(Permissions!$G$2:$G$3000,Permissions!$B$2:$B$3000,$A441,Permissions!$I$2:$I$3000,"Under construction",Permissions!$R$2:$R$3000,"Yes")</f>
        <v>0</v>
      </c>
      <c r="AK441" s="24" t="n">
        <f aca="false">SUMIFS(Permissions!$G$2:$G$3000,Permissions!$B$2:$B$3000,$A441,Permissions!$I$2:$I$3000,"Permitted – not started",Permissions!$R$2:$R$3000,"Yes")</f>
        <v>0</v>
      </c>
      <c r="AL441" s="24" t="n">
        <f aca="false">SUMIFS(Permissions!$G$2:$G$3000,Permissions!$B$2:$B$3000,$A441,Permissions!$I$2:$I$3000,"Stalled",Permissions!$R$2:$R$3000,"Yes")</f>
        <v>0</v>
      </c>
      <c r="AM441" s="24" t="n">
        <f aca="false">AI441+AJ441+AK441+AL441</f>
        <v>0</v>
      </c>
      <c r="AN441" s="24" t="n">
        <f aca="false">SUMIFS(Permissions!$G$2:$G$3000,Permissions!$B$2:$B$3000,$A441,Permissions!$I$2:$I$3000,"Expired – not started",Permissions!$R$2:$R$3000,"Yes")</f>
        <v>0</v>
      </c>
      <c r="AO441" s="24" t="n">
        <f aca="false">SUMIFS(Permissions!$G$2:$G$3000,Permissions!$B$2:$B$3000,$A441,Permissions!$I$2:$I$3000,"In planning",Permissions!$R$2:$R$3000,"Yes")</f>
        <v>0</v>
      </c>
      <c r="AP441" s="24" t="n">
        <f aca="false">IF(R441="",0,MAX(R441-AM441,0))</f>
        <v>8</v>
      </c>
      <c r="AQ441" s="25" t="n">
        <f aca="false">AM441+AP441</f>
        <v>8</v>
      </c>
      <c r="AR441" s="24" t="n">
        <f aca="false">SUMIFS(Permissions!$L$2:$L$3000,Permissions!$B$2:$B$3000,$A441,Permissions!$R$2:$R$3000,"Yes",Permissions!$I$2:$I$3000,"&lt;&gt;Expired – not started",Permissions!$I$2:$I$3000,"&lt;&gt;In planning")</f>
        <v>0</v>
      </c>
      <c r="AS441" s="24" t="n">
        <f aca="false">AQ441-AR441</f>
        <v>8</v>
      </c>
      <c r="AT441" s="26" t="n">
        <f aca="false">SUMIFS(Permissions!$AJ$2:$AJ$3000,Permissions!$B$2:$B$3000,$A441,Permissions!$R$2:$R$3000,"Yes")</f>
        <v>0</v>
      </c>
      <c r="AU441" s="26" t="n">
        <f aca="false">SUMIFS(Permissions!$AK$2:$AK$3000,Permissions!$B$2:$B$3000,$A441,Permissions!$R$2:$R$3000,"Yes")</f>
        <v>0</v>
      </c>
      <c r="AV441" s="26" t="n">
        <f aca="false">SUMIFS(Permissions!$AL$2:$AL$3000,Permissions!$B$2:$B$3000,$A441,Permissions!$R$2:$R$3000,"Yes")</f>
        <v>0</v>
      </c>
      <c r="AW441" s="26" t="n">
        <f aca="false">SUMIFS(Permissions!$AM$2:$AM$3000,Permissions!$B$2:$B$3000,$A441,Permissions!$R$2:$R$3000,"Yes")</f>
        <v>0</v>
      </c>
      <c r="AX441" s="26" t="n">
        <f aca="false">SUMIFS(Permissions!$AN$2:$AN$3000,Permissions!$B$2:$B$3000,$A441,Permissions!$R$2:$R$3000,"Yes")</f>
        <v>0</v>
      </c>
      <c r="AY441" s="26" t="n">
        <f aca="false">SUMIFS(Permissions!$AO$2:$AO$3000,Permissions!$B$2:$B$3000,$A441,Permissions!$R$2:$R$3000,"Yes")</f>
        <v>0</v>
      </c>
      <c r="AZ441" s="24" t="n">
        <f aca="false">COUNTIFS(Permissions!$B$2:$B$3000,$A441,Permissions!$R$2:$R$3000,"Yes")</f>
        <v>0</v>
      </c>
      <c r="BA441" s="24" t="n">
        <f aca="false">SUMIFS(Permissions!$M$2:$M$3000,Permissions!$B$2:$B$3000,$A441,Permissions!$R$2:$R$3000,"Yes")</f>
        <v>0</v>
      </c>
      <c r="BB441" s="24" t="n">
        <f aca="false">SUMIFS(Permissions!$O$2:$O$3000,Permissions!$B$2:$B$3000,$A441,Permissions!$R$2:$R$3000,"Yes")</f>
        <v>0</v>
      </c>
      <c r="BC441" s="27" t="str">
        <f aca="false">IF(AND(AM441&gt;0,AR441&gt;=AM441,AP441=0),"Finished",IF(AR441&gt;0,"Partly built",IF(AM441&gt;0,"Consented – not built","No consent")))</f>
        <v>No consent</v>
      </c>
      <c r="BD441" s="28" t="str">
        <f aca="false">IF(AND(R441&lt;&gt;"",AM441&gt;1.1*R441),"Consented above capacity",IF(AND(LEFT(B441,8)="Planning",AZ441=0),"Consent parcel with no permission",IF(COUNTIF($A$2:$A$3000,$A441)&gt;1,"Duplicate parcel_id","")))</f>
        <v/>
      </c>
    </row>
    <row r="442" customFormat="false" ht="15" hidden="false" customHeight="false" outlineLevel="0" collapsed="false">
      <c r="A442" s="15" t="s">
        <v>960</v>
      </c>
      <c r="B442" s="15" t="s">
        <v>13</v>
      </c>
      <c r="C442" s="15" t="s">
        <v>17</v>
      </c>
      <c r="D442" s="15" t="s">
        <v>65</v>
      </c>
      <c r="E442" s="15" t="s">
        <v>20</v>
      </c>
      <c r="F442" s="15" t="n">
        <v>0.99</v>
      </c>
      <c r="G442" s="15" t="s">
        <v>158</v>
      </c>
      <c r="H442" s="15"/>
      <c r="I442" s="15" t="s">
        <v>17</v>
      </c>
      <c r="J442" s="15" t="s">
        <v>347</v>
      </c>
      <c r="K442" s="15" t="s">
        <v>956</v>
      </c>
      <c r="L442" s="15"/>
      <c r="M442" s="15" t="s">
        <v>349</v>
      </c>
      <c r="N442" s="15"/>
      <c r="O442" s="15"/>
      <c r="P442" s="15" t="n">
        <v>1.269</v>
      </c>
      <c r="Q442" s="15" t="n">
        <v>1.395</v>
      </c>
      <c r="R442" s="15" t="n">
        <v>32</v>
      </c>
      <c r="S442" s="15" t="s">
        <v>833</v>
      </c>
      <c r="T442" s="15" t="n">
        <v>32</v>
      </c>
      <c r="U442" s="15" t="s">
        <v>957</v>
      </c>
      <c r="V442" s="15" t="s">
        <v>835</v>
      </c>
      <c r="W442" s="15"/>
      <c r="X442" s="15" t="s">
        <v>353</v>
      </c>
      <c r="Y442" s="15" t="n">
        <v>25</v>
      </c>
      <c r="Z442" s="15" t="s">
        <v>845</v>
      </c>
      <c r="AA442" s="15" t="n">
        <v>0</v>
      </c>
      <c r="AB442" s="15" t="n">
        <v>0</v>
      </c>
      <c r="AC442" s="15" t="n">
        <v>0</v>
      </c>
      <c r="AD442" s="15"/>
      <c r="AE442" s="15"/>
      <c r="AF442" s="15" t="s">
        <v>169</v>
      </c>
      <c r="AG442" s="15"/>
      <c r="AH442" s="24" t="n">
        <f aca="false">IF(R442="",AM442,R442)</f>
        <v>32</v>
      </c>
      <c r="AI442" s="24" t="n">
        <f aca="false">SUMIFS(Permissions!$G$2:$G$3000,Permissions!$B$2:$B$3000,$A442,Permissions!$I$2:$I$3000,"Complete",Permissions!$R$2:$R$3000,"Yes")</f>
        <v>0</v>
      </c>
      <c r="AJ442" s="24" t="n">
        <f aca="false">SUMIFS(Permissions!$G$2:$G$3000,Permissions!$B$2:$B$3000,$A442,Permissions!$I$2:$I$3000,"Under construction",Permissions!$R$2:$R$3000,"Yes")</f>
        <v>0</v>
      </c>
      <c r="AK442" s="24" t="n">
        <f aca="false">SUMIFS(Permissions!$G$2:$G$3000,Permissions!$B$2:$B$3000,$A442,Permissions!$I$2:$I$3000,"Permitted – not started",Permissions!$R$2:$R$3000,"Yes")</f>
        <v>0</v>
      </c>
      <c r="AL442" s="24" t="n">
        <f aca="false">SUMIFS(Permissions!$G$2:$G$3000,Permissions!$B$2:$B$3000,$A442,Permissions!$I$2:$I$3000,"Stalled",Permissions!$R$2:$R$3000,"Yes")</f>
        <v>0</v>
      </c>
      <c r="AM442" s="24" t="n">
        <f aca="false">AI442+AJ442+AK442+AL442</f>
        <v>0</v>
      </c>
      <c r="AN442" s="24" t="n">
        <f aca="false">SUMIFS(Permissions!$G$2:$G$3000,Permissions!$B$2:$B$3000,$A442,Permissions!$I$2:$I$3000,"Expired – not started",Permissions!$R$2:$R$3000,"Yes")</f>
        <v>0</v>
      </c>
      <c r="AO442" s="24" t="n">
        <f aca="false">SUMIFS(Permissions!$G$2:$G$3000,Permissions!$B$2:$B$3000,$A442,Permissions!$I$2:$I$3000,"In planning",Permissions!$R$2:$R$3000,"Yes")</f>
        <v>0</v>
      </c>
      <c r="AP442" s="24" t="n">
        <f aca="false">IF(R442="",0,MAX(R442-AM442,0))</f>
        <v>32</v>
      </c>
      <c r="AQ442" s="25" t="n">
        <f aca="false">AM442+AP442</f>
        <v>32</v>
      </c>
      <c r="AR442" s="24" t="n">
        <f aca="false">SUMIFS(Permissions!$L$2:$L$3000,Permissions!$B$2:$B$3000,$A442,Permissions!$R$2:$R$3000,"Yes",Permissions!$I$2:$I$3000,"&lt;&gt;Expired – not started",Permissions!$I$2:$I$3000,"&lt;&gt;In planning")</f>
        <v>0</v>
      </c>
      <c r="AS442" s="24" t="n">
        <f aca="false">AQ442-AR442</f>
        <v>32</v>
      </c>
      <c r="AT442" s="26" t="n">
        <f aca="false">SUMIFS(Permissions!$AJ$2:$AJ$3000,Permissions!$B$2:$B$3000,$A442,Permissions!$R$2:$R$3000,"Yes")</f>
        <v>0</v>
      </c>
      <c r="AU442" s="26" t="n">
        <f aca="false">SUMIFS(Permissions!$AK$2:$AK$3000,Permissions!$B$2:$B$3000,$A442,Permissions!$R$2:$R$3000,"Yes")</f>
        <v>0</v>
      </c>
      <c r="AV442" s="26" t="n">
        <f aca="false">SUMIFS(Permissions!$AL$2:$AL$3000,Permissions!$B$2:$B$3000,$A442,Permissions!$R$2:$R$3000,"Yes")</f>
        <v>0</v>
      </c>
      <c r="AW442" s="26" t="n">
        <f aca="false">SUMIFS(Permissions!$AM$2:$AM$3000,Permissions!$B$2:$B$3000,$A442,Permissions!$R$2:$R$3000,"Yes")</f>
        <v>0</v>
      </c>
      <c r="AX442" s="26" t="n">
        <f aca="false">SUMIFS(Permissions!$AN$2:$AN$3000,Permissions!$B$2:$B$3000,$A442,Permissions!$R$2:$R$3000,"Yes")</f>
        <v>0</v>
      </c>
      <c r="AY442" s="26" t="n">
        <f aca="false">SUMIFS(Permissions!$AO$2:$AO$3000,Permissions!$B$2:$B$3000,$A442,Permissions!$R$2:$R$3000,"Yes")</f>
        <v>0</v>
      </c>
      <c r="AZ442" s="24" t="n">
        <f aca="false">COUNTIFS(Permissions!$B$2:$B$3000,$A442,Permissions!$R$2:$R$3000,"Yes")</f>
        <v>0</v>
      </c>
      <c r="BA442" s="24" t="n">
        <f aca="false">SUMIFS(Permissions!$M$2:$M$3000,Permissions!$B$2:$B$3000,$A442,Permissions!$R$2:$R$3000,"Yes")</f>
        <v>0</v>
      </c>
      <c r="BB442" s="24" t="n">
        <f aca="false">SUMIFS(Permissions!$O$2:$O$3000,Permissions!$B$2:$B$3000,$A442,Permissions!$R$2:$R$3000,"Yes")</f>
        <v>0</v>
      </c>
      <c r="BC442" s="27" t="str">
        <f aca="false">IF(AND(AM442&gt;0,AR442&gt;=AM442,AP442=0),"Finished",IF(AR442&gt;0,"Partly built",IF(AM442&gt;0,"Consented – not built","No consent")))</f>
        <v>No consent</v>
      </c>
      <c r="BD442" s="28" t="str">
        <f aca="false">IF(AND(R442&lt;&gt;"",AM442&gt;1.1*R442),"Consented above capacity",IF(AND(LEFT(B442,8)="Planning",AZ442=0),"Consent parcel with no permission",IF(COUNTIF($A$2:$A$3000,$A442)&gt;1,"Duplicate parcel_id","")))</f>
        <v/>
      </c>
    </row>
    <row r="443" customFormat="false" ht="15" hidden="false" customHeight="false" outlineLevel="0" collapsed="false">
      <c r="A443" s="15" t="s">
        <v>961</v>
      </c>
      <c r="B443" s="15" t="s">
        <v>13</v>
      </c>
      <c r="C443" s="15" t="s">
        <v>17</v>
      </c>
      <c r="D443" s="15" t="s">
        <v>65</v>
      </c>
      <c r="E443" s="15" t="s">
        <v>20</v>
      </c>
      <c r="F443" s="15" t="n">
        <v>1</v>
      </c>
      <c r="G443" s="15" t="s">
        <v>158</v>
      </c>
      <c r="H443" s="15"/>
      <c r="I443" s="15" t="s">
        <v>17</v>
      </c>
      <c r="J443" s="15" t="s">
        <v>347</v>
      </c>
      <c r="K443" s="15" t="s">
        <v>956</v>
      </c>
      <c r="L443" s="15"/>
      <c r="M443" s="15" t="s">
        <v>349</v>
      </c>
      <c r="N443" s="15"/>
      <c r="O443" s="15"/>
      <c r="P443" s="15" t="n">
        <v>0.276</v>
      </c>
      <c r="Q443" s="15" t="n">
        <v>0.304</v>
      </c>
      <c r="R443" s="15" t="n">
        <v>7</v>
      </c>
      <c r="S443" s="15" t="s">
        <v>833</v>
      </c>
      <c r="T443" s="15" t="n">
        <v>7</v>
      </c>
      <c r="U443" s="15" t="s">
        <v>957</v>
      </c>
      <c r="V443" s="15" t="s">
        <v>835</v>
      </c>
      <c r="W443" s="15"/>
      <c r="X443" s="15" t="s">
        <v>353</v>
      </c>
      <c r="Y443" s="15" t="n">
        <v>25</v>
      </c>
      <c r="Z443" s="15" t="s">
        <v>845</v>
      </c>
      <c r="AA443" s="15" t="n">
        <v>1</v>
      </c>
      <c r="AB443" s="15" t="n">
        <v>0</v>
      </c>
      <c r="AC443" s="15" t="n">
        <v>0</v>
      </c>
      <c r="AD443" s="15"/>
      <c r="AE443" s="15"/>
      <c r="AF443" s="15" t="s">
        <v>169</v>
      </c>
      <c r="AG443" s="15"/>
      <c r="AH443" s="24" t="n">
        <f aca="false">IF(R443="",AM443,R443)</f>
        <v>7</v>
      </c>
      <c r="AI443" s="24" t="n">
        <f aca="false">SUMIFS(Permissions!$G$2:$G$3000,Permissions!$B$2:$B$3000,$A443,Permissions!$I$2:$I$3000,"Complete",Permissions!$R$2:$R$3000,"Yes")</f>
        <v>0</v>
      </c>
      <c r="AJ443" s="24" t="n">
        <f aca="false">SUMIFS(Permissions!$G$2:$G$3000,Permissions!$B$2:$B$3000,$A443,Permissions!$I$2:$I$3000,"Under construction",Permissions!$R$2:$R$3000,"Yes")</f>
        <v>0</v>
      </c>
      <c r="AK443" s="24" t="n">
        <f aca="false">SUMIFS(Permissions!$G$2:$G$3000,Permissions!$B$2:$B$3000,$A443,Permissions!$I$2:$I$3000,"Permitted – not started",Permissions!$R$2:$R$3000,"Yes")</f>
        <v>0</v>
      </c>
      <c r="AL443" s="24" t="n">
        <f aca="false">SUMIFS(Permissions!$G$2:$G$3000,Permissions!$B$2:$B$3000,$A443,Permissions!$I$2:$I$3000,"Stalled",Permissions!$R$2:$R$3000,"Yes")</f>
        <v>0</v>
      </c>
      <c r="AM443" s="24" t="n">
        <f aca="false">AI443+AJ443+AK443+AL443</f>
        <v>0</v>
      </c>
      <c r="AN443" s="24" t="n">
        <f aca="false">SUMIFS(Permissions!$G$2:$G$3000,Permissions!$B$2:$B$3000,$A443,Permissions!$I$2:$I$3000,"Expired – not started",Permissions!$R$2:$R$3000,"Yes")</f>
        <v>0</v>
      </c>
      <c r="AO443" s="24" t="n">
        <f aca="false">SUMIFS(Permissions!$G$2:$G$3000,Permissions!$B$2:$B$3000,$A443,Permissions!$I$2:$I$3000,"In planning",Permissions!$R$2:$R$3000,"Yes")</f>
        <v>0</v>
      </c>
      <c r="AP443" s="24" t="n">
        <f aca="false">IF(R443="",0,MAX(R443-AM443,0))</f>
        <v>7</v>
      </c>
      <c r="AQ443" s="25" t="n">
        <f aca="false">AM443+AP443</f>
        <v>7</v>
      </c>
      <c r="AR443" s="24" t="n">
        <f aca="false">SUMIFS(Permissions!$L$2:$L$3000,Permissions!$B$2:$B$3000,$A443,Permissions!$R$2:$R$3000,"Yes",Permissions!$I$2:$I$3000,"&lt;&gt;Expired – not started",Permissions!$I$2:$I$3000,"&lt;&gt;In planning")</f>
        <v>0</v>
      </c>
      <c r="AS443" s="24" t="n">
        <f aca="false">AQ443-AR443</f>
        <v>7</v>
      </c>
      <c r="AT443" s="26" t="n">
        <f aca="false">SUMIFS(Permissions!$AJ$2:$AJ$3000,Permissions!$B$2:$B$3000,$A443,Permissions!$R$2:$R$3000,"Yes")</f>
        <v>0</v>
      </c>
      <c r="AU443" s="26" t="n">
        <f aca="false">SUMIFS(Permissions!$AK$2:$AK$3000,Permissions!$B$2:$B$3000,$A443,Permissions!$R$2:$R$3000,"Yes")</f>
        <v>0</v>
      </c>
      <c r="AV443" s="26" t="n">
        <f aca="false">SUMIFS(Permissions!$AL$2:$AL$3000,Permissions!$B$2:$B$3000,$A443,Permissions!$R$2:$R$3000,"Yes")</f>
        <v>0</v>
      </c>
      <c r="AW443" s="26" t="n">
        <f aca="false">SUMIFS(Permissions!$AM$2:$AM$3000,Permissions!$B$2:$B$3000,$A443,Permissions!$R$2:$R$3000,"Yes")</f>
        <v>0</v>
      </c>
      <c r="AX443" s="26" t="n">
        <f aca="false">SUMIFS(Permissions!$AN$2:$AN$3000,Permissions!$B$2:$B$3000,$A443,Permissions!$R$2:$R$3000,"Yes")</f>
        <v>0</v>
      </c>
      <c r="AY443" s="26" t="n">
        <f aca="false">SUMIFS(Permissions!$AO$2:$AO$3000,Permissions!$B$2:$B$3000,$A443,Permissions!$R$2:$R$3000,"Yes")</f>
        <v>0</v>
      </c>
      <c r="AZ443" s="24" t="n">
        <f aca="false">COUNTIFS(Permissions!$B$2:$B$3000,$A443,Permissions!$R$2:$R$3000,"Yes")</f>
        <v>0</v>
      </c>
      <c r="BA443" s="24" t="n">
        <f aca="false">SUMIFS(Permissions!$M$2:$M$3000,Permissions!$B$2:$B$3000,$A443,Permissions!$R$2:$R$3000,"Yes")</f>
        <v>0</v>
      </c>
      <c r="BB443" s="24" t="n">
        <f aca="false">SUMIFS(Permissions!$O$2:$O$3000,Permissions!$B$2:$B$3000,$A443,Permissions!$R$2:$R$3000,"Yes")</f>
        <v>0</v>
      </c>
      <c r="BC443" s="27" t="str">
        <f aca="false">IF(AND(AM443&gt;0,AR443&gt;=AM443,AP443=0),"Finished",IF(AR443&gt;0,"Partly built",IF(AM443&gt;0,"Consented – not built","No consent")))</f>
        <v>No consent</v>
      </c>
      <c r="BD443" s="28" t="str">
        <f aca="false">IF(AND(R443&lt;&gt;"",AM443&gt;1.1*R443),"Consented above capacity",IF(AND(LEFT(B443,8)="Planning",AZ443=0),"Consent parcel with no permission",IF(COUNTIF($A$2:$A$3000,$A443)&gt;1,"Duplicate parcel_id","")))</f>
        <v/>
      </c>
    </row>
    <row r="444" customFormat="false" ht="15" hidden="false" customHeight="false" outlineLevel="0" collapsed="false">
      <c r="A444" s="15" t="s">
        <v>962</v>
      </c>
      <c r="B444" s="15" t="s">
        <v>13</v>
      </c>
      <c r="C444" s="15" t="s">
        <v>17</v>
      </c>
      <c r="D444" s="15" t="s">
        <v>65</v>
      </c>
      <c r="E444" s="15" t="s">
        <v>20</v>
      </c>
      <c r="F444" s="15" t="n">
        <v>1</v>
      </c>
      <c r="G444" s="15" t="s">
        <v>158</v>
      </c>
      <c r="H444" s="15"/>
      <c r="I444" s="15" t="s">
        <v>17</v>
      </c>
      <c r="J444" s="15" t="s">
        <v>347</v>
      </c>
      <c r="K444" s="15" t="s">
        <v>956</v>
      </c>
      <c r="L444" s="15"/>
      <c r="M444" s="15" t="s">
        <v>349</v>
      </c>
      <c r="N444" s="15"/>
      <c r="O444" s="15"/>
      <c r="P444" s="15" t="n">
        <v>1.004</v>
      </c>
      <c r="Q444" s="15" t="n">
        <v>1.104</v>
      </c>
      <c r="R444" s="15" t="n">
        <v>25</v>
      </c>
      <c r="S444" s="15" t="s">
        <v>833</v>
      </c>
      <c r="T444" s="15" t="n">
        <v>25</v>
      </c>
      <c r="U444" s="15" t="s">
        <v>957</v>
      </c>
      <c r="V444" s="15" t="s">
        <v>835</v>
      </c>
      <c r="W444" s="15"/>
      <c r="X444" s="15" t="s">
        <v>353</v>
      </c>
      <c r="Y444" s="15" t="n">
        <v>25</v>
      </c>
      <c r="Z444" s="15" t="s">
        <v>845</v>
      </c>
      <c r="AA444" s="15" t="n">
        <v>1</v>
      </c>
      <c r="AB444" s="15" t="n">
        <v>0</v>
      </c>
      <c r="AC444" s="15" t="n">
        <v>0</v>
      </c>
      <c r="AD444" s="15"/>
      <c r="AE444" s="15"/>
      <c r="AF444" s="15" t="s">
        <v>169</v>
      </c>
      <c r="AG444" s="15"/>
      <c r="AH444" s="24" t="n">
        <f aca="false">IF(R444="",AM444,R444)</f>
        <v>25</v>
      </c>
      <c r="AI444" s="24" t="n">
        <f aca="false">SUMIFS(Permissions!$G$2:$G$3000,Permissions!$B$2:$B$3000,$A444,Permissions!$I$2:$I$3000,"Complete",Permissions!$R$2:$R$3000,"Yes")</f>
        <v>0</v>
      </c>
      <c r="AJ444" s="24" t="n">
        <f aca="false">SUMIFS(Permissions!$G$2:$G$3000,Permissions!$B$2:$B$3000,$A444,Permissions!$I$2:$I$3000,"Under construction",Permissions!$R$2:$R$3000,"Yes")</f>
        <v>0</v>
      </c>
      <c r="AK444" s="24" t="n">
        <f aca="false">SUMIFS(Permissions!$G$2:$G$3000,Permissions!$B$2:$B$3000,$A444,Permissions!$I$2:$I$3000,"Permitted – not started",Permissions!$R$2:$R$3000,"Yes")</f>
        <v>0</v>
      </c>
      <c r="AL444" s="24" t="n">
        <f aca="false">SUMIFS(Permissions!$G$2:$G$3000,Permissions!$B$2:$B$3000,$A444,Permissions!$I$2:$I$3000,"Stalled",Permissions!$R$2:$R$3000,"Yes")</f>
        <v>0</v>
      </c>
      <c r="AM444" s="24" t="n">
        <f aca="false">AI444+AJ444+AK444+AL444</f>
        <v>0</v>
      </c>
      <c r="AN444" s="24" t="n">
        <f aca="false">SUMIFS(Permissions!$G$2:$G$3000,Permissions!$B$2:$B$3000,$A444,Permissions!$I$2:$I$3000,"Expired – not started",Permissions!$R$2:$R$3000,"Yes")</f>
        <v>0</v>
      </c>
      <c r="AO444" s="24" t="n">
        <f aca="false">SUMIFS(Permissions!$G$2:$G$3000,Permissions!$B$2:$B$3000,$A444,Permissions!$I$2:$I$3000,"In planning",Permissions!$R$2:$R$3000,"Yes")</f>
        <v>0</v>
      </c>
      <c r="AP444" s="24" t="n">
        <f aca="false">IF(R444="",0,MAX(R444-AM444,0))</f>
        <v>25</v>
      </c>
      <c r="AQ444" s="25" t="n">
        <f aca="false">AM444+AP444</f>
        <v>25</v>
      </c>
      <c r="AR444" s="24" t="n">
        <f aca="false">SUMIFS(Permissions!$L$2:$L$3000,Permissions!$B$2:$B$3000,$A444,Permissions!$R$2:$R$3000,"Yes",Permissions!$I$2:$I$3000,"&lt;&gt;Expired – not started",Permissions!$I$2:$I$3000,"&lt;&gt;In planning")</f>
        <v>0</v>
      </c>
      <c r="AS444" s="24" t="n">
        <f aca="false">AQ444-AR444</f>
        <v>25</v>
      </c>
      <c r="AT444" s="26" t="n">
        <f aca="false">SUMIFS(Permissions!$AJ$2:$AJ$3000,Permissions!$B$2:$B$3000,$A444,Permissions!$R$2:$R$3000,"Yes")</f>
        <v>0</v>
      </c>
      <c r="AU444" s="26" t="n">
        <f aca="false">SUMIFS(Permissions!$AK$2:$AK$3000,Permissions!$B$2:$B$3000,$A444,Permissions!$R$2:$R$3000,"Yes")</f>
        <v>0</v>
      </c>
      <c r="AV444" s="26" t="n">
        <f aca="false">SUMIFS(Permissions!$AL$2:$AL$3000,Permissions!$B$2:$B$3000,$A444,Permissions!$R$2:$R$3000,"Yes")</f>
        <v>0</v>
      </c>
      <c r="AW444" s="26" t="n">
        <f aca="false">SUMIFS(Permissions!$AM$2:$AM$3000,Permissions!$B$2:$B$3000,$A444,Permissions!$R$2:$R$3000,"Yes")</f>
        <v>0</v>
      </c>
      <c r="AX444" s="26" t="n">
        <f aca="false">SUMIFS(Permissions!$AN$2:$AN$3000,Permissions!$B$2:$B$3000,$A444,Permissions!$R$2:$R$3000,"Yes")</f>
        <v>0</v>
      </c>
      <c r="AY444" s="26" t="n">
        <f aca="false">SUMIFS(Permissions!$AO$2:$AO$3000,Permissions!$B$2:$B$3000,$A444,Permissions!$R$2:$R$3000,"Yes")</f>
        <v>0</v>
      </c>
      <c r="AZ444" s="24" t="n">
        <f aca="false">COUNTIFS(Permissions!$B$2:$B$3000,$A444,Permissions!$R$2:$R$3000,"Yes")</f>
        <v>0</v>
      </c>
      <c r="BA444" s="24" t="n">
        <f aca="false">SUMIFS(Permissions!$M$2:$M$3000,Permissions!$B$2:$B$3000,$A444,Permissions!$R$2:$R$3000,"Yes")</f>
        <v>0</v>
      </c>
      <c r="BB444" s="24" t="n">
        <f aca="false">SUMIFS(Permissions!$O$2:$O$3000,Permissions!$B$2:$B$3000,$A444,Permissions!$R$2:$R$3000,"Yes")</f>
        <v>0</v>
      </c>
      <c r="BC444" s="27" t="str">
        <f aca="false">IF(AND(AM444&gt;0,AR444&gt;=AM444,AP444=0),"Finished",IF(AR444&gt;0,"Partly built",IF(AM444&gt;0,"Consented – not built","No consent")))</f>
        <v>No consent</v>
      </c>
      <c r="BD444" s="28" t="str">
        <f aca="false">IF(AND(R444&lt;&gt;"",AM444&gt;1.1*R444),"Consented above capacity",IF(AND(LEFT(B444,8)="Planning",AZ444=0),"Consent parcel with no permission",IF(COUNTIF($A$2:$A$3000,$A444)&gt;1,"Duplicate parcel_id","")))</f>
        <v/>
      </c>
    </row>
    <row r="445" customFormat="false" ht="15" hidden="false" customHeight="false" outlineLevel="0" collapsed="false">
      <c r="A445" s="15" t="s">
        <v>963</v>
      </c>
      <c r="B445" s="15" t="s">
        <v>13</v>
      </c>
      <c r="C445" s="15" t="s">
        <v>17</v>
      </c>
      <c r="D445" s="15" t="s">
        <v>65</v>
      </c>
      <c r="E445" s="15" t="s">
        <v>20</v>
      </c>
      <c r="F445" s="15" t="n">
        <v>0</v>
      </c>
      <c r="G445" s="15" t="s">
        <v>964</v>
      </c>
      <c r="H445" s="15"/>
      <c r="I445" s="15" t="s">
        <v>17</v>
      </c>
      <c r="J445" s="15" t="s">
        <v>347</v>
      </c>
      <c r="K445" s="15" t="s">
        <v>965</v>
      </c>
      <c r="L445" s="15"/>
      <c r="M445" s="15" t="s">
        <v>357</v>
      </c>
      <c r="N445" s="15"/>
      <c r="O445" s="15"/>
      <c r="P445" s="15" t="n">
        <v>1.622</v>
      </c>
      <c r="Q445" s="15" t="n">
        <v>1.783</v>
      </c>
      <c r="R445" s="15" t="n">
        <v>31</v>
      </c>
      <c r="S445" s="15" t="s">
        <v>833</v>
      </c>
      <c r="T445" s="15" t="n">
        <v>31</v>
      </c>
      <c r="U445" s="15" t="s">
        <v>957</v>
      </c>
      <c r="V445" s="15" t="s">
        <v>849</v>
      </c>
      <c r="W445" s="15"/>
      <c r="X445" s="15" t="s">
        <v>850</v>
      </c>
      <c r="Y445" s="15" t="n">
        <v>19</v>
      </c>
      <c r="Z445" s="15" t="s">
        <v>851</v>
      </c>
      <c r="AA445" s="15" t="n">
        <v>1</v>
      </c>
      <c r="AB445" s="15" t="n">
        <v>0</v>
      </c>
      <c r="AC445" s="15" t="n">
        <v>0</v>
      </c>
      <c r="AD445" s="15"/>
      <c r="AE445" s="15"/>
      <c r="AF445" s="15" t="s">
        <v>169</v>
      </c>
      <c r="AG445" s="15"/>
      <c r="AH445" s="24" t="n">
        <f aca="false">IF(R445="",AM445,R445)</f>
        <v>31</v>
      </c>
      <c r="AI445" s="24" t="n">
        <f aca="false">SUMIFS(Permissions!$G$2:$G$3000,Permissions!$B$2:$B$3000,$A445,Permissions!$I$2:$I$3000,"Complete",Permissions!$R$2:$R$3000,"Yes")</f>
        <v>0</v>
      </c>
      <c r="AJ445" s="24" t="n">
        <f aca="false">SUMIFS(Permissions!$G$2:$G$3000,Permissions!$B$2:$B$3000,$A445,Permissions!$I$2:$I$3000,"Under construction",Permissions!$R$2:$R$3000,"Yes")</f>
        <v>0</v>
      </c>
      <c r="AK445" s="24" t="n">
        <f aca="false">SUMIFS(Permissions!$G$2:$G$3000,Permissions!$B$2:$B$3000,$A445,Permissions!$I$2:$I$3000,"Permitted – not started",Permissions!$R$2:$R$3000,"Yes")</f>
        <v>0</v>
      </c>
      <c r="AL445" s="24" t="n">
        <f aca="false">SUMIFS(Permissions!$G$2:$G$3000,Permissions!$B$2:$B$3000,$A445,Permissions!$I$2:$I$3000,"Stalled",Permissions!$R$2:$R$3000,"Yes")</f>
        <v>0</v>
      </c>
      <c r="AM445" s="24" t="n">
        <f aca="false">AI445+AJ445+AK445+AL445</f>
        <v>0</v>
      </c>
      <c r="AN445" s="24" t="n">
        <f aca="false">SUMIFS(Permissions!$G$2:$G$3000,Permissions!$B$2:$B$3000,$A445,Permissions!$I$2:$I$3000,"Expired – not started",Permissions!$R$2:$R$3000,"Yes")</f>
        <v>0</v>
      </c>
      <c r="AO445" s="24" t="n">
        <f aca="false">SUMIFS(Permissions!$G$2:$G$3000,Permissions!$B$2:$B$3000,$A445,Permissions!$I$2:$I$3000,"In planning",Permissions!$R$2:$R$3000,"Yes")</f>
        <v>0</v>
      </c>
      <c r="AP445" s="24" t="n">
        <f aca="false">IF(R445="",0,MAX(R445-AM445,0))</f>
        <v>31</v>
      </c>
      <c r="AQ445" s="25" t="n">
        <f aca="false">AM445+AP445</f>
        <v>31</v>
      </c>
      <c r="AR445" s="24" t="n">
        <f aca="false">SUMIFS(Permissions!$L$2:$L$3000,Permissions!$B$2:$B$3000,$A445,Permissions!$R$2:$R$3000,"Yes",Permissions!$I$2:$I$3000,"&lt;&gt;Expired – not started",Permissions!$I$2:$I$3000,"&lt;&gt;In planning")</f>
        <v>0</v>
      </c>
      <c r="AS445" s="24" t="n">
        <f aca="false">AQ445-AR445</f>
        <v>31</v>
      </c>
      <c r="AT445" s="26" t="n">
        <f aca="false">SUMIFS(Permissions!$AJ$2:$AJ$3000,Permissions!$B$2:$B$3000,$A445,Permissions!$R$2:$R$3000,"Yes")</f>
        <v>0</v>
      </c>
      <c r="AU445" s="26" t="n">
        <f aca="false">SUMIFS(Permissions!$AK$2:$AK$3000,Permissions!$B$2:$B$3000,$A445,Permissions!$R$2:$R$3000,"Yes")</f>
        <v>0</v>
      </c>
      <c r="AV445" s="26" t="n">
        <f aca="false">SUMIFS(Permissions!$AL$2:$AL$3000,Permissions!$B$2:$B$3000,$A445,Permissions!$R$2:$R$3000,"Yes")</f>
        <v>0</v>
      </c>
      <c r="AW445" s="26" t="n">
        <f aca="false">SUMIFS(Permissions!$AM$2:$AM$3000,Permissions!$B$2:$B$3000,$A445,Permissions!$R$2:$R$3000,"Yes")</f>
        <v>0</v>
      </c>
      <c r="AX445" s="26" t="n">
        <f aca="false">SUMIFS(Permissions!$AN$2:$AN$3000,Permissions!$B$2:$B$3000,$A445,Permissions!$R$2:$R$3000,"Yes")</f>
        <v>0</v>
      </c>
      <c r="AY445" s="26" t="n">
        <f aca="false">SUMIFS(Permissions!$AO$2:$AO$3000,Permissions!$B$2:$B$3000,$A445,Permissions!$R$2:$R$3000,"Yes")</f>
        <v>0</v>
      </c>
      <c r="AZ445" s="24" t="n">
        <f aca="false">COUNTIFS(Permissions!$B$2:$B$3000,$A445,Permissions!$R$2:$R$3000,"Yes")</f>
        <v>0</v>
      </c>
      <c r="BA445" s="24" t="n">
        <f aca="false">SUMIFS(Permissions!$M$2:$M$3000,Permissions!$B$2:$B$3000,$A445,Permissions!$R$2:$R$3000,"Yes")</f>
        <v>0</v>
      </c>
      <c r="BB445" s="24" t="n">
        <f aca="false">SUMIFS(Permissions!$O$2:$O$3000,Permissions!$B$2:$B$3000,$A445,Permissions!$R$2:$R$3000,"Yes")</f>
        <v>0</v>
      </c>
      <c r="BC445" s="27" t="str">
        <f aca="false">IF(AND(AM445&gt;0,AR445&gt;=AM445,AP445=0),"Finished",IF(AR445&gt;0,"Partly built",IF(AM445&gt;0,"Consented – not built","No consent")))</f>
        <v>No consent</v>
      </c>
      <c r="BD445" s="28" t="str">
        <f aca="false">IF(AND(R445&lt;&gt;"",AM445&gt;1.1*R445),"Consented above capacity",IF(AND(LEFT(B445,8)="Planning",AZ445=0),"Consent parcel with no permission",IF(COUNTIF($A$2:$A$3000,$A445)&gt;1,"Duplicate parcel_id","")))</f>
        <v/>
      </c>
    </row>
    <row r="446" customFormat="false" ht="15" hidden="false" customHeight="false" outlineLevel="0" collapsed="false">
      <c r="A446" s="15" t="s">
        <v>966</v>
      </c>
      <c r="B446" s="15" t="s">
        <v>13</v>
      </c>
      <c r="C446" s="15" t="s">
        <v>17</v>
      </c>
      <c r="D446" s="15" t="s">
        <v>65</v>
      </c>
      <c r="E446" s="15" t="s">
        <v>20</v>
      </c>
      <c r="F446" s="15" t="n">
        <v>1</v>
      </c>
      <c r="G446" s="15" t="s">
        <v>158</v>
      </c>
      <c r="H446" s="15"/>
      <c r="I446" s="15" t="s">
        <v>17</v>
      </c>
      <c r="J446" s="15" t="s">
        <v>347</v>
      </c>
      <c r="K446" s="15" t="s">
        <v>956</v>
      </c>
      <c r="L446" s="15"/>
      <c r="M446" s="15" t="s">
        <v>349</v>
      </c>
      <c r="N446" s="15"/>
      <c r="O446" s="15"/>
      <c r="P446" s="15" t="n">
        <v>0.547</v>
      </c>
      <c r="Q446" s="15" t="n">
        <v>0.601</v>
      </c>
      <c r="R446" s="15" t="n">
        <v>14</v>
      </c>
      <c r="S446" s="15" t="s">
        <v>833</v>
      </c>
      <c r="T446" s="15" t="n">
        <v>14</v>
      </c>
      <c r="U446" s="15" t="s">
        <v>957</v>
      </c>
      <c r="V446" s="15" t="s">
        <v>835</v>
      </c>
      <c r="W446" s="15"/>
      <c r="X446" s="15" t="s">
        <v>353</v>
      </c>
      <c r="Y446" s="15" t="n">
        <v>25</v>
      </c>
      <c r="Z446" s="15" t="s">
        <v>845</v>
      </c>
      <c r="AA446" s="15" t="n">
        <v>1</v>
      </c>
      <c r="AB446" s="15" t="n">
        <v>0</v>
      </c>
      <c r="AC446" s="15" t="n">
        <v>0</v>
      </c>
      <c r="AD446" s="15"/>
      <c r="AE446" s="15"/>
      <c r="AF446" s="15" t="s">
        <v>169</v>
      </c>
      <c r="AG446" s="15"/>
      <c r="AH446" s="24" t="n">
        <f aca="false">IF(R446="",AM446,R446)</f>
        <v>14</v>
      </c>
      <c r="AI446" s="24" t="n">
        <f aca="false">SUMIFS(Permissions!$G$2:$G$3000,Permissions!$B$2:$B$3000,$A446,Permissions!$I$2:$I$3000,"Complete",Permissions!$R$2:$R$3000,"Yes")</f>
        <v>0</v>
      </c>
      <c r="AJ446" s="24" t="n">
        <f aca="false">SUMIFS(Permissions!$G$2:$G$3000,Permissions!$B$2:$B$3000,$A446,Permissions!$I$2:$I$3000,"Under construction",Permissions!$R$2:$R$3000,"Yes")</f>
        <v>0</v>
      </c>
      <c r="AK446" s="24" t="n">
        <f aca="false">SUMIFS(Permissions!$G$2:$G$3000,Permissions!$B$2:$B$3000,$A446,Permissions!$I$2:$I$3000,"Permitted – not started",Permissions!$R$2:$R$3000,"Yes")</f>
        <v>0</v>
      </c>
      <c r="AL446" s="24" t="n">
        <f aca="false">SUMIFS(Permissions!$G$2:$G$3000,Permissions!$B$2:$B$3000,$A446,Permissions!$I$2:$I$3000,"Stalled",Permissions!$R$2:$R$3000,"Yes")</f>
        <v>0</v>
      </c>
      <c r="AM446" s="24" t="n">
        <f aca="false">AI446+AJ446+AK446+AL446</f>
        <v>0</v>
      </c>
      <c r="AN446" s="24" t="n">
        <f aca="false">SUMIFS(Permissions!$G$2:$G$3000,Permissions!$B$2:$B$3000,$A446,Permissions!$I$2:$I$3000,"Expired – not started",Permissions!$R$2:$R$3000,"Yes")</f>
        <v>0</v>
      </c>
      <c r="AO446" s="24" t="n">
        <f aca="false">SUMIFS(Permissions!$G$2:$G$3000,Permissions!$B$2:$B$3000,$A446,Permissions!$I$2:$I$3000,"In planning",Permissions!$R$2:$R$3000,"Yes")</f>
        <v>0</v>
      </c>
      <c r="AP446" s="24" t="n">
        <f aca="false">IF(R446="",0,MAX(R446-AM446,0))</f>
        <v>14</v>
      </c>
      <c r="AQ446" s="25" t="n">
        <f aca="false">AM446+AP446</f>
        <v>14</v>
      </c>
      <c r="AR446" s="24" t="n">
        <f aca="false">SUMIFS(Permissions!$L$2:$L$3000,Permissions!$B$2:$B$3000,$A446,Permissions!$R$2:$R$3000,"Yes",Permissions!$I$2:$I$3000,"&lt;&gt;Expired – not started",Permissions!$I$2:$I$3000,"&lt;&gt;In planning")</f>
        <v>0</v>
      </c>
      <c r="AS446" s="24" t="n">
        <f aca="false">AQ446-AR446</f>
        <v>14</v>
      </c>
      <c r="AT446" s="26" t="n">
        <f aca="false">SUMIFS(Permissions!$AJ$2:$AJ$3000,Permissions!$B$2:$B$3000,$A446,Permissions!$R$2:$R$3000,"Yes")</f>
        <v>0</v>
      </c>
      <c r="AU446" s="26" t="n">
        <f aca="false">SUMIFS(Permissions!$AK$2:$AK$3000,Permissions!$B$2:$B$3000,$A446,Permissions!$R$2:$R$3000,"Yes")</f>
        <v>0</v>
      </c>
      <c r="AV446" s="26" t="n">
        <f aca="false">SUMIFS(Permissions!$AL$2:$AL$3000,Permissions!$B$2:$B$3000,$A446,Permissions!$R$2:$R$3000,"Yes")</f>
        <v>0</v>
      </c>
      <c r="AW446" s="26" t="n">
        <f aca="false">SUMIFS(Permissions!$AM$2:$AM$3000,Permissions!$B$2:$B$3000,$A446,Permissions!$R$2:$R$3000,"Yes")</f>
        <v>0</v>
      </c>
      <c r="AX446" s="26" t="n">
        <f aca="false">SUMIFS(Permissions!$AN$2:$AN$3000,Permissions!$B$2:$B$3000,$A446,Permissions!$R$2:$R$3000,"Yes")</f>
        <v>0</v>
      </c>
      <c r="AY446" s="26" t="n">
        <f aca="false">SUMIFS(Permissions!$AO$2:$AO$3000,Permissions!$B$2:$B$3000,$A446,Permissions!$R$2:$R$3000,"Yes")</f>
        <v>0</v>
      </c>
      <c r="AZ446" s="24" t="n">
        <f aca="false">COUNTIFS(Permissions!$B$2:$B$3000,$A446,Permissions!$R$2:$R$3000,"Yes")</f>
        <v>0</v>
      </c>
      <c r="BA446" s="24" t="n">
        <f aca="false">SUMIFS(Permissions!$M$2:$M$3000,Permissions!$B$2:$B$3000,$A446,Permissions!$R$2:$R$3000,"Yes")</f>
        <v>0</v>
      </c>
      <c r="BB446" s="24" t="n">
        <f aca="false">SUMIFS(Permissions!$O$2:$O$3000,Permissions!$B$2:$B$3000,$A446,Permissions!$R$2:$R$3000,"Yes")</f>
        <v>0</v>
      </c>
      <c r="BC446" s="27" t="str">
        <f aca="false">IF(AND(AM446&gt;0,AR446&gt;=AM446,AP446=0),"Finished",IF(AR446&gt;0,"Partly built",IF(AM446&gt;0,"Consented – not built","No consent")))</f>
        <v>No consent</v>
      </c>
      <c r="BD446" s="28" t="str">
        <f aca="false">IF(AND(R446&lt;&gt;"",AM446&gt;1.1*R446),"Consented above capacity",IF(AND(LEFT(B446,8)="Planning",AZ446=0),"Consent parcel with no permission",IF(COUNTIF($A$2:$A$3000,$A446)&gt;1,"Duplicate parcel_id","")))</f>
        <v/>
      </c>
    </row>
    <row r="447" customFormat="false" ht="15" hidden="false" customHeight="false" outlineLevel="0" collapsed="false">
      <c r="A447" s="15" t="s">
        <v>967</v>
      </c>
      <c r="B447" s="15" t="s">
        <v>13</v>
      </c>
      <c r="C447" s="15" t="s">
        <v>17</v>
      </c>
      <c r="D447" s="15" t="s">
        <v>65</v>
      </c>
      <c r="E447" s="15" t="s">
        <v>20</v>
      </c>
      <c r="F447" s="15" t="n">
        <v>0</v>
      </c>
      <c r="G447" s="15" t="s">
        <v>964</v>
      </c>
      <c r="H447" s="15"/>
      <c r="I447" s="15" t="s">
        <v>17</v>
      </c>
      <c r="J447" s="15" t="s">
        <v>347</v>
      </c>
      <c r="K447" s="15" t="s">
        <v>965</v>
      </c>
      <c r="L447" s="15"/>
      <c r="M447" s="15" t="s">
        <v>357</v>
      </c>
      <c r="N447" s="15"/>
      <c r="O447" s="15"/>
      <c r="P447" s="15" t="n">
        <v>0.389</v>
      </c>
      <c r="Q447" s="15" t="n">
        <v>0.428</v>
      </c>
      <c r="R447" s="15" t="n">
        <v>7</v>
      </c>
      <c r="S447" s="15" t="s">
        <v>833</v>
      </c>
      <c r="T447" s="15" t="n">
        <v>7</v>
      </c>
      <c r="U447" s="15" t="s">
        <v>957</v>
      </c>
      <c r="V447" s="15" t="s">
        <v>849</v>
      </c>
      <c r="W447" s="15"/>
      <c r="X447" s="15" t="s">
        <v>850</v>
      </c>
      <c r="Y447" s="15" t="n">
        <v>19</v>
      </c>
      <c r="Z447" s="15" t="s">
        <v>851</v>
      </c>
      <c r="AA447" s="15" t="n">
        <v>1</v>
      </c>
      <c r="AB447" s="15" t="n">
        <v>0</v>
      </c>
      <c r="AC447" s="15" t="n">
        <v>0</v>
      </c>
      <c r="AD447" s="15"/>
      <c r="AE447" s="15"/>
      <c r="AF447" s="15" t="s">
        <v>169</v>
      </c>
      <c r="AG447" s="15"/>
      <c r="AH447" s="24" t="n">
        <f aca="false">IF(R447="",AM447,R447)</f>
        <v>7</v>
      </c>
      <c r="AI447" s="24" t="n">
        <f aca="false">SUMIFS(Permissions!$G$2:$G$3000,Permissions!$B$2:$B$3000,$A447,Permissions!$I$2:$I$3000,"Complete",Permissions!$R$2:$R$3000,"Yes")</f>
        <v>0</v>
      </c>
      <c r="AJ447" s="24" t="n">
        <f aca="false">SUMIFS(Permissions!$G$2:$G$3000,Permissions!$B$2:$B$3000,$A447,Permissions!$I$2:$I$3000,"Under construction",Permissions!$R$2:$R$3000,"Yes")</f>
        <v>0</v>
      </c>
      <c r="AK447" s="24" t="n">
        <f aca="false">SUMIFS(Permissions!$G$2:$G$3000,Permissions!$B$2:$B$3000,$A447,Permissions!$I$2:$I$3000,"Permitted – not started",Permissions!$R$2:$R$3000,"Yes")</f>
        <v>0</v>
      </c>
      <c r="AL447" s="24" t="n">
        <f aca="false">SUMIFS(Permissions!$G$2:$G$3000,Permissions!$B$2:$B$3000,$A447,Permissions!$I$2:$I$3000,"Stalled",Permissions!$R$2:$R$3000,"Yes")</f>
        <v>0</v>
      </c>
      <c r="AM447" s="24" t="n">
        <f aca="false">AI447+AJ447+AK447+AL447</f>
        <v>0</v>
      </c>
      <c r="AN447" s="24" t="n">
        <f aca="false">SUMIFS(Permissions!$G$2:$G$3000,Permissions!$B$2:$B$3000,$A447,Permissions!$I$2:$I$3000,"Expired – not started",Permissions!$R$2:$R$3000,"Yes")</f>
        <v>0</v>
      </c>
      <c r="AO447" s="24" t="n">
        <f aca="false">SUMIFS(Permissions!$G$2:$G$3000,Permissions!$B$2:$B$3000,$A447,Permissions!$I$2:$I$3000,"In planning",Permissions!$R$2:$R$3000,"Yes")</f>
        <v>0</v>
      </c>
      <c r="AP447" s="24" t="n">
        <f aca="false">IF(R447="",0,MAX(R447-AM447,0))</f>
        <v>7</v>
      </c>
      <c r="AQ447" s="25" t="n">
        <f aca="false">AM447+AP447</f>
        <v>7</v>
      </c>
      <c r="AR447" s="24" t="n">
        <f aca="false">SUMIFS(Permissions!$L$2:$L$3000,Permissions!$B$2:$B$3000,$A447,Permissions!$R$2:$R$3000,"Yes",Permissions!$I$2:$I$3000,"&lt;&gt;Expired – not started",Permissions!$I$2:$I$3000,"&lt;&gt;In planning")</f>
        <v>0</v>
      </c>
      <c r="AS447" s="24" t="n">
        <f aca="false">AQ447-AR447</f>
        <v>7</v>
      </c>
      <c r="AT447" s="26" t="n">
        <f aca="false">SUMIFS(Permissions!$AJ$2:$AJ$3000,Permissions!$B$2:$B$3000,$A447,Permissions!$R$2:$R$3000,"Yes")</f>
        <v>0</v>
      </c>
      <c r="AU447" s="26" t="n">
        <f aca="false">SUMIFS(Permissions!$AK$2:$AK$3000,Permissions!$B$2:$B$3000,$A447,Permissions!$R$2:$R$3000,"Yes")</f>
        <v>0</v>
      </c>
      <c r="AV447" s="26" t="n">
        <f aca="false">SUMIFS(Permissions!$AL$2:$AL$3000,Permissions!$B$2:$B$3000,$A447,Permissions!$R$2:$R$3000,"Yes")</f>
        <v>0</v>
      </c>
      <c r="AW447" s="26" t="n">
        <f aca="false">SUMIFS(Permissions!$AM$2:$AM$3000,Permissions!$B$2:$B$3000,$A447,Permissions!$R$2:$R$3000,"Yes")</f>
        <v>0</v>
      </c>
      <c r="AX447" s="26" t="n">
        <f aca="false">SUMIFS(Permissions!$AN$2:$AN$3000,Permissions!$B$2:$B$3000,$A447,Permissions!$R$2:$R$3000,"Yes")</f>
        <v>0</v>
      </c>
      <c r="AY447" s="26" t="n">
        <f aca="false">SUMIFS(Permissions!$AO$2:$AO$3000,Permissions!$B$2:$B$3000,$A447,Permissions!$R$2:$R$3000,"Yes")</f>
        <v>0</v>
      </c>
      <c r="AZ447" s="24" t="n">
        <f aca="false">COUNTIFS(Permissions!$B$2:$B$3000,$A447,Permissions!$R$2:$R$3000,"Yes")</f>
        <v>0</v>
      </c>
      <c r="BA447" s="24" t="n">
        <f aca="false">SUMIFS(Permissions!$M$2:$M$3000,Permissions!$B$2:$B$3000,$A447,Permissions!$R$2:$R$3000,"Yes")</f>
        <v>0</v>
      </c>
      <c r="BB447" s="24" t="n">
        <f aca="false">SUMIFS(Permissions!$O$2:$O$3000,Permissions!$B$2:$B$3000,$A447,Permissions!$R$2:$R$3000,"Yes")</f>
        <v>0</v>
      </c>
      <c r="BC447" s="27" t="str">
        <f aca="false">IF(AND(AM447&gt;0,AR447&gt;=AM447,AP447=0),"Finished",IF(AR447&gt;0,"Partly built",IF(AM447&gt;0,"Consented – not built","No consent")))</f>
        <v>No consent</v>
      </c>
      <c r="BD447" s="28" t="str">
        <f aca="false">IF(AND(R447&lt;&gt;"",AM447&gt;1.1*R447),"Consented above capacity",IF(AND(LEFT(B447,8)="Planning",AZ447=0),"Consent parcel with no permission",IF(COUNTIF($A$2:$A$3000,$A447)&gt;1,"Duplicate parcel_id","")))</f>
        <v/>
      </c>
    </row>
    <row r="448" customFormat="false" ht="15" hidden="false" customHeight="false" outlineLevel="0" collapsed="false">
      <c r="A448" s="15" t="s">
        <v>968</v>
      </c>
      <c r="B448" s="15" t="s">
        <v>13</v>
      </c>
      <c r="C448" s="15" t="s">
        <v>17</v>
      </c>
      <c r="D448" s="15" t="s">
        <v>65</v>
      </c>
      <c r="E448" s="15" t="s">
        <v>20</v>
      </c>
      <c r="F448" s="15" t="n">
        <v>1</v>
      </c>
      <c r="G448" s="15" t="s">
        <v>158</v>
      </c>
      <c r="H448" s="15"/>
      <c r="I448" s="15" t="s">
        <v>17</v>
      </c>
      <c r="J448" s="15" t="s">
        <v>347</v>
      </c>
      <c r="K448" s="15" t="s">
        <v>956</v>
      </c>
      <c r="L448" s="15"/>
      <c r="M448" s="15" t="s">
        <v>349</v>
      </c>
      <c r="N448" s="15"/>
      <c r="O448" s="15"/>
      <c r="P448" s="15" t="n">
        <v>0.889</v>
      </c>
      <c r="Q448" s="15" t="n">
        <v>0.977</v>
      </c>
      <c r="R448" s="15" t="n">
        <v>22</v>
      </c>
      <c r="S448" s="15" t="s">
        <v>833</v>
      </c>
      <c r="T448" s="15" t="n">
        <v>22</v>
      </c>
      <c r="U448" s="15" t="s">
        <v>957</v>
      </c>
      <c r="V448" s="15" t="s">
        <v>835</v>
      </c>
      <c r="W448" s="15"/>
      <c r="X448" s="15" t="s">
        <v>353</v>
      </c>
      <c r="Y448" s="15" t="n">
        <v>25</v>
      </c>
      <c r="Z448" s="15" t="s">
        <v>845</v>
      </c>
      <c r="AA448" s="15" t="n">
        <v>0.03</v>
      </c>
      <c r="AB448" s="15" t="n">
        <v>0</v>
      </c>
      <c r="AC448" s="15" t="n">
        <v>0</v>
      </c>
      <c r="AD448" s="15"/>
      <c r="AE448" s="15"/>
      <c r="AF448" s="15" t="s">
        <v>169</v>
      </c>
      <c r="AG448" s="15"/>
      <c r="AH448" s="24" t="n">
        <f aca="false">IF(R448="",AM448,R448)</f>
        <v>22</v>
      </c>
      <c r="AI448" s="24" t="n">
        <f aca="false">SUMIFS(Permissions!$G$2:$G$3000,Permissions!$B$2:$B$3000,$A448,Permissions!$I$2:$I$3000,"Complete",Permissions!$R$2:$R$3000,"Yes")</f>
        <v>0</v>
      </c>
      <c r="AJ448" s="24" t="n">
        <f aca="false">SUMIFS(Permissions!$G$2:$G$3000,Permissions!$B$2:$B$3000,$A448,Permissions!$I$2:$I$3000,"Under construction",Permissions!$R$2:$R$3000,"Yes")</f>
        <v>0</v>
      </c>
      <c r="AK448" s="24" t="n">
        <f aca="false">SUMIFS(Permissions!$G$2:$G$3000,Permissions!$B$2:$B$3000,$A448,Permissions!$I$2:$I$3000,"Permitted – not started",Permissions!$R$2:$R$3000,"Yes")</f>
        <v>0</v>
      </c>
      <c r="AL448" s="24" t="n">
        <f aca="false">SUMIFS(Permissions!$G$2:$G$3000,Permissions!$B$2:$B$3000,$A448,Permissions!$I$2:$I$3000,"Stalled",Permissions!$R$2:$R$3000,"Yes")</f>
        <v>0</v>
      </c>
      <c r="AM448" s="24" t="n">
        <f aca="false">AI448+AJ448+AK448+AL448</f>
        <v>0</v>
      </c>
      <c r="AN448" s="24" t="n">
        <f aca="false">SUMIFS(Permissions!$G$2:$G$3000,Permissions!$B$2:$B$3000,$A448,Permissions!$I$2:$I$3000,"Expired – not started",Permissions!$R$2:$R$3000,"Yes")</f>
        <v>0</v>
      </c>
      <c r="AO448" s="24" t="n">
        <f aca="false">SUMIFS(Permissions!$G$2:$G$3000,Permissions!$B$2:$B$3000,$A448,Permissions!$I$2:$I$3000,"In planning",Permissions!$R$2:$R$3000,"Yes")</f>
        <v>0</v>
      </c>
      <c r="AP448" s="24" t="n">
        <f aca="false">IF(R448="",0,MAX(R448-AM448,0))</f>
        <v>22</v>
      </c>
      <c r="AQ448" s="25" t="n">
        <f aca="false">AM448+AP448</f>
        <v>22</v>
      </c>
      <c r="AR448" s="24" t="n">
        <f aca="false">SUMIFS(Permissions!$L$2:$L$3000,Permissions!$B$2:$B$3000,$A448,Permissions!$R$2:$R$3000,"Yes",Permissions!$I$2:$I$3000,"&lt;&gt;Expired – not started",Permissions!$I$2:$I$3000,"&lt;&gt;In planning")</f>
        <v>0</v>
      </c>
      <c r="AS448" s="24" t="n">
        <f aca="false">AQ448-AR448</f>
        <v>22</v>
      </c>
      <c r="AT448" s="26" t="n">
        <f aca="false">SUMIFS(Permissions!$AJ$2:$AJ$3000,Permissions!$B$2:$B$3000,$A448,Permissions!$R$2:$R$3000,"Yes")</f>
        <v>0</v>
      </c>
      <c r="AU448" s="26" t="n">
        <f aca="false">SUMIFS(Permissions!$AK$2:$AK$3000,Permissions!$B$2:$B$3000,$A448,Permissions!$R$2:$R$3000,"Yes")</f>
        <v>0</v>
      </c>
      <c r="AV448" s="26" t="n">
        <f aca="false">SUMIFS(Permissions!$AL$2:$AL$3000,Permissions!$B$2:$B$3000,$A448,Permissions!$R$2:$R$3000,"Yes")</f>
        <v>0</v>
      </c>
      <c r="AW448" s="26" t="n">
        <f aca="false">SUMIFS(Permissions!$AM$2:$AM$3000,Permissions!$B$2:$B$3000,$A448,Permissions!$R$2:$R$3000,"Yes")</f>
        <v>0</v>
      </c>
      <c r="AX448" s="26" t="n">
        <f aca="false">SUMIFS(Permissions!$AN$2:$AN$3000,Permissions!$B$2:$B$3000,$A448,Permissions!$R$2:$R$3000,"Yes")</f>
        <v>0</v>
      </c>
      <c r="AY448" s="26" t="n">
        <f aca="false">SUMIFS(Permissions!$AO$2:$AO$3000,Permissions!$B$2:$B$3000,$A448,Permissions!$R$2:$R$3000,"Yes")</f>
        <v>0</v>
      </c>
      <c r="AZ448" s="24" t="n">
        <f aca="false">COUNTIFS(Permissions!$B$2:$B$3000,$A448,Permissions!$R$2:$R$3000,"Yes")</f>
        <v>0</v>
      </c>
      <c r="BA448" s="24" t="n">
        <f aca="false">SUMIFS(Permissions!$M$2:$M$3000,Permissions!$B$2:$B$3000,$A448,Permissions!$R$2:$R$3000,"Yes")</f>
        <v>0</v>
      </c>
      <c r="BB448" s="24" t="n">
        <f aca="false">SUMIFS(Permissions!$O$2:$O$3000,Permissions!$B$2:$B$3000,$A448,Permissions!$R$2:$R$3000,"Yes")</f>
        <v>0</v>
      </c>
      <c r="BC448" s="27" t="str">
        <f aca="false">IF(AND(AM448&gt;0,AR448&gt;=AM448,AP448=0),"Finished",IF(AR448&gt;0,"Partly built",IF(AM448&gt;0,"Consented – not built","No consent")))</f>
        <v>No consent</v>
      </c>
      <c r="BD448" s="28" t="str">
        <f aca="false">IF(AND(R448&lt;&gt;"",AM448&gt;1.1*R448),"Consented above capacity",IF(AND(LEFT(B448,8)="Planning",AZ448=0),"Consent parcel with no permission",IF(COUNTIF($A$2:$A$3000,$A448)&gt;1,"Duplicate parcel_id","")))</f>
        <v/>
      </c>
    </row>
  </sheetData>
  <autoFilter ref="A1:BD448"/>
  <conditionalFormatting sqref="BD2:BD3000">
    <cfRule type="expression" priority="2" aboveAverage="0" equalAverage="0" bottom="0" percent="0" rank="0" text="" dxfId="0">
      <formula>LEN(BD2)&gt;0</formula>
    </cfRule>
  </conditionalFormatting>
  <dataValidations count="2">
    <dataValidation allowBlank="true" error="Pick a value from the list." errorStyle="stop" errorTitle="Not in list" operator="between" showDropDown="false" showErrorMessage="true" showInputMessage="false" sqref="B2:B1448" type="list">
      <formula1>Lists!$C$2:$C$6</formula1>
      <formula2>0</formula2>
    </dataValidation>
    <dataValidation allowBlank="true" error="Pick a value from the list." errorStyle="stop" errorTitle="Not in list" operator="between" showDropDown="false" showErrorMessage="true" showInputMessage="false" sqref="C2:C1448"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4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1"/>
    <col collapsed="false" customWidth="true" hidden="false" outlineLevel="0" max="5" min="4" style="0" width="12"/>
    <col collapsed="false" customWidth="true" hidden="false" outlineLevel="0" max="6" min="6" style="0" width="36"/>
    <col collapsed="false" customWidth="true" hidden="false" outlineLevel="0" max="7" min="7" style="0" width="7"/>
    <col collapsed="false" customWidth="true" hidden="false" outlineLevel="0" max="8" min="8" style="0" width="9"/>
    <col collapsed="false" customWidth="true" hidden="false" outlineLevel="0" max="9" min="9" style="0" width="20"/>
    <col collapsed="false" customWidth="true" hidden="false" outlineLevel="0" max="11" min="10" style="0" width="18"/>
    <col collapsed="false" customWidth="true" hidden="false" outlineLevel="0" max="15" min="12" style="0" width="11"/>
    <col collapsed="false" customWidth="true" hidden="false" outlineLevel="0" max="16" min="16" style="0" width="26"/>
    <col collapsed="false" customWidth="true" hidden="false" outlineLevel="0" max="17" min="17" style="0" width="11"/>
    <col collapsed="false" customWidth="true" hidden="false" outlineLevel="0" max="18" min="18" style="0" width="9"/>
    <col collapsed="false" customWidth="true" hidden="false" outlineLevel="0" max="25" min="19" style="0" width="11"/>
    <col collapsed="false" customWidth="true" hidden="false" outlineLevel="0" max="26" min="26" style="0" width="22"/>
    <col collapsed="false" customWidth="true" hidden="false" outlineLevel="0" max="28" min="27" style="0" width="18"/>
    <col collapsed="false" customWidth="true" hidden="false" outlineLevel="0" max="29" min="29" style="0" width="20"/>
    <col collapsed="false" customWidth="true" hidden="false" outlineLevel="0" max="42" min="30" style="0" width="11"/>
    <col collapsed="false" customWidth="true" hidden="false" outlineLevel="0" max="43" min="43" style="0" width="18"/>
    <col collapsed="false" customWidth="true" hidden="false" outlineLevel="0" max="44" min="44" style="0" width="11"/>
    <col collapsed="false" customWidth="true" hidden="false" outlineLevel="0" max="45" min="45" style="0" width="30"/>
    <col collapsed="false" customWidth="true" hidden="false" outlineLevel="0" max="46" min="46" style="0" width="22"/>
  </cols>
  <sheetData>
    <row r="1" customFormat="false" ht="42" hidden="false" customHeight="true" outlineLevel="0" collapsed="false">
      <c r="A1" s="14" t="s">
        <v>969</v>
      </c>
      <c r="B1" s="14" t="s">
        <v>101</v>
      </c>
      <c r="C1" s="14" t="s">
        <v>104</v>
      </c>
      <c r="D1" s="14" t="s">
        <v>970</v>
      </c>
      <c r="E1" s="14" t="s">
        <v>971</v>
      </c>
      <c r="F1" s="14" t="s">
        <v>972</v>
      </c>
      <c r="G1" s="14" t="s">
        <v>973</v>
      </c>
      <c r="H1" s="14" t="s">
        <v>974</v>
      </c>
      <c r="I1" s="14" t="s">
        <v>975</v>
      </c>
      <c r="J1" s="14" t="s">
        <v>976</v>
      </c>
      <c r="K1" s="14" t="s">
        <v>977</v>
      </c>
      <c r="L1" s="14" t="s">
        <v>978</v>
      </c>
      <c r="M1" s="14" t="s">
        <v>153</v>
      </c>
      <c r="N1" s="14" t="s">
        <v>979</v>
      </c>
      <c r="O1" s="14" t="s">
        <v>154</v>
      </c>
      <c r="P1" s="14" t="s">
        <v>980</v>
      </c>
      <c r="Q1" s="14" t="s">
        <v>981</v>
      </c>
      <c r="R1" s="14" t="s">
        <v>982</v>
      </c>
      <c r="S1" s="14" t="s">
        <v>983</v>
      </c>
      <c r="T1" s="14" t="s">
        <v>984</v>
      </c>
      <c r="U1" s="14" t="s">
        <v>985</v>
      </c>
      <c r="V1" s="14" t="s">
        <v>986</v>
      </c>
      <c r="W1" s="14" t="s">
        <v>987</v>
      </c>
      <c r="X1" s="14" t="s">
        <v>988</v>
      </c>
      <c r="Y1" s="14" t="s">
        <v>989</v>
      </c>
      <c r="Z1" s="14" t="s">
        <v>990</v>
      </c>
      <c r="AA1" s="14" t="s">
        <v>991</v>
      </c>
      <c r="AB1" s="14" t="s">
        <v>992</v>
      </c>
      <c r="AC1" s="14" t="s">
        <v>993</v>
      </c>
      <c r="AD1" s="14" t="s">
        <v>994</v>
      </c>
      <c r="AE1" s="14" t="s">
        <v>995</v>
      </c>
      <c r="AF1" s="14" t="s">
        <v>996</v>
      </c>
      <c r="AG1" s="14" t="s">
        <v>997</v>
      </c>
      <c r="AH1" s="14" t="s">
        <v>998</v>
      </c>
      <c r="AI1" s="14" t="s">
        <v>999</v>
      </c>
      <c r="AJ1" s="14" t="s">
        <v>146</v>
      </c>
      <c r="AK1" s="14" t="s">
        <v>147</v>
      </c>
      <c r="AL1" s="14" t="s">
        <v>148</v>
      </c>
      <c r="AM1" s="14" t="s">
        <v>149</v>
      </c>
      <c r="AN1" s="14" t="s">
        <v>150</v>
      </c>
      <c r="AO1" s="14" t="s">
        <v>151</v>
      </c>
      <c r="AP1" s="14" t="s">
        <v>1000</v>
      </c>
      <c r="AQ1" s="14" t="s">
        <v>1001</v>
      </c>
      <c r="AR1" s="14" t="s">
        <v>1002</v>
      </c>
      <c r="AS1" s="14" t="s">
        <v>131</v>
      </c>
      <c r="AT1" s="23" t="s">
        <v>1003</v>
      </c>
    </row>
    <row r="2" customFormat="false" ht="15" hidden="false" customHeight="false" outlineLevel="0" collapsed="false">
      <c r="A2" s="15" t="s">
        <v>1004</v>
      </c>
      <c r="B2" s="15" t="s">
        <v>181</v>
      </c>
      <c r="C2" s="15" t="s">
        <v>51</v>
      </c>
      <c r="D2" s="15" t="s">
        <v>1005</v>
      </c>
      <c r="E2" s="15" t="s">
        <v>1005</v>
      </c>
      <c r="F2" s="15" t="s">
        <v>1006</v>
      </c>
      <c r="G2" s="15" t="n">
        <v>165</v>
      </c>
      <c r="H2" s="15"/>
      <c r="I2" s="15" t="s">
        <v>1007</v>
      </c>
      <c r="J2" s="15" t="s">
        <v>1008</v>
      </c>
      <c r="K2" s="15" t="s">
        <v>1007</v>
      </c>
      <c r="L2" s="15" t="n">
        <v>0</v>
      </c>
      <c r="M2" s="15" t="n">
        <v>0</v>
      </c>
      <c r="N2" s="15" t="n">
        <v>0</v>
      </c>
      <c r="O2" s="15" t="n">
        <v>0</v>
      </c>
      <c r="P2" s="15"/>
      <c r="Q2" s="15" t="s">
        <v>1009</v>
      </c>
      <c r="R2" s="15" t="s">
        <v>1010</v>
      </c>
      <c r="S2" s="15" t="s">
        <v>1011</v>
      </c>
      <c r="T2" s="15" t="n">
        <v>0</v>
      </c>
      <c r="U2" s="15" t="n">
        <v>25</v>
      </c>
      <c r="V2" s="15" t="n">
        <v>83</v>
      </c>
      <c r="W2" s="15" t="n">
        <v>57</v>
      </c>
      <c r="X2" s="15" t="n">
        <v>0</v>
      </c>
      <c r="Y2" s="15" t="n">
        <v>0</v>
      </c>
      <c r="Z2" s="15" t="s">
        <v>1012</v>
      </c>
      <c r="AA2" s="15" t="s">
        <v>1013</v>
      </c>
      <c r="AB2" s="15" t="s">
        <v>176</v>
      </c>
      <c r="AC2" s="15" t="s">
        <v>1014</v>
      </c>
      <c r="AD2" s="15" t="s">
        <v>1015</v>
      </c>
      <c r="AE2" s="15" t="s">
        <v>1016</v>
      </c>
      <c r="AF2" s="15"/>
      <c r="AG2" s="15" t="s">
        <v>1017</v>
      </c>
      <c r="AH2" s="15" t="s">
        <v>1018</v>
      </c>
      <c r="AI2" s="15" t="s">
        <v>1019</v>
      </c>
      <c r="AJ2" s="15" t="n">
        <v>0</v>
      </c>
      <c r="AK2" s="15" t="n">
        <v>0</v>
      </c>
      <c r="AL2" s="15" t="n">
        <v>34.9</v>
      </c>
      <c r="AM2" s="15" t="n">
        <v>72.3</v>
      </c>
      <c r="AN2" s="15" t="n">
        <v>57.8</v>
      </c>
      <c r="AO2" s="15" t="n">
        <v>0</v>
      </c>
      <c r="AP2" s="15" t="s">
        <v>1020</v>
      </c>
      <c r="AQ2" s="15" t="s">
        <v>1021</v>
      </c>
      <c r="AR2" s="15" t="s">
        <v>169</v>
      </c>
      <c r="AS2" s="15"/>
      <c r="AT2" s="29" t="str">
        <f aca="false">IF(A2="","",IF(COUNTIF(Parcels!$A$2:$A$3000,B2)=0,"Parcel not found",IF(COUNTIF($A$2:$A$3000,A2)&gt;1,"Duplicate perm_id",IF(AND(R2="Yes",D2&lt;&gt;"",COUNTIFS($C$2:$C$3000,D2,$R$2:$R$3000,"Yes")&gt;1),"Reference counted twice",IF(COUNTIF(Lists!$A$2:$A$7,I2)=0,"Unknown status","")))))</f>
        <v/>
      </c>
    </row>
    <row r="3" customFormat="false" ht="15" hidden="false" customHeight="false" outlineLevel="0" collapsed="false">
      <c r="A3" s="15" t="s">
        <v>1022</v>
      </c>
      <c r="B3" s="15" t="s">
        <v>233</v>
      </c>
      <c r="C3" s="15" t="s">
        <v>53</v>
      </c>
      <c r="D3" s="15" t="s">
        <v>1023</v>
      </c>
      <c r="E3" s="15" t="s">
        <v>1023</v>
      </c>
      <c r="F3" s="15" t="s">
        <v>1024</v>
      </c>
      <c r="G3" s="15" t="n">
        <v>8</v>
      </c>
      <c r="H3" s="15"/>
      <c r="I3" s="15" t="s">
        <v>1025</v>
      </c>
      <c r="J3" s="15" t="s">
        <v>1008</v>
      </c>
      <c r="K3" s="15" t="s">
        <v>1025</v>
      </c>
      <c r="L3" s="15" t="n">
        <v>0</v>
      </c>
      <c r="M3" s="15" t="n">
        <v>0</v>
      </c>
      <c r="N3" s="15" t="n">
        <v>0</v>
      </c>
      <c r="O3" s="15" t="n">
        <v>0</v>
      </c>
      <c r="P3" s="15"/>
      <c r="Q3" s="15" t="s">
        <v>1009</v>
      </c>
      <c r="R3" s="15" t="s">
        <v>1010</v>
      </c>
      <c r="S3" s="15" t="s">
        <v>1026</v>
      </c>
      <c r="T3" s="15"/>
      <c r="U3" s="15"/>
      <c r="V3" s="15"/>
      <c r="W3" s="15"/>
      <c r="X3" s="15"/>
      <c r="Y3" s="15"/>
      <c r="Z3" s="15" t="s">
        <v>1012</v>
      </c>
      <c r="AA3" s="15" t="s">
        <v>1013</v>
      </c>
      <c r="AB3" s="15" t="s">
        <v>176</v>
      </c>
      <c r="AC3" s="15" t="s">
        <v>1027</v>
      </c>
      <c r="AD3" s="15" t="s">
        <v>1028</v>
      </c>
      <c r="AE3" s="15" t="s">
        <v>1029</v>
      </c>
      <c r="AF3" s="15"/>
      <c r="AG3" s="15"/>
      <c r="AH3" s="15"/>
      <c r="AI3" s="15" t="s">
        <v>1030</v>
      </c>
      <c r="AJ3" s="15" t="n">
        <v>0</v>
      </c>
      <c r="AK3" s="15" t="n">
        <v>0</v>
      </c>
      <c r="AL3" s="15" t="n">
        <v>0</v>
      </c>
      <c r="AM3" s="15" t="n">
        <v>0</v>
      </c>
      <c r="AN3" s="15" t="n">
        <v>0</v>
      </c>
      <c r="AO3" s="15" t="n">
        <v>0</v>
      </c>
      <c r="AP3" s="15" t="s">
        <v>1020</v>
      </c>
      <c r="AQ3" s="15" t="s">
        <v>1021</v>
      </c>
      <c r="AR3" s="15" t="s">
        <v>169</v>
      </c>
      <c r="AS3" s="15"/>
      <c r="AT3" s="29" t="str">
        <f aca="false">IF(A3="","",IF(COUNTIF(Parcels!$A$2:$A$3000,B3)=0,"Parcel not found",IF(COUNTIF($A$2:$A$3000,A3)&gt;1,"Duplicate perm_id",IF(AND(R3="Yes",D3&lt;&gt;"",COUNTIFS($C$2:$C$3000,D3,$R$2:$R$3000,"Yes")&gt;1),"Reference counted twice",IF(COUNTIF(Lists!$A$2:$A$7,I3)=0,"Unknown status","")))))</f>
        <v/>
      </c>
    </row>
    <row r="4" customFormat="false" ht="15" hidden="false" customHeight="false" outlineLevel="0" collapsed="false">
      <c r="A4" s="15" t="s">
        <v>1031</v>
      </c>
      <c r="B4" s="15" t="s">
        <v>243</v>
      </c>
      <c r="C4" s="15" t="s">
        <v>53</v>
      </c>
      <c r="D4" s="15" t="s">
        <v>1032</v>
      </c>
      <c r="E4" s="15" t="s">
        <v>1032</v>
      </c>
      <c r="F4" s="15" t="s">
        <v>1033</v>
      </c>
      <c r="G4" s="15" t="n">
        <v>36</v>
      </c>
      <c r="H4" s="15"/>
      <c r="I4" s="15" t="s">
        <v>48</v>
      </c>
      <c r="J4" s="15" t="s">
        <v>1008</v>
      </c>
      <c r="K4" s="15" t="s">
        <v>48</v>
      </c>
      <c r="L4" s="15" t="n">
        <v>0</v>
      </c>
      <c r="M4" s="15" t="n">
        <v>0</v>
      </c>
      <c r="N4" s="15" t="n">
        <v>0</v>
      </c>
      <c r="O4" s="15" t="n">
        <v>0</v>
      </c>
      <c r="P4" s="15"/>
      <c r="Q4" s="15" t="s">
        <v>1009</v>
      </c>
      <c r="R4" s="15" t="s">
        <v>1010</v>
      </c>
      <c r="S4" s="15" t="s">
        <v>1011</v>
      </c>
      <c r="T4" s="15" t="n">
        <v>0</v>
      </c>
      <c r="U4" s="15" t="n">
        <v>11</v>
      </c>
      <c r="V4" s="15" t="n">
        <v>25</v>
      </c>
      <c r="W4" s="15" t="n">
        <v>0</v>
      </c>
      <c r="X4" s="15" t="n">
        <v>0</v>
      </c>
      <c r="Y4" s="15" t="n">
        <v>0</v>
      </c>
      <c r="Z4" s="15" t="s">
        <v>1034</v>
      </c>
      <c r="AA4" s="15" t="s">
        <v>1035</v>
      </c>
      <c r="AB4" s="15" t="s">
        <v>1036</v>
      </c>
      <c r="AC4" s="15" t="s">
        <v>1037</v>
      </c>
      <c r="AD4" s="15" t="s">
        <v>1038</v>
      </c>
      <c r="AE4" s="15"/>
      <c r="AF4" s="15" t="s">
        <v>1039</v>
      </c>
      <c r="AG4" s="15" t="s">
        <v>1040</v>
      </c>
      <c r="AH4" s="15" t="s">
        <v>1041</v>
      </c>
      <c r="AI4" s="15" t="s">
        <v>1042</v>
      </c>
      <c r="AJ4" s="15" t="n">
        <v>8.4</v>
      </c>
      <c r="AK4" s="15" t="n">
        <v>27.6</v>
      </c>
      <c r="AL4" s="15" t="n">
        <v>0</v>
      </c>
      <c r="AM4" s="15" t="n">
        <v>0</v>
      </c>
      <c r="AN4" s="15" t="n">
        <v>0</v>
      </c>
      <c r="AO4" s="15" t="n">
        <v>0</v>
      </c>
      <c r="AP4" s="15" t="s">
        <v>1020</v>
      </c>
      <c r="AQ4" s="15" t="s">
        <v>1021</v>
      </c>
      <c r="AR4" s="15" t="s">
        <v>169</v>
      </c>
      <c r="AS4" s="15"/>
      <c r="AT4" s="29" t="str">
        <f aca="false">IF(A4="","",IF(COUNTIF(Parcels!$A$2:$A$3000,B4)=0,"Parcel not found",IF(COUNTIF($A$2:$A$3000,A4)&gt;1,"Duplicate perm_id",IF(AND(R4="Yes",D4&lt;&gt;"",COUNTIFS($C$2:$C$3000,D4,$R$2:$R$3000,"Yes")&gt;1),"Reference counted twice",IF(COUNTIF(Lists!$A$2:$A$7,I4)=0,"Unknown status","")))))</f>
        <v/>
      </c>
    </row>
    <row r="5" customFormat="false" ht="15" hidden="false" customHeight="false" outlineLevel="0" collapsed="false">
      <c r="A5" s="15" t="s">
        <v>1043</v>
      </c>
      <c r="B5" s="15" t="s">
        <v>244</v>
      </c>
      <c r="C5" s="15" t="s">
        <v>53</v>
      </c>
      <c r="D5" s="15" t="s">
        <v>1044</v>
      </c>
      <c r="E5" s="15" t="s">
        <v>1044</v>
      </c>
      <c r="F5" s="15" t="s">
        <v>1045</v>
      </c>
      <c r="G5" s="15" t="n">
        <v>4</v>
      </c>
      <c r="H5" s="15"/>
      <c r="I5" s="15" t="s">
        <v>1046</v>
      </c>
      <c r="J5" s="15" t="s">
        <v>1008</v>
      </c>
      <c r="K5" s="15" t="s">
        <v>1046</v>
      </c>
      <c r="L5" s="15" t="n">
        <v>0</v>
      </c>
      <c r="M5" s="15" t="n">
        <v>0</v>
      </c>
      <c r="N5" s="15" t="n">
        <v>0</v>
      </c>
      <c r="O5" s="15" t="n">
        <v>0</v>
      </c>
      <c r="P5" s="15"/>
      <c r="Q5" s="15" t="s">
        <v>1009</v>
      </c>
      <c r="R5" s="15" t="s">
        <v>1010</v>
      </c>
      <c r="S5" s="15" t="s">
        <v>1026</v>
      </c>
      <c r="T5" s="15"/>
      <c r="U5" s="15"/>
      <c r="V5" s="15"/>
      <c r="W5" s="15"/>
      <c r="X5" s="15"/>
      <c r="Y5" s="15"/>
      <c r="Z5" s="15" t="s">
        <v>1012</v>
      </c>
      <c r="AA5" s="15" t="s">
        <v>1013</v>
      </c>
      <c r="AB5" s="15" t="s">
        <v>176</v>
      </c>
      <c r="AC5" s="15" t="s">
        <v>1027</v>
      </c>
      <c r="AD5" s="15"/>
      <c r="AE5" s="15"/>
      <c r="AF5" s="15"/>
      <c r="AG5" s="15"/>
      <c r="AH5" s="15"/>
      <c r="AI5" s="15" t="s">
        <v>1030</v>
      </c>
      <c r="AJ5" s="15" t="n">
        <v>0</v>
      </c>
      <c r="AK5" s="15" t="n">
        <v>0</v>
      </c>
      <c r="AL5" s="15" t="n">
        <v>0</v>
      </c>
      <c r="AM5" s="15" t="n">
        <v>0</v>
      </c>
      <c r="AN5" s="15" t="n">
        <v>0</v>
      </c>
      <c r="AO5" s="15" t="n">
        <v>0</v>
      </c>
      <c r="AP5" s="15" t="s">
        <v>1020</v>
      </c>
      <c r="AQ5" s="15" t="s">
        <v>1021</v>
      </c>
      <c r="AR5" s="15" t="s">
        <v>169</v>
      </c>
      <c r="AS5" s="15"/>
      <c r="AT5" s="29" t="str">
        <f aca="false">IF(A5="","",IF(COUNTIF(Parcels!$A$2:$A$3000,B5)=0,"Parcel not found",IF(COUNTIF($A$2:$A$3000,A5)&gt;1,"Duplicate perm_id",IF(AND(R5="Yes",D5&lt;&gt;"",COUNTIFS($C$2:$C$3000,D5,$R$2:$R$3000,"Yes")&gt;1),"Reference counted twice",IF(COUNTIF(Lists!$A$2:$A$7,I5)=0,"Unknown status","")))))</f>
        <v/>
      </c>
    </row>
    <row r="6" customFormat="false" ht="15" hidden="false" customHeight="false" outlineLevel="0" collapsed="false">
      <c r="A6" s="15" t="s">
        <v>1047</v>
      </c>
      <c r="B6" s="15" t="s">
        <v>244</v>
      </c>
      <c r="C6" s="15" t="s">
        <v>53</v>
      </c>
      <c r="D6" s="15" t="s">
        <v>1048</v>
      </c>
      <c r="E6" s="15" t="s">
        <v>1048</v>
      </c>
      <c r="F6" s="15" t="s">
        <v>1049</v>
      </c>
      <c r="G6" s="15" t="n">
        <v>11</v>
      </c>
      <c r="H6" s="15"/>
      <c r="I6" s="15" t="s">
        <v>47</v>
      </c>
      <c r="J6" s="15" t="s">
        <v>1008</v>
      </c>
      <c r="K6" s="15" t="s">
        <v>47</v>
      </c>
      <c r="L6" s="15" t="n">
        <v>11</v>
      </c>
      <c r="M6" s="15" t="n">
        <v>11</v>
      </c>
      <c r="N6" s="15" t="n">
        <v>0</v>
      </c>
      <c r="O6" s="15" t="n">
        <v>0</v>
      </c>
      <c r="P6" s="15"/>
      <c r="Q6" s="15" t="s">
        <v>1009</v>
      </c>
      <c r="R6" s="15" t="s">
        <v>1010</v>
      </c>
      <c r="S6" s="15" t="s">
        <v>1050</v>
      </c>
      <c r="T6" s="15" t="n">
        <v>0</v>
      </c>
      <c r="U6" s="15" t="n">
        <v>1</v>
      </c>
      <c r="V6" s="15" t="n">
        <v>4</v>
      </c>
      <c r="W6" s="15" t="n">
        <v>6</v>
      </c>
      <c r="X6" s="15" t="n">
        <v>0</v>
      </c>
      <c r="Y6" s="15" t="n">
        <v>0</v>
      </c>
      <c r="Z6" s="15" t="s">
        <v>1012</v>
      </c>
      <c r="AA6" s="15" t="s">
        <v>1035</v>
      </c>
      <c r="AB6" s="15" t="s">
        <v>1036</v>
      </c>
      <c r="AC6" s="15" t="s">
        <v>1037</v>
      </c>
      <c r="AD6" s="15" t="s">
        <v>1051</v>
      </c>
      <c r="AE6" s="15"/>
      <c r="AF6" s="15" t="s">
        <v>1052</v>
      </c>
      <c r="AG6" s="15"/>
      <c r="AH6" s="15"/>
      <c r="AI6" s="15" t="s">
        <v>1053</v>
      </c>
      <c r="AJ6" s="15" t="n">
        <v>0</v>
      </c>
      <c r="AK6" s="15" t="n">
        <v>0</v>
      </c>
      <c r="AL6" s="15" t="n">
        <v>0</v>
      </c>
      <c r="AM6" s="15" t="n">
        <v>0</v>
      </c>
      <c r="AN6" s="15" t="n">
        <v>0</v>
      </c>
      <c r="AO6" s="15" t="n">
        <v>0</v>
      </c>
      <c r="AP6" s="15" t="s">
        <v>1020</v>
      </c>
      <c r="AQ6" s="15" t="s">
        <v>1021</v>
      </c>
      <c r="AR6" s="15" t="s">
        <v>169</v>
      </c>
      <c r="AS6" s="15"/>
      <c r="AT6" s="29" t="str">
        <f aca="false">IF(A6="","",IF(COUNTIF(Parcels!$A$2:$A$3000,B6)=0,"Parcel not found",IF(COUNTIF($A$2:$A$3000,A6)&gt;1,"Duplicate perm_id",IF(AND(R6="Yes",D6&lt;&gt;"",COUNTIFS($C$2:$C$3000,D6,$R$2:$R$3000,"Yes")&gt;1),"Reference counted twice",IF(COUNTIF(Lists!$A$2:$A$7,I6)=0,"Unknown status","")))))</f>
        <v/>
      </c>
    </row>
    <row r="7" customFormat="false" ht="15" hidden="false" customHeight="false" outlineLevel="0" collapsed="false">
      <c r="A7" s="15" t="s">
        <v>1054</v>
      </c>
      <c r="B7" s="15" t="s">
        <v>325</v>
      </c>
      <c r="C7" s="15" t="s">
        <v>58</v>
      </c>
      <c r="D7" s="15" t="s">
        <v>1055</v>
      </c>
      <c r="E7" s="15" t="s">
        <v>1055</v>
      </c>
      <c r="F7" s="15" t="s">
        <v>1056</v>
      </c>
      <c r="G7" s="15" t="n">
        <v>10</v>
      </c>
      <c r="H7" s="15"/>
      <c r="I7" s="15" t="s">
        <v>1007</v>
      </c>
      <c r="J7" s="15" t="s">
        <v>1008</v>
      </c>
      <c r="K7" s="15" t="s">
        <v>1007</v>
      </c>
      <c r="L7" s="15" t="n">
        <v>0</v>
      </c>
      <c r="M7" s="15" t="n">
        <v>0</v>
      </c>
      <c r="N7" s="15" t="n">
        <v>0</v>
      </c>
      <c r="O7" s="15" t="n">
        <v>0</v>
      </c>
      <c r="P7" s="15"/>
      <c r="Q7" s="15" t="s">
        <v>1009</v>
      </c>
      <c r="R7" s="15" t="s">
        <v>1010</v>
      </c>
      <c r="S7" s="15" t="s">
        <v>1026</v>
      </c>
      <c r="T7" s="15"/>
      <c r="U7" s="15"/>
      <c r="V7" s="15"/>
      <c r="W7" s="15"/>
      <c r="X7" s="15"/>
      <c r="Y7" s="15"/>
      <c r="Z7" s="15" t="s">
        <v>1012</v>
      </c>
      <c r="AA7" s="15" t="s">
        <v>1013</v>
      </c>
      <c r="AB7" s="15" t="s">
        <v>176</v>
      </c>
      <c r="AC7" s="15" t="s">
        <v>1027</v>
      </c>
      <c r="AD7" s="15" t="s">
        <v>1057</v>
      </c>
      <c r="AE7" s="15" t="s">
        <v>1058</v>
      </c>
      <c r="AF7" s="15"/>
      <c r="AG7" s="15" t="s">
        <v>1059</v>
      </c>
      <c r="AH7" s="15" t="s">
        <v>1060</v>
      </c>
      <c r="AI7" s="15" t="s">
        <v>1061</v>
      </c>
      <c r="AJ7" s="15" t="n">
        <v>0</v>
      </c>
      <c r="AK7" s="15" t="n">
        <v>0</v>
      </c>
      <c r="AL7" s="15" t="n">
        <v>8.4</v>
      </c>
      <c r="AM7" s="15" t="n">
        <v>1.6</v>
      </c>
      <c r="AN7" s="15" t="n">
        <v>0</v>
      </c>
      <c r="AO7" s="15" t="n">
        <v>0</v>
      </c>
      <c r="AP7" s="15" t="s">
        <v>1020</v>
      </c>
      <c r="AQ7" s="15" t="s">
        <v>1021</v>
      </c>
      <c r="AR7" s="15" t="s">
        <v>169</v>
      </c>
      <c r="AS7" s="15"/>
      <c r="AT7" s="29" t="str">
        <f aca="false">IF(A7="","",IF(COUNTIF(Parcels!$A$2:$A$3000,B7)=0,"Parcel not found",IF(COUNTIF($A$2:$A$3000,A7)&gt;1,"Duplicate perm_id",IF(AND(R7="Yes",D7&lt;&gt;"",COUNTIFS($C$2:$C$3000,D7,$R$2:$R$3000,"Yes")&gt;1),"Reference counted twice",IF(COUNTIF(Lists!$A$2:$A$7,I7)=0,"Unknown status","")))))</f>
        <v/>
      </c>
    </row>
    <row r="8" customFormat="false" ht="15" hidden="false" customHeight="false" outlineLevel="0" collapsed="false">
      <c r="A8" s="15" t="s">
        <v>1062</v>
      </c>
      <c r="B8" s="15" t="s">
        <v>188</v>
      </c>
      <c r="C8" s="15" t="s">
        <v>51</v>
      </c>
      <c r="D8" s="15" t="s">
        <v>1063</v>
      </c>
      <c r="E8" s="15" t="s">
        <v>1063</v>
      </c>
      <c r="F8" s="15" t="s">
        <v>1064</v>
      </c>
      <c r="G8" s="15" t="n">
        <v>115</v>
      </c>
      <c r="H8" s="15"/>
      <c r="I8" s="15" t="s">
        <v>48</v>
      </c>
      <c r="J8" s="15" t="s">
        <v>1008</v>
      </c>
      <c r="K8" s="15" t="s">
        <v>48</v>
      </c>
      <c r="L8" s="15" t="n">
        <v>0</v>
      </c>
      <c r="M8" s="15" t="n">
        <v>0</v>
      </c>
      <c r="N8" s="15" t="n">
        <v>0</v>
      </c>
      <c r="O8" s="15" t="n">
        <v>0</v>
      </c>
      <c r="P8" s="15"/>
      <c r="Q8" s="15" t="s">
        <v>1009</v>
      </c>
      <c r="R8" s="15" t="s">
        <v>1010</v>
      </c>
      <c r="S8" s="15" t="s">
        <v>1011</v>
      </c>
      <c r="T8" s="15" t="n">
        <v>0</v>
      </c>
      <c r="U8" s="15" t="n">
        <v>0</v>
      </c>
      <c r="V8" s="15" t="n">
        <v>42</v>
      </c>
      <c r="W8" s="15" t="n">
        <v>61</v>
      </c>
      <c r="X8" s="15" t="n">
        <v>12</v>
      </c>
      <c r="Y8" s="15" t="n">
        <v>0</v>
      </c>
      <c r="Z8" s="15" t="s">
        <v>1012</v>
      </c>
      <c r="AA8" s="15" t="s">
        <v>1035</v>
      </c>
      <c r="AB8" s="15" t="s">
        <v>1065</v>
      </c>
      <c r="AC8" s="15" t="s">
        <v>1027</v>
      </c>
      <c r="AD8" s="15" t="s">
        <v>1066</v>
      </c>
      <c r="AE8" s="15" t="s">
        <v>1067</v>
      </c>
      <c r="AF8" s="15" t="s">
        <v>1068</v>
      </c>
      <c r="AG8" s="15" t="s">
        <v>1069</v>
      </c>
      <c r="AH8" s="15" t="s">
        <v>1070</v>
      </c>
      <c r="AI8" s="15" t="s">
        <v>1042</v>
      </c>
      <c r="AJ8" s="15" t="n">
        <v>0</v>
      </c>
      <c r="AK8" s="15" t="n">
        <v>51.6</v>
      </c>
      <c r="AL8" s="15" t="n">
        <v>63.4</v>
      </c>
      <c r="AM8" s="15" t="n">
        <v>0</v>
      </c>
      <c r="AN8" s="15" t="n">
        <v>0</v>
      </c>
      <c r="AO8" s="15" t="n">
        <v>0</v>
      </c>
      <c r="AP8" s="15" t="s">
        <v>1020</v>
      </c>
      <c r="AQ8" s="15" t="s">
        <v>1021</v>
      </c>
      <c r="AR8" s="15" t="s">
        <v>169</v>
      </c>
      <c r="AS8" s="15"/>
      <c r="AT8" s="29" t="str">
        <f aca="false">IF(A8="","",IF(COUNTIF(Parcels!$A$2:$A$3000,B8)=0,"Parcel not found",IF(COUNTIF($A$2:$A$3000,A8)&gt;1,"Duplicate perm_id",IF(AND(R8="Yes",D8&lt;&gt;"",COUNTIFS($C$2:$C$3000,D8,$R$2:$R$3000,"Yes")&gt;1),"Reference counted twice",IF(COUNTIF(Lists!$A$2:$A$7,I8)=0,"Unknown status","")))))</f>
        <v/>
      </c>
    </row>
    <row r="9" customFormat="false" ht="15" hidden="false" customHeight="false" outlineLevel="0" collapsed="false">
      <c r="A9" s="15" t="s">
        <v>1071</v>
      </c>
      <c r="B9" s="15" t="s">
        <v>340</v>
      </c>
      <c r="C9" s="15" t="s">
        <v>58</v>
      </c>
      <c r="D9" s="15" t="s">
        <v>1072</v>
      </c>
      <c r="E9" s="15" t="s">
        <v>1072</v>
      </c>
      <c r="F9" s="15" t="s">
        <v>1073</v>
      </c>
      <c r="G9" s="15" t="n">
        <v>57</v>
      </c>
      <c r="H9" s="15"/>
      <c r="I9" s="15" t="s">
        <v>1046</v>
      </c>
      <c r="J9" s="15" t="s">
        <v>1008</v>
      </c>
      <c r="K9" s="15" t="s">
        <v>1046</v>
      </c>
      <c r="L9" s="15" t="n">
        <v>0</v>
      </c>
      <c r="M9" s="15" t="n">
        <v>0</v>
      </c>
      <c r="N9" s="15" t="n">
        <v>0</v>
      </c>
      <c r="O9" s="15" t="n">
        <v>0</v>
      </c>
      <c r="P9" s="15"/>
      <c r="Q9" s="15" t="s">
        <v>1009</v>
      </c>
      <c r="R9" s="15" t="s">
        <v>1010</v>
      </c>
      <c r="S9" s="15" t="s">
        <v>1011</v>
      </c>
      <c r="T9" s="15" t="n">
        <v>0</v>
      </c>
      <c r="U9" s="15" t="n">
        <v>18</v>
      </c>
      <c r="V9" s="15" t="n">
        <v>19</v>
      </c>
      <c r="W9" s="15" t="n">
        <v>16</v>
      </c>
      <c r="X9" s="15" t="n">
        <v>4</v>
      </c>
      <c r="Y9" s="15" t="n">
        <v>0</v>
      </c>
      <c r="Z9" s="15" t="s">
        <v>1012</v>
      </c>
      <c r="AA9" s="15" t="s">
        <v>1035</v>
      </c>
      <c r="AB9" s="15" t="s">
        <v>1036</v>
      </c>
      <c r="AC9" s="15" t="s">
        <v>1037</v>
      </c>
      <c r="AD9" s="15"/>
      <c r="AE9" s="15"/>
      <c r="AF9" s="15"/>
      <c r="AG9" s="15"/>
      <c r="AH9" s="15"/>
      <c r="AI9" s="15" t="s">
        <v>1030</v>
      </c>
      <c r="AJ9" s="15" t="n">
        <v>0</v>
      </c>
      <c r="AK9" s="15" t="n">
        <v>0</v>
      </c>
      <c r="AL9" s="15" t="n">
        <v>0</v>
      </c>
      <c r="AM9" s="15" t="n">
        <v>0</v>
      </c>
      <c r="AN9" s="15" t="n">
        <v>0</v>
      </c>
      <c r="AO9" s="15" t="n">
        <v>0</v>
      </c>
      <c r="AP9" s="15" t="s">
        <v>1020</v>
      </c>
      <c r="AQ9" s="15" t="s">
        <v>1021</v>
      </c>
      <c r="AR9" s="15" t="s">
        <v>169</v>
      </c>
      <c r="AS9" s="15"/>
      <c r="AT9" s="29" t="str">
        <f aca="false">IF(A9="","",IF(COUNTIF(Parcels!$A$2:$A$3000,B9)=0,"Parcel not found",IF(COUNTIF($A$2:$A$3000,A9)&gt;1,"Duplicate perm_id",IF(AND(R9="Yes",D9&lt;&gt;"",COUNTIFS($C$2:$C$3000,D9,$R$2:$R$3000,"Yes")&gt;1),"Reference counted twice",IF(COUNTIF(Lists!$A$2:$A$7,I9)=0,"Unknown status","")))))</f>
        <v/>
      </c>
    </row>
    <row r="10" customFormat="false" ht="15" hidden="false" customHeight="false" outlineLevel="0" collapsed="false">
      <c r="A10" s="15" t="s">
        <v>1074</v>
      </c>
      <c r="B10" s="15" t="s">
        <v>177</v>
      </c>
      <c r="C10" s="15" t="s">
        <v>50</v>
      </c>
      <c r="D10" s="15" t="s">
        <v>1075</v>
      </c>
      <c r="E10" s="15" t="s">
        <v>1075</v>
      </c>
      <c r="F10" s="15" t="s">
        <v>1076</v>
      </c>
      <c r="G10" s="15" t="n">
        <v>371</v>
      </c>
      <c r="H10" s="15"/>
      <c r="I10" s="15" t="s">
        <v>48</v>
      </c>
      <c r="J10" s="15" t="s">
        <v>1008</v>
      </c>
      <c r="K10" s="15" t="s">
        <v>48</v>
      </c>
      <c r="L10" s="15" t="n">
        <v>121</v>
      </c>
      <c r="M10" s="15" t="n">
        <v>121</v>
      </c>
      <c r="N10" s="15" t="n">
        <v>189</v>
      </c>
      <c r="O10" s="15" t="n">
        <v>4</v>
      </c>
      <c r="P10" s="15"/>
      <c r="Q10" s="15" t="s">
        <v>1009</v>
      </c>
      <c r="R10" s="15" t="s">
        <v>1010</v>
      </c>
      <c r="S10" s="15" t="s">
        <v>1011</v>
      </c>
      <c r="T10" s="15" t="n">
        <v>0</v>
      </c>
      <c r="U10" s="15" t="n">
        <v>70</v>
      </c>
      <c r="V10" s="15" t="n">
        <v>153</v>
      </c>
      <c r="W10" s="15" t="n">
        <v>124</v>
      </c>
      <c r="X10" s="15" t="n">
        <v>24</v>
      </c>
      <c r="Y10" s="15" t="n">
        <v>0</v>
      </c>
      <c r="Z10" s="15" t="s">
        <v>1012</v>
      </c>
      <c r="AA10" s="15" t="s">
        <v>1013</v>
      </c>
      <c r="AB10" s="15" t="s">
        <v>176</v>
      </c>
      <c r="AC10" s="15" t="s">
        <v>1014</v>
      </c>
      <c r="AD10" s="15" t="s">
        <v>1077</v>
      </c>
      <c r="AE10" s="15" t="s">
        <v>1078</v>
      </c>
      <c r="AF10" s="15" t="s">
        <v>1079</v>
      </c>
      <c r="AG10" s="15" t="s">
        <v>1080</v>
      </c>
      <c r="AH10" s="15" t="s">
        <v>1018</v>
      </c>
      <c r="AI10" s="15" t="s">
        <v>1042</v>
      </c>
      <c r="AJ10" s="15" t="n">
        <v>20.6</v>
      </c>
      <c r="AK10" s="15" t="n">
        <v>88.5</v>
      </c>
      <c r="AL10" s="15" t="n">
        <v>88.5</v>
      </c>
      <c r="AM10" s="15" t="n">
        <v>88.5</v>
      </c>
      <c r="AN10" s="15" t="n">
        <v>84.9</v>
      </c>
      <c r="AO10" s="15" t="n">
        <v>0</v>
      </c>
      <c r="AP10" s="15" t="s">
        <v>1020</v>
      </c>
      <c r="AQ10" s="15" t="s">
        <v>1021</v>
      </c>
      <c r="AR10" s="15" t="s">
        <v>169</v>
      </c>
      <c r="AS10" s="15"/>
      <c r="AT10" s="29" t="str">
        <f aca="false">IF(A10="","",IF(COUNTIF(Parcels!$A$2:$A$3000,B10)=0,"Parcel not found",IF(COUNTIF($A$2:$A$3000,A10)&gt;1,"Duplicate perm_id",IF(AND(R10="Yes",D10&lt;&gt;"",COUNTIFS($C$2:$C$3000,D10,$R$2:$R$3000,"Yes")&gt;1),"Reference counted twice",IF(COUNTIF(Lists!$A$2:$A$7,I10)=0,"Unknown status","")))))</f>
        <v/>
      </c>
    </row>
    <row r="11" customFormat="false" ht="15" hidden="false" customHeight="false" outlineLevel="0" collapsed="false">
      <c r="A11" s="15" t="s">
        <v>1081</v>
      </c>
      <c r="B11" s="15" t="s">
        <v>277</v>
      </c>
      <c r="C11" s="15" t="s">
        <v>55</v>
      </c>
      <c r="D11" s="15" t="s">
        <v>1082</v>
      </c>
      <c r="E11" s="15" t="s">
        <v>1082</v>
      </c>
      <c r="F11" s="15" t="s">
        <v>1083</v>
      </c>
      <c r="G11" s="15" t="n">
        <v>384</v>
      </c>
      <c r="H11" s="15"/>
      <c r="I11" s="15" t="s">
        <v>48</v>
      </c>
      <c r="J11" s="15" t="s">
        <v>1008</v>
      </c>
      <c r="K11" s="15" t="s">
        <v>48</v>
      </c>
      <c r="L11" s="15" t="n">
        <v>0</v>
      </c>
      <c r="M11" s="15" t="n">
        <v>0</v>
      </c>
      <c r="N11" s="15" t="n">
        <v>0</v>
      </c>
      <c r="O11" s="15" t="n">
        <v>0</v>
      </c>
      <c r="P11" s="15"/>
      <c r="Q11" s="15" t="s">
        <v>1009</v>
      </c>
      <c r="R11" s="15" t="s">
        <v>1010</v>
      </c>
      <c r="S11" s="15" t="s">
        <v>1011</v>
      </c>
      <c r="T11" s="15" t="n">
        <v>0</v>
      </c>
      <c r="U11" s="15" t="n">
        <v>46</v>
      </c>
      <c r="V11" s="15" t="n">
        <v>118</v>
      </c>
      <c r="W11" s="15" t="n">
        <v>184</v>
      </c>
      <c r="X11" s="15" t="n">
        <v>36</v>
      </c>
      <c r="Y11" s="15" t="n">
        <v>0</v>
      </c>
      <c r="Z11" s="15" t="s">
        <v>1012</v>
      </c>
      <c r="AA11" s="15" t="s">
        <v>1013</v>
      </c>
      <c r="AB11" s="15" t="s">
        <v>176</v>
      </c>
      <c r="AC11" s="15" t="s">
        <v>1014</v>
      </c>
      <c r="AD11" s="15" t="s">
        <v>1084</v>
      </c>
      <c r="AE11" s="15" t="s">
        <v>1085</v>
      </c>
      <c r="AF11" s="15" t="s">
        <v>1086</v>
      </c>
      <c r="AG11" s="15" t="s">
        <v>1087</v>
      </c>
      <c r="AH11" s="15" t="s">
        <v>1088</v>
      </c>
      <c r="AI11" s="15" t="s">
        <v>1042</v>
      </c>
      <c r="AJ11" s="15" t="n">
        <v>17.2</v>
      </c>
      <c r="AK11" s="15" t="n">
        <v>74.1</v>
      </c>
      <c r="AL11" s="15" t="n">
        <v>74.1</v>
      </c>
      <c r="AM11" s="15" t="n">
        <v>74.1</v>
      </c>
      <c r="AN11" s="15" t="n">
        <v>74.1</v>
      </c>
      <c r="AO11" s="15" t="n">
        <v>70.4</v>
      </c>
      <c r="AP11" s="15" t="s">
        <v>1020</v>
      </c>
      <c r="AQ11" s="15" t="s">
        <v>1021</v>
      </c>
      <c r="AR11" s="15" t="s">
        <v>169</v>
      </c>
      <c r="AS11" s="15"/>
      <c r="AT11" s="29" t="str">
        <f aca="false">IF(A11="","",IF(COUNTIF(Parcels!$A$2:$A$3000,B11)=0,"Parcel not found",IF(COUNTIF($A$2:$A$3000,A11)&gt;1,"Duplicate perm_id",IF(AND(R11="Yes",D11&lt;&gt;"",COUNTIFS($C$2:$C$3000,D11,$R$2:$R$3000,"Yes")&gt;1),"Reference counted twice",IF(COUNTIF(Lists!$A$2:$A$7,I11)=0,"Unknown status","")))))</f>
        <v/>
      </c>
    </row>
    <row r="12" customFormat="false" ht="15" hidden="false" customHeight="false" outlineLevel="0" collapsed="false">
      <c r="A12" s="15" t="s">
        <v>1089</v>
      </c>
      <c r="B12" s="15" t="s">
        <v>282</v>
      </c>
      <c r="C12" s="15" t="s">
        <v>55</v>
      </c>
      <c r="D12" s="15" t="s">
        <v>1090</v>
      </c>
      <c r="E12" s="15" t="s">
        <v>1090</v>
      </c>
      <c r="F12" s="15" t="s">
        <v>1091</v>
      </c>
      <c r="G12" s="15" t="n">
        <v>139</v>
      </c>
      <c r="H12" s="15"/>
      <c r="I12" s="15" t="s">
        <v>1007</v>
      </c>
      <c r="J12" s="15" t="s">
        <v>1008</v>
      </c>
      <c r="K12" s="15" t="s">
        <v>1007</v>
      </c>
      <c r="L12" s="15" t="n">
        <v>0</v>
      </c>
      <c r="M12" s="15" t="n">
        <v>0</v>
      </c>
      <c r="N12" s="15" t="n">
        <v>0</v>
      </c>
      <c r="O12" s="15" t="n">
        <v>0</v>
      </c>
      <c r="P12" s="15"/>
      <c r="Q12" s="15" t="s">
        <v>1009</v>
      </c>
      <c r="R12" s="15" t="s">
        <v>1010</v>
      </c>
      <c r="S12" s="15" t="s">
        <v>1011</v>
      </c>
      <c r="T12" s="15" t="n">
        <v>0</v>
      </c>
      <c r="U12" s="15" t="n">
        <v>0</v>
      </c>
      <c r="V12" s="15" t="n">
        <v>0</v>
      </c>
      <c r="W12" s="15" t="n">
        <v>60</v>
      </c>
      <c r="X12" s="15" t="n">
        <v>19</v>
      </c>
      <c r="Y12" s="15" t="n">
        <v>0</v>
      </c>
      <c r="Z12" s="15" t="s">
        <v>1012</v>
      </c>
      <c r="AA12" s="15" t="s">
        <v>1013</v>
      </c>
      <c r="AB12" s="15" t="s">
        <v>176</v>
      </c>
      <c r="AC12" s="15" t="s">
        <v>1092</v>
      </c>
      <c r="AD12" s="15" t="s">
        <v>1093</v>
      </c>
      <c r="AE12" s="15" t="s">
        <v>1094</v>
      </c>
      <c r="AF12" s="15"/>
      <c r="AG12" s="15" t="s">
        <v>1059</v>
      </c>
      <c r="AH12" s="15" t="s">
        <v>1095</v>
      </c>
      <c r="AI12" s="15" t="s">
        <v>1061</v>
      </c>
      <c r="AJ12" s="15" t="n">
        <v>0</v>
      </c>
      <c r="AK12" s="15" t="n">
        <v>0</v>
      </c>
      <c r="AL12" s="15" t="n">
        <v>43.2</v>
      </c>
      <c r="AM12" s="15" t="n">
        <v>78.7</v>
      </c>
      <c r="AN12" s="15" t="n">
        <v>17</v>
      </c>
      <c r="AO12" s="15" t="n">
        <v>0.1</v>
      </c>
      <c r="AP12" s="15" t="s">
        <v>1020</v>
      </c>
      <c r="AQ12" s="15" t="s">
        <v>1021</v>
      </c>
      <c r="AR12" s="15" t="s">
        <v>169</v>
      </c>
      <c r="AS12" s="15"/>
      <c r="AT12" s="29" t="str">
        <f aca="false">IF(A12="","",IF(COUNTIF(Parcels!$A$2:$A$3000,B12)=0,"Parcel not found",IF(COUNTIF($A$2:$A$3000,A12)&gt;1,"Duplicate perm_id",IF(AND(R12="Yes",D12&lt;&gt;"",COUNTIFS($C$2:$C$3000,D12,$R$2:$R$3000,"Yes")&gt;1),"Reference counted twice",IF(COUNTIF(Lists!$A$2:$A$7,I12)=0,"Unknown status","")))))</f>
        <v/>
      </c>
    </row>
    <row r="13" customFormat="false" ht="15" hidden="false" customHeight="false" outlineLevel="0" collapsed="false">
      <c r="A13" s="15" t="s">
        <v>1096</v>
      </c>
      <c r="B13" s="15" t="s">
        <v>283</v>
      </c>
      <c r="C13" s="15" t="s">
        <v>55</v>
      </c>
      <c r="D13" s="15" t="s">
        <v>1097</v>
      </c>
      <c r="E13" s="15" t="s">
        <v>1097</v>
      </c>
      <c r="F13" s="15" t="s">
        <v>1098</v>
      </c>
      <c r="G13" s="15" t="n">
        <v>169</v>
      </c>
      <c r="H13" s="15"/>
      <c r="I13" s="15" t="s">
        <v>1007</v>
      </c>
      <c r="J13" s="15" t="s">
        <v>1008</v>
      </c>
      <c r="K13" s="15" t="s">
        <v>1007</v>
      </c>
      <c r="L13" s="15" t="n">
        <v>0</v>
      </c>
      <c r="M13" s="15" t="n">
        <v>0</v>
      </c>
      <c r="N13" s="15" t="n">
        <v>0</v>
      </c>
      <c r="O13" s="15" t="n">
        <v>0</v>
      </c>
      <c r="P13" s="15"/>
      <c r="Q13" s="15" t="s">
        <v>1009</v>
      </c>
      <c r="R13" s="15" t="s">
        <v>1010</v>
      </c>
      <c r="S13" s="15" t="s">
        <v>1011</v>
      </c>
      <c r="T13" s="15" t="n">
        <v>0</v>
      </c>
      <c r="U13" s="15" t="n">
        <v>12</v>
      </c>
      <c r="V13" s="15" t="n">
        <v>71</v>
      </c>
      <c r="W13" s="15" t="n">
        <v>78</v>
      </c>
      <c r="X13" s="15" t="n">
        <v>8</v>
      </c>
      <c r="Y13" s="15" t="n">
        <v>0</v>
      </c>
      <c r="Z13" s="15" t="s">
        <v>1034</v>
      </c>
      <c r="AA13" s="15" t="s">
        <v>1013</v>
      </c>
      <c r="AB13" s="15" t="s">
        <v>176</v>
      </c>
      <c r="AC13" s="15" t="s">
        <v>1092</v>
      </c>
      <c r="AD13" s="15" t="s">
        <v>1099</v>
      </c>
      <c r="AE13" s="15" t="s">
        <v>1100</v>
      </c>
      <c r="AF13" s="15"/>
      <c r="AG13" s="15" t="s">
        <v>1101</v>
      </c>
      <c r="AH13" s="15" t="s">
        <v>1102</v>
      </c>
      <c r="AI13" s="15" t="s">
        <v>1061</v>
      </c>
      <c r="AJ13" s="15" t="n">
        <v>0</v>
      </c>
      <c r="AK13" s="15" t="n">
        <v>0</v>
      </c>
      <c r="AL13" s="15" t="n">
        <v>0</v>
      </c>
      <c r="AM13" s="15" t="n">
        <v>50.3</v>
      </c>
      <c r="AN13" s="15" t="n">
        <v>71.5</v>
      </c>
      <c r="AO13" s="15" t="n">
        <v>47.2</v>
      </c>
      <c r="AP13" s="15" t="s">
        <v>1020</v>
      </c>
      <c r="AQ13" s="15" t="s">
        <v>1021</v>
      </c>
      <c r="AR13" s="15" t="s">
        <v>169</v>
      </c>
      <c r="AS13" s="15"/>
      <c r="AT13" s="29" t="str">
        <f aca="false">IF(A13="","",IF(COUNTIF(Parcels!$A$2:$A$3000,B13)=0,"Parcel not found",IF(COUNTIF($A$2:$A$3000,A13)&gt;1,"Duplicate perm_id",IF(AND(R13="Yes",D13&lt;&gt;"",COUNTIFS($C$2:$C$3000,D13,$R$2:$R$3000,"Yes")&gt;1),"Reference counted twice",IF(COUNTIF(Lists!$A$2:$A$7,I13)=0,"Unknown status","")))))</f>
        <v/>
      </c>
    </row>
    <row r="14" customFormat="false" ht="15" hidden="false" customHeight="false" outlineLevel="0" collapsed="false">
      <c r="A14" s="15" t="s">
        <v>1103</v>
      </c>
      <c r="B14" s="15" t="s">
        <v>283</v>
      </c>
      <c r="C14" s="15" t="s">
        <v>55</v>
      </c>
      <c r="D14" s="15" t="s">
        <v>1104</v>
      </c>
      <c r="E14" s="15" t="s">
        <v>1104</v>
      </c>
      <c r="F14" s="15" t="s">
        <v>1105</v>
      </c>
      <c r="G14" s="15" t="n">
        <v>182</v>
      </c>
      <c r="H14" s="15"/>
      <c r="I14" s="15" t="s">
        <v>1007</v>
      </c>
      <c r="J14" s="15" t="s">
        <v>1008</v>
      </c>
      <c r="K14" s="15" t="s">
        <v>1007</v>
      </c>
      <c r="L14" s="15" t="n">
        <v>0</v>
      </c>
      <c r="M14" s="15" t="n">
        <v>0</v>
      </c>
      <c r="N14" s="15" t="n">
        <v>0</v>
      </c>
      <c r="O14" s="15" t="n">
        <v>0</v>
      </c>
      <c r="P14" s="15"/>
      <c r="Q14" s="15" t="s">
        <v>1009</v>
      </c>
      <c r="R14" s="15" t="s">
        <v>1010</v>
      </c>
      <c r="S14" s="15" t="s">
        <v>1050</v>
      </c>
      <c r="T14" s="15" t="n">
        <v>0</v>
      </c>
      <c r="U14" s="15" t="n">
        <v>26</v>
      </c>
      <c r="V14" s="15" t="n">
        <v>36</v>
      </c>
      <c r="W14" s="15" t="n">
        <v>96</v>
      </c>
      <c r="X14" s="15" t="n">
        <v>24</v>
      </c>
      <c r="Y14" s="15" t="n">
        <v>0</v>
      </c>
      <c r="Z14" s="15" t="s">
        <v>1012</v>
      </c>
      <c r="AA14" s="15" t="s">
        <v>1013</v>
      </c>
      <c r="AB14" s="15" t="s">
        <v>176</v>
      </c>
      <c r="AC14" s="15" t="s">
        <v>1092</v>
      </c>
      <c r="AD14" s="15" t="s">
        <v>1106</v>
      </c>
      <c r="AE14" s="15" t="s">
        <v>1107</v>
      </c>
      <c r="AF14" s="15"/>
      <c r="AG14" s="15" t="s">
        <v>1101</v>
      </c>
      <c r="AH14" s="15" t="s">
        <v>1108</v>
      </c>
      <c r="AI14" s="15" t="s">
        <v>1061</v>
      </c>
      <c r="AJ14" s="15" t="n">
        <v>0</v>
      </c>
      <c r="AK14" s="15" t="n">
        <v>0</v>
      </c>
      <c r="AL14" s="15" t="n">
        <v>0</v>
      </c>
      <c r="AM14" s="15" t="n">
        <v>39.8</v>
      </c>
      <c r="AN14" s="15" t="n">
        <v>69.4</v>
      </c>
      <c r="AO14" s="15" t="n">
        <v>72.8</v>
      </c>
      <c r="AP14" s="15" t="s">
        <v>1020</v>
      </c>
      <c r="AQ14" s="15" t="s">
        <v>1021</v>
      </c>
      <c r="AR14" s="15" t="s">
        <v>169</v>
      </c>
      <c r="AS14" s="15"/>
      <c r="AT14" s="29" t="str">
        <f aca="false">IF(A14="","",IF(COUNTIF(Parcels!$A$2:$A$3000,B14)=0,"Parcel not found",IF(COUNTIF($A$2:$A$3000,A14)&gt;1,"Duplicate perm_id",IF(AND(R14="Yes",D14&lt;&gt;"",COUNTIFS($C$2:$C$3000,D14,$R$2:$R$3000,"Yes")&gt;1),"Reference counted twice",IF(COUNTIF(Lists!$A$2:$A$7,I14)=0,"Unknown status","")))))</f>
        <v/>
      </c>
    </row>
    <row r="15" customFormat="false" ht="15" hidden="false" customHeight="false" outlineLevel="0" collapsed="false">
      <c r="A15" s="15" t="s">
        <v>1109</v>
      </c>
      <c r="B15" s="15" t="s">
        <v>288</v>
      </c>
      <c r="C15" s="15" t="s">
        <v>55</v>
      </c>
      <c r="D15" s="15" t="s">
        <v>1110</v>
      </c>
      <c r="E15" s="15" t="s">
        <v>1110</v>
      </c>
      <c r="F15" s="15" t="s">
        <v>1111</v>
      </c>
      <c r="G15" s="15" t="n">
        <v>250</v>
      </c>
      <c r="H15" s="15"/>
      <c r="I15" s="15" t="s">
        <v>48</v>
      </c>
      <c r="J15" s="15" t="s">
        <v>1008</v>
      </c>
      <c r="K15" s="15" t="s">
        <v>48</v>
      </c>
      <c r="L15" s="15" t="n">
        <v>0</v>
      </c>
      <c r="M15" s="15" t="n">
        <v>0</v>
      </c>
      <c r="N15" s="15" t="n">
        <v>0</v>
      </c>
      <c r="O15" s="15" t="n">
        <v>0</v>
      </c>
      <c r="P15" s="15"/>
      <c r="Q15" s="15" t="s">
        <v>1009</v>
      </c>
      <c r="R15" s="15" t="s">
        <v>1010</v>
      </c>
      <c r="S15" s="15" t="s">
        <v>1050</v>
      </c>
      <c r="T15" s="15" t="n">
        <v>0</v>
      </c>
      <c r="U15" s="15" t="n">
        <v>42</v>
      </c>
      <c r="V15" s="15" t="n">
        <v>73</v>
      </c>
      <c r="W15" s="15" t="n">
        <v>110</v>
      </c>
      <c r="X15" s="15" t="n">
        <v>26</v>
      </c>
      <c r="Y15" s="15" t="n">
        <v>2</v>
      </c>
      <c r="Z15" s="15" t="s">
        <v>1012</v>
      </c>
      <c r="AA15" s="15" t="s">
        <v>1035</v>
      </c>
      <c r="AB15" s="15" t="s">
        <v>1036</v>
      </c>
      <c r="AC15" s="15" t="s">
        <v>1037</v>
      </c>
      <c r="AD15" s="15" t="s">
        <v>1112</v>
      </c>
      <c r="AE15" s="15"/>
      <c r="AF15" s="15" t="s">
        <v>1113</v>
      </c>
      <c r="AG15" s="15" t="s">
        <v>1114</v>
      </c>
      <c r="AH15" s="15" t="s">
        <v>1102</v>
      </c>
      <c r="AI15" s="15" t="s">
        <v>1042</v>
      </c>
      <c r="AJ15" s="15" t="n">
        <v>0</v>
      </c>
      <c r="AK15" s="15" t="n">
        <v>26.9</v>
      </c>
      <c r="AL15" s="15" t="n">
        <v>62.9</v>
      </c>
      <c r="AM15" s="15" t="n">
        <v>62.9</v>
      </c>
      <c r="AN15" s="15" t="n">
        <v>62.9</v>
      </c>
      <c r="AO15" s="15" t="n">
        <v>34.4</v>
      </c>
      <c r="AP15" s="15" t="s">
        <v>1020</v>
      </c>
      <c r="AQ15" s="15" t="s">
        <v>1021</v>
      </c>
      <c r="AR15" s="15" t="s">
        <v>169</v>
      </c>
      <c r="AS15" s="15"/>
      <c r="AT15" s="29" t="str">
        <f aca="false">IF(A15="","",IF(COUNTIF(Parcels!$A$2:$A$3000,B15)=0,"Parcel not found",IF(COUNTIF($A$2:$A$3000,A15)&gt;1,"Duplicate perm_id",IF(AND(R15="Yes",D15&lt;&gt;"",COUNTIFS($C$2:$C$3000,D15,$R$2:$R$3000,"Yes")&gt;1),"Reference counted twice",IF(COUNTIF(Lists!$A$2:$A$7,I15)=0,"Unknown status","")))))</f>
        <v/>
      </c>
    </row>
    <row r="16" customFormat="false" ht="15" hidden="false" customHeight="false" outlineLevel="0" collapsed="false">
      <c r="A16" s="15" t="s">
        <v>1115</v>
      </c>
      <c r="B16" s="15" t="s">
        <v>200</v>
      </c>
      <c r="C16" s="15" t="s">
        <v>51</v>
      </c>
      <c r="D16" s="15" t="s">
        <v>1116</v>
      </c>
      <c r="E16" s="15" t="s">
        <v>1116</v>
      </c>
      <c r="F16" s="15" t="s">
        <v>1117</v>
      </c>
      <c r="G16" s="15" t="n">
        <v>31</v>
      </c>
      <c r="H16" s="15"/>
      <c r="I16" s="15" t="s">
        <v>1118</v>
      </c>
      <c r="J16" s="15" t="s">
        <v>1008</v>
      </c>
      <c r="K16" s="15" t="s">
        <v>1118</v>
      </c>
      <c r="L16" s="15" t="n">
        <v>0</v>
      </c>
      <c r="M16" s="15" t="n">
        <v>0</v>
      </c>
      <c r="N16" s="15" t="n">
        <v>0</v>
      </c>
      <c r="O16" s="15" t="n">
        <v>0</v>
      </c>
      <c r="P16" s="15"/>
      <c r="Q16" s="15" t="s">
        <v>1009</v>
      </c>
      <c r="R16" s="15" t="s">
        <v>1010</v>
      </c>
      <c r="S16" s="15" t="s">
        <v>1026</v>
      </c>
      <c r="T16" s="15"/>
      <c r="U16" s="15"/>
      <c r="V16" s="15"/>
      <c r="W16" s="15"/>
      <c r="X16" s="15"/>
      <c r="Y16" s="15"/>
      <c r="Z16" s="15" t="s">
        <v>1012</v>
      </c>
      <c r="AA16" s="15" t="s">
        <v>1119</v>
      </c>
      <c r="AB16" s="15" t="s">
        <v>176</v>
      </c>
      <c r="AC16" s="15" t="s">
        <v>1027</v>
      </c>
      <c r="AD16" s="15" t="s">
        <v>1120</v>
      </c>
      <c r="AE16" s="15" t="s">
        <v>1121</v>
      </c>
      <c r="AF16" s="15"/>
      <c r="AG16" s="15"/>
      <c r="AH16" s="15"/>
      <c r="AI16" s="15" t="s">
        <v>1030</v>
      </c>
      <c r="AJ16" s="15" t="n">
        <v>0</v>
      </c>
      <c r="AK16" s="15" t="n">
        <v>0</v>
      </c>
      <c r="AL16" s="15" t="n">
        <v>0</v>
      </c>
      <c r="AM16" s="15" t="n">
        <v>0</v>
      </c>
      <c r="AN16" s="15" t="n">
        <v>0</v>
      </c>
      <c r="AO16" s="15" t="n">
        <v>0</v>
      </c>
      <c r="AP16" s="15" t="s">
        <v>1020</v>
      </c>
      <c r="AQ16" s="15" t="s">
        <v>1021</v>
      </c>
      <c r="AR16" s="15" t="s">
        <v>169</v>
      </c>
      <c r="AS16" s="15"/>
      <c r="AT16" s="29" t="str">
        <f aca="false">IF(A16="","",IF(COUNTIF(Parcels!$A$2:$A$3000,B16)=0,"Parcel not found",IF(COUNTIF($A$2:$A$3000,A16)&gt;1,"Duplicate perm_id",IF(AND(R16="Yes",D16&lt;&gt;"",COUNTIFS($C$2:$C$3000,D16,$R$2:$R$3000,"Yes")&gt;1),"Reference counted twice",IF(COUNTIF(Lists!$A$2:$A$7,I16)=0,"Unknown status","")))))</f>
        <v/>
      </c>
    </row>
    <row r="17" customFormat="false" ht="15" hidden="false" customHeight="false" outlineLevel="0" collapsed="false">
      <c r="A17" s="15" t="s">
        <v>1122</v>
      </c>
      <c r="B17" s="15" t="s">
        <v>201</v>
      </c>
      <c r="C17" s="15" t="s">
        <v>51</v>
      </c>
      <c r="D17" s="15" t="s">
        <v>1123</v>
      </c>
      <c r="E17" s="15" t="s">
        <v>1123</v>
      </c>
      <c r="F17" s="15" t="s">
        <v>1124</v>
      </c>
      <c r="G17" s="15" t="n">
        <v>46</v>
      </c>
      <c r="H17" s="15"/>
      <c r="I17" s="15" t="s">
        <v>1007</v>
      </c>
      <c r="J17" s="15" t="s">
        <v>1008</v>
      </c>
      <c r="K17" s="15" t="s">
        <v>1007</v>
      </c>
      <c r="L17" s="15" t="n">
        <v>0</v>
      </c>
      <c r="M17" s="15" t="n">
        <v>0</v>
      </c>
      <c r="N17" s="15" t="n">
        <v>0</v>
      </c>
      <c r="O17" s="15" t="n">
        <v>0</v>
      </c>
      <c r="P17" s="15"/>
      <c r="Q17" s="15" t="s">
        <v>1009</v>
      </c>
      <c r="R17" s="15" t="s">
        <v>1010</v>
      </c>
      <c r="S17" s="15" t="s">
        <v>1011</v>
      </c>
      <c r="T17" s="15" t="n">
        <v>0</v>
      </c>
      <c r="U17" s="15" t="n">
        <v>23</v>
      </c>
      <c r="V17" s="15" t="n">
        <v>23</v>
      </c>
      <c r="W17" s="15" t="n">
        <v>0</v>
      </c>
      <c r="X17" s="15" t="n">
        <v>0</v>
      </c>
      <c r="Y17" s="15" t="n">
        <v>0</v>
      </c>
      <c r="Z17" s="15" t="s">
        <v>1012</v>
      </c>
      <c r="AA17" s="15" t="s">
        <v>1013</v>
      </c>
      <c r="AB17" s="15" t="s">
        <v>176</v>
      </c>
      <c r="AC17" s="15" t="s">
        <v>1027</v>
      </c>
      <c r="AD17" s="15" t="s">
        <v>1125</v>
      </c>
      <c r="AE17" s="15" t="s">
        <v>1126</v>
      </c>
      <c r="AF17" s="15"/>
      <c r="AG17" s="15" t="s">
        <v>1017</v>
      </c>
      <c r="AH17" s="15" t="s">
        <v>1127</v>
      </c>
      <c r="AI17" s="15" t="s">
        <v>1019</v>
      </c>
      <c r="AJ17" s="15" t="n">
        <v>0</v>
      </c>
      <c r="AK17" s="15" t="n">
        <v>0</v>
      </c>
      <c r="AL17" s="15" t="n">
        <v>19.4</v>
      </c>
      <c r="AM17" s="15" t="n">
        <v>26.6</v>
      </c>
      <c r="AN17" s="15" t="n">
        <v>0</v>
      </c>
      <c r="AO17" s="15" t="n">
        <v>0</v>
      </c>
      <c r="AP17" s="15" t="s">
        <v>1020</v>
      </c>
      <c r="AQ17" s="15" t="s">
        <v>1021</v>
      </c>
      <c r="AR17" s="15" t="s">
        <v>169</v>
      </c>
      <c r="AS17" s="15"/>
      <c r="AT17" s="29" t="str">
        <f aca="false">IF(A17="","",IF(COUNTIF(Parcels!$A$2:$A$3000,B17)=0,"Parcel not found",IF(COUNTIF($A$2:$A$3000,A17)&gt;1,"Duplicate perm_id",IF(AND(R17="Yes",D17&lt;&gt;"",COUNTIFS($C$2:$C$3000,D17,$R$2:$R$3000,"Yes")&gt;1),"Reference counted twice",IF(COUNTIF(Lists!$A$2:$A$7,I17)=0,"Unknown status","")))))</f>
        <v/>
      </c>
    </row>
    <row r="18" customFormat="false" ht="15" hidden="false" customHeight="false" outlineLevel="0" collapsed="false">
      <c r="A18" s="15" t="s">
        <v>1128</v>
      </c>
      <c r="B18" s="15" t="s">
        <v>202</v>
      </c>
      <c r="C18" s="15" t="s">
        <v>51</v>
      </c>
      <c r="D18" s="15" t="s">
        <v>1129</v>
      </c>
      <c r="E18" s="15" t="s">
        <v>1129</v>
      </c>
      <c r="F18" s="15" t="s">
        <v>1130</v>
      </c>
      <c r="G18" s="15" t="n">
        <v>6</v>
      </c>
      <c r="H18" s="15"/>
      <c r="I18" s="15" t="s">
        <v>1046</v>
      </c>
      <c r="J18" s="15" t="s">
        <v>1008</v>
      </c>
      <c r="K18" s="15" t="s">
        <v>1046</v>
      </c>
      <c r="L18" s="15" t="n">
        <v>0</v>
      </c>
      <c r="M18" s="15" t="n">
        <v>0</v>
      </c>
      <c r="N18" s="15" t="n">
        <v>0</v>
      </c>
      <c r="O18" s="15" t="n">
        <v>0</v>
      </c>
      <c r="P18" s="15"/>
      <c r="Q18" s="15" t="s">
        <v>1009</v>
      </c>
      <c r="R18" s="15" t="s">
        <v>1010</v>
      </c>
      <c r="S18" s="15" t="s">
        <v>1131</v>
      </c>
      <c r="T18" s="15"/>
      <c r="U18" s="15"/>
      <c r="V18" s="15"/>
      <c r="W18" s="15"/>
      <c r="X18" s="15"/>
      <c r="Y18" s="15"/>
      <c r="Z18" s="15" t="s">
        <v>1034</v>
      </c>
      <c r="AA18" s="15" t="s">
        <v>1035</v>
      </c>
      <c r="AB18" s="15" t="s">
        <v>1036</v>
      </c>
      <c r="AC18" s="15" t="s">
        <v>1037</v>
      </c>
      <c r="AD18" s="15"/>
      <c r="AE18" s="15"/>
      <c r="AF18" s="15"/>
      <c r="AG18" s="15"/>
      <c r="AH18" s="15"/>
      <c r="AI18" s="15" t="s">
        <v>1030</v>
      </c>
      <c r="AJ18" s="15" t="n">
        <v>0</v>
      </c>
      <c r="AK18" s="15" t="n">
        <v>0</v>
      </c>
      <c r="AL18" s="15" t="n">
        <v>0</v>
      </c>
      <c r="AM18" s="15" t="n">
        <v>0</v>
      </c>
      <c r="AN18" s="15" t="n">
        <v>0</v>
      </c>
      <c r="AO18" s="15" t="n">
        <v>0</v>
      </c>
      <c r="AP18" s="15" t="s">
        <v>1020</v>
      </c>
      <c r="AQ18" s="15" t="s">
        <v>1021</v>
      </c>
      <c r="AR18" s="15" t="s">
        <v>169</v>
      </c>
      <c r="AS18" s="15"/>
      <c r="AT18" s="29" t="str">
        <f aca="false">IF(A18="","",IF(COUNTIF(Parcels!$A$2:$A$3000,B18)=0,"Parcel not found",IF(COUNTIF($A$2:$A$3000,A18)&gt;1,"Duplicate perm_id",IF(AND(R18="Yes",D18&lt;&gt;"",COUNTIFS($C$2:$C$3000,D18,$R$2:$R$3000,"Yes")&gt;1),"Reference counted twice",IF(COUNTIF(Lists!$A$2:$A$7,I18)=0,"Unknown status","")))))</f>
        <v/>
      </c>
    </row>
    <row r="19" customFormat="false" ht="15" hidden="false" customHeight="false" outlineLevel="0" collapsed="false">
      <c r="A19" s="15" t="s">
        <v>1132</v>
      </c>
      <c r="B19" s="15" t="s">
        <v>203</v>
      </c>
      <c r="C19" s="15" t="s">
        <v>51</v>
      </c>
      <c r="D19" s="15" t="s">
        <v>1133</v>
      </c>
      <c r="E19" s="15" t="s">
        <v>1133</v>
      </c>
      <c r="F19" s="15" t="s">
        <v>1134</v>
      </c>
      <c r="G19" s="15" t="n">
        <v>65</v>
      </c>
      <c r="H19" s="15"/>
      <c r="I19" s="15" t="s">
        <v>47</v>
      </c>
      <c r="J19" s="15" t="s">
        <v>1008</v>
      </c>
      <c r="K19" s="15" t="s">
        <v>47</v>
      </c>
      <c r="L19" s="15" t="n">
        <v>65</v>
      </c>
      <c r="M19" s="15" t="n">
        <v>0</v>
      </c>
      <c r="N19" s="15" t="n">
        <v>65</v>
      </c>
      <c r="O19" s="15" t="n">
        <v>0</v>
      </c>
      <c r="P19" s="15" t="s">
        <v>1135</v>
      </c>
      <c r="Q19" s="15" t="s">
        <v>1009</v>
      </c>
      <c r="R19" s="15" t="s">
        <v>1010</v>
      </c>
      <c r="S19" s="15" t="s">
        <v>1011</v>
      </c>
      <c r="T19" s="15" t="n">
        <v>0</v>
      </c>
      <c r="U19" s="15" t="n">
        <v>21</v>
      </c>
      <c r="V19" s="15" t="n">
        <v>44</v>
      </c>
      <c r="W19" s="15" t="n">
        <v>0</v>
      </c>
      <c r="X19" s="15" t="n">
        <v>0</v>
      </c>
      <c r="Y19" s="15" t="n">
        <v>0</v>
      </c>
      <c r="Z19" s="15" t="s">
        <v>1136</v>
      </c>
      <c r="AA19" s="15" t="s">
        <v>1013</v>
      </c>
      <c r="AB19" s="15" t="s">
        <v>176</v>
      </c>
      <c r="AC19" s="15" t="s">
        <v>1027</v>
      </c>
      <c r="AD19" s="15" t="s">
        <v>1137</v>
      </c>
      <c r="AE19" s="15" t="s">
        <v>1138</v>
      </c>
      <c r="AF19" s="15" t="s">
        <v>1139</v>
      </c>
      <c r="AG19" s="15"/>
      <c r="AH19" s="15"/>
      <c r="AI19" s="15" t="s">
        <v>1053</v>
      </c>
      <c r="AJ19" s="15" t="n">
        <v>0</v>
      </c>
      <c r="AK19" s="15" t="n">
        <v>0</v>
      </c>
      <c r="AL19" s="15" t="n">
        <v>0</v>
      </c>
      <c r="AM19" s="15" t="n">
        <v>0</v>
      </c>
      <c r="AN19" s="15" t="n">
        <v>0</v>
      </c>
      <c r="AO19" s="15" t="n">
        <v>0</v>
      </c>
      <c r="AP19" s="15" t="s">
        <v>1020</v>
      </c>
      <c r="AQ19" s="15" t="s">
        <v>1021</v>
      </c>
      <c r="AR19" s="15" t="s">
        <v>169</v>
      </c>
      <c r="AS19" s="15"/>
      <c r="AT19" s="29" t="str">
        <f aca="false">IF(A19="","",IF(COUNTIF(Parcels!$A$2:$A$3000,B19)=0,"Parcel not found",IF(COUNTIF($A$2:$A$3000,A19)&gt;1,"Duplicate perm_id",IF(AND(R19="Yes",D19&lt;&gt;"",COUNTIFS($C$2:$C$3000,D19,$R$2:$R$3000,"Yes")&gt;1),"Reference counted twice",IF(COUNTIF(Lists!$A$2:$A$7,I19)=0,"Unknown status","")))))</f>
        <v/>
      </c>
    </row>
    <row r="20" customFormat="false" ht="15" hidden="false" customHeight="false" outlineLevel="0" collapsed="false">
      <c r="A20" s="15" t="s">
        <v>1140</v>
      </c>
      <c r="B20" s="15" t="s">
        <v>203</v>
      </c>
      <c r="C20" s="15" t="s">
        <v>51</v>
      </c>
      <c r="D20" s="15" t="s">
        <v>1141</v>
      </c>
      <c r="E20" s="15" t="s">
        <v>1141</v>
      </c>
      <c r="F20" s="15" t="s">
        <v>1142</v>
      </c>
      <c r="G20" s="15" t="n">
        <v>167</v>
      </c>
      <c r="H20" s="15"/>
      <c r="I20" s="15" t="s">
        <v>48</v>
      </c>
      <c r="J20" s="15" t="s">
        <v>1008</v>
      </c>
      <c r="K20" s="15" t="s">
        <v>48</v>
      </c>
      <c r="L20" s="15" t="n">
        <v>0</v>
      </c>
      <c r="M20" s="15" t="n">
        <v>0</v>
      </c>
      <c r="N20" s="15" t="n">
        <v>30</v>
      </c>
      <c r="O20" s="15" t="n">
        <v>0</v>
      </c>
      <c r="P20" s="15"/>
      <c r="Q20" s="15" t="s">
        <v>1009</v>
      </c>
      <c r="R20" s="15" t="s">
        <v>1010</v>
      </c>
      <c r="S20" s="15" t="s">
        <v>1011</v>
      </c>
      <c r="T20" s="15" t="n">
        <v>0</v>
      </c>
      <c r="U20" s="15" t="n">
        <v>82</v>
      </c>
      <c r="V20" s="15" t="n">
        <v>83</v>
      </c>
      <c r="W20" s="15" t="n">
        <v>2</v>
      </c>
      <c r="X20" s="15" t="n">
        <v>0</v>
      </c>
      <c r="Y20" s="15" t="n">
        <v>0</v>
      </c>
      <c r="Z20" s="15" t="s">
        <v>1143</v>
      </c>
      <c r="AA20" s="15" t="s">
        <v>1013</v>
      </c>
      <c r="AB20" s="15" t="s">
        <v>176</v>
      </c>
      <c r="AC20" s="15" t="s">
        <v>1092</v>
      </c>
      <c r="AD20" s="15" t="s">
        <v>1144</v>
      </c>
      <c r="AE20" s="15" t="s">
        <v>1145</v>
      </c>
      <c r="AF20" s="15" t="s">
        <v>1146</v>
      </c>
      <c r="AG20" s="15" t="s">
        <v>1147</v>
      </c>
      <c r="AH20" s="15" t="s">
        <v>1060</v>
      </c>
      <c r="AI20" s="15" t="s">
        <v>1042</v>
      </c>
      <c r="AJ20" s="15" t="n">
        <v>17.4</v>
      </c>
      <c r="AK20" s="15" t="n">
        <v>74.9</v>
      </c>
      <c r="AL20" s="15" t="n">
        <v>74.6</v>
      </c>
      <c r="AM20" s="15" t="n">
        <v>0</v>
      </c>
      <c r="AN20" s="15" t="n">
        <v>0</v>
      </c>
      <c r="AO20" s="15" t="n">
        <v>0.1</v>
      </c>
      <c r="AP20" s="15" t="s">
        <v>1020</v>
      </c>
      <c r="AQ20" s="15" t="s">
        <v>1021</v>
      </c>
      <c r="AR20" s="15" t="s">
        <v>169</v>
      </c>
      <c r="AS20" s="15"/>
      <c r="AT20" s="29" t="str">
        <f aca="false">IF(A20="","",IF(COUNTIF(Parcels!$A$2:$A$3000,B20)=0,"Parcel not found",IF(COUNTIF($A$2:$A$3000,A20)&gt;1,"Duplicate perm_id",IF(AND(R20="Yes",D20&lt;&gt;"",COUNTIFS($C$2:$C$3000,D20,$R$2:$R$3000,"Yes")&gt;1),"Reference counted twice",IF(COUNTIF(Lists!$A$2:$A$7,I20)=0,"Unknown status","")))))</f>
        <v/>
      </c>
    </row>
    <row r="21" customFormat="false" ht="15" hidden="false" customHeight="false" outlineLevel="0" collapsed="false">
      <c r="A21" s="15" t="s">
        <v>1148</v>
      </c>
      <c r="B21" s="15" t="s">
        <v>267</v>
      </c>
      <c r="C21" s="15" t="s">
        <v>54</v>
      </c>
      <c r="D21" s="15" t="s">
        <v>1149</v>
      </c>
      <c r="E21" s="15" t="s">
        <v>1149</v>
      </c>
      <c r="F21" s="15" t="s">
        <v>1150</v>
      </c>
      <c r="G21" s="15" t="n">
        <v>25</v>
      </c>
      <c r="H21" s="15"/>
      <c r="I21" s="15" t="s">
        <v>1007</v>
      </c>
      <c r="J21" s="15" t="s">
        <v>1008</v>
      </c>
      <c r="K21" s="15" t="s">
        <v>1007</v>
      </c>
      <c r="L21" s="15" t="n">
        <v>0</v>
      </c>
      <c r="M21" s="15" t="n">
        <v>0</v>
      </c>
      <c r="N21" s="15" t="n">
        <v>0</v>
      </c>
      <c r="O21" s="15" t="n">
        <v>0</v>
      </c>
      <c r="P21" s="15"/>
      <c r="Q21" s="15" t="s">
        <v>1009</v>
      </c>
      <c r="R21" s="15" t="s">
        <v>1010</v>
      </c>
      <c r="S21" s="15" t="s">
        <v>1011</v>
      </c>
      <c r="T21" s="15" t="n">
        <v>0</v>
      </c>
      <c r="U21" s="15" t="n">
        <v>8</v>
      </c>
      <c r="V21" s="15" t="n">
        <v>8</v>
      </c>
      <c r="W21" s="15" t="n">
        <v>9</v>
      </c>
      <c r="X21" s="15" t="n">
        <v>0</v>
      </c>
      <c r="Y21" s="15" t="n">
        <v>0</v>
      </c>
      <c r="Z21" s="15" t="s">
        <v>1012</v>
      </c>
      <c r="AA21" s="15" t="s">
        <v>1013</v>
      </c>
      <c r="AB21" s="15" t="s">
        <v>176</v>
      </c>
      <c r="AC21" s="15" t="s">
        <v>1027</v>
      </c>
      <c r="AD21" s="15" t="s">
        <v>1151</v>
      </c>
      <c r="AE21" s="15" t="s">
        <v>1152</v>
      </c>
      <c r="AF21" s="15"/>
      <c r="AG21" s="15" t="s">
        <v>1041</v>
      </c>
      <c r="AH21" s="15" t="s">
        <v>1127</v>
      </c>
      <c r="AI21" s="15" t="s">
        <v>1061</v>
      </c>
      <c r="AJ21" s="15" t="n">
        <v>0</v>
      </c>
      <c r="AK21" s="15" t="n">
        <v>0</v>
      </c>
      <c r="AL21" s="15" t="n">
        <v>8.5</v>
      </c>
      <c r="AM21" s="15" t="n">
        <v>16.5</v>
      </c>
      <c r="AN21" s="15" t="n">
        <v>0</v>
      </c>
      <c r="AO21" s="15" t="n">
        <v>0</v>
      </c>
      <c r="AP21" s="15" t="s">
        <v>1020</v>
      </c>
      <c r="AQ21" s="15" t="s">
        <v>1021</v>
      </c>
      <c r="AR21" s="15" t="s">
        <v>169</v>
      </c>
      <c r="AS21" s="15"/>
      <c r="AT21" s="29" t="str">
        <f aca="false">IF(A21="","",IF(COUNTIF(Parcels!$A$2:$A$3000,B21)=0,"Parcel not found",IF(COUNTIF($A$2:$A$3000,A21)&gt;1,"Duplicate perm_id",IF(AND(R21="Yes",D21&lt;&gt;"",COUNTIFS($C$2:$C$3000,D21,$R$2:$R$3000,"Yes")&gt;1),"Reference counted twice",IF(COUNTIF(Lists!$A$2:$A$7,I21)=0,"Unknown status","")))))</f>
        <v/>
      </c>
    </row>
    <row r="22" customFormat="false" ht="15" hidden="false" customHeight="false" outlineLevel="0" collapsed="false">
      <c r="A22" s="15" t="s">
        <v>1153</v>
      </c>
      <c r="B22" s="15" t="s">
        <v>268</v>
      </c>
      <c r="C22" s="15" t="s">
        <v>54</v>
      </c>
      <c r="D22" s="15" t="s">
        <v>1154</v>
      </c>
      <c r="E22" s="15" t="s">
        <v>1154</v>
      </c>
      <c r="F22" s="15" t="s">
        <v>1155</v>
      </c>
      <c r="G22" s="15" t="n">
        <v>26</v>
      </c>
      <c r="H22" s="15"/>
      <c r="I22" s="15" t="s">
        <v>48</v>
      </c>
      <c r="J22" s="15" t="s">
        <v>1008</v>
      </c>
      <c r="K22" s="15" t="s">
        <v>48</v>
      </c>
      <c r="L22" s="15" t="n">
        <v>0</v>
      </c>
      <c r="M22" s="15" t="n">
        <v>0</v>
      </c>
      <c r="N22" s="15" t="n">
        <v>0</v>
      </c>
      <c r="O22" s="15" t="n">
        <v>0</v>
      </c>
      <c r="P22" s="15"/>
      <c r="Q22" s="15" t="s">
        <v>1009</v>
      </c>
      <c r="R22" s="15" t="s">
        <v>1010</v>
      </c>
      <c r="S22" s="15" t="s">
        <v>1011</v>
      </c>
      <c r="T22" s="15" t="n">
        <v>0</v>
      </c>
      <c r="U22" s="15" t="n">
        <v>0</v>
      </c>
      <c r="V22" s="15" t="n">
        <v>0</v>
      </c>
      <c r="W22" s="15" t="n">
        <v>0</v>
      </c>
      <c r="X22" s="15" t="n">
        <v>24</v>
      </c>
      <c r="Y22" s="15" t="n">
        <v>0</v>
      </c>
      <c r="Z22" s="15" t="s">
        <v>1012</v>
      </c>
      <c r="AA22" s="15" t="s">
        <v>1013</v>
      </c>
      <c r="AB22" s="15" t="s">
        <v>176</v>
      </c>
      <c r="AC22" s="15" t="s">
        <v>1027</v>
      </c>
      <c r="AD22" s="15" t="s">
        <v>1156</v>
      </c>
      <c r="AE22" s="15" t="s">
        <v>1157</v>
      </c>
      <c r="AF22" s="15" t="s">
        <v>1158</v>
      </c>
      <c r="AG22" s="15" t="s">
        <v>1040</v>
      </c>
      <c r="AH22" s="15" t="s">
        <v>1041</v>
      </c>
      <c r="AI22" s="15" t="s">
        <v>1042</v>
      </c>
      <c r="AJ22" s="15" t="n">
        <v>6.1</v>
      </c>
      <c r="AK22" s="15" t="n">
        <v>19.9</v>
      </c>
      <c r="AL22" s="15" t="n">
        <v>0</v>
      </c>
      <c r="AM22" s="15" t="n">
        <v>0</v>
      </c>
      <c r="AN22" s="15" t="n">
        <v>0</v>
      </c>
      <c r="AO22" s="15" t="n">
        <v>0</v>
      </c>
      <c r="AP22" s="15" t="s">
        <v>1020</v>
      </c>
      <c r="AQ22" s="15" t="s">
        <v>1021</v>
      </c>
      <c r="AR22" s="15" t="s">
        <v>169</v>
      </c>
      <c r="AS22" s="15"/>
      <c r="AT22" s="29" t="str">
        <f aca="false">IF(A22="","",IF(COUNTIF(Parcels!$A$2:$A$3000,B22)=0,"Parcel not found",IF(COUNTIF($A$2:$A$3000,A22)&gt;1,"Duplicate perm_id",IF(AND(R22="Yes",D22&lt;&gt;"",COUNTIFS($C$2:$C$3000,D22,$R$2:$R$3000,"Yes")&gt;1),"Reference counted twice",IF(COUNTIF(Lists!$A$2:$A$7,I22)=0,"Unknown status","")))))</f>
        <v/>
      </c>
    </row>
    <row r="23" customFormat="false" ht="15" hidden="false" customHeight="false" outlineLevel="0" collapsed="false">
      <c r="A23" s="15" t="s">
        <v>1159</v>
      </c>
      <c r="B23" s="15" t="s">
        <v>453</v>
      </c>
      <c r="C23" s="15" t="s">
        <v>56</v>
      </c>
      <c r="D23" s="15" t="s">
        <v>1160</v>
      </c>
      <c r="E23" s="15" t="s">
        <v>1160</v>
      </c>
      <c r="F23" s="15" t="s">
        <v>1161</v>
      </c>
      <c r="G23" s="15" t="n">
        <v>27</v>
      </c>
      <c r="H23" s="15"/>
      <c r="I23" s="15" t="s">
        <v>1007</v>
      </c>
      <c r="J23" s="15" t="s">
        <v>1008</v>
      </c>
      <c r="K23" s="15" t="s">
        <v>1007</v>
      </c>
      <c r="L23" s="15" t="n">
        <v>0</v>
      </c>
      <c r="M23" s="15" t="n">
        <v>0</v>
      </c>
      <c r="N23" s="15" t="n">
        <v>0</v>
      </c>
      <c r="O23" s="15" t="n">
        <v>0</v>
      </c>
      <c r="P23" s="15"/>
      <c r="Q23" s="15" t="s">
        <v>1009</v>
      </c>
      <c r="R23" s="15" t="s">
        <v>1010</v>
      </c>
      <c r="S23" s="15" t="s">
        <v>1050</v>
      </c>
      <c r="T23" s="15" t="n">
        <v>0</v>
      </c>
      <c r="U23" s="15" t="n">
        <v>9</v>
      </c>
      <c r="V23" s="15" t="n">
        <v>18</v>
      </c>
      <c r="W23" s="15" t="n">
        <v>0</v>
      </c>
      <c r="X23" s="15" t="n">
        <v>0</v>
      </c>
      <c r="Y23" s="15" t="n">
        <v>0</v>
      </c>
      <c r="Z23" s="15" t="s">
        <v>1034</v>
      </c>
      <c r="AA23" s="15" t="s">
        <v>1035</v>
      </c>
      <c r="AB23" s="15" t="s">
        <v>1036</v>
      </c>
      <c r="AC23" s="15" t="s">
        <v>1037</v>
      </c>
      <c r="AD23" s="15" t="s">
        <v>1162</v>
      </c>
      <c r="AE23" s="15"/>
      <c r="AF23" s="15"/>
      <c r="AG23" s="15" t="s">
        <v>1017</v>
      </c>
      <c r="AH23" s="15" t="s">
        <v>1060</v>
      </c>
      <c r="AI23" s="15" t="s">
        <v>1019</v>
      </c>
      <c r="AJ23" s="15" t="n">
        <v>0</v>
      </c>
      <c r="AK23" s="15" t="n">
        <v>0</v>
      </c>
      <c r="AL23" s="15" t="n">
        <v>20.5</v>
      </c>
      <c r="AM23" s="15" t="n">
        <v>6.5</v>
      </c>
      <c r="AN23" s="15" t="n">
        <v>0</v>
      </c>
      <c r="AO23" s="15" t="n">
        <v>0</v>
      </c>
      <c r="AP23" s="15" t="s">
        <v>1020</v>
      </c>
      <c r="AQ23" s="15" t="s">
        <v>1021</v>
      </c>
      <c r="AR23" s="15" t="s">
        <v>169</v>
      </c>
      <c r="AS23" s="15"/>
      <c r="AT23" s="29" t="str">
        <f aca="false">IF(A23="","",IF(COUNTIF(Parcels!$A$2:$A$3000,B23)=0,"Parcel not found",IF(COUNTIF($A$2:$A$3000,A23)&gt;1,"Duplicate perm_id",IF(AND(R23="Yes",D23&lt;&gt;"",COUNTIFS($C$2:$C$3000,D23,$R$2:$R$3000,"Yes")&gt;1),"Reference counted twice",IF(COUNTIF(Lists!$A$2:$A$7,I23)=0,"Unknown status","")))))</f>
        <v/>
      </c>
    </row>
    <row r="24" customFormat="false" ht="15" hidden="false" customHeight="false" outlineLevel="0" collapsed="false">
      <c r="A24" s="15" t="s">
        <v>1163</v>
      </c>
      <c r="B24" s="15" t="s">
        <v>300</v>
      </c>
      <c r="C24" s="15" t="s">
        <v>56</v>
      </c>
      <c r="D24" s="15" t="s">
        <v>1164</v>
      </c>
      <c r="E24" s="15" t="s">
        <v>1164</v>
      </c>
      <c r="F24" s="15" t="s">
        <v>1165</v>
      </c>
      <c r="G24" s="15" t="n">
        <v>30</v>
      </c>
      <c r="H24" s="15"/>
      <c r="I24" s="15" t="s">
        <v>1046</v>
      </c>
      <c r="J24" s="15" t="s">
        <v>1008</v>
      </c>
      <c r="K24" s="15" t="s">
        <v>1046</v>
      </c>
      <c r="L24" s="15" t="n">
        <v>0</v>
      </c>
      <c r="M24" s="15" t="n">
        <v>0</v>
      </c>
      <c r="N24" s="15" t="n">
        <v>0</v>
      </c>
      <c r="O24" s="15" t="n">
        <v>0</v>
      </c>
      <c r="P24" s="15"/>
      <c r="Q24" s="15" t="s">
        <v>1009</v>
      </c>
      <c r="R24" s="15" t="s">
        <v>1010</v>
      </c>
      <c r="S24" s="15" t="s">
        <v>1011</v>
      </c>
      <c r="T24" s="15" t="n">
        <v>0</v>
      </c>
      <c r="U24" s="15" t="n">
        <v>16</v>
      </c>
      <c r="V24" s="15" t="n">
        <v>10</v>
      </c>
      <c r="W24" s="15" t="n">
        <v>4</v>
      </c>
      <c r="X24" s="15" t="n">
        <v>0</v>
      </c>
      <c r="Y24" s="15" t="n">
        <v>0</v>
      </c>
      <c r="Z24" s="15" t="s">
        <v>1034</v>
      </c>
      <c r="AA24" s="15" t="s">
        <v>1035</v>
      </c>
      <c r="AB24" s="15" t="s">
        <v>1036</v>
      </c>
      <c r="AC24" s="15" t="s">
        <v>1037</v>
      </c>
      <c r="AD24" s="15"/>
      <c r="AE24" s="15"/>
      <c r="AF24" s="15"/>
      <c r="AG24" s="15"/>
      <c r="AH24" s="15"/>
      <c r="AI24" s="15" t="s">
        <v>1030</v>
      </c>
      <c r="AJ24" s="15" t="n">
        <v>0</v>
      </c>
      <c r="AK24" s="15" t="n">
        <v>0</v>
      </c>
      <c r="AL24" s="15" t="n">
        <v>0</v>
      </c>
      <c r="AM24" s="15" t="n">
        <v>0</v>
      </c>
      <c r="AN24" s="15" t="n">
        <v>0</v>
      </c>
      <c r="AO24" s="15" t="n">
        <v>0</v>
      </c>
      <c r="AP24" s="15" t="s">
        <v>1020</v>
      </c>
      <c r="AQ24" s="15" t="s">
        <v>1021</v>
      </c>
      <c r="AR24" s="15" t="s">
        <v>169</v>
      </c>
      <c r="AS24" s="15"/>
      <c r="AT24" s="29" t="str">
        <f aca="false">IF(A24="","",IF(COUNTIF(Parcels!$A$2:$A$3000,B24)=0,"Parcel not found",IF(COUNTIF($A$2:$A$3000,A24)&gt;1,"Duplicate perm_id",IF(AND(R24="Yes",D24&lt;&gt;"",COUNTIFS($C$2:$C$3000,D24,$R$2:$R$3000,"Yes")&gt;1),"Reference counted twice",IF(COUNTIF(Lists!$A$2:$A$7,I24)=0,"Unknown status","")))))</f>
        <v/>
      </c>
    </row>
    <row r="25" customFormat="false" ht="15" hidden="false" customHeight="false" outlineLevel="0" collapsed="false">
      <c r="A25" s="15" t="s">
        <v>1166</v>
      </c>
      <c r="B25" s="15" t="s">
        <v>309</v>
      </c>
      <c r="C25" s="15" t="s">
        <v>57</v>
      </c>
      <c r="D25" s="15" t="s">
        <v>1167</v>
      </c>
      <c r="E25" s="15" t="s">
        <v>1167</v>
      </c>
      <c r="F25" s="15" t="s">
        <v>1168</v>
      </c>
      <c r="G25" s="15" t="n">
        <v>25</v>
      </c>
      <c r="H25" s="15"/>
      <c r="I25" s="15" t="s">
        <v>1007</v>
      </c>
      <c r="J25" s="15" t="s">
        <v>1008</v>
      </c>
      <c r="K25" s="15" t="s">
        <v>1007</v>
      </c>
      <c r="L25" s="15" t="n">
        <v>0</v>
      </c>
      <c r="M25" s="15" t="n">
        <v>0</v>
      </c>
      <c r="N25" s="15" t="n">
        <v>0</v>
      </c>
      <c r="O25" s="15" t="n">
        <v>0</v>
      </c>
      <c r="P25" s="15"/>
      <c r="Q25" s="15" t="s">
        <v>1009</v>
      </c>
      <c r="R25" s="15" t="s">
        <v>1010</v>
      </c>
      <c r="S25" s="15" t="s">
        <v>1011</v>
      </c>
      <c r="T25" s="15" t="n">
        <v>0</v>
      </c>
      <c r="U25" s="15" t="n">
        <v>10</v>
      </c>
      <c r="V25" s="15" t="n">
        <v>15</v>
      </c>
      <c r="W25" s="15" t="n">
        <v>0</v>
      </c>
      <c r="X25" s="15" t="n">
        <v>0</v>
      </c>
      <c r="Y25" s="15" t="n">
        <v>0</v>
      </c>
      <c r="Z25" s="15" t="s">
        <v>1012</v>
      </c>
      <c r="AA25" s="15" t="s">
        <v>1013</v>
      </c>
      <c r="AB25" s="15" t="s">
        <v>176</v>
      </c>
      <c r="AC25" s="15" t="s">
        <v>1027</v>
      </c>
      <c r="AD25" s="15" t="s">
        <v>1169</v>
      </c>
      <c r="AE25" s="15" t="s">
        <v>1170</v>
      </c>
      <c r="AF25" s="15"/>
      <c r="AG25" s="15" t="s">
        <v>1059</v>
      </c>
      <c r="AH25" s="15" t="s">
        <v>1060</v>
      </c>
      <c r="AI25" s="15" t="s">
        <v>1061</v>
      </c>
      <c r="AJ25" s="15" t="n">
        <v>0</v>
      </c>
      <c r="AK25" s="15" t="n">
        <v>0</v>
      </c>
      <c r="AL25" s="15" t="n">
        <v>20.8</v>
      </c>
      <c r="AM25" s="15" t="n">
        <v>4.2</v>
      </c>
      <c r="AN25" s="15" t="n">
        <v>0</v>
      </c>
      <c r="AO25" s="15" t="n">
        <v>0</v>
      </c>
      <c r="AP25" s="15" t="s">
        <v>1020</v>
      </c>
      <c r="AQ25" s="15" t="s">
        <v>1021</v>
      </c>
      <c r="AR25" s="15" t="s">
        <v>169</v>
      </c>
      <c r="AS25" s="15"/>
      <c r="AT25" s="29" t="str">
        <f aca="false">IF(A25="","",IF(COUNTIF(Parcels!$A$2:$A$3000,B25)=0,"Parcel not found",IF(COUNTIF($A$2:$A$3000,A25)&gt;1,"Duplicate perm_id",IF(AND(R25="Yes",D25&lt;&gt;"",COUNTIFS($C$2:$C$3000,D25,$R$2:$R$3000,"Yes")&gt;1),"Reference counted twice",IF(COUNTIF(Lists!$A$2:$A$7,I25)=0,"Unknown status","")))))</f>
        <v/>
      </c>
    </row>
    <row r="26" customFormat="false" ht="15" hidden="false" customHeight="false" outlineLevel="0" collapsed="false">
      <c r="A26" s="15" t="s">
        <v>1171</v>
      </c>
      <c r="B26" s="15" t="s">
        <v>204</v>
      </c>
      <c r="C26" s="15" t="s">
        <v>51</v>
      </c>
      <c r="D26" s="15" t="s">
        <v>1172</v>
      </c>
      <c r="E26" s="15" t="s">
        <v>1172</v>
      </c>
      <c r="F26" s="15" t="s">
        <v>1173</v>
      </c>
      <c r="G26" s="15" t="n">
        <v>99</v>
      </c>
      <c r="H26" s="15"/>
      <c r="I26" s="15" t="s">
        <v>48</v>
      </c>
      <c r="J26" s="15" t="s">
        <v>1008</v>
      </c>
      <c r="K26" s="15" t="s">
        <v>48</v>
      </c>
      <c r="L26" s="15" t="n">
        <v>0</v>
      </c>
      <c r="M26" s="15" t="n">
        <v>0</v>
      </c>
      <c r="N26" s="15" t="n">
        <v>0</v>
      </c>
      <c r="O26" s="15" t="n">
        <v>0</v>
      </c>
      <c r="P26" s="15"/>
      <c r="Q26" s="15" t="s">
        <v>1009</v>
      </c>
      <c r="R26" s="15" t="s">
        <v>1010</v>
      </c>
      <c r="S26" s="15" t="s">
        <v>1011</v>
      </c>
      <c r="T26" s="15" t="n">
        <v>0</v>
      </c>
      <c r="U26" s="15" t="n">
        <v>8</v>
      </c>
      <c r="V26" s="15" t="n">
        <v>8</v>
      </c>
      <c r="W26" s="15" t="n">
        <v>43</v>
      </c>
      <c r="X26" s="15" t="n">
        <v>40</v>
      </c>
      <c r="Y26" s="15" t="n">
        <v>0</v>
      </c>
      <c r="Z26" s="15" t="s">
        <v>1034</v>
      </c>
      <c r="AA26" s="15" t="s">
        <v>1013</v>
      </c>
      <c r="AB26" s="15" t="s">
        <v>176</v>
      </c>
      <c r="AC26" s="15" t="s">
        <v>1027</v>
      </c>
      <c r="AD26" s="15" t="s">
        <v>1174</v>
      </c>
      <c r="AE26" s="15" t="s">
        <v>1175</v>
      </c>
      <c r="AF26" s="15" t="s">
        <v>1176</v>
      </c>
      <c r="AG26" s="15" t="s">
        <v>1147</v>
      </c>
      <c r="AH26" s="15" t="s">
        <v>1070</v>
      </c>
      <c r="AI26" s="15" t="s">
        <v>1042</v>
      </c>
      <c r="AJ26" s="15" t="n">
        <v>13</v>
      </c>
      <c r="AK26" s="15" t="n">
        <v>55.8</v>
      </c>
      <c r="AL26" s="15" t="n">
        <v>30.2</v>
      </c>
      <c r="AM26" s="15" t="n">
        <v>0</v>
      </c>
      <c r="AN26" s="15" t="n">
        <v>0</v>
      </c>
      <c r="AO26" s="15" t="n">
        <v>0</v>
      </c>
      <c r="AP26" s="15" t="s">
        <v>1020</v>
      </c>
      <c r="AQ26" s="15" t="s">
        <v>1021</v>
      </c>
      <c r="AR26" s="15" t="s">
        <v>169</v>
      </c>
      <c r="AS26" s="15"/>
      <c r="AT26" s="29" t="str">
        <f aca="false">IF(A26="","",IF(COUNTIF(Parcels!$A$2:$A$3000,B26)=0,"Parcel not found",IF(COUNTIF($A$2:$A$3000,A26)&gt;1,"Duplicate perm_id",IF(AND(R26="Yes",D26&lt;&gt;"",COUNTIFS($C$2:$C$3000,D26,$R$2:$R$3000,"Yes")&gt;1),"Reference counted twice",IF(COUNTIF(Lists!$A$2:$A$7,I26)=0,"Unknown status","")))))</f>
        <v/>
      </c>
    </row>
    <row r="27" customFormat="false" ht="15" hidden="false" customHeight="false" outlineLevel="0" collapsed="false">
      <c r="A27" s="15" t="s">
        <v>1177</v>
      </c>
      <c r="B27" s="15" t="s">
        <v>310</v>
      </c>
      <c r="C27" s="15" t="s">
        <v>57</v>
      </c>
      <c r="D27" s="15" t="s">
        <v>1178</v>
      </c>
      <c r="E27" s="15" t="s">
        <v>1178</v>
      </c>
      <c r="F27" s="15" t="s">
        <v>1179</v>
      </c>
      <c r="G27" s="15" t="n">
        <v>4</v>
      </c>
      <c r="H27" s="15"/>
      <c r="I27" s="15" t="s">
        <v>1025</v>
      </c>
      <c r="J27" s="15" t="s">
        <v>1008</v>
      </c>
      <c r="K27" s="15" t="s">
        <v>1025</v>
      </c>
      <c r="L27" s="15" t="n">
        <v>0</v>
      </c>
      <c r="M27" s="15" t="n">
        <v>0</v>
      </c>
      <c r="N27" s="15" t="n">
        <v>0</v>
      </c>
      <c r="O27" s="15" t="n">
        <v>0</v>
      </c>
      <c r="P27" s="15"/>
      <c r="Q27" s="15" t="s">
        <v>1009</v>
      </c>
      <c r="R27" s="15" t="s">
        <v>1010</v>
      </c>
      <c r="S27" s="15" t="s">
        <v>1026</v>
      </c>
      <c r="T27" s="15"/>
      <c r="U27" s="15"/>
      <c r="V27" s="15"/>
      <c r="W27" s="15"/>
      <c r="X27" s="15"/>
      <c r="Y27" s="15"/>
      <c r="Z27" s="15" t="s">
        <v>1012</v>
      </c>
      <c r="AA27" s="15" t="s">
        <v>1013</v>
      </c>
      <c r="AB27" s="15" t="s">
        <v>176</v>
      </c>
      <c r="AC27" s="15" t="s">
        <v>1027</v>
      </c>
      <c r="AD27" s="15" t="s">
        <v>1180</v>
      </c>
      <c r="AE27" s="15" t="s">
        <v>1181</v>
      </c>
      <c r="AF27" s="15"/>
      <c r="AG27" s="15"/>
      <c r="AH27" s="15"/>
      <c r="AI27" s="15" t="s">
        <v>1030</v>
      </c>
      <c r="AJ27" s="15" t="n">
        <v>0</v>
      </c>
      <c r="AK27" s="15" t="n">
        <v>0</v>
      </c>
      <c r="AL27" s="15" t="n">
        <v>0</v>
      </c>
      <c r="AM27" s="15" t="n">
        <v>0</v>
      </c>
      <c r="AN27" s="15" t="n">
        <v>0</v>
      </c>
      <c r="AO27" s="15" t="n">
        <v>0</v>
      </c>
      <c r="AP27" s="15" t="s">
        <v>1020</v>
      </c>
      <c r="AQ27" s="15" t="s">
        <v>1021</v>
      </c>
      <c r="AR27" s="15" t="s">
        <v>169</v>
      </c>
      <c r="AS27" s="15"/>
      <c r="AT27" s="29" t="str">
        <f aca="false">IF(A27="","",IF(COUNTIF(Parcels!$A$2:$A$3000,B27)=0,"Parcel not found",IF(COUNTIF($A$2:$A$3000,A27)&gt;1,"Duplicate perm_id",IF(AND(R27="Yes",D27&lt;&gt;"",COUNTIFS($C$2:$C$3000,D27,$R$2:$R$3000,"Yes")&gt;1),"Reference counted twice",IF(COUNTIF(Lists!$A$2:$A$7,I27)=0,"Unknown status","")))))</f>
        <v/>
      </c>
    </row>
    <row r="28" customFormat="false" ht="15" hidden="false" customHeight="false" outlineLevel="0" collapsed="false">
      <c r="A28" s="15" t="s">
        <v>1182</v>
      </c>
      <c r="B28" s="15" t="s">
        <v>312</v>
      </c>
      <c r="C28" s="15" t="s">
        <v>57</v>
      </c>
      <c r="D28" s="15" t="s">
        <v>1183</v>
      </c>
      <c r="E28" s="15" t="s">
        <v>1183</v>
      </c>
      <c r="F28" s="15" t="s">
        <v>1184</v>
      </c>
      <c r="G28" s="15" t="n">
        <v>26</v>
      </c>
      <c r="H28" s="15" t="n">
        <v>202</v>
      </c>
      <c r="I28" s="15" t="s">
        <v>48</v>
      </c>
      <c r="J28" s="15" t="s">
        <v>1008</v>
      </c>
      <c r="K28" s="15" t="s">
        <v>48</v>
      </c>
      <c r="L28" s="15" t="n">
        <v>0</v>
      </c>
      <c r="M28" s="15" t="n">
        <v>0</v>
      </c>
      <c r="N28" s="15" t="n">
        <v>0</v>
      </c>
      <c r="O28" s="15" t="n">
        <v>0</v>
      </c>
      <c r="P28" s="15"/>
      <c r="Q28" s="15" t="s">
        <v>1009</v>
      </c>
      <c r="R28" s="15" t="s">
        <v>1010</v>
      </c>
      <c r="S28" s="15" t="s">
        <v>1026</v>
      </c>
      <c r="T28" s="15"/>
      <c r="U28" s="15"/>
      <c r="V28" s="15"/>
      <c r="W28" s="15"/>
      <c r="X28" s="15"/>
      <c r="Y28" s="15"/>
      <c r="Z28" s="15" t="s">
        <v>1012</v>
      </c>
      <c r="AA28" s="15" t="s">
        <v>1119</v>
      </c>
      <c r="AB28" s="15" t="s">
        <v>176</v>
      </c>
      <c r="AC28" s="15" t="s">
        <v>1092</v>
      </c>
      <c r="AD28" s="15" t="s">
        <v>1185</v>
      </c>
      <c r="AE28" s="15" t="s">
        <v>1186</v>
      </c>
      <c r="AF28" s="15" t="s">
        <v>1187</v>
      </c>
      <c r="AG28" s="15" t="s">
        <v>1188</v>
      </c>
      <c r="AH28" s="15" t="s">
        <v>1059</v>
      </c>
      <c r="AI28" s="15" t="s">
        <v>1042</v>
      </c>
      <c r="AJ28" s="15" t="n">
        <v>0</v>
      </c>
      <c r="AK28" s="15" t="n">
        <v>26</v>
      </c>
      <c r="AL28" s="15" t="n">
        <v>0</v>
      </c>
      <c r="AM28" s="15" t="n">
        <v>0</v>
      </c>
      <c r="AN28" s="15" t="n">
        <v>0</v>
      </c>
      <c r="AO28" s="15" t="n">
        <v>0</v>
      </c>
      <c r="AP28" s="15" t="s">
        <v>1020</v>
      </c>
      <c r="AQ28" s="15" t="s">
        <v>1021</v>
      </c>
      <c r="AR28" s="15" t="s">
        <v>169</v>
      </c>
      <c r="AS28" s="15"/>
      <c r="AT28" s="29" t="str">
        <f aca="false">IF(A28="","",IF(COUNTIF(Parcels!$A$2:$A$3000,B28)=0,"Parcel not found",IF(COUNTIF($A$2:$A$3000,A28)&gt;1,"Duplicate perm_id",IF(AND(R28="Yes",D28&lt;&gt;"",COUNTIFS($C$2:$C$3000,D28,$R$2:$R$3000,"Yes")&gt;1),"Reference counted twice",IF(COUNTIF(Lists!$A$2:$A$7,I28)=0,"Unknown status","")))))</f>
        <v/>
      </c>
    </row>
    <row r="29" customFormat="false" ht="15" hidden="false" customHeight="false" outlineLevel="0" collapsed="false">
      <c r="A29" s="15" t="s">
        <v>1189</v>
      </c>
      <c r="B29" s="15" t="s">
        <v>214</v>
      </c>
      <c r="C29" s="15" t="s">
        <v>52</v>
      </c>
      <c r="D29" s="15" t="s">
        <v>1190</v>
      </c>
      <c r="E29" s="15" t="s">
        <v>1190</v>
      </c>
      <c r="F29" s="15" t="s">
        <v>1191</v>
      </c>
      <c r="G29" s="15" t="n">
        <v>196</v>
      </c>
      <c r="H29" s="15" t="n">
        <v>1400</v>
      </c>
      <c r="I29" s="15" t="s">
        <v>1007</v>
      </c>
      <c r="J29" s="15" t="s">
        <v>1008</v>
      </c>
      <c r="K29" s="15" t="s">
        <v>1007</v>
      </c>
      <c r="L29" s="15" t="n">
        <v>0</v>
      </c>
      <c r="M29" s="15" t="n">
        <v>0</v>
      </c>
      <c r="N29" s="15" t="n">
        <v>0</v>
      </c>
      <c r="O29" s="15" t="n">
        <v>0</v>
      </c>
      <c r="P29" s="15"/>
      <c r="Q29" s="15" t="s">
        <v>1009</v>
      </c>
      <c r="R29" s="15" t="s">
        <v>1010</v>
      </c>
      <c r="S29" s="15" t="s">
        <v>1011</v>
      </c>
      <c r="T29" s="15" t="n">
        <v>0</v>
      </c>
      <c r="U29" s="15" t="n">
        <v>0</v>
      </c>
      <c r="V29" s="15" t="n">
        <v>0</v>
      </c>
      <c r="W29" s="15" t="n">
        <v>0</v>
      </c>
      <c r="X29" s="15" t="n">
        <v>32</v>
      </c>
      <c r="Y29" s="15" t="n">
        <v>164</v>
      </c>
      <c r="Z29" s="15" t="s">
        <v>1012</v>
      </c>
      <c r="AA29" s="15" t="s">
        <v>1119</v>
      </c>
      <c r="AB29" s="15" t="s">
        <v>176</v>
      </c>
      <c r="AC29" s="15" t="s">
        <v>1092</v>
      </c>
      <c r="AD29" s="15" t="s">
        <v>1192</v>
      </c>
      <c r="AE29" s="15" t="s">
        <v>1193</v>
      </c>
      <c r="AF29" s="15"/>
      <c r="AG29" s="15" t="s">
        <v>1059</v>
      </c>
      <c r="AH29" s="15" t="s">
        <v>1194</v>
      </c>
      <c r="AI29" s="15" t="s">
        <v>1061</v>
      </c>
      <c r="AJ29" s="15" t="n">
        <v>0</v>
      </c>
      <c r="AK29" s="15" t="n">
        <v>0</v>
      </c>
      <c r="AL29" s="15" t="n">
        <v>0</v>
      </c>
      <c r="AM29" s="15" t="n">
        <v>196</v>
      </c>
      <c r="AN29" s="15" t="n">
        <v>0</v>
      </c>
      <c r="AO29" s="15" t="n">
        <v>0</v>
      </c>
      <c r="AP29" s="15" t="s">
        <v>1020</v>
      </c>
      <c r="AQ29" s="15" t="s">
        <v>1021</v>
      </c>
      <c r="AR29" s="15" t="s">
        <v>169</v>
      </c>
      <c r="AS29" s="15"/>
      <c r="AT29" s="29" t="str">
        <f aca="false">IF(A29="","",IF(COUNTIF(Parcels!$A$2:$A$3000,B29)=0,"Parcel not found",IF(COUNTIF($A$2:$A$3000,A29)&gt;1,"Duplicate perm_id",IF(AND(R29="Yes",D29&lt;&gt;"",COUNTIFS($C$2:$C$3000,D29,$R$2:$R$3000,"Yes")&gt;1),"Reference counted twice",IF(COUNTIF(Lists!$A$2:$A$7,I29)=0,"Unknown status","")))))</f>
        <v/>
      </c>
    </row>
    <row r="30" customFormat="false" ht="15" hidden="false" customHeight="false" outlineLevel="0" collapsed="false">
      <c r="A30" s="15" t="s">
        <v>1195</v>
      </c>
      <c r="B30" s="15" t="s">
        <v>216</v>
      </c>
      <c r="C30" s="15" t="s">
        <v>52</v>
      </c>
      <c r="D30" s="15" t="s">
        <v>1196</v>
      </c>
      <c r="E30" s="15" t="s">
        <v>1196</v>
      </c>
      <c r="F30" s="15" t="s">
        <v>1197</v>
      </c>
      <c r="G30" s="15" t="n">
        <v>114</v>
      </c>
      <c r="H30" s="15"/>
      <c r="I30" s="15" t="s">
        <v>1007</v>
      </c>
      <c r="J30" s="15" t="s">
        <v>1008</v>
      </c>
      <c r="K30" s="15" t="s">
        <v>1007</v>
      </c>
      <c r="L30" s="15" t="n">
        <v>0</v>
      </c>
      <c r="M30" s="15" t="n">
        <v>0</v>
      </c>
      <c r="N30" s="15" t="n">
        <v>0</v>
      </c>
      <c r="O30" s="15" t="n">
        <v>0</v>
      </c>
      <c r="P30" s="15"/>
      <c r="Q30" s="15" t="s">
        <v>1009</v>
      </c>
      <c r="R30" s="15" t="s">
        <v>1010</v>
      </c>
      <c r="S30" s="15" t="s">
        <v>1011</v>
      </c>
      <c r="T30" s="15" t="n">
        <v>0</v>
      </c>
      <c r="U30" s="15" t="n">
        <v>0</v>
      </c>
      <c r="V30" s="15" t="n">
        <v>35</v>
      </c>
      <c r="W30" s="15" t="n">
        <v>63</v>
      </c>
      <c r="X30" s="15" t="n">
        <v>16</v>
      </c>
      <c r="Y30" s="15" t="n">
        <v>0</v>
      </c>
      <c r="Z30" s="15" t="s">
        <v>1034</v>
      </c>
      <c r="AA30" s="15" t="s">
        <v>1013</v>
      </c>
      <c r="AB30" s="15" t="s">
        <v>176</v>
      </c>
      <c r="AC30" s="15" t="s">
        <v>1092</v>
      </c>
      <c r="AD30" s="15" t="s">
        <v>1198</v>
      </c>
      <c r="AE30" s="15" t="s">
        <v>1199</v>
      </c>
      <c r="AF30" s="15"/>
      <c r="AG30" s="15" t="s">
        <v>1200</v>
      </c>
      <c r="AH30" s="15" t="s">
        <v>1201</v>
      </c>
      <c r="AI30" s="15" t="s">
        <v>1061</v>
      </c>
      <c r="AJ30" s="15" t="n">
        <v>0</v>
      </c>
      <c r="AK30" s="15" t="n">
        <v>0</v>
      </c>
      <c r="AL30" s="15" t="n">
        <v>0</v>
      </c>
      <c r="AM30" s="15" t="n">
        <v>89.3</v>
      </c>
      <c r="AN30" s="15" t="n">
        <v>24.7</v>
      </c>
      <c r="AO30" s="15" t="n">
        <v>0</v>
      </c>
      <c r="AP30" s="15" t="s">
        <v>1020</v>
      </c>
      <c r="AQ30" s="15" t="s">
        <v>1021</v>
      </c>
      <c r="AR30" s="15" t="s">
        <v>169</v>
      </c>
      <c r="AS30" s="15"/>
      <c r="AT30" s="29" t="str">
        <f aca="false">IF(A30="","",IF(COUNTIF(Parcels!$A$2:$A$3000,B30)=0,"Parcel not found",IF(COUNTIF($A$2:$A$3000,A30)&gt;1,"Duplicate perm_id",IF(AND(R30="Yes",D30&lt;&gt;"",COUNTIFS($C$2:$C$3000,D30,$R$2:$R$3000,"Yes")&gt;1),"Reference counted twice",IF(COUNTIF(Lists!$A$2:$A$7,I30)=0,"Unknown status","")))))</f>
        <v/>
      </c>
    </row>
    <row r="31" customFormat="false" ht="15" hidden="false" customHeight="false" outlineLevel="0" collapsed="false">
      <c r="A31" s="15" t="s">
        <v>1202</v>
      </c>
      <c r="B31" s="15" t="s">
        <v>216</v>
      </c>
      <c r="C31" s="15" t="s">
        <v>52</v>
      </c>
      <c r="D31" s="15" t="s">
        <v>1203</v>
      </c>
      <c r="E31" s="15" t="s">
        <v>1203</v>
      </c>
      <c r="F31" s="15" t="s">
        <v>1204</v>
      </c>
      <c r="G31" s="15" t="n">
        <v>32</v>
      </c>
      <c r="H31" s="15"/>
      <c r="I31" s="15" t="s">
        <v>48</v>
      </c>
      <c r="J31" s="15" t="s">
        <v>1008</v>
      </c>
      <c r="K31" s="15" t="s">
        <v>48</v>
      </c>
      <c r="L31" s="15" t="n">
        <v>30</v>
      </c>
      <c r="M31" s="15" t="n">
        <v>30</v>
      </c>
      <c r="N31" s="15" t="n">
        <v>0</v>
      </c>
      <c r="O31" s="15" t="n">
        <v>0</v>
      </c>
      <c r="P31" s="15"/>
      <c r="Q31" s="15" t="s">
        <v>1009</v>
      </c>
      <c r="R31" s="15" t="s">
        <v>1010</v>
      </c>
      <c r="S31" s="15" t="s">
        <v>1026</v>
      </c>
      <c r="T31" s="15"/>
      <c r="U31" s="15"/>
      <c r="V31" s="15"/>
      <c r="W31" s="15"/>
      <c r="X31" s="15"/>
      <c r="Y31" s="15"/>
      <c r="Z31" s="15" t="s">
        <v>1012</v>
      </c>
      <c r="AA31" s="15" t="s">
        <v>1013</v>
      </c>
      <c r="AB31" s="15" t="s">
        <v>176</v>
      </c>
      <c r="AC31" s="15" t="s">
        <v>1027</v>
      </c>
      <c r="AD31" s="15" t="s">
        <v>1205</v>
      </c>
      <c r="AE31" s="15" t="s">
        <v>1206</v>
      </c>
      <c r="AF31" s="15" t="s">
        <v>1207</v>
      </c>
      <c r="AG31" s="15" t="s">
        <v>1208</v>
      </c>
      <c r="AH31" s="15" t="s">
        <v>1041</v>
      </c>
      <c r="AI31" s="15" t="s">
        <v>1042</v>
      </c>
      <c r="AJ31" s="15" t="n">
        <v>7.5</v>
      </c>
      <c r="AK31" s="15" t="n">
        <v>24.5</v>
      </c>
      <c r="AL31" s="15" t="n">
        <v>0</v>
      </c>
      <c r="AM31" s="15" t="n">
        <v>0</v>
      </c>
      <c r="AN31" s="15" t="n">
        <v>0</v>
      </c>
      <c r="AO31" s="15" t="n">
        <v>0</v>
      </c>
      <c r="AP31" s="15" t="s">
        <v>1020</v>
      </c>
      <c r="AQ31" s="15" t="s">
        <v>1021</v>
      </c>
      <c r="AR31" s="15" t="s">
        <v>169</v>
      </c>
      <c r="AS31" s="15"/>
      <c r="AT31" s="29" t="str">
        <f aca="false">IF(A31="","",IF(COUNTIF(Parcels!$A$2:$A$3000,B31)=0,"Parcel not found",IF(COUNTIF($A$2:$A$3000,A31)&gt;1,"Duplicate perm_id",IF(AND(R31="Yes",D31&lt;&gt;"",COUNTIFS($C$2:$C$3000,D31,$R$2:$R$3000,"Yes")&gt;1),"Reference counted twice",IF(COUNTIF(Lists!$A$2:$A$7,I31)=0,"Unknown status","")))))</f>
        <v/>
      </c>
    </row>
    <row r="32" customFormat="false" ht="15" hidden="false" customHeight="false" outlineLevel="0" collapsed="false">
      <c r="A32" s="15" t="s">
        <v>1209</v>
      </c>
      <c r="B32" s="15" t="s">
        <v>217</v>
      </c>
      <c r="C32" s="15" t="s">
        <v>52</v>
      </c>
      <c r="D32" s="15" t="s">
        <v>1210</v>
      </c>
      <c r="E32" s="15" t="s">
        <v>1210</v>
      </c>
      <c r="F32" s="15" t="s">
        <v>1211</v>
      </c>
      <c r="G32" s="15" t="n">
        <v>523</v>
      </c>
      <c r="H32" s="15"/>
      <c r="I32" s="15" t="s">
        <v>1007</v>
      </c>
      <c r="J32" s="15" t="s">
        <v>1008</v>
      </c>
      <c r="K32" s="15" t="s">
        <v>1007</v>
      </c>
      <c r="L32" s="15" t="n">
        <v>0</v>
      </c>
      <c r="M32" s="15" t="n">
        <v>0</v>
      </c>
      <c r="N32" s="15" t="n">
        <v>0</v>
      </c>
      <c r="O32" s="15" t="n">
        <v>0</v>
      </c>
      <c r="P32" s="15"/>
      <c r="Q32" s="15" t="s">
        <v>1009</v>
      </c>
      <c r="R32" s="15" t="s">
        <v>1010</v>
      </c>
      <c r="S32" s="15" t="s">
        <v>1050</v>
      </c>
      <c r="T32" s="15" t="n">
        <v>0</v>
      </c>
      <c r="U32" s="15" t="n">
        <v>159</v>
      </c>
      <c r="V32" s="15" t="n">
        <v>151</v>
      </c>
      <c r="W32" s="15" t="n">
        <v>213</v>
      </c>
      <c r="X32" s="15" t="n">
        <v>0</v>
      </c>
      <c r="Y32" s="15" t="n">
        <v>0</v>
      </c>
      <c r="Z32" s="15" t="s">
        <v>1012</v>
      </c>
      <c r="AA32" s="15" t="s">
        <v>1013</v>
      </c>
      <c r="AB32" s="15" t="s">
        <v>176</v>
      </c>
      <c r="AC32" s="15" t="s">
        <v>1092</v>
      </c>
      <c r="AD32" s="15" t="s">
        <v>1212</v>
      </c>
      <c r="AE32" s="15" t="s">
        <v>1213</v>
      </c>
      <c r="AF32" s="15"/>
      <c r="AG32" s="15" t="s">
        <v>1200</v>
      </c>
      <c r="AH32" s="15" t="s">
        <v>1214</v>
      </c>
      <c r="AI32" s="15" t="s">
        <v>1061</v>
      </c>
      <c r="AJ32" s="15" t="n">
        <v>0</v>
      </c>
      <c r="AK32" s="15" t="n">
        <v>0</v>
      </c>
      <c r="AL32" s="15" t="n">
        <v>0</v>
      </c>
      <c r="AM32" s="15" t="n">
        <v>53.2</v>
      </c>
      <c r="AN32" s="15" t="n">
        <v>55.6</v>
      </c>
      <c r="AO32" s="15" t="n">
        <v>414.2</v>
      </c>
      <c r="AP32" s="15" t="s">
        <v>1020</v>
      </c>
      <c r="AQ32" s="15" t="s">
        <v>1021</v>
      </c>
      <c r="AR32" s="15" t="s">
        <v>169</v>
      </c>
      <c r="AS32" s="15"/>
      <c r="AT32" s="29" t="str">
        <f aca="false">IF(A32="","",IF(COUNTIF(Parcels!$A$2:$A$3000,B32)=0,"Parcel not found",IF(COUNTIF($A$2:$A$3000,A32)&gt;1,"Duplicate perm_id",IF(AND(R32="Yes",D32&lt;&gt;"",COUNTIFS($C$2:$C$3000,D32,$R$2:$R$3000,"Yes")&gt;1),"Reference counted twice",IF(COUNTIF(Lists!$A$2:$A$7,I32)=0,"Unknown status","")))))</f>
        <v/>
      </c>
    </row>
    <row r="33" customFormat="false" ht="15" hidden="false" customHeight="false" outlineLevel="0" collapsed="false">
      <c r="A33" s="15" t="s">
        <v>1215</v>
      </c>
      <c r="B33" s="15" t="s">
        <v>205</v>
      </c>
      <c r="C33" s="15" t="s">
        <v>51</v>
      </c>
      <c r="D33" s="15" t="s">
        <v>1216</v>
      </c>
      <c r="E33" s="15" t="s">
        <v>1216</v>
      </c>
      <c r="F33" s="15" t="s">
        <v>1217</v>
      </c>
      <c r="G33" s="15" t="n">
        <v>12</v>
      </c>
      <c r="H33" s="15"/>
      <c r="I33" s="15" t="s">
        <v>1007</v>
      </c>
      <c r="J33" s="15" t="s">
        <v>1008</v>
      </c>
      <c r="K33" s="15" t="s">
        <v>1007</v>
      </c>
      <c r="L33" s="15" t="n">
        <v>0</v>
      </c>
      <c r="M33" s="15" t="n">
        <v>0</v>
      </c>
      <c r="N33" s="15" t="n">
        <v>0</v>
      </c>
      <c r="O33" s="15" t="n">
        <v>0</v>
      </c>
      <c r="P33" s="15"/>
      <c r="Q33" s="15" t="s">
        <v>1009</v>
      </c>
      <c r="R33" s="15" t="s">
        <v>1010</v>
      </c>
      <c r="S33" s="15" t="s">
        <v>1011</v>
      </c>
      <c r="T33" s="15" t="n">
        <v>0</v>
      </c>
      <c r="U33" s="15" t="n">
        <v>0</v>
      </c>
      <c r="V33" s="15" t="n">
        <v>4</v>
      </c>
      <c r="W33" s="15" t="n">
        <v>6</v>
      </c>
      <c r="X33" s="15" t="n">
        <v>2</v>
      </c>
      <c r="Y33" s="15" t="n">
        <v>0</v>
      </c>
      <c r="Z33" s="15" t="s">
        <v>1034</v>
      </c>
      <c r="AA33" s="15" t="s">
        <v>1013</v>
      </c>
      <c r="AB33" s="15" t="s">
        <v>176</v>
      </c>
      <c r="AC33" s="15" t="s">
        <v>1027</v>
      </c>
      <c r="AD33" s="15" t="s">
        <v>1218</v>
      </c>
      <c r="AE33" s="15" t="s">
        <v>1219</v>
      </c>
      <c r="AF33" s="15"/>
      <c r="AG33" s="15" t="s">
        <v>1017</v>
      </c>
      <c r="AH33" s="15" t="s">
        <v>1194</v>
      </c>
      <c r="AI33" s="15" t="s">
        <v>1019</v>
      </c>
      <c r="AJ33" s="15" t="n">
        <v>0</v>
      </c>
      <c r="AK33" s="15" t="n">
        <v>0</v>
      </c>
      <c r="AL33" s="15" t="n">
        <v>7</v>
      </c>
      <c r="AM33" s="15" t="n">
        <v>5</v>
      </c>
      <c r="AN33" s="15" t="n">
        <v>0</v>
      </c>
      <c r="AO33" s="15" t="n">
        <v>0</v>
      </c>
      <c r="AP33" s="15" t="s">
        <v>1020</v>
      </c>
      <c r="AQ33" s="15" t="s">
        <v>1021</v>
      </c>
      <c r="AR33" s="15" t="s">
        <v>169</v>
      </c>
      <c r="AS33" s="15"/>
      <c r="AT33" s="29" t="str">
        <f aca="false">IF(A33="","",IF(COUNTIF(Parcels!$A$2:$A$3000,B33)=0,"Parcel not found",IF(COUNTIF($A$2:$A$3000,A33)&gt;1,"Duplicate perm_id",IF(AND(R33="Yes",D33&lt;&gt;"",COUNTIFS($C$2:$C$3000,D33,$R$2:$R$3000,"Yes")&gt;1),"Reference counted twice",IF(COUNTIF(Lists!$A$2:$A$7,I33)=0,"Unknown status","")))))</f>
        <v/>
      </c>
    </row>
    <row r="34" customFormat="false" ht="15" hidden="false" customHeight="false" outlineLevel="0" collapsed="false">
      <c r="A34" s="15" t="s">
        <v>1220</v>
      </c>
      <c r="B34" s="15" t="s">
        <v>220</v>
      </c>
      <c r="C34" s="15" t="s">
        <v>52</v>
      </c>
      <c r="D34" s="15" t="s">
        <v>1221</v>
      </c>
      <c r="E34" s="15" t="s">
        <v>1221</v>
      </c>
      <c r="F34" s="15" t="s">
        <v>1222</v>
      </c>
      <c r="G34" s="15" t="n">
        <v>137</v>
      </c>
      <c r="H34" s="15"/>
      <c r="I34" s="15" t="s">
        <v>1025</v>
      </c>
      <c r="J34" s="15" t="s">
        <v>1008</v>
      </c>
      <c r="K34" s="15" t="s">
        <v>1025</v>
      </c>
      <c r="L34" s="15" t="n">
        <v>0</v>
      </c>
      <c r="M34" s="15" t="n">
        <v>0</v>
      </c>
      <c r="N34" s="15" t="n">
        <v>0</v>
      </c>
      <c r="O34" s="15" t="n">
        <v>0</v>
      </c>
      <c r="P34" s="15"/>
      <c r="Q34" s="15" t="s">
        <v>1009</v>
      </c>
      <c r="R34" s="15" t="s">
        <v>1010</v>
      </c>
      <c r="S34" s="15" t="s">
        <v>1011</v>
      </c>
      <c r="T34" s="15" t="n">
        <v>0</v>
      </c>
      <c r="U34" s="15" t="n">
        <v>9</v>
      </c>
      <c r="V34" s="15" t="n">
        <v>77</v>
      </c>
      <c r="W34" s="15" t="n">
        <v>44</v>
      </c>
      <c r="X34" s="15" t="n">
        <v>7</v>
      </c>
      <c r="Y34" s="15" t="n">
        <v>0</v>
      </c>
      <c r="Z34" s="15" t="s">
        <v>1012</v>
      </c>
      <c r="AA34" s="15" t="s">
        <v>1013</v>
      </c>
      <c r="AB34" s="15" t="s">
        <v>176</v>
      </c>
      <c r="AC34" s="15" t="s">
        <v>1014</v>
      </c>
      <c r="AD34" s="15" t="s">
        <v>1223</v>
      </c>
      <c r="AE34" s="15" t="s">
        <v>1224</v>
      </c>
      <c r="AF34" s="15"/>
      <c r="AG34" s="15"/>
      <c r="AH34" s="15"/>
      <c r="AI34" s="15" t="s">
        <v>1030</v>
      </c>
      <c r="AJ34" s="15" t="n">
        <v>0</v>
      </c>
      <c r="AK34" s="15" t="n">
        <v>0</v>
      </c>
      <c r="AL34" s="15" t="n">
        <v>0</v>
      </c>
      <c r="AM34" s="15" t="n">
        <v>0</v>
      </c>
      <c r="AN34" s="15" t="n">
        <v>0</v>
      </c>
      <c r="AO34" s="15" t="n">
        <v>0</v>
      </c>
      <c r="AP34" s="15" t="s">
        <v>1020</v>
      </c>
      <c r="AQ34" s="15" t="s">
        <v>1021</v>
      </c>
      <c r="AR34" s="15" t="s">
        <v>169</v>
      </c>
      <c r="AS34" s="15"/>
      <c r="AT34" s="29" t="str">
        <f aca="false">IF(A34="","",IF(COUNTIF(Parcels!$A$2:$A$3000,B34)=0,"Parcel not found",IF(COUNTIF($A$2:$A$3000,A34)&gt;1,"Duplicate perm_id",IF(AND(R34="Yes",D34&lt;&gt;"",COUNTIFS($C$2:$C$3000,D34,$R$2:$R$3000,"Yes")&gt;1),"Reference counted twice",IF(COUNTIF(Lists!$A$2:$A$7,I34)=0,"Unknown status","")))))</f>
        <v/>
      </c>
    </row>
    <row r="35" customFormat="false" ht="15" hidden="false" customHeight="false" outlineLevel="0" collapsed="false">
      <c r="A35" s="15" t="s">
        <v>1225</v>
      </c>
      <c r="B35" s="15" t="s">
        <v>221</v>
      </c>
      <c r="C35" s="15" t="s">
        <v>52</v>
      </c>
      <c r="D35" s="15" t="s">
        <v>1226</v>
      </c>
      <c r="E35" s="15" t="s">
        <v>1226</v>
      </c>
      <c r="F35" s="15" t="s">
        <v>1227</v>
      </c>
      <c r="G35" s="15" t="n">
        <v>76</v>
      </c>
      <c r="H35" s="15"/>
      <c r="I35" s="15" t="s">
        <v>1007</v>
      </c>
      <c r="J35" s="15" t="s">
        <v>1008</v>
      </c>
      <c r="K35" s="15" t="s">
        <v>1007</v>
      </c>
      <c r="L35" s="15" t="n">
        <v>0</v>
      </c>
      <c r="M35" s="15" t="n">
        <v>0</v>
      </c>
      <c r="N35" s="15" t="n">
        <v>0</v>
      </c>
      <c r="O35" s="15" t="n">
        <v>0</v>
      </c>
      <c r="P35" s="15"/>
      <c r="Q35" s="15" t="s">
        <v>1009</v>
      </c>
      <c r="R35" s="15" t="s">
        <v>1010</v>
      </c>
      <c r="S35" s="15" t="s">
        <v>1011</v>
      </c>
      <c r="T35" s="15" t="n">
        <v>0</v>
      </c>
      <c r="U35" s="15" t="n">
        <v>14</v>
      </c>
      <c r="V35" s="15" t="n">
        <v>16</v>
      </c>
      <c r="W35" s="15" t="n">
        <v>33</v>
      </c>
      <c r="X35" s="15" t="n">
        <v>12</v>
      </c>
      <c r="Y35" s="15" t="n">
        <v>1</v>
      </c>
      <c r="Z35" s="15" t="s">
        <v>1012</v>
      </c>
      <c r="AA35" s="15" t="s">
        <v>1013</v>
      </c>
      <c r="AB35" s="15" t="s">
        <v>176</v>
      </c>
      <c r="AC35" s="15" t="s">
        <v>1027</v>
      </c>
      <c r="AD35" s="15" t="s">
        <v>1228</v>
      </c>
      <c r="AE35" s="15" t="s">
        <v>1229</v>
      </c>
      <c r="AF35" s="15"/>
      <c r="AG35" s="15" t="s">
        <v>1017</v>
      </c>
      <c r="AH35" s="15" t="s">
        <v>1230</v>
      </c>
      <c r="AI35" s="15" t="s">
        <v>1061</v>
      </c>
      <c r="AJ35" s="15" t="n">
        <v>0</v>
      </c>
      <c r="AK35" s="15" t="n">
        <v>0</v>
      </c>
      <c r="AL35" s="15" t="n">
        <v>20.9</v>
      </c>
      <c r="AM35" s="15" t="n">
        <v>55.1</v>
      </c>
      <c r="AN35" s="15" t="n">
        <v>0</v>
      </c>
      <c r="AO35" s="15" t="n">
        <v>0</v>
      </c>
      <c r="AP35" s="15" t="s">
        <v>1020</v>
      </c>
      <c r="AQ35" s="15" t="s">
        <v>1021</v>
      </c>
      <c r="AR35" s="15" t="s">
        <v>169</v>
      </c>
      <c r="AS35" s="15"/>
      <c r="AT35" s="29" t="str">
        <f aca="false">IF(A35="","",IF(COUNTIF(Parcels!$A$2:$A$3000,B35)=0,"Parcel not found",IF(COUNTIF($A$2:$A$3000,A35)&gt;1,"Duplicate perm_id",IF(AND(R35="Yes",D35&lt;&gt;"",COUNTIFS($C$2:$C$3000,D35,$R$2:$R$3000,"Yes")&gt;1),"Reference counted twice",IF(COUNTIF(Lists!$A$2:$A$7,I35)=0,"Unknown status","")))))</f>
        <v/>
      </c>
    </row>
    <row r="36" customFormat="false" ht="15" hidden="false" customHeight="false" outlineLevel="0" collapsed="false">
      <c r="A36" s="15" t="s">
        <v>1231</v>
      </c>
      <c r="B36" s="15" t="s">
        <v>207</v>
      </c>
      <c r="C36" s="15" t="s">
        <v>51</v>
      </c>
      <c r="D36" s="15" t="s">
        <v>1232</v>
      </c>
      <c r="E36" s="15" t="s">
        <v>1232</v>
      </c>
      <c r="F36" s="15" t="s">
        <v>1233</v>
      </c>
      <c r="G36" s="15" t="n">
        <v>99</v>
      </c>
      <c r="H36" s="15"/>
      <c r="I36" s="15" t="s">
        <v>1007</v>
      </c>
      <c r="J36" s="15" t="s">
        <v>1008</v>
      </c>
      <c r="K36" s="15" t="s">
        <v>1007</v>
      </c>
      <c r="L36" s="15" t="n">
        <v>0</v>
      </c>
      <c r="M36" s="15" t="n">
        <v>0</v>
      </c>
      <c r="N36" s="15" t="n">
        <v>0</v>
      </c>
      <c r="O36" s="15" t="n">
        <v>0</v>
      </c>
      <c r="P36" s="15"/>
      <c r="Q36" s="15" t="s">
        <v>1009</v>
      </c>
      <c r="R36" s="15" t="s">
        <v>1010</v>
      </c>
      <c r="S36" s="15" t="s">
        <v>1011</v>
      </c>
      <c r="T36" s="15" t="n">
        <v>0</v>
      </c>
      <c r="U36" s="15" t="n">
        <v>6</v>
      </c>
      <c r="V36" s="15" t="n">
        <v>19</v>
      </c>
      <c r="W36" s="15" t="n">
        <v>46</v>
      </c>
      <c r="X36" s="15" t="n">
        <v>28</v>
      </c>
      <c r="Y36" s="15" t="n">
        <v>0</v>
      </c>
      <c r="Z36" s="15" t="s">
        <v>1012</v>
      </c>
      <c r="AA36" s="15" t="s">
        <v>1013</v>
      </c>
      <c r="AB36" s="15" t="s">
        <v>176</v>
      </c>
      <c r="AC36" s="15" t="s">
        <v>1027</v>
      </c>
      <c r="AD36" s="15" t="s">
        <v>1234</v>
      </c>
      <c r="AE36" s="15" t="s">
        <v>1235</v>
      </c>
      <c r="AF36" s="15"/>
      <c r="AG36" s="15" t="s">
        <v>1017</v>
      </c>
      <c r="AH36" s="15" t="s">
        <v>1201</v>
      </c>
      <c r="AI36" s="15" t="s">
        <v>1019</v>
      </c>
      <c r="AJ36" s="15" t="n">
        <v>0</v>
      </c>
      <c r="AK36" s="15" t="n">
        <v>0</v>
      </c>
      <c r="AL36" s="15" t="n">
        <v>25.1</v>
      </c>
      <c r="AM36" s="15" t="n">
        <v>51.9</v>
      </c>
      <c r="AN36" s="15" t="n">
        <v>22</v>
      </c>
      <c r="AO36" s="15" t="n">
        <v>0</v>
      </c>
      <c r="AP36" s="15" t="s">
        <v>1020</v>
      </c>
      <c r="AQ36" s="15" t="s">
        <v>1021</v>
      </c>
      <c r="AR36" s="15" t="s">
        <v>169</v>
      </c>
      <c r="AS36" s="15"/>
      <c r="AT36" s="29" t="str">
        <f aca="false">IF(A36="","",IF(COUNTIF(Parcels!$A$2:$A$3000,B36)=0,"Parcel not found",IF(COUNTIF($A$2:$A$3000,A36)&gt;1,"Duplicate perm_id",IF(AND(R36="Yes",D36&lt;&gt;"",COUNTIFS($C$2:$C$3000,D36,$R$2:$R$3000,"Yes")&gt;1),"Reference counted twice",IF(COUNTIF(Lists!$A$2:$A$7,I36)=0,"Unknown status","")))))</f>
        <v/>
      </c>
    </row>
    <row r="37" customFormat="false" ht="15" hidden="false" customHeight="false" outlineLevel="0" collapsed="false">
      <c r="A37" s="15" t="s">
        <v>1236</v>
      </c>
      <c r="B37" s="15" t="s">
        <v>207</v>
      </c>
      <c r="C37" s="15" t="s">
        <v>51</v>
      </c>
      <c r="D37" s="15" t="s">
        <v>1237</v>
      </c>
      <c r="E37" s="15" t="s">
        <v>1237</v>
      </c>
      <c r="F37" s="15" t="s">
        <v>1238</v>
      </c>
      <c r="G37" s="15" t="n">
        <v>98</v>
      </c>
      <c r="H37" s="15"/>
      <c r="I37" s="15" t="s">
        <v>1007</v>
      </c>
      <c r="J37" s="15" t="s">
        <v>1008</v>
      </c>
      <c r="K37" s="15" t="s">
        <v>1007</v>
      </c>
      <c r="L37" s="15" t="n">
        <v>0</v>
      </c>
      <c r="M37" s="15" t="n">
        <v>0</v>
      </c>
      <c r="N37" s="15" t="n">
        <v>0</v>
      </c>
      <c r="O37" s="15" t="n">
        <v>0</v>
      </c>
      <c r="P37" s="15"/>
      <c r="Q37" s="15" t="s">
        <v>1009</v>
      </c>
      <c r="R37" s="15" t="s">
        <v>1010</v>
      </c>
      <c r="S37" s="15" t="s">
        <v>1011</v>
      </c>
      <c r="T37" s="15" t="n">
        <v>0</v>
      </c>
      <c r="U37" s="15" t="n">
        <v>0</v>
      </c>
      <c r="V37" s="15" t="n">
        <v>10</v>
      </c>
      <c r="W37" s="15" t="n">
        <v>44</v>
      </c>
      <c r="X37" s="15" t="n">
        <v>44</v>
      </c>
      <c r="Y37" s="15" t="n">
        <v>0</v>
      </c>
      <c r="Z37" s="15" t="s">
        <v>1034</v>
      </c>
      <c r="AA37" s="15" t="s">
        <v>1013</v>
      </c>
      <c r="AB37" s="15" t="s">
        <v>176</v>
      </c>
      <c r="AC37" s="15" t="s">
        <v>1027</v>
      </c>
      <c r="AD37" s="15" t="s">
        <v>1239</v>
      </c>
      <c r="AE37" s="15" t="s">
        <v>1240</v>
      </c>
      <c r="AF37" s="15"/>
      <c r="AG37" s="15" t="s">
        <v>1017</v>
      </c>
      <c r="AH37" s="15" t="s">
        <v>1201</v>
      </c>
      <c r="AI37" s="15" t="s">
        <v>1019</v>
      </c>
      <c r="AJ37" s="15" t="n">
        <v>0</v>
      </c>
      <c r="AK37" s="15" t="n">
        <v>0</v>
      </c>
      <c r="AL37" s="15" t="n">
        <v>25.2</v>
      </c>
      <c r="AM37" s="15" t="n">
        <v>52.2</v>
      </c>
      <c r="AN37" s="15" t="n">
        <v>20.6</v>
      </c>
      <c r="AO37" s="15" t="n">
        <v>0</v>
      </c>
      <c r="AP37" s="15" t="s">
        <v>1020</v>
      </c>
      <c r="AQ37" s="15" t="s">
        <v>1021</v>
      </c>
      <c r="AR37" s="15" t="s">
        <v>169</v>
      </c>
      <c r="AS37" s="15"/>
      <c r="AT37" s="29" t="str">
        <f aca="false">IF(A37="","",IF(COUNTIF(Parcels!$A$2:$A$3000,B37)=0,"Parcel not found",IF(COUNTIF($A$2:$A$3000,A37)&gt;1,"Duplicate perm_id",IF(AND(R37="Yes",D37&lt;&gt;"",COUNTIFS($C$2:$C$3000,D37,$R$2:$R$3000,"Yes")&gt;1),"Reference counted twice",IF(COUNTIF(Lists!$A$2:$A$7,I37)=0,"Unknown status","")))))</f>
        <v/>
      </c>
    </row>
    <row r="38" customFormat="false" ht="15" hidden="false" customHeight="false" outlineLevel="0" collapsed="false">
      <c r="A38" s="15" t="s">
        <v>1241</v>
      </c>
      <c r="B38" s="15" t="s">
        <v>207</v>
      </c>
      <c r="C38" s="15" t="s">
        <v>51</v>
      </c>
      <c r="D38" s="15" t="s">
        <v>1242</v>
      </c>
      <c r="E38" s="15" t="s">
        <v>1242</v>
      </c>
      <c r="F38" s="15" t="s">
        <v>1243</v>
      </c>
      <c r="G38" s="15" t="n">
        <v>54</v>
      </c>
      <c r="H38" s="15"/>
      <c r="I38" s="15" t="s">
        <v>1007</v>
      </c>
      <c r="J38" s="15" t="s">
        <v>1008</v>
      </c>
      <c r="K38" s="15" t="s">
        <v>1007</v>
      </c>
      <c r="L38" s="15" t="n">
        <v>0</v>
      </c>
      <c r="M38" s="15" t="n">
        <v>0</v>
      </c>
      <c r="N38" s="15" t="n">
        <v>0</v>
      </c>
      <c r="O38" s="15" t="n">
        <v>0</v>
      </c>
      <c r="P38" s="15"/>
      <c r="Q38" s="15" t="s">
        <v>1009</v>
      </c>
      <c r="R38" s="15" t="s">
        <v>1010</v>
      </c>
      <c r="S38" s="15" t="s">
        <v>1011</v>
      </c>
      <c r="T38" s="15" t="n">
        <v>0</v>
      </c>
      <c r="U38" s="15" t="n">
        <v>0</v>
      </c>
      <c r="V38" s="15" t="n">
        <v>8</v>
      </c>
      <c r="W38" s="15" t="n">
        <v>14</v>
      </c>
      <c r="X38" s="15" t="n">
        <v>2</v>
      </c>
      <c r="Y38" s="15" t="n">
        <v>30</v>
      </c>
      <c r="Z38" s="15" t="s">
        <v>1034</v>
      </c>
      <c r="AA38" s="15" t="s">
        <v>1013</v>
      </c>
      <c r="AB38" s="15" t="s">
        <v>176</v>
      </c>
      <c r="AC38" s="15" t="s">
        <v>1027</v>
      </c>
      <c r="AD38" s="15" t="s">
        <v>1244</v>
      </c>
      <c r="AE38" s="15" t="s">
        <v>1245</v>
      </c>
      <c r="AF38" s="15"/>
      <c r="AG38" s="15" t="s">
        <v>1017</v>
      </c>
      <c r="AH38" s="15" t="s">
        <v>1230</v>
      </c>
      <c r="AI38" s="15" t="s">
        <v>1019</v>
      </c>
      <c r="AJ38" s="15" t="n">
        <v>0</v>
      </c>
      <c r="AK38" s="15" t="n">
        <v>0</v>
      </c>
      <c r="AL38" s="15" t="n">
        <v>20.7</v>
      </c>
      <c r="AM38" s="15" t="n">
        <v>33.3</v>
      </c>
      <c r="AN38" s="15" t="n">
        <v>0</v>
      </c>
      <c r="AO38" s="15" t="n">
        <v>0</v>
      </c>
      <c r="AP38" s="15" t="s">
        <v>1020</v>
      </c>
      <c r="AQ38" s="15" t="s">
        <v>1021</v>
      </c>
      <c r="AR38" s="15" t="s">
        <v>169</v>
      </c>
      <c r="AS38" s="15"/>
      <c r="AT38" s="29" t="str">
        <f aca="false">IF(A38="","",IF(COUNTIF(Parcels!$A$2:$A$3000,B38)=0,"Parcel not found",IF(COUNTIF($A$2:$A$3000,A38)&gt;1,"Duplicate perm_id",IF(AND(R38="Yes",D38&lt;&gt;"",COUNTIFS($C$2:$C$3000,D38,$R$2:$R$3000,"Yes")&gt;1),"Reference counted twice",IF(COUNTIF(Lists!$A$2:$A$7,I38)=0,"Unknown status","")))))</f>
        <v/>
      </c>
    </row>
    <row r="39" customFormat="false" ht="15" hidden="false" customHeight="false" outlineLevel="0" collapsed="false">
      <c r="A39" s="15" t="s">
        <v>1246</v>
      </c>
      <c r="B39" s="15" t="s">
        <v>230</v>
      </c>
      <c r="C39" s="15" t="s">
        <v>52</v>
      </c>
      <c r="D39" s="15" t="s">
        <v>1247</v>
      </c>
      <c r="E39" s="15" t="s">
        <v>1247</v>
      </c>
      <c r="F39" s="15" t="s">
        <v>1248</v>
      </c>
      <c r="G39" s="15" t="n">
        <v>465</v>
      </c>
      <c r="H39" s="15" t="n">
        <v>309</v>
      </c>
      <c r="I39" s="15" t="s">
        <v>1007</v>
      </c>
      <c r="J39" s="15" t="s">
        <v>1008</v>
      </c>
      <c r="K39" s="15" t="s">
        <v>1007</v>
      </c>
      <c r="L39" s="15" t="n">
        <v>0</v>
      </c>
      <c r="M39" s="15" t="n">
        <v>0</v>
      </c>
      <c r="N39" s="15" t="n">
        <v>0</v>
      </c>
      <c r="O39" s="15" t="n">
        <v>0</v>
      </c>
      <c r="P39" s="15"/>
      <c r="Q39" s="15" t="s">
        <v>1009</v>
      </c>
      <c r="R39" s="15" t="s">
        <v>1010</v>
      </c>
      <c r="S39" s="15" t="s">
        <v>1011</v>
      </c>
      <c r="T39" s="15" t="n">
        <v>0</v>
      </c>
      <c r="U39" s="15" t="n">
        <v>18</v>
      </c>
      <c r="V39" s="15" t="n">
        <v>74</v>
      </c>
      <c r="W39" s="15" t="n">
        <v>17</v>
      </c>
      <c r="X39" s="15" t="n">
        <v>8</v>
      </c>
      <c r="Y39" s="15" t="n">
        <v>0</v>
      </c>
      <c r="Z39" s="15" t="s">
        <v>1012</v>
      </c>
      <c r="AA39" s="15" t="s">
        <v>1119</v>
      </c>
      <c r="AB39" s="15" t="s">
        <v>176</v>
      </c>
      <c r="AC39" s="15" t="s">
        <v>1092</v>
      </c>
      <c r="AD39" s="15" t="s">
        <v>1249</v>
      </c>
      <c r="AE39" s="15" t="s">
        <v>1250</v>
      </c>
      <c r="AF39" s="15"/>
      <c r="AG39" s="15" t="s">
        <v>1101</v>
      </c>
      <c r="AH39" s="15" t="s">
        <v>1251</v>
      </c>
      <c r="AI39" s="15" t="s">
        <v>1061</v>
      </c>
      <c r="AJ39" s="15" t="n">
        <v>0</v>
      </c>
      <c r="AK39" s="15" t="n">
        <v>0</v>
      </c>
      <c r="AL39" s="15" t="n">
        <v>0</v>
      </c>
      <c r="AM39" s="15" t="n">
        <v>40.8</v>
      </c>
      <c r="AN39" s="15" t="n">
        <v>56.4</v>
      </c>
      <c r="AO39" s="15" t="n">
        <v>367.8</v>
      </c>
      <c r="AP39" s="15" t="s">
        <v>1020</v>
      </c>
      <c r="AQ39" s="15" t="s">
        <v>1021</v>
      </c>
      <c r="AR39" s="15" t="s">
        <v>169</v>
      </c>
      <c r="AS39" s="15"/>
      <c r="AT39" s="29" t="str">
        <f aca="false">IF(A39="","",IF(COUNTIF(Parcels!$A$2:$A$3000,B39)=0,"Parcel not found",IF(COUNTIF($A$2:$A$3000,A39)&gt;1,"Duplicate perm_id",IF(AND(R39="Yes",D39&lt;&gt;"",COUNTIFS($C$2:$C$3000,D39,$R$2:$R$3000,"Yes")&gt;1),"Reference counted twice",IF(COUNTIF(Lists!$A$2:$A$7,I39)=0,"Unknown status","")))))</f>
        <v/>
      </c>
    </row>
    <row r="40" customFormat="false" ht="15" hidden="false" customHeight="false" outlineLevel="0" collapsed="false">
      <c r="A40" s="15" t="s">
        <v>1252</v>
      </c>
      <c r="B40" s="15" t="s">
        <v>232</v>
      </c>
      <c r="C40" s="15" t="s">
        <v>52</v>
      </c>
      <c r="D40" s="15" t="s">
        <v>1253</v>
      </c>
      <c r="E40" s="15" t="s">
        <v>1253</v>
      </c>
      <c r="F40" s="15" t="s">
        <v>1254</v>
      </c>
      <c r="G40" s="15" t="n">
        <v>48</v>
      </c>
      <c r="H40" s="15"/>
      <c r="I40" s="15" t="s">
        <v>48</v>
      </c>
      <c r="J40" s="15" t="s">
        <v>1008</v>
      </c>
      <c r="K40" s="15" t="s">
        <v>48</v>
      </c>
      <c r="L40" s="15" t="n">
        <v>0</v>
      </c>
      <c r="M40" s="15" t="n">
        <v>0</v>
      </c>
      <c r="N40" s="15" t="n">
        <v>0</v>
      </c>
      <c r="O40" s="15" t="n">
        <v>0</v>
      </c>
      <c r="P40" s="15"/>
      <c r="Q40" s="15" t="s">
        <v>1009</v>
      </c>
      <c r="R40" s="15" t="s">
        <v>1010</v>
      </c>
      <c r="S40" s="15" t="s">
        <v>1011</v>
      </c>
      <c r="T40" s="15" t="n">
        <v>0</v>
      </c>
      <c r="U40" s="15" t="n">
        <v>18</v>
      </c>
      <c r="V40" s="15" t="n">
        <v>28</v>
      </c>
      <c r="W40" s="15" t="n">
        <v>2</v>
      </c>
      <c r="X40" s="15" t="n">
        <v>0</v>
      </c>
      <c r="Y40" s="15" t="n">
        <v>0</v>
      </c>
      <c r="Z40" s="15" t="s">
        <v>1012</v>
      </c>
      <c r="AA40" s="15" t="s">
        <v>1013</v>
      </c>
      <c r="AB40" s="15" t="s">
        <v>176</v>
      </c>
      <c r="AC40" s="15" t="s">
        <v>1027</v>
      </c>
      <c r="AD40" s="15" t="s">
        <v>1255</v>
      </c>
      <c r="AE40" s="15" t="s">
        <v>1256</v>
      </c>
      <c r="AF40" s="15" t="s">
        <v>1257</v>
      </c>
      <c r="AG40" s="15" t="s">
        <v>1040</v>
      </c>
      <c r="AH40" s="15" t="s">
        <v>1041</v>
      </c>
      <c r="AI40" s="15" t="s">
        <v>1042</v>
      </c>
      <c r="AJ40" s="15" t="n">
        <v>11.2</v>
      </c>
      <c r="AK40" s="15" t="n">
        <v>36.8</v>
      </c>
      <c r="AL40" s="15" t="n">
        <v>0</v>
      </c>
      <c r="AM40" s="15" t="n">
        <v>0</v>
      </c>
      <c r="AN40" s="15" t="n">
        <v>0</v>
      </c>
      <c r="AO40" s="15" t="n">
        <v>0</v>
      </c>
      <c r="AP40" s="15" t="s">
        <v>1020</v>
      </c>
      <c r="AQ40" s="15" t="s">
        <v>1021</v>
      </c>
      <c r="AR40" s="15" t="s">
        <v>169</v>
      </c>
      <c r="AS40" s="15"/>
      <c r="AT40" s="29" t="str">
        <f aca="false">IF(A40="","",IF(COUNTIF(Parcels!$A$2:$A$3000,B40)=0,"Parcel not found",IF(COUNTIF($A$2:$A$3000,A40)&gt;1,"Duplicate perm_id",IF(AND(R40="Yes",D40&lt;&gt;"",COUNTIFS($C$2:$C$3000,D40,$R$2:$R$3000,"Yes")&gt;1),"Reference counted twice",IF(COUNTIF(Lists!$A$2:$A$7,I40)=0,"Unknown status","")))))</f>
        <v/>
      </c>
    </row>
    <row r="41" customFormat="false" ht="15" hidden="false" customHeight="false" outlineLevel="0" collapsed="false">
      <c r="A41" s="15" t="s">
        <v>1258</v>
      </c>
      <c r="B41" s="15" t="s">
        <v>232</v>
      </c>
      <c r="C41" s="15" t="s">
        <v>52</v>
      </c>
      <c r="D41" s="15" t="s">
        <v>1259</v>
      </c>
      <c r="E41" s="15" t="s">
        <v>1259</v>
      </c>
      <c r="F41" s="15" t="s">
        <v>1260</v>
      </c>
      <c r="G41" s="15" t="n">
        <v>212</v>
      </c>
      <c r="H41" s="15"/>
      <c r="I41" s="15" t="s">
        <v>1007</v>
      </c>
      <c r="J41" s="15" t="s">
        <v>1008</v>
      </c>
      <c r="K41" s="15" t="s">
        <v>1007</v>
      </c>
      <c r="L41" s="15" t="n">
        <v>0</v>
      </c>
      <c r="M41" s="15" t="n">
        <v>0</v>
      </c>
      <c r="N41" s="15" t="n">
        <v>0</v>
      </c>
      <c r="O41" s="15" t="n">
        <v>0</v>
      </c>
      <c r="P41" s="15"/>
      <c r="Q41" s="15" t="s">
        <v>1009</v>
      </c>
      <c r="R41" s="15" t="s">
        <v>1010</v>
      </c>
      <c r="S41" s="15" t="s">
        <v>1011</v>
      </c>
      <c r="T41" s="15" t="n">
        <v>0</v>
      </c>
      <c r="U41" s="15" t="n">
        <v>49</v>
      </c>
      <c r="V41" s="15" t="n">
        <v>64</v>
      </c>
      <c r="W41" s="15" t="n">
        <v>65</v>
      </c>
      <c r="X41" s="15" t="n">
        <v>34</v>
      </c>
      <c r="Y41" s="15" t="n">
        <v>0</v>
      </c>
      <c r="Z41" s="15" t="s">
        <v>1012</v>
      </c>
      <c r="AA41" s="15" t="s">
        <v>1013</v>
      </c>
      <c r="AB41" s="15" t="s">
        <v>176</v>
      </c>
      <c r="AC41" s="15" t="s">
        <v>1092</v>
      </c>
      <c r="AD41" s="15" t="s">
        <v>1261</v>
      </c>
      <c r="AE41" s="15" t="s">
        <v>1262</v>
      </c>
      <c r="AF41" s="15"/>
      <c r="AG41" s="15" t="s">
        <v>1101</v>
      </c>
      <c r="AH41" s="15" t="s">
        <v>1263</v>
      </c>
      <c r="AI41" s="15" t="s">
        <v>1061</v>
      </c>
      <c r="AJ41" s="15" t="n">
        <v>0</v>
      </c>
      <c r="AK41" s="15" t="n">
        <v>0</v>
      </c>
      <c r="AL41" s="15" t="n">
        <v>0</v>
      </c>
      <c r="AM41" s="15" t="n">
        <v>36.4</v>
      </c>
      <c r="AN41" s="15" t="n">
        <v>65.9</v>
      </c>
      <c r="AO41" s="15" t="n">
        <v>109.7</v>
      </c>
      <c r="AP41" s="15" t="s">
        <v>1020</v>
      </c>
      <c r="AQ41" s="15" t="s">
        <v>1021</v>
      </c>
      <c r="AR41" s="15" t="s">
        <v>169</v>
      </c>
      <c r="AS41" s="15"/>
      <c r="AT41" s="29" t="str">
        <f aca="false">IF(A41="","",IF(COUNTIF(Parcels!$A$2:$A$3000,B41)=0,"Parcel not found",IF(COUNTIF($A$2:$A$3000,A41)&gt;1,"Duplicate perm_id",IF(AND(R41="Yes",D41&lt;&gt;"",COUNTIFS($C$2:$C$3000,D41,$R$2:$R$3000,"Yes")&gt;1),"Reference counted twice",IF(COUNTIF(Lists!$A$2:$A$7,I41)=0,"Unknown status","")))))</f>
        <v/>
      </c>
    </row>
    <row r="42" customFormat="false" ht="15" hidden="false" customHeight="false" outlineLevel="0" collapsed="false">
      <c r="A42" s="15" t="s">
        <v>1264</v>
      </c>
      <c r="B42" s="15" t="s">
        <v>342</v>
      </c>
      <c r="C42" s="15" t="s">
        <v>58</v>
      </c>
      <c r="D42" s="15" t="s">
        <v>1265</v>
      </c>
      <c r="E42" s="15" t="s">
        <v>1265</v>
      </c>
      <c r="F42" s="15" t="s">
        <v>1266</v>
      </c>
      <c r="G42" s="15" t="n">
        <v>31</v>
      </c>
      <c r="H42" s="15"/>
      <c r="I42" s="15" t="s">
        <v>48</v>
      </c>
      <c r="J42" s="15" t="s">
        <v>1008</v>
      </c>
      <c r="K42" s="15" t="s">
        <v>48</v>
      </c>
      <c r="L42" s="15" t="n">
        <v>0</v>
      </c>
      <c r="M42" s="15" t="n">
        <v>0</v>
      </c>
      <c r="N42" s="15" t="n">
        <v>0</v>
      </c>
      <c r="O42" s="15" t="n">
        <v>0</v>
      </c>
      <c r="P42" s="15"/>
      <c r="Q42" s="15" t="s">
        <v>1009</v>
      </c>
      <c r="R42" s="15" t="s">
        <v>1010</v>
      </c>
      <c r="S42" s="15" t="s">
        <v>1011</v>
      </c>
      <c r="T42" s="15" t="n">
        <v>0</v>
      </c>
      <c r="U42" s="15" t="n">
        <v>0</v>
      </c>
      <c r="V42" s="15" t="n">
        <v>7</v>
      </c>
      <c r="W42" s="15" t="n">
        <v>24</v>
      </c>
      <c r="X42" s="15" t="n">
        <v>0</v>
      </c>
      <c r="Y42" s="15" t="n">
        <v>0</v>
      </c>
      <c r="Z42" s="15" t="s">
        <v>1012</v>
      </c>
      <c r="AA42" s="15" t="s">
        <v>1013</v>
      </c>
      <c r="AB42" s="15" t="s">
        <v>176</v>
      </c>
      <c r="AC42" s="15" t="s">
        <v>1027</v>
      </c>
      <c r="AD42" s="15" t="s">
        <v>1267</v>
      </c>
      <c r="AE42" s="15" t="s">
        <v>1268</v>
      </c>
      <c r="AF42" s="15" t="s">
        <v>1269</v>
      </c>
      <c r="AG42" s="15" t="s">
        <v>1069</v>
      </c>
      <c r="AH42" s="15" t="s">
        <v>1200</v>
      </c>
      <c r="AI42" s="15" t="s">
        <v>1042</v>
      </c>
      <c r="AJ42" s="15" t="n">
        <v>0</v>
      </c>
      <c r="AK42" s="15" t="n">
        <v>28.5</v>
      </c>
      <c r="AL42" s="15" t="n">
        <v>2.5</v>
      </c>
      <c r="AM42" s="15" t="n">
        <v>0</v>
      </c>
      <c r="AN42" s="15" t="n">
        <v>0</v>
      </c>
      <c r="AO42" s="15" t="n">
        <v>0</v>
      </c>
      <c r="AP42" s="15" t="s">
        <v>1020</v>
      </c>
      <c r="AQ42" s="15" t="s">
        <v>1021</v>
      </c>
      <c r="AR42" s="15" t="s">
        <v>169</v>
      </c>
      <c r="AS42" s="15"/>
      <c r="AT42" s="29" t="str">
        <f aca="false">IF(A42="","",IF(COUNTIF(Parcels!$A$2:$A$3000,B42)=0,"Parcel not found",IF(COUNTIF($A$2:$A$3000,A42)&gt;1,"Duplicate perm_id",IF(AND(R42="Yes",D42&lt;&gt;"",COUNTIFS($C$2:$C$3000,D42,$R$2:$R$3000,"Yes")&gt;1),"Reference counted twice",IF(COUNTIF(Lists!$A$2:$A$7,I42)=0,"Unknown status","")))))</f>
        <v/>
      </c>
    </row>
    <row r="43" customFormat="false" ht="15" hidden="false" customHeight="false" outlineLevel="0" collapsed="false">
      <c r="A43" s="15" t="s">
        <v>1270</v>
      </c>
      <c r="B43" s="15" t="s">
        <v>343</v>
      </c>
      <c r="C43" s="15" t="s">
        <v>58</v>
      </c>
      <c r="D43" s="15" t="s">
        <v>1271</v>
      </c>
      <c r="E43" s="15" t="s">
        <v>1271</v>
      </c>
      <c r="F43" s="15" t="s">
        <v>1272</v>
      </c>
      <c r="G43" s="15" t="n">
        <v>403</v>
      </c>
      <c r="H43" s="15"/>
      <c r="I43" s="15" t="s">
        <v>1007</v>
      </c>
      <c r="J43" s="15" t="s">
        <v>1008</v>
      </c>
      <c r="K43" s="15" t="s">
        <v>1007</v>
      </c>
      <c r="L43" s="15" t="n">
        <v>0</v>
      </c>
      <c r="M43" s="15" t="n">
        <v>0</v>
      </c>
      <c r="N43" s="15" t="n">
        <v>0</v>
      </c>
      <c r="O43" s="15" t="n">
        <v>0</v>
      </c>
      <c r="P43" s="15"/>
      <c r="Q43" s="15" t="s">
        <v>1009</v>
      </c>
      <c r="R43" s="15" t="s">
        <v>1010</v>
      </c>
      <c r="S43" s="15" t="s">
        <v>1050</v>
      </c>
      <c r="T43" s="15" t="n">
        <v>0</v>
      </c>
      <c r="U43" s="15" t="n">
        <v>246</v>
      </c>
      <c r="V43" s="15" t="n">
        <v>157</v>
      </c>
      <c r="W43" s="15" t="n">
        <v>0</v>
      </c>
      <c r="X43" s="15" t="n">
        <v>0</v>
      </c>
      <c r="Y43" s="15" t="n">
        <v>0</v>
      </c>
      <c r="Z43" s="15" t="s">
        <v>1012</v>
      </c>
      <c r="AA43" s="15" t="s">
        <v>1013</v>
      </c>
      <c r="AB43" s="15" t="s">
        <v>176</v>
      </c>
      <c r="AC43" s="15" t="s">
        <v>1092</v>
      </c>
      <c r="AD43" s="15" t="s">
        <v>1249</v>
      </c>
      <c r="AE43" s="15" t="s">
        <v>1273</v>
      </c>
      <c r="AF43" s="15"/>
      <c r="AG43" s="15" t="s">
        <v>1101</v>
      </c>
      <c r="AH43" s="15" t="s">
        <v>1274</v>
      </c>
      <c r="AI43" s="15" t="s">
        <v>1061</v>
      </c>
      <c r="AJ43" s="15" t="n">
        <v>0</v>
      </c>
      <c r="AK43" s="15" t="n">
        <v>0</v>
      </c>
      <c r="AL43" s="15" t="n">
        <v>0</v>
      </c>
      <c r="AM43" s="15" t="n">
        <v>41.6</v>
      </c>
      <c r="AN43" s="15" t="n">
        <v>57.4</v>
      </c>
      <c r="AO43" s="15" t="n">
        <v>304</v>
      </c>
      <c r="AP43" s="15" t="s">
        <v>1020</v>
      </c>
      <c r="AQ43" s="15" t="s">
        <v>1021</v>
      </c>
      <c r="AR43" s="15" t="s">
        <v>169</v>
      </c>
      <c r="AS43" s="15"/>
      <c r="AT43" s="29" t="str">
        <f aca="false">IF(A43="","",IF(COUNTIF(Parcels!$A$2:$A$3000,B43)=0,"Parcel not found",IF(COUNTIF($A$2:$A$3000,A43)&gt;1,"Duplicate perm_id",IF(AND(R43="Yes",D43&lt;&gt;"",COUNTIFS($C$2:$C$3000,D43,$R$2:$R$3000,"Yes")&gt;1),"Reference counted twice",IF(COUNTIF(Lists!$A$2:$A$7,I43)=0,"Unknown status","")))))</f>
        <v/>
      </c>
    </row>
    <row r="44" customFormat="false" ht="15" hidden="false" customHeight="false" outlineLevel="0" collapsed="false">
      <c r="A44" s="15" t="s">
        <v>1275</v>
      </c>
      <c r="B44" s="15" t="s">
        <v>317</v>
      </c>
      <c r="C44" s="15" t="s">
        <v>57</v>
      </c>
      <c r="D44" s="15" t="s">
        <v>1276</v>
      </c>
      <c r="E44" s="15" t="s">
        <v>1276</v>
      </c>
      <c r="F44" s="15" t="s">
        <v>1277</v>
      </c>
      <c r="G44" s="15" t="n">
        <v>55</v>
      </c>
      <c r="H44" s="15"/>
      <c r="I44" s="15" t="s">
        <v>1007</v>
      </c>
      <c r="J44" s="15" t="s">
        <v>1008</v>
      </c>
      <c r="K44" s="15" t="s">
        <v>1007</v>
      </c>
      <c r="L44" s="15" t="n">
        <v>0</v>
      </c>
      <c r="M44" s="15" t="n">
        <v>0</v>
      </c>
      <c r="N44" s="15" t="n">
        <v>0</v>
      </c>
      <c r="O44" s="15" t="n">
        <v>0</v>
      </c>
      <c r="P44" s="15"/>
      <c r="Q44" s="15" t="s">
        <v>1009</v>
      </c>
      <c r="R44" s="15" t="s">
        <v>1010</v>
      </c>
      <c r="S44" s="15" t="s">
        <v>1011</v>
      </c>
      <c r="T44" s="15" t="n">
        <v>0</v>
      </c>
      <c r="U44" s="15" t="n">
        <v>9</v>
      </c>
      <c r="V44" s="15" t="n">
        <v>16</v>
      </c>
      <c r="W44" s="15" t="n">
        <v>30</v>
      </c>
      <c r="X44" s="15" t="n">
        <v>0</v>
      </c>
      <c r="Y44" s="15" t="n">
        <v>0</v>
      </c>
      <c r="Z44" s="15" t="s">
        <v>1012</v>
      </c>
      <c r="AA44" s="15" t="s">
        <v>1013</v>
      </c>
      <c r="AB44" s="15" t="s">
        <v>176</v>
      </c>
      <c r="AC44" s="15" t="s">
        <v>1027</v>
      </c>
      <c r="AD44" s="15" t="s">
        <v>1278</v>
      </c>
      <c r="AE44" s="15" t="s">
        <v>1279</v>
      </c>
      <c r="AF44" s="15"/>
      <c r="AG44" s="15" t="s">
        <v>1280</v>
      </c>
      <c r="AH44" s="15" t="s">
        <v>1194</v>
      </c>
      <c r="AI44" s="15" t="s">
        <v>1061</v>
      </c>
      <c r="AJ44" s="15" t="n">
        <v>0</v>
      </c>
      <c r="AK44" s="15" t="n">
        <v>0</v>
      </c>
      <c r="AL44" s="15" t="n">
        <v>42.9</v>
      </c>
      <c r="AM44" s="15" t="n">
        <v>12.1</v>
      </c>
      <c r="AN44" s="15" t="n">
        <v>0</v>
      </c>
      <c r="AO44" s="15" t="n">
        <v>0</v>
      </c>
      <c r="AP44" s="15" t="s">
        <v>1020</v>
      </c>
      <c r="AQ44" s="15" t="s">
        <v>1021</v>
      </c>
      <c r="AR44" s="15" t="s">
        <v>169</v>
      </c>
      <c r="AS44" s="15"/>
      <c r="AT44" s="29" t="str">
        <f aca="false">IF(A44="","",IF(COUNTIF(Parcels!$A$2:$A$3000,B44)=0,"Parcel not found",IF(COUNTIF($A$2:$A$3000,A44)&gt;1,"Duplicate perm_id",IF(AND(R44="Yes",D44&lt;&gt;"",COUNTIFS($C$2:$C$3000,D44,$R$2:$R$3000,"Yes")&gt;1),"Reference counted twice",IF(COUNTIF(Lists!$A$2:$A$7,I44)=0,"Unknown status","")))))</f>
        <v/>
      </c>
    </row>
    <row r="45" customFormat="false" ht="15" hidden="false" customHeight="false" outlineLevel="0" collapsed="false">
      <c r="A45" s="15" t="s">
        <v>1281</v>
      </c>
      <c r="B45" s="15" t="s">
        <v>208</v>
      </c>
      <c r="C45" s="15" t="s">
        <v>51</v>
      </c>
      <c r="D45" s="15" t="s">
        <v>1282</v>
      </c>
      <c r="E45" s="15" t="s">
        <v>1282</v>
      </c>
      <c r="F45" s="15" t="s">
        <v>1283</v>
      </c>
      <c r="G45" s="15" t="n">
        <v>86</v>
      </c>
      <c r="H45" s="15"/>
      <c r="I45" s="15" t="s">
        <v>1007</v>
      </c>
      <c r="J45" s="15" t="s">
        <v>1008</v>
      </c>
      <c r="K45" s="15" t="s">
        <v>1007</v>
      </c>
      <c r="L45" s="15" t="n">
        <v>0</v>
      </c>
      <c r="M45" s="15" t="n">
        <v>0</v>
      </c>
      <c r="N45" s="15" t="n">
        <v>0</v>
      </c>
      <c r="O45" s="15" t="n">
        <v>0</v>
      </c>
      <c r="P45" s="15"/>
      <c r="Q45" s="15" t="s">
        <v>1009</v>
      </c>
      <c r="R45" s="15" t="s">
        <v>1010</v>
      </c>
      <c r="S45" s="15" t="s">
        <v>1011</v>
      </c>
      <c r="T45" s="15" t="n">
        <v>0</v>
      </c>
      <c r="U45" s="15" t="n">
        <v>20</v>
      </c>
      <c r="V45" s="15" t="n">
        <v>66</v>
      </c>
      <c r="W45" s="15" t="n">
        <v>0</v>
      </c>
      <c r="X45" s="15" t="n">
        <v>0</v>
      </c>
      <c r="Y45" s="15" t="n">
        <v>0</v>
      </c>
      <c r="Z45" s="15" t="s">
        <v>1012</v>
      </c>
      <c r="AA45" s="15" t="s">
        <v>1013</v>
      </c>
      <c r="AB45" s="15" t="s">
        <v>176</v>
      </c>
      <c r="AC45" s="15" t="s">
        <v>1027</v>
      </c>
      <c r="AD45" s="15" t="s">
        <v>1284</v>
      </c>
      <c r="AE45" s="15" t="s">
        <v>1285</v>
      </c>
      <c r="AF45" s="15"/>
      <c r="AG45" s="15" t="s">
        <v>1017</v>
      </c>
      <c r="AH45" s="15" t="s">
        <v>1095</v>
      </c>
      <c r="AI45" s="15" t="s">
        <v>1019</v>
      </c>
      <c r="AJ45" s="15" t="n">
        <v>0</v>
      </c>
      <c r="AK45" s="15" t="n">
        <v>0</v>
      </c>
      <c r="AL45" s="15" t="n">
        <v>27.2</v>
      </c>
      <c r="AM45" s="15" t="n">
        <v>56.4</v>
      </c>
      <c r="AN45" s="15" t="n">
        <v>2.4</v>
      </c>
      <c r="AO45" s="15" t="n">
        <v>0</v>
      </c>
      <c r="AP45" s="15" t="s">
        <v>1020</v>
      </c>
      <c r="AQ45" s="15" t="s">
        <v>1021</v>
      </c>
      <c r="AR45" s="15" t="s">
        <v>169</v>
      </c>
      <c r="AS45" s="15"/>
      <c r="AT45" s="29" t="str">
        <f aca="false">IF(A45="","",IF(COUNTIF(Parcels!$A$2:$A$3000,B45)=0,"Parcel not found",IF(COUNTIF($A$2:$A$3000,A45)&gt;1,"Duplicate perm_id",IF(AND(R45="Yes",D45&lt;&gt;"",COUNTIFS($C$2:$C$3000,D45,$R$2:$R$3000,"Yes")&gt;1),"Reference counted twice",IF(COUNTIF(Lists!$A$2:$A$7,I45)=0,"Unknown status","")))))</f>
        <v/>
      </c>
    </row>
    <row r="46" customFormat="false" ht="15" hidden="false" customHeight="false" outlineLevel="0" collapsed="false">
      <c r="A46" s="15" t="s">
        <v>1286</v>
      </c>
      <c r="B46" s="15" t="s">
        <v>319</v>
      </c>
      <c r="C46" s="15" t="s">
        <v>57</v>
      </c>
      <c r="D46" s="15" t="s">
        <v>1287</v>
      </c>
      <c r="E46" s="15" t="s">
        <v>1287</v>
      </c>
      <c r="F46" s="15" t="s">
        <v>1288</v>
      </c>
      <c r="G46" s="15" t="n">
        <v>20</v>
      </c>
      <c r="H46" s="15"/>
      <c r="I46" s="15" t="s">
        <v>48</v>
      </c>
      <c r="J46" s="15" t="s">
        <v>1008</v>
      </c>
      <c r="K46" s="15" t="s">
        <v>48</v>
      </c>
      <c r="L46" s="15" t="n">
        <v>0</v>
      </c>
      <c r="M46" s="15" t="n">
        <v>0</v>
      </c>
      <c r="N46" s="15" t="n">
        <v>0</v>
      </c>
      <c r="O46" s="15" t="n">
        <v>0</v>
      </c>
      <c r="P46" s="15"/>
      <c r="Q46" s="15" t="s">
        <v>1009</v>
      </c>
      <c r="R46" s="15" t="s">
        <v>1010</v>
      </c>
      <c r="S46" s="15" t="s">
        <v>1011</v>
      </c>
      <c r="T46" s="15" t="n">
        <v>0</v>
      </c>
      <c r="U46" s="15" t="n">
        <v>10</v>
      </c>
      <c r="V46" s="15" t="n">
        <v>10</v>
      </c>
      <c r="W46" s="15" t="n">
        <v>0</v>
      </c>
      <c r="X46" s="15" t="n">
        <v>0</v>
      </c>
      <c r="Y46" s="15" t="n">
        <v>0</v>
      </c>
      <c r="Z46" s="15" t="s">
        <v>1012</v>
      </c>
      <c r="AA46" s="15" t="s">
        <v>1013</v>
      </c>
      <c r="AB46" s="15" t="s">
        <v>176</v>
      </c>
      <c r="AC46" s="15" t="s">
        <v>1027</v>
      </c>
      <c r="AD46" s="15" t="s">
        <v>1289</v>
      </c>
      <c r="AE46" s="15" t="s">
        <v>1290</v>
      </c>
      <c r="AF46" s="15" t="s">
        <v>1291</v>
      </c>
      <c r="AG46" s="15" t="s">
        <v>1292</v>
      </c>
      <c r="AH46" s="15" t="s">
        <v>1041</v>
      </c>
      <c r="AI46" s="15" t="s">
        <v>1042</v>
      </c>
      <c r="AJ46" s="15" t="n">
        <v>4.7</v>
      </c>
      <c r="AK46" s="15" t="n">
        <v>15.3</v>
      </c>
      <c r="AL46" s="15" t="n">
        <v>0</v>
      </c>
      <c r="AM46" s="15" t="n">
        <v>0</v>
      </c>
      <c r="AN46" s="15" t="n">
        <v>0</v>
      </c>
      <c r="AO46" s="15" t="n">
        <v>0</v>
      </c>
      <c r="AP46" s="15" t="s">
        <v>1020</v>
      </c>
      <c r="AQ46" s="15" t="s">
        <v>1021</v>
      </c>
      <c r="AR46" s="15" t="s">
        <v>169</v>
      </c>
      <c r="AS46" s="15"/>
      <c r="AT46" s="29" t="str">
        <f aca="false">IF(A46="","",IF(COUNTIF(Parcels!$A$2:$A$3000,B46)=0,"Parcel not found",IF(COUNTIF($A$2:$A$3000,A46)&gt;1,"Duplicate perm_id",IF(AND(R46="Yes",D46&lt;&gt;"",COUNTIFS($C$2:$C$3000,D46,$R$2:$R$3000,"Yes")&gt;1),"Reference counted twice",IF(COUNTIF(Lists!$A$2:$A$7,I46)=0,"Unknown status","")))))</f>
        <v/>
      </c>
    </row>
    <row r="47" customFormat="false" ht="15" hidden="false" customHeight="false" outlineLevel="0" collapsed="false">
      <c r="A47" s="15" t="s">
        <v>1293</v>
      </c>
      <c r="B47" s="15" t="s">
        <v>321</v>
      </c>
      <c r="C47" s="15" t="s">
        <v>57</v>
      </c>
      <c r="D47" s="15" t="s">
        <v>1294</v>
      </c>
      <c r="E47" s="15" t="s">
        <v>1294</v>
      </c>
      <c r="F47" s="15" t="s">
        <v>1295</v>
      </c>
      <c r="G47" s="15" t="n">
        <v>14</v>
      </c>
      <c r="H47" s="15"/>
      <c r="I47" s="15" t="s">
        <v>1007</v>
      </c>
      <c r="J47" s="15" t="s">
        <v>1008</v>
      </c>
      <c r="K47" s="15" t="s">
        <v>1007</v>
      </c>
      <c r="L47" s="15" t="n">
        <v>0</v>
      </c>
      <c r="M47" s="15" t="n">
        <v>0</v>
      </c>
      <c r="N47" s="15" t="n">
        <v>0</v>
      </c>
      <c r="O47" s="15" t="n">
        <v>0</v>
      </c>
      <c r="P47" s="15"/>
      <c r="Q47" s="15" t="s">
        <v>1009</v>
      </c>
      <c r="R47" s="15" t="s">
        <v>1010</v>
      </c>
      <c r="S47" s="15" t="s">
        <v>1011</v>
      </c>
      <c r="T47" s="15" t="n">
        <v>0</v>
      </c>
      <c r="U47" s="15" t="n">
        <v>5</v>
      </c>
      <c r="V47" s="15" t="n">
        <v>8</v>
      </c>
      <c r="W47" s="15" t="n">
        <v>1</v>
      </c>
      <c r="X47" s="15" t="n">
        <v>0</v>
      </c>
      <c r="Y47" s="15" t="n">
        <v>0</v>
      </c>
      <c r="Z47" s="15" t="s">
        <v>1012</v>
      </c>
      <c r="AA47" s="15" t="s">
        <v>1013</v>
      </c>
      <c r="AB47" s="15" t="s">
        <v>176</v>
      </c>
      <c r="AC47" s="15" t="s">
        <v>1027</v>
      </c>
      <c r="AD47" s="15" t="s">
        <v>1296</v>
      </c>
      <c r="AE47" s="15" t="s">
        <v>1297</v>
      </c>
      <c r="AF47" s="15"/>
      <c r="AG47" s="15" t="s">
        <v>1017</v>
      </c>
      <c r="AH47" s="15" t="s">
        <v>1194</v>
      </c>
      <c r="AI47" s="15" t="s">
        <v>1019</v>
      </c>
      <c r="AJ47" s="15" t="n">
        <v>0</v>
      </c>
      <c r="AK47" s="15" t="n">
        <v>0</v>
      </c>
      <c r="AL47" s="15" t="n">
        <v>8.2</v>
      </c>
      <c r="AM47" s="15" t="n">
        <v>5.8</v>
      </c>
      <c r="AN47" s="15" t="n">
        <v>0</v>
      </c>
      <c r="AO47" s="15" t="n">
        <v>0</v>
      </c>
      <c r="AP47" s="15" t="s">
        <v>1020</v>
      </c>
      <c r="AQ47" s="15" t="s">
        <v>1021</v>
      </c>
      <c r="AR47" s="15" t="s">
        <v>169</v>
      </c>
      <c r="AS47" s="15"/>
      <c r="AT47" s="29" t="str">
        <f aca="false">IF(A47="","",IF(COUNTIF(Parcels!$A$2:$A$3000,B47)=0,"Parcel not found",IF(COUNTIF($A$2:$A$3000,A47)&gt;1,"Duplicate perm_id",IF(AND(R47="Yes",D47&lt;&gt;"",COUNTIFS($C$2:$C$3000,D47,$R$2:$R$3000,"Yes")&gt;1),"Reference counted twice",IF(COUNTIF(Lists!$A$2:$A$7,I47)=0,"Unknown status","")))))</f>
        <v/>
      </c>
    </row>
    <row r="48" customFormat="false" ht="15" hidden="false" customHeight="false" outlineLevel="0" collapsed="false">
      <c r="A48" s="15" t="s">
        <v>1298</v>
      </c>
      <c r="B48" s="15" t="s">
        <v>321</v>
      </c>
      <c r="C48" s="15" t="s">
        <v>57</v>
      </c>
      <c r="D48" s="15" t="s">
        <v>1299</v>
      </c>
      <c r="E48" s="15" t="s">
        <v>1299</v>
      </c>
      <c r="F48" s="15" t="s">
        <v>1300</v>
      </c>
      <c r="G48" s="15" t="n">
        <v>30</v>
      </c>
      <c r="H48" s="15"/>
      <c r="I48" s="15" t="s">
        <v>1007</v>
      </c>
      <c r="J48" s="15" t="s">
        <v>1008</v>
      </c>
      <c r="K48" s="15" t="s">
        <v>1007</v>
      </c>
      <c r="L48" s="15" t="n">
        <v>0</v>
      </c>
      <c r="M48" s="15" t="n">
        <v>0</v>
      </c>
      <c r="N48" s="15" t="n">
        <v>0</v>
      </c>
      <c r="O48" s="15" t="n">
        <v>0</v>
      </c>
      <c r="P48" s="15"/>
      <c r="Q48" s="15" t="s">
        <v>1009</v>
      </c>
      <c r="R48" s="15" t="s">
        <v>1010</v>
      </c>
      <c r="S48" s="15" t="s">
        <v>1011</v>
      </c>
      <c r="T48" s="15" t="n">
        <v>0</v>
      </c>
      <c r="U48" s="15" t="n">
        <v>22</v>
      </c>
      <c r="V48" s="15" t="n">
        <v>8</v>
      </c>
      <c r="W48" s="15" t="n">
        <v>0</v>
      </c>
      <c r="X48" s="15" t="n">
        <v>0</v>
      </c>
      <c r="Y48" s="15" t="n">
        <v>0</v>
      </c>
      <c r="Z48" s="15" t="s">
        <v>1034</v>
      </c>
      <c r="AA48" s="15" t="s">
        <v>1013</v>
      </c>
      <c r="AB48" s="15" t="s">
        <v>176</v>
      </c>
      <c r="AC48" s="15" t="s">
        <v>1027</v>
      </c>
      <c r="AD48" s="15" t="s">
        <v>1301</v>
      </c>
      <c r="AE48" s="15" t="s">
        <v>1302</v>
      </c>
      <c r="AF48" s="15"/>
      <c r="AG48" s="15" t="s">
        <v>1280</v>
      </c>
      <c r="AH48" s="15" t="s">
        <v>1303</v>
      </c>
      <c r="AI48" s="15" t="s">
        <v>1061</v>
      </c>
      <c r="AJ48" s="15" t="n">
        <v>0</v>
      </c>
      <c r="AK48" s="15" t="n">
        <v>1.4</v>
      </c>
      <c r="AL48" s="15" t="n">
        <v>28.6</v>
      </c>
      <c r="AM48" s="15" t="n">
        <v>0</v>
      </c>
      <c r="AN48" s="15" t="n">
        <v>0</v>
      </c>
      <c r="AO48" s="15" t="n">
        <v>0</v>
      </c>
      <c r="AP48" s="15" t="s">
        <v>1020</v>
      </c>
      <c r="AQ48" s="15" t="s">
        <v>1021</v>
      </c>
      <c r="AR48" s="15" t="s">
        <v>169</v>
      </c>
      <c r="AS48" s="15"/>
      <c r="AT48" s="29" t="str">
        <f aca="false">IF(A48="","",IF(COUNTIF(Parcels!$A$2:$A$3000,B48)=0,"Parcel not found",IF(COUNTIF($A$2:$A$3000,A48)&gt;1,"Duplicate perm_id",IF(AND(R48="Yes",D48&lt;&gt;"",COUNTIFS($C$2:$C$3000,D48,$R$2:$R$3000,"Yes")&gt;1),"Reference counted twice",IF(COUNTIF(Lists!$A$2:$A$7,I48)=0,"Unknown status","")))))</f>
        <v/>
      </c>
    </row>
    <row r="49" customFormat="false" ht="15" hidden="false" customHeight="false" outlineLevel="0" collapsed="false">
      <c r="A49" s="15" t="s">
        <v>1304</v>
      </c>
      <c r="B49" s="15" t="s">
        <v>322</v>
      </c>
      <c r="C49" s="15" t="s">
        <v>57</v>
      </c>
      <c r="D49" s="15" t="s">
        <v>1305</v>
      </c>
      <c r="E49" s="15" t="s">
        <v>1305</v>
      </c>
      <c r="F49" s="15" t="s">
        <v>1306</v>
      </c>
      <c r="G49" s="15" t="n">
        <v>30</v>
      </c>
      <c r="H49" s="15"/>
      <c r="I49" s="15" t="s">
        <v>48</v>
      </c>
      <c r="J49" s="15" t="s">
        <v>1008</v>
      </c>
      <c r="K49" s="15" t="s">
        <v>48</v>
      </c>
      <c r="L49" s="15" t="n">
        <v>0</v>
      </c>
      <c r="M49" s="15" t="n">
        <v>0</v>
      </c>
      <c r="N49" s="15" t="n">
        <v>0</v>
      </c>
      <c r="O49" s="15" t="n">
        <v>0</v>
      </c>
      <c r="P49" s="15"/>
      <c r="Q49" s="15" t="s">
        <v>1009</v>
      </c>
      <c r="R49" s="15" t="s">
        <v>1010</v>
      </c>
      <c r="S49" s="15" t="s">
        <v>1011</v>
      </c>
      <c r="T49" s="15" t="n">
        <v>0</v>
      </c>
      <c r="U49" s="15" t="n">
        <v>30</v>
      </c>
      <c r="V49" s="15" t="n">
        <v>0</v>
      </c>
      <c r="W49" s="15" t="n">
        <v>0</v>
      </c>
      <c r="X49" s="15" t="n">
        <v>0</v>
      </c>
      <c r="Y49" s="15" t="n">
        <v>0</v>
      </c>
      <c r="Z49" s="15" t="s">
        <v>1012</v>
      </c>
      <c r="AA49" s="15" t="s">
        <v>1035</v>
      </c>
      <c r="AB49" s="15" t="s">
        <v>1065</v>
      </c>
      <c r="AC49" s="15" t="s">
        <v>1027</v>
      </c>
      <c r="AD49" s="15" t="s">
        <v>1307</v>
      </c>
      <c r="AE49" s="15" t="s">
        <v>1308</v>
      </c>
      <c r="AF49" s="15" t="s">
        <v>1309</v>
      </c>
      <c r="AG49" s="15" t="s">
        <v>1040</v>
      </c>
      <c r="AH49" s="15" t="s">
        <v>1041</v>
      </c>
      <c r="AI49" s="15" t="s">
        <v>1042</v>
      </c>
      <c r="AJ49" s="15" t="n">
        <v>7</v>
      </c>
      <c r="AK49" s="15" t="n">
        <v>23</v>
      </c>
      <c r="AL49" s="15" t="n">
        <v>0</v>
      </c>
      <c r="AM49" s="15" t="n">
        <v>0</v>
      </c>
      <c r="AN49" s="15" t="n">
        <v>0</v>
      </c>
      <c r="AO49" s="15" t="n">
        <v>0</v>
      </c>
      <c r="AP49" s="15" t="s">
        <v>1020</v>
      </c>
      <c r="AQ49" s="15" t="s">
        <v>1021</v>
      </c>
      <c r="AR49" s="15" t="s">
        <v>169</v>
      </c>
      <c r="AS49" s="15"/>
      <c r="AT49" s="29" t="str">
        <f aca="false">IF(A49="","",IF(COUNTIF(Parcels!$A$2:$A$3000,B49)=0,"Parcel not found",IF(COUNTIF($A$2:$A$3000,A49)&gt;1,"Duplicate perm_id",IF(AND(R49="Yes",D49&lt;&gt;"",COUNTIFS($C$2:$C$3000,D49,$R$2:$R$3000,"Yes")&gt;1),"Reference counted twice",IF(COUNTIF(Lists!$A$2:$A$7,I49)=0,"Unknown status","")))))</f>
        <v/>
      </c>
    </row>
    <row r="50" customFormat="false" ht="15" hidden="false" customHeight="false" outlineLevel="0" collapsed="false">
      <c r="A50" s="15" t="s">
        <v>1310</v>
      </c>
      <c r="B50" s="15" t="s">
        <v>254</v>
      </c>
      <c r="C50" s="15" t="s">
        <v>53</v>
      </c>
      <c r="D50" s="15" t="s">
        <v>1311</v>
      </c>
      <c r="E50" s="15" t="s">
        <v>1311</v>
      </c>
      <c r="F50" s="15" t="s">
        <v>1312</v>
      </c>
      <c r="G50" s="15" t="n">
        <v>285</v>
      </c>
      <c r="H50" s="15"/>
      <c r="I50" s="15" t="s">
        <v>1007</v>
      </c>
      <c r="J50" s="15" t="s">
        <v>1008</v>
      </c>
      <c r="K50" s="15" t="s">
        <v>1007</v>
      </c>
      <c r="L50" s="15" t="n">
        <v>0</v>
      </c>
      <c r="M50" s="15" t="n">
        <v>0</v>
      </c>
      <c r="N50" s="15" t="n">
        <v>0</v>
      </c>
      <c r="O50" s="15" t="n">
        <v>0</v>
      </c>
      <c r="P50" s="15"/>
      <c r="Q50" s="15" t="s">
        <v>1009</v>
      </c>
      <c r="R50" s="15" t="s">
        <v>1010</v>
      </c>
      <c r="S50" s="15" t="s">
        <v>1011</v>
      </c>
      <c r="T50" s="15" t="n">
        <v>0</v>
      </c>
      <c r="U50" s="15" t="n">
        <v>142</v>
      </c>
      <c r="V50" s="15" t="n">
        <v>127</v>
      </c>
      <c r="W50" s="15" t="n">
        <v>16</v>
      </c>
      <c r="X50" s="15" t="n">
        <v>0</v>
      </c>
      <c r="Y50" s="15" t="n">
        <v>0</v>
      </c>
      <c r="Z50" s="15" t="s">
        <v>1012</v>
      </c>
      <c r="AA50" s="15" t="s">
        <v>1313</v>
      </c>
      <c r="AB50" s="15" t="s">
        <v>1314</v>
      </c>
      <c r="AC50" s="15" t="s">
        <v>1092</v>
      </c>
      <c r="AD50" s="15" t="s">
        <v>1315</v>
      </c>
      <c r="AE50" s="15" t="s">
        <v>1316</v>
      </c>
      <c r="AF50" s="15"/>
      <c r="AG50" s="15" t="s">
        <v>1041</v>
      </c>
      <c r="AH50" s="15" t="s">
        <v>1317</v>
      </c>
      <c r="AI50" s="15" t="s">
        <v>1061</v>
      </c>
      <c r="AJ50" s="15" t="n">
        <v>0</v>
      </c>
      <c r="AK50" s="15" t="n">
        <v>0</v>
      </c>
      <c r="AL50" s="15" t="n">
        <v>10.1</v>
      </c>
      <c r="AM50" s="15" t="n">
        <v>61</v>
      </c>
      <c r="AN50" s="15" t="n">
        <v>61</v>
      </c>
      <c r="AO50" s="15" t="n">
        <v>152.9</v>
      </c>
      <c r="AP50" s="15" t="s">
        <v>1020</v>
      </c>
      <c r="AQ50" s="15" t="s">
        <v>1021</v>
      </c>
      <c r="AR50" s="15" t="s">
        <v>169</v>
      </c>
      <c r="AS50" s="15"/>
      <c r="AT50" s="29" t="str">
        <f aca="false">IF(A50="","",IF(COUNTIF(Parcels!$A$2:$A$3000,B50)=0,"Parcel not found",IF(COUNTIF($A$2:$A$3000,A50)&gt;1,"Duplicate perm_id",IF(AND(R50="Yes",D50&lt;&gt;"",COUNTIFS($C$2:$C$3000,D50,$R$2:$R$3000,"Yes")&gt;1),"Reference counted twice",IF(COUNTIF(Lists!$A$2:$A$7,I50)=0,"Unknown status","")))))</f>
        <v/>
      </c>
    </row>
    <row r="51" customFormat="false" ht="15" hidden="false" customHeight="false" outlineLevel="0" collapsed="false">
      <c r="A51" s="15" t="s">
        <v>1318</v>
      </c>
      <c r="B51" s="15" t="s">
        <v>384</v>
      </c>
      <c r="C51" s="15" t="s">
        <v>69</v>
      </c>
      <c r="D51" s="15" t="s">
        <v>1319</v>
      </c>
      <c r="E51" s="15" t="s">
        <v>1319</v>
      </c>
      <c r="F51" s="15" t="s">
        <v>1320</v>
      </c>
      <c r="G51" s="15" t="n">
        <v>22</v>
      </c>
      <c r="H51" s="15"/>
      <c r="I51" s="15" t="s">
        <v>48</v>
      </c>
      <c r="J51" s="15" t="s">
        <v>1008</v>
      </c>
      <c r="K51" s="15" t="s">
        <v>48</v>
      </c>
      <c r="L51" s="15" t="n">
        <v>0</v>
      </c>
      <c r="M51" s="15" t="n">
        <v>0</v>
      </c>
      <c r="N51" s="15" t="n">
        <v>15</v>
      </c>
      <c r="O51" s="15" t="n">
        <v>0</v>
      </c>
      <c r="P51" s="15"/>
      <c r="Q51" s="15" t="s">
        <v>1009</v>
      </c>
      <c r="R51" s="15" t="s">
        <v>1010</v>
      </c>
      <c r="S51" s="15" t="s">
        <v>1050</v>
      </c>
      <c r="T51" s="15" t="n">
        <v>0</v>
      </c>
      <c r="U51" s="15" t="n">
        <v>0</v>
      </c>
      <c r="V51" s="15" t="n">
        <v>4</v>
      </c>
      <c r="W51" s="15" t="n">
        <v>12</v>
      </c>
      <c r="X51" s="15" t="n">
        <v>6</v>
      </c>
      <c r="Y51" s="15" t="n">
        <v>0</v>
      </c>
      <c r="Z51" s="15" t="s">
        <v>1012</v>
      </c>
      <c r="AA51" s="15" t="s">
        <v>1013</v>
      </c>
      <c r="AB51" s="15" t="s">
        <v>176</v>
      </c>
      <c r="AC51" s="15" t="s">
        <v>1027</v>
      </c>
      <c r="AD51" s="15" t="s">
        <v>1321</v>
      </c>
      <c r="AE51" s="15" t="s">
        <v>1322</v>
      </c>
      <c r="AF51" s="15" t="s">
        <v>1323</v>
      </c>
      <c r="AG51" s="15" t="s">
        <v>1324</v>
      </c>
      <c r="AH51" s="15" t="s">
        <v>1101</v>
      </c>
      <c r="AI51" s="15" t="s">
        <v>1042</v>
      </c>
      <c r="AJ51" s="15" t="n">
        <v>3.1</v>
      </c>
      <c r="AK51" s="15" t="n">
        <v>13.5</v>
      </c>
      <c r="AL51" s="15" t="n">
        <v>5.4</v>
      </c>
      <c r="AM51" s="15" t="n">
        <v>0</v>
      </c>
      <c r="AN51" s="15" t="n">
        <v>0</v>
      </c>
      <c r="AO51" s="15" t="n">
        <v>0</v>
      </c>
      <c r="AP51" s="15" t="s">
        <v>1325</v>
      </c>
      <c r="AQ51" s="15" t="s">
        <v>1021</v>
      </c>
      <c r="AR51" s="15" t="s">
        <v>169</v>
      </c>
      <c r="AS51" s="15"/>
      <c r="AT51" s="29" t="str">
        <f aca="false">IF(A51="","",IF(COUNTIF(Parcels!$A$2:$A$3000,B51)=0,"Parcel not found",IF(COUNTIF($A$2:$A$3000,A51)&gt;1,"Duplicate perm_id",IF(AND(R51="Yes",D51&lt;&gt;"",COUNTIFS($C$2:$C$3000,D51,$R$2:$R$3000,"Yes")&gt;1),"Reference counted twice",IF(COUNTIF(Lists!$A$2:$A$7,I51)=0,"Unknown status","")))))</f>
        <v/>
      </c>
    </row>
    <row r="52" customFormat="false" ht="15" hidden="false" customHeight="false" outlineLevel="0" collapsed="false">
      <c r="A52" s="15" t="s">
        <v>1326</v>
      </c>
      <c r="B52" s="15" t="s">
        <v>404</v>
      </c>
      <c r="C52" s="15" t="s">
        <v>22</v>
      </c>
      <c r="D52" s="15" t="s">
        <v>1327</v>
      </c>
      <c r="E52" s="15" t="s">
        <v>1327</v>
      </c>
      <c r="F52" s="15" t="s">
        <v>1328</v>
      </c>
      <c r="G52" s="15" t="n">
        <v>10</v>
      </c>
      <c r="H52" s="15"/>
      <c r="I52" s="15" t="s">
        <v>1007</v>
      </c>
      <c r="J52" s="15" t="s">
        <v>1008</v>
      </c>
      <c r="K52" s="15" t="s">
        <v>1007</v>
      </c>
      <c r="L52" s="15" t="n">
        <v>0</v>
      </c>
      <c r="M52" s="15" t="n">
        <v>0</v>
      </c>
      <c r="N52" s="15" t="n">
        <v>0</v>
      </c>
      <c r="O52" s="15" t="n">
        <v>0</v>
      </c>
      <c r="P52" s="15"/>
      <c r="Q52" s="15" t="s">
        <v>1009</v>
      </c>
      <c r="R52" s="15" t="s">
        <v>1010</v>
      </c>
      <c r="S52" s="15" t="s">
        <v>1026</v>
      </c>
      <c r="T52" s="15"/>
      <c r="U52" s="15"/>
      <c r="V52" s="15"/>
      <c r="W52" s="15"/>
      <c r="X52" s="15"/>
      <c r="Y52" s="15"/>
      <c r="Z52" s="15" t="s">
        <v>1012</v>
      </c>
      <c r="AA52" s="15" t="s">
        <v>1035</v>
      </c>
      <c r="AB52" s="15" t="s">
        <v>1065</v>
      </c>
      <c r="AC52" s="15" t="s">
        <v>1027</v>
      </c>
      <c r="AD52" s="15" t="s">
        <v>1329</v>
      </c>
      <c r="AE52" s="15" t="s">
        <v>1330</v>
      </c>
      <c r="AF52" s="15"/>
      <c r="AG52" s="15" t="s">
        <v>1059</v>
      </c>
      <c r="AH52" s="15" t="s">
        <v>1060</v>
      </c>
      <c r="AI52" s="15" t="s">
        <v>1061</v>
      </c>
      <c r="AJ52" s="15" t="n">
        <v>0</v>
      </c>
      <c r="AK52" s="15" t="n">
        <v>0</v>
      </c>
      <c r="AL52" s="15" t="n">
        <v>8.4</v>
      </c>
      <c r="AM52" s="15" t="n">
        <v>1.6</v>
      </c>
      <c r="AN52" s="15" t="n">
        <v>0</v>
      </c>
      <c r="AO52" s="15" t="n">
        <v>0</v>
      </c>
      <c r="AP52" s="15" t="s">
        <v>1325</v>
      </c>
      <c r="AQ52" s="15" t="s">
        <v>1021</v>
      </c>
      <c r="AR52" s="15" t="s">
        <v>169</v>
      </c>
      <c r="AS52" s="15"/>
      <c r="AT52" s="29" t="str">
        <f aca="false">IF(A52="","",IF(COUNTIF(Parcels!$A$2:$A$3000,B52)=0,"Parcel not found",IF(COUNTIF($A$2:$A$3000,A52)&gt;1,"Duplicate perm_id",IF(AND(R52="Yes",D52&lt;&gt;"",COUNTIFS($C$2:$C$3000,D52,$R$2:$R$3000,"Yes")&gt;1),"Reference counted twice",IF(COUNTIF(Lists!$A$2:$A$7,I52)=0,"Unknown status","")))))</f>
        <v/>
      </c>
    </row>
    <row r="53" customFormat="false" ht="15" hidden="false" customHeight="false" outlineLevel="0" collapsed="false">
      <c r="A53" s="15" t="s">
        <v>1331</v>
      </c>
      <c r="B53" s="15" t="s">
        <v>442</v>
      </c>
      <c r="C53" s="15" t="s">
        <v>22</v>
      </c>
      <c r="D53" s="15" t="s">
        <v>1332</v>
      </c>
      <c r="E53" s="15" t="s">
        <v>1332</v>
      </c>
      <c r="F53" s="15" t="s">
        <v>1333</v>
      </c>
      <c r="G53" s="15" t="n">
        <v>3</v>
      </c>
      <c r="H53" s="15"/>
      <c r="I53" s="15" t="s">
        <v>47</v>
      </c>
      <c r="J53" s="15" t="s">
        <v>1008</v>
      </c>
      <c r="K53" s="15" t="s">
        <v>47</v>
      </c>
      <c r="L53" s="15" t="n">
        <v>3</v>
      </c>
      <c r="M53" s="15" t="n">
        <v>0</v>
      </c>
      <c r="N53" s="15" t="n">
        <v>0</v>
      </c>
      <c r="O53" s="15" t="n">
        <v>0</v>
      </c>
      <c r="P53" s="15" t="s">
        <v>1334</v>
      </c>
      <c r="Q53" s="15" t="s">
        <v>1009</v>
      </c>
      <c r="R53" s="15" t="s">
        <v>1010</v>
      </c>
      <c r="S53" s="15" t="s">
        <v>1026</v>
      </c>
      <c r="T53" s="15"/>
      <c r="U53" s="15"/>
      <c r="V53" s="15"/>
      <c r="W53" s="15"/>
      <c r="X53" s="15"/>
      <c r="Y53" s="15"/>
      <c r="Z53" s="15" t="s">
        <v>1034</v>
      </c>
      <c r="AA53" s="15" t="s">
        <v>1013</v>
      </c>
      <c r="AB53" s="15" t="s">
        <v>176</v>
      </c>
      <c r="AC53" s="15" t="s">
        <v>1027</v>
      </c>
      <c r="AD53" s="15" t="s">
        <v>1335</v>
      </c>
      <c r="AE53" s="15" t="s">
        <v>1336</v>
      </c>
      <c r="AF53" s="15" t="s">
        <v>1337</v>
      </c>
      <c r="AG53" s="15"/>
      <c r="AH53" s="15"/>
      <c r="AI53" s="15" t="s">
        <v>1053</v>
      </c>
      <c r="AJ53" s="15" t="n">
        <v>0</v>
      </c>
      <c r="AK53" s="15" t="n">
        <v>0</v>
      </c>
      <c r="AL53" s="15" t="n">
        <v>0</v>
      </c>
      <c r="AM53" s="15" t="n">
        <v>0</v>
      </c>
      <c r="AN53" s="15" t="n">
        <v>0</v>
      </c>
      <c r="AO53" s="15" t="n">
        <v>0</v>
      </c>
      <c r="AP53" s="15" t="s">
        <v>1325</v>
      </c>
      <c r="AQ53" s="15" t="s">
        <v>1021</v>
      </c>
      <c r="AR53" s="15" t="s">
        <v>169</v>
      </c>
      <c r="AS53" s="15"/>
      <c r="AT53" s="29" t="str">
        <f aca="false">IF(A53="","",IF(COUNTIF(Parcels!$A$2:$A$3000,B53)=0,"Parcel not found",IF(COUNTIF($A$2:$A$3000,A53)&gt;1,"Duplicate perm_id",IF(AND(R53="Yes",D53&lt;&gt;"",COUNTIFS($C$2:$C$3000,D53,$R$2:$R$3000,"Yes")&gt;1),"Reference counted twice",IF(COUNTIF(Lists!$A$2:$A$7,I53)=0,"Unknown status","")))))</f>
        <v/>
      </c>
    </row>
    <row r="54" customFormat="false" ht="15" hidden="false" customHeight="false" outlineLevel="0" collapsed="false">
      <c r="A54" s="15" t="s">
        <v>1338</v>
      </c>
      <c r="B54" s="15" t="s">
        <v>442</v>
      </c>
      <c r="C54" s="15" t="s">
        <v>22</v>
      </c>
      <c r="D54" s="15" t="s">
        <v>1339</v>
      </c>
      <c r="E54" s="15" t="s">
        <v>1339</v>
      </c>
      <c r="F54" s="15" t="s">
        <v>1340</v>
      </c>
      <c r="G54" s="15" t="n">
        <v>3</v>
      </c>
      <c r="H54" s="15"/>
      <c r="I54" s="15" t="s">
        <v>47</v>
      </c>
      <c r="J54" s="15" t="s">
        <v>1341</v>
      </c>
      <c r="K54" s="15" t="s">
        <v>1007</v>
      </c>
      <c r="L54" s="15" t="n">
        <v>3</v>
      </c>
      <c r="M54" s="15" t="n">
        <v>3</v>
      </c>
      <c r="N54" s="15" t="n">
        <v>0</v>
      </c>
      <c r="O54" s="15" t="n">
        <v>0</v>
      </c>
      <c r="P54" s="15" t="s">
        <v>1342</v>
      </c>
      <c r="Q54" s="15" t="s">
        <v>1009</v>
      </c>
      <c r="R54" s="15" t="s">
        <v>1010</v>
      </c>
      <c r="S54" s="15" t="s">
        <v>1131</v>
      </c>
      <c r="T54" s="15"/>
      <c r="U54" s="15"/>
      <c r="V54" s="15"/>
      <c r="W54" s="15"/>
      <c r="X54" s="15"/>
      <c r="Y54" s="15"/>
      <c r="Z54" s="15" t="s">
        <v>1012</v>
      </c>
      <c r="AA54" s="15" t="s">
        <v>1035</v>
      </c>
      <c r="AB54" s="15" t="s">
        <v>1036</v>
      </c>
      <c r="AC54" s="15" t="s">
        <v>1037</v>
      </c>
      <c r="AD54" s="15" t="s">
        <v>1343</v>
      </c>
      <c r="AE54" s="15"/>
      <c r="AF54" s="15"/>
      <c r="AG54" s="15" t="s">
        <v>1059</v>
      </c>
      <c r="AH54" s="15" t="s">
        <v>1060</v>
      </c>
      <c r="AI54" s="15" t="s">
        <v>1061</v>
      </c>
      <c r="AJ54" s="15" t="n">
        <v>0</v>
      </c>
      <c r="AK54" s="15" t="n">
        <v>0</v>
      </c>
      <c r="AL54" s="15" t="n">
        <v>0</v>
      </c>
      <c r="AM54" s="15" t="n">
        <v>0</v>
      </c>
      <c r="AN54" s="15" t="n">
        <v>0</v>
      </c>
      <c r="AO54" s="15" t="n">
        <v>0</v>
      </c>
      <c r="AP54" s="15" t="s">
        <v>1325</v>
      </c>
      <c r="AQ54" s="15" t="s">
        <v>1021</v>
      </c>
      <c r="AR54" s="15" t="s">
        <v>169</v>
      </c>
      <c r="AS54" s="15"/>
      <c r="AT54" s="29" t="str">
        <f aca="false">IF(A54="","",IF(COUNTIF(Parcels!$A$2:$A$3000,B54)=0,"Parcel not found",IF(COUNTIF($A$2:$A$3000,A54)&gt;1,"Duplicate perm_id",IF(AND(R54="Yes",D54&lt;&gt;"",COUNTIFS($C$2:$C$3000,D54,$R$2:$R$3000,"Yes")&gt;1),"Reference counted twice",IF(COUNTIF(Lists!$A$2:$A$7,I54)=0,"Unknown status","")))))</f>
        <v/>
      </c>
    </row>
    <row r="55" customFormat="false" ht="15" hidden="false" customHeight="false" outlineLevel="0" collapsed="false">
      <c r="A55" s="15" t="s">
        <v>1344</v>
      </c>
      <c r="B55" s="15" t="s">
        <v>632</v>
      </c>
      <c r="C55" s="15" t="s">
        <v>57</v>
      </c>
      <c r="D55" s="15" t="s">
        <v>1345</v>
      </c>
      <c r="E55" s="15" t="s">
        <v>1345</v>
      </c>
      <c r="F55" s="15" t="s">
        <v>633</v>
      </c>
      <c r="G55" s="15" t="n">
        <v>7</v>
      </c>
      <c r="H55" s="15"/>
      <c r="I55" s="15" t="s">
        <v>47</v>
      </c>
      <c r="J55" s="15" t="s">
        <v>1341</v>
      </c>
      <c r="K55" s="15" t="s">
        <v>48</v>
      </c>
      <c r="L55" s="15" t="n">
        <v>7</v>
      </c>
      <c r="M55" s="15" t="n">
        <v>7</v>
      </c>
      <c r="N55" s="15" t="n">
        <v>0</v>
      </c>
      <c r="O55" s="15" t="n">
        <v>0</v>
      </c>
      <c r="P55" s="15" t="s">
        <v>1342</v>
      </c>
      <c r="Q55" s="15" t="s">
        <v>1009</v>
      </c>
      <c r="R55" s="15" t="s">
        <v>1010</v>
      </c>
      <c r="S55" s="15" t="s">
        <v>1346</v>
      </c>
      <c r="T55" s="15"/>
      <c r="U55" s="15"/>
      <c r="V55" s="15"/>
      <c r="W55" s="15"/>
      <c r="X55" s="15"/>
      <c r="Y55" s="15"/>
      <c r="Z55" s="15" t="s">
        <v>1012</v>
      </c>
      <c r="AA55" s="15" t="s">
        <v>1035</v>
      </c>
      <c r="AB55" s="15" t="s">
        <v>1036</v>
      </c>
      <c r="AC55" s="15" t="s">
        <v>1037</v>
      </c>
      <c r="AD55" s="15"/>
      <c r="AE55" s="15"/>
      <c r="AF55" s="15" t="s">
        <v>1347</v>
      </c>
      <c r="AG55" s="15" t="s">
        <v>1208</v>
      </c>
      <c r="AH55" s="15" t="s">
        <v>1041</v>
      </c>
      <c r="AI55" s="15" t="s">
        <v>1042</v>
      </c>
      <c r="AJ55" s="15" t="n">
        <v>0</v>
      </c>
      <c r="AK55" s="15" t="n">
        <v>0</v>
      </c>
      <c r="AL55" s="15" t="n">
        <v>0</v>
      </c>
      <c r="AM55" s="15" t="n">
        <v>0</v>
      </c>
      <c r="AN55" s="15" t="n">
        <v>0</v>
      </c>
      <c r="AO55" s="15" t="n">
        <v>0</v>
      </c>
      <c r="AP55" s="15" t="s">
        <v>1325</v>
      </c>
      <c r="AQ55" s="15" t="s">
        <v>1348</v>
      </c>
      <c r="AR55" s="15" t="s">
        <v>169</v>
      </c>
      <c r="AS55" s="15"/>
      <c r="AT55" s="29" t="str">
        <f aca="false">IF(A55="","",IF(COUNTIF(Parcels!$A$2:$A$3000,B55)=0,"Parcel not found",IF(COUNTIF($A$2:$A$3000,A55)&gt;1,"Duplicate perm_id",IF(AND(R55="Yes",D55&lt;&gt;"",COUNTIFS($C$2:$C$3000,D55,$R$2:$R$3000,"Yes")&gt;1),"Reference counted twice",IF(COUNTIF(Lists!$A$2:$A$7,I55)=0,"Unknown status","")))))</f>
        <v/>
      </c>
    </row>
    <row r="56" customFormat="false" ht="15" hidden="false" customHeight="false" outlineLevel="0" collapsed="false">
      <c r="A56" s="15" t="s">
        <v>1349</v>
      </c>
      <c r="B56" s="15" t="s">
        <v>634</v>
      </c>
      <c r="C56" s="15" t="s">
        <v>57</v>
      </c>
      <c r="D56" s="15" t="s">
        <v>1350</v>
      </c>
      <c r="E56" s="15" t="s">
        <v>1350</v>
      </c>
      <c r="F56" s="15" t="s">
        <v>635</v>
      </c>
      <c r="G56" s="15" t="n">
        <v>7</v>
      </c>
      <c r="H56" s="15"/>
      <c r="I56" s="15" t="s">
        <v>47</v>
      </c>
      <c r="J56" s="15" t="s">
        <v>1008</v>
      </c>
      <c r="K56" s="15" t="s">
        <v>47</v>
      </c>
      <c r="L56" s="15" t="n">
        <v>7</v>
      </c>
      <c r="M56" s="15" t="n">
        <v>3</v>
      </c>
      <c r="N56" s="15" t="n">
        <v>4</v>
      </c>
      <c r="O56" s="15" t="n">
        <v>0</v>
      </c>
      <c r="P56" s="15" t="s">
        <v>1135</v>
      </c>
      <c r="Q56" s="15" t="s">
        <v>1009</v>
      </c>
      <c r="R56" s="15" t="s">
        <v>1010</v>
      </c>
      <c r="S56" s="15" t="s">
        <v>1346</v>
      </c>
      <c r="T56" s="15"/>
      <c r="U56" s="15"/>
      <c r="V56" s="15"/>
      <c r="W56" s="15"/>
      <c r="X56" s="15"/>
      <c r="Y56" s="15"/>
      <c r="Z56" s="15" t="s">
        <v>1012</v>
      </c>
      <c r="AA56" s="15" t="s">
        <v>1035</v>
      </c>
      <c r="AB56" s="15" t="s">
        <v>1036</v>
      </c>
      <c r="AC56" s="15" t="s">
        <v>1037</v>
      </c>
      <c r="AD56" s="15"/>
      <c r="AE56" s="15"/>
      <c r="AF56" s="15" t="s">
        <v>1291</v>
      </c>
      <c r="AG56" s="15"/>
      <c r="AH56" s="15"/>
      <c r="AI56" s="15" t="s">
        <v>1053</v>
      </c>
      <c r="AJ56" s="15" t="n">
        <v>0</v>
      </c>
      <c r="AK56" s="15" t="n">
        <v>0</v>
      </c>
      <c r="AL56" s="15" t="n">
        <v>0</v>
      </c>
      <c r="AM56" s="15" t="n">
        <v>0</v>
      </c>
      <c r="AN56" s="15" t="n">
        <v>0</v>
      </c>
      <c r="AO56" s="15" t="n">
        <v>0</v>
      </c>
      <c r="AP56" s="15" t="s">
        <v>1325</v>
      </c>
      <c r="AQ56" s="15" t="s">
        <v>1348</v>
      </c>
      <c r="AR56" s="15" t="s">
        <v>169</v>
      </c>
      <c r="AS56" s="15"/>
      <c r="AT56" s="29" t="str">
        <f aca="false">IF(A56="","",IF(COUNTIF(Parcels!$A$2:$A$3000,B56)=0,"Parcel not found",IF(COUNTIF($A$2:$A$3000,A56)&gt;1,"Duplicate perm_id",IF(AND(R56="Yes",D56&lt;&gt;"",COUNTIFS($C$2:$C$3000,D56,$R$2:$R$3000,"Yes")&gt;1),"Reference counted twice",IF(COUNTIF(Lists!$A$2:$A$7,I56)=0,"Unknown status","")))))</f>
        <v/>
      </c>
    </row>
    <row r="57" customFormat="false" ht="15" hidden="false" customHeight="false" outlineLevel="0" collapsed="false">
      <c r="A57" s="15" t="s">
        <v>1351</v>
      </c>
      <c r="B57" s="15" t="s">
        <v>668</v>
      </c>
      <c r="C57" s="15" t="s">
        <v>74</v>
      </c>
      <c r="D57" s="15" t="s">
        <v>1352</v>
      </c>
      <c r="E57" s="15" t="s">
        <v>1352</v>
      </c>
      <c r="F57" s="15" t="s">
        <v>669</v>
      </c>
      <c r="G57" s="15" t="n">
        <v>16</v>
      </c>
      <c r="H57" s="15"/>
      <c r="I57" s="15" t="s">
        <v>47</v>
      </c>
      <c r="J57" s="15" t="s">
        <v>1341</v>
      </c>
      <c r="K57" s="15" t="s">
        <v>48</v>
      </c>
      <c r="L57" s="15" t="n">
        <v>16</v>
      </c>
      <c r="M57" s="15" t="n">
        <v>16</v>
      </c>
      <c r="N57" s="15" t="n">
        <v>0</v>
      </c>
      <c r="O57" s="15" t="n">
        <v>0</v>
      </c>
      <c r="P57" s="15" t="s">
        <v>1342</v>
      </c>
      <c r="Q57" s="15" t="s">
        <v>1009</v>
      </c>
      <c r="R57" s="15" t="s">
        <v>1010</v>
      </c>
      <c r="S57" s="15" t="s">
        <v>1346</v>
      </c>
      <c r="T57" s="15"/>
      <c r="U57" s="15"/>
      <c r="V57" s="15"/>
      <c r="W57" s="15"/>
      <c r="X57" s="15"/>
      <c r="Y57" s="15"/>
      <c r="Z57" s="15" t="s">
        <v>1012</v>
      </c>
      <c r="AA57" s="15" t="s">
        <v>1035</v>
      </c>
      <c r="AB57" s="15" t="s">
        <v>1036</v>
      </c>
      <c r="AC57" s="15" t="s">
        <v>1037</v>
      </c>
      <c r="AD57" s="15" t="s">
        <v>1353</v>
      </c>
      <c r="AE57" s="15"/>
      <c r="AF57" s="15" t="s">
        <v>1354</v>
      </c>
      <c r="AG57" s="15" t="s">
        <v>1355</v>
      </c>
      <c r="AH57" s="15" t="s">
        <v>1041</v>
      </c>
      <c r="AI57" s="15" t="s">
        <v>1042</v>
      </c>
      <c r="AJ57" s="15" t="n">
        <v>0</v>
      </c>
      <c r="AK57" s="15" t="n">
        <v>0</v>
      </c>
      <c r="AL57" s="15" t="n">
        <v>0</v>
      </c>
      <c r="AM57" s="15" t="n">
        <v>0</v>
      </c>
      <c r="AN57" s="15" t="n">
        <v>0</v>
      </c>
      <c r="AO57" s="15" t="n">
        <v>0</v>
      </c>
      <c r="AP57" s="15" t="s">
        <v>1325</v>
      </c>
      <c r="AQ57" s="15" t="s">
        <v>1348</v>
      </c>
      <c r="AR57" s="15" t="s">
        <v>169</v>
      </c>
      <c r="AS57" s="15"/>
      <c r="AT57" s="29" t="str">
        <f aca="false">IF(A57="","",IF(COUNTIF(Parcels!$A$2:$A$3000,B57)=0,"Parcel not found",IF(COUNTIF($A$2:$A$3000,A57)&gt;1,"Duplicate perm_id",IF(AND(R57="Yes",D57&lt;&gt;"",COUNTIFS($C$2:$C$3000,D57,$R$2:$R$3000,"Yes")&gt;1),"Reference counted twice",IF(COUNTIF(Lists!$A$2:$A$7,I57)=0,"Unknown status","")))))</f>
        <v/>
      </c>
    </row>
    <row r="58" customFormat="false" ht="15" hidden="false" customHeight="false" outlineLevel="0" collapsed="false">
      <c r="A58" s="15" t="s">
        <v>1356</v>
      </c>
      <c r="B58" s="15" t="s">
        <v>646</v>
      </c>
      <c r="C58" s="15" t="s">
        <v>58</v>
      </c>
      <c r="D58" s="15" t="s">
        <v>1357</v>
      </c>
      <c r="E58" s="15" t="s">
        <v>1357</v>
      </c>
      <c r="F58" s="15" t="s">
        <v>647</v>
      </c>
      <c r="G58" s="15" t="n">
        <v>5</v>
      </c>
      <c r="H58" s="15"/>
      <c r="I58" s="15" t="s">
        <v>47</v>
      </c>
      <c r="J58" s="15" t="s">
        <v>1341</v>
      </c>
      <c r="K58" s="15" t="s">
        <v>48</v>
      </c>
      <c r="L58" s="15" t="n">
        <v>5</v>
      </c>
      <c r="M58" s="15" t="n">
        <v>5</v>
      </c>
      <c r="N58" s="15" t="n">
        <v>0</v>
      </c>
      <c r="O58" s="15" t="n">
        <v>0</v>
      </c>
      <c r="P58" s="15" t="s">
        <v>1342</v>
      </c>
      <c r="Q58" s="15" t="s">
        <v>1009</v>
      </c>
      <c r="R58" s="15" t="s">
        <v>1010</v>
      </c>
      <c r="S58" s="15" t="s">
        <v>1346</v>
      </c>
      <c r="T58" s="15"/>
      <c r="U58" s="15"/>
      <c r="V58" s="15"/>
      <c r="W58" s="15"/>
      <c r="X58" s="15"/>
      <c r="Y58" s="15"/>
      <c r="Z58" s="15" t="s">
        <v>1012</v>
      </c>
      <c r="AA58" s="15" t="s">
        <v>1035</v>
      </c>
      <c r="AB58" s="15" t="s">
        <v>1036</v>
      </c>
      <c r="AC58" s="15" t="s">
        <v>1037</v>
      </c>
      <c r="AD58" s="15"/>
      <c r="AE58" s="15"/>
      <c r="AF58" s="15" t="s">
        <v>1358</v>
      </c>
      <c r="AG58" s="15" t="s">
        <v>1359</v>
      </c>
      <c r="AH58" s="15" t="s">
        <v>1041</v>
      </c>
      <c r="AI58" s="15" t="s">
        <v>1042</v>
      </c>
      <c r="AJ58" s="15" t="n">
        <v>0</v>
      </c>
      <c r="AK58" s="15" t="n">
        <v>0</v>
      </c>
      <c r="AL58" s="15" t="n">
        <v>0</v>
      </c>
      <c r="AM58" s="15" t="n">
        <v>0</v>
      </c>
      <c r="AN58" s="15" t="n">
        <v>0</v>
      </c>
      <c r="AO58" s="15" t="n">
        <v>0</v>
      </c>
      <c r="AP58" s="15" t="s">
        <v>1325</v>
      </c>
      <c r="AQ58" s="15" t="s">
        <v>1348</v>
      </c>
      <c r="AR58" s="15" t="s">
        <v>169</v>
      </c>
      <c r="AS58" s="15"/>
      <c r="AT58" s="29" t="str">
        <f aca="false">IF(A58="","",IF(COUNTIF(Parcels!$A$2:$A$3000,B58)=0,"Parcel not found",IF(COUNTIF($A$2:$A$3000,A58)&gt;1,"Duplicate perm_id",IF(AND(R58="Yes",D58&lt;&gt;"",COUNTIFS($C$2:$C$3000,D58,$R$2:$R$3000,"Yes")&gt;1),"Reference counted twice",IF(COUNTIF(Lists!$A$2:$A$7,I58)=0,"Unknown status","")))))</f>
        <v/>
      </c>
    </row>
    <row r="59" customFormat="false" ht="15" hidden="false" customHeight="false" outlineLevel="0" collapsed="false">
      <c r="A59" s="15" t="s">
        <v>1360</v>
      </c>
      <c r="B59" s="15" t="s">
        <v>527</v>
      </c>
      <c r="C59" s="15" t="s">
        <v>53</v>
      </c>
      <c r="D59" s="15" t="s">
        <v>1361</v>
      </c>
      <c r="E59" s="15" t="s">
        <v>1361</v>
      </c>
      <c r="F59" s="15" t="s">
        <v>528</v>
      </c>
      <c r="G59" s="15" t="n">
        <v>13</v>
      </c>
      <c r="H59" s="15"/>
      <c r="I59" s="15" t="s">
        <v>47</v>
      </c>
      <c r="J59" s="15" t="s">
        <v>1341</v>
      </c>
      <c r="K59" s="15" t="s">
        <v>48</v>
      </c>
      <c r="L59" s="15" t="n">
        <v>13</v>
      </c>
      <c r="M59" s="15" t="n">
        <v>13</v>
      </c>
      <c r="N59" s="15" t="n">
        <v>0</v>
      </c>
      <c r="O59" s="15" t="n">
        <v>0</v>
      </c>
      <c r="P59" s="15" t="s">
        <v>1342</v>
      </c>
      <c r="Q59" s="15" t="s">
        <v>1009</v>
      </c>
      <c r="R59" s="15" t="s">
        <v>1010</v>
      </c>
      <c r="S59" s="15" t="s">
        <v>1346</v>
      </c>
      <c r="T59" s="15"/>
      <c r="U59" s="15"/>
      <c r="V59" s="15"/>
      <c r="W59" s="15"/>
      <c r="X59" s="15"/>
      <c r="Y59" s="15"/>
      <c r="Z59" s="15" t="s">
        <v>1012</v>
      </c>
      <c r="AA59" s="15" t="s">
        <v>1035</v>
      </c>
      <c r="AB59" s="15" t="s">
        <v>1036</v>
      </c>
      <c r="AC59" s="15" t="s">
        <v>1037</v>
      </c>
      <c r="AD59" s="15"/>
      <c r="AE59" s="15"/>
      <c r="AF59" s="15" t="s">
        <v>1362</v>
      </c>
      <c r="AG59" s="15" t="s">
        <v>1355</v>
      </c>
      <c r="AH59" s="15" t="s">
        <v>1041</v>
      </c>
      <c r="AI59" s="15" t="s">
        <v>1042</v>
      </c>
      <c r="AJ59" s="15" t="n">
        <v>0</v>
      </c>
      <c r="AK59" s="15" t="n">
        <v>0</v>
      </c>
      <c r="AL59" s="15" t="n">
        <v>0</v>
      </c>
      <c r="AM59" s="15" t="n">
        <v>0</v>
      </c>
      <c r="AN59" s="15" t="n">
        <v>0</v>
      </c>
      <c r="AO59" s="15" t="n">
        <v>0</v>
      </c>
      <c r="AP59" s="15" t="s">
        <v>1325</v>
      </c>
      <c r="AQ59" s="15" t="s">
        <v>1348</v>
      </c>
      <c r="AR59" s="15" t="s">
        <v>169</v>
      </c>
      <c r="AS59" s="15"/>
      <c r="AT59" s="29" t="str">
        <f aca="false">IF(A59="","",IF(COUNTIF(Parcels!$A$2:$A$3000,B59)=0,"Parcel not found",IF(COUNTIF($A$2:$A$3000,A59)&gt;1,"Duplicate perm_id",IF(AND(R59="Yes",D59&lt;&gt;"",COUNTIFS($C$2:$C$3000,D59,$R$2:$R$3000,"Yes")&gt;1),"Reference counted twice",IF(COUNTIF(Lists!$A$2:$A$7,I59)=0,"Unknown status","")))))</f>
        <v/>
      </c>
    </row>
    <row r="60" customFormat="false" ht="15" hidden="false" customHeight="false" outlineLevel="0" collapsed="false">
      <c r="A60" s="15" t="s">
        <v>1363</v>
      </c>
      <c r="B60" s="15" t="s">
        <v>497</v>
      </c>
      <c r="C60" s="15" t="s">
        <v>52</v>
      </c>
      <c r="D60" s="15" t="s">
        <v>1364</v>
      </c>
      <c r="E60" s="15" t="s">
        <v>1364</v>
      </c>
      <c r="F60" s="15" t="s">
        <v>498</v>
      </c>
      <c r="G60" s="15" t="n">
        <v>99</v>
      </c>
      <c r="H60" s="15"/>
      <c r="I60" s="15" t="s">
        <v>48</v>
      </c>
      <c r="J60" s="15" t="s">
        <v>1008</v>
      </c>
      <c r="K60" s="15" t="s">
        <v>48</v>
      </c>
      <c r="L60" s="15" t="n">
        <v>68</v>
      </c>
      <c r="M60" s="15" t="n">
        <v>68</v>
      </c>
      <c r="N60" s="15" t="n">
        <v>0</v>
      </c>
      <c r="O60" s="15" t="n">
        <v>0</v>
      </c>
      <c r="P60" s="15"/>
      <c r="Q60" s="15" t="s">
        <v>1009</v>
      </c>
      <c r="R60" s="15" t="s">
        <v>1010</v>
      </c>
      <c r="S60" s="15" t="s">
        <v>1365</v>
      </c>
      <c r="T60" s="15"/>
      <c r="U60" s="15"/>
      <c r="V60" s="15"/>
      <c r="W60" s="15"/>
      <c r="X60" s="15"/>
      <c r="Y60" s="15"/>
      <c r="Z60" s="15" t="s">
        <v>1034</v>
      </c>
      <c r="AA60" s="15" t="s">
        <v>1013</v>
      </c>
      <c r="AB60" s="15" t="s">
        <v>176</v>
      </c>
      <c r="AC60" s="15" t="s">
        <v>1027</v>
      </c>
      <c r="AD60" s="15" t="s">
        <v>1366</v>
      </c>
      <c r="AE60" s="15" t="s">
        <v>1367</v>
      </c>
      <c r="AF60" s="15" t="s">
        <v>1368</v>
      </c>
      <c r="AG60" s="15" t="s">
        <v>1080</v>
      </c>
      <c r="AH60" s="15" t="s">
        <v>1041</v>
      </c>
      <c r="AI60" s="15" t="s">
        <v>1042</v>
      </c>
      <c r="AJ60" s="15" t="n">
        <v>23.1</v>
      </c>
      <c r="AK60" s="15" t="n">
        <v>75.9</v>
      </c>
      <c r="AL60" s="15" t="n">
        <v>0</v>
      </c>
      <c r="AM60" s="15" t="n">
        <v>0</v>
      </c>
      <c r="AN60" s="15" t="n">
        <v>0</v>
      </c>
      <c r="AO60" s="15" t="n">
        <v>0</v>
      </c>
      <c r="AP60" s="15" t="s">
        <v>1325</v>
      </c>
      <c r="AQ60" s="15" t="s">
        <v>1021</v>
      </c>
      <c r="AR60" s="15" t="s">
        <v>169</v>
      </c>
      <c r="AS60" s="15"/>
      <c r="AT60" s="29" t="str">
        <f aca="false">IF(A60="","",IF(COUNTIF(Parcels!$A$2:$A$3000,B60)=0,"Parcel not found",IF(COUNTIF($A$2:$A$3000,A60)&gt;1,"Duplicate perm_id",IF(AND(R60="Yes",D60&lt;&gt;"",COUNTIFS($C$2:$C$3000,D60,$R$2:$R$3000,"Yes")&gt;1),"Reference counted twice",IF(COUNTIF(Lists!$A$2:$A$7,I60)=0,"Unknown status","")))))</f>
        <v/>
      </c>
    </row>
    <row r="61" customFormat="false" ht="15" hidden="false" customHeight="false" outlineLevel="0" collapsed="false">
      <c r="A61" s="15" t="s">
        <v>1369</v>
      </c>
      <c r="B61" s="15" t="s">
        <v>497</v>
      </c>
      <c r="C61" s="15" t="s">
        <v>52</v>
      </c>
      <c r="D61" s="15" t="s">
        <v>1370</v>
      </c>
      <c r="E61" s="15" t="s">
        <v>1370</v>
      </c>
      <c r="F61" s="15" t="s">
        <v>1371</v>
      </c>
      <c r="G61" s="15" t="n">
        <v>23</v>
      </c>
      <c r="H61" s="15"/>
      <c r="I61" s="15" t="s">
        <v>48</v>
      </c>
      <c r="J61" s="15" t="s">
        <v>1008</v>
      </c>
      <c r="K61" s="15" t="s">
        <v>48</v>
      </c>
      <c r="L61" s="15" t="n">
        <v>0</v>
      </c>
      <c r="M61" s="15" t="n">
        <v>0</v>
      </c>
      <c r="N61" s="15" t="n">
        <v>23</v>
      </c>
      <c r="O61" s="15" t="n">
        <v>0</v>
      </c>
      <c r="P61" s="15"/>
      <c r="Q61" s="15" t="s">
        <v>1009</v>
      </c>
      <c r="R61" s="15" t="s">
        <v>1010</v>
      </c>
      <c r="S61" s="15" t="s">
        <v>1026</v>
      </c>
      <c r="T61" s="15"/>
      <c r="U61" s="15"/>
      <c r="V61" s="15"/>
      <c r="W61" s="15"/>
      <c r="X61" s="15"/>
      <c r="Y61" s="15"/>
      <c r="Z61" s="15" t="s">
        <v>1034</v>
      </c>
      <c r="AA61" s="15" t="s">
        <v>1013</v>
      </c>
      <c r="AB61" s="15" t="s">
        <v>176</v>
      </c>
      <c r="AC61" s="15" t="s">
        <v>1027</v>
      </c>
      <c r="AD61" s="15" t="s">
        <v>1372</v>
      </c>
      <c r="AE61" s="15" t="s">
        <v>1373</v>
      </c>
      <c r="AF61" s="15" t="s">
        <v>1374</v>
      </c>
      <c r="AG61" s="15" t="s">
        <v>1080</v>
      </c>
      <c r="AH61" s="15" t="s">
        <v>1041</v>
      </c>
      <c r="AI61" s="15" t="s">
        <v>1042</v>
      </c>
      <c r="AJ61" s="15" t="n">
        <v>5.4</v>
      </c>
      <c r="AK61" s="15" t="n">
        <v>17.6</v>
      </c>
      <c r="AL61" s="15" t="n">
        <v>0</v>
      </c>
      <c r="AM61" s="15" t="n">
        <v>0</v>
      </c>
      <c r="AN61" s="15" t="n">
        <v>0</v>
      </c>
      <c r="AO61" s="15" t="n">
        <v>0</v>
      </c>
      <c r="AP61" s="15" t="s">
        <v>1325</v>
      </c>
      <c r="AQ61" s="15" t="s">
        <v>1021</v>
      </c>
      <c r="AR61" s="15" t="s">
        <v>169</v>
      </c>
      <c r="AS61" s="15"/>
      <c r="AT61" s="29" t="str">
        <f aca="false">IF(A61="","",IF(COUNTIF(Parcels!$A$2:$A$3000,B61)=0,"Parcel not found",IF(COUNTIF($A$2:$A$3000,A61)&gt;1,"Duplicate perm_id",IF(AND(R61="Yes",D61&lt;&gt;"",COUNTIFS($C$2:$C$3000,D61,$R$2:$R$3000,"Yes")&gt;1),"Reference counted twice",IF(COUNTIF(Lists!$A$2:$A$7,I61)=0,"Unknown status","")))))</f>
        <v/>
      </c>
    </row>
    <row r="62" customFormat="false" ht="15" hidden="false" customHeight="false" outlineLevel="0" collapsed="false">
      <c r="A62" s="15" t="s">
        <v>1375</v>
      </c>
      <c r="B62" s="15" t="s">
        <v>670</v>
      </c>
      <c r="C62" s="15" t="s">
        <v>74</v>
      </c>
      <c r="D62" s="15" t="s">
        <v>1376</v>
      </c>
      <c r="E62" s="15" t="s">
        <v>1376</v>
      </c>
      <c r="F62" s="15" t="s">
        <v>671</v>
      </c>
      <c r="G62" s="15" t="n">
        <v>58</v>
      </c>
      <c r="H62" s="15"/>
      <c r="I62" s="15" t="s">
        <v>48</v>
      </c>
      <c r="J62" s="15" t="s">
        <v>1008</v>
      </c>
      <c r="K62" s="15" t="s">
        <v>48</v>
      </c>
      <c r="L62" s="15" t="n">
        <v>16</v>
      </c>
      <c r="M62" s="15" t="n">
        <v>16</v>
      </c>
      <c r="N62" s="15" t="n">
        <v>8</v>
      </c>
      <c r="O62" s="15" t="n">
        <v>16</v>
      </c>
      <c r="P62" s="15"/>
      <c r="Q62" s="15" t="s">
        <v>1009</v>
      </c>
      <c r="R62" s="15" t="s">
        <v>1010</v>
      </c>
      <c r="S62" s="15" t="s">
        <v>1377</v>
      </c>
      <c r="T62" s="15" t="n">
        <v>0</v>
      </c>
      <c r="U62" s="15" t="n">
        <v>0</v>
      </c>
      <c r="V62" s="15" t="n">
        <v>10</v>
      </c>
      <c r="W62" s="15" t="n">
        <v>39</v>
      </c>
      <c r="X62" s="15" t="n">
        <v>0</v>
      </c>
      <c r="Y62" s="15" t="n">
        <v>0</v>
      </c>
      <c r="Z62" s="15" t="s">
        <v>1034</v>
      </c>
      <c r="AA62" s="15" t="s">
        <v>1013</v>
      </c>
      <c r="AB62" s="15" t="s">
        <v>176</v>
      </c>
      <c r="AC62" s="15" t="s">
        <v>1027</v>
      </c>
      <c r="AD62" s="15" t="s">
        <v>1378</v>
      </c>
      <c r="AE62" s="15" t="s">
        <v>1379</v>
      </c>
      <c r="AF62" s="15" t="s">
        <v>1086</v>
      </c>
      <c r="AG62" s="15" t="s">
        <v>1087</v>
      </c>
      <c r="AH62" s="15" t="s">
        <v>1041</v>
      </c>
      <c r="AI62" s="15" t="s">
        <v>1042</v>
      </c>
      <c r="AJ62" s="15" t="n">
        <v>13.5</v>
      </c>
      <c r="AK62" s="15" t="n">
        <v>44.5</v>
      </c>
      <c r="AL62" s="15" t="n">
        <v>0</v>
      </c>
      <c r="AM62" s="15" t="n">
        <v>0</v>
      </c>
      <c r="AN62" s="15" t="n">
        <v>0</v>
      </c>
      <c r="AO62" s="15" t="n">
        <v>0</v>
      </c>
      <c r="AP62" s="15" t="s">
        <v>1325</v>
      </c>
      <c r="AQ62" s="15" t="s">
        <v>1021</v>
      </c>
      <c r="AR62" s="15" t="s">
        <v>169</v>
      </c>
      <c r="AS62" s="15"/>
      <c r="AT62" s="29" t="str">
        <f aca="false">IF(A62="","",IF(COUNTIF(Parcels!$A$2:$A$3000,B62)=0,"Parcel not found",IF(COUNTIF($A$2:$A$3000,A62)&gt;1,"Duplicate perm_id",IF(AND(R62="Yes",D62&lt;&gt;"",COUNTIFS($C$2:$C$3000,D62,$R$2:$R$3000,"Yes")&gt;1),"Reference counted twice",IF(COUNTIF(Lists!$A$2:$A$7,I62)=0,"Unknown status","")))))</f>
        <v/>
      </c>
    </row>
    <row r="63" customFormat="false" ht="15" hidden="false" customHeight="false" outlineLevel="0" collapsed="false">
      <c r="A63" s="15" t="s">
        <v>1380</v>
      </c>
      <c r="B63" s="15" t="s">
        <v>670</v>
      </c>
      <c r="C63" s="15" t="s">
        <v>74</v>
      </c>
      <c r="D63" s="15" t="s">
        <v>1381</v>
      </c>
      <c r="E63" s="15" t="s">
        <v>1381</v>
      </c>
      <c r="F63" s="15" t="s">
        <v>1382</v>
      </c>
      <c r="G63" s="15" t="n">
        <v>5</v>
      </c>
      <c r="H63" s="15"/>
      <c r="I63" s="15" t="s">
        <v>47</v>
      </c>
      <c r="J63" s="15" t="s">
        <v>1341</v>
      </c>
      <c r="K63" s="15" t="s">
        <v>48</v>
      </c>
      <c r="L63" s="15" t="n">
        <v>5</v>
      </c>
      <c r="M63" s="15" t="n">
        <v>5</v>
      </c>
      <c r="N63" s="15" t="n">
        <v>0</v>
      </c>
      <c r="O63" s="15" t="n">
        <v>0</v>
      </c>
      <c r="P63" s="15" t="s">
        <v>1342</v>
      </c>
      <c r="Q63" s="15" t="s">
        <v>1009</v>
      </c>
      <c r="R63" s="15" t="s">
        <v>1010</v>
      </c>
      <c r="S63" s="15" t="s">
        <v>1026</v>
      </c>
      <c r="T63" s="15"/>
      <c r="U63" s="15"/>
      <c r="V63" s="15"/>
      <c r="W63" s="15"/>
      <c r="X63" s="15"/>
      <c r="Y63" s="15"/>
      <c r="Z63" s="15" t="s">
        <v>1034</v>
      </c>
      <c r="AA63" s="15" t="s">
        <v>1013</v>
      </c>
      <c r="AB63" s="15" t="s">
        <v>176</v>
      </c>
      <c r="AC63" s="15" t="s">
        <v>1027</v>
      </c>
      <c r="AD63" s="15" t="s">
        <v>1383</v>
      </c>
      <c r="AE63" s="15" t="s">
        <v>1384</v>
      </c>
      <c r="AF63" s="15" t="s">
        <v>1086</v>
      </c>
      <c r="AG63" s="15" t="s">
        <v>1087</v>
      </c>
      <c r="AH63" s="15" t="s">
        <v>1041</v>
      </c>
      <c r="AI63" s="15" t="s">
        <v>1042</v>
      </c>
      <c r="AJ63" s="15" t="n">
        <v>0</v>
      </c>
      <c r="AK63" s="15" t="n">
        <v>0</v>
      </c>
      <c r="AL63" s="15" t="n">
        <v>0</v>
      </c>
      <c r="AM63" s="15" t="n">
        <v>0</v>
      </c>
      <c r="AN63" s="15" t="n">
        <v>0</v>
      </c>
      <c r="AO63" s="15" t="n">
        <v>0</v>
      </c>
      <c r="AP63" s="15" t="s">
        <v>1325</v>
      </c>
      <c r="AQ63" s="15" t="s">
        <v>1021</v>
      </c>
      <c r="AR63" s="15" t="s">
        <v>169</v>
      </c>
      <c r="AS63" s="15"/>
      <c r="AT63" s="29" t="str">
        <f aca="false">IF(A63="","",IF(COUNTIF(Parcels!$A$2:$A$3000,B63)=0,"Parcel not found",IF(COUNTIF($A$2:$A$3000,A63)&gt;1,"Duplicate perm_id",IF(AND(R63="Yes",D63&lt;&gt;"",COUNTIFS($C$2:$C$3000,D63,$R$2:$R$3000,"Yes")&gt;1),"Reference counted twice",IF(COUNTIF(Lists!$A$2:$A$7,I63)=0,"Unknown status","")))))</f>
        <v/>
      </c>
    </row>
    <row r="64" customFormat="false" ht="15" hidden="false" customHeight="false" outlineLevel="0" collapsed="false">
      <c r="A64" s="15" t="s">
        <v>1385</v>
      </c>
      <c r="B64" s="15" t="s">
        <v>670</v>
      </c>
      <c r="C64" s="15" t="s">
        <v>74</v>
      </c>
      <c r="D64" s="15" t="s">
        <v>1386</v>
      </c>
      <c r="E64" s="15" t="s">
        <v>1386</v>
      </c>
      <c r="F64" s="15" t="s">
        <v>1387</v>
      </c>
      <c r="G64" s="15" t="n">
        <v>49</v>
      </c>
      <c r="H64" s="15"/>
      <c r="I64" s="15" t="s">
        <v>47</v>
      </c>
      <c r="J64" s="15" t="s">
        <v>1341</v>
      </c>
      <c r="K64" s="15" t="s">
        <v>48</v>
      </c>
      <c r="L64" s="15" t="n">
        <v>49</v>
      </c>
      <c r="M64" s="15" t="n">
        <v>48</v>
      </c>
      <c r="N64" s="15" t="n">
        <v>0</v>
      </c>
      <c r="O64" s="15" t="n">
        <v>0</v>
      </c>
      <c r="P64" s="15" t="s">
        <v>1342</v>
      </c>
      <c r="Q64" s="15" t="s">
        <v>1009</v>
      </c>
      <c r="R64" s="15" t="s">
        <v>1010</v>
      </c>
      <c r="S64" s="15" t="s">
        <v>1026</v>
      </c>
      <c r="T64" s="15"/>
      <c r="U64" s="15"/>
      <c r="V64" s="15"/>
      <c r="W64" s="15"/>
      <c r="X64" s="15"/>
      <c r="Y64" s="15"/>
      <c r="Z64" s="15" t="s">
        <v>1012</v>
      </c>
      <c r="AA64" s="15" t="s">
        <v>1013</v>
      </c>
      <c r="AB64" s="15" t="s">
        <v>176</v>
      </c>
      <c r="AC64" s="15" t="s">
        <v>1027</v>
      </c>
      <c r="AD64" s="15" t="s">
        <v>1388</v>
      </c>
      <c r="AE64" s="15" t="s">
        <v>1389</v>
      </c>
      <c r="AF64" s="15" t="s">
        <v>1390</v>
      </c>
      <c r="AG64" s="15" t="s">
        <v>1391</v>
      </c>
      <c r="AH64" s="15" t="s">
        <v>1041</v>
      </c>
      <c r="AI64" s="15" t="s">
        <v>1042</v>
      </c>
      <c r="AJ64" s="15" t="n">
        <v>0</v>
      </c>
      <c r="AK64" s="15" t="n">
        <v>0</v>
      </c>
      <c r="AL64" s="15" t="n">
        <v>0</v>
      </c>
      <c r="AM64" s="15" t="n">
        <v>0</v>
      </c>
      <c r="AN64" s="15" t="n">
        <v>0</v>
      </c>
      <c r="AO64" s="15" t="n">
        <v>0</v>
      </c>
      <c r="AP64" s="15" t="s">
        <v>1325</v>
      </c>
      <c r="AQ64" s="15" t="s">
        <v>1021</v>
      </c>
      <c r="AR64" s="15" t="s">
        <v>169</v>
      </c>
      <c r="AS64" s="15"/>
      <c r="AT64" s="29" t="str">
        <f aca="false">IF(A64="","",IF(COUNTIF(Parcels!$A$2:$A$3000,B64)=0,"Parcel not found",IF(COUNTIF($A$2:$A$3000,A64)&gt;1,"Duplicate perm_id",IF(AND(R64="Yes",D64&lt;&gt;"",COUNTIFS($C$2:$C$3000,D64,$R$2:$R$3000,"Yes")&gt;1),"Reference counted twice",IF(COUNTIF(Lists!$A$2:$A$7,I64)=0,"Unknown status","")))))</f>
        <v/>
      </c>
    </row>
    <row r="65" customFormat="false" ht="15" hidden="false" customHeight="false" outlineLevel="0" collapsed="false">
      <c r="A65" s="15" t="s">
        <v>1392</v>
      </c>
      <c r="B65" s="15" t="s">
        <v>648</v>
      </c>
      <c r="C65" s="15" t="s">
        <v>58</v>
      </c>
      <c r="D65" s="15" t="s">
        <v>1393</v>
      </c>
      <c r="E65" s="15" t="s">
        <v>1393</v>
      </c>
      <c r="F65" s="15" t="s">
        <v>649</v>
      </c>
      <c r="G65" s="15" t="n">
        <v>53</v>
      </c>
      <c r="H65" s="15"/>
      <c r="I65" s="15" t="s">
        <v>47</v>
      </c>
      <c r="J65" s="15" t="s">
        <v>1008</v>
      </c>
      <c r="K65" s="15" t="s">
        <v>47</v>
      </c>
      <c r="L65" s="15" t="n">
        <v>53</v>
      </c>
      <c r="M65" s="15" t="n">
        <v>53</v>
      </c>
      <c r="N65" s="15" t="n">
        <v>0</v>
      </c>
      <c r="O65" s="15" t="n">
        <v>0</v>
      </c>
      <c r="P65" s="15"/>
      <c r="Q65" s="15" t="s">
        <v>1009</v>
      </c>
      <c r="R65" s="15" t="s">
        <v>1010</v>
      </c>
      <c r="S65" s="15" t="s">
        <v>1026</v>
      </c>
      <c r="T65" s="15"/>
      <c r="U65" s="15"/>
      <c r="V65" s="15"/>
      <c r="W65" s="15"/>
      <c r="X65" s="15"/>
      <c r="Y65" s="15"/>
      <c r="Z65" s="15" t="s">
        <v>1034</v>
      </c>
      <c r="AA65" s="15" t="s">
        <v>1013</v>
      </c>
      <c r="AB65" s="15" t="s">
        <v>176</v>
      </c>
      <c r="AC65" s="15" t="s">
        <v>1027</v>
      </c>
      <c r="AD65" s="15" t="s">
        <v>1394</v>
      </c>
      <c r="AE65" s="15" t="s">
        <v>1321</v>
      </c>
      <c r="AF65" s="15" t="s">
        <v>1395</v>
      </c>
      <c r="AG65" s="15"/>
      <c r="AH65" s="15"/>
      <c r="AI65" s="15" t="s">
        <v>1053</v>
      </c>
      <c r="AJ65" s="15" t="n">
        <v>0</v>
      </c>
      <c r="AK65" s="15" t="n">
        <v>0</v>
      </c>
      <c r="AL65" s="15" t="n">
        <v>0</v>
      </c>
      <c r="AM65" s="15" t="n">
        <v>0</v>
      </c>
      <c r="AN65" s="15" t="n">
        <v>0</v>
      </c>
      <c r="AO65" s="15" t="n">
        <v>0</v>
      </c>
      <c r="AP65" s="15" t="s">
        <v>1325</v>
      </c>
      <c r="AQ65" s="15" t="s">
        <v>1021</v>
      </c>
      <c r="AR65" s="15" t="s">
        <v>169</v>
      </c>
      <c r="AS65" s="15"/>
      <c r="AT65" s="29" t="str">
        <f aca="false">IF(A65="","",IF(COUNTIF(Parcels!$A$2:$A$3000,B65)=0,"Parcel not found",IF(COUNTIF($A$2:$A$3000,A65)&gt;1,"Duplicate perm_id",IF(AND(R65="Yes",D65&lt;&gt;"",COUNTIFS($C$2:$C$3000,D65,$R$2:$R$3000,"Yes")&gt;1),"Reference counted twice",IF(COUNTIF(Lists!$A$2:$A$7,I65)=0,"Unknown status","")))))</f>
        <v/>
      </c>
    </row>
    <row r="66" customFormat="false" ht="15" hidden="false" customHeight="false" outlineLevel="0" collapsed="false">
      <c r="A66" s="15" t="s">
        <v>1396</v>
      </c>
      <c r="B66" s="15" t="s">
        <v>529</v>
      </c>
      <c r="C66" s="15" t="s">
        <v>53</v>
      </c>
      <c r="D66" s="15" t="s">
        <v>1397</v>
      </c>
      <c r="E66" s="15" t="s">
        <v>1397</v>
      </c>
      <c r="F66" s="15" t="s">
        <v>530</v>
      </c>
      <c r="G66" s="15" t="n">
        <v>14</v>
      </c>
      <c r="H66" s="15"/>
      <c r="I66" s="15" t="s">
        <v>47</v>
      </c>
      <c r="J66" s="15" t="s">
        <v>1008</v>
      </c>
      <c r="K66" s="15" t="s">
        <v>47</v>
      </c>
      <c r="L66" s="15" t="n">
        <v>14</v>
      </c>
      <c r="M66" s="15" t="n">
        <v>0</v>
      </c>
      <c r="N66" s="15" t="n">
        <v>0</v>
      </c>
      <c r="O66" s="15" t="n">
        <v>0</v>
      </c>
      <c r="P66" s="15" t="s">
        <v>1334</v>
      </c>
      <c r="Q66" s="15" t="s">
        <v>1009</v>
      </c>
      <c r="R66" s="15" t="s">
        <v>1010</v>
      </c>
      <c r="S66" s="15" t="s">
        <v>1050</v>
      </c>
      <c r="T66" s="15" t="n">
        <v>14</v>
      </c>
      <c r="U66" s="15" t="n">
        <v>0</v>
      </c>
      <c r="V66" s="15" t="n">
        <v>0</v>
      </c>
      <c r="W66" s="15" t="n">
        <v>0</v>
      </c>
      <c r="X66" s="15" t="n">
        <v>0</v>
      </c>
      <c r="Y66" s="15" t="n">
        <v>0</v>
      </c>
      <c r="Z66" s="15" t="s">
        <v>1012</v>
      </c>
      <c r="AA66" s="15" t="s">
        <v>1013</v>
      </c>
      <c r="AB66" s="15" t="s">
        <v>176</v>
      </c>
      <c r="AC66" s="15" t="s">
        <v>1027</v>
      </c>
      <c r="AD66" s="15" t="s">
        <v>1398</v>
      </c>
      <c r="AE66" s="15" t="s">
        <v>1399</v>
      </c>
      <c r="AF66" s="15" t="s">
        <v>1378</v>
      </c>
      <c r="AG66" s="15"/>
      <c r="AH66" s="15"/>
      <c r="AI66" s="15" t="s">
        <v>1053</v>
      </c>
      <c r="AJ66" s="15" t="n">
        <v>0</v>
      </c>
      <c r="AK66" s="15" t="n">
        <v>0</v>
      </c>
      <c r="AL66" s="15" t="n">
        <v>0</v>
      </c>
      <c r="AM66" s="15" t="n">
        <v>0</v>
      </c>
      <c r="AN66" s="15" t="n">
        <v>0</v>
      </c>
      <c r="AO66" s="15" t="n">
        <v>0</v>
      </c>
      <c r="AP66" s="15" t="s">
        <v>1325</v>
      </c>
      <c r="AQ66" s="15" t="s">
        <v>1021</v>
      </c>
      <c r="AR66" s="15" t="s">
        <v>169</v>
      </c>
      <c r="AS66" s="15"/>
      <c r="AT66" s="29" t="str">
        <f aca="false">IF(A66="","",IF(COUNTIF(Parcels!$A$2:$A$3000,B66)=0,"Parcel not found",IF(COUNTIF($A$2:$A$3000,A66)&gt;1,"Duplicate perm_id",IF(AND(R66="Yes",D66&lt;&gt;"",COUNTIFS($C$2:$C$3000,D66,$R$2:$R$3000,"Yes")&gt;1),"Reference counted twice",IF(COUNTIF(Lists!$A$2:$A$7,I66)=0,"Unknown status","")))))</f>
        <v/>
      </c>
    </row>
    <row r="67" customFormat="false" ht="15" hidden="false" customHeight="false" outlineLevel="0" collapsed="false">
      <c r="A67" s="15" t="s">
        <v>1400</v>
      </c>
      <c r="B67" s="15" t="s">
        <v>650</v>
      </c>
      <c r="C67" s="15" t="s">
        <v>58</v>
      </c>
      <c r="D67" s="15" t="s">
        <v>1401</v>
      </c>
      <c r="E67" s="15" t="s">
        <v>1401</v>
      </c>
      <c r="F67" s="15" t="s">
        <v>1402</v>
      </c>
      <c r="G67" s="15" t="n">
        <v>37</v>
      </c>
      <c r="H67" s="15"/>
      <c r="I67" s="15" t="s">
        <v>47</v>
      </c>
      <c r="J67" s="15" t="s">
        <v>1008</v>
      </c>
      <c r="K67" s="15" t="s">
        <v>47</v>
      </c>
      <c r="L67" s="15" t="n">
        <v>37</v>
      </c>
      <c r="M67" s="15" t="n">
        <v>33</v>
      </c>
      <c r="N67" s="15" t="n">
        <v>0</v>
      </c>
      <c r="O67" s="15" t="n">
        <v>0</v>
      </c>
      <c r="P67" s="15" t="s">
        <v>1135</v>
      </c>
      <c r="Q67" s="15" t="s">
        <v>1009</v>
      </c>
      <c r="R67" s="15" t="s">
        <v>1010</v>
      </c>
      <c r="S67" s="15" t="s">
        <v>1050</v>
      </c>
      <c r="T67" s="15" t="n">
        <v>0</v>
      </c>
      <c r="U67" s="15" t="n">
        <v>0</v>
      </c>
      <c r="V67" s="15" t="n">
        <v>2</v>
      </c>
      <c r="W67" s="15" t="n">
        <v>32</v>
      </c>
      <c r="X67" s="15" t="n">
        <v>1</v>
      </c>
      <c r="Y67" s="15" t="n">
        <v>0</v>
      </c>
      <c r="Z67" s="15" t="s">
        <v>1034</v>
      </c>
      <c r="AA67" s="15" t="s">
        <v>1035</v>
      </c>
      <c r="AB67" s="15" t="s">
        <v>1065</v>
      </c>
      <c r="AC67" s="15" t="s">
        <v>1027</v>
      </c>
      <c r="AD67" s="15" t="s">
        <v>1403</v>
      </c>
      <c r="AE67" s="15" t="s">
        <v>1404</v>
      </c>
      <c r="AF67" s="15" t="s">
        <v>1405</v>
      </c>
      <c r="AG67" s="15"/>
      <c r="AH67" s="15"/>
      <c r="AI67" s="15" t="s">
        <v>1053</v>
      </c>
      <c r="AJ67" s="15" t="n">
        <v>0</v>
      </c>
      <c r="AK67" s="15" t="n">
        <v>0</v>
      </c>
      <c r="AL67" s="15" t="n">
        <v>0</v>
      </c>
      <c r="AM67" s="15" t="n">
        <v>0</v>
      </c>
      <c r="AN67" s="15" t="n">
        <v>0</v>
      </c>
      <c r="AO67" s="15" t="n">
        <v>0</v>
      </c>
      <c r="AP67" s="15" t="s">
        <v>1325</v>
      </c>
      <c r="AQ67" s="15" t="s">
        <v>1021</v>
      </c>
      <c r="AR67" s="15" t="s">
        <v>169</v>
      </c>
      <c r="AS67" s="15"/>
      <c r="AT67" s="29" t="str">
        <f aca="false">IF(A67="","",IF(COUNTIF(Parcels!$A$2:$A$3000,B67)=0,"Parcel not found",IF(COUNTIF($A$2:$A$3000,A67)&gt;1,"Duplicate perm_id",IF(AND(R67="Yes",D67&lt;&gt;"",COUNTIFS($C$2:$C$3000,D67,$R$2:$R$3000,"Yes")&gt;1),"Reference counted twice",IF(COUNTIF(Lists!$A$2:$A$7,I67)=0,"Unknown status","")))))</f>
        <v/>
      </c>
    </row>
    <row r="68" customFormat="false" ht="15" hidden="false" customHeight="false" outlineLevel="0" collapsed="false">
      <c r="A68" s="15" t="s">
        <v>1406</v>
      </c>
      <c r="B68" s="15" t="s">
        <v>650</v>
      </c>
      <c r="C68" s="15" t="s">
        <v>58</v>
      </c>
      <c r="D68" s="15" t="s">
        <v>1407</v>
      </c>
      <c r="E68" s="15" t="s">
        <v>1407</v>
      </c>
      <c r="F68" s="15" t="s">
        <v>651</v>
      </c>
      <c r="G68" s="15" t="n">
        <v>133</v>
      </c>
      <c r="H68" s="15"/>
      <c r="I68" s="15" t="s">
        <v>47</v>
      </c>
      <c r="J68" s="15" t="s">
        <v>1008</v>
      </c>
      <c r="K68" s="15" t="s">
        <v>47</v>
      </c>
      <c r="L68" s="15" t="n">
        <v>133</v>
      </c>
      <c r="M68" s="15" t="n">
        <v>102</v>
      </c>
      <c r="N68" s="15" t="n">
        <v>0</v>
      </c>
      <c r="O68" s="15" t="n">
        <v>0</v>
      </c>
      <c r="P68" s="15" t="s">
        <v>1135</v>
      </c>
      <c r="Q68" s="15" t="s">
        <v>1009</v>
      </c>
      <c r="R68" s="15" t="s">
        <v>1010</v>
      </c>
      <c r="S68" s="15" t="s">
        <v>1050</v>
      </c>
      <c r="T68" s="15" t="n">
        <v>0</v>
      </c>
      <c r="U68" s="15" t="n">
        <v>0</v>
      </c>
      <c r="V68" s="15" t="n">
        <v>43</v>
      </c>
      <c r="W68" s="15" t="n">
        <v>55</v>
      </c>
      <c r="X68" s="15" t="n">
        <v>1</v>
      </c>
      <c r="Y68" s="15" t="n">
        <v>0</v>
      </c>
      <c r="Z68" s="15" t="s">
        <v>1012</v>
      </c>
      <c r="AA68" s="15" t="s">
        <v>1013</v>
      </c>
      <c r="AB68" s="15" t="s">
        <v>176</v>
      </c>
      <c r="AC68" s="15" t="s">
        <v>1027</v>
      </c>
      <c r="AD68" s="15" t="s">
        <v>1408</v>
      </c>
      <c r="AE68" s="15" t="s">
        <v>1409</v>
      </c>
      <c r="AF68" s="15" t="s">
        <v>1410</v>
      </c>
      <c r="AG68" s="15"/>
      <c r="AH68" s="15"/>
      <c r="AI68" s="15" t="s">
        <v>1053</v>
      </c>
      <c r="AJ68" s="15" t="n">
        <v>0</v>
      </c>
      <c r="AK68" s="15" t="n">
        <v>0</v>
      </c>
      <c r="AL68" s="15" t="n">
        <v>0</v>
      </c>
      <c r="AM68" s="15" t="n">
        <v>0</v>
      </c>
      <c r="AN68" s="15" t="n">
        <v>0</v>
      </c>
      <c r="AO68" s="15" t="n">
        <v>0</v>
      </c>
      <c r="AP68" s="15" t="s">
        <v>1325</v>
      </c>
      <c r="AQ68" s="15" t="s">
        <v>1021</v>
      </c>
      <c r="AR68" s="15" t="s">
        <v>169</v>
      </c>
      <c r="AS68" s="15"/>
      <c r="AT68" s="29" t="str">
        <f aca="false">IF(A68="","",IF(COUNTIF(Parcels!$A$2:$A$3000,B68)=0,"Parcel not found",IF(COUNTIF($A$2:$A$3000,A68)&gt;1,"Duplicate perm_id",IF(AND(R68="Yes",D68&lt;&gt;"",COUNTIFS($C$2:$C$3000,D68,$R$2:$R$3000,"Yes")&gt;1),"Reference counted twice",IF(COUNTIF(Lists!$A$2:$A$7,I68)=0,"Unknown status","")))))</f>
        <v/>
      </c>
    </row>
    <row r="69" customFormat="false" ht="15" hidden="false" customHeight="false" outlineLevel="0" collapsed="false">
      <c r="A69" s="15" t="s">
        <v>1411</v>
      </c>
      <c r="B69" s="15" t="s">
        <v>499</v>
      </c>
      <c r="C69" s="15" t="s">
        <v>52</v>
      </c>
      <c r="D69" s="15" t="s">
        <v>1412</v>
      </c>
      <c r="E69" s="15" t="s">
        <v>1412</v>
      </c>
      <c r="F69" s="15" t="s">
        <v>500</v>
      </c>
      <c r="G69" s="15" t="n">
        <v>12</v>
      </c>
      <c r="H69" s="15"/>
      <c r="I69" s="15" t="s">
        <v>47</v>
      </c>
      <c r="J69" s="15" t="s">
        <v>1008</v>
      </c>
      <c r="K69" s="15" t="s">
        <v>47</v>
      </c>
      <c r="L69" s="15" t="n">
        <v>12</v>
      </c>
      <c r="M69" s="15" t="n">
        <v>12</v>
      </c>
      <c r="N69" s="15" t="n">
        <v>0</v>
      </c>
      <c r="O69" s="15" t="n">
        <v>0</v>
      </c>
      <c r="P69" s="15"/>
      <c r="Q69" s="15" t="s">
        <v>1009</v>
      </c>
      <c r="R69" s="15" t="s">
        <v>1010</v>
      </c>
      <c r="S69" s="15" t="s">
        <v>1026</v>
      </c>
      <c r="T69" s="15"/>
      <c r="U69" s="15"/>
      <c r="V69" s="15"/>
      <c r="W69" s="15"/>
      <c r="X69" s="15"/>
      <c r="Y69" s="15"/>
      <c r="Z69" s="15" t="s">
        <v>1012</v>
      </c>
      <c r="AA69" s="15" t="s">
        <v>1013</v>
      </c>
      <c r="AB69" s="15" t="s">
        <v>176</v>
      </c>
      <c r="AC69" s="15" t="s">
        <v>1027</v>
      </c>
      <c r="AD69" s="15" t="s">
        <v>1413</v>
      </c>
      <c r="AE69" s="15" t="s">
        <v>1414</v>
      </c>
      <c r="AF69" s="15" t="s">
        <v>1415</v>
      </c>
      <c r="AG69" s="15"/>
      <c r="AH69" s="15"/>
      <c r="AI69" s="15" t="s">
        <v>1053</v>
      </c>
      <c r="AJ69" s="15" t="n">
        <v>0</v>
      </c>
      <c r="AK69" s="15" t="n">
        <v>0</v>
      </c>
      <c r="AL69" s="15" t="n">
        <v>0</v>
      </c>
      <c r="AM69" s="15" t="n">
        <v>0</v>
      </c>
      <c r="AN69" s="15" t="n">
        <v>0</v>
      </c>
      <c r="AO69" s="15" t="n">
        <v>0</v>
      </c>
      <c r="AP69" s="15" t="s">
        <v>1325</v>
      </c>
      <c r="AQ69" s="15" t="s">
        <v>1021</v>
      </c>
      <c r="AR69" s="15" t="s">
        <v>169</v>
      </c>
      <c r="AS69" s="15"/>
      <c r="AT69" s="29" t="str">
        <f aca="false">IF(A69="","",IF(COUNTIF(Parcels!$A$2:$A$3000,B69)=0,"Parcel not found",IF(COUNTIF($A$2:$A$3000,A69)&gt;1,"Duplicate perm_id",IF(AND(R69="Yes",D69&lt;&gt;"",COUNTIFS($C$2:$C$3000,D69,$R$2:$R$3000,"Yes")&gt;1),"Reference counted twice",IF(COUNTIF(Lists!$A$2:$A$7,I69)=0,"Unknown status","")))))</f>
        <v/>
      </c>
    </row>
    <row r="70" customFormat="false" ht="15" hidden="false" customHeight="false" outlineLevel="0" collapsed="false">
      <c r="A70" s="15" t="s">
        <v>1416</v>
      </c>
      <c r="B70" s="15" t="s">
        <v>652</v>
      </c>
      <c r="C70" s="15" t="s">
        <v>58</v>
      </c>
      <c r="D70" s="15" t="s">
        <v>1417</v>
      </c>
      <c r="E70" s="15" t="s">
        <v>1417</v>
      </c>
      <c r="F70" s="15" t="s">
        <v>653</v>
      </c>
      <c r="G70" s="15" t="n">
        <v>4</v>
      </c>
      <c r="H70" s="15"/>
      <c r="I70" s="15" t="s">
        <v>48</v>
      </c>
      <c r="J70" s="15" t="s">
        <v>1008</v>
      </c>
      <c r="K70" s="15" t="s">
        <v>48</v>
      </c>
      <c r="L70" s="15" t="n">
        <v>3</v>
      </c>
      <c r="M70" s="15" t="n">
        <v>3</v>
      </c>
      <c r="N70" s="15" t="n">
        <v>0</v>
      </c>
      <c r="O70" s="15" t="n">
        <v>0</v>
      </c>
      <c r="P70" s="15"/>
      <c r="Q70" s="15" t="s">
        <v>1009</v>
      </c>
      <c r="R70" s="15" t="s">
        <v>1010</v>
      </c>
      <c r="S70" s="15" t="s">
        <v>1026</v>
      </c>
      <c r="T70" s="15"/>
      <c r="U70" s="15"/>
      <c r="V70" s="15"/>
      <c r="W70" s="15"/>
      <c r="X70" s="15"/>
      <c r="Y70" s="15"/>
      <c r="Z70" s="15" t="s">
        <v>1012</v>
      </c>
      <c r="AA70" s="15" t="s">
        <v>1013</v>
      </c>
      <c r="AB70" s="15" t="s">
        <v>176</v>
      </c>
      <c r="AC70" s="15" t="s">
        <v>1027</v>
      </c>
      <c r="AD70" s="15" t="s">
        <v>1418</v>
      </c>
      <c r="AE70" s="15" t="s">
        <v>1419</v>
      </c>
      <c r="AF70" s="15" t="s">
        <v>1420</v>
      </c>
      <c r="AG70" s="15" t="s">
        <v>1421</v>
      </c>
      <c r="AH70" s="15" t="s">
        <v>1041</v>
      </c>
      <c r="AI70" s="15" t="s">
        <v>1042</v>
      </c>
      <c r="AJ70" s="15" t="n">
        <v>0.9</v>
      </c>
      <c r="AK70" s="15" t="n">
        <v>3.1</v>
      </c>
      <c r="AL70" s="15" t="n">
        <v>0</v>
      </c>
      <c r="AM70" s="15" t="n">
        <v>0</v>
      </c>
      <c r="AN70" s="15" t="n">
        <v>0</v>
      </c>
      <c r="AO70" s="15" t="n">
        <v>0</v>
      </c>
      <c r="AP70" s="15" t="s">
        <v>1325</v>
      </c>
      <c r="AQ70" s="15" t="s">
        <v>1021</v>
      </c>
      <c r="AR70" s="15" t="s">
        <v>169</v>
      </c>
      <c r="AS70" s="15"/>
      <c r="AT70" s="29" t="str">
        <f aca="false">IF(A70="","",IF(COUNTIF(Parcels!$A$2:$A$3000,B70)=0,"Parcel not found",IF(COUNTIF($A$2:$A$3000,A70)&gt;1,"Duplicate perm_id",IF(AND(R70="Yes",D70&lt;&gt;"",COUNTIFS($C$2:$C$3000,D70,$R$2:$R$3000,"Yes")&gt;1),"Reference counted twice",IF(COUNTIF(Lists!$A$2:$A$7,I70)=0,"Unknown status","")))))</f>
        <v/>
      </c>
    </row>
    <row r="71" customFormat="false" ht="15" hidden="false" customHeight="false" outlineLevel="0" collapsed="false">
      <c r="A71" s="15" t="s">
        <v>1422</v>
      </c>
      <c r="B71" s="15" t="s">
        <v>501</v>
      </c>
      <c r="C71" s="15" t="s">
        <v>52</v>
      </c>
      <c r="D71" s="15" t="s">
        <v>1423</v>
      </c>
      <c r="E71" s="15" t="s">
        <v>1423</v>
      </c>
      <c r="F71" s="15" t="s">
        <v>502</v>
      </c>
      <c r="G71" s="15" t="n">
        <v>6</v>
      </c>
      <c r="H71" s="15"/>
      <c r="I71" s="15" t="s">
        <v>47</v>
      </c>
      <c r="J71" s="15" t="s">
        <v>1008</v>
      </c>
      <c r="K71" s="15" t="s">
        <v>47</v>
      </c>
      <c r="L71" s="15" t="n">
        <v>6</v>
      </c>
      <c r="M71" s="15" t="n">
        <v>6</v>
      </c>
      <c r="N71" s="15" t="n">
        <v>0</v>
      </c>
      <c r="O71" s="15" t="n">
        <v>0</v>
      </c>
      <c r="P71" s="15"/>
      <c r="Q71" s="15" t="s">
        <v>1009</v>
      </c>
      <c r="R71" s="15" t="s">
        <v>1010</v>
      </c>
      <c r="S71" s="15" t="s">
        <v>1026</v>
      </c>
      <c r="T71" s="15"/>
      <c r="U71" s="15"/>
      <c r="V71" s="15"/>
      <c r="W71" s="15"/>
      <c r="X71" s="15"/>
      <c r="Y71" s="15"/>
      <c r="Z71" s="15" t="s">
        <v>1136</v>
      </c>
      <c r="AA71" s="15" t="s">
        <v>1013</v>
      </c>
      <c r="AB71" s="15" t="s">
        <v>176</v>
      </c>
      <c r="AC71" s="15" t="s">
        <v>1027</v>
      </c>
      <c r="AD71" s="15" t="s">
        <v>1207</v>
      </c>
      <c r="AE71" s="15" t="s">
        <v>1424</v>
      </c>
      <c r="AF71" s="15" t="s">
        <v>1425</v>
      </c>
      <c r="AG71" s="15"/>
      <c r="AH71" s="15"/>
      <c r="AI71" s="15" t="s">
        <v>1053</v>
      </c>
      <c r="AJ71" s="15" t="n">
        <v>0</v>
      </c>
      <c r="AK71" s="15" t="n">
        <v>0</v>
      </c>
      <c r="AL71" s="15" t="n">
        <v>0</v>
      </c>
      <c r="AM71" s="15" t="n">
        <v>0</v>
      </c>
      <c r="AN71" s="15" t="n">
        <v>0</v>
      </c>
      <c r="AO71" s="15" t="n">
        <v>0</v>
      </c>
      <c r="AP71" s="15" t="s">
        <v>1325</v>
      </c>
      <c r="AQ71" s="15" t="s">
        <v>1021</v>
      </c>
      <c r="AR71" s="15" t="s">
        <v>169</v>
      </c>
      <c r="AS71" s="15"/>
      <c r="AT71" s="29" t="str">
        <f aca="false">IF(A71="","",IF(COUNTIF(Parcels!$A$2:$A$3000,B71)=0,"Parcel not found",IF(COUNTIF($A$2:$A$3000,A71)&gt;1,"Duplicate perm_id",IF(AND(R71="Yes",D71&lt;&gt;"",COUNTIFS($C$2:$C$3000,D71,$R$2:$R$3000,"Yes")&gt;1),"Reference counted twice",IF(COUNTIF(Lists!$A$2:$A$7,I71)=0,"Unknown status","")))))</f>
        <v/>
      </c>
    </row>
    <row r="72" customFormat="false" ht="15" hidden="false" customHeight="false" outlineLevel="0" collapsed="false">
      <c r="A72" s="15" t="s">
        <v>1426</v>
      </c>
      <c r="B72" s="15" t="s">
        <v>595</v>
      </c>
      <c r="C72" s="15" t="s">
        <v>54</v>
      </c>
      <c r="D72" s="15" t="s">
        <v>1427</v>
      </c>
      <c r="E72" s="15" t="s">
        <v>1427</v>
      </c>
      <c r="F72" s="15" t="s">
        <v>596</v>
      </c>
      <c r="G72" s="15" t="n">
        <v>24</v>
      </c>
      <c r="H72" s="15"/>
      <c r="I72" s="15" t="s">
        <v>47</v>
      </c>
      <c r="J72" s="15" t="s">
        <v>1008</v>
      </c>
      <c r="K72" s="15" t="s">
        <v>47</v>
      </c>
      <c r="L72" s="15" t="n">
        <v>24</v>
      </c>
      <c r="M72" s="15" t="n">
        <v>24</v>
      </c>
      <c r="N72" s="15" t="n">
        <v>0</v>
      </c>
      <c r="O72" s="15" t="n">
        <v>1</v>
      </c>
      <c r="P72" s="15"/>
      <c r="Q72" s="15" t="s">
        <v>1009</v>
      </c>
      <c r="R72" s="15" t="s">
        <v>1010</v>
      </c>
      <c r="S72" s="15" t="s">
        <v>1026</v>
      </c>
      <c r="T72" s="15"/>
      <c r="U72" s="15"/>
      <c r="V72" s="15"/>
      <c r="W72" s="15"/>
      <c r="X72" s="15"/>
      <c r="Y72" s="15"/>
      <c r="Z72" s="15" t="s">
        <v>1136</v>
      </c>
      <c r="AA72" s="15" t="s">
        <v>1013</v>
      </c>
      <c r="AB72" s="15" t="s">
        <v>176</v>
      </c>
      <c r="AC72" s="15" t="s">
        <v>1027</v>
      </c>
      <c r="AD72" s="15" t="s">
        <v>1428</v>
      </c>
      <c r="AE72" s="15" t="s">
        <v>1429</v>
      </c>
      <c r="AF72" s="15" t="s">
        <v>1430</v>
      </c>
      <c r="AG72" s="15"/>
      <c r="AH72" s="15"/>
      <c r="AI72" s="15" t="s">
        <v>1053</v>
      </c>
      <c r="AJ72" s="15" t="n">
        <v>0</v>
      </c>
      <c r="AK72" s="15" t="n">
        <v>0</v>
      </c>
      <c r="AL72" s="15" t="n">
        <v>0</v>
      </c>
      <c r="AM72" s="15" t="n">
        <v>0</v>
      </c>
      <c r="AN72" s="15" t="n">
        <v>0</v>
      </c>
      <c r="AO72" s="15" t="n">
        <v>0</v>
      </c>
      <c r="AP72" s="15" t="s">
        <v>1325</v>
      </c>
      <c r="AQ72" s="15" t="s">
        <v>1021</v>
      </c>
      <c r="AR72" s="15" t="s">
        <v>169</v>
      </c>
      <c r="AS72" s="15"/>
      <c r="AT72" s="29" t="str">
        <f aca="false">IF(A72="","",IF(COUNTIF(Parcels!$A$2:$A$3000,B72)=0,"Parcel not found",IF(COUNTIF($A$2:$A$3000,A72)&gt;1,"Duplicate perm_id",IF(AND(R72="Yes",D72&lt;&gt;"",COUNTIFS($C$2:$C$3000,D72,$R$2:$R$3000,"Yes")&gt;1),"Reference counted twice",IF(COUNTIF(Lists!$A$2:$A$7,I72)=0,"Unknown status","")))))</f>
        <v/>
      </c>
    </row>
    <row r="73" customFormat="false" ht="15" hidden="false" customHeight="false" outlineLevel="0" collapsed="false">
      <c r="A73" s="15" t="s">
        <v>1431</v>
      </c>
      <c r="B73" s="15" t="s">
        <v>636</v>
      </c>
      <c r="C73" s="15" t="s">
        <v>57</v>
      </c>
      <c r="D73" s="15" t="s">
        <v>1432</v>
      </c>
      <c r="E73" s="15" t="s">
        <v>1432</v>
      </c>
      <c r="F73" s="15" t="s">
        <v>637</v>
      </c>
      <c r="G73" s="15" t="n">
        <v>26</v>
      </c>
      <c r="H73" s="15"/>
      <c r="I73" s="15" t="s">
        <v>48</v>
      </c>
      <c r="J73" s="15" t="s">
        <v>1008</v>
      </c>
      <c r="K73" s="15" t="s">
        <v>48</v>
      </c>
      <c r="L73" s="15" t="n">
        <v>23</v>
      </c>
      <c r="M73" s="15" t="n">
        <v>23</v>
      </c>
      <c r="N73" s="15" t="n">
        <v>0</v>
      </c>
      <c r="O73" s="15" t="n">
        <v>0</v>
      </c>
      <c r="P73" s="15"/>
      <c r="Q73" s="15" t="s">
        <v>1009</v>
      </c>
      <c r="R73" s="15" t="s">
        <v>1010</v>
      </c>
      <c r="S73" s="15" t="s">
        <v>1026</v>
      </c>
      <c r="T73" s="15"/>
      <c r="U73" s="15"/>
      <c r="V73" s="15"/>
      <c r="W73" s="15"/>
      <c r="X73" s="15"/>
      <c r="Y73" s="15"/>
      <c r="Z73" s="15" t="s">
        <v>1136</v>
      </c>
      <c r="AA73" s="15" t="s">
        <v>1013</v>
      </c>
      <c r="AB73" s="15" t="s">
        <v>176</v>
      </c>
      <c r="AC73" s="15" t="s">
        <v>1027</v>
      </c>
      <c r="AD73" s="15" t="s">
        <v>1433</v>
      </c>
      <c r="AE73" s="15" t="s">
        <v>1434</v>
      </c>
      <c r="AF73" s="15" t="s">
        <v>1435</v>
      </c>
      <c r="AG73" s="15" t="s">
        <v>1436</v>
      </c>
      <c r="AH73" s="15" t="s">
        <v>1041</v>
      </c>
      <c r="AI73" s="15" t="s">
        <v>1042</v>
      </c>
      <c r="AJ73" s="15" t="n">
        <v>6.1</v>
      </c>
      <c r="AK73" s="15" t="n">
        <v>19.9</v>
      </c>
      <c r="AL73" s="15" t="n">
        <v>0</v>
      </c>
      <c r="AM73" s="15" t="n">
        <v>0</v>
      </c>
      <c r="AN73" s="15" t="n">
        <v>0</v>
      </c>
      <c r="AO73" s="15" t="n">
        <v>0</v>
      </c>
      <c r="AP73" s="15" t="s">
        <v>1325</v>
      </c>
      <c r="AQ73" s="15" t="s">
        <v>1021</v>
      </c>
      <c r="AR73" s="15" t="s">
        <v>169</v>
      </c>
      <c r="AS73" s="15"/>
      <c r="AT73" s="29" t="str">
        <f aca="false">IF(A73="","",IF(COUNTIF(Parcels!$A$2:$A$3000,B73)=0,"Parcel not found",IF(COUNTIF($A$2:$A$3000,A73)&gt;1,"Duplicate perm_id",IF(AND(R73="Yes",D73&lt;&gt;"",COUNTIFS($C$2:$C$3000,D73,$R$2:$R$3000,"Yes")&gt;1),"Reference counted twice",IF(COUNTIF(Lists!$A$2:$A$7,I73)=0,"Unknown status","")))))</f>
        <v/>
      </c>
    </row>
    <row r="74" customFormat="false" ht="15" hidden="false" customHeight="false" outlineLevel="0" collapsed="false">
      <c r="A74" s="15" t="s">
        <v>1437</v>
      </c>
      <c r="B74" s="15" t="s">
        <v>654</v>
      </c>
      <c r="C74" s="15" t="s">
        <v>58</v>
      </c>
      <c r="D74" s="15" t="s">
        <v>1438</v>
      </c>
      <c r="E74" s="15" t="s">
        <v>1438</v>
      </c>
      <c r="F74" s="15" t="s">
        <v>655</v>
      </c>
      <c r="G74" s="15" t="n">
        <v>4</v>
      </c>
      <c r="H74" s="15"/>
      <c r="I74" s="15" t="s">
        <v>47</v>
      </c>
      <c r="J74" s="15" t="s">
        <v>1008</v>
      </c>
      <c r="K74" s="15" t="s">
        <v>47</v>
      </c>
      <c r="L74" s="15" t="n">
        <v>4</v>
      </c>
      <c r="M74" s="15" t="n">
        <v>4</v>
      </c>
      <c r="N74" s="15" t="n">
        <v>0</v>
      </c>
      <c r="O74" s="15" t="n">
        <v>0</v>
      </c>
      <c r="P74" s="15"/>
      <c r="Q74" s="15" t="s">
        <v>1009</v>
      </c>
      <c r="R74" s="15" t="s">
        <v>1010</v>
      </c>
      <c r="S74" s="15" t="s">
        <v>1026</v>
      </c>
      <c r="T74" s="15"/>
      <c r="U74" s="15"/>
      <c r="V74" s="15"/>
      <c r="W74" s="15"/>
      <c r="X74" s="15"/>
      <c r="Y74" s="15"/>
      <c r="Z74" s="15" t="s">
        <v>1012</v>
      </c>
      <c r="AA74" s="15" t="s">
        <v>1013</v>
      </c>
      <c r="AB74" s="15" t="s">
        <v>176</v>
      </c>
      <c r="AC74" s="15" t="s">
        <v>1027</v>
      </c>
      <c r="AD74" s="15" t="s">
        <v>1439</v>
      </c>
      <c r="AE74" s="15" t="s">
        <v>1440</v>
      </c>
      <c r="AF74" s="15" t="s">
        <v>1441</v>
      </c>
      <c r="AG74" s="15"/>
      <c r="AH74" s="15"/>
      <c r="AI74" s="15" t="s">
        <v>1053</v>
      </c>
      <c r="AJ74" s="15" t="n">
        <v>0</v>
      </c>
      <c r="AK74" s="15" t="n">
        <v>0</v>
      </c>
      <c r="AL74" s="15" t="n">
        <v>0</v>
      </c>
      <c r="AM74" s="15" t="n">
        <v>0</v>
      </c>
      <c r="AN74" s="15" t="n">
        <v>0</v>
      </c>
      <c r="AO74" s="15" t="n">
        <v>0</v>
      </c>
      <c r="AP74" s="15" t="s">
        <v>1325</v>
      </c>
      <c r="AQ74" s="15" t="s">
        <v>1021</v>
      </c>
      <c r="AR74" s="15" t="s">
        <v>169</v>
      </c>
      <c r="AS74" s="15"/>
      <c r="AT74" s="29" t="str">
        <f aca="false">IF(A74="","",IF(COUNTIF(Parcels!$A$2:$A$3000,B74)=0,"Parcel not found",IF(COUNTIF($A$2:$A$3000,A74)&gt;1,"Duplicate perm_id",IF(AND(R74="Yes",D74&lt;&gt;"",COUNTIFS($C$2:$C$3000,D74,$R$2:$R$3000,"Yes")&gt;1),"Reference counted twice",IF(COUNTIF(Lists!$A$2:$A$7,I74)=0,"Unknown status","")))))</f>
        <v/>
      </c>
    </row>
    <row r="75" customFormat="false" ht="15" hidden="false" customHeight="false" outlineLevel="0" collapsed="false">
      <c r="A75" s="15" t="s">
        <v>1442</v>
      </c>
      <c r="B75" s="15" t="s">
        <v>531</v>
      </c>
      <c r="C75" s="15" t="s">
        <v>53</v>
      </c>
      <c r="D75" s="15" t="s">
        <v>1443</v>
      </c>
      <c r="E75" s="15" t="s">
        <v>1443</v>
      </c>
      <c r="F75" s="15" t="s">
        <v>532</v>
      </c>
      <c r="G75" s="15" t="n">
        <v>14</v>
      </c>
      <c r="H75" s="15"/>
      <c r="I75" s="15" t="s">
        <v>47</v>
      </c>
      <c r="J75" s="15" t="s">
        <v>1008</v>
      </c>
      <c r="K75" s="15" t="s">
        <v>47</v>
      </c>
      <c r="L75" s="15" t="n">
        <v>14</v>
      </c>
      <c r="M75" s="15" t="n">
        <v>14</v>
      </c>
      <c r="N75" s="15" t="n">
        <v>0</v>
      </c>
      <c r="O75" s="15" t="n">
        <v>0</v>
      </c>
      <c r="P75" s="15"/>
      <c r="Q75" s="15" t="s">
        <v>1009</v>
      </c>
      <c r="R75" s="15" t="s">
        <v>1010</v>
      </c>
      <c r="S75" s="15" t="s">
        <v>1050</v>
      </c>
      <c r="T75" s="15" t="n">
        <v>0</v>
      </c>
      <c r="U75" s="15" t="n">
        <v>0</v>
      </c>
      <c r="V75" s="15" t="n">
        <v>14</v>
      </c>
      <c r="W75" s="15" t="n">
        <v>0</v>
      </c>
      <c r="X75" s="15" t="n">
        <v>0</v>
      </c>
      <c r="Y75" s="15" t="n">
        <v>0</v>
      </c>
      <c r="Z75" s="15" t="s">
        <v>1012</v>
      </c>
      <c r="AA75" s="15" t="s">
        <v>1035</v>
      </c>
      <c r="AB75" s="15" t="s">
        <v>1036</v>
      </c>
      <c r="AC75" s="15" t="s">
        <v>1037</v>
      </c>
      <c r="AD75" s="15" t="s">
        <v>1444</v>
      </c>
      <c r="AE75" s="15"/>
      <c r="AF75" s="15" t="s">
        <v>1445</v>
      </c>
      <c r="AG75" s="15"/>
      <c r="AH75" s="15"/>
      <c r="AI75" s="15" t="s">
        <v>1053</v>
      </c>
      <c r="AJ75" s="15" t="n">
        <v>0</v>
      </c>
      <c r="AK75" s="15" t="n">
        <v>0</v>
      </c>
      <c r="AL75" s="15" t="n">
        <v>0</v>
      </c>
      <c r="AM75" s="15" t="n">
        <v>0</v>
      </c>
      <c r="AN75" s="15" t="n">
        <v>0</v>
      </c>
      <c r="AO75" s="15" t="n">
        <v>0</v>
      </c>
      <c r="AP75" s="15" t="s">
        <v>1325</v>
      </c>
      <c r="AQ75" s="15" t="s">
        <v>1021</v>
      </c>
      <c r="AR75" s="15" t="s">
        <v>169</v>
      </c>
      <c r="AS75" s="15"/>
      <c r="AT75" s="29" t="str">
        <f aca="false">IF(A75="","",IF(COUNTIF(Parcels!$A$2:$A$3000,B75)=0,"Parcel not found",IF(COUNTIF($A$2:$A$3000,A75)&gt;1,"Duplicate perm_id",IF(AND(R75="Yes",D75&lt;&gt;"",COUNTIFS($C$2:$C$3000,D75,$R$2:$R$3000,"Yes")&gt;1),"Reference counted twice",IF(COUNTIF(Lists!$A$2:$A$7,I75)=0,"Unknown status","")))))</f>
        <v/>
      </c>
    </row>
    <row r="76" customFormat="false" ht="15" hidden="false" customHeight="false" outlineLevel="0" collapsed="false">
      <c r="A76" s="15" t="s">
        <v>1446</v>
      </c>
      <c r="B76" s="15" t="s">
        <v>672</v>
      </c>
      <c r="C76" s="15" t="s">
        <v>71</v>
      </c>
      <c r="D76" s="15" t="s">
        <v>1447</v>
      </c>
      <c r="E76" s="15" t="s">
        <v>1447</v>
      </c>
      <c r="F76" s="15" t="s">
        <v>673</v>
      </c>
      <c r="G76" s="15" t="n">
        <v>20</v>
      </c>
      <c r="H76" s="15"/>
      <c r="I76" s="15" t="s">
        <v>47</v>
      </c>
      <c r="J76" s="15" t="s">
        <v>1008</v>
      </c>
      <c r="K76" s="15" t="s">
        <v>47</v>
      </c>
      <c r="L76" s="15" t="n">
        <v>20</v>
      </c>
      <c r="M76" s="15" t="n">
        <v>20</v>
      </c>
      <c r="N76" s="15" t="n">
        <v>0</v>
      </c>
      <c r="O76" s="15" t="n">
        <v>0</v>
      </c>
      <c r="P76" s="15"/>
      <c r="Q76" s="15" t="s">
        <v>1009</v>
      </c>
      <c r="R76" s="15" t="s">
        <v>1010</v>
      </c>
      <c r="S76" s="15" t="s">
        <v>1050</v>
      </c>
      <c r="T76" s="15" t="n">
        <v>0</v>
      </c>
      <c r="U76" s="15" t="n">
        <v>0</v>
      </c>
      <c r="V76" s="15" t="n">
        <v>12</v>
      </c>
      <c r="W76" s="15" t="n">
        <v>7</v>
      </c>
      <c r="X76" s="15" t="n">
        <v>1</v>
      </c>
      <c r="Y76" s="15" t="n">
        <v>0</v>
      </c>
      <c r="Z76" s="15" t="s">
        <v>1012</v>
      </c>
      <c r="AA76" s="15" t="s">
        <v>1035</v>
      </c>
      <c r="AB76" s="15" t="s">
        <v>1036</v>
      </c>
      <c r="AC76" s="15" t="s">
        <v>1037</v>
      </c>
      <c r="AD76" s="15" t="s">
        <v>1448</v>
      </c>
      <c r="AE76" s="15"/>
      <c r="AF76" s="15" t="s">
        <v>1449</v>
      </c>
      <c r="AG76" s="15"/>
      <c r="AH76" s="15"/>
      <c r="AI76" s="15" t="s">
        <v>1053</v>
      </c>
      <c r="AJ76" s="15" t="n">
        <v>0</v>
      </c>
      <c r="AK76" s="15" t="n">
        <v>0</v>
      </c>
      <c r="AL76" s="15" t="n">
        <v>0</v>
      </c>
      <c r="AM76" s="15" t="n">
        <v>0</v>
      </c>
      <c r="AN76" s="15" t="n">
        <v>0</v>
      </c>
      <c r="AO76" s="15" t="n">
        <v>0</v>
      </c>
      <c r="AP76" s="15" t="s">
        <v>1325</v>
      </c>
      <c r="AQ76" s="15" t="s">
        <v>1021</v>
      </c>
      <c r="AR76" s="15" t="s">
        <v>169</v>
      </c>
      <c r="AS76" s="15"/>
      <c r="AT76" s="29" t="str">
        <f aca="false">IF(A76="","",IF(COUNTIF(Parcels!$A$2:$A$3000,B76)=0,"Parcel not found",IF(COUNTIF($A$2:$A$3000,A76)&gt;1,"Duplicate perm_id",IF(AND(R76="Yes",D76&lt;&gt;"",COUNTIFS($C$2:$C$3000,D76,$R$2:$R$3000,"Yes")&gt;1),"Reference counted twice",IF(COUNTIF(Lists!$A$2:$A$7,I76)=0,"Unknown status","")))))</f>
        <v/>
      </c>
    </row>
    <row r="77" customFormat="false" ht="15" hidden="false" customHeight="false" outlineLevel="0" collapsed="false">
      <c r="A77" s="15" t="s">
        <v>1450</v>
      </c>
      <c r="B77" s="15" t="s">
        <v>464</v>
      </c>
      <c r="C77" s="15" t="s">
        <v>51</v>
      </c>
      <c r="D77" s="15" t="s">
        <v>1451</v>
      </c>
      <c r="E77" s="15" t="s">
        <v>1451</v>
      </c>
      <c r="F77" s="15" t="s">
        <v>465</v>
      </c>
      <c r="G77" s="15" t="n">
        <v>5</v>
      </c>
      <c r="H77" s="15"/>
      <c r="I77" s="15" t="s">
        <v>1007</v>
      </c>
      <c r="J77" s="15" t="s">
        <v>1008</v>
      </c>
      <c r="K77" s="15" t="s">
        <v>1007</v>
      </c>
      <c r="L77" s="15" t="n">
        <v>0</v>
      </c>
      <c r="M77" s="15" t="n">
        <v>0</v>
      </c>
      <c r="N77" s="15" t="n">
        <v>0</v>
      </c>
      <c r="O77" s="15" t="n">
        <v>0</v>
      </c>
      <c r="P77" s="15"/>
      <c r="Q77" s="15" t="s">
        <v>1009</v>
      </c>
      <c r="R77" s="15" t="s">
        <v>1010</v>
      </c>
      <c r="S77" s="15" t="s">
        <v>1346</v>
      </c>
      <c r="T77" s="15"/>
      <c r="U77" s="15"/>
      <c r="V77" s="15"/>
      <c r="W77" s="15"/>
      <c r="X77" s="15"/>
      <c r="Y77" s="15"/>
      <c r="Z77" s="15" t="s">
        <v>1012</v>
      </c>
      <c r="AA77" s="15" t="s">
        <v>1035</v>
      </c>
      <c r="AB77" s="15" t="s">
        <v>1036</v>
      </c>
      <c r="AC77" s="15" t="s">
        <v>1037</v>
      </c>
      <c r="AD77" s="15" t="s">
        <v>1452</v>
      </c>
      <c r="AE77" s="15"/>
      <c r="AF77" s="15"/>
      <c r="AG77" s="15" t="s">
        <v>1017</v>
      </c>
      <c r="AH77" s="15" t="s">
        <v>1194</v>
      </c>
      <c r="AI77" s="15" t="s">
        <v>1019</v>
      </c>
      <c r="AJ77" s="15" t="n">
        <v>0</v>
      </c>
      <c r="AK77" s="15" t="n">
        <v>0</v>
      </c>
      <c r="AL77" s="15" t="n">
        <v>3.2</v>
      </c>
      <c r="AM77" s="15" t="n">
        <v>1.8</v>
      </c>
      <c r="AN77" s="15" t="n">
        <v>0</v>
      </c>
      <c r="AO77" s="15" t="n">
        <v>0</v>
      </c>
      <c r="AP77" s="15" t="s">
        <v>1325</v>
      </c>
      <c r="AQ77" s="15" t="s">
        <v>1348</v>
      </c>
      <c r="AR77" s="15" t="s">
        <v>169</v>
      </c>
      <c r="AS77" s="15"/>
      <c r="AT77" s="29" t="str">
        <f aca="false">IF(A77="","",IF(COUNTIF(Parcels!$A$2:$A$3000,B77)=0,"Parcel not found",IF(COUNTIF($A$2:$A$3000,A77)&gt;1,"Duplicate perm_id",IF(AND(R77="Yes",D77&lt;&gt;"",COUNTIFS($C$2:$C$3000,D77,$R$2:$R$3000,"Yes")&gt;1),"Reference counted twice",IF(COUNTIF(Lists!$A$2:$A$7,I77)=0,"Unknown status","")))))</f>
        <v/>
      </c>
    </row>
    <row r="78" customFormat="false" ht="15" hidden="false" customHeight="false" outlineLevel="0" collapsed="false">
      <c r="A78" s="15" t="s">
        <v>1453</v>
      </c>
      <c r="B78" s="15" t="s">
        <v>656</v>
      </c>
      <c r="C78" s="15" t="s">
        <v>58</v>
      </c>
      <c r="D78" s="15" t="s">
        <v>1454</v>
      </c>
      <c r="E78" s="15" t="s">
        <v>1454</v>
      </c>
      <c r="F78" s="15" t="s">
        <v>657</v>
      </c>
      <c r="G78" s="15" t="n">
        <v>43</v>
      </c>
      <c r="H78" s="15"/>
      <c r="I78" s="15" t="s">
        <v>47</v>
      </c>
      <c r="J78" s="15" t="s">
        <v>1008</v>
      </c>
      <c r="K78" s="15" t="s">
        <v>47</v>
      </c>
      <c r="L78" s="15" t="n">
        <v>43</v>
      </c>
      <c r="M78" s="15" t="n">
        <v>43</v>
      </c>
      <c r="N78" s="15" t="n">
        <v>0</v>
      </c>
      <c r="O78" s="15" t="n">
        <v>0</v>
      </c>
      <c r="P78" s="15"/>
      <c r="Q78" s="15" t="s">
        <v>1009</v>
      </c>
      <c r="R78" s="15" t="s">
        <v>1010</v>
      </c>
      <c r="S78" s="15" t="s">
        <v>1050</v>
      </c>
      <c r="T78" s="15" t="n">
        <v>0</v>
      </c>
      <c r="U78" s="15" t="n">
        <v>0</v>
      </c>
      <c r="V78" s="15" t="n">
        <v>20</v>
      </c>
      <c r="W78" s="15" t="n">
        <v>23</v>
      </c>
      <c r="X78" s="15" t="n">
        <v>0</v>
      </c>
      <c r="Y78" s="15" t="n">
        <v>0</v>
      </c>
      <c r="Z78" s="15" t="s">
        <v>1012</v>
      </c>
      <c r="AA78" s="15" t="s">
        <v>1035</v>
      </c>
      <c r="AB78" s="15" t="s">
        <v>1036</v>
      </c>
      <c r="AC78" s="15" t="s">
        <v>1037</v>
      </c>
      <c r="AD78" s="15" t="s">
        <v>1455</v>
      </c>
      <c r="AE78" s="15"/>
      <c r="AF78" s="15" t="s">
        <v>1456</v>
      </c>
      <c r="AG78" s="15"/>
      <c r="AH78" s="15"/>
      <c r="AI78" s="15" t="s">
        <v>1053</v>
      </c>
      <c r="AJ78" s="15" t="n">
        <v>0</v>
      </c>
      <c r="AK78" s="15" t="n">
        <v>0</v>
      </c>
      <c r="AL78" s="15" t="n">
        <v>0</v>
      </c>
      <c r="AM78" s="15" t="n">
        <v>0</v>
      </c>
      <c r="AN78" s="15" t="n">
        <v>0</v>
      </c>
      <c r="AO78" s="15" t="n">
        <v>0</v>
      </c>
      <c r="AP78" s="15" t="s">
        <v>1325</v>
      </c>
      <c r="AQ78" s="15" t="s">
        <v>1021</v>
      </c>
      <c r="AR78" s="15" t="s">
        <v>169</v>
      </c>
      <c r="AS78" s="15"/>
      <c r="AT78" s="29" t="str">
        <f aca="false">IF(A78="","",IF(COUNTIF(Parcels!$A$2:$A$3000,B78)=0,"Parcel not found",IF(COUNTIF($A$2:$A$3000,A78)&gt;1,"Duplicate perm_id",IF(AND(R78="Yes",D78&lt;&gt;"",COUNTIFS($C$2:$C$3000,D78,$R$2:$R$3000,"Yes")&gt;1),"Reference counted twice",IF(COUNTIF(Lists!$A$2:$A$7,I78)=0,"Unknown status","")))))</f>
        <v/>
      </c>
    </row>
    <row r="79" customFormat="false" ht="15" hidden="false" customHeight="false" outlineLevel="0" collapsed="false">
      <c r="A79" s="15" t="s">
        <v>1457</v>
      </c>
      <c r="B79" s="15" t="s">
        <v>466</v>
      </c>
      <c r="C79" s="15" t="s">
        <v>51</v>
      </c>
      <c r="D79" s="15" t="s">
        <v>1458</v>
      </c>
      <c r="E79" s="15" t="s">
        <v>1458</v>
      </c>
      <c r="F79" s="15" t="s">
        <v>467</v>
      </c>
      <c r="G79" s="15" t="n">
        <v>43</v>
      </c>
      <c r="H79" s="15"/>
      <c r="I79" s="15" t="s">
        <v>47</v>
      </c>
      <c r="J79" s="15" t="s">
        <v>1008</v>
      </c>
      <c r="K79" s="15" t="s">
        <v>47</v>
      </c>
      <c r="L79" s="15" t="n">
        <v>43</v>
      </c>
      <c r="M79" s="15" t="n">
        <v>43</v>
      </c>
      <c r="N79" s="15" t="n">
        <v>0</v>
      </c>
      <c r="O79" s="15" t="n">
        <v>0</v>
      </c>
      <c r="P79" s="15"/>
      <c r="Q79" s="15" t="s">
        <v>1009</v>
      </c>
      <c r="R79" s="15" t="s">
        <v>1010</v>
      </c>
      <c r="S79" s="15" t="s">
        <v>1050</v>
      </c>
      <c r="T79" s="15" t="n">
        <v>0</v>
      </c>
      <c r="U79" s="15" t="n">
        <v>3</v>
      </c>
      <c r="V79" s="15" t="n">
        <v>19</v>
      </c>
      <c r="W79" s="15" t="n">
        <v>17</v>
      </c>
      <c r="X79" s="15" t="n">
        <v>4</v>
      </c>
      <c r="Y79" s="15" t="n">
        <v>0</v>
      </c>
      <c r="Z79" s="15" t="s">
        <v>1012</v>
      </c>
      <c r="AA79" s="15" t="s">
        <v>1035</v>
      </c>
      <c r="AB79" s="15" t="s">
        <v>1036</v>
      </c>
      <c r="AC79" s="15" t="s">
        <v>1037</v>
      </c>
      <c r="AD79" s="15" t="s">
        <v>1455</v>
      </c>
      <c r="AE79" s="15"/>
      <c r="AF79" s="15" t="s">
        <v>1459</v>
      </c>
      <c r="AG79" s="15"/>
      <c r="AH79" s="15"/>
      <c r="AI79" s="15" t="s">
        <v>1053</v>
      </c>
      <c r="AJ79" s="15" t="n">
        <v>0</v>
      </c>
      <c r="AK79" s="15" t="n">
        <v>0</v>
      </c>
      <c r="AL79" s="15" t="n">
        <v>0</v>
      </c>
      <c r="AM79" s="15" t="n">
        <v>0</v>
      </c>
      <c r="AN79" s="15" t="n">
        <v>0</v>
      </c>
      <c r="AO79" s="15" t="n">
        <v>0</v>
      </c>
      <c r="AP79" s="15" t="s">
        <v>1325</v>
      </c>
      <c r="AQ79" s="15" t="s">
        <v>1021</v>
      </c>
      <c r="AR79" s="15" t="s">
        <v>169</v>
      </c>
      <c r="AS79" s="15"/>
      <c r="AT79" s="29" t="str">
        <f aca="false">IF(A79="","",IF(COUNTIF(Parcels!$A$2:$A$3000,B79)=0,"Parcel not found",IF(COUNTIF($A$2:$A$3000,A79)&gt;1,"Duplicate perm_id",IF(AND(R79="Yes",D79&lt;&gt;"",COUNTIFS($C$2:$C$3000,D79,$R$2:$R$3000,"Yes")&gt;1),"Reference counted twice",IF(COUNTIF(Lists!$A$2:$A$7,I79)=0,"Unknown status","")))))</f>
        <v/>
      </c>
    </row>
    <row r="80" customFormat="false" ht="15" hidden="false" customHeight="false" outlineLevel="0" collapsed="false">
      <c r="A80" s="15" t="s">
        <v>1460</v>
      </c>
      <c r="B80" s="15" t="s">
        <v>468</v>
      </c>
      <c r="C80" s="15" t="s">
        <v>51</v>
      </c>
      <c r="D80" s="15" t="s">
        <v>1461</v>
      </c>
      <c r="E80" s="15" t="s">
        <v>1461</v>
      </c>
      <c r="F80" s="15" t="s">
        <v>469</v>
      </c>
      <c r="G80" s="15" t="n">
        <v>5</v>
      </c>
      <c r="H80" s="15"/>
      <c r="I80" s="15" t="s">
        <v>47</v>
      </c>
      <c r="J80" s="15" t="s">
        <v>1008</v>
      </c>
      <c r="K80" s="15" t="s">
        <v>47</v>
      </c>
      <c r="L80" s="15" t="n">
        <v>5</v>
      </c>
      <c r="M80" s="15" t="n">
        <v>5</v>
      </c>
      <c r="N80" s="15" t="n">
        <v>0</v>
      </c>
      <c r="O80" s="15" t="n">
        <v>0</v>
      </c>
      <c r="P80" s="15"/>
      <c r="Q80" s="15" t="s">
        <v>1009</v>
      </c>
      <c r="R80" s="15" t="s">
        <v>1010</v>
      </c>
      <c r="S80" s="15" t="s">
        <v>1050</v>
      </c>
      <c r="T80" s="15" t="n">
        <v>0</v>
      </c>
      <c r="U80" s="15" t="n">
        <v>0</v>
      </c>
      <c r="V80" s="15" t="n">
        <v>2</v>
      </c>
      <c r="W80" s="15" t="n">
        <v>2</v>
      </c>
      <c r="X80" s="15" t="n">
        <v>1</v>
      </c>
      <c r="Y80" s="15" t="n">
        <v>0</v>
      </c>
      <c r="Z80" s="15" t="s">
        <v>1012</v>
      </c>
      <c r="AA80" s="15" t="s">
        <v>1035</v>
      </c>
      <c r="AB80" s="15" t="s">
        <v>1036</v>
      </c>
      <c r="AC80" s="15" t="s">
        <v>1037</v>
      </c>
      <c r="AD80" s="15" t="s">
        <v>1051</v>
      </c>
      <c r="AE80" s="15"/>
      <c r="AF80" s="15" t="s">
        <v>1462</v>
      </c>
      <c r="AG80" s="15"/>
      <c r="AH80" s="15"/>
      <c r="AI80" s="15" t="s">
        <v>1053</v>
      </c>
      <c r="AJ80" s="15" t="n">
        <v>0</v>
      </c>
      <c r="AK80" s="15" t="n">
        <v>0</v>
      </c>
      <c r="AL80" s="15" t="n">
        <v>0</v>
      </c>
      <c r="AM80" s="15" t="n">
        <v>0</v>
      </c>
      <c r="AN80" s="15" t="n">
        <v>0</v>
      </c>
      <c r="AO80" s="15" t="n">
        <v>0</v>
      </c>
      <c r="AP80" s="15" t="s">
        <v>1325</v>
      </c>
      <c r="AQ80" s="15" t="s">
        <v>1021</v>
      </c>
      <c r="AR80" s="15" t="s">
        <v>169</v>
      </c>
      <c r="AS80" s="15"/>
      <c r="AT80" s="29" t="str">
        <f aca="false">IF(A80="","",IF(COUNTIF(Parcels!$A$2:$A$3000,B80)=0,"Parcel not found",IF(COUNTIF($A$2:$A$3000,A80)&gt;1,"Duplicate perm_id",IF(AND(R80="Yes",D80&lt;&gt;"",COUNTIFS($C$2:$C$3000,D80,$R$2:$R$3000,"Yes")&gt;1),"Reference counted twice",IF(COUNTIF(Lists!$A$2:$A$7,I80)=0,"Unknown status","")))))</f>
        <v/>
      </c>
    </row>
    <row r="81" customFormat="false" ht="15" hidden="false" customHeight="false" outlineLevel="0" collapsed="false">
      <c r="A81" s="15" t="s">
        <v>1463</v>
      </c>
      <c r="B81" s="15" t="s">
        <v>674</v>
      </c>
      <c r="C81" s="15" t="s">
        <v>74</v>
      </c>
      <c r="D81" s="15" t="s">
        <v>1464</v>
      </c>
      <c r="E81" s="15" t="s">
        <v>1464</v>
      </c>
      <c r="F81" s="15" t="s">
        <v>1465</v>
      </c>
      <c r="G81" s="15" t="n">
        <v>24</v>
      </c>
      <c r="H81" s="15"/>
      <c r="I81" s="15" t="s">
        <v>48</v>
      </c>
      <c r="J81" s="15" t="s">
        <v>1008</v>
      </c>
      <c r="K81" s="15" t="s">
        <v>48</v>
      </c>
      <c r="L81" s="15" t="n">
        <v>0</v>
      </c>
      <c r="M81" s="15" t="n">
        <v>0</v>
      </c>
      <c r="N81" s="15" t="n">
        <v>0</v>
      </c>
      <c r="O81" s="15" t="n">
        <v>0</v>
      </c>
      <c r="P81" s="15"/>
      <c r="Q81" s="15" t="s">
        <v>1009</v>
      </c>
      <c r="R81" s="15" t="s">
        <v>1010</v>
      </c>
      <c r="S81" s="15" t="s">
        <v>1050</v>
      </c>
      <c r="T81" s="15" t="n">
        <v>0</v>
      </c>
      <c r="U81" s="15" t="n">
        <v>0</v>
      </c>
      <c r="V81" s="15" t="n">
        <v>8</v>
      </c>
      <c r="W81" s="15" t="n">
        <v>11</v>
      </c>
      <c r="X81" s="15" t="n">
        <v>5</v>
      </c>
      <c r="Y81" s="15" t="n">
        <v>0</v>
      </c>
      <c r="Z81" s="15" t="s">
        <v>1034</v>
      </c>
      <c r="AA81" s="15" t="s">
        <v>1035</v>
      </c>
      <c r="AB81" s="15" t="s">
        <v>1036</v>
      </c>
      <c r="AC81" s="15" t="s">
        <v>1037</v>
      </c>
      <c r="AD81" s="15" t="s">
        <v>1466</v>
      </c>
      <c r="AE81" s="15"/>
      <c r="AF81" s="15" t="s">
        <v>1467</v>
      </c>
      <c r="AG81" s="15" t="s">
        <v>1114</v>
      </c>
      <c r="AH81" s="15" t="s">
        <v>1194</v>
      </c>
      <c r="AI81" s="15" t="s">
        <v>1042</v>
      </c>
      <c r="AJ81" s="15" t="n">
        <v>0</v>
      </c>
      <c r="AK81" s="15" t="n">
        <v>5.9</v>
      </c>
      <c r="AL81" s="15" t="n">
        <v>12.8</v>
      </c>
      <c r="AM81" s="15" t="n">
        <v>5.3</v>
      </c>
      <c r="AN81" s="15" t="n">
        <v>0</v>
      </c>
      <c r="AO81" s="15" t="n">
        <v>0</v>
      </c>
      <c r="AP81" s="15" t="s">
        <v>1325</v>
      </c>
      <c r="AQ81" s="15" t="s">
        <v>1021</v>
      </c>
      <c r="AR81" s="15" t="s">
        <v>169</v>
      </c>
      <c r="AS81" s="15"/>
      <c r="AT81" s="29" t="str">
        <f aca="false">IF(A81="","",IF(COUNTIF(Parcels!$A$2:$A$3000,B81)=0,"Parcel not found",IF(COUNTIF($A$2:$A$3000,A81)&gt;1,"Duplicate perm_id",IF(AND(R81="Yes",D81&lt;&gt;"",COUNTIFS($C$2:$C$3000,D81,$R$2:$R$3000,"Yes")&gt;1),"Reference counted twice",IF(COUNTIF(Lists!$A$2:$A$7,I81)=0,"Unknown status","")))))</f>
        <v/>
      </c>
    </row>
    <row r="82" customFormat="false" ht="15" hidden="false" customHeight="false" outlineLevel="0" collapsed="false">
      <c r="A82" s="15" t="s">
        <v>1468</v>
      </c>
      <c r="B82" s="15" t="s">
        <v>674</v>
      </c>
      <c r="C82" s="15" t="s">
        <v>74</v>
      </c>
      <c r="D82" s="15" t="s">
        <v>1469</v>
      </c>
      <c r="E82" s="15" t="s">
        <v>1469</v>
      </c>
      <c r="F82" s="15" t="s">
        <v>675</v>
      </c>
      <c r="G82" s="15" t="n">
        <v>24</v>
      </c>
      <c r="H82" s="15"/>
      <c r="I82" s="15" t="s">
        <v>48</v>
      </c>
      <c r="J82" s="15" t="s">
        <v>1008</v>
      </c>
      <c r="K82" s="15" t="s">
        <v>48</v>
      </c>
      <c r="L82" s="15" t="n">
        <v>0</v>
      </c>
      <c r="M82" s="15" t="n">
        <v>0</v>
      </c>
      <c r="N82" s="15" t="n">
        <v>0</v>
      </c>
      <c r="O82" s="15" t="n">
        <v>0</v>
      </c>
      <c r="P82" s="15"/>
      <c r="Q82" s="15" t="s">
        <v>1009</v>
      </c>
      <c r="R82" s="15" t="s">
        <v>1010</v>
      </c>
      <c r="S82" s="15" t="s">
        <v>1346</v>
      </c>
      <c r="T82" s="15"/>
      <c r="U82" s="15"/>
      <c r="V82" s="15"/>
      <c r="W82" s="15"/>
      <c r="X82" s="15"/>
      <c r="Y82" s="15"/>
      <c r="Z82" s="15" t="s">
        <v>1012</v>
      </c>
      <c r="AA82" s="15" t="s">
        <v>1035</v>
      </c>
      <c r="AB82" s="15" t="s">
        <v>1036</v>
      </c>
      <c r="AC82" s="15" t="s">
        <v>1037</v>
      </c>
      <c r="AD82" s="15" t="s">
        <v>1470</v>
      </c>
      <c r="AE82" s="15"/>
      <c r="AF82" s="15"/>
      <c r="AG82" s="15" t="s">
        <v>1471</v>
      </c>
      <c r="AH82" s="15" t="s">
        <v>1127</v>
      </c>
      <c r="AI82" s="15" t="s">
        <v>1042</v>
      </c>
      <c r="AJ82" s="15" t="n">
        <v>0</v>
      </c>
      <c r="AK82" s="15" t="n">
        <v>3</v>
      </c>
      <c r="AL82" s="15" t="n">
        <v>12.8</v>
      </c>
      <c r="AM82" s="15" t="n">
        <v>8.2</v>
      </c>
      <c r="AN82" s="15" t="n">
        <v>0</v>
      </c>
      <c r="AO82" s="15" t="n">
        <v>0</v>
      </c>
      <c r="AP82" s="15" t="s">
        <v>1325</v>
      </c>
      <c r="AQ82" s="15" t="s">
        <v>1348</v>
      </c>
      <c r="AR82" s="15" t="s">
        <v>169</v>
      </c>
      <c r="AS82" s="15"/>
      <c r="AT82" s="29" t="str">
        <f aca="false">IF(A82="","",IF(COUNTIF(Parcels!$A$2:$A$3000,B82)=0,"Parcel not found",IF(COUNTIF($A$2:$A$3000,A82)&gt;1,"Duplicate perm_id",IF(AND(R82="Yes",D82&lt;&gt;"",COUNTIFS($C$2:$C$3000,D82,$R$2:$R$3000,"Yes")&gt;1),"Reference counted twice",IF(COUNTIF(Lists!$A$2:$A$7,I82)=0,"Unknown status","")))))</f>
        <v/>
      </c>
    </row>
    <row r="83" customFormat="false" ht="15" hidden="false" customHeight="false" outlineLevel="0" collapsed="false">
      <c r="A83" s="15" t="s">
        <v>1472</v>
      </c>
      <c r="B83" s="15" t="s">
        <v>676</v>
      </c>
      <c r="C83" s="15" t="s">
        <v>60</v>
      </c>
      <c r="D83" s="15" t="s">
        <v>1473</v>
      </c>
      <c r="E83" s="15" t="s">
        <v>1473</v>
      </c>
      <c r="F83" s="15" t="s">
        <v>677</v>
      </c>
      <c r="G83" s="15" t="n">
        <v>7</v>
      </c>
      <c r="H83" s="15"/>
      <c r="I83" s="15" t="s">
        <v>1007</v>
      </c>
      <c r="J83" s="15" t="s">
        <v>1008</v>
      </c>
      <c r="K83" s="15" t="s">
        <v>1007</v>
      </c>
      <c r="L83" s="15" t="n">
        <v>0</v>
      </c>
      <c r="M83" s="15" t="n">
        <v>0</v>
      </c>
      <c r="N83" s="15" t="n">
        <v>0</v>
      </c>
      <c r="O83" s="15" t="n">
        <v>0</v>
      </c>
      <c r="P83" s="15"/>
      <c r="Q83" s="15" t="s">
        <v>1009</v>
      </c>
      <c r="R83" s="15" t="s">
        <v>1010</v>
      </c>
      <c r="S83" s="15" t="s">
        <v>1050</v>
      </c>
      <c r="T83" s="15" t="n">
        <v>0</v>
      </c>
      <c r="U83" s="15" t="n">
        <v>0</v>
      </c>
      <c r="V83" s="15" t="n">
        <v>7</v>
      </c>
      <c r="W83" s="15" t="n">
        <v>0</v>
      </c>
      <c r="X83" s="15" t="n">
        <v>0</v>
      </c>
      <c r="Y83" s="15" t="n">
        <v>0</v>
      </c>
      <c r="Z83" s="15" t="s">
        <v>1012</v>
      </c>
      <c r="AA83" s="15" t="s">
        <v>1035</v>
      </c>
      <c r="AB83" s="15" t="s">
        <v>1036</v>
      </c>
      <c r="AC83" s="15" t="s">
        <v>1037</v>
      </c>
      <c r="AD83" s="15" t="s">
        <v>1474</v>
      </c>
      <c r="AE83" s="15"/>
      <c r="AF83" s="15"/>
      <c r="AG83" s="15" t="s">
        <v>1017</v>
      </c>
      <c r="AH83" s="15" t="s">
        <v>1194</v>
      </c>
      <c r="AI83" s="15" t="s">
        <v>1019</v>
      </c>
      <c r="AJ83" s="15" t="n">
        <v>0</v>
      </c>
      <c r="AK83" s="15" t="n">
        <v>0</v>
      </c>
      <c r="AL83" s="15" t="n">
        <v>4.4</v>
      </c>
      <c r="AM83" s="15" t="n">
        <v>2.6</v>
      </c>
      <c r="AN83" s="15" t="n">
        <v>0</v>
      </c>
      <c r="AO83" s="15" t="n">
        <v>0</v>
      </c>
      <c r="AP83" s="15" t="s">
        <v>1325</v>
      </c>
      <c r="AQ83" s="15" t="s">
        <v>1021</v>
      </c>
      <c r="AR83" s="15" t="s">
        <v>169</v>
      </c>
      <c r="AS83" s="15"/>
      <c r="AT83" s="29" t="str">
        <f aca="false">IF(A83="","",IF(COUNTIF(Parcels!$A$2:$A$3000,B83)=0,"Parcel not found",IF(COUNTIF($A$2:$A$3000,A83)&gt;1,"Duplicate perm_id",IF(AND(R83="Yes",D83&lt;&gt;"",COUNTIFS($C$2:$C$3000,D83,$R$2:$R$3000,"Yes")&gt;1),"Reference counted twice",IF(COUNTIF(Lists!$A$2:$A$7,I83)=0,"Unknown status","")))))</f>
        <v/>
      </c>
    </row>
    <row r="84" customFormat="false" ht="15" hidden="false" customHeight="false" outlineLevel="0" collapsed="false">
      <c r="A84" s="15" t="s">
        <v>1475</v>
      </c>
      <c r="B84" s="15" t="s">
        <v>457</v>
      </c>
      <c r="C84" s="15" t="s">
        <v>50</v>
      </c>
      <c r="D84" s="15" t="s">
        <v>1476</v>
      </c>
      <c r="E84" s="15" t="s">
        <v>1476</v>
      </c>
      <c r="F84" s="15" t="s">
        <v>458</v>
      </c>
      <c r="G84" s="15" t="n">
        <v>17</v>
      </c>
      <c r="H84" s="15"/>
      <c r="I84" s="15" t="s">
        <v>47</v>
      </c>
      <c r="J84" s="15" t="s">
        <v>1008</v>
      </c>
      <c r="K84" s="15" t="s">
        <v>47</v>
      </c>
      <c r="L84" s="15" t="n">
        <v>17</v>
      </c>
      <c r="M84" s="15" t="n">
        <v>17</v>
      </c>
      <c r="N84" s="15" t="n">
        <v>0</v>
      </c>
      <c r="O84" s="15" t="n">
        <v>0</v>
      </c>
      <c r="P84" s="15"/>
      <c r="Q84" s="15" t="s">
        <v>1009</v>
      </c>
      <c r="R84" s="15" t="s">
        <v>1010</v>
      </c>
      <c r="S84" s="15" t="s">
        <v>1050</v>
      </c>
      <c r="T84" s="15" t="n">
        <v>0</v>
      </c>
      <c r="U84" s="15" t="n">
        <v>2</v>
      </c>
      <c r="V84" s="15" t="n">
        <v>4</v>
      </c>
      <c r="W84" s="15" t="n">
        <v>11</v>
      </c>
      <c r="X84" s="15" t="n">
        <v>0</v>
      </c>
      <c r="Y84" s="15" t="n">
        <v>0</v>
      </c>
      <c r="Z84" s="15" t="s">
        <v>1012</v>
      </c>
      <c r="AA84" s="15" t="s">
        <v>1035</v>
      </c>
      <c r="AB84" s="15" t="s">
        <v>1036</v>
      </c>
      <c r="AC84" s="15" t="s">
        <v>1037</v>
      </c>
      <c r="AD84" s="15" t="s">
        <v>1388</v>
      </c>
      <c r="AE84" s="15"/>
      <c r="AF84" s="15" t="s">
        <v>1477</v>
      </c>
      <c r="AG84" s="15"/>
      <c r="AH84" s="15"/>
      <c r="AI84" s="15" t="s">
        <v>1053</v>
      </c>
      <c r="AJ84" s="15" t="n">
        <v>0</v>
      </c>
      <c r="AK84" s="15" t="n">
        <v>0</v>
      </c>
      <c r="AL84" s="15" t="n">
        <v>0</v>
      </c>
      <c r="AM84" s="15" t="n">
        <v>0</v>
      </c>
      <c r="AN84" s="15" t="n">
        <v>0</v>
      </c>
      <c r="AO84" s="15" t="n">
        <v>0</v>
      </c>
      <c r="AP84" s="15" t="s">
        <v>1325</v>
      </c>
      <c r="AQ84" s="15" t="s">
        <v>1021</v>
      </c>
      <c r="AR84" s="15" t="s">
        <v>169</v>
      </c>
      <c r="AS84" s="15"/>
      <c r="AT84" s="29" t="str">
        <f aca="false">IF(A84="","",IF(COUNTIF(Parcels!$A$2:$A$3000,B84)=0,"Parcel not found",IF(COUNTIF($A$2:$A$3000,A84)&gt;1,"Duplicate perm_id",IF(AND(R84="Yes",D84&lt;&gt;"",COUNTIFS($C$2:$C$3000,D84,$R$2:$R$3000,"Yes")&gt;1),"Reference counted twice",IF(COUNTIF(Lists!$A$2:$A$7,I84)=0,"Unknown status","")))))</f>
        <v/>
      </c>
    </row>
    <row r="85" customFormat="false" ht="15" hidden="false" customHeight="false" outlineLevel="0" collapsed="false">
      <c r="A85" s="15" t="s">
        <v>1478</v>
      </c>
      <c r="B85" s="15" t="s">
        <v>460</v>
      </c>
      <c r="C85" s="15" t="s">
        <v>50</v>
      </c>
      <c r="D85" s="15" t="s">
        <v>1479</v>
      </c>
      <c r="E85" s="15" t="s">
        <v>1479</v>
      </c>
      <c r="F85" s="15" t="s">
        <v>461</v>
      </c>
      <c r="G85" s="15" t="n">
        <v>6</v>
      </c>
      <c r="H85" s="15"/>
      <c r="I85" s="15" t="s">
        <v>48</v>
      </c>
      <c r="J85" s="15" t="s">
        <v>1008</v>
      </c>
      <c r="K85" s="15" t="s">
        <v>48</v>
      </c>
      <c r="L85" s="15" t="n">
        <v>0</v>
      </c>
      <c r="M85" s="15" t="n">
        <v>0</v>
      </c>
      <c r="N85" s="15" t="n">
        <v>0</v>
      </c>
      <c r="O85" s="15" t="n">
        <v>0</v>
      </c>
      <c r="P85" s="15"/>
      <c r="Q85" s="15" t="s">
        <v>1009</v>
      </c>
      <c r="R85" s="15" t="s">
        <v>1010</v>
      </c>
      <c r="S85" s="15" t="s">
        <v>1050</v>
      </c>
      <c r="T85" s="15" t="n">
        <v>0</v>
      </c>
      <c r="U85" s="15" t="n">
        <v>6</v>
      </c>
      <c r="V85" s="15" t="n">
        <v>0</v>
      </c>
      <c r="W85" s="15" t="n">
        <v>0</v>
      </c>
      <c r="X85" s="15" t="n">
        <v>0</v>
      </c>
      <c r="Y85" s="15" t="n">
        <v>0</v>
      </c>
      <c r="Z85" s="15" t="s">
        <v>1012</v>
      </c>
      <c r="AA85" s="15" t="s">
        <v>1013</v>
      </c>
      <c r="AB85" s="15" t="s">
        <v>176</v>
      </c>
      <c r="AC85" s="15" t="s">
        <v>1027</v>
      </c>
      <c r="AD85" s="15" t="s">
        <v>1480</v>
      </c>
      <c r="AE85" s="15" t="s">
        <v>1481</v>
      </c>
      <c r="AF85" s="15" t="s">
        <v>1482</v>
      </c>
      <c r="AG85" s="15" t="s">
        <v>1421</v>
      </c>
      <c r="AH85" s="15" t="s">
        <v>1041</v>
      </c>
      <c r="AI85" s="15" t="s">
        <v>1042</v>
      </c>
      <c r="AJ85" s="15" t="n">
        <v>1.4</v>
      </c>
      <c r="AK85" s="15" t="n">
        <v>4.6</v>
      </c>
      <c r="AL85" s="15" t="n">
        <v>0</v>
      </c>
      <c r="AM85" s="15" t="n">
        <v>0</v>
      </c>
      <c r="AN85" s="15" t="n">
        <v>0</v>
      </c>
      <c r="AO85" s="15" t="n">
        <v>0</v>
      </c>
      <c r="AP85" s="15" t="s">
        <v>1325</v>
      </c>
      <c r="AQ85" s="15" t="s">
        <v>1021</v>
      </c>
      <c r="AR85" s="15" t="s">
        <v>169</v>
      </c>
      <c r="AS85" s="15"/>
      <c r="AT85" s="29" t="str">
        <f aca="false">IF(A85="","",IF(COUNTIF(Parcels!$A$2:$A$3000,B85)=0,"Parcel not found",IF(COUNTIF($A$2:$A$3000,A85)&gt;1,"Duplicate perm_id",IF(AND(R85="Yes",D85&lt;&gt;"",COUNTIFS($C$2:$C$3000,D85,$R$2:$R$3000,"Yes")&gt;1),"Reference counted twice",IF(COUNTIF(Lists!$A$2:$A$7,I85)=0,"Unknown status","")))))</f>
        <v/>
      </c>
    </row>
    <row r="86" customFormat="false" ht="15" hidden="false" customHeight="false" outlineLevel="0" collapsed="false">
      <c r="A86" s="15" t="s">
        <v>1483</v>
      </c>
      <c r="B86" s="15" t="s">
        <v>678</v>
      </c>
      <c r="C86" s="15" t="s">
        <v>64</v>
      </c>
      <c r="D86" s="15" t="s">
        <v>1484</v>
      </c>
      <c r="E86" s="15" t="s">
        <v>1484</v>
      </c>
      <c r="F86" s="15" t="s">
        <v>679</v>
      </c>
      <c r="G86" s="15" t="n">
        <v>6</v>
      </c>
      <c r="H86" s="15"/>
      <c r="I86" s="15" t="s">
        <v>47</v>
      </c>
      <c r="J86" s="15" t="s">
        <v>1008</v>
      </c>
      <c r="K86" s="15" t="s">
        <v>47</v>
      </c>
      <c r="L86" s="15" t="n">
        <v>6</v>
      </c>
      <c r="M86" s="15" t="n">
        <v>6</v>
      </c>
      <c r="N86" s="15" t="n">
        <v>0</v>
      </c>
      <c r="O86" s="15" t="n">
        <v>5</v>
      </c>
      <c r="P86" s="15"/>
      <c r="Q86" s="15" t="s">
        <v>1009</v>
      </c>
      <c r="R86" s="15" t="s">
        <v>1010</v>
      </c>
      <c r="S86" s="15" t="s">
        <v>1026</v>
      </c>
      <c r="T86" s="15"/>
      <c r="U86" s="15"/>
      <c r="V86" s="15"/>
      <c r="W86" s="15"/>
      <c r="X86" s="15"/>
      <c r="Y86" s="15"/>
      <c r="Z86" s="15" t="s">
        <v>1012</v>
      </c>
      <c r="AA86" s="15" t="s">
        <v>1013</v>
      </c>
      <c r="AB86" s="15" t="s">
        <v>176</v>
      </c>
      <c r="AC86" s="15" t="s">
        <v>1027</v>
      </c>
      <c r="AD86" s="15" t="s">
        <v>1485</v>
      </c>
      <c r="AE86" s="15" t="s">
        <v>1486</v>
      </c>
      <c r="AF86" s="15" t="s">
        <v>1487</v>
      </c>
      <c r="AG86" s="15"/>
      <c r="AH86" s="15"/>
      <c r="AI86" s="15" t="s">
        <v>1053</v>
      </c>
      <c r="AJ86" s="15" t="n">
        <v>0</v>
      </c>
      <c r="AK86" s="15" t="n">
        <v>0</v>
      </c>
      <c r="AL86" s="15" t="n">
        <v>0</v>
      </c>
      <c r="AM86" s="15" t="n">
        <v>0</v>
      </c>
      <c r="AN86" s="15" t="n">
        <v>0</v>
      </c>
      <c r="AO86" s="15" t="n">
        <v>0</v>
      </c>
      <c r="AP86" s="15" t="s">
        <v>1325</v>
      </c>
      <c r="AQ86" s="15" t="s">
        <v>1021</v>
      </c>
      <c r="AR86" s="15" t="s">
        <v>169</v>
      </c>
      <c r="AS86" s="15"/>
      <c r="AT86" s="29" t="str">
        <f aca="false">IF(A86="","",IF(COUNTIF(Parcels!$A$2:$A$3000,B86)=0,"Parcel not found",IF(COUNTIF($A$2:$A$3000,A86)&gt;1,"Duplicate perm_id",IF(AND(R86="Yes",D86&lt;&gt;"",COUNTIFS($C$2:$C$3000,D86,$R$2:$R$3000,"Yes")&gt;1),"Reference counted twice",IF(COUNTIF(Lists!$A$2:$A$7,I86)=0,"Unknown status","")))))</f>
        <v/>
      </c>
    </row>
    <row r="87" customFormat="false" ht="15" hidden="false" customHeight="false" outlineLevel="0" collapsed="false">
      <c r="A87" s="15" t="s">
        <v>1488</v>
      </c>
      <c r="B87" s="15" t="s">
        <v>503</v>
      </c>
      <c r="C87" s="15" t="s">
        <v>52</v>
      </c>
      <c r="D87" s="15" t="s">
        <v>1489</v>
      </c>
      <c r="E87" s="15" t="s">
        <v>1489</v>
      </c>
      <c r="F87" s="15" t="s">
        <v>504</v>
      </c>
      <c r="G87" s="15" t="n">
        <v>8</v>
      </c>
      <c r="H87" s="15"/>
      <c r="I87" s="15" t="s">
        <v>48</v>
      </c>
      <c r="J87" s="15" t="s">
        <v>1008</v>
      </c>
      <c r="K87" s="15" t="s">
        <v>48</v>
      </c>
      <c r="L87" s="15" t="n">
        <v>0</v>
      </c>
      <c r="M87" s="15" t="n">
        <v>0</v>
      </c>
      <c r="N87" s="15" t="n">
        <v>0</v>
      </c>
      <c r="O87" s="15" t="n">
        <v>0</v>
      </c>
      <c r="P87" s="15"/>
      <c r="Q87" s="15" t="s">
        <v>1009</v>
      </c>
      <c r="R87" s="15" t="s">
        <v>1010</v>
      </c>
      <c r="S87" s="15" t="s">
        <v>1026</v>
      </c>
      <c r="T87" s="15"/>
      <c r="U87" s="15"/>
      <c r="V87" s="15"/>
      <c r="W87" s="15"/>
      <c r="X87" s="15"/>
      <c r="Y87" s="15"/>
      <c r="Z87" s="15" t="s">
        <v>1012</v>
      </c>
      <c r="AA87" s="15" t="s">
        <v>1013</v>
      </c>
      <c r="AB87" s="15" t="s">
        <v>176</v>
      </c>
      <c r="AC87" s="15" t="s">
        <v>1027</v>
      </c>
      <c r="AD87" s="15" t="s">
        <v>1490</v>
      </c>
      <c r="AE87" s="15" t="s">
        <v>1491</v>
      </c>
      <c r="AF87" s="15" t="s">
        <v>1492</v>
      </c>
      <c r="AG87" s="15" t="s">
        <v>1087</v>
      </c>
      <c r="AH87" s="15" t="s">
        <v>1041</v>
      </c>
      <c r="AI87" s="15" t="s">
        <v>1042</v>
      </c>
      <c r="AJ87" s="15" t="n">
        <v>1.9</v>
      </c>
      <c r="AK87" s="15" t="n">
        <v>6.1</v>
      </c>
      <c r="AL87" s="15" t="n">
        <v>0</v>
      </c>
      <c r="AM87" s="15" t="n">
        <v>0</v>
      </c>
      <c r="AN87" s="15" t="n">
        <v>0</v>
      </c>
      <c r="AO87" s="15" t="n">
        <v>0</v>
      </c>
      <c r="AP87" s="15" t="s">
        <v>1325</v>
      </c>
      <c r="AQ87" s="15" t="s">
        <v>1021</v>
      </c>
      <c r="AR87" s="15" t="s">
        <v>169</v>
      </c>
      <c r="AS87" s="15"/>
      <c r="AT87" s="29" t="str">
        <f aca="false">IF(A87="","",IF(COUNTIF(Parcels!$A$2:$A$3000,B87)=0,"Parcel not found",IF(COUNTIF($A$2:$A$3000,A87)&gt;1,"Duplicate perm_id",IF(AND(R87="Yes",D87&lt;&gt;"",COUNTIFS($C$2:$C$3000,D87,$R$2:$R$3000,"Yes")&gt;1),"Reference counted twice",IF(COUNTIF(Lists!$A$2:$A$7,I87)=0,"Unknown status","")))))</f>
        <v/>
      </c>
    </row>
    <row r="88" customFormat="false" ht="15" hidden="false" customHeight="false" outlineLevel="0" collapsed="false">
      <c r="A88" s="15" t="s">
        <v>1493</v>
      </c>
      <c r="B88" s="15" t="s">
        <v>533</v>
      </c>
      <c r="C88" s="15" t="s">
        <v>53</v>
      </c>
      <c r="D88" s="15" t="s">
        <v>1494</v>
      </c>
      <c r="E88" s="15" t="s">
        <v>1494</v>
      </c>
      <c r="F88" s="15" t="s">
        <v>534</v>
      </c>
      <c r="G88" s="15" t="n">
        <v>35</v>
      </c>
      <c r="H88" s="15"/>
      <c r="I88" s="15" t="s">
        <v>47</v>
      </c>
      <c r="J88" s="15" t="s">
        <v>1008</v>
      </c>
      <c r="K88" s="15" t="s">
        <v>47</v>
      </c>
      <c r="L88" s="15" t="n">
        <v>35</v>
      </c>
      <c r="M88" s="15" t="n">
        <v>0</v>
      </c>
      <c r="N88" s="15" t="n">
        <v>0</v>
      </c>
      <c r="O88" s="15" t="n">
        <v>0</v>
      </c>
      <c r="P88" s="15" t="s">
        <v>1334</v>
      </c>
      <c r="Q88" s="15" t="s">
        <v>1009</v>
      </c>
      <c r="R88" s="15" t="s">
        <v>1010</v>
      </c>
      <c r="S88" s="15" t="s">
        <v>1026</v>
      </c>
      <c r="T88" s="15"/>
      <c r="U88" s="15"/>
      <c r="V88" s="15"/>
      <c r="W88" s="15"/>
      <c r="X88" s="15"/>
      <c r="Y88" s="15"/>
      <c r="Z88" s="15" t="s">
        <v>1012</v>
      </c>
      <c r="AA88" s="15" t="s">
        <v>1013</v>
      </c>
      <c r="AB88" s="15" t="s">
        <v>176</v>
      </c>
      <c r="AC88" s="15" t="s">
        <v>1027</v>
      </c>
      <c r="AD88" s="15" t="s">
        <v>1495</v>
      </c>
      <c r="AE88" s="15" t="s">
        <v>1496</v>
      </c>
      <c r="AF88" s="15" t="s">
        <v>1497</v>
      </c>
      <c r="AG88" s="15"/>
      <c r="AH88" s="15"/>
      <c r="AI88" s="15" t="s">
        <v>1053</v>
      </c>
      <c r="AJ88" s="15" t="n">
        <v>0</v>
      </c>
      <c r="AK88" s="15" t="n">
        <v>0</v>
      </c>
      <c r="AL88" s="15" t="n">
        <v>0</v>
      </c>
      <c r="AM88" s="15" t="n">
        <v>0</v>
      </c>
      <c r="AN88" s="15" t="n">
        <v>0</v>
      </c>
      <c r="AO88" s="15" t="n">
        <v>0</v>
      </c>
      <c r="AP88" s="15" t="s">
        <v>1325</v>
      </c>
      <c r="AQ88" s="15" t="s">
        <v>1021</v>
      </c>
      <c r="AR88" s="15" t="s">
        <v>169</v>
      </c>
      <c r="AS88" s="15"/>
      <c r="AT88" s="29" t="str">
        <f aca="false">IF(A88="","",IF(COUNTIF(Parcels!$A$2:$A$3000,B88)=0,"Parcel not found",IF(COUNTIF($A$2:$A$3000,A88)&gt;1,"Duplicate perm_id",IF(AND(R88="Yes",D88&lt;&gt;"",COUNTIFS($C$2:$C$3000,D88,$R$2:$R$3000,"Yes")&gt;1),"Reference counted twice",IF(COUNTIF(Lists!$A$2:$A$7,I88)=0,"Unknown status","")))))</f>
        <v/>
      </c>
    </row>
    <row r="89" customFormat="false" ht="15" hidden="false" customHeight="false" outlineLevel="0" collapsed="false">
      <c r="A89" s="15" t="s">
        <v>1498</v>
      </c>
      <c r="B89" s="15" t="s">
        <v>680</v>
      </c>
      <c r="C89" s="15" t="s">
        <v>68</v>
      </c>
      <c r="D89" s="15" t="s">
        <v>1499</v>
      </c>
      <c r="E89" s="15" t="s">
        <v>1499</v>
      </c>
      <c r="F89" s="15" t="s">
        <v>681</v>
      </c>
      <c r="G89" s="15" t="n">
        <v>2</v>
      </c>
      <c r="H89" s="15"/>
      <c r="I89" s="15" t="s">
        <v>47</v>
      </c>
      <c r="J89" s="15" t="s">
        <v>1008</v>
      </c>
      <c r="K89" s="15" t="s">
        <v>47</v>
      </c>
      <c r="L89" s="15" t="n">
        <v>2</v>
      </c>
      <c r="M89" s="15" t="n">
        <v>2</v>
      </c>
      <c r="N89" s="15" t="n">
        <v>0</v>
      </c>
      <c r="O89" s="15" t="n">
        <v>0</v>
      </c>
      <c r="P89" s="15"/>
      <c r="Q89" s="15" t="s">
        <v>1009</v>
      </c>
      <c r="R89" s="15" t="s">
        <v>1010</v>
      </c>
      <c r="S89" s="15" t="s">
        <v>1026</v>
      </c>
      <c r="T89" s="15"/>
      <c r="U89" s="15"/>
      <c r="V89" s="15"/>
      <c r="W89" s="15"/>
      <c r="X89" s="15"/>
      <c r="Y89" s="15"/>
      <c r="Z89" s="15" t="s">
        <v>1012</v>
      </c>
      <c r="AA89" s="15" t="s">
        <v>1013</v>
      </c>
      <c r="AB89" s="15" t="s">
        <v>176</v>
      </c>
      <c r="AC89" s="15" t="s">
        <v>1027</v>
      </c>
      <c r="AD89" s="15" t="s">
        <v>1449</v>
      </c>
      <c r="AE89" s="15" t="s">
        <v>1500</v>
      </c>
      <c r="AF89" s="15" t="s">
        <v>1501</v>
      </c>
      <c r="AG89" s="15"/>
      <c r="AH89" s="15"/>
      <c r="AI89" s="15" t="s">
        <v>1053</v>
      </c>
      <c r="AJ89" s="15" t="n">
        <v>0</v>
      </c>
      <c r="AK89" s="15" t="n">
        <v>0</v>
      </c>
      <c r="AL89" s="15" t="n">
        <v>0</v>
      </c>
      <c r="AM89" s="15" t="n">
        <v>0</v>
      </c>
      <c r="AN89" s="15" t="n">
        <v>0</v>
      </c>
      <c r="AO89" s="15" t="n">
        <v>0</v>
      </c>
      <c r="AP89" s="15" t="s">
        <v>1325</v>
      </c>
      <c r="AQ89" s="15" t="s">
        <v>1021</v>
      </c>
      <c r="AR89" s="15" t="s">
        <v>169</v>
      </c>
      <c r="AS89" s="15"/>
      <c r="AT89" s="29" t="str">
        <f aca="false">IF(A89="","",IF(COUNTIF(Parcels!$A$2:$A$3000,B89)=0,"Parcel not found",IF(COUNTIF($A$2:$A$3000,A89)&gt;1,"Duplicate perm_id",IF(AND(R89="Yes",D89&lt;&gt;"",COUNTIFS($C$2:$C$3000,D89,$R$2:$R$3000,"Yes")&gt;1),"Reference counted twice",IF(COUNTIF(Lists!$A$2:$A$7,I89)=0,"Unknown status","")))))</f>
        <v/>
      </c>
    </row>
    <row r="90" customFormat="false" ht="15" hidden="false" customHeight="false" outlineLevel="0" collapsed="false">
      <c r="A90" s="15" t="s">
        <v>1502</v>
      </c>
      <c r="B90" s="15" t="s">
        <v>682</v>
      </c>
      <c r="C90" s="15" t="s">
        <v>73</v>
      </c>
      <c r="D90" s="15" t="s">
        <v>1503</v>
      </c>
      <c r="E90" s="15" t="s">
        <v>1503</v>
      </c>
      <c r="F90" s="15" t="s">
        <v>683</v>
      </c>
      <c r="G90" s="15" t="n">
        <v>32</v>
      </c>
      <c r="H90" s="15"/>
      <c r="I90" s="15" t="s">
        <v>1118</v>
      </c>
      <c r="J90" s="15" t="s">
        <v>1008</v>
      </c>
      <c r="K90" s="15" t="s">
        <v>1118</v>
      </c>
      <c r="L90" s="15" t="n">
        <v>0</v>
      </c>
      <c r="M90" s="15" t="n">
        <v>0</v>
      </c>
      <c r="N90" s="15" t="n">
        <v>0</v>
      </c>
      <c r="O90" s="15" t="n">
        <v>0</v>
      </c>
      <c r="P90" s="15"/>
      <c r="Q90" s="15" t="s">
        <v>1009</v>
      </c>
      <c r="R90" s="15" t="s">
        <v>1010</v>
      </c>
      <c r="S90" s="15" t="s">
        <v>1050</v>
      </c>
      <c r="T90" s="15" t="n">
        <v>0</v>
      </c>
      <c r="U90" s="15" t="n">
        <v>0</v>
      </c>
      <c r="V90" s="15" t="n">
        <v>17</v>
      </c>
      <c r="W90" s="15" t="n">
        <v>10</v>
      </c>
      <c r="X90" s="15" t="n">
        <v>0</v>
      </c>
      <c r="Y90" s="15" t="n">
        <v>0</v>
      </c>
      <c r="Z90" s="15" t="s">
        <v>1012</v>
      </c>
      <c r="AA90" s="15" t="s">
        <v>1013</v>
      </c>
      <c r="AB90" s="15" t="s">
        <v>176</v>
      </c>
      <c r="AC90" s="15" t="s">
        <v>1027</v>
      </c>
      <c r="AD90" s="15" t="s">
        <v>1504</v>
      </c>
      <c r="AE90" s="15" t="s">
        <v>1505</v>
      </c>
      <c r="AF90" s="15"/>
      <c r="AG90" s="15"/>
      <c r="AH90" s="15"/>
      <c r="AI90" s="15" t="s">
        <v>1030</v>
      </c>
      <c r="AJ90" s="15" t="n">
        <v>0</v>
      </c>
      <c r="AK90" s="15" t="n">
        <v>0</v>
      </c>
      <c r="AL90" s="15" t="n">
        <v>0</v>
      </c>
      <c r="AM90" s="15" t="n">
        <v>0</v>
      </c>
      <c r="AN90" s="15" t="n">
        <v>0</v>
      </c>
      <c r="AO90" s="15" t="n">
        <v>0</v>
      </c>
      <c r="AP90" s="15" t="s">
        <v>1325</v>
      </c>
      <c r="AQ90" s="15" t="s">
        <v>1021</v>
      </c>
      <c r="AR90" s="15" t="s">
        <v>169</v>
      </c>
      <c r="AS90" s="15"/>
      <c r="AT90" s="29" t="str">
        <f aca="false">IF(A90="","",IF(COUNTIF(Parcels!$A$2:$A$3000,B90)=0,"Parcel not found",IF(COUNTIF($A$2:$A$3000,A90)&gt;1,"Duplicate perm_id",IF(AND(R90="Yes",D90&lt;&gt;"",COUNTIFS($C$2:$C$3000,D90,$R$2:$R$3000,"Yes")&gt;1),"Reference counted twice",IF(COUNTIF(Lists!$A$2:$A$7,I90)=0,"Unknown status","")))))</f>
        <v/>
      </c>
    </row>
    <row r="91" customFormat="false" ht="15" hidden="false" customHeight="false" outlineLevel="0" collapsed="false">
      <c r="A91" s="15" t="s">
        <v>1506</v>
      </c>
      <c r="B91" s="15" t="s">
        <v>684</v>
      </c>
      <c r="C91" s="15" t="s">
        <v>22</v>
      </c>
      <c r="D91" s="15" t="s">
        <v>1507</v>
      </c>
      <c r="E91" s="15" t="s">
        <v>1507</v>
      </c>
      <c r="F91" s="15" t="s">
        <v>685</v>
      </c>
      <c r="G91" s="15" t="n">
        <v>21</v>
      </c>
      <c r="H91" s="15"/>
      <c r="I91" s="15" t="s">
        <v>1025</v>
      </c>
      <c r="J91" s="15" t="s">
        <v>1008</v>
      </c>
      <c r="K91" s="15" t="s">
        <v>1025</v>
      </c>
      <c r="L91" s="15" t="n">
        <v>0</v>
      </c>
      <c r="M91" s="15" t="n">
        <v>0</v>
      </c>
      <c r="N91" s="15" t="n">
        <v>0</v>
      </c>
      <c r="O91" s="15" t="n">
        <v>0</v>
      </c>
      <c r="P91" s="15"/>
      <c r="Q91" s="15" t="s">
        <v>1009</v>
      </c>
      <c r="R91" s="15" t="s">
        <v>1010</v>
      </c>
      <c r="S91" s="15" t="s">
        <v>1026</v>
      </c>
      <c r="T91" s="15"/>
      <c r="U91" s="15"/>
      <c r="V91" s="15"/>
      <c r="W91" s="15"/>
      <c r="X91" s="15"/>
      <c r="Y91" s="15"/>
      <c r="Z91" s="15" t="s">
        <v>1012</v>
      </c>
      <c r="AA91" s="15" t="s">
        <v>1035</v>
      </c>
      <c r="AB91" s="15" t="s">
        <v>1065</v>
      </c>
      <c r="AC91" s="15" t="s">
        <v>1027</v>
      </c>
      <c r="AD91" s="15" t="s">
        <v>1508</v>
      </c>
      <c r="AE91" s="15" t="s">
        <v>1509</v>
      </c>
      <c r="AF91" s="15"/>
      <c r="AG91" s="15"/>
      <c r="AH91" s="15"/>
      <c r="AI91" s="15" t="s">
        <v>1030</v>
      </c>
      <c r="AJ91" s="15" t="n">
        <v>0</v>
      </c>
      <c r="AK91" s="15" t="n">
        <v>0</v>
      </c>
      <c r="AL91" s="15" t="n">
        <v>0</v>
      </c>
      <c r="AM91" s="15" t="n">
        <v>0</v>
      </c>
      <c r="AN91" s="15" t="n">
        <v>0</v>
      </c>
      <c r="AO91" s="15" t="n">
        <v>0</v>
      </c>
      <c r="AP91" s="15" t="s">
        <v>1325</v>
      </c>
      <c r="AQ91" s="15" t="s">
        <v>1021</v>
      </c>
      <c r="AR91" s="15" t="s">
        <v>169</v>
      </c>
      <c r="AS91" s="15"/>
      <c r="AT91" s="29" t="str">
        <f aca="false">IF(A91="","",IF(COUNTIF(Parcels!$A$2:$A$3000,B91)=0,"Parcel not found",IF(COUNTIF($A$2:$A$3000,A91)&gt;1,"Duplicate perm_id",IF(AND(R91="Yes",D91&lt;&gt;"",COUNTIFS($C$2:$C$3000,D91,$R$2:$R$3000,"Yes")&gt;1),"Reference counted twice",IF(COUNTIF(Lists!$A$2:$A$7,I91)=0,"Unknown status","")))))</f>
        <v/>
      </c>
    </row>
    <row r="92" customFormat="false" ht="15" hidden="false" customHeight="false" outlineLevel="0" collapsed="false">
      <c r="A92" s="15" t="s">
        <v>1510</v>
      </c>
      <c r="B92" s="15" t="s">
        <v>686</v>
      </c>
      <c r="C92" s="15" t="s">
        <v>63</v>
      </c>
      <c r="D92" s="15" t="s">
        <v>1511</v>
      </c>
      <c r="E92" s="15" t="s">
        <v>1511</v>
      </c>
      <c r="F92" s="15" t="s">
        <v>687</v>
      </c>
      <c r="G92" s="15" t="n">
        <v>5</v>
      </c>
      <c r="H92" s="15"/>
      <c r="I92" s="15" t="s">
        <v>47</v>
      </c>
      <c r="J92" s="15" t="s">
        <v>1008</v>
      </c>
      <c r="K92" s="15" t="s">
        <v>47</v>
      </c>
      <c r="L92" s="15" t="n">
        <v>5</v>
      </c>
      <c r="M92" s="15" t="n">
        <v>0</v>
      </c>
      <c r="N92" s="15" t="n">
        <v>5</v>
      </c>
      <c r="O92" s="15" t="n">
        <v>0</v>
      </c>
      <c r="P92" s="15" t="s">
        <v>1135</v>
      </c>
      <c r="Q92" s="15" t="s">
        <v>1009</v>
      </c>
      <c r="R92" s="15" t="s">
        <v>1010</v>
      </c>
      <c r="S92" s="15" t="s">
        <v>1050</v>
      </c>
      <c r="T92" s="15" t="n">
        <v>0</v>
      </c>
      <c r="U92" s="15" t="n">
        <v>0</v>
      </c>
      <c r="V92" s="15" t="n">
        <v>0</v>
      </c>
      <c r="W92" s="15" t="n">
        <v>5</v>
      </c>
      <c r="X92" s="15" t="n">
        <v>0</v>
      </c>
      <c r="Y92" s="15" t="n">
        <v>0</v>
      </c>
      <c r="Z92" s="15" t="s">
        <v>1012</v>
      </c>
      <c r="AA92" s="15" t="s">
        <v>1013</v>
      </c>
      <c r="AB92" s="15" t="s">
        <v>176</v>
      </c>
      <c r="AC92" s="15" t="s">
        <v>1027</v>
      </c>
      <c r="AD92" s="15" t="s">
        <v>1512</v>
      </c>
      <c r="AE92" s="15" t="s">
        <v>1513</v>
      </c>
      <c r="AF92" s="15" t="s">
        <v>1514</v>
      </c>
      <c r="AG92" s="15"/>
      <c r="AH92" s="15"/>
      <c r="AI92" s="15" t="s">
        <v>1053</v>
      </c>
      <c r="AJ92" s="15" t="n">
        <v>0</v>
      </c>
      <c r="AK92" s="15" t="n">
        <v>0</v>
      </c>
      <c r="AL92" s="15" t="n">
        <v>0</v>
      </c>
      <c r="AM92" s="15" t="n">
        <v>0</v>
      </c>
      <c r="AN92" s="15" t="n">
        <v>0</v>
      </c>
      <c r="AO92" s="15" t="n">
        <v>0</v>
      </c>
      <c r="AP92" s="15" t="s">
        <v>1325</v>
      </c>
      <c r="AQ92" s="15" t="s">
        <v>1021</v>
      </c>
      <c r="AR92" s="15" t="s">
        <v>169</v>
      </c>
      <c r="AS92" s="15"/>
      <c r="AT92" s="29" t="str">
        <f aca="false">IF(A92="","",IF(COUNTIF(Parcels!$A$2:$A$3000,B92)=0,"Parcel not found",IF(COUNTIF($A$2:$A$3000,A92)&gt;1,"Duplicate perm_id",IF(AND(R92="Yes",D92&lt;&gt;"",COUNTIFS($C$2:$C$3000,D92,$R$2:$R$3000,"Yes")&gt;1),"Reference counted twice",IF(COUNTIF(Lists!$A$2:$A$7,I92)=0,"Unknown status","")))))</f>
        <v/>
      </c>
    </row>
    <row r="93" customFormat="false" ht="15" hidden="false" customHeight="false" outlineLevel="0" collapsed="false">
      <c r="A93" s="15" t="s">
        <v>1515</v>
      </c>
      <c r="B93" s="15" t="s">
        <v>470</v>
      </c>
      <c r="C93" s="15" t="s">
        <v>51</v>
      </c>
      <c r="D93" s="15" t="s">
        <v>1516</v>
      </c>
      <c r="E93" s="15" t="s">
        <v>1516</v>
      </c>
      <c r="F93" s="15" t="s">
        <v>471</v>
      </c>
      <c r="G93" s="15" t="n">
        <v>12</v>
      </c>
      <c r="H93" s="15"/>
      <c r="I93" s="15" t="s">
        <v>1025</v>
      </c>
      <c r="J93" s="15" t="s">
        <v>1008</v>
      </c>
      <c r="K93" s="15" t="s">
        <v>1025</v>
      </c>
      <c r="L93" s="15" t="n">
        <v>0</v>
      </c>
      <c r="M93" s="15" t="n">
        <v>0</v>
      </c>
      <c r="N93" s="15" t="n">
        <v>0</v>
      </c>
      <c r="O93" s="15" t="n">
        <v>0</v>
      </c>
      <c r="P93" s="15"/>
      <c r="Q93" s="15" t="s">
        <v>1009</v>
      </c>
      <c r="R93" s="15" t="s">
        <v>1010</v>
      </c>
      <c r="S93" s="15" t="s">
        <v>1050</v>
      </c>
      <c r="T93" s="15" t="n">
        <v>0</v>
      </c>
      <c r="U93" s="15" t="n">
        <v>5</v>
      </c>
      <c r="V93" s="15" t="n">
        <v>2</v>
      </c>
      <c r="W93" s="15" t="n">
        <v>0</v>
      </c>
      <c r="X93" s="15" t="n">
        <v>0</v>
      </c>
      <c r="Y93" s="15" t="n">
        <v>0</v>
      </c>
      <c r="Z93" s="15" t="s">
        <v>1012</v>
      </c>
      <c r="AA93" s="15" t="s">
        <v>1035</v>
      </c>
      <c r="AB93" s="15" t="s">
        <v>1065</v>
      </c>
      <c r="AC93" s="15" t="s">
        <v>1027</v>
      </c>
      <c r="AD93" s="15" t="s">
        <v>1517</v>
      </c>
      <c r="AE93" s="15" t="s">
        <v>1518</v>
      </c>
      <c r="AF93" s="15"/>
      <c r="AG93" s="15"/>
      <c r="AH93" s="15"/>
      <c r="AI93" s="15" t="s">
        <v>1030</v>
      </c>
      <c r="AJ93" s="15" t="n">
        <v>0</v>
      </c>
      <c r="AK93" s="15" t="n">
        <v>0</v>
      </c>
      <c r="AL93" s="15" t="n">
        <v>0</v>
      </c>
      <c r="AM93" s="15" t="n">
        <v>0</v>
      </c>
      <c r="AN93" s="15" t="n">
        <v>0</v>
      </c>
      <c r="AO93" s="15" t="n">
        <v>0</v>
      </c>
      <c r="AP93" s="15" t="s">
        <v>1325</v>
      </c>
      <c r="AQ93" s="15" t="s">
        <v>1021</v>
      </c>
      <c r="AR93" s="15" t="s">
        <v>169</v>
      </c>
      <c r="AS93" s="15"/>
      <c r="AT93" s="29" t="str">
        <f aca="false">IF(A93="","",IF(COUNTIF(Parcels!$A$2:$A$3000,B93)=0,"Parcel not found",IF(COUNTIF($A$2:$A$3000,A93)&gt;1,"Duplicate perm_id",IF(AND(R93="Yes",D93&lt;&gt;"",COUNTIFS($C$2:$C$3000,D93,$R$2:$R$3000,"Yes")&gt;1),"Reference counted twice",IF(COUNTIF(Lists!$A$2:$A$7,I93)=0,"Unknown status","")))))</f>
        <v/>
      </c>
    </row>
    <row r="94" customFormat="false" ht="15" hidden="false" customHeight="false" outlineLevel="0" collapsed="false">
      <c r="A94" s="15" t="s">
        <v>1519</v>
      </c>
      <c r="B94" s="15" t="s">
        <v>688</v>
      </c>
      <c r="C94" s="15" t="s">
        <v>62</v>
      </c>
      <c r="D94" s="15" t="s">
        <v>1520</v>
      </c>
      <c r="E94" s="15" t="s">
        <v>1520</v>
      </c>
      <c r="F94" s="15" t="s">
        <v>689</v>
      </c>
      <c r="G94" s="15" t="n">
        <v>51</v>
      </c>
      <c r="H94" s="15"/>
      <c r="I94" s="15" t="s">
        <v>47</v>
      </c>
      <c r="J94" s="15" t="s">
        <v>1341</v>
      </c>
      <c r="K94" s="15" t="s">
        <v>48</v>
      </c>
      <c r="L94" s="15" t="n">
        <v>51</v>
      </c>
      <c r="M94" s="15" t="n">
        <v>51</v>
      </c>
      <c r="N94" s="15" t="n">
        <v>0</v>
      </c>
      <c r="O94" s="15" t="n">
        <v>0</v>
      </c>
      <c r="P94" s="15" t="s">
        <v>1342</v>
      </c>
      <c r="Q94" s="15" t="s">
        <v>1009</v>
      </c>
      <c r="R94" s="15" t="s">
        <v>1010</v>
      </c>
      <c r="S94" s="15" t="s">
        <v>1050</v>
      </c>
      <c r="T94" s="15" t="n">
        <v>0</v>
      </c>
      <c r="U94" s="15" t="n">
        <v>0</v>
      </c>
      <c r="V94" s="15" t="n">
        <v>0</v>
      </c>
      <c r="W94" s="15" t="n">
        <v>20</v>
      </c>
      <c r="X94" s="15" t="n">
        <v>32</v>
      </c>
      <c r="Y94" s="15" t="n">
        <v>0</v>
      </c>
      <c r="Z94" s="15" t="s">
        <v>1012</v>
      </c>
      <c r="AA94" s="15" t="s">
        <v>1013</v>
      </c>
      <c r="AB94" s="15" t="s">
        <v>176</v>
      </c>
      <c r="AC94" s="15" t="s">
        <v>1027</v>
      </c>
      <c r="AD94" s="15" t="s">
        <v>1521</v>
      </c>
      <c r="AE94" s="15" t="s">
        <v>1522</v>
      </c>
      <c r="AF94" s="15" t="s">
        <v>1523</v>
      </c>
      <c r="AG94" s="15" t="s">
        <v>1524</v>
      </c>
      <c r="AH94" s="15" t="s">
        <v>1041</v>
      </c>
      <c r="AI94" s="15" t="s">
        <v>1042</v>
      </c>
      <c r="AJ94" s="15" t="n">
        <v>0</v>
      </c>
      <c r="AK94" s="15" t="n">
        <v>0</v>
      </c>
      <c r="AL94" s="15" t="n">
        <v>0</v>
      </c>
      <c r="AM94" s="15" t="n">
        <v>0</v>
      </c>
      <c r="AN94" s="15" t="n">
        <v>0</v>
      </c>
      <c r="AO94" s="15" t="n">
        <v>0</v>
      </c>
      <c r="AP94" s="15" t="s">
        <v>1325</v>
      </c>
      <c r="AQ94" s="15" t="s">
        <v>1021</v>
      </c>
      <c r="AR94" s="15" t="s">
        <v>169</v>
      </c>
      <c r="AS94" s="15"/>
      <c r="AT94" s="29" t="str">
        <f aca="false">IF(A94="","",IF(COUNTIF(Parcels!$A$2:$A$3000,B94)=0,"Parcel not found",IF(COUNTIF($A$2:$A$3000,A94)&gt;1,"Duplicate perm_id",IF(AND(R94="Yes",D94&lt;&gt;"",COUNTIFS($C$2:$C$3000,D94,$R$2:$R$3000,"Yes")&gt;1),"Reference counted twice",IF(COUNTIF(Lists!$A$2:$A$7,I94)=0,"Unknown status","")))))</f>
        <v/>
      </c>
    </row>
    <row r="95" customFormat="false" ht="15" hidden="false" customHeight="false" outlineLevel="0" collapsed="false">
      <c r="A95" s="15" t="s">
        <v>1525</v>
      </c>
      <c r="B95" s="15" t="s">
        <v>688</v>
      </c>
      <c r="C95" s="15" t="s">
        <v>62</v>
      </c>
      <c r="D95" s="15" t="s">
        <v>1526</v>
      </c>
      <c r="E95" s="15" t="s">
        <v>1526</v>
      </c>
      <c r="F95" s="15" t="s">
        <v>1527</v>
      </c>
      <c r="G95" s="15" t="n">
        <v>14</v>
      </c>
      <c r="H95" s="15"/>
      <c r="I95" s="15" t="s">
        <v>1007</v>
      </c>
      <c r="J95" s="15" t="s">
        <v>1008</v>
      </c>
      <c r="K95" s="15" t="s">
        <v>1007</v>
      </c>
      <c r="L95" s="15" t="n">
        <v>0</v>
      </c>
      <c r="M95" s="15" t="n">
        <v>0</v>
      </c>
      <c r="N95" s="15" t="n">
        <v>0</v>
      </c>
      <c r="O95" s="15" t="n">
        <v>0</v>
      </c>
      <c r="P95" s="15"/>
      <c r="Q95" s="15" t="s">
        <v>1009</v>
      </c>
      <c r="R95" s="15" t="s">
        <v>1010</v>
      </c>
      <c r="S95" s="15" t="s">
        <v>1050</v>
      </c>
      <c r="T95" s="15" t="n">
        <v>0</v>
      </c>
      <c r="U95" s="15" t="n">
        <v>0</v>
      </c>
      <c r="V95" s="15" t="n">
        <v>14</v>
      </c>
      <c r="W95" s="15" t="n">
        <v>0</v>
      </c>
      <c r="X95" s="15" t="n">
        <v>0</v>
      </c>
      <c r="Y95" s="15" t="n">
        <v>0</v>
      </c>
      <c r="Z95" s="15" t="s">
        <v>1034</v>
      </c>
      <c r="AA95" s="15" t="s">
        <v>1013</v>
      </c>
      <c r="AB95" s="15" t="s">
        <v>176</v>
      </c>
      <c r="AC95" s="15" t="s">
        <v>1027</v>
      </c>
      <c r="AD95" s="15" t="s">
        <v>1528</v>
      </c>
      <c r="AE95" s="15" t="s">
        <v>1529</v>
      </c>
      <c r="AF95" s="15"/>
      <c r="AG95" s="15" t="s">
        <v>1017</v>
      </c>
      <c r="AH95" s="15" t="s">
        <v>1194</v>
      </c>
      <c r="AI95" s="15" t="s">
        <v>1019</v>
      </c>
      <c r="AJ95" s="15" t="n">
        <v>0</v>
      </c>
      <c r="AK95" s="15" t="n">
        <v>0</v>
      </c>
      <c r="AL95" s="15" t="n">
        <v>8.2</v>
      </c>
      <c r="AM95" s="15" t="n">
        <v>5.8</v>
      </c>
      <c r="AN95" s="15" t="n">
        <v>0</v>
      </c>
      <c r="AO95" s="15" t="n">
        <v>0</v>
      </c>
      <c r="AP95" s="15" t="s">
        <v>1325</v>
      </c>
      <c r="AQ95" s="15" t="s">
        <v>1021</v>
      </c>
      <c r="AR95" s="15" t="s">
        <v>169</v>
      </c>
      <c r="AS95" s="15"/>
      <c r="AT95" s="29" t="str">
        <f aca="false">IF(A95="","",IF(COUNTIF(Parcels!$A$2:$A$3000,B95)=0,"Parcel not found",IF(COUNTIF($A$2:$A$3000,A95)&gt;1,"Duplicate perm_id",IF(AND(R95="Yes",D95&lt;&gt;"",COUNTIFS($C$2:$C$3000,D95,$R$2:$R$3000,"Yes")&gt;1),"Reference counted twice",IF(COUNTIF(Lists!$A$2:$A$7,I95)=0,"Unknown status","")))))</f>
        <v/>
      </c>
    </row>
    <row r="96" customFormat="false" ht="15" hidden="false" customHeight="false" outlineLevel="0" collapsed="false">
      <c r="A96" s="15" t="s">
        <v>1530</v>
      </c>
      <c r="B96" s="15" t="s">
        <v>690</v>
      </c>
      <c r="C96" s="15" t="s">
        <v>70</v>
      </c>
      <c r="D96" s="15" t="s">
        <v>1531</v>
      </c>
      <c r="E96" s="15" t="s">
        <v>1531</v>
      </c>
      <c r="F96" s="15" t="s">
        <v>530</v>
      </c>
      <c r="G96" s="15" t="n">
        <v>14</v>
      </c>
      <c r="H96" s="15"/>
      <c r="I96" s="15" t="s">
        <v>1007</v>
      </c>
      <c r="J96" s="15" t="s">
        <v>1008</v>
      </c>
      <c r="K96" s="15" t="s">
        <v>1007</v>
      </c>
      <c r="L96" s="15" t="n">
        <v>0</v>
      </c>
      <c r="M96" s="15" t="n">
        <v>0</v>
      </c>
      <c r="N96" s="15" t="n">
        <v>0</v>
      </c>
      <c r="O96" s="15" t="n">
        <v>0</v>
      </c>
      <c r="P96" s="15"/>
      <c r="Q96" s="15" t="s">
        <v>1009</v>
      </c>
      <c r="R96" s="15" t="s">
        <v>1010</v>
      </c>
      <c r="S96" s="15" t="s">
        <v>1365</v>
      </c>
      <c r="T96" s="15"/>
      <c r="U96" s="15"/>
      <c r="V96" s="15"/>
      <c r="W96" s="15"/>
      <c r="X96" s="15"/>
      <c r="Y96" s="15"/>
      <c r="Z96" s="15" t="s">
        <v>1012</v>
      </c>
      <c r="AA96" s="15" t="s">
        <v>1013</v>
      </c>
      <c r="AB96" s="15" t="s">
        <v>176</v>
      </c>
      <c r="AC96" s="15" t="s">
        <v>1027</v>
      </c>
      <c r="AD96" s="15" t="s">
        <v>1532</v>
      </c>
      <c r="AE96" s="15" t="s">
        <v>1533</v>
      </c>
      <c r="AF96" s="15"/>
      <c r="AG96" s="15" t="s">
        <v>1017</v>
      </c>
      <c r="AH96" s="15" t="s">
        <v>1194</v>
      </c>
      <c r="AI96" s="15" t="s">
        <v>1019</v>
      </c>
      <c r="AJ96" s="15" t="n">
        <v>0</v>
      </c>
      <c r="AK96" s="15" t="n">
        <v>0</v>
      </c>
      <c r="AL96" s="15" t="n">
        <v>8.2</v>
      </c>
      <c r="AM96" s="15" t="n">
        <v>5.8</v>
      </c>
      <c r="AN96" s="15" t="n">
        <v>0</v>
      </c>
      <c r="AO96" s="15" t="n">
        <v>0</v>
      </c>
      <c r="AP96" s="15" t="s">
        <v>1325</v>
      </c>
      <c r="AQ96" s="15" t="s">
        <v>1021</v>
      </c>
      <c r="AR96" s="15" t="s">
        <v>169</v>
      </c>
      <c r="AS96" s="15"/>
      <c r="AT96" s="29" t="str">
        <f aca="false">IF(A96="","",IF(COUNTIF(Parcels!$A$2:$A$3000,B96)=0,"Parcel not found",IF(COUNTIF($A$2:$A$3000,A96)&gt;1,"Duplicate perm_id",IF(AND(R96="Yes",D96&lt;&gt;"",COUNTIFS($C$2:$C$3000,D96,$R$2:$R$3000,"Yes")&gt;1),"Reference counted twice",IF(COUNTIF(Lists!$A$2:$A$7,I96)=0,"Unknown status","")))))</f>
        <v/>
      </c>
    </row>
    <row r="97" customFormat="false" ht="15" hidden="false" customHeight="false" outlineLevel="0" collapsed="false">
      <c r="A97" s="15" t="s">
        <v>1534</v>
      </c>
      <c r="B97" s="15" t="s">
        <v>691</v>
      </c>
      <c r="C97" s="15" t="s">
        <v>74</v>
      </c>
      <c r="D97" s="15" t="s">
        <v>1535</v>
      </c>
      <c r="E97" s="15" t="s">
        <v>1535</v>
      </c>
      <c r="F97" s="15" t="s">
        <v>692</v>
      </c>
      <c r="G97" s="15" t="n">
        <v>9</v>
      </c>
      <c r="H97" s="15"/>
      <c r="I97" s="15" t="s">
        <v>48</v>
      </c>
      <c r="J97" s="15" t="s">
        <v>1008</v>
      </c>
      <c r="K97" s="15" t="s">
        <v>48</v>
      </c>
      <c r="L97" s="15" t="n">
        <v>8</v>
      </c>
      <c r="M97" s="15" t="n">
        <v>8</v>
      </c>
      <c r="N97" s="15" t="n">
        <v>1</v>
      </c>
      <c r="O97" s="15" t="n">
        <v>8</v>
      </c>
      <c r="P97" s="15"/>
      <c r="Q97" s="15" t="s">
        <v>1009</v>
      </c>
      <c r="R97" s="15" t="s">
        <v>1010</v>
      </c>
      <c r="S97" s="15" t="s">
        <v>1026</v>
      </c>
      <c r="T97" s="15"/>
      <c r="U97" s="15"/>
      <c r="V97" s="15"/>
      <c r="W97" s="15"/>
      <c r="X97" s="15"/>
      <c r="Y97" s="15"/>
      <c r="Z97" s="15" t="s">
        <v>1034</v>
      </c>
      <c r="AA97" s="15" t="s">
        <v>1013</v>
      </c>
      <c r="AB97" s="15" t="s">
        <v>176</v>
      </c>
      <c r="AC97" s="15" t="s">
        <v>1027</v>
      </c>
      <c r="AD97" s="15" t="s">
        <v>1536</v>
      </c>
      <c r="AE97" s="15" t="s">
        <v>1537</v>
      </c>
      <c r="AF97" s="15" t="s">
        <v>1538</v>
      </c>
      <c r="AG97" s="15" t="s">
        <v>1539</v>
      </c>
      <c r="AH97" s="15" t="s">
        <v>1041</v>
      </c>
      <c r="AI97" s="15" t="s">
        <v>1042</v>
      </c>
      <c r="AJ97" s="15" t="n">
        <v>2.1</v>
      </c>
      <c r="AK97" s="15" t="n">
        <v>6.9</v>
      </c>
      <c r="AL97" s="15" t="n">
        <v>0</v>
      </c>
      <c r="AM97" s="15" t="n">
        <v>0</v>
      </c>
      <c r="AN97" s="15" t="n">
        <v>0</v>
      </c>
      <c r="AO97" s="15" t="n">
        <v>0</v>
      </c>
      <c r="AP97" s="15" t="s">
        <v>1325</v>
      </c>
      <c r="AQ97" s="15" t="s">
        <v>1021</v>
      </c>
      <c r="AR97" s="15" t="s">
        <v>169</v>
      </c>
      <c r="AS97" s="15"/>
      <c r="AT97" s="29" t="str">
        <f aca="false">IF(A97="","",IF(COUNTIF(Parcels!$A$2:$A$3000,B97)=0,"Parcel not found",IF(COUNTIF($A$2:$A$3000,A97)&gt;1,"Duplicate perm_id",IF(AND(R97="Yes",D97&lt;&gt;"",COUNTIFS($C$2:$C$3000,D97,$R$2:$R$3000,"Yes")&gt;1),"Reference counted twice",IF(COUNTIF(Lists!$A$2:$A$7,I97)=0,"Unknown status","")))))</f>
        <v/>
      </c>
    </row>
    <row r="98" customFormat="false" ht="15" hidden="false" customHeight="false" outlineLevel="0" collapsed="false">
      <c r="A98" s="15" t="s">
        <v>1540</v>
      </c>
      <c r="B98" s="15" t="s">
        <v>693</v>
      </c>
      <c r="C98" s="15" t="s">
        <v>22</v>
      </c>
      <c r="D98" s="15" t="s">
        <v>1541</v>
      </c>
      <c r="E98" s="15" t="s">
        <v>1541</v>
      </c>
      <c r="F98" s="15" t="s">
        <v>694</v>
      </c>
      <c r="G98" s="15" t="n">
        <v>4</v>
      </c>
      <c r="H98" s="15"/>
      <c r="I98" s="15" t="s">
        <v>47</v>
      </c>
      <c r="J98" s="15" t="s">
        <v>1341</v>
      </c>
      <c r="K98" s="15" t="s">
        <v>48</v>
      </c>
      <c r="L98" s="15" t="n">
        <v>4</v>
      </c>
      <c r="M98" s="15" t="n">
        <v>4</v>
      </c>
      <c r="N98" s="15" t="n">
        <v>0</v>
      </c>
      <c r="O98" s="15" t="n">
        <v>0</v>
      </c>
      <c r="P98" s="15" t="s">
        <v>1342</v>
      </c>
      <c r="Q98" s="15" t="s">
        <v>1009</v>
      </c>
      <c r="R98" s="15" t="s">
        <v>1010</v>
      </c>
      <c r="S98" s="15" t="s">
        <v>1026</v>
      </c>
      <c r="T98" s="15"/>
      <c r="U98" s="15"/>
      <c r="V98" s="15"/>
      <c r="W98" s="15"/>
      <c r="X98" s="15"/>
      <c r="Y98" s="15"/>
      <c r="Z98" s="15" t="s">
        <v>1136</v>
      </c>
      <c r="AA98" s="15" t="s">
        <v>1013</v>
      </c>
      <c r="AB98" s="15" t="s">
        <v>176</v>
      </c>
      <c r="AC98" s="15" t="s">
        <v>1027</v>
      </c>
      <c r="AD98" s="15" t="s">
        <v>1542</v>
      </c>
      <c r="AE98" s="15" t="s">
        <v>1543</v>
      </c>
      <c r="AF98" s="15" t="s">
        <v>1544</v>
      </c>
      <c r="AG98" s="15" t="s">
        <v>1545</v>
      </c>
      <c r="AH98" s="15" t="s">
        <v>1041</v>
      </c>
      <c r="AI98" s="15" t="s">
        <v>1042</v>
      </c>
      <c r="AJ98" s="15" t="n">
        <v>0</v>
      </c>
      <c r="AK98" s="15" t="n">
        <v>0</v>
      </c>
      <c r="AL98" s="15" t="n">
        <v>0</v>
      </c>
      <c r="AM98" s="15" t="n">
        <v>0</v>
      </c>
      <c r="AN98" s="15" t="n">
        <v>0</v>
      </c>
      <c r="AO98" s="15" t="n">
        <v>0</v>
      </c>
      <c r="AP98" s="15" t="s">
        <v>1325</v>
      </c>
      <c r="AQ98" s="15" t="s">
        <v>1021</v>
      </c>
      <c r="AR98" s="15" t="s">
        <v>169</v>
      </c>
      <c r="AS98" s="15"/>
      <c r="AT98" s="29" t="str">
        <f aca="false">IF(A98="","",IF(COUNTIF(Parcels!$A$2:$A$3000,B98)=0,"Parcel not found",IF(COUNTIF($A$2:$A$3000,A98)&gt;1,"Duplicate perm_id",IF(AND(R98="Yes",D98&lt;&gt;"",COUNTIFS($C$2:$C$3000,D98,$R$2:$R$3000,"Yes")&gt;1),"Reference counted twice",IF(COUNTIF(Lists!$A$2:$A$7,I98)=0,"Unknown status","")))))</f>
        <v/>
      </c>
    </row>
    <row r="99" customFormat="false" ht="15" hidden="false" customHeight="false" outlineLevel="0" collapsed="false">
      <c r="A99" s="15" t="s">
        <v>1546</v>
      </c>
      <c r="B99" s="15" t="s">
        <v>505</v>
      </c>
      <c r="C99" s="15" t="s">
        <v>52</v>
      </c>
      <c r="D99" s="15" t="s">
        <v>1547</v>
      </c>
      <c r="E99" s="15" t="s">
        <v>1547</v>
      </c>
      <c r="F99" s="15" t="s">
        <v>506</v>
      </c>
      <c r="G99" s="15" t="n">
        <v>12</v>
      </c>
      <c r="H99" s="15"/>
      <c r="I99" s="15" t="s">
        <v>47</v>
      </c>
      <c r="J99" s="15" t="s">
        <v>1341</v>
      </c>
      <c r="K99" s="15" t="s">
        <v>1025</v>
      </c>
      <c r="L99" s="15" t="n">
        <v>12</v>
      </c>
      <c r="M99" s="15" t="n">
        <v>11</v>
      </c>
      <c r="N99" s="15" t="n">
        <v>0</v>
      </c>
      <c r="O99" s="15" t="n">
        <v>0</v>
      </c>
      <c r="P99" s="15" t="s">
        <v>1342</v>
      </c>
      <c r="Q99" s="15" t="s">
        <v>1009</v>
      </c>
      <c r="R99" s="15" t="s">
        <v>1010</v>
      </c>
      <c r="S99" s="15" t="s">
        <v>1026</v>
      </c>
      <c r="T99" s="15"/>
      <c r="U99" s="15"/>
      <c r="V99" s="15"/>
      <c r="W99" s="15"/>
      <c r="X99" s="15"/>
      <c r="Y99" s="15"/>
      <c r="Z99" s="15" t="s">
        <v>1136</v>
      </c>
      <c r="AA99" s="15" t="s">
        <v>1013</v>
      </c>
      <c r="AB99" s="15" t="s">
        <v>176</v>
      </c>
      <c r="AC99" s="15" t="s">
        <v>1027</v>
      </c>
      <c r="AD99" s="15" t="s">
        <v>1548</v>
      </c>
      <c r="AE99" s="15" t="s">
        <v>1549</v>
      </c>
      <c r="AF99" s="15"/>
      <c r="AG99" s="15"/>
      <c r="AH99" s="15"/>
      <c r="AI99" s="15" t="s">
        <v>1030</v>
      </c>
      <c r="AJ99" s="15" t="n">
        <v>0</v>
      </c>
      <c r="AK99" s="15" t="n">
        <v>0</v>
      </c>
      <c r="AL99" s="15" t="n">
        <v>0</v>
      </c>
      <c r="AM99" s="15" t="n">
        <v>0</v>
      </c>
      <c r="AN99" s="15" t="n">
        <v>0</v>
      </c>
      <c r="AO99" s="15" t="n">
        <v>0</v>
      </c>
      <c r="AP99" s="15" t="s">
        <v>1325</v>
      </c>
      <c r="AQ99" s="15" t="s">
        <v>1021</v>
      </c>
      <c r="AR99" s="15" t="s">
        <v>169</v>
      </c>
      <c r="AS99" s="15"/>
      <c r="AT99" s="29" t="str">
        <f aca="false">IF(A99="","",IF(COUNTIF(Parcels!$A$2:$A$3000,B99)=0,"Parcel not found",IF(COUNTIF($A$2:$A$3000,A99)&gt;1,"Duplicate perm_id",IF(AND(R99="Yes",D99&lt;&gt;"",COUNTIFS($C$2:$C$3000,D99,$R$2:$R$3000,"Yes")&gt;1),"Reference counted twice",IF(COUNTIF(Lists!$A$2:$A$7,I99)=0,"Unknown status","")))))</f>
        <v/>
      </c>
    </row>
    <row r="100" customFormat="false" ht="15" hidden="false" customHeight="false" outlineLevel="0" collapsed="false">
      <c r="A100" s="15" t="s">
        <v>1550</v>
      </c>
      <c r="B100" s="15" t="s">
        <v>535</v>
      </c>
      <c r="C100" s="15" t="s">
        <v>53</v>
      </c>
      <c r="D100" s="15" t="s">
        <v>1551</v>
      </c>
      <c r="E100" s="15" t="s">
        <v>1551</v>
      </c>
      <c r="F100" s="15" t="s">
        <v>536</v>
      </c>
      <c r="G100" s="15" t="n">
        <v>5</v>
      </c>
      <c r="H100" s="15"/>
      <c r="I100" s="15" t="s">
        <v>48</v>
      </c>
      <c r="J100" s="15" t="s">
        <v>1008</v>
      </c>
      <c r="K100" s="15" t="s">
        <v>48</v>
      </c>
      <c r="L100" s="15" t="n">
        <v>0</v>
      </c>
      <c r="M100" s="15" t="n">
        <v>0</v>
      </c>
      <c r="N100" s="15" t="n">
        <v>0</v>
      </c>
      <c r="O100" s="15" t="n">
        <v>0</v>
      </c>
      <c r="P100" s="15"/>
      <c r="Q100" s="15" t="s">
        <v>1009</v>
      </c>
      <c r="R100" s="15" t="s">
        <v>1010</v>
      </c>
      <c r="S100" s="15" t="s">
        <v>1026</v>
      </c>
      <c r="T100" s="15"/>
      <c r="U100" s="15"/>
      <c r="V100" s="15"/>
      <c r="W100" s="15"/>
      <c r="X100" s="15"/>
      <c r="Y100" s="15"/>
      <c r="Z100" s="15" t="s">
        <v>1012</v>
      </c>
      <c r="AA100" s="15" t="s">
        <v>1035</v>
      </c>
      <c r="AB100" s="15" t="s">
        <v>1065</v>
      </c>
      <c r="AC100" s="15" t="s">
        <v>1027</v>
      </c>
      <c r="AD100" s="15" t="s">
        <v>1552</v>
      </c>
      <c r="AE100" s="15" t="s">
        <v>1553</v>
      </c>
      <c r="AF100" s="15" t="s">
        <v>1554</v>
      </c>
      <c r="AG100" s="15" t="s">
        <v>1555</v>
      </c>
      <c r="AH100" s="15" t="s">
        <v>1041</v>
      </c>
      <c r="AI100" s="15" t="s">
        <v>1042</v>
      </c>
      <c r="AJ100" s="15" t="n">
        <v>1.2</v>
      </c>
      <c r="AK100" s="15" t="n">
        <v>3.8</v>
      </c>
      <c r="AL100" s="15" t="n">
        <v>0</v>
      </c>
      <c r="AM100" s="15" t="n">
        <v>0</v>
      </c>
      <c r="AN100" s="15" t="n">
        <v>0</v>
      </c>
      <c r="AO100" s="15" t="n">
        <v>0</v>
      </c>
      <c r="AP100" s="15" t="s">
        <v>1325</v>
      </c>
      <c r="AQ100" s="15" t="s">
        <v>1021</v>
      </c>
      <c r="AR100" s="15" t="s">
        <v>169</v>
      </c>
      <c r="AS100" s="15"/>
      <c r="AT100" s="29" t="str">
        <f aca="false">IF(A100="","",IF(COUNTIF(Parcels!$A$2:$A$3000,B100)=0,"Parcel not found",IF(COUNTIF($A$2:$A$3000,A100)&gt;1,"Duplicate perm_id",IF(AND(R100="Yes",D100&lt;&gt;"",COUNTIFS($C$2:$C$3000,D100,$R$2:$R$3000,"Yes")&gt;1),"Reference counted twice",IF(COUNTIF(Lists!$A$2:$A$7,I100)=0,"Unknown status","")))))</f>
        <v/>
      </c>
    </row>
    <row r="101" customFormat="false" ht="15" hidden="false" customHeight="false" outlineLevel="0" collapsed="false">
      <c r="A101" s="15" t="s">
        <v>1556</v>
      </c>
      <c r="B101" s="15" t="s">
        <v>473</v>
      </c>
      <c r="C101" s="15" t="s">
        <v>51</v>
      </c>
      <c r="D101" s="15" t="s">
        <v>1557</v>
      </c>
      <c r="E101" s="15" t="s">
        <v>1557</v>
      </c>
      <c r="F101" s="15" t="s">
        <v>474</v>
      </c>
      <c r="G101" s="15" t="n">
        <v>27</v>
      </c>
      <c r="H101" s="15"/>
      <c r="I101" s="15" t="s">
        <v>47</v>
      </c>
      <c r="J101" s="15" t="s">
        <v>1341</v>
      </c>
      <c r="K101" s="15" t="s">
        <v>48</v>
      </c>
      <c r="L101" s="15" t="n">
        <v>27</v>
      </c>
      <c r="M101" s="15" t="n">
        <v>27</v>
      </c>
      <c r="N101" s="15" t="n">
        <v>0</v>
      </c>
      <c r="O101" s="15" t="n">
        <v>0</v>
      </c>
      <c r="P101" s="15" t="s">
        <v>1342</v>
      </c>
      <c r="Q101" s="15" t="s">
        <v>1009</v>
      </c>
      <c r="R101" s="15" t="s">
        <v>1010</v>
      </c>
      <c r="S101" s="15" t="s">
        <v>1050</v>
      </c>
      <c r="T101" s="15" t="n">
        <v>0</v>
      </c>
      <c r="U101" s="15" t="n">
        <v>0</v>
      </c>
      <c r="V101" s="15" t="n">
        <v>11</v>
      </c>
      <c r="W101" s="15" t="n">
        <v>13</v>
      </c>
      <c r="X101" s="15" t="n">
        <v>3</v>
      </c>
      <c r="Y101" s="15" t="n">
        <v>0</v>
      </c>
      <c r="Z101" s="15" t="s">
        <v>1012</v>
      </c>
      <c r="AA101" s="15" t="s">
        <v>1035</v>
      </c>
      <c r="AB101" s="15" t="s">
        <v>1036</v>
      </c>
      <c r="AC101" s="15" t="s">
        <v>1037</v>
      </c>
      <c r="AD101" s="15" t="s">
        <v>1558</v>
      </c>
      <c r="AE101" s="15"/>
      <c r="AF101" s="15" t="s">
        <v>1559</v>
      </c>
      <c r="AG101" s="15" t="s">
        <v>1560</v>
      </c>
      <c r="AH101" s="15" t="s">
        <v>1041</v>
      </c>
      <c r="AI101" s="15" t="s">
        <v>1042</v>
      </c>
      <c r="AJ101" s="15" t="n">
        <v>0</v>
      </c>
      <c r="AK101" s="15" t="n">
        <v>0</v>
      </c>
      <c r="AL101" s="15" t="n">
        <v>0</v>
      </c>
      <c r="AM101" s="15" t="n">
        <v>0</v>
      </c>
      <c r="AN101" s="15" t="n">
        <v>0</v>
      </c>
      <c r="AO101" s="15" t="n">
        <v>0</v>
      </c>
      <c r="AP101" s="15" t="s">
        <v>1325</v>
      </c>
      <c r="AQ101" s="15" t="s">
        <v>1021</v>
      </c>
      <c r="AR101" s="15" t="s">
        <v>169</v>
      </c>
      <c r="AS101" s="15"/>
      <c r="AT101" s="29" t="str">
        <f aca="false">IF(A101="","",IF(COUNTIF(Parcels!$A$2:$A$3000,B101)=0,"Parcel not found",IF(COUNTIF($A$2:$A$3000,A101)&gt;1,"Duplicate perm_id",IF(AND(R101="Yes",D101&lt;&gt;"",COUNTIFS($C$2:$C$3000,D101,$R$2:$R$3000,"Yes")&gt;1),"Reference counted twice",IF(COUNTIF(Lists!$A$2:$A$7,I101)=0,"Unknown status","")))))</f>
        <v/>
      </c>
    </row>
    <row r="102" customFormat="false" ht="15" hidden="false" customHeight="false" outlineLevel="0" collapsed="false">
      <c r="A102" s="15" t="s">
        <v>1561</v>
      </c>
      <c r="B102" s="15" t="s">
        <v>695</v>
      </c>
      <c r="C102" s="15" t="s">
        <v>70</v>
      </c>
      <c r="D102" s="15" t="s">
        <v>1562</v>
      </c>
      <c r="E102" s="15" t="s">
        <v>1562</v>
      </c>
      <c r="F102" s="15" t="s">
        <v>696</v>
      </c>
      <c r="G102" s="15" t="n">
        <v>16</v>
      </c>
      <c r="H102" s="15"/>
      <c r="I102" s="15" t="s">
        <v>47</v>
      </c>
      <c r="J102" s="15" t="s">
        <v>1008</v>
      </c>
      <c r="K102" s="15" t="s">
        <v>47</v>
      </c>
      <c r="L102" s="15" t="n">
        <v>16</v>
      </c>
      <c r="M102" s="15" t="n">
        <v>16</v>
      </c>
      <c r="N102" s="15" t="n">
        <v>0</v>
      </c>
      <c r="O102" s="15" t="n">
        <v>0</v>
      </c>
      <c r="P102" s="15"/>
      <c r="Q102" s="15" t="s">
        <v>1009</v>
      </c>
      <c r="R102" s="15" t="s">
        <v>1010</v>
      </c>
      <c r="S102" s="15" t="s">
        <v>1050</v>
      </c>
      <c r="T102" s="15" t="n">
        <v>0</v>
      </c>
      <c r="U102" s="15" t="n">
        <v>2</v>
      </c>
      <c r="V102" s="15" t="n">
        <v>12</v>
      </c>
      <c r="W102" s="15" t="n">
        <v>2</v>
      </c>
      <c r="X102" s="15" t="n">
        <v>0</v>
      </c>
      <c r="Y102" s="15" t="n">
        <v>0</v>
      </c>
      <c r="Z102" s="15" t="s">
        <v>1012</v>
      </c>
      <c r="AA102" s="15" t="s">
        <v>1035</v>
      </c>
      <c r="AB102" s="15" t="s">
        <v>1065</v>
      </c>
      <c r="AC102" s="15" t="s">
        <v>1037</v>
      </c>
      <c r="AD102" s="15" t="s">
        <v>1563</v>
      </c>
      <c r="AE102" s="15"/>
      <c r="AF102" s="15" t="s">
        <v>1564</v>
      </c>
      <c r="AG102" s="15"/>
      <c r="AH102" s="15"/>
      <c r="AI102" s="15" t="s">
        <v>1053</v>
      </c>
      <c r="AJ102" s="15" t="n">
        <v>0</v>
      </c>
      <c r="AK102" s="15" t="n">
        <v>0</v>
      </c>
      <c r="AL102" s="15" t="n">
        <v>0</v>
      </c>
      <c r="AM102" s="15" t="n">
        <v>0</v>
      </c>
      <c r="AN102" s="15" t="n">
        <v>0</v>
      </c>
      <c r="AO102" s="15" t="n">
        <v>0</v>
      </c>
      <c r="AP102" s="15" t="s">
        <v>1325</v>
      </c>
      <c r="AQ102" s="15" t="s">
        <v>1021</v>
      </c>
      <c r="AR102" s="15" t="s">
        <v>169</v>
      </c>
      <c r="AS102" s="15"/>
      <c r="AT102" s="29" t="str">
        <f aca="false">IF(A102="","",IF(COUNTIF(Parcels!$A$2:$A$3000,B102)=0,"Parcel not found",IF(COUNTIF($A$2:$A$3000,A102)&gt;1,"Duplicate perm_id",IF(AND(R102="Yes",D102&lt;&gt;"",COUNTIFS($C$2:$C$3000,D102,$R$2:$R$3000,"Yes")&gt;1),"Reference counted twice",IF(COUNTIF(Lists!$A$2:$A$7,I102)=0,"Unknown status","")))))</f>
        <v/>
      </c>
    </row>
    <row r="103" customFormat="false" ht="15" hidden="false" customHeight="false" outlineLevel="0" collapsed="false">
      <c r="A103" s="15" t="s">
        <v>1565</v>
      </c>
      <c r="B103" s="15" t="s">
        <v>697</v>
      </c>
      <c r="C103" s="15" t="s">
        <v>22</v>
      </c>
      <c r="D103" s="15" t="s">
        <v>1566</v>
      </c>
      <c r="E103" s="15" t="s">
        <v>1566</v>
      </c>
      <c r="F103" s="15" t="s">
        <v>478</v>
      </c>
      <c r="G103" s="15" t="n">
        <v>12</v>
      </c>
      <c r="H103" s="15"/>
      <c r="I103" s="15" t="s">
        <v>47</v>
      </c>
      <c r="J103" s="15" t="s">
        <v>1008</v>
      </c>
      <c r="K103" s="15" t="s">
        <v>47</v>
      </c>
      <c r="L103" s="15" t="n">
        <v>12</v>
      </c>
      <c r="M103" s="15" t="n">
        <v>12</v>
      </c>
      <c r="N103" s="15" t="n">
        <v>0</v>
      </c>
      <c r="O103" s="15" t="n">
        <v>0</v>
      </c>
      <c r="P103" s="15"/>
      <c r="Q103" s="15" t="s">
        <v>1009</v>
      </c>
      <c r="R103" s="15" t="s">
        <v>1010</v>
      </c>
      <c r="S103" s="15" t="s">
        <v>1050</v>
      </c>
      <c r="T103" s="15" t="n">
        <v>0</v>
      </c>
      <c r="U103" s="15" t="n">
        <v>0</v>
      </c>
      <c r="V103" s="15" t="n">
        <v>5</v>
      </c>
      <c r="W103" s="15" t="n">
        <v>7</v>
      </c>
      <c r="X103" s="15" t="n">
        <v>0</v>
      </c>
      <c r="Y103" s="15" t="n">
        <v>0</v>
      </c>
      <c r="Z103" s="15" t="s">
        <v>1012</v>
      </c>
      <c r="AA103" s="15" t="s">
        <v>1035</v>
      </c>
      <c r="AB103" s="15" t="s">
        <v>1036</v>
      </c>
      <c r="AC103" s="15" t="s">
        <v>1037</v>
      </c>
      <c r="AD103" s="15" t="s">
        <v>1567</v>
      </c>
      <c r="AE103" s="15"/>
      <c r="AF103" s="15" t="s">
        <v>1568</v>
      </c>
      <c r="AG103" s="15"/>
      <c r="AH103" s="15"/>
      <c r="AI103" s="15" t="s">
        <v>1053</v>
      </c>
      <c r="AJ103" s="15" t="n">
        <v>0</v>
      </c>
      <c r="AK103" s="15" t="n">
        <v>0</v>
      </c>
      <c r="AL103" s="15" t="n">
        <v>0</v>
      </c>
      <c r="AM103" s="15" t="n">
        <v>0</v>
      </c>
      <c r="AN103" s="15" t="n">
        <v>0</v>
      </c>
      <c r="AO103" s="15" t="n">
        <v>0</v>
      </c>
      <c r="AP103" s="15" t="s">
        <v>1325</v>
      </c>
      <c r="AQ103" s="15" t="s">
        <v>1021</v>
      </c>
      <c r="AR103" s="15" t="s">
        <v>169</v>
      </c>
      <c r="AS103" s="15"/>
      <c r="AT103" s="29" t="str">
        <f aca="false">IF(A103="","",IF(COUNTIF(Parcels!$A$2:$A$3000,B103)=0,"Parcel not found",IF(COUNTIF($A$2:$A$3000,A103)&gt;1,"Duplicate perm_id",IF(AND(R103="Yes",D103&lt;&gt;"",COUNTIFS($C$2:$C$3000,D103,$R$2:$R$3000,"Yes")&gt;1),"Reference counted twice",IF(COUNTIF(Lists!$A$2:$A$7,I103)=0,"Unknown status","")))))</f>
        <v/>
      </c>
    </row>
    <row r="104" customFormat="false" ht="15" hidden="false" customHeight="false" outlineLevel="0" collapsed="false">
      <c r="A104" s="15" t="s">
        <v>1569</v>
      </c>
      <c r="B104" s="15" t="s">
        <v>697</v>
      </c>
      <c r="C104" s="15" t="s">
        <v>22</v>
      </c>
      <c r="D104" s="15" t="s">
        <v>1570</v>
      </c>
      <c r="E104" s="15" t="s">
        <v>1570</v>
      </c>
      <c r="F104" s="15" t="s">
        <v>1571</v>
      </c>
      <c r="G104" s="15" t="n">
        <v>5</v>
      </c>
      <c r="H104" s="15"/>
      <c r="I104" s="15" t="s">
        <v>47</v>
      </c>
      <c r="J104" s="15" t="s">
        <v>1341</v>
      </c>
      <c r="K104" s="15" t="s">
        <v>48</v>
      </c>
      <c r="L104" s="15" t="n">
        <v>5</v>
      </c>
      <c r="M104" s="15" t="n">
        <v>5</v>
      </c>
      <c r="N104" s="15" t="n">
        <v>0</v>
      </c>
      <c r="O104" s="15" t="n">
        <v>0</v>
      </c>
      <c r="P104" s="15" t="s">
        <v>1342</v>
      </c>
      <c r="Q104" s="15" t="s">
        <v>1009</v>
      </c>
      <c r="R104" s="15" t="s">
        <v>1010</v>
      </c>
      <c r="S104" s="15" t="s">
        <v>1026</v>
      </c>
      <c r="T104" s="15"/>
      <c r="U104" s="15"/>
      <c r="V104" s="15"/>
      <c r="W104" s="15"/>
      <c r="X104" s="15"/>
      <c r="Y104" s="15"/>
      <c r="Z104" s="15" t="s">
        <v>1034</v>
      </c>
      <c r="AA104" s="15" t="s">
        <v>1013</v>
      </c>
      <c r="AB104" s="15" t="s">
        <v>176</v>
      </c>
      <c r="AC104" s="15" t="s">
        <v>1027</v>
      </c>
      <c r="AD104" s="15" t="s">
        <v>1572</v>
      </c>
      <c r="AE104" s="15" t="s">
        <v>1573</v>
      </c>
      <c r="AF104" s="15" t="s">
        <v>1574</v>
      </c>
      <c r="AG104" s="15" t="s">
        <v>1575</v>
      </c>
      <c r="AH104" s="15" t="s">
        <v>1041</v>
      </c>
      <c r="AI104" s="15" t="s">
        <v>1042</v>
      </c>
      <c r="AJ104" s="15" t="n">
        <v>0</v>
      </c>
      <c r="AK104" s="15" t="n">
        <v>0</v>
      </c>
      <c r="AL104" s="15" t="n">
        <v>0</v>
      </c>
      <c r="AM104" s="15" t="n">
        <v>0</v>
      </c>
      <c r="AN104" s="15" t="n">
        <v>0</v>
      </c>
      <c r="AO104" s="15" t="n">
        <v>0</v>
      </c>
      <c r="AP104" s="15" t="s">
        <v>1325</v>
      </c>
      <c r="AQ104" s="15" t="s">
        <v>1021</v>
      </c>
      <c r="AR104" s="15" t="s">
        <v>169</v>
      </c>
      <c r="AS104" s="15"/>
      <c r="AT104" s="29" t="str">
        <f aca="false">IF(A104="","",IF(COUNTIF(Parcels!$A$2:$A$3000,B104)=0,"Parcel not found",IF(COUNTIF($A$2:$A$3000,A104)&gt;1,"Duplicate perm_id",IF(AND(R104="Yes",D104&lt;&gt;"",COUNTIFS($C$2:$C$3000,D104,$R$2:$R$3000,"Yes")&gt;1),"Reference counted twice",IF(COUNTIF(Lists!$A$2:$A$7,I104)=0,"Unknown status","")))))</f>
        <v/>
      </c>
    </row>
    <row r="105" customFormat="false" ht="15" hidden="false" customHeight="false" outlineLevel="0" collapsed="false">
      <c r="A105" s="15" t="s">
        <v>1576</v>
      </c>
      <c r="B105" s="15" t="s">
        <v>537</v>
      </c>
      <c r="C105" s="15" t="s">
        <v>53</v>
      </c>
      <c r="D105" s="15" t="s">
        <v>1577</v>
      </c>
      <c r="E105" s="15" t="s">
        <v>1577</v>
      </c>
      <c r="F105" s="15" t="s">
        <v>538</v>
      </c>
      <c r="G105" s="15" t="n">
        <v>3</v>
      </c>
      <c r="H105" s="15"/>
      <c r="I105" s="15" t="s">
        <v>47</v>
      </c>
      <c r="J105" s="15" t="s">
        <v>1341</v>
      </c>
      <c r="K105" s="15" t="s">
        <v>48</v>
      </c>
      <c r="L105" s="15" t="n">
        <v>3</v>
      </c>
      <c r="M105" s="15" t="n">
        <v>3</v>
      </c>
      <c r="N105" s="15" t="n">
        <v>0</v>
      </c>
      <c r="O105" s="15" t="n">
        <v>0</v>
      </c>
      <c r="P105" s="15" t="s">
        <v>1342</v>
      </c>
      <c r="Q105" s="15" t="s">
        <v>1009</v>
      </c>
      <c r="R105" s="15" t="s">
        <v>1010</v>
      </c>
      <c r="S105" s="15" t="s">
        <v>1346</v>
      </c>
      <c r="T105" s="15"/>
      <c r="U105" s="15"/>
      <c r="V105" s="15"/>
      <c r="W105" s="15"/>
      <c r="X105" s="15"/>
      <c r="Y105" s="15"/>
      <c r="Z105" s="15" t="s">
        <v>1012</v>
      </c>
      <c r="AA105" s="15" t="s">
        <v>1035</v>
      </c>
      <c r="AB105" s="15" t="s">
        <v>1036</v>
      </c>
      <c r="AC105" s="15" t="s">
        <v>1037</v>
      </c>
      <c r="AD105" s="15" t="s">
        <v>1578</v>
      </c>
      <c r="AE105" s="15"/>
      <c r="AF105" s="15" t="s">
        <v>1579</v>
      </c>
      <c r="AG105" s="15" t="s">
        <v>1580</v>
      </c>
      <c r="AH105" s="15" t="s">
        <v>1041</v>
      </c>
      <c r="AI105" s="15" t="s">
        <v>1042</v>
      </c>
      <c r="AJ105" s="15" t="n">
        <v>0</v>
      </c>
      <c r="AK105" s="15" t="n">
        <v>0</v>
      </c>
      <c r="AL105" s="15" t="n">
        <v>0</v>
      </c>
      <c r="AM105" s="15" t="n">
        <v>0</v>
      </c>
      <c r="AN105" s="15" t="n">
        <v>0</v>
      </c>
      <c r="AO105" s="15" t="n">
        <v>0</v>
      </c>
      <c r="AP105" s="15" t="s">
        <v>1325</v>
      </c>
      <c r="AQ105" s="15" t="s">
        <v>1348</v>
      </c>
      <c r="AR105" s="15" t="s">
        <v>169</v>
      </c>
      <c r="AS105" s="15"/>
      <c r="AT105" s="29" t="str">
        <f aca="false">IF(A105="","",IF(COUNTIF(Parcels!$A$2:$A$3000,B105)=0,"Parcel not found",IF(COUNTIF($A$2:$A$3000,A105)&gt;1,"Duplicate perm_id",IF(AND(R105="Yes",D105&lt;&gt;"",COUNTIFS($C$2:$C$3000,D105,$R$2:$R$3000,"Yes")&gt;1),"Reference counted twice",IF(COUNTIF(Lists!$A$2:$A$7,I105)=0,"Unknown status","")))))</f>
        <v/>
      </c>
    </row>
    <row r="106" customFormat="false" ht="15" hidden="false" customHeight="false" outlineLevel="0" collapsed="false">
      <c r="A106" s="15" t="s">
        <v>1581</v>
      </c>
      <c r="B106" s="15" t="s">
        <v>698</v>
      </c>
      <c r="C106" s="15" t="s">
        <v>22</v>
      </c>
      <c r="D106" s="15" t="s">
        <v>1582</v>
      </c>
      <c r="E106" s="15" t="s">
        <v>1582</v>
      </c>
      <c r="F106" s="15" t="s">
        <v>699</v>
      </c>
      <c r="G106" s="15" t="n">
        <v>12</v>
      </c>
      <c r="H106" s="15"/>
      <c r="I106" s="15" t="s">
        <v>1007</v>
      </c>
      <c r="J106" s="15" t="s">
        <v>1008</v>
      </c>
      <c r="K106" s="15" t="s">
        <v>1007</v>
      </c>
      <c r="L106" s="15" t="n">
        <v>0</v>
      </c>
      <c r="M106" s="15" t="n">
        <v>0</v>
      </c>
      <c r="N106" s="15" t="n">
        <v>0</v>
      </c>
      <c r="O106" s="15" t="n">
        <v>0</v>
      </c>
      <c r="P106" s="15"/>
      <c r="Q106" s="15" t="s">
        <v>1009</v>
      </c>
      <c r="R106" s="15" t="s">
        <v>1010</v>
      </c>
      <c r="S106" s="15" t="s">
        <v>1050</v>
      </c>
      <c r="T106" s="15" t="n">
        <v>0</v>
      </c>
      <c r="U106" s="15" t="n">
        <v>0</v>
      </c>
      <c r="V106" s="15" t="n">
        <v>7</v>
      </c>
      <c r="W106" s="15" t="n">
        <v>5</v>
      </c>
      <c r="X106" s="15" t="n">
        <v>0</v>
      </c>
      <c r="Y106" s="15" t="n">
        <v>0</v>
      </c>
      <c r="Z106" s="15" t="s">
        <v>1012</v>
      </c>
      <c r="AA106" s="15" t="s">
        <v>1035</v>
      </c>
      <c r="AB106" s="15" t="s">
        <v>1036</v>
      </c>
      <c r="AC106" s="15" t="s">
        <v>1037</v>
      </c>
      <c r="AD106" s="15" t="s">
        <v>1578</v>
      </c>
      <c r="AE106" s="15"/>
      <c r="AF106" s="15"/>
      <c r="AG106" s="15" t="s">
        <v>1017</v>
      </c>
      <c r="AH106" s="15" t="s">
        <v>1194</v>
      </c>
      <c r="AI106" s="15" t="s">
        <v>1019</v>
      </c>
      <c r="AJ106" s="15" t="n">
        <v>0</v>
      </c>
      <c r="AK106" s="15" t="n">
        <v>0</v>
      </c>
      <c r="AL106" s="15" t="n">
        <v>7</v>
      </c>
      <c r="AM106" s="15" t="n">
        <v>5</v>
      </c>
      <c r="AN106" s="15" t="n">
        <v>0</v>
      </c>
      <c r="AO106" s="15" t="n">
        <v>0</v>
      </c>
      <c r="AP106" s="15" t="s">
        <v>1325</v>
      </c>
      <c r="AQ106" s="15" t="s">
        <v>1021</v>
      </c>
      <c r="AR106" s="15" t="s">
        <v>169</v>
      </c>
      <c r="AS106" s="15"/>
      <c r="AT106" s="29" t="str">
        <f aca="false">IF(A106="","",IF(COUNTIF(Parcels!$A$2:$A$3000,B106)=0,"Parcel not found",IF(COUNTIF($A$2:$A$3000,A106)&gt;1,"Duplicate perm_id",IF(AND(R106="Yes",D106&lt;&gt;"",COUNTIFS($C$2:$C$3000,D106,$R$2:$R$3000,"Yes")&gt;1),"Reference counted twice",IF(COUNTIF(Lists!$A$2:$A$7,I106)=0,"Unknown status","")))))</f>
        <v/>
      </c>
    </row>
    <row r="107" customFormat="false" ht="15" hidden="false" customHeight="false" outlineLevel="0" collapsed="false">
      <c r="A107" s="15" t="s">
        <v>1583</v>
      </c>
      <c r="B107" s="15" t="s">
        <v>700</v>
      </c>
      <c r="C107" s="15" t="s">
        <v>67</v>
      </c>
      <c r="D107" s="15" t="s">
        <v>1584</v>
      </c>
      <c r="E107" s="15" t="s">
        <v>1584</v>
      </c>
      <c r="F107" s="15" t="s">
        <v>701</v>
      </c>
      <c r="G107" s="15" t="n">
        <v>31</v>
      </c>
      <c r="H107" s="15"/>
      <c r="I107" s="15" t="s">
        <v>1007</v>
      </c>
      <c r="J107" s="15" t="s">
        <v>1008</v>
      </c>
      <c r="K107" s="15" t="s">
        <v>1007</v>
      </c>
      <c r="L107" s="15" t="n">
        <v>2</v>
      </c>
      <c r="M107" s="15" t="n">
        <v>2</v>
      </c>
      <c r="N107" s="15" t="n">
        <v>0</v>
      </c>
      <c r="O107" s="15" t="n">
        <v>0</v>
      </c>
      <c r="P107" s="15" t="s">
        <v>1585</v>
      </c>
      <c r="Q107" s="15" t="s">
        <v>1009</v>
      </c>
      <c r="R107" s="15" t="s">
        <v>1010</v>
      </c>
      <c r="S107" s="15" t="s">
        <v>1365</v>
      </c>
      <c r="T107" s="15"/>
      <c r="U107" s="15"/>
      <c r="V107" s="15"/>
      <c r="W107" s="15"/>
      <c r="X107" s="15"/>
      <c r="Y107" s="15"/>
      <c r="Z107" s="15" t="s">
        <v>1012</v>
      </c>
      <c r="AA107" s="15" t="s">
        <v>1313</v>
      </c>
      <c r="AB107" s="15" t="s">
        <v>1036</v>
      </c>
      <c r="AC107" s="15" t="s">
        <v>1037</v>
      </c>
      <c r="AD107" s="15" t="s">
        <v>1586</v>
      </c>
      <c r="AE107" s="15"/>
      <c r="AF107" s="15"/>
      <c r="AG107" s="15" t="s">
        <v>1017</v>
      </c>
      <c r="AH107" s="15" t="s">
        <v>1060</v>
      </c>
      <c r="AI107" s="15" t="s">
        <v>1019</v>
      </c>
      <c r="AJ107" s="15" t="n">
        <v>0</v>
      </c>
      <c r="AK107" s="15" t="n">
        <v>0</v>
      </c>
      <c r="AL107" s="15" t="n">
        <v>23.6</v>
      </c>
      <c r="AM107" s="15" t="n">
        <v>7.4</v>
      </c>
      <c r="AN107" s="15" t="n">
        <v>0</v>
      </c>
      <c r="AO107" s="15" t="n">
        <v>0</v>
      </c>
      <c r="AP107" s="15" t="s">
        <v>1325</v>
      </c>
      <c r="AQ107" s="15" t="s">
        <v>1021</v>
      </c>
      <c r="AR107" s="15" t="s">
        <v>169</v>
      </c>
      <c r="AS107" s="15"/>
      <c r="AT107" s="29" t="str">
        <f aca="false">IF(A107="","",IF(COUNTIF(Parcels!$A$2:$A$3000,B107)=0,"Parcel not found",IF(COUNTIF($A$2:$A$3000,A107)&gt;1,"Duplicate perm_id",IF(AND(R107="Yes",D107&lt;&gt;"",COUNTIFS($C$2:$C$3000,D107,$R$2:$R$3000,"Yes")&gt;1),"Reference counted twice",IF(COUNTIF(Lists!$A$2:$A$7,I107)=0,"Unknown status","")))))</f>
        <v/>
      </c>
    </row>
    <row r="108" customFormat="false" ht="15" hidden="false" customHeight="false" outlineLevel="0" collapsed="false">
      <c r="A108" s="15" t="s">
        <v>1587</v>
      </c>
      <c r="B108" s="15" t="s">
        <v>539</v>
      </c>
      <c r="C108" s="15" t="s">
        <v>53</v>
      </c>
      <c r="D108" s="15" t="s">
        <v>1588</v>
      </c>
      <c r="E108" s="15" t="s">
        <v>1588</v>
      </c>
      <c r="F108" s="15" t="s">
        <v>540</v>
      </c>
      <c r="G108" s="15" t="n">
        <v>2</v>
      </c>
      <c r="H108" s="15"/>
      <c r="I108" s="15" t="s">
        <v>48</v>
      </c>
      <c r="J108" s="15" t="s">
        <v>1008</v>
      </c>
      <c r="K108" s="15" t="s">
        <v>48</v>
      </c>
      <c r="L108" s="15" t="n">
        <v>0</v>
      </c>
      <c r="M108" s="15" t="n">
        <v>0</v>
      </c>
      <c r="N108" s="15" t="n">
        <v>0</v>
      </c>
      <c r="O108" s="15" t="n">
        <v>0</v>
      </c>
      <c r="P108" s="15"/>
      <c r="Q108" s="15" t="s">
        <v>1009</v>
      </c>
      <c r="R108" s="15" t="s">
        <v>1010</v>
      </c>
      <c r="S108" s="15" t="s">
        <v>1026</v>
      </c>
      <c r="T108" s="15"/>
      <c r="U108" s="15"/>
      <c r="V108" s="15"/>
      <c r="W108" s="15"/>
      <c r="X108" s="15"/>
      <c r="Y108" s="15"/>
      <c r="Z108" s="15" t="s">
        <v>1012</v>
      </c>
      <c r="AA108" s="15" t="s">
        <v>1013</v>
      </c>
      <c r="AB108" s="15" t="s">
        <v>176</v>
      </c>
      <c r="AC108" s="15" t="s">
        <v>1027</v>
      </c>
      <c r="AD108" s="15" t="s">
        <v>1589</v>
      </c>
      <c r="AE108" s="15" t="s">
        <v>1590</v>
      </c>
      <c r="AF108" s="15" t="s">
        <v>1255</v>
      </c>
      <c r="AG108" s="15" t="s">
        <v>1080</v>
      </c>
      <c r="AH108" s="15" t="s">
        <v>1041</v>
      </c>
      <c r="AI108" s="15" t="s">
        <v>1042</v>
      </c>
      <c r="AJ108" s="15" t="n">
        <v>0.5</v>
      </c>
      <c r="AK108" s="15" t="n">
        <v>1.5</v>
      </c>
      <c r="AL108" s="15" t="n">
        <v>0</v>
      </c>
      <c r="AM108" s="15" t="n">
        <v>0</v>
      </c>
      <c r="AN108" s="15" t="n">
        <v>0</v>
      </c>
      <c r="AO108" s="15" t="n">
        <v>0</v>
      </c>
      <c r="AP108" s="15" t="s">
        <v>1325</v>
      </c>
      <c r="AQ108" s="15" t="s">
        <v>1021</v>
      </c>
      <c r="AR108" s="15" t="s">
        <v>169</v>
      </c>
      <c r="AS108" s="15"/>
      <c r="AT108" s="29" t="str">
        <f aca="false">IF(A108="","",IF(COUNTIF(Parcels!$A$2:$A$3000,B108)=0,"Parcel not found",IF(COUNTIF($A$2:$A$3000,A108)&gt;1,"Duplicate perm_id",IF(AND(R108="Yes",D108&lt;&gt;"",COUNTIFS($C$2:$C$3000,D108,$R$2:$R$3000,"Yes")&gt;1),"Reference counted twice",IF(COUNTIF(Lists!$A$2:$A$7,I108)=0,"Unknown status","")))))</f>
        <v/>
      </c>
    </row>
    <row r="109" customFormat="false" ht="15" hidden="false" customHeight="false" outlineLevel="0" collapsed="false">
      <c r="A109" s="15" t="s">
        <v>1591</v>
      </c>
      <c r="B109" s="15" t="s">
        <v>702</v>
      </c>
      <c r="C109" s="15" t="s">
        <v>69</v>
      </c>
      <c r="D109" s="15" t="s">
        <v>1592</v>
      </c>
      <c r="E109" s="15" t="s">
        <v>1592</v>
      </c>
      <c r="F109" s="15" t="s">
        <v>703</v>
      </c>
      <c r="G109" s="15" t="n">
        <v>10</v>
      </c>
      <c r="H109" s="15"/>
      <c r="I109" s="15" t="s">
        <v>47</v>
      </c>
      <c r="J109" s="15" t="s">
        <v>1341</v>
      </c>
      <c r="K109" s="15" t="s">
        <v>48</v>
      </c>
      <c r="L109" s="15" t="n">
        <v>10</v>
      </c>
      <c r="M109" s="15" t="n">
        <v>10</v>
      </c>
      <c r="N109" s="15" t="n">
        <v>0</v>
      </c>
      <c r="O109" s="15" t="n">
        <v>8</v>
      </c>
      <c r="P109" s="15" t="s">
        <v>1342</v>
      </c>
      <c r="Q109" s="15" t="s">
        <v>1009</v>
      </c>
      <c r="R109" s="15" t="s">
        <v>1010</v>
      </c>
      <c r="S109" s="15" t="s">
        <v>1026</v>
      </c>
      <c r="T109" s="15"/>
      <c r="U109" s="15"/>
      <c r="V109" s="15"/>
      <c r="W109" s="15"/>
      <c r="X109" s="15"/>
      <c r="Y109" s="15"/>
      <c r="Z109" s="15" t="s">
        <v>1012</v>
      </c>
      <c r="AA109" s="15" t="s">
        <v>1013</v>
      </c>
      <c r="AB109" s="15" t="s">
        <v>176</v>
      </c>
      <c r="AC109" s="15" t="s">
        <v>1027</v>
      </c>
      <c r="AD109" s="15" t="s">
        <v>1593</v>
      </c>
      <c r="AE109" s="15" t="s">
        <v>1594</v>
      </c>
      <c r="AF109" s="15" t="s">
        <v>1595</v>
      </c>
      <c r="AG109" s="15" t="s">
        <v>1087</v>
      </c>
      <c r="AH109" s="15" t="s">
        <v>1041</v>
      </c>
      <c r="AI109" s="15" t="s">
        <v>1042</v>
      </c>
      <c r="AJ109" s="15" t="n">
        <v>0</v>
      </c>
      <c r="AK109" s="15" t="n">
        <v>0</v>
      </c>
      <c r="AL109" s="15" t="n">
        <v>0</v>
      </c>
      <c r="AM109" s="15" t="n">
        <v>0</v>
      </c>
      <c r="AN109" s="15" t="n">
        <v>0</v>
      </c>
      <c r="AO109" s="15" t="n">
        <v>0</v>
      </c>
      <c r="AP109" s="15" t="s">
        <v>1325</v>
      </c>
      <c r="AQ109" s="15" t="s">
        <v>1021</v>
      </c>
      <c r="AR109" s="15" t="s">
        <v>169</v>
      </c>
      <c r="AS109" s="15"/>
      <c r="AT109" s="29" t="str">
        <f aca="false">IF(A109="","",IF(COUNTIF(Parcels!$A$2:$A$3000,B109)=0,"Parcel not found",IF(COUNTIF($A$2:$A$3000,A109)&gt;1,"Duplicate perm_id",IF(AND(R109="Yes",D109&lt;&gt;"",COUNTIFS($C$2:$C$3000,D109,$R$2:$R$3000,"Yes")&gt;1),"Reference counted twice",IF(COUNTIF(Lists!$A$2:$A$7,I109)=0,"Unknown status","")))))</f>
        <v/>
      </c>
    </row>
    <row r="110" customFormat="false" ht="15" hidden="false" customHeight="false" outlineLevel="0" collapsed="false">
      <c r="A110" s="15" t="s">
        <v>1596</v>
      </c>
      <c r="B110" s="15" t="s">
        <v>475</v>
      </c>
      <c r="C110" s="15" t="s">
        <v>51</v>
      </c>
      <c r="D110" s="15" t="s">
        <v>1597</v>
      </c>
      <c r="E110" s="15" t="s">
        <v>1597</v>
      </c>
      <c r="F110" s="15" t="s">
        <v>476</v>
      </c>
      <c r="G110" s="15" t="n">
        <v>92</v>
      </c>
      <c r="H110" s="15"/>
      <c r="I110" s="15" t="s">
        <v>48</v>
      </c>
      <c r="J110" s="15" t="s">
        <v>1008</v>
      </c>
      <c r="K110" s="15" t="s">
        <v>48</v>
      </c>
      <c r="L110" s="15" t="n">
        <v>48</v>
      </c>
      <c r="M110" s="15" t="n">
        <v>48</v>
      </c>
      <c r="N110" s="15" t="n">
        <v>44</v>
      </c>
      <c r="O110" s="15" t="n">
        <v>12</v>
      </c>
      <c r="P110" s="15"/>
      <c r="Q110" s="15" t="s">
        <v>1009</v>
      </c>
      <c r="R110" s="15" t="s">
        <v>1010</v>
      </c>
      <c r="S110" s="15" t="s">
        <v>1377</v>
      </c>
      <c r="T110" s="15" t="n">
        <v>0</v>
      </c>
      <c r="U110" s="15" t="n">
        <v>4</v>
      </c>
      <c r="V110" s="15" t="n">
        <v>48</v>
      </c>
      <c r="W110" s="15" t="n">
        <v>40</v>
      </c>
      <c r="X110" s="15" t="n">
        <v>0</v>
      </c>
      <c r="Y110" s="15" t="n">
        <v>0</v>
      </c>
      <c r="Z110" s="15" t="s">
        <v>1012</v>
      </c>
      <c r="AA110" s="15" t="s">
        <v>1013</v>
      </c>
      <c r="AB110" s="15" t="s">
        <v>176</v>
      </c>
      <c r="AC110" s="15" t="s">
        <v>1027</v>
      </c>
      <c r="AD110" s="15" t="s">
        <v>1598</v>
      </c>
      <c r="AE110" s="15" t="s">
        <v>1599</v>
      </c>
      <c r="AF110" s="15" t="s">
        <v>1600</v>
      </c>
      <c r="AG110" s="15" t="s">
        <v>1601</v>
      </c>
      <c r="AH110" s="15" t="s">
        <v>1041</v>
      </c>
      <c r="AI110" s="15" t="s">
        <v>1042</v>
      </c>
      <c r="AJ110" s="15" t="n">
        <v>21.4</v>
      </c>
      <c r="AK110" s="15" t="n">
        <v>70.6</v>
      </c>
      <c r="AL110" s="15" t="n">
        <v>0</v>
      </c>
      <c r="AM110" s="15" t="n">
        <v>0</v>
      </c>
      <c r="AN110" s="15" t="n">
        <v>0</v>
      </c>
      <c r="AO110" s="15" t="n">
        <v>0</v>
      </c>
      <c r="AP110" s="15" t="s">
        <v>1325</v>
      </c>
      <c r="AQ110" s="15" t="s">
        <v>1021</v>
      </c>
      <c r="AR110" s="15" t="s">
        <v>169</v>
      </c>
      <c r="AS110" s="15"/>
      <c r="AT110" s="29" t="str">
        <f aca="false">IF(A110="","",IF(COUNTIF(Parcels!$A$2:$A$3000,B110)=0,"Parcel not found",IF(COUNTIF($A$2:$A$3000,A110)&gt;1,"Duplicate perm_id",IF(AND(R110="Yes",D110&lt;&gt;"",COUNTIFS($C$2:$C$3000,D110,$R$2:$R$3000,"Yes")&gt;1),"Reference counted twice",IF(COUNTIF(Lists!$A$2:$A$7,I110)=0,"Unknown status","")))))</f>
        <v/>
      </c>
    </row>
    <row r="111" customFormat="false" ht="15" hidden="false" customHeight="false" outlineLevel="0" collapsed="false">
      <c r="A111" s="15" t="s">
        <v>1602</v>
      </c>
      <c r="B111" s="15" t="s">
        <v>602</v>
      </c>
      <c r="C111" s="15" t="s">
        <v>55</v>
      </c>
      <c r="D111" s="15" t="s">
        <v>1603</v>
      </c>
      <c r="E111" s="15" t="s">
        <v>1603</v>
      </c>
      <c r="F111" s="15" t="s">
        <v>603</v>
      </c>
      <c r="G111" s="15" t="n">
        <v>0</v>
      </c>
      <c r="H111" s="15"/>
      <c r="I111" s="15" t="s">
        <v>47</v>
      </c>
      <c r="J111" s="15" t="s">
        <v>1008</v>
      </c>
      <c r="K111" s="15" t="s">
        <v>47</v>
      </c>
      <c r="L111" s="15" t="n">
        <v>0</v>
      </c>
      <c r="M111" s="15" t="n">
        <v>0</v>
      </c>
      <c r="N111" s="15" t="n">
        <v>0</v>
      </c>
      <c r="O111" s="15" t="n">
        <v>0</v>
      </c>
      <c r="P111" s="15" t="s">
        <v>1334</v>
      </c>
      <c r="Q111" s="15" t="s">
        <v>1009</v>
      </c>
      <c r="R111" s="15" t="s">
        <v>1010</v>
      </c>
      <c r="S111" s="15" t="s">
        <v>1365</v>
      </c>
      <c r="T111" s="15"/>
      <c r="U111" s="15"/>
      <c r="V111" s="15"/>
      <c r="W111" s="15"/>
      <c r="X111" s="15"/>
      <c r="Y111" s="15"/>
      <c r="Z111" s="15" t="s">
        <v>1012</v>
      </c>
      <c r="AA111" s="15" t="s">
        <v>1013</v>
      </c>
      <c r="AB111" s="15" t="s">
        <v>176</v>
      </c>
      <c r="AC111" s="15" t="s">
        <v>1027</v>
      </c>
      <c r="AD111" s="15" t="s">
        <v>1604</v>
      </c>
      <c r="AE111" s="15" t="s">
        <v>1605</v>
      </c>
      <c r="AF111" s="15" t="s">
        <v>1606</v>
      </c>
      <c r="AG111" s="15"/>
      <c r="AH111" s="15"/>
      <c r="AI111" s="15" t="s">
        <v>1053</v>
      </c>
      <c r="AJ111" s="15" t="n">
        <v>0</v>
      </c>
      <c r="AK111" s="15" t="n">
        <v>0</v>
      </c>
      <c r="AL111" s="15" t="n">
        <v>0</v>
      </c>
      <c r="AM111" s="15" t="n">
        <v>0</v>
      </c>
      <c r="AN111" s="15" t="n">
        <v>0</v>
      </c>
      <c r="AO111" s="15" t="n">
        <v>0</v>
      </c>
      <c r="AP111" s="15" t="s">
        <v>1325</v>
      </c>
      <c r="AQ111" s="15" t="s">
        <v>1021</v>
      </c>
      <c r="AR111" s="15" t="s">
        <v>169</v>
      </c>
      <c r="AS111" s="15"/>
      <c r="AT111" s="29" t="str">
        <f aca="false">IF(A111="","",IF(COUNTIF(Parcels!$A$2:$A$3000,B111)=0,"Parcel not found",IF(COUNTIF($A$2:$A$3000,A111)&gt;1,"Duplicate perm_id",IF(AND(R111="Yes",D111&lt;&gt;"",COUNTIFS($C$2:$C$3000,D111,$R$2:$R$3000,"Yes")&gt;1),"Reference counted twice",IF(COUNTIF(Lists!$A$2:$A$7,I111)=0,"Unknown status","")))))</f>
        <v/>
      </c>
    </row>
    <row r="112" customFormat="false" ht="15" hidden="false" customHeight="false" outlineLevel="0" collapsed="false">
      <c r="A112" s="15" t="s">
        <v>1607</v>
      </c>
      <c r="B112" s="15" t="s">
        <v>507</v>
      </c>
      <c r="C112" s="15" t="s">
        <v>52</v>
      </c>
      <c r="D112" s="15" t="s">
        <v>1608</v>
      </c>
      <c r="E112" s="15" t="s">
        <v>1608</v>
      </c>
      <c r="F112" s="15" t="s">
        <v>508</v>
      </c>
      <c r="G112" s="15" t="n">
        <v>62</v>
      </c>
      <c r="H112" s="15"/>
      <c r="I112" s="15" t="s">
        <v>47</v>
      </c>
      <c r="J112" s="15" t="s">
        <v>1341</v>
      </c>
      <c r="K112" s="15" t="s">
        <v>48</v>
      </c>
      <c r="L112" s="15" t="n">
        <v>62</v>
      </c>
      <c r="M112" s="15" t="n">
        <v>62</v>
      </c>
      <c r="N112" s="15" t="n">
        <v>0</v>
      </c>
      <c r="O112" s="15" t="n">
        <v>0</v>
      </c>
      <c r="P112" s="15" t="s">
        <v>1342</v>
      </c>
      <c r="Q112" s="15" t="s">
        <v>1009</v>
      </c>
      <c r="R112" s="15" t="s">
        <v>1010</v>
      </c>
      <c r="S112" s="15" t="s">
        <v>1365</v>
      </c>
      <c r="T112" s="15"/>
      <c r="U112" s="15"/>
      <c r="V112" s="15"/>
      <c r="W112" s="15"/>
      <c r="X112" s="15"/>
      <c r="Y112" s="15"/>
      <c r="Z112" s="15" t="s">
        <v>1012</v>
      </c>
      <c r="AA112" s="15" t="s">
        <v>1013</v>
      </c>
      <c r="AB112" s="15" t="s">
        <v>176</v>
      </c>
      <c r="AC112" s="15" t="s">
        <v>1027</v>
      </c>
      <c r="AD112" s="15" t="s">
        <v>1609</v>
      </c>
      <c r="AE112" s="15" t="s">
        <v>1610</v>
      </c>
      <c r="AF112" s="15" t="s">
        <v>1611</v>
      </c>
      <c r="AG112" s="15" t="s">
        <v>1601</v>
      </c>
      <c r="AH112" s="15" t="s">
        <v>1041</v>
      </c>
      <c r="AI112" s="15" t="s">
        <v>1042</v>
      </c>
      <c r="AJ112" s="15" t="n">
        <v>0</v>
      </c>
      <c r="AK112" s="15" t="n">
        <v>0</v>
      </c>
      <c r="AL112" s="15" t="n">
        <v>0</v>
      </c>
      <c r="AM112" s="15" t="n">
        <v>0</v>
      </c>
      <c r="AN112" s="15" t="n">
        <v>0</v>
      </c>
      <c r="AO112" s="15" t="n">
        <v>0</v>
      </c>
      <c r="AP112" s="15" t="s">
        <v>1325</v>
      </c>
      <c r="AQ112" s="15" t="s">
        <v>1021</v>
      </c>
      <c r="AR112" s="15" t="s">
        <v>169</v>
      </c>
      <c r="AS112" s="15"/>
      <c r="AT112" s="29" t="str">
        <f aca="false">IF(A112="","",IF(COUNTIF(Parcels!$A$2:$A$3000,B112)=0,"Parcel not found",IF(COUNTIF($A$2:$A$3000,A112)&gt;1,"Duplicate perm_id",IF(AND(R112="Yes",D112&lt;&gt;"",COUNTIFS($C$2:$C$3000,D112,$R$2:$R$3000,"Yes")&gt;1),"Reference counted twice",IF(COUNTIF(Lists!$A$2:$A$7,I112)=0,"Unknown status","")))))</f>
        <v/>
      </c>
    </row>
    <row r="113" customFormat="false" ht="15" hidden="false" customHeight="false" outlineLevel="0" collapsed="false">
      <c r="A113" s="15" t="s">
        <v>1612</v>
      </c>
      <c r="B113" s="15" t="s">
        <v>704</v>
      </c>
      <c r="C113" s="15" t="s">
        <v>67</v>
      </c>
      <c r="D113" s="15" t="s">
        <v>1613</v>
      </c>
      <c r="E113" s="15" t="s">
        <v>1613</v>
      </c>
      <c r="F113" s="15" t="s">
        <v>705</v>
      </c>
      <c r="G113" s="15" t="n">
        <v>5</v>
      </c>
      <c r="H113" s="15"/>
      <c r="I113" s="15" t="s">
        <v>48</v>
      </c>
      <c r="J113" s="15" t="s">
        <v>1008</v>
      </c>
      <c r="K113" s="15" t="s">
        <v>48</v>
      </c>
      <c r="L113" s="15" t="n">
        <v>0</v>
      </c>
      <c r="M113" s="15" t="n">
        <v>0</v>
      </c>
      <c r="N113" s="15" t="n">
        <v>0</v>
      </c>
      <c r="O113" s="15" t="n">
        <v>0</v>
      </c>
      <c r="P113" s="15"/>
      <c r="Q113" s="15" t="s">
        <v>1009</v>
      </c>
      <c r="R113" s="15" t="s">
        <v>1010</v>
      </c>
      <c r="S113" s="15" t="s">
        <v>1026</v>
      </c>
      <c r="T113" s="15"/>
      <c r="U113" s="15"/>
      <c r="V113" s="15"/>
      <c r="W113" s="15"/>
      <c r="X113" s="15"/>
      <c r="Y113" s="15"/>
      <c r="Z113" s="15" t="s">
        <v>1012</v>
      </c>
      <c r="AA113" s="15" t="s">
        <v>1013</v>
      </c>
      <c r="AB113" s="15" t="s">
        <v>176</v>
      </c>
      <c r="AC113" s="15" t="s">
        <v>1027</v>
      </c>
      <c r="AD113" s="15" t="s">
        <v>1614</v>
      </c>
      <c r="AE113" s="15" t="s">
        <v>1615</v>
      </c>
      <c r="AF113" s="15" t="s">
        <v>1616</v>
      </c>
      <c r="AG113" s="15" t="s">
        <v>1040</v>
      </c>
      <c r="AH113" s="15" t="s">
        <v>1041</v>
      </c>
      <c r="AI113" s="15" t="s">
        <v>1042</v>
      </c>
      <c r="AJ113" s="15" t="n">
        <v>1.2</v>
      </c>
      <c r="AK113" s="15" t="n">
        <v>3.8</v>
      </c>
      <c r="AL113" s="15" t="n">
        <v>0</v>
      </c>
      <c r="AM113" s="15" t="n">
        <v>0</v>
      </c>
      <c r="AN113" s="15" t="n">
        <v>0</v>
      </c>
      <c r="AO113" s="15" t="n">
        <v>0</v>
      </c>
      <c r="AP113" s="15" t="s">
        <v>1325</v>
      </c>
      <c r="AQ113" s="15" t="s">
        <v>1021</v>
      </c>
      <c r="AR113" s="15" t="s">
        <v>169</v>
      </c>
      <c r="AS113" s="15"/>
      <c r="AT113" s="29" t="str">
        <f aca="false">IF(A113="","",IF(COUNTIF(Parcels!$A$2:$A$3000,B113)=0,"Parcel not found",IF(COUNTIF($A$2:$A$3000,A113)&gt;1,"Duplicate perm_id",IF(AND(R113="Yes",D113&lt;&gt;"",COUNTIFS($C$2:$C$3000,D113,$R$2:$R$3000,"Yes")&gt;1),"Reference counted twice",IF(COUNTIF(Lists!$A$2:$A$7,I113)=0,"Unknown status","")))))</f>
        <v/>
      </c>
    </row>
    <row r="114" customFormat="false" ht="15" hidden="false" customHeight="false" outlineLevel="0" collapsed="false">
      <c r="A114" s="15" t="s">
        <v>1617</v>
      </c>
      <c r="B114" s="15" t="s">
        <v>604</v>
      </c>
      <c r="C114" s="15" t="s">
        <v>55</v>
      </c>
      <c r="D114" s="15" t="s">
        <v>1618</v>
      </c>
      <c r="E114" s="15" t="s">
        <v>1618</v>
      </c>
      <c r="F114" s="15" t="s">
        <v>605</v>
      </c>
      <c r="G114" s="15" t="n">
        <v>96</v>
      </c>
      <c r="H114" s="15"/>
      <c r="I114" s="15" t="s">
        <v>48</v>
      </c>
      <c r="J114" s="15" t="s">
        <v>1008</v>
      </c>
      <c r="K114" s="15" t="s">
        <v>48</v>
      </c>
      <c r="L114" s="15" t="n">
        <v>0</v>
      </c>
      <c r="M114" s="15" t="n">
        <v>0</v>
      </c>
      <c r="N114" s="15" t="n">
        <v>5</v>
      </c>
      <c r="O114" s="15" t="n">
        <v>0</v>
      </c>
      <c r="P114" s="15"/>
      <c r="Q114" s="15" t="s">
        <v>1009</v>
      </c>
      <c r="R114" s="15" t="s">
        <v>1010</v>
      </c>
      <c r="S114" s="15" t="s">
        <v>1050</v>
      </c>
      <c r="T114" s="15" t="n">
        <v>0</v>
      </c>
      <c r="U114" s="15" t="n">
        <v>1</v>
      </c>
      <c r="V114" s="15" t="n">
        <v>70</v>
      </c>
      <c r="W114" s="15" t="n">
        <v>22</v>
      </c>
      <c r="X114" s="15" t="n">
        <v>3</v>
      </c>
      <c r="Y114" s="15" t="n">
        <v>0</v>
      </c>
      <c r="Z114" s="15" t="s">
        <v>1034</v>
      </c>
      <c r="AA114" s="15" t="s">
        <v>1013</v>
      </c>
      <c r="AB114" s="15" t="s">
        <v>176</v>
      </c>
      <c r="AC114" s="15" t="s">
        <v>1027</v>
      </c>
      <c r="AD114" s="15" t="s">
        <v>1619</v>
      </c>
      <c r="AE114" s="15" t="s">
        <v>1620</v>
      </c>
      <c r="AF114" s="15" t="s">
        <v>1621</v>
      </c>
      <c r="AG114" s="15" t="s">
        <v>1069</v>
      </c>
      <c r="AH114" s="15" t="s">
        <v>1060</v>
      </c>
      <c r="AI114" s="15" t="s">
        <v>1042</v>
      </c>
      <c r="AJ114" s="15" t="n">
        <v>0</v>
      </c>
      <c r="AK114" s="15" t="n">
        <v>38.9</v>
      </c>
      <c r="AL114" s="15" t="n">
        <v>52.8</v>
      </c>
      <c r="AM114" s="15" t="n">
        <v>4.3</v>
      </c>
      <c r="AN114" s="15" t="n">
        <v>0</v>
      </c>
      <c r="AO114" s="15" t="n">
        <v>0</v>
      </c>
      <c r="AP114" s="15" t="s">
        <v>1325</v>
      </c>
      <c r="AQ114" s="15" t="s">
        <v>1021</v>
      </c>
      <c r="AR114" s="15" t="s">
        <v>169</v>
      </c>
      <c r="AS114" s="15"/>
      <c r="AT114" s="29" t="str">
        <f aca="false">IF(A114="","",IF(COUNTIF(Parcels!$A$2:$A$3000,B114)=0,"Parcel not found",IF(COUNTIF($A$2:$A$3000,A114)&gt;1,"Duplicate perm_id",IF(AND(R114="Yes",D114&lt;&gt;"",COUNTIFS($C$2:$C$3000,D114,$R$2:$R$3000,"Yes")&gt;1),"Reference counted twice",IF(COUNTIF(Lists!$A$2:$A$7,I114)=0,"Unknown status","")))))</f>
        <v/>
      </c>
    </row>
    <row r="115" customFormat="false" ht="15" hidden="false" customHeight="false" outlineLevel="0" collapsed="false">
      <c r="A115" s="15" t="s">
        <v>1622</v>
      </c>
      <c r="B115" s="15" t="s">
        <v>604</v>
      </c>
      <c r="C115" s="15" t="s">
        <v>55</v>
      </c>
      <c r="D115" s="15" t="s">
        <v>1623</v>
      </c>
      <c r="E115" s="15" t="s">
        <v>1623</v>
      </c>
      <c r="F115" s="15" t="s">
        <v>1624</v>
      </c>
      <c r="G115" s="15" t="n">
        <v>96</v>
      </c>
      <c r="H115" s="15"/>
      <c r="I115" s="15" t="s">
        <v>48</v>
      </c>
      <c r="J115" s="15" t="s">
        <v>1008</v>
      </c>
      <c r="K115" s="15" t="s">
        <v>48</v>
      </c>
      <c r="L115" s="15" t="n">
        <v>90</v>
      </c>
      <c r="M115" s="15" t="n">
        <v>90</v>
      </c>
      <c r="N115" s="15" t="n">
        <v>0</v>
      </c>
      <c r="O115" s="15" t="n">
        <v>0</v>
      </c>
      <c r="P115" s="15"/>
      <c r="Q115" s="15" t="s">
        <v>1009</v>
      </c>
      <c r="R115" s="15" t="s">
        <v>1010</v>
      </c>
      <c r="S115" s="15" t="s">
        <v>1050</v>
      </c>
      <c r="T115" s="15" t="n">
        <v>0</v>
      </c>
      <c r="U115" s="15" t="n">
        <v>4</v>
      </c>
      <c r="V115" s="15" t="n">
        <v>30</v>
      </c>
      <c r="W115" s="15" t="n">
        <v>40</v>
      </c>
      <c r="X115" s="15" t="n">
        <v>22</v>
      </c>
      <c r="Y115" s="15" t="n">
        <v>0</v>
      </c>
      <c r="Z115" s="15" t="s">
        <v>1034</v>
      </c>
      <c r="AA115" s="15" t="s">
        <v>1013</v>
      </c>
      <c r="AB115" s="15" t="s">
        <v>176</v>
      </c>
      <c r="AC115" s="15" t="s">
        <v>1027</v>
      </c>
      <c r="AD115" s="15" t="s">
        <v>1619</v>
      </c>
      <c r="AE115" s="15" t="s">
        <v>1625</v>
      </c>
      <c r="AF115" s="15" t="s">
        <v>1626</v>
      </c>
      <c r="AG115" s="15" t="s">
        <v>1524</v>
      </c>
      <c r="AH115" s="15" t="s">
        <v>1041</v>
      </c>
      <c r="AI115" s="15" t="s">
        <v>1042</v>
      </c>
      <c r="AJ115" s="15" t="n">
        <v>22.4</v>
      </c>
      <c r="AK115" s="15" t="n">
        <v>73.6</v>
      </c>
      <c r="AL115" s="15" t="n">
        <v>0</v>
      </c>
      <c r="AM115" s="15" t="n">
        <v>0</v>
      </c>
      <c r="AN115" s="15" t="n">
        <v>0</v>
      </c>
      <c r="AO115" s="15" t="n">
        <v>0</v>
      </c>
      <c r="AP115" s="15" t="s">
        <v>1325</v>
      </c>
      <c r="AQ115" s="15" t="s">
        <v>1021</v>
      </c>
      <c r="AR115" s="15" t="s">
        <v>169</v>
      </c>
      <c r="AS115" s="15"/>
      <c r="AT115" s="29" t="str">
        <f aca="false">IF(A115="","",IF(COUNTIF(Parcels!$A$2:$A$3000,B115)=0,"Parcel not found",IF(COUNTIF($A$2:$A$3000,A115)&gt;1,"Duplicate perm_id",IF(AND(R115="Yes",D115&lt;&gt;"",COUNTIFS($C$2:$C$3000,D115,$R$2:$R$3000,"Yes")&gt;1),"Reference counted twice",IF(COUNTIF(Lists!$A$2:$A$7,I115)=0,"Unknown status","")))))</f>
        <v/>
      </c>
    </row>
    <row r="116" customFormat="false" ht="15" hidden="false" customHeight="false" outlineLevel="0" collapsed="false">
      <c r="A116" s="15" t="s">
        <v>1627</v>
      </c>
      <c r="B116" s="15" t="s">
        <v>541</v>
      </c>
      <c r="C116" s="15" t="s">
        <v>53</v>
      </c>
      <c r="D116" s="15" t="s">
        <v>1628</v>
      </c>
      <c r="E116" s="15" t="s">
        <v>1628</v>
      </c>
      <c r="F116" s="15" t="s">
        <v>542</v>
      </c>
      <c r="G116" s="15" t="n">
        <v>0</v>
      </c>
      <c r="H116" s="15"/>
      <c r="I116" s="15" t="s">
        <v>1025</v>
      </c>
      <c r="J116" s="15" t="s">
        <v>1008</v>
      </c>
      <c r="K116" s="15" t="s">
        <v>1025</v>
      </c>
      <c r="L116" s="15" t="n">
        <v>0</v>
      </c>
      <c r="M116" s="15" t="n">
        <v>0</v>
      </c>
      <c r="N116" s="15" t="n">
        <v>0</v>
      </c>
      <c r="O116" s="15" t="n">
        <v>0</v>
      </c>
      <c r="P116" s="15"/>
      <c r="Q116" s="15" t="s">
        <v>1009</v>
      </c>
      <c r="R116" s="15" t="s">
        <v>1010</v>
      </c>
      <c r="S116" s="15" t="s">
        <v>1026</v>
      </c>
      <c r="T116" s="15"/>
      <c r="U116" s="15"/>
      <c r="V116" s="15"/>
      <c r="W116" s="15"/>
      <c r="X116" s="15"/>
      <c r="Y116" s="15"/>
      <c r="Z116" s="15" t="s">
        <v>1012</v>
      </c>
      <c r="AA116" s="15" t="s">
        <v>1119</v>
      </c>
      <c r="AB116" s="15" t="s">
        <v>176</v>
      </c>
      <c r="AC116" s="15" t="s">
        <v>1027</v>
      </c>
      <c r="AD116" s="15" t="s">
        <v>1629</v>
      </c>
      <c r="AE116" s="15" t="s">
        <v>1630</v>
      </c>
      <c r="AF116" s="15"/>
      <c r="AG116" s="15"/>
      <c r="AH116" s="15"/>
      <c r="AI116" s="15" t="s">
        <v>1030</v>
      </c>
      <c r="AJ116" s="15" t="n">
        <v>0</v>
      </c>
      <c r="AK116" s="15" t="n">
        <v>0</v>
      </c>
      <c r="AL116" s="15" t="n">
        <v>0</v>
      </c>
      <c r="AM116" s="15" t="n">
        <v>0</v>
      </c>
      <c r="AN116" s="15" t="n">
        <v>0</v>
      </c>
      <c r="AO116" s="15" t="n">
        <v>0</v>
      </c>
      <c r="AP116" s="15" t="s">
        <v>1325</v>
      </c>
      <c r="AQ116" s="15" t="s">
        <v>1021</v>
      </c>
      <c r="AR116" s="15" t="s">
        <v>169</v>
      </c>
      <c r="AS116" s="15"/>
      <c r="AT116" s="29" t="str">
        <f aca="false">IF(A116="","",IF(COUNTIF(Parcels!$A$2:$A$3000,B116)=0,"Parcel not found",IF(COUNTIF($A$2:$A$3000,A116)&gt;1,"Duplicate perm_id",IF(AND(R116="Yes",D116&lt;&gt;"",COUNTIFS($C$2:$C$3000,D116,$R$2:$R$3000,"Yes")&gt;1),"Reference counted twice",IF(COUNTIF(Lists!$A$2:$A$7,I116)=0,"Unknown status","")))))</f>
        <v/>
      </c>
    </row>
    <row r="117" customFormat="false" ht="15" hidden="false" customHeight="false" outlineLevel="0" collapsed="false">
      <c r="A117" s="15" t="s">
        <v>1631</v>
      </c>
      <c r="B117" s="15" t="s">
        <v>606</v>
      </c>
      <c r="C117" s="15" t="s">
        <v>55</v>
      </c>
      <c r="D117" s="15" t="s">
        <v>1632</v>
      </c>
      <c r="E117" s="15" t="s">
        <v>1632</v>
      </c>
      <c r="F117" s="15" t="s">
        <v>607</v>
      </c>
      <c r="G117" s="15" t="n">
        <v>66</v>
      </c>
      <c r="H117" s="15"/>
      <c r="I117" s="15" t="s">
        <v>47</v>
      </c>
      <c r="J117" s="15" t="s">
        <v>1008</v>
      </c>
      <c r="K117" s="15" t="s">
        <v>47</v>
      </c>
      <c r="L117" s="15" t="n">
        <v>66</v>
      </c>
      <c r="M117" s="15" t="n">
        <v>66</v>
      </c>
      <c r="N117" s="15" t="n">
        <v>0</v>
      </c>
      <c r="O117" s="15" t="n">
        <v>0</v>
      </c>
      <c r="P117" s="15"/>
      <c r="Q117" s="15" t="s">
        <v>1009</v>
      </c>
      <c r="R117" s="15" t="s">
        <v>1010</v>
      </c>
      <c r="S117" s="15" t="s">
        <v>1050</v>
      </c>
      <c r="T117" s="15" t="n">
        <v>0</v>
      </c>
      <c r="U117" s="15" t="n">
        <v>18</v>
      </c>
      <c r="V117" s="15" t="n">
        <v>21</v>
      </c>
      <c r="W117" s="15" t="n">
        <v>27</v>
      </c>
      <c r="X117" s="15" t="n">
        <v>0</v>
      </c>
      <c r="Y117" s="15" t="n">
        <v>0</v>
      </c>
      <c r="Z117" s="15" t="s">
        <v>1034</v>
      </c>
      <c r="AA117" s="15" t="s">
        <v>1013</v>
      </c>
      <c r="AB117" s="15" t="s">
        <v>176</v>
      </c>
      <c r="AC117" s="15" t="s">
        <v>1027</v>
      </c>
      <c r="AD117" s="15" t="s">
        <v>1633</v>
      </c>
      <c r="AE117" s="15" t="s">
        <v>1634</v>
      </c>
      <c r="AF117" s="15" t="s">
        <v>1635</v>
      </c>
      <c r="AG117" s="15"/>
      <c r="AH117" s="15"/>
      <c r="AI117" s="15" t="s">
        <v>1053</v>
      </c>
      <c r="AJ117" s="15" t="n">
        <v>0</v>
      </c>
      <c r="AK117" s="15" t="n">
        <v>0</v>
      </c>
      <c r="AL117" s="15" t="n">
        <v>0</v>
      </c>
      <c r="AM117" s="15" t="n">
        <v>0</v>
      </c>
      <c r="AN117" s="15" t="n">
        <v>0</v>
      </c>
      <c r="AO117" s="15" t="n">
        <v>0</v>
      </c>
      <c r="AP117" s="15" t="s">
        <v>1325</v>
      </c>
      <c r="AQ117" s="15" t="s">
        <v>1021</v>
      </c>
      <c r="AR117" s="15" t="s">
        <v>169</v>
      </c>
      <c r="AS117" s="15"/>
      <c r="AT117" s="29" t="str">
        <f aca="false">IF(A117="","",IF(COUNTIF(Parcels!$A$2:$A$3000,B117)=0,"Parcel not found",IF(COUNTIF($A$2:$A$3000,A117)&gt;1,"Duplicate perm_id",IF(AND(R117="Yes",D117&lt;&gt;"",COUNTIFS($C$2:$C$3000,D117,$R$2:$R$3000,"Yes")&gt;1),"Reference counted twice",IF(COUNTIF(Lists!$A$2:$A$7,I117)=0,"Unknown status","")))))</f>
        <v/>
      </c>
    </row>
    <row r="118" customFormat="false" ht="15" hidden="false" customHeight="false" outlineLevel="0" collapsed="false">
      <c r="A118" s="15" t="s">
        <v>1636</v>
      </c>
      <c r="B118" s="15" t="s">
        <v>706</v>
      </c>
      <c r="C118" s="15" t="s">
        <v>22</v>
      </c>
      <c r="D118" s="15" t="s">
        <v>1637</v>
      </c>
      <c r="E118" s="15" t="s">
        <v>1637</v>
      </c>
      <c r="F118" s="15" t="s">
        <v>707</v>
      </c>
      <c r="G118" s="15" t="n">
        <v>6</v>
      </c>
      <c r="H118" s="15"/>
      <c r="I118" s="15" t="s">
        <v>48</v>
      </c>
      <c r="J118" s="15" t="s">
        <v>1008</v>
      </c>
      <c r="K118" s="15" t="s">
        <v>48</v>
      </c>
      <c r="L118" s="15" t="n">
        <v>0</v>
      </c>
      <c r="M118" s="15" t="n">
        <v>0</v>
      </c>
      <c r="N118" s="15" t="n">
        <v>0</v>
      </c>
      <c r="O118" s="15" t="n">
        <v>0</v>
      </c>
      <c r="P118" s="15"/>
      <c r="Q118" s="15" t="s">
        <v>1009</v>
      </c>
      <c r="R118" s="15" t="s">
        <v>1010</v>
      </c>
      <c r="S118" s="15" t="s">
        <v>1026</v>
      </c>
      <c r="T118" s="15"/>
      <c r="U118" s="15"/>
      <c r="V118" s="15"/>
      <c r="W118" s="15"/>
      <c r="X118" s="15"/>
      <c r="Y118" s="15"/>
      <c r="Z118" s="15" t="s">
        <v>1012</v>
      </c>
      <c r="AA118" s="15" t="s">
        <v>1013</v>
      </c>
      <c r="AB118" s="15" t="s">
        <v>176</v>
      </c>
      <c r="AC118" s="15" t="s">
        <v>1027</v>
      </c>
      <c r="AD118" s="15" t="s">
        <v>1638</v>
      </c>
      <c r="AE118" s="15" t="s">
        <v>1639</v>
      </c>
      <c r="AF118" s="15" t="s">
        <v>1640</v>
      </c>
      <c r="AG118" s="15" t="s">
        <v>1641</v>
      </c>
      <c r="AH118" s="15" t="s">
        <v>1041</v>
      </c>
      <c r="AI118" s="15" t="s">
        <v>1042</v>
      </c>
      <c r="AJ118" s="15" t="n">
        <v>1.4</v>
      </c>
      <c r="AK118" s="15" t="n">
        <v>4.6</v>
      </c>
      <c r="AL118" s="15" t="n">
        <v>0</v>
      </c>
      <c r="AM118" s="15" t="n">
        <v>0</v>
      </c>
      <c r="AN118" s="15" t="n">
        <v>0</v>
      </c>
      <c r="AO118" s="15" t="n">
        <v>0</v>
      </c>
      <c r="AP118" s="15" t="s">
        <v>1325</v>
      </c>
      <c r="AQ118" s="15" t="s">
        <v>1021</v>
      </c>
      <c r="AR118" s="15" t="s">
        <v>169</v>
      </c>
      <c r="AS118" s="15"/>
      <c r="AT118" s="29" t="str">
        <f aca="false">IF(A118="","",IF(COUNTIF(Parcels!$A$2:$A$3000,B118)=0,"Parcel not found",IF(COUNTIF($A$2:$A$3000,A118)&gt;1,"Duplicate perm_id",IF(AND(R118="Yes",D118&lt;&gt;"",COUNTIFS($C$2:$C$3000,D118,$R$2:$R$3000,"Yes")&gt;1),"Reference counted twice",IF(COUNTIF(Lists!$A$2:$A$7,I118)=0,"Unknown status","")))))</f>
        <v/>
      </c>
    </row>
    <row r="119" customFormat="false" ht="15" hidden="false" customHeight="false" outlineLevel="0" collapsed="false">
      <c r="A119" s="15" t="s">
        <v>1642</v>
      </c>
      <c r="B119" s="15" t="s">
        <v>708</v>
      </c>
      <c r="C119" s="15" t="s">
        <v>22</v>
      </c>
      <c r="D119" s="15" t="s">
        <v>1643</v>
      </c>
      <c r="E119" s="15" t="s">
        <v>1643</v>
      </c>
      <c r="F119" s="15" t="s">
        <v>709</v>
      </c>
      <c r="G119" s="15" t="n">
        <v>1</v>
      </c>
      <c r="H119" s="15"/>
      <c r="I119" s="15" t="s">
        <v>1025</v>
      </c>
      <c r="J119" s="15" t="s">
        <v>1008</v>
      </c>
      <c r="K119" s="15" t="s">
        <v>1025</v>
      </c>
      <c r="L119" s="15" t="n">
        <v>0</v>
      </c>
      <c r="M119" s="15" t="n">
        <v>0</v>
      </c>
      <c r="N119" s="15" t="n">
        <v>0</v>
      </c>
      <c r="O119" s="15" t="n">
        <v>0</v>
      </c>
      <c r="P119" s="15"/>
      <c r="Q119" s="15" t="s">
        <v>1009</v>
      </c>
      <c r="R119" s="15" t="s">
        <v>1010</v>
      </c>
      <c r="S119" s="15" t="s">
        <v>1026</v>
      </c>
      <c r="T119" s="15"/>
      <c r="U119" s="15"/>
      <c r="V119" s="15"/>
      <c r="W119" s="15"/>
      <c r="X119" s="15"/>
      <c r="Y119" s="15"/>
      <c r="Z119" s="15" t="s">
        <v>1012</v>
      </c>
      <c r="AA119" s="15" t="s">
        <v>1013</v>
      </c>
      <c r="AB119" s="15" t="s">
        <v>176</v>
      </c>
      <c r="AC119" s="15" t="s">
        <v>1027</v>
      </c>
      <c r="AD119" s="15" t="s">
        <v>1644</v>
      </c>
      <c r="AE119" s="15" t="s">
        <v>1645</v>
      </c>
      <c r="AF119" s="15"/>
      <c r="AG119" s="15"/>
      <c r="AH119" s="15"/>
      <c r="AI119" s="15" t="s">
        <v>1030</v>
      </c>
      <c r="AJ119" s="15" t="n">
        <v>0</v>
      </c>
      <c r="AK119" s="15" t="n">
        <v>0</v>
      </c>
      <c r="AL119" s="15" t="n">
        <v>0</v>
      </c>
      <c r="AM119" s="15" t="n">
        <v>0</v>
      </c>
      <c r="AN119" s="15" t="n">
        <v>0</v>
      </c>
      <c r="AO119" s="15" t="n">
        <v>0</v>
      </c>
      <c r="AP119" s="15" t="s">
        <v>1325</v>
      </c>
      <c r="AQ119" s="15" t="s">
        <v>1021</v>
      </c>
      <c r="AR119" s="15" t="s">
        <v>169</v>
      </c>
      <c r="AS119" s="15"/>
      <c r="AT119" s="29" t="str">
        <f aca="false">IF(A119="","",IF(COUNTIF(Parcels!$A$2:$A$3000,B119)=0,"Parcel not found",IF(COUNTIF($A$2:$A$3000,A119)&gt;1,"Duplicate perm_id",IF(AND(R119="Yes",D119&lt;&gt;"",COUNTIFS($C$2:$C$3000,D119,$R$2:$R$3000,"Yes")&gt;1),"Reference counted twice",IF(COUNTIF(Lists!$A$2:$A$7,I119)=0,"Unknown status","")))))</f>
        <v/>
      </c>
    </row>
    <row r="120" customFormat="false" ht="15" hidden="false" customHeight="false" outlineLevel="0" collapsed="false">
      <c r="A120" s="15" t="s">
        <v>1646</v>
      </c>
      <c r="B120" s="15" t="s">
        <v>509</v>
      </c>
      <c r="C120" s="15" t="s">
        <v>52</v>
      </c>
      <c r="D120" s="15" t="s">
        <v>1647</v>
      </c>
      <c r="E120" s="15" t="s">
        <v>1647</v>
      </c>
      <c r="F120" s="15" t="s">
        <v>510</v>
      </c>
      <c r="G120" s="15" t="n">
        <v>3</v>
      </c>
      <c r="H120" s="15"/>
      <c r="I120" s="15" t="s">
        <v>47</v>
      </c>
      <c r="J120" s="15" t="s">
        <v>1341</v>
      </c>
      <c r="K120" s="15" t="s">
        <v>48</v>
      </c>
      <c r="L120" s="15" t="n">
        <v>3</v>
      </c>
      <c r="M120" s="15" t="n">
        <v>3</v>
      </c>
      <c r="N120" s="15" t="n">
        <v>0</v>
      </c>
      <c r="O120" s="15" t="n">
        <v>0</v>
      </c>
      <c r="P120" s="15" t="s">
        <v>1342</v>
      </c>
      <c r="Q120" s="15" t="s">
        <v>1009</v>
      </c>
      <c r="R120" s="15" t="s">
        <v>1010</v>
      </c>
      <c r="S120" s="15" t="s">
        <v>1026</v>
      </c>
      <c r="T120" s="15"/>
      <c r="U120" s="15"/>
      <c r="V120" s="15"/>
      <c r="W120" s="15"/>
      <c r="X120" s="15"/>
      <c r="Y120" s="15"/>
      <c r="Z120" s="15" t="s">
        <v>1034</v>
      </c>
      <c r="AA120" s="15" t="s">
        <v>1013</v>
      </c>
      <c r="AB120" s="15" t="s">
        <v>176</v>
      </c>
      <c r="AC120" s="15" t="s">
        <v>1027</v>
      </c>
      <c r="AD120" s="15" t="s">
        <v>1648</v>
      </c>
      <c r="AE120" s="15" t="s">
        <v>1649</v>
      </c>
      <c r="AF120" s="15" t="s">
        <v>1650</v>
      </c>
      <c r="AG120" s="15" t="s">
        <v>1560</v>
      </c>
      <c r="AH120" s="15" t="s">
        <v>1041</v>
      </c>
      <c r="AI120" s="15" t="s">
        <v>1042</v>
      </c>
      <c r="AJ120" s="15" t="n">
        <v>0</v>
      </c>
      <c r="AK120" s="15" t="n">
        <v>0</v>
      </c>
      <c r="AL120" s="15" t="n">
        <v>0</v>
      </c>
      <c r="AM120" s="15" t="n">
        <v>0</v>
      </c>
      <c r="AN120" s="15" t="n">
        <v>0</v>
      </c>
      <c r="AO120" s="15" t="n">
        <v>0</v>
      </c>
      <c r="AP120" s="15" t="s">
        <v>1325</v>
      </c>
      <c r="AQ120" s="15" t="s">
        <v>1021</v>
      </c>
      <c r="AR120" s="15" t="s">
        <v>169</v>
      </c>
      <c r="AS120" s="15"/>
      <c r="AT120" s="29" t="str">
        <f aca="false">IF(A120="","",IF(COUNTIF(Parcels!$A$2:$A$3000,B120)=0,"Parcel not found",IF(COUNTIF($A$2:$A$3000,A120)&gt;1,"Duplicate perm_id",IF(AND(R120="Yes",D120&lt;&gt;"",COUNTIFS($C$2:$C$3000,D120,$R$2:$R$3000,"Yes")&gt;1),"Reference counted twice",IF(COUNTIF(Lists!$A$2:$A$7,I120)=0,"Unknown status","")))))</f>
        <v/>
      </c>
    </row>
    <row r="121" customFormat="false" ht="15" hidden="false" customHeight="false" outlineLevel="0" collapsed="false">
      <c r="A121" s="15" t="s">
        <v>1651</v>
      </c>
      <c r="B121" s="15" t="s">
        <v>608</v>
      </c>
      <c r="C121" s="15" t="s">
        <v>55</v>
      </c>
      <c r="D121" s="15" t="s">
        <v>1652</v>
      </c>
      <c r="E121" s="15" t="s">
        <v>1652</v>
      </c>
      <c r="F121" s="15" t="s">
        <v>609</v>
      </c>
      <c r="G121" s="15" t="n">
        <v>29</v>
      </c>
      <c r="H121" s="15"/>
      <c r="I121" s="15" t="s">
        <v>48</v>
      </c>
      <c r="J121" s="15" t="s">
        <v>1008</v>
      </c>
      <c r="K121" s="15" t="s">
        <v>48</v>
      </c>
      <c r="L121" s="15" t="n">
        <v>13</v>
      </c>
      <c r="M121" s="15" t="n">
        <v>13</v>
      </c>
      <c r="N121" s="15" t="n">
        <v>0</v>
      </c>
      <c r="O121" s="15" t="n">
        <v>0</v>
      </c>
      <c r="P121" s="15"/>
      <c r="Q121" s="15" t="s">
        <v>1009</v>
      </c>
      <c r="R121" s="15" t="s">
        <v>1010</v>
      </c>
      <c r="S121" s="15" t="s">
        <v>1050</v>
      </c>
      <c r="T121" s="15" t="n">
        <v>0</v>
      </c>
      <c r="U121" s="15" t="n">
        <v>0</v>
      </c>
      <c r="V121" s="15" t="n">
        <v>12</v>
      </c>
      <c r="W121" s="15" t="n">
        <v>16</v>
      </c>
      <c r="X121" s="15" t="n">
        <v>1</v>
      </c>
      <c r="Y121" s="15" t="n">
        <v>0</v>
      </c>
      <c r="Z121" s="15" t="s">
        <v>1143</v>
      </c>
      <c r="AA121" s="15" t="s">
        <v>1013</v>
      </c>
      <c r="AB121" s="15" t="s">
        <v>176</v>
      </c>
      <c r="AC121" s="15" t="s">
        <v>1027</v>
      </c>
      <c r="AD121" s="15" t="s">
        <v>1653</v>
      </c>
      <c r="AE121" s="15" t="s">
        <v>1654</v>
      </c>
      <c r="AF121" s="15" t="s">
        <v>1655</v>
      </c>
      <c r="AG121" s="15" t="s">
        <v>1641</v>
      </c>
      <c r="AH121" s="15" t="s">
        <v>1041</v>
      </c>
      <c r="AI121" s="15" t="s">
        <v>1042</v>
      </c>
      <c r="AJ121" s="15" t="n">
        <v>6.8</v>
      </c>
      <c r="AK121" s="15" t="n">
        <v>22.2</v>
      </c>
      <c r="AL121" s="15" t="n">
        <v>0</v>
      </c>
      <c r="AM121" s="15" t="n">
        <v>0</v>
      </c>
      <c r="AN121" s="15" t="n">
        <v>0</v>
      </c>
      <c r="AO121" s="15" t="n">
        <v>0</v>
      </c>
      <c r="AP121" s="15" t="s">
        <v>1325</v>
      </c>
      <c r="AQ121" s="15" t="s">
        <v>1021</v>
      </c>
      <c r="AR121" s="15" t="s">
        <v>169</v>
      </c>
      <c r="AS121" s="15"/>
      <c r="AT121" s="29" t="str">
        <f aca="false">IF(A121="","",IF(COUNTIF(Parcels!$A$2:$A$3000,B121)=0,"Parcel not found",IF(COUNTIF($A$2:$A$3000,A121)&gt;1,"Duplicate perm_id",IF(AND(R121="Yes",D121&lt;&gt;"",COUNTIFS($C$2:$C$3000,D121,$R$2:$R$3000,"Yes")&gt;1),"Reference counted twice",IF(COUNTIF(Lists!$A$2:$A$7,I121)=0,"Unknown status","")))))</f>
        <v/>
      </c>
    </row>
    <row r="122" customFormat="false" ht="15" hidden="false" customHeight="false" outlineLevel="0" collapsed="false">
      <c r="A122" s="15" t="s">
        <v>1656</v>
      </c>
      <c r="B122" s="15" t="s">
        <v>608</v>
      </c>
      <c r="C122" s="15" t="s">
        <v>55</v>
      </c>
      <c r="D122" s="15" t="s">
        <v>1657</v>
      </c>
      <c r="E122" s="15" t="s">
        <v>1657</v>
      </c>
      <c r="F122" s="15" t="s">
        <v>1658</v>
      </c>
      <c r="G122" s="15" t="n">
        <v>0</v>
      </c>
      <c r="H122" s="15"/>
      <c r="I122" s="15" t="s">
        <v>1007</v>
      </c>
      <c r="J122" s="15" t="s">
        <v>1008</v>
      </c>
      <c r="K122" s="15" t="s">
        <v>1007</v>
      </c>
      <c r="L122" s="15" t="n">
        <v>0</v>
      </c>
      <c r="M122" s="15" t="n">
        <v>0</v>
      </c>
      <c r="N122" s="15" t="n">
        <v>0</v>
      </c>
      <c r="O122" s="15" t="n">
        <v>0</v>
      </c>
      <c r="P122" s="15"/>
      <c r="Q122" s="15" t="s">
        <v>1009</v>
      </c>
      <c r="R122" s="15" t="s">
        <v>1010</v>
      </c>
      <c r="S122" s="15" t="s">
        <v>1026</v>
      </c>
      <c r="T122" s="15"/>
      <c r="U122" s="15"/>
      <c r="V122" s="15"/>
      <c r="W122" s="15"/>
      <c r="X122" s="15"/>
      <c r="Y122" s="15"/>
      <c r="Z122" s="15" t="s">
        <v>1136</v>
      </c>
      <c r="AA122" s="15" t="s">
        <v>1013</v>
      </c>
      <c r="AB122" s="15" t="s">
        <v>176</v>
      </c>
      <c r="AC122" s="15" t="s">
        <v>1027</v>
      </c>
      <c r="AD122" s="15" t="s">
        <v>1659</v>
      </c>
      <c r="AE122" s="15" t="s">
        <v>1654</v>
      </c>
      <c r="AF122" s="15"/>
      <c r="AG122" s="15"/>
      <c r="AH122" s="15"/>
      <c r="AI122" s="15" t="s">
        <v>1030</v>
      </c>
      <c r="AJ122" s="15" t="n">
        <v>0</v>
      </c>
      <c r="AK122" s="15" t="n">
        <v>0</v>
      </c>
      <c r="AL122" s="15" t="n">
        <v>0</v>
      </c>
      <c r="AM122" s="15" t="n">
        <v>0</v>
      </c>
      <c r="AN122" s="15" t="n">
        <v>0</v>
      </c>
      <c r="AO122" s="15" t="n">
        <v>0</v>
      </c>
      <c r="AP122" s="15" t="s">
        <v>1325</v>
      </c>
      <c r="AQ122" s="15" t="s">
        <v>1021</v>
      </c>
      <c r="AR122" s="15" t="s">
        <v>169</v>
      </c>
      <c r="AS122" s="15"/>
      <c r="AT122" s="29" t="str">
        <f aca="false">IF(A122="","",IF(COUNTIF(Parcels!$A$2:$A$3000,B122)=0,"Parcel not found",IF(COUNTIF($A$2:$A$3000,A122)&gt;1,"Duplicate perm_id",IF(AND(R122="Yes",D122&lt;&gt;"",COUNTIFS($C$2:$C$3000,D122,$R$2:$R$3000,"Yes")&gt;1),"Reference counted twice",IF(COUNTIF(Lists!$A$2:$A$7,I122)=0,"Unknown status","")))))</f>
        <v/>
      </c>
    </row>
    <row r="123" customFormat="false" ht="15" hidden="false" customHeight="false" outlineLevel="0" collapsed="false">
      <c r="A123" s="15" t="s">
        <v>1660</v>
      </c>
      <c r="B123" s="15" t="s">
        <v>608</v>
      </c>
      <c r="C123" s="15" t="s">
        <v>55</v>
      </c>
      <c r="D123" s="15" t="s">
        <v>1661</v>
      </c>
      <c r="E123" s="15" t="s">
        <v>1661</v>
      </c>
      <c r="F123" s="15" t="s">
        <v>1662</v>
      </c>
      <c r="G123" s="15" t="n">
        <v>25</v>
      </c>
      <c r="H123" s="15"/>
      <c r="I123" s="15" t="s">
        <v>47</v>
      </c>
      <c r="J123" s="15" t="s">
        <v>1008</v>
      </c>
      <c r="K123" s="15" t="s">
        <v>47</v>
      </c>
      <c r="L123" s="15" t="n">
        <v>25</v>
      </c>
      <c r="M123" s="15" t="n">
        <v>19</v>
      </c>
      <c r="N123" s="15" t="n">
        <v>0</v>
      </c>
      <c r="O123" s="15" t="n">
        <v>0</v>
      </c>
      <c r="P123" s="15" t="s">
        <v>1135</v>
      </c>
      <c r="Q123" s="15" t="s">
        <v>1009</v>
      </c>
      <c r="R123" s="15" t="s">
        <v>1010</v>
      </c>
      <c r="S123" s="15" t="s">
        <v>1026</v>
      </c>
      <c r="T123" s="15"/>
      <c r="U123" s="15"/>
      <c r="V123" s="15"/>
      <c r="W123" s="15"/>
      <c r="X123" s="15"/>
      <c r="Y123" s="15"/>
      <c r="Z123" s="15" t="s">
        <v>1143</v>
      </c>
      <c r="AA123" s="15" t="s">
        <v>1013</v>
      </c>
      <c r="AB123" s="15" t="s">
        <v>176</v>
      </c>
      <c r="AC123" s="15" t="s">
        <v>1027</v>
      </c>
      <c r="AD123" s="15" t="s">
        <v>1663</v>
      </c>
      <c r="AE123" s="15" t="s">
        <v>1664</v>
      </c>
      <c r="AF123" s="15" t="s">
        <v>1665</v>
      </c>
      <c r="AG123" s="15"/>
      <c r="AH123" s="15"/>
      <c r="AI123" s="15" t="s">
        <v>1053</v>
      </c>
      <c r="AJ123" s="15" t="n">
        <v>0</v>
      </c>
      <c r="AK123" s="15" t="n">
        <v>0</v>
      </c>
      <c r="AL123" s="15" t="n">
        <v>0</v>
      </c>
      <c r="AM123" s="15" t="n">
        <v>0</v>
      </c>
      <c r="AN123" s="15" t="n">
        <v>0</v>
      </c>
      <c r="AO123" s="15" t="n">
        <v>0</v>
      </c>
      <c r="AP123" s="15" t="s">
        <v>1325</v>
      </c>
      <c r="AQ123" s="15" t="s">
        <v>1021</v>
      </c>
      <c r="AR123" s="15" t="s">
        <v>169</v>
      </c>
      <c r="AS123" s="15"/>
      <c r="AT123" s="29" t="str">
        <f aca="false">IF(A123="","",IF(COUNTIF(Parcels!$A$2:$A$3000,B123)=0,"Parcel not found",IF(COUNTIF($A$2:$A$3000,A123)&gt;1,"Duplicate perm_id",IF(AND(R123="Yes",D123&lt;&gt;"",COUNTIFS($C$2:$C$3000,D123,$R$2:$R$3000,"Yes")&gt;1),"Reference counted twice",IF(COUNTIF(Lists!$A$2:$A$7,I123)=0,"Unknown status","")))))</f>
        <v/>
      </c>
    </row>
    <row r="124" customFormat="false" ht="15" hidden="false" customHeight="false" outlineLevel="0" collapsed="false">
      <c r="A124" s="15" t="s">
        <v>1666</v>
      </c>
      <c r="B124" s="15" t="s">
        <v>710</v>
      </c>
      <c r="C124" s="15" t="s">
        <v>70</v>
      </c>
      <c r="D124" s="15" t="s">
        <v>1667</v>
      </c>
      <c r="E124" s="15" t="s">
        <v>1667</v>
      </c>
      <c r="F124" s="15" t="s">
        <v>711</v>
      </c>
      <c r="G124" s="15" t="n">
        <v>14</v>
      </c>
      <c r="H124" s="15"/>
      <c r="I124" s="15" t="s">
        <v>1007</v>
      </c>
      <c r="J124" s="15" t="s">
        <v>1008</v>
      </c>
      <c r="K124" s="15" t="s">
        <v>1007</v>
      </c>
      <c r="L124" s="15" t="n">
        <v>0</v>
      </c>
      <c r="M124" s="15" t="n">
        <v>0</v>
      </c>
      <c r="N124" s="15" t="n">
        <v>0</v>
      </c>
      <c r="O124" s="15" t="n">
        <v>0</v>
      </c>
      <c r="P124" s="15"/>
      <c r="Q124" s="15" t="s">
        <v>1009</v>
      </c>
      <c r="R124" s="15" t="s">
        <v>1010</v>
      </c>
      <c r="S124" s="15" t="s">
        <v>1346</v>
      </c>
      <c r="T124" s="15"/>
      <c r="U124" s="15"/>
      <c r="V124" s="15"/>
      <c r="W124" s="15"/>
      <c r="X124" s="15"/>
      <c r="Y124" s="15"/>
      <c r="Z124" s="15" t="s">
        <v>1012</v>
      </c>
      <c r="AA124" s="15" t="s">
        <v>1013</v>
      </c>
      <c r="AB124" s="15" t="s">
        <v>176</v>
      </c>
      <c r="AC124" s="15" t="s">
        <v>1027</v>
      </c>
      <c r="AD124" s="15" t="s">
        <v>1668</v>
      </c>
      <c r="AE124" s="15" t="s">
        <v>1669</v>
      </c>
      <c r="AF124" s="15"/>
      <c r="AG124" s="15" t="s">
        <v>1017</v>
      </c>
      <c r="AH124" s="15" t="s">
        <v>1194</v>
      </c>
      <c r="AI124" s="15" t="s">
        <v>1019</v>
      </c>
      <c r="AJ124" s="15" t="n">
        <v>0</v>
      </c>
      <c r="AK124" s="15" t="n">
        <v>0</v>
      </c>
      <c r="AL124" s="15" t="n">
        <v>8.2</v>
      </c>
      <c r="AM124" s="15" t="n">
        <v>5.8</v>
      </c>
      <c r="AN124" s="15" t="n">
        <v>0</v>
      </c>
      <c r="AO124" s="15" t="n">
        <v>0</v>
      </c>
      <c r="AP124" s="15" t="s">
        <v>1325</v>
      </c>
      <c r="AQ124" s="15" t="s">
        <v>1670</v>
      </c>
      <c r="AR124" s="15" t="s">
        <v>169</v>
      </c>
      <c r="AS124" s="15"/>
      <c r="AT124" s="29" t="str">
        <f aca="false">IF(A124="","",IF(COUNTIF(Parcels!$A$2:$A$3000,B124)=0,"Parcel not found",IF(COUNTIF($A$2:$A$3000,A124)&gt;1,"Duplicate perm_id",IF(AND(R124="Yes",D124&lt;&gt;"",COUNTIFS($C$2:$C$3000,D124,$R$2:$R$3000,"Yes")&gt;1),"Reference counted twice",IF(COUNTIF(Lists!$A$2:$A$7,I124)=0,"Unknown status","")))))</f>
        <v/>
      </c>
    </row>
    <row r="125" customFormat="false" ht="15" hidden="false" customHeight="false" outlineLevel="0" collapsed="false">
      <c r="A125" s="15" t="s">
        <v>1671</v>
      </c>
      <c r="B125" s="15" t="s">
        <v>543</v>
      </c>
      <c r="C125" s="15" t="s">
        <v>53</v>
      </c>
      <c r="D125" s="15" t="s">
        <v>1672</v>
      </c>
      <c r="E125" s="15" t="s">
        <v>1672</v>
      </c>
      <c r="F125" s="15" t="s">
        <v>544</v>
      </c>
      <c r="G125" s="15" t="n">
        <v>15</v>
      </c>
      <c r="H125" s="15"/>
      <c r="I125" s="15" t="s">
        <v>1025</v>
      </c>
      <c r="J125" s="15" t="s">
        <v>1008</v>
      </c>
      <c r="K125" s="15" t="s">
        <v>1025</v>
      </c>
      <c r="L125" s="15" t="n">
        <v>0</v>
      </c>
      <c r="M125" s="15" t="n">
        <v>0</v>
      </c>
      <c r="N125" s="15" t="n">
        <v>0</v>
      </c>
      <c r="O125" s="15" t="n">
        <v>0</v>
      </c>
      <c r="P125" s="15"/>
      <c r="Q125" s="15" t="s">
        <v>1009</v>
      </c>
      <c r="R125" s="15" t="s">
        <v>1010</v>
      </c>
      <c r="S125" s="15" t="s">
        <v>1026</v>
      </c>
      <c r="T125" s="15"/>
      <c r="U125" s="15"/>
      <c r="V125" s="15"/>
      <c r="W125" s="15"/>
      <c r="X125" s="15"/>
      <c r="Y125" s="15"/>
      <c r="Z125" s="15" t="s">
        <v>1012</v>
      </c>
      <c r="AA125" s="15" t="s">
        <v>1013</v>
      </c>
      <c r="AB125" s="15" t="s">
        <v>176</v>
      </c>
      <c r="AC125" s="15" t="s">
        <v>1027</v>
      </c>
      <c r="AD125" s="15" t="s">
        <v>1673</v>
      </c>
      <c r="AE125" s="15" t="s">
        <v>1674</v>
      </c>
      <c r="AF125" s="15"/>
      <c r="AG125" s="15"/>
      <c r="AH125" s="15"/>
      <c r="AI125" s="15" t="s">
        <v>1030</v>
      </c>
      <c r="AJ125" s="15" t="n">
        <v>0</v>
      </c>
      <c r="AK125" s="15" t="n">
        <v>0</v>
      </c>
      <c r="AL125" s="15" t="n">
        <v>0</v>
      </c>
      <c r="AM125" s="15" t="n">
        <v>0</v>
      </c>
      <c r="AN125" s="15" t="n">
        <v>0</v>
      </c>
      <c r="AO125" s="15" t="n">
        <v>0</v>
      </c>
      <c r="AP125" s="15" t="s">
        <v>1325</v>
      </c>
      <c r="AQ125" s="15" t="s">
        <v>1021</v>
      </c>
      <c r="AR125" s="15" t="s">
        <v>169</v>
      </c>
      <c r="AS125" s="15"/>
      <c r="AT125" s="29" t="str">
        <f aca="false">IF(A125="","",IF(COUNTIF(Parcels!$A$2:$A$3000,B125)=0,"Parcel not found",IF(COUNTIF($A$2:$A$3000,A125)&gt;1,"Duplicate perm_id",IF(AND(R125="Yes",D125&lt;&gt;"",COUNTIFS($C$2:$C$3000,D125,$R$2:$R$3000,"Yes")&gt;1),"Reference counted twice",IF(COUNTIF(Lists!$A$2:$A$7,I125)=0,"Unknown status","")))))</f>
        <v/>
      </c>
    </row>
    <row r="126" customFormat="false" ht="15" hidden="false" customHeight="false" outlineLevel="0" collapsed="false">
      <c r="A126" s="15" t="s">
        <v>1675</v>
      </c>
      <c r="B126" s="15" t="s">
        <v>712</v>
      </c>
      <c r="C126" s="15" t="s">
        <v>22</v>
      </c>
      <c r="D126" s="15" t="s">
        <v>1676</v>
      </c>
      <c r="E126" s="15" t="s">
        <v>1676</v>
      </c>
      <c r="F126" s="15" t="s">
        <v>713</v>
      </c>
      <c r="G126" s="15" t="n">
        <v>4</v>
      </c>
      <c r="H126" s="15"/>
      <c r="I126" s="15" t="s">
        <v>48</v>
      </c>
      <c r="J126" s="15" t="s">
        <v>1008</v>
      </c>
      <c r="K126" s="15" t="s">
        <v>48</v>
      </c>
      <c r="L126" s="15" t="n">
        <v>0</v>
      </c>
      <c r="M126" s="15" t="n">
        <v>0</v>
      </c>
      <c r="N126" s="15" t="n">
        <v>1</v>
      </c>
      <c r="O126" s="15" t="n">
        <v>0</v>
      </c>
      <c r="P126" s="15"/>
      <c r="Q126" s="15" t="s">
        <v>1009</v>
      </c>
      <c r="R126" s="15" t="s">
        <v>1010</v>
      </c>
      <c r="S126" s="15" t="s">
        <v>1026</v>
      </c>
      <c r="T126" s="15"/>
      <c r="U126" s="15"/>
      <c r="V126" s="15"/>
      <c r="W126" s="15"/>
      <c r="X126" s="15"/>
      <c r="Y126" s="15"/>
      <c r="Z126" s="15" t="s">
        <v>1012</v>
      </c>
      <c r="AA126" s="15" t="s">
        <v>1013</v>
      </c>
      <c r="AB126" s="15" t="s">
        <v>176</v>
      </c>
      <c r="AC126" s="15" t="s">
        <v>1027</v>
      </c>
      <c r="AD126" s="15" t="s">
        <v>1677</v>
      </c>
      <c r="AE126" s="15" t="s">
        <v>1678</v>
      </c>
      <c r="AF126" s="15" t="s">
        <v>1679</v>
      </c>
      <c r="AG126" s="15" t="s">
        <v>1641</v>
      </c>
      <c r="AH126" s="15" t="s">
        <v>1041</v>
      </c>
      <c r="AI126" s="15" t="s">
        <v>1042</v>
      </c>
      <c r="AJ126" s="15" t="n">
        <v>0.9</v>
      </c>
      <c r="AK126" s="15" t="n">
        <v>3.1</v>
      </c>
      <c r="AL126" s="15" t="n">
        <v>0</v>
      </c>
      <c r="AM126" s="15" t="n">
        <v>0</v>
      </c>
      <c r="AN126" s="15" t="n">
        <v>0</v>
      </c>
      <c r="AO126" s="15" t="n">
        <v>0</v>
      </c>
      <c r="AP126" s="15" t="s">
        <v>1325</v>
      </c>
      <c r="AQ126" s="15" t="s">
        <v>1021</v>
      </c>
      <c r="AR126" s="15" t="s">
        <v>169</v>
      </c>
      <c r="AS126" s="15"/>
      <c r="AT126" s="29" t="str">
        <f aca="false">IF(A126="","",IF(COUNTIF(Parcels!$A$2:$A$3000,B126)=0,"Parcel not found",IF(COUNTIF($A$2:$A$3000,A126)&gt;1,"Duplicate perm_id",IF(AND(R126="Yes",D126&lt;&gt;"",COUNTIFS($C$2:$C$3000,D126,$R$2:$R$3000,"Yes")&gt;1),"Reference counted twice",IF(COUNTIF(Lists!$A$2:$A$7,I126)=0,"Unknown status","")))))</f>
        <v/>
      </c>
    </row>
    <row r="127" customFormat="false" ht="15" hidden="false" customHeight="false" outlineLevel="0" collapsed="false">
      <c r="A127" s="15" t="s">
        <v>1680</v>
      </c>
      <c r="B127" s="15" t="s">
        <v>714</v>
      </c>
      <c r="C127" s="15" t="s">
        <v>22</v>
      </c>
      <c r="D127" s="15" t="s">
        <v>1681</v>
      </c>
      <c r="E127" s="15" t="s">
        <v>1681</v>
      </c>
      <c r="F127" s="15" t="s">
        <v>715</v>
      </c>
      <c r="G127" s="15" t="n">
        <v>2</v>
      </c>
      <c r="H127" s="15"/>
      <c r="I127" s="15" t="s">
        <v>48</v>
      </c>
      <c r="J127" s="15" t="s">
        <v>1008</v>
      </c>
      <c r="K127" s="15" t="s">
        <v>48</v>
      </c>
      <c r="L127" s="15" t="n">
        <v>0</v>
      </c>
      <c r="M127" s="15" t="n">
        <v>0</v>
      </c>
      <c r="N127" s="15" t="n">
        <v>2</v>
      </c>
      <c r="O127" s="15" t="n">
        <v>0</v>
      </c>
      <c r="P127" s="15"/>
      <c r="Q127" s="15" t="s">
        <v>1009</v>
      </c>
      <c r="R127" s="15" t="s">
        <v>1010</v>
      </c>
      <c r="S127" s="15" t="s">
        <v>1026</v>
      </c>
      <c r="T127" s="15"/>
      <c r="U127" s="15"/>
      <c r="V127" s="15"/>
      <c r="W127" s="15"/>
      <c r="X127" s="15"/>
      <c r="Y127" s="15"/>
      <c r="Z127" s="15" t="s">
        <v>1012</v>
      </c>
      <c r="AA127" s="15" t="s">
        <v>1013</v>
      </c>
      <c r="AB127" s="15" t="s">
        <v>176</v>
      </c>
      <c r="AC127" s="15" t="s">
        <v>1027</v>
      </c>
      <c r="AD127" s="15" t="s">
        <v>1682</v>
      </c>
      <c r="AE127" s="15" t="s">
        <v>1683</v>
      </c>
      <c r="AF127" s="15" t="s">
        <v>1684</v>
      </c>
      <c r="AG127" s="15" t="s">
        <v>1391</v>
      </c>
      <c r="AH127" s="15" t="s">
        <v>1041</v>
      </c>
      <c r="AI127" s="15" t="s">
        <v>1042</v>
      </c>
      <c r="AJ127" s="15" t="n">
        <v>0.5</v>
      </c>
      <c r="AK127" s="15" t="n">
        <v>1.5</v>
      </c>
      <c r="AL127" s="15" t="n">
        <v>0</v>
      </c>
      <c r="AM127" s="15" t="n">
        <v>0</v>
      </c>
      <c r="AN127" s="15" t="n">
        <v>0</v>
      </c>
      <c r="AO127" s="15" t="n">
        <v>0</v>
      </c>
      <c r="AP127" s="15" t="s">
        <v>1325</v>
      </c>
      <c r="AQ127" s="15" t="s">
        <v>1021</v>
      </c>
      <c r="AR127" s="15" t="s">
        <v>169</v>
      </c>
      <c r="AS127" s="15"/>
      <c r="AT127" s="29" t="str">
        <f aca="false">IF(A127="","",IF(COUNTIF(Parcels!$A$2:$A$3000,B127)=0,"Parcel not found",IF(COUNTIF($A$2:$A$3000,A127)&gt;1,"Duplicate perm_id",IF(AND(R127="Yes",D127&lt;&gt;"",COUNTIFS($C$2:$C$3000,D127,$R$2:$R$3000,"Yes")&gt;1),"Reference counted twice",IF(COUNTIF(Lists!$A$2:$A$7,I127)=0,"Unknown status","")))))</f>
        <v/>
      </c>
    </row>
    <row r="128" customFormat="false" ht="15" hidden="false" customHeight="false" outlineLevel="0" collapsed="false">
      <c r="A128" s="15" t="s">
        <v>1685</v>
      </c>
      <c r="B128" s="15" t="s">
        <v>511</v>
      </c>
      <c r="C128" s="15" t="s">
        <v>52</v>
      </c>
      <c r="D128" s="15" t="s">
        <v>1686</v>
      </c>
      <c r="E128" s="15" t="s">
        <v>1686</v>
      </c>
      <c r="F128" s="15" t="s">
        <v>1687</v>
      </c>
      <c r="G128" s="15" t="n">
        <v>90</v>
      </c>
      <c r="H128" s="15"/>
      <c r="I128" s="15" t="s">
        <v>48</v>
      </c>
      <c r="J128" s="15" t="s">
        <v>1008</v>
      </c>
      <c r="K128" s="15" t="s">
        <v>48</v>
      </c>
      <c r="L128" s="15" t="n">
        <v>46</v>
      </c>
      <c r="M128" s="15" t="n">
        <v>46</v>
      </c>
      <c r="N128" s="15" t="n">
        <v>13</v>
      </c>
      <c r="O128" s="15" t="n">
        <v>0</v>
      </c>
      <c r="P128" s="15"/>
      <c r="Q128" s="15" t="s">
        <v>1009</v>
      </c>
      <c r="R128" s="15" t="s">
        <v>1010</v>
      </c>
      <c r="S128" s="15" t="s">
        <v>1026</v>
      </c>
      <c r="T128" s="15"/>
      <c r="U128" s="15"/>
      <c r="V128" s="15"/>
      <c r="W128" s="15"/>
      <c r="X128" s="15"/>
      <c r="Y128" s="15"/>
      <c r="Z128" s="15" t="s">
        <v>1034</v>
      </c>
      <c r="AA128" s="15" t="s">
        <v>1013</v>
      </c>
      <c r="AB128" s="15" t="s">
        <v>176</v>
      </c>
      <c r="AC128" s="15" t="s">
        <v>1027</v>
      </c>
      <c r="AD128" s="15" t="s">
        <v>1688</v>
      </c>
      <c r="AE128" s="15" t="s">
        <v>1689</v>
      </c>
      <c r="AF128" s="15" t="s">
        <v>1015</v>
      </c>
      <c r="AG128" s="15" t="s">
        <v>1690</v>
      </c>
      <c r="AH128" s="15" t="s">
        <v>1041</v>
      </c>
      <c r="AI128" s="15" t="s">
        <v>1042</v>
      </c>
      <c r="AJ128" s="15" t="n">
        <v>21</v>
      </c>
      <c r="AK128" s="15" t="n">
        <v>69</v>
      </c>
      <c r="AL128" s="15" t="n">
        <v>0</v>
      </c>
      <c r="AM128" s="15" t="n">
        <v>0</v>
      </c>
      <c r="AN128" s="15" t="n">
        <v>0</v>
      </c>
      <c r="AO128" s="15" t="n">
        <v>0</v>
      </c>
      <c r="AP128" s="15" t="s">
        <v>1325</v>
      </c>
      <c r="AQ128" s="15" t="s">
        <v>1021</v>
      </c>
      <c r="AR128" s="15" t="s">
        <v>169</v>
      </c>
      <c r="AS128" s="15"/>
      <c r="AT128" s="29" t="str">
        <f aca="false">IF(A128="","",IF(COUNTIF(Parcels!$A$2:$A$3000,B128)=0,"Parcel not found",IF(COUNTIF($A$2:$A$3000,A128)&gt;1,"Duplicate perm_id",IF(AND(R128="Yes",D128&lt;&gt;"",COUNTIFS($C$2:$C$3000,D128,$R$2:$R$3000,"Yes")&gt;1),"Reference counted twice",IF(COUNTIF(Lists!$A$2:$A$7,I128)=0,"Unknown status","")))))</f>
        <v/>
      </c>
    </row>
    <row r="129" customFormat="false" ht="15" hidden="false" customHeight="false" outlineLevel="0" collapsed="false">
      <c r="A129" s="15" t="s">
        <v>1691</v>
      </c>
      <c r="B129" s="15" t="s">
        <v>511</v>
      </c>
      <c r="C129" s="15" t="s">
        <v>52</v>
      </c>
      <c r="D129" s="15" t="s">
        <v>1692</v>
      </c>
      <c r="E129" s="15" t="s">
        <v>1692</v>
      </c>
      <c r="F129" s="15" t="s">
        <v>1693</v>
      </c>
      <c r="G129" s="15" t="n">
        <v>92</v>
      </c>
      <c r="H129" s="15"/>
      <c r="I129" s="15" t="s">
        <v>47</v>
      </c>
      <c r="J129" s="15" t="s">
        <v>1008</v>
      </c>
      <c r="K129" s="15" t="s">
        <v>47</v>
      </c>
      <c r="L129" s="15" t="n">
        <v>92</v>
      </c>
      <c r="M129" s="15" t="n">
        <v>86</v>
      </c>
      <c r="N129" s="15" t="n">
        <v>0</v>
      </c>
      <c r="O129" s="15" t="n">
        <v>0</v>
      </c>
      <c r="P129" s="15" t="s">
        <v>1135</v>
      </c>
      <c r="Q129" s="15" t="s">
        <v>1009</v>
      </c>
      <c r="R129" s="15" t="s">
        <v>1010</v>
      </c>
      <c r="S129" s="15" t="s">
        <v>1026</v>
      </c>
      <c r="T129" s="15"/>
      <c r="U129" s="15"/>
      <c r="V129" s="15"/>
      <c r="W129" s="15"/>
      <c r="X129" s="15"/>
      <c r="Y129" s="15"/>
      <c r="Z129" s="15" t="s">
        <v>1034</v>
      </c>
      <c r="AA129" s="15" t="s">
        <v>1013</v>
      </c>
      <c r="AB129" s="15" t="s">
        <v>176</v>
      </c>
      <c r="AC129" s="15" t="s">
        <v>1027</v>
      </c>
      <c r="AD129" s="15" t="s">
        <v>1694</v>
      </c>
      <c r="AE129" s="15" t="s">
        <v>1695</v>
      </c>
      <c r="AF129" s="15" t="s">
        <v>1696</v>
      </c>
      <c r="AG129" s="15"/>
      <c r="AH129" s="15"/>
      <c r="AI129" s="15" t="s">
        <v>1053</v>
      </c>
      <c r="AJ129" s="15" t="n">
        <v>0</v>
      </c>
      <c r="AK129" s="15" t="n">
        <v>0</v>
      </c>
      <c r="AL129" s="15" t="n">
        <v>0</v>
      </c>
      <c r="AM129" s="15" t="n">
        <v>0</v>
      </c>
      <c r="AN129" s="15" t="n">
        <v>0</v>
      </c>
      <c r="AO129" s="15" t="n">
        <v>0</v>
      </c>
      <c r="AP129" s="15" t="s">
        <v>1325</v>
      </c>
      <c r="AQ129" s="15" t="s">
        <v>1021</v>
      </c>
      <c r="AR129" s="15" t="s">
        <v>169</v>
      </c>
      <c r="AS129" s="15"/>
      <c r="AT129" s="29" t="str">
        <f aca="false">IF(A129="","",IF(COUNTIF(Parcels!$A$2:$A$3000,B129)=0,"Parcel not found",IF(COUNTIF($A$2:$A$3000,A129)&gt;1,"Duplicate perm_id",IF(AND(R129="Yes",D129&lt;&gt;"",COUNTIFS($C$2:$C$3000,D129,$R$2:$R$3000,"Yes")&gt;1),"Reference counted twice",IF(COUNTIF(Lists!$A$2:$A$7,I129)=0,"Unknown status","")))))</f>
        <v/>
      </c>
    </row>
    <row r="130" customFormat="false" ht="15" hidden="false" customHeight="false" outlineLevel="0" collapsed="false">
      <c r="A130" s="15" t="s">
        <v>1697</v>
      </c>
      <c r="B130" s="15" t="s">
        <v>511</v>
      </c>
      <c r="C130" s="15" t="s">
        <v>52</v>
      </c>
      <c r="D130" s="15" t="s">
        <v>1698</v>
      </c>
      <c r="E130" s="15" t="s">
        <v>1698</v>
      </c>
      <c r="F130" s="15" t="s">
        <v>512</v>
      </c>
      <c r="G130" s="15" t="n">
        <v>105</v>
      </c>
      <c r="H130" s="15"/>
      <c r="I130" s="15" t="s">
        <v>47</v>
      </c>
      <c r="J130" s="15" t="s">
        <v>1008</v>
      </c>
      <c r="K130" s="15" t="s">
        <v>47</v>
      </c>
      <c r="L130" s="15" t="n">
        <v>105</v>
      </c>
      <c r="M130" s="15" t="n">
        <v>37</v>
      </c>
      <c r="N130" s="15" t="n">
        <v>29</v>
      </c>
      <c r="O130" s="15" t="n">
        <v>0</v>
      </c>
      <c r="P130" s="15" t="s">
        <v>1135</v>
      </c>
      <c r="Q130" s="15" t="s">
        <v>1009</v>
      </c>
      <c r="R130" s="15" t="s">
        <v>1010</v>
      </c>
      <c r="S130" s="15" t="s">
        <v>1011</v>
      </c>
      <c r="T130" s="15" t="n">
        <v>0</v>
      </c>
      <c r="U130" s="15" t="n">
        <v>8</v>
      </c>
      <c r="V130" s="15" t="n">
        <v>24</v>
      </c>
      <c r="W130" s="15" t="n">
        <v>54</v>
      </c>
      <c r="X130" s="15" t="n">
        <v>3</v>
      </c>
      <c r="Y130" s="15" t="n">
        <v>0</v>
      </c>
      <c r="Z130" s="15" t="s">
        <v>1034</v>
      </c>
      <c r="AA130" s="15" t="s">
        <v>1013</v>
      </c>
      <c r="AB130" s="15" t="s">
        <v>176</v>
      </c>
      <c r="AC130" s="15" t="s">
        <v>1027</v>
      </c>
      <c r="AD130" s="15" t="s">
        <v>1699</v>
      </c>
      <c r="AE130" s="15" t="s">
        <v>1700</v>
      </c>
      <c r="AF130" s="15" t="s">
        <v>1701</v>
      </c>
      <c r="AG130" s="15"/>
      <c r="AH130" s="15"/>
      <c r="AI130" s="15" t="s">
        <v>1053</v>
      </c>
      <c r="AJ130" s="15" t="n">
        <v>0</v>
      </c>
      <c r="AK130" s="15" t="n">
        <v>0</v>
      </c>
      <c r="AL130" s="15" t="n">
        <v>0</v>
      </c>
      <c r="AM130" s="15" t="n">
        <v>0</v>
      </c>
      <c r="AN130" s="15" t="n">
        <v>0</v>
      </c>
      <c r="AO130" s="15" t="n">
        <v>0</v>
      </c>
      <c r="AP130" s="15" t="s">
        <v>1325</v>
      </c>
      <c r="AQ130" s="15" t="s">
        <v>1021</v>
      </c>
      <c r="AR130" s="15" t="s">
        <v>169</v>
      </c>
      <c r="AS130" s="15"/>
      <c r="AT130" s="29" t="str">
        <f aca="false">IF(A130="","",IF(COUNTIF(Parcels!$A$2:$A$3000,B130)=0,"Parcel not found",IF(COUNTIF($A$2:$A$3000,A130)&gt;1,"Duplicate perm_id",IF(AND(R130="Yes",D130&lt;&gt;"",COUNTIFS($C$2:$C$3000,D130,$R$2:$R$3000,"Yes")&gt;1),"Reference counted twice",IF(COUNTIF(Lists!$A$2:$A$7,I130)=0,"Unknown status","")))))</f>
        <v/>
      </c>
    </row>
    <row r="131" customFormat="false" ht="15" hidden="false" customHeight="false" outlineLevel="0" collapsed="false">
      <c r="A131" s="15" t="s">
        <v>1702</v>
      </c>
      <c r="B131" s="15" t="s">
        <v>511</v>
      </c>
      <c r="C131" s="15" t="s">
        <v>52</v>
      </c>
      <c r="D131" s="15" t="s">
        <v>1703</v>
      </c>
      <c r="E131" s="15" t="s">
        <v>1703</v>
      </c>
      <c r="F131" s="15" t="s">
        <v>1704</v>
      </c>
      <c r="G131" s="15" t="n">
        <v>98</v>
      </c>
      <c r="H131" s="15"/>
      <c r="I131" s="15" t="s">
        <v>48</v>
      </c>
      <c r="J131" s="15" t="s">
        <v>1008</v>
      </c>
      <c r="K131" s="15" t="s">
        <v>48</v>
      </c>
      <c r="L131" s="15" t="n">
        <v>0</v>
      </c>
      <c r="M131" s="15" t="n">
        <v>0</v>
      </c>
      <c r="N131" s="15" t="n">
        <v>9</v>
      </c>
      <c r="O131" s="15" t="n">
        <v>0</v>
      </c>
      <c r="P131" s="15"/>
      <c r="Q131" s="15" t="s">
        <v>1009</v>
      </c>
      <c r="R131" s="15" t="s">
        <v>1010</v>
      </c>
      <c r="S131" s="15" t="s">
        <v>1011</v>
      </c>
      <c r="T131" s="15" t="n">
        <v>0</v>
      </c>
      <c r="U131" s="15" t="n">
        <v>8</v>
      </c>
      <c r="V131" s="15" t="n">
        <v>66</v>
      </c>
      <c r="W131" s="15" t="n">
        <v>18</v>
      </c>
      <c r="X131" s="15" t="n">
        <v>6</v>
      </c>
      <c r="Y131" s="15" t="n">
        <v>0</v>
      </c>
      <c r="Z131" s="15" t="s">
        <v>1034</v>
      </c>
      <c r="AA131" s="15" t="s">
        <v>1013</v>
      </c>
      <c r="AB131" s="15" t="s">
        <v>176</v>
      </c>
      <c r="AC131" s="15" t="s">
        <v>1027</v>
      </c>
      <c r="AD131" s="15" t="s">
        <v>1705</v>
      </c>
      <c r="AE131" s="15" t="s">
        <v>1706</v>
      </c>
      <c r="AF131" s="15" t="s">
        <v>1707</v>
      </c>
      <c r="AG131" s="15" t="s">
        <v>1040</v>
      </c>
      <c r="AH131" s="15" t="s">
        <v>1041</v>
      </c>
      <c r="AI131" s="15" t="s">
        <v>1042</v>
      </c>
      <c r="AJ131" s="15" t="n">
        <v>22.8</v>
      </c>
      <c r="AK131" s="15" t="n">
        <v>75.2</v>
      </c>
      <c r="AL131" s="15" t="n">
        <v>0</v>
      </c>
      <c r="AM131" s="15" t="n">
        <v>0</v>
      </c>
      <c r="AN131" s="15" t="n">
        <v>0</v>
      </c>
      <c r="AO131" s="15" t="n">
        <v>0</v>
      </c>
      <c r="AP131" s="15" t="s">
        <v>1325</v>
      </c>
      <c r="AQ131" s="15" t="s">
        <v>1021</v>
      </c>
      <c r="AR131" s="15" t="s">
        <v>169</v>
      </c>
      <c r="AS131" s="15"/>
      <c r="AT131" s="29" t="str">
        <f aca="false">IF(A131="","",IF(COUNTIF(Parcels!$A$2:$A$3000,B131)=0,"Parcel not found",IF(COUNTIF($A$2:$A$3000,A131)&gt;1,"Duplicate perm_id",IF(AND(R131="Yes",D131&lt;&gt;"",COUNTIFS($C$2:$C$3000,D131,$R$2:$R$3000,"Yes")&gt;1),"Reference counted twice",IF(COUNTIF(Lists!$A$2:$A$7,I131)=0,"Unknown status","")))))</f>
        <v/>
      </c>
    </row>
    <row r="132" customFormat="false" ht="15" hidden="false" customHeight="false" outlineLevel="0" collapsed="false">
      <c r="A132" s="15" t="s">
        <v>1708</v>
      </c>
      <c r="B132" s="15" t="s">
        <v>716</v>
      </c>
      <c r="C132" s="15" t="s">
        <v>72</v>
      </c>
      <c r="D132" s="15" t="s">
        <v>1709</v>
      </c>
      <c r="E132" s="15" t="s">
        <v>1709</v>
      </c>
      <c r="F132" s="15" t="s">
        <v>717</v>
      </c>
      <c r="G132" s="15" t="n">
        <v>14</v>
      </c>
      <c r="H132" s="15"/>
      <c r="I132" s="15" t="s">
        <v>48</v>
      </c>
      <c r="J132" s="15" t="s">
        <v>1008</v>
      </c>
      <c r="K132" s="15" t="s">
        <v>48</v>
      </c>
      <c r="L132" s="15" t="n">
        <v>0</v>
      </c>
      <c r="M132" s="15" t="n">
        <v>0</v>
      </c>
      <c r="N132" s="15" t="n">
        <v>10</v>
      </c>
      <c r="O132" s="15" t="n">
        <v>0</v>
      </c>
      <c r="P132" s="15"/>
      <c r="Q132" s="15" t="s">
        <v>1009</v>
      </c>
      <c r="R132" s="15" t="s">
        <v>1010</v>
      </c>
      <c r="S132" s="15" t="s">
        <v>1026</v>
      </c>
      <c r="T132" s="15"/>
      <c r="U132" s="15"/>
      <c r="V132" s="15"/>
      <c r="W132" s="15"/>
      <c r="X132" s="15"/>
      <c r="Y132" s="15"/>
      <c r="Z132" s="15" t="s">
        <v>1012</v>
      </c>
      <c r="AA132" s="15" t="s">
        <v>1035</v>
      </c>
      <c r="AB132" s="15" t="s">
        <v>1036</v>
      </c>
      <c r="AC132" s="15" t="s">
        <v>1027</v>
      </c>
      <c r="AD132" s="15" t="s">
        <v>1710</v>
      </c>
      <c r="AE132" s="15" t="s">
        <v>1711</v>
      </c>
      <c r="AF132" s="15" t="s">
        <v>1712</v>
      </c>
      <c r="AG132" s="15" t="s">
        <v>1087</v>
      </c>
      <c r="AH132" s="15" t="s">
        <v>1041</v>
      </c>
      <c r="AI132" s="15" t="s">
        <v>1042</v>
      </c>
      <c r="AJ132" s="15" t="n">
        <v>3.3</v>
      </c>
      <c r="AK132" s="15" t="n">
        <v>10.7</v>
      </c>
      <c r="AL132" s="15" t="n">
        <v>0</v>
      </c>
      <c r="AM132" s="15" t="n">
        <v>0</v>
      </c>
      <c r="AN132" s="15" t="n">
        <v>0</v>
      </c>
      <c r="AO132" s="15" t="n">
        <v>0</v>
      </c>
      <c r="AP132" s="15" t="s">
        <v>1325</v>
      </c>
      <c r="AQ132" s="15" t="s">
        <v>1021</v>
      </c>
      <c r="AR132" s="15" t="s">
        <v>169</v>
      </c>
      <c r="AS132" s="15"/>
      <c r="AT132" s="29" t="str">
        <f aca="false">IF(A132="","",IF(COUNTIF(Parcels!$A$2:$A$3000,B132)=0,"Parcel not found",IF(COUNTIF($A$2:$A$3000,A132)&gt;1,"Duplicate perm_id",IF(AND(R132="Yes",D132&lt;&gt;"",COUNTIFS($C$2:$C$3000,D132,$R$2:$R$3000,"Yes")&gt;1),"Reference counted twice",IF(COUNTIF(Lists!$A$2:$A$7,I132)=0,"Unknown status","")))))</f>
        <v/>
      </c>
    </row>
    <row r="133" customFormat="false" ht="15" hidden="false" customHeight="false" outlineLevel="0" collapsed="false">
      <c r="A133" s="15" t="s">
        <v>1713</v>
      </c>
      <c r="B133" s="15" t="s">
        <v>610</v>
      </c>
      <c r="C133" s="15" t="s">
        <v>55</v>
      </c>
      <c r="D133" s="15" t="s">
        <v>1714</v>
      </c>
      <c r="E133" s="15" t="s">
        <v>1714</v>
      </c>
      <c r="F133" s="15" t="s">
        <v>611</v>
      </c>
      <c r="G133" s="15" t="n">
        <v>99</v>
      </c>
      <c r="H133" s="15"/>
      <c r="I133" s="15" t="s">
        <v>48</v>
      </c>
      <c r="J133" s="15" t="s">
        <v>1008</v>
      </c>
      <c r="K133" s="15" t="s">
        <v>48</v>
      </c>
      <c r="L133" s="15" t="n">
        <v>0</v>
      </c>
      <c r="M133" s="15" t="n">
        <v>0</v>
      </c>
      <c r="N133" s="15" t="n">
        <v>39</v>
      </c>
      <c r="O133" s="15" t="n">
        <v>0</v>
      </c>
      <c r="P133" s="15"/>
      <c r="Q133" s="15" t="s">
        <v>1009</v>
      </c>
      <c r="R133" s="15" t="s">
        <v>1010</v>
      </c>
      <c r="S133" s="15" t="s">
        <v>1011</v>
      </c>
      <c r="T133" s="15" t="n">
        <v>0</v>
      </c>
      <c r="U133" s="15" t="n">
        <v>19</v>
      </c>
      <c r="V133" s="15" t="n">
        <v>32</v>
      </c>
      <c r="W133" s="15" t="n">
        <v>44</v>
      </c>
      <c r="X133" s="15" t="n">
        <v>4</v>
      </c>
      <c r="Y133" s="15" t="n">
        <v>0</v>
      </c>
      <c r="Z133" s="15" t="s">
        <v>1034</v>
      </c>
      <c r="AA133" s="15" t="s">
        <v>1013</v>
      </c>
      <c r="AB133" s="15" t="s">
        <v>176</v>
      </c>
      <c r="AC133" s="15" t="s">
        <v>1027</v>
      </c>
      <c r="AD133" s="15" t="s">
        <v>1715</v>
      </c>
      <c r="AE133" s="15" t="s">
        <v>1716</v>
      </c>
      <c r="AF133" s="15" t="s">
        <v>1717</v>
      </c>
      <c r="AG133" s="15" t="s">
        <v>1087</v>
      </c>
      <c r="AH133" s="15" t="s">
        <v>1041</v>
      </c>
      <c r="AI133" s="15" t="s">
        <v>1042</v>
      </c>
      <c r="AJ133" s="15" t="n">
        <v>23.1</v>
      </c>
      <c r="AK133" s="15" t="n">
        <v>75.9</v>
      </c>
      <c r="AL133" s="15" t="n">
        <v>0</v>
      </c>
      <c r="AM133" s="15" t="n">
        <v>0</v>
      </c>
      <c r="AN133" s="15" t="n">
        <v>0</v>
      </c>
      <c r="AO133" s="15" t="n">
        <v>0</v>
      </c>
      <c r="AP133" s="15" t="s">
        <v>1325</v>
      </c>
      <c r="AQ133" s="15" t="s">
        <v>1021</v>
      </c>
      <c r="AR133" s="15" t="s">
        <v>169</v>
      </c>
      <c r="AS133" s="15"/>
      <c r="AT133" s="29" t="str">
        <f aca="false">IF(A133="","",IF(COUNTIF(Parcels!$A$2:$A$3000,B133)=0,"Parcel not found",IF(COUNTIF($A$2:$A$3000,A133)&gt;1,"Duplicate perm_id",IF(AND(R133="Yes",D133&lt;&gt;"",COUNTIFS($C$2:$C$3000,D133,$R$2:$R$3000,"Yes")&gt;1),"Reference counted twice",IF(COUNTIF(Lists!$A$2:$A$7,I133)=0,"Unknown status","")))))</f>
        <v/>
      </c>
    </row>
    <row r="134" customFormat="false" ht="15" hidden="false" customHeight="false" outlineLevel="0" collapsed="false">
      <c r="A134" s="15" t="s">
        <v>1718</v>
      </c>
      <c r="B134" s="15" t="s">
        <v>612</v>
      </c>
      <c r="C134" s="15" t="s">
        <v>55</v>
      </c>
      <c r="D134" s="15" t="s">
        <v>1719</v>
      </c>
      <c r="E134" s="15" t="s">
        <v>1719</v>
      </c>
      <c r="F134" s="15" t="s">
        <v>613</v>
      </c>
      <c r="G134" s="15" t="n">
        <v>101</v>
      </c>
      <c r="H134" s="15"/>
      <c r="I134" s="15" t="s">
        <v>48</v>
      </c>
      <c r="J134" s="15" t="s">
        <v>1008</v>
      </c>
      <c r="K134" s="15" t="s">
        <v>48</v>
      </c>
      <c r="L134" s="15" t="n">
        <v>51</v>
      </c>
      <c r="M134" s="15" t="n">
        <v>51</v>
      </c>
      <c r="N134" s="15" t="n">
        <v>50</v>
      </c>
      <c r="O134" s="15" t="n">
        <v>0</v>
      </c>
      <c r="P134" s="15"/>
      <c r="Q134" s="15" t="s">
        <v>1009</v>
      </c>
      <c r="R134" s="15" t="s">
        <v>1010</v>
      </c>
      <c r="S134" s="15" t="s">
        <v>1011</v>
      </c>
      <c r="T134" s="15" t="n">
        <v>0</v>
      </c>
      <c r="U134" s="15" t="n">
        <v>19</v>
      </c>
      <c r="V134" s="15" t="n">
        <v>32</v>
      </c>
      <c r="W134" s="15" t="n">
        <v>46</v>
      </c>
      <c r="X134" s="15" t="n">
        <v>4</v>
      </c>
      <c r="Y134" s="15" t="n">
        <v>0</v>
      </c>
      <c r="Z134" s="15" t="s">
        <v>1034</v>
      </c>
      <c r="AA134" s="15" t="s">
        <v>1013</v>
      </c>
      <c r="AB134" s="15" t="s">
        <v>176</v>
      </c>
      <c r="AC134" s="15" t="s">
        <v>1027</v>
      </c>
      <c r="AD134" s="15" t="s">
        <v>1715</v>
      </c>
      <c r="AE134" s="15" t="s">
        <v>1716</v>
      </c>
      <c r="AF134" s="15" t="s">
        <v>1720</v>
      </c>
      <c r="AG134" s="15" t="s">
        <v>1539</v>
      </c>
      <c r="AH134" s="15" t="s">
        <v>1041</v>
      </c>
      <c r="AI134" s="15" t="s">
        <v>1042</v>
      </c>
      <c r="AJ134" s="15" t="n">
        <v>23.5</v>
      </c>
      <c r="AK134" s="15" t="n">
        <v>77.5</v>
      </c>
      <c r="AL134" s="15" t="n">
        <v>0</v>
      </c>
      <c r="AM134" s="15" t="n">
        <v>0</v>
      </c>
      <c r="AN134" s="15" t="n">
        <v>0</v>
      </c>
      <c r="AO134" s="15" t="n">
        <v>0</v>
      </c>
      <c r="AP134" s="15" t="s">
        <v>1325</v>
      </c>
      <c r="AQ134" s="15" t="s">
        <v>1021</v>
      </c>
      <c r="AR134" s="15" t="s">
        <v>169</v>
      </c>
      <c r="AS134" s="15"/>
      <c r="AT134" s="29" t="str">
        <f aca="false">IF(A134="","",IF(COUNTIF(Parcels!$A$2:$A$3000,B134)=0,"Parcel not found",IF(COUNTIF($A$2:$A$3000,A134)&gt;1,"Duplicate perm_id",IF(AND(R134="Yes",D134&lt;&gt;"",COUNTIFS($C$2:$C$3000,D134,$R$2:$R$3000,"Yes")&gt;1),"Reference counted twice",IF(COUNTIF(Lists!$A$2:$A$7,I134)=0,"Unknown status","")))))</f>
        <v/>
      </c>
    </row>
    <row r="135" customFormat="false" ht="15" hidden="false" customHeight="false" outlineLevel="0" collapsed="false">
      <c r="A135" s="15" t="s">
        <v>1721</v>
      </c>
      <c r="B135" s="15" t="s">
        <v>638</v>
      </c>
      <c r="C135" s="15" t="s">
        <v>57</v>
      </c>
      <c r="D135" s="15" t="s">
        <v>1722</v>
      </c>
      <c r="E135" s="15" t="s">
        <v>1722</v>
      </c>
      <c r="F135" s="15" t="s">
        <v>639</v>
      </c>
      <c r="G135" s="15" t="n">
        <v>15</v>
      </c>
      <c r="H135" s="15"/>
      <c r="I135" s="15" t="s">
        <v>47</v>
      </c>
      <c r="J135" s="15" t="s">
        <v>1008</v>
      </c>
      <c r="K135" s="15" t="s">
        <v>47</v>
      </c>
      <c r="L135" s="15" t="n">
        <v>15</v>
      </c>
      <c r="M135" s="15" t="n">
        <v>15</v>
      </c>
      <c r="N135" s="15" t="n">
        <v>0</v>
      </c>
      <c r="O135" s="15" t="n">
        <v>0</v>
      </c>
      <c r="P135" s="15"/>
      <c r="Q135" s="15" t="s">
        <v>1009</v>
      </c>
      <c r="R135" s="15" t="s">
        <v>1010</v>
      </c>
      <c r="S135" s="15" t="s">
        <v>1011</v>
      </c>
      <c r="T135" s="15" t="n">
        <v>0</v>
      </c>
      <c r="U135" s="15" t="n">
        <v>6</v>
      </c>
      <c r="V135" s="15" t="n">
        <v>9</v>
      </c>
      <c r="W135" s="15" t="n">
        <v>0</v>
      </c>
      <c r="X135" s="15" t="n">
        <v>0</v>
      </c>
      <c r="Y135" s="15" t="n">
        <v>0</v>
      </c>
      <c r="Z135" s="15" t="s">
        <v>1012</v>
      </c>
      <c r="AA135" s="15" t="s">
        <v>1035</v>
      </c>
      <c r="AB135" s="15" t="s">
        <v>1065</v>
      </c>
      <c r="AC135" s="15" t="s">
        <v>1027</v>
      </c>
      <c r="AD135" s="15" t="s">
        <v>1723</v>
      </c>
      <c r="AE135" s="15" t="s">
        <v>1724</v>
      </c>
      <c r="AF135" s="15" t="s">
        <v>1725</v>
      </c>
      <c r="AG135" s="15"/>
      <c r="AH135" s="15"/>
      <c r="AI135" s="15" t="s">
        <v>1053</v>
      </c>
      <c r="AJ135" s="15" t="n">
        <v>0</v>
      </c>
      <c r="AK135" s="15" t="n">
        <v>0</v>
      </c>
      <c r="AL135" s="15" t="n">
        <v>0</v>
      </c>
      <c r="AM135" s="15" t="n">
        <v>0</v>
      </c>
      <c r="AN135" s="15" t="n">
        <v>0</v>
      </c>
      <c r="AO135" s="15" t="n">
        <v>0</v>
      </c>
      <c r="AP135" s="15" t="s">
        <v>1325</v>
      </c>
      <c r="AQ135" s="15" t="s">
        <v>1021</v>
      </c>
      <c r="AR135" s="15" t="s">
        <v>169</v>
      </c>
      <c r="AS135" s="15"/>
      <c r="AT135" s="29" t="str">
        <f aca="false">IF(A135="","",IF(COUNTIF(Parcels!$A$2:$A$3000,B135)=0,"Parcel not found",IF(COUNTIF($A$2:$A$3000,A135)&gt;1,"Duplicate perm_id",IF(AND(R135="Yes",D135&lt;&gt;"",COUNTIFS($C$2:$C$3000,D135,$R$2:$R$3000,"Yes")&gt;1),"Reference counted twice",IF(COUNTIF(Lists!$A$2:$A$7,I135)=0,"Unknown status","")))))</f>
        <v/>
      </c>
    </row>
    <row r="136" customFormat="false" ht="15" hidden="false" customHeight="false" outlineLevel="0" collapsed="false">
      <c r="A136" s="15" t="s">
        <v>1726</v>
      </c>
      <c r="B136" s="15" t="s">
        <v>640</v>
      </c>
      <c r="C136" s="15" t="s">
        <v>57</v>
      </c>
      <c r="D136" s="15" t="s">
        <v>1727</v>
      </c>
      <c r="E136" s="15" t="s">
        <v>1727</v>
      </c>
      <c r="F136" s="15" t="s">
        <v>641</v>
      </c>
      <c r="G136" s="15" t="n">
        <v>6</v>
      </c>
      <c r="H136" s="15"/>
      <c r="I136" s="15" t="s">
        <v>48</v>
      </c>
      <c r="J136" s="15" t="s">
        <v>1008</v>
      </c>
      <c r="K136" s="15" t="s">
        <v>48</v>
      </c>
      <c r="L136" s="15" t="n">
        <v>0</v>
      </c>
      <c r="M136" s="15" t="n">
        <v>0</v>
      </c>
      <c r="N136" s="15" t="n">
        <v>0</v>
      </c>
      <c r="O136" s="15" t="n">
        <v>0</v>
      </c>
      <c r="P136" s="15"/>
      <c r="Q136" s="15" t="s">
        <v>1009</v>
      </c>
      <c r="R136" s="15" t="s">
        <v>1010</v>
      </c>
      <c r="S136" s="15" t="s">
        <v>1026</v>
      </c>
      <c r="T136" s="15"/>
      <c r="U136" s="15"/>
      <c r="V136" s="15"/>
      <c r="W136" s="15"/>
      <c r="X136" s="15"/>
      <c r="Y136" s="15"/>
      <c r="Z136" s="15" t="s">
        <v>1012</v>
      </c>
      <c r="AA136" s="15" t="s">
        <v>1013</v>
      </c>
      <c r="AB136" s="15" t="s">
        <v>176</v>
      </c>
      <c r="AC136" s="15" t="s">
        <v>1027</v>
      </c>
      <c r="AD136" s="15" t="s">
        <v>1728</v>
      </c>
      <c r="AE136" s="15" t="s">
        <v>1729</v>
      </c>
      <c r="AF136" s="15" t="s">
        <v>1730</v>
      </c>
      <c r="AG136" s="15" t="s">
        <v>1731</v>
      </c>
      <c r="AH136" s="15" t="s">
        <v>1041</v>
      </c>
      <c r="AI136" s="15" t="s">
        <v>1042</v>
      </c>
      <c r="AJ136" s="15" t="n">
        <v>0.2</v>
      </c>
      <c r="AK136" s="15" t="n">
        <v>5.8</v>
      </c>
      <c r="AL136" s="15" t="n">
        <v>0</v>
      </c>
      <c r="AM136" s="15" t="n">
        <v>0</v>
      </c>
      <c r="AN136" s="15" t="n">
        <v>0</v>
      </c>
      <c r="AO136" s="15" t="n">
        <v>0</v>
      </c>
      <c r="AP136" s="15" t="s">
        <v>1325</v>
      </c>
      <c r="AQ136" s="15" t="s">
        <v>1021</v>
      </c>
      <c r="AR136" s="15" t="s">
        <v>169</v>
      </c>
      <c r="AS136" s="15"/>
      <c r="AT136" s="29" t="str">
        <f aca="false">IF(A136="","",IF(COUNTIF(Parcels!$A$2:$A$3000,B136)=0,"Parcel not found",IF(COUNTIF($A$2:$A$3000,A136)&gt;1,"Duplicate perm_id",IF(AND(R136="Yes",D136&lt;&gt;"",COUNTIFS($C$2:$C$3000,D136,$R$2:$R$3000,"Yes")&gt;1),"Reference counted twice",IF(COUNTIF(Lists!$A$2:$A$7,I136)=0,"Unknown status","")))))</f>
        <v/>
      </c>
    </row>
    <row r="137" customFormat="false" ht="15" hidden="false" customHeight="false" outlineLevel="0" collapsed="false">
      <c r="A137" s="15" t="s">
        <v>1732</v>
      </c>
      <c r="B137" s="15" t="s">
        <v>545</v>
      </c>
      <c r="C137" s="15" t="s">
        <v>53</v>
      </c>
      <c r="D137" s="15" t="s">
        <v>1733</v>
      </c>
      <c r="E137" s="15" t="s">
        <v>1733</v>
      </c>
      <c r="F137" s="15" t="s">
        <v>546</v>
      </c>
      <c r="G137" s="15" t="n">
        <v>14</v>
      </c>
      <c r="H137" s="15"/>
      <c r="I137" s="15" t="s">
        <v>1007</v>
      </c>
      <c r="J137" s="15" t="s">
        <v>1008</v>
      </c>
      <c r="K137" s="15" t="s">
        <v>1007</v>
      </c>
      <c r="L137" s="15" t="n">
        <v>0</v>
      </c>
      <c r="M137" s="15" t="n">
        <v>0</v>
      </c>
      <c r="N137" s="15" t="n">
        <v>0</v>
      </c>
      <c r="O137" s="15" t="n">
        <v>0</v>
      </c>
      <c r="P137" s="15"/>
      <c r="Q137" s="15" t="s">
        <v>1009</v>
      </c>
      <c r="R137" s="15" t="s">
        <v>1010</v>
      </c>
      <c r="S137" s="15" t="s">
        <v>1011</v>
      </c>
      <c r="T137" s="15" t="n">
        <v>0</v>
      </c>
      <c r="U137" s="15" t="n">
        <v>4</v>
      </c>
      <c r="V137" s="15" t="n">
        <v>7</v>
      </c>
      <c r="W137" s="15" t="n">
        <v>3</v>
      </c>
      <c r="X137" s="15" t="n">
        <v>0</v>
      </c>
      <c r="Y137" s="15" t="n">
        <v>0</v>
      </c>
      <c r="Z137" s="15" t="s">
        <v>1012</v>
      </c>
      <c r="AA137" s="15" t="s">
        <v>1013</v>
      </c>
      <c r="AB137" s="15" t="s">
        <v>176</v>
      </c>
      <c r="AC137" s="15" t="s">
        <v>1027</v>
      </c>
      <c r="AD137" s="15" t="s">
        <v>1734</v>
      </c>
      <c r="AE137" s="15" t="s">
        <v>1735</v>
      </c>
      <c r="AF137" s="15"/>
      <c r="AG137" s="15" t="s">
        <v>1017</v>
      </c>
      <c r="AH137" s="15" t="s">
        <v>1194</v>
      </c>
      <c r="AI137" s="15" t="s">
        <v>1019</v>
      </c>
      <c r="AJ137" s="15" t="n">
        <v>0</v>
      </c>
      <c r="AK137" s="15" t="n">
        <v>0</v>
      </c>
      <c r="AL137" s="15" t="n">
        <v>8.2</v>
      </c>
      <c r="AM137" s="15" t="n">
        <v>5.8</v>
      </c>
      <c r="AN137" s="15" t="n">
        <v>0</v>
      </c>
      <c r="AO137" s="15" t="n">
        <v>0</v>
      </c>
      <c r="AP137" s="15" t="s">
        <v>1325</v>
      </c>
      <c r="AQ137" s="15" t="s">
        <v>1021</v>
      </c>
      <c r="AR137" s="15" t="s">
        <v>169</v>
      </c>
      <c r="AS137" s="15"/>
      <c r="AT137" s="29" t="str">
        <f aca="false">IF(A137="","",IF(COUNTIF(Parcels!$A$2:$A$3000,B137)=0,"Parcel not found",IF(COUNTIF($A$2:$A$3000,A137)&gt;1,"Duplicate perm_id",IF(AND(R137="Yes",D137&lt;&gt;"",COUNTIFS($C$2:$C$3000,D137,$R$2:$R$3000,"Yes")&gt;1),"Reference counted twice",IF(COUNTIF(Lists!$A$2:$A$7,I137)=0,"Unknown status","")))))</f>
        <v/>
      </c>
    </row>
    <row r="138" customFormat="false" ht="15" hidden="false" customHeight="false" outlineLevel="0" collapsed="false">
      <c r="A138" s="15" t="s">
        <v>1736</v>
      </c>
      <c r="B138" s="15" t="s">
        <v>477</v>
      </c>
      <c r="C138" s="15" t="s">
        <v>51</v>
      </c>
      <c r="D138" s="15" t="s">
        <v>1737</v>
      </c>
      <c r="E138" s="15" t="s">
        <v>1737</v>
      </c>
      <c r="F138" s="15" t="s">
        <v>478</v>
      </c>
      <c r="G138" s="15" t="n">
        <v>11</v>
      </c>
      <c r="H138" s="15"/>
      <c r="I138" s="15" t="s">
        <v>1007</v>
      </c>
      <c r="J138" s="15" t="s">
        <v>1008</v>
      </c>
      <c r="K138" s="15" t="s">
        <v>1007</v>
      </c>
      <c r="L138" s="15" t="n">
        <v>0</v>
      </c>
      <c r="M138" s="15" t="n">
        <v>0</v>
      </c>
      <c r="N138" s="15" t="n">
        <v>0</v>
      </c>
      <c r="O138" s="15" t="n">
        <v>0</v>
      </c>
      <c r="P138" s="15"/>
      <c r="Q138" s="15" t="s">
        <v>1009</v>
      </c>
      <c r="R138" s="15" t="s">
        <v>1010</v>
      </c>
      <c r="S138" s="15" t="s">
        <v>1026</v>
      </c>
      <c r="T138" s="15"/>
      <c r="U138" s="15"/>
      <c r="V138" s="15"/>
      <c r="W138" s="15"/>
      <c r="X138" s="15"/>
      <c r="Y138" s="15"/>
      <c r="Z138" s="15" t="s">
        <v>1012</v>
      </c>
      <c r="AA138" s="15" t="s">
        <v>1013</v>
      </c>
      <c r="AB138" s="15" t="s">
        <v>176</v>
      </c>
      <c r="AC138" s="15" t="s">
        <v>1027</v>
      </c>
      <c r="AD138" s="15" t="s">
        <v>1738</v>
      </c>
      <c r="AE138" s="15" t="s">
        <v>1739</v>
      </c>
      <c r="AF138" s="15"/>
      <c r="AG138" s="15" t="s">
        <v>1017</v>
      </c>
      <c r="AH138" s="15" t="s">
        <v>1194</v>
      </c>
      <c r="AI138" s="15" t="s">
        <v>1019</v>
      </c>
      <c r="AJ138" s="15" t="n">
        <v>0</v>
      </c>
      <c r="AK138" s="15" t="n">
        <v>0</v>
      </c>
      <c r="AL138" s="15" t="n">
        <v>6.4</v>
      </c>
      <c r="AM138" s="15" t="n">
        <v>4.6</v>
      </c>
      <c r="AN138" s="15" t="n">
        <v>0</v>
      </c>
      <c r="AO138" s="15" t="n">
        <v>0</v>
      </c>
      <c r="AP138" s="15" t="s">
        <v>1325</v>
      </c>
      <c r="AQ138" s="15" t="s">
        <v>1021</v>
      </c>
      <c r="AR138" s="15" t="s">
        <v>169</v>
      </c>
      <c r="AS138" s="15"/>
      <c r="AT138" s="29" t="str">
        <f aca="false">IF(A138="","",IF(COUNTIF(Parcels!$A$2:$A$3000,B138)=0,"Parcel not found",IF(COUNTIF($A$2:$A$3000,A138)&gt;1,"Duplicate perm_id",IF(AND(R138="Yes",D138&lt;&gt;"",COUNTIFS($C$2:$C$3000,D138,$R$2:$R$3000,"Yes")&gt;1),"Reference counted twice",IF(COUNTIF(Lists!$A$2:$A$7,I138)=0,"Unknown status","")))))</f>
        <v/>
      </c>
    </row>
    <row r="139" customFormat="false" ht="15" hidden="false" customHeight="false" outlineLevel="0" collapsed="false">
      <c r="A139" s="15" t="s">
        <v>1740</v>
      </c>
      <c r="B139" s="15" t="s">
        <v>547</v>
      </c>
      <c r="C139" s="15" t="s">
        <v>53</v>
      </c>
      <c r="D139" s="15" t="s">
        <v>1741</v>
      </c>
      <c r="E139" s="15" t="s">
        <v>1741</v>
      </c>
      <c r="F139" s="15" t="s">
        <v>548</v>
      </c>
      <c r="G139" s="15" t="n">
        <v>37</v>
      </c>
      <c r="H139" s="15"/>
      <c r="I139" s="15" t="s">
        <v>1007</v>
      </c>
      <c r="J139" s="15" t="s">
        <v>1008</v>
      </c>
      <c r="K139" s="15" t="s">
        <v>1007</v>
      </c>
      <c r="L139" s="15" t="n">
        <v>0</v>
      </c>
      <c r="M139" s="15" t="n">
        <v>0</v>
      </c>
      <c r="N139" s="15" t="n">
        <v>0</v>
      </c>
      <c r="O139" s="15" t="n">
        <v>0</v>
      </c>
      <c r="P139" s="15"/>
      <c r="Q139" s="15" t="s">
        <v>1009</v>
      </c>
      <c r="R139" s="15" t="s">
        <v>1010</v>
      </c>
      <c r="S139" s="15" t="s">
        <v>1011</v>
      </c>
      <c r="T139" s="15" t="n">
        <v>0</v>
      </c>
      <c r="U139" s="15" t="n">
        <v>34</v>
      </c>
      <c r="V139" s="15" t="n">
        <v>3</v>
      </c>
      <c r="W139" s="15" t="n">
        <v>0</v>
      </c>
      <c r="X139" s="15" t="n">
        <v>0</v>
      </c>
      <c r="Y139" s="15" t="n">
        <v>0</v>
      </c>
      <c r="Z139" s="15" t="s">
        <v>1012</v>
      </c>
      <c r="AA139" s="15" t="s">
        <v>1013</v>
      </c>
      <c r="AB139" s="15" t="s">
        <v>176</v>
      </c>
      <c r="AC139" s="15" t="s">
        <v>1027</v>
      </c>
      <c r="AD139" s="15" t="s">
        <v>1742</v>
      </c>
      <c r="AE139" s="15" t="s">
        <v>1743</v>
      </c>
      <c r="AF139" s="15"/>
      <c r="AG139" s="15" t="s">
        <v>1017</v>
      </c>
      <c r="AH139" s="15" t="s">
        <v>1194</v>
      </c>
      <c r="AI139" s="15" t="s">
        <v>1019</v>
      </c>
      <c r="AJ139" s="15" t="n">
        <v>0</v>
      </c>
      <c r="AK139" s="15" t="n">
        <v>0</v>
      </c>
      <c r="AL139" s="15" t="n">
        <v>23</v>
      </c>
      <c r="AM139" s="15" t="n">
        <v>14</v>
      </c>
      <c r="AN139" s="15" t="n">
        <v>0</v>
      </c>
      <c r="AO139" s="15" t="n">
        <v>0</v>
      </c>
      <c r="AP139" s="15" t="s">
        <v>1325</v>
      </c>
      <c r="AQ139" s="15" t="s">
        <v>1021</v>
      </c>
      <c r="AR139" s="15" t="s">
        <v>169</v>
      </c>
      <c r="AS139" s="15"/>
      <c r="AT139" s="29" t="str">
        <f aca="false">IF(A139="","",IF(COUNTIF(Parcels!$A$2:$A$3000,B139)=0,"Parcel not found",IF(COUNTIF($A$2:$A$3000,A139)&gt;1,"Duplicate perm_id",IF(AND(R139="Yes",D139&lt;&gt;"",COUNTIFS($C$2:$C$3000,D139,$R$2:$R$3000,"Yes")&gt;1),"Reference counted twice",IF(COUNTIF(Lists!$A$2:$A$7,I139)=0,"Unknown status","")))))</f>
        <v/>
      </c>
    </row>
    <row r="140" customFormat="false" ht="15" hidden="false" customHeight="false" outlineLevel="0" collapsed="false">
      <c r="A140" s="15" t="s">
        <v>1744</v>
      </c>
      <c r="B140" s="15" t="s">
        <v>547</v>
      </c>
      <c r="C140" s="15" t="s">
        <v>53</v>
      </c>
      <c r="D140" s="15" t="s">
        <v>1745</v>
      </c>
      <c r="E140" s="15" t="s">
        <v>1745</v>
      </c>
      <c r="F140" s="15" t="s">
        <v>1746</v>
      </c>
      <c r="G140" s="15" t="n">
        <v>37</v>
      </c>
      <c r="H140" s="15"/>
      <c r="I140" s="15" t="s">
        <v>1007</v>
      </c>
      <c r="J140" s="15" t="s">
        <v>1008</v>
      </c>
      <c r="K140" s="15" t="s">
        <v>1007</v>
      </c>
      <c r="L140" s="15" t="n">
        <v>0</v>
      </c>
      <c r="M140" s="15" t="n">
        <v>0</v>
      </c>
      <c r="N140" s="15" t="n">
        <v>0</v>
      </c>
      <c r="O140" s="15" t="n">
        <v>0</v>
      </c>
      <c r="P140" s="15"/>
      <c r="Q140" s="15" t="s">
        <v>1009</v>
      </c>
      <c r="R140" s="15" t="s">
        <v>1010</v>
      </c>
      <c r="S140" s="15" t="s">
        <v>1011</v>
      </c>
      <c r="T140" s="15" t="n">
        <v>0</v>
      </c>
      <c r="U140" s="15" t="n">
        <v>26</v>
      </c>
      <c r="V140" s="15" t="n">
        <v>11</v>
      </c>
      <c r="W140" s="15" t="n">
        <v>0</v>
      </c>
      <c r="X140" s="15" t="n">
        <v>0</v>
      </c>
      <c r="Y140" s="15" t="n">
        <v>0</v>
      </c>
      <c r="Z140" s="15" t="s">
        <v>1034</v>
      </c>
      <c r="AA140" s="15" t="s">
        <v>1013</v>
      </c>
      <c r="AB140" s="15" t="s">
        <v>176</v>
      </c>
      <c r="AC140" s="15" t="s">
        <v>1027</v>
      </c>
      <c r="AD140" s="15" t="s">
        <v>1146</v>
      </c>
      <c r="AE140" s="15" t="s">
        <v>1747</v>
      </c>
      <c r="AF140" s="15"/>
      <c r="AG140" s="15" t="s">
        <v>1059</v>
      </c>
      <c r="AH140" s="15" t="s">
        <v>1060</v>
      </c>
      <c r="AI140" s="15" t="s">
        <v>1061</v>
      </c>
      <c r="AJ140" s="15" t="n">
        <v>0</v>
      </c>
      <c r="AK140" s="15" t="n">
        <v>0</v>
      </c>
      <c r="AL140" s="15" t="n">
        <v>31.4</v>
      </c>
      <c r="AM140" s="15" t="n">
        <v>5.6</v>
      </c>
      <c r="AN140" s="15" t="n">
        <v>0</v>
      </c>
      <c r="AO140" s="15" t="n">
        <v>0</v>
      </c>
      <c r="AP140" s="15" t="s">
        <v>1325</v>
      </c>
      <c r="AQ140" s="15" t="s">
        <v>1021</v>
      </c>
      <c r="AR140" s="15" t="s">
        <v>169</v>
      </c>
      <c r="AS140" s="15"/>
      <c r="AT140" s="29" t="str">
        <f aca="false">IF(A140="","",IF(COUNTIF(Parcels!$A$2:$A$3000,B140)=0,"Parcel not found",IF(COUNTIF($A$2:$A$3000,A140)&gt;1,"Duplicate perm_id",IF(AND(R140="Yes",D140&lt;&gt;"",COUNTIFS($C$2:$C$3000,D140,$R$2:$R$3000,"Yes")&gt;1),"Reference counted twice",IF(COUNTIF(Lists!$A$2:$A$7,I140)=0,"Unknown status","")))))</f>
        <v/>
      </c>
    </row>
    <row r="141" customFormat="false" ht="15" hidden="false" customHeight="false" outlineLevel="0" collapsed="false">
      <c r="A141" s="15" t="s">
        <v>1748</v>
      </c>
      <c r="B141" s="15" t="s">
        <v>718</v>
      </c>
      <c r="C141" s="15" t="s">
        <v>22</v>
      </c>
      <c r="D141" s="15" t="s">
        <v>1749</v>
      </c>
      <c r="E141" s="15" t="s">
        <v>1749</v>
      </c>
      <c r="F141" s="15" t="s">
        <v>719</v>
      </c>
      <c r="G141" s="15" t="n">
        <v>5</v>
      </c>
      <c r="H141" s="15"/>
      <c r="I141" s="15" t="s">
        <v>47</v>
      </c>
      <c r="J141" s="15" t="s">
        <v>1008</v>
      </c>
      <c r="K141" s="15" t="s">
        <v>47</v>
      </c>
      <c r="L141" s="15" t="n">
        <v>5</v>
      </c>
      <c r="M141" s="15" t="n">
        <v>5</v>
      </c>
      <c r="N141" s="15" t="n">
        <v>0</v>
      </c>
      <c r="O141" s="15" t="n">
        <v>0</v>
      </c>
      <c r="P141" s="15"/>
      <c r="Q141" s="15" t="s">
        <v>1009</v>
      </c>
      <c r="R141" s="15" t="s">
        <v>1010</v>
      </c>
      <c r="S141" s="15" t="s">
        <v>1050</v>
      </c>
      <c r="T141" s="15" t="n">
        <v>0</v>
      </c>
      <c r="U141" s="15" t="n">
        <v>3</v>
      </c>
      <c r="V141" s="15" t="n">
        <v>2</v>
      </c>
      <c r="W141" s="15" t="n">
        <v>0</v>
      </c>
      <c r="X141" s="15" t="n">
        <v>0</v>
      </c>
      <c r="Y141" s="15" t="n">
        <v>0</v>
      </c>
      <c r="Z141" s="15" t="s">
        <v>1012</v>
      </c>
      <c r="AA141" s="15" t="s">
        <v>1035</v>
      </c>
      <c r="AB141" s="15" t="s">
        <v>1036</v>
      </c>
      <c r="AC141" s="15" t="s">
        <v>1027</v>
      </c>
      <c r="AD141" s="15" t="s">
        <v>1750</v>
      </c>
      <c r="AE141" s="15" t="s">
        <v>1751</v>
      </c>
      <c r="AF141" s="15" t="s">
        <v>1752</v>
      </c>
      <c r="AG141" s="15"/>
      <c r="AH141" s="15"/>
      <c r="AI141" s="15" t="s">
        <v>1053</v>
      </c>
      <c r="AJ141" s="15" t="n">
        <v>0</v>
      </c>
      <c r="AK141" s="15" t="n">
        <v>0</v>
      </c>
      <c r="AL141" s="15" t="n">
        <v>0</v>
      </c>
      <c r="AM141" s="15" t="n">
        <v>0</v>
      </c>
      <c r="AN141" s="15" t="n">
        <v>0</v>
      </c>
      <c r="AO141" s="15" t="n">
        <v>0</v>
      </c>
      <c r="AP141" s="15" t="s">
        <v>1325</v>
      </c>
      <c r="AQ141" s="15" t="s">
        <v>1021</v>
      </c>
      <c r="AR141" s="15" t="s">
        <v>169</v>
      </c>
      <c r="AS141" s="15"/>
      <c r="AT141" s="29" t="str">
        <f aca="false">IF(A141="","",IF(COUNTIF(Parcels!$A$2:$A$3000,B141)=0,"Parcel not found",IF(COUNTIF($A$2:$A$3000,A141)&gt;1,"Duplicate perm_id",IF(AND(R141="Yes",D141&lt;&gt;"",COUNTIFS($C$2:$C$3000,D141,$R$2:$R$3000,"Yes")&gt;1),"Reference counted twice",IF(COUNTIF(Lists!$A$2:$A$7,I141)=0,"Unknown status","")))))</f>
        <v/>
      </c>
    </row>
    <row r="142" customFormat="false" ht="15" hidden="false" customHeight="false" outlineLevel="0" collapsed="false">
      <c r="A142" s="15" t="s">
        <v>1753</v>
      </c>
      <c r="B142" s="15" t="s">
        <v>479</v>
      </c>
      <c r="C142" s="15" t="s">
        <v>51</v>
      </c>
      <c r="D142" s="15" t="s">
        <v>1754</v>
      </c>
      <c r="E142" s="15" t="s">
        <v>1754</v>
      </c>
      <c r="F142" s="15" t="s">
        <v>480</v>
      </c>
      <c r="G142" s="15" t="n">
        <v>6</v>
      </c>
      <c r="H142" s="15"/>
      <c r="I142" s="15" t="s">
        <v>47</v>
      </c>
      <c r="J142" s="15" t="s">
        <v>1008</v>
      </c>
      <c r="K142" s="15" t="s">
        <v>47</v>
      </c>
      <c r="L142" s="15" t="n">
        <v>6</v>
      </c>
      <c r="M142" s="15" t="n">
        <v>5</v>
      </c>
      <c r="N142" s="15" t="n">
        <v>0</v>
      </c>
      <c r="O142" s="15" t="n">
        <v>5</v>
      </c>
      <c r="P142" s="15" t="s">
        <v>1135</v>
      </c>
      <c r="Q142" s="15" t="s">
        <v>1009</v>
      </c>
      <c r="R142" s="15" t="s">
        <v>1010</v>
      </c>
      <c r="S142" s="15" t="s">
        <v>1026</v>
      </c>
      <c r="T142" s="15"/>
      <c r="U142" s="15"/>
      <c r="V142" s="15"/>
      <c r="W142" s="15"/>
      <c r="X142" s="15"/>
      <c r="Y142" s="15"/>
      <c r="Z142" s="15" t="s">
        <v>1012</v>
      </c>
      <c r="AA142" s="15" t="s">
        <v>1013</v>
      </c>
      <c r="AB142" s="15" t="s">
        <v>176</v>
      </c>
      <c r="AC142" s="15" t="s">
        <v>1027</v>
      </c>
      <c r="AD142" s="15" t="s">
        <v>1755</v>
      </c>
      <c r="AE142" s="15" t="s">
        <v>1756</v>
      </c>
      <c r="AF142" s="15" t="s">
        <v>1757</v>
      </c>
      <c r="AG142" s="15"/>
      <c r="AH142" s="15"/>
      <c r="AI142" s="15" t="s">
        <v>1053</v>
      </c>
      <c r="AJ142" s="15" t="n">
        <v>0</v>
      </c>
      <c r="AK142" s="15" t="n">
        <v>0</v>
      </c>
      <c r="AL142" s="15" t="n">
        <v>0</v>
      </c>
      <c r="AM142" s="15" t="n">
        <v>0</v>
      </c>
      <c r="AN142" s="15" t="n">
        <v>0</v>
      </c>
      <c r="AO142" s="15" t="n">
        <v>0</v>
      </c>
      <c r="AP142" s="15" t="s">
        <v>1325</v>
      </c>
      <c r="AQ142" s="15" t="s">
        <v>1021</v>
      </c>
      <c r="AR142" s="15" t="s">
        <v>169</v>
      </c>
      <c r="AS142" s="15"/>
      <c r="AT142" s="29" t="str">
        <f aca="false">IF(A142="","",IF(COUNTIF(Parcels!$A$2:$A$3000,B142)=0,"Parcel not found",IF(COUNTIF($A$2:$A$3000,A142)&gt;1,"Duplicate perm_id",IF(AND(R142="Yes",D142&lt;&gt;"",COUNTIFS($C$2:$C$3000,D142,$R$2:$R$3000,"Yes")&gt;1),"Reference counted twice",IF(COUNTIF(Lists!$A$2:$A$7,I142)=0,"Unknown status","")))))</f>
        <v/>
      </c>
    </row>
    <row r="143" customFormat="false" ht="15" hidden="false" customHeight="false" outlineLevel="0" collapsed="false">
      <c r="A143" s="15" t="s">
        <v>1758</v>
      </c>
      <c r="B143" s="15" t="s">
        <v>513</v>
      </c>
      <c r="C143" s="15" t="s">
        <v>52</v>
      </c>
      <c r="D143" s="15" t="s">
        <v>1759</v>
      </c>
      <c r="E143" s="15" t="s">
        <v>1759</v>
      </c>
      <c r="F143" s="15" t="s">
        <v>514</v>
      </c>
      <c r="G143" s="15" t="n">
        <v>62</v>
      </c>
      <c r="H143" s="15"/>
      <c r="I143" s="15" t="s">
        <v>48</v>
      </c>
      <c r="J143" s="15" t="s">
        <v>1008</v>
      </c>
      <c r="K143" s="15" t="s">
        <v>48</v>
      </c>
      <c r="L143" s="15" t="n">
        <v>23</v>
      </c>
      <c r="M143" s="15" t="n">
        <v>23</v>
      </c>
      <c r="N143" s="15" t="n">
        <v>34</v>
      </c>
      <c r="O143" s="15" t="n">
        <v>0</v>
      </c>
      <c r="P143" s="15"/>
      <c r="Q143" s="15" t="s">
        <v>1009</v>
      </c>
      <c r="R143" s="15" t="s">
        <v>1010</v>
      </c>
      <c r="S143" s="15" t="s">
        <v>1011</v>
      </c>
      <c r="T143" s="15" t="n">
        <v>0</v>
      </c>
      <c r="U143" s="15" t="n">
        <v>2</v>
      </c>
      <c r="V143" s="15" t="n">
        <v>36</v>
      </c>
      <c r="W143" s="15" t="n">
        <v>20</v>
      </c>
      <c r="X143" s="15" t="n">
        <v>4</v>
      </c>
      <c r="Y143" s="15" t="n">
        <v>0</v>
      </c>
      <c r="Z143" s="15" t="s">
        <v>1760</v>
      </c>
      <c r="AA143" s="15" t="s">
        <v>1013</v>
      </c>
      <c r="AB143" s="15" t="s">
        <v>176</v>
      </c>
      <c r="AC143" s="15" t="s">
        <v>1027</v>
      </c>
      <c r="AD143" s="15" t="s">
        <v>1761</v>
      </c>
      <c r="AE143" s="15" t="s">
        <v>1762</v>
      </c>
      <c r="AF143" s="15" t="s">
        <v>1763</v>
      </c>
      <c r="AG143" s="15" t="s">
        <v>1524</v>
      </c>
      <c r="AH143" s="15" t="s">
        <v>1041</v>
      </c>
      <c r="AI143" s="15" t="s">
        <v>1042</v>
      </c>
      <c r="AJ143" s="15" t="n">
        <v>14.4</v>
      </c>
      <c r="AK143" s="15" t="n">
        <v>47.6</v>
      </c>
      <c r="AL143" s="15" t="n">
        <v>0</v>
      </c>
      <c r="AM143" s="15" t="n">
        <v>0</v>
      </c>
      <c r="AN143" s="15" t="n">
        <v>0</v>
      </c>
      <c r="AO143" s="15" t="n">
        <v>0</v>
      </c>
      <c r="AP143" s="15" t="s">
        <v>1325</v>
      </c>
      <c r="AQ143" s="15" t="s">
        <v>1021</v>
      </c>
      <c r="AR143" s="15" t="s">
        <v>169</v>
      </c>
      <c r="AS143" s="15"/>
      <c r="AT143" s="29" t="str">
        <f aca="false">IF(A143="","",IF(COUNTIF(Parcels!$A$2:$A$3000,B143)=0,"Parcel not found",IF(COUNTIF($A$2:$A$3000,A143)&gt;1,"Duplicate perm_id",IF(AND(R143="Yes",D143&lt;&gt;"",COUNTIFS($C$2:$C$3000,D143,$R$2:$R$3000,"Yes")&gt;1),"Reference counted twice",IF(COUNTIF(Lists!$A$2:$A$7,I143)=0,"Unknown status","")))))</f>
        <v/>
      </c>
    </row>
    <row r="144" customFormat="false" ht="15" hidden="false" customHeight="false" outlineLevel="0" collapsed="false">
      <c r="A144" s="15" t="s">
        <v>1764</v>
      </c>
      <c r="B144" s="15" t="s">
        <v>513</v>
      </c>
      <c r="C144" s="15" t="s">
        <v>52</v>
      </c>
      <c r="D144" s="15" t="s">
        <v>1765</v>
      </c>
      <c r="E144" s="15" t="s">
        <v>1765</v>
      </c>
      <c r="F144" s="15" t="s">
        <v>1766</v>
      </c>
      <c r="G144" s="15" t="n">
        <v>38</v>
      </c>
      <c r="H144" s="15"/>
      <c r="I144" s="15" t="s">
        <v>47</v>
      </c>
      <c r="J144" s="15" t="s">
        <v>1008</v>
      </c>
      <c r="K144" s="15" t="s">
        <v>47</v>
      </c>
      <c r="L144" s="15" t="n">
        <v>38</v>
      </c>
      <c r="M144" s="15" t="n">
        <v>38</v>
      </c>
      <c r="N144" s="15" t="n">
        <v>0</v>
      </c>
      <c r="O144" s="15" t="n">
        <v>0</v>
      </c>
      <c r="P144" s="15"/>
      <c r="Q144" s="15" t="s">
        <v>1009</v>
      </c>
      <c r="R144" s="15" t="s">
        <v>1010</v>
      </c>
      <c r="S144" s="15" t="s">
        <v>1026</v>
      </c>
      <c r="T144" s="15"/>
      <c r="U144" s="15"/>
      <c r="V144" s="15"/>
      <c r="W144" s="15"/>
      <c r="X144" s="15"/>
      <c r="Y144" s="15"/>
      <c r="Z144" s="15" t="s">
        <v>1012</v>
      </c>
      <c r="AA144" s="15" t="s">
        <v>1013</v>
      </c>
      <c r="AB144" s="15" t="s">
        <v>176</v>
      </c>
      <c r="AC144" s="15" t="s">
        <v>1027</v>
      </c>
      <c r="AD144" s="15" t="s">
        <v>1767</v>
      </c>
      <c r="AE144" s="15" t="s">
        <v>1768</v>
      </c>
      <c r="AF144" s="15" t="s">
        <v>1769</v>
      </c>
      <c r="AG144" s="15"/>
      <c r="AH144" s="15"/>
      <c r="AI144" s="15" t="s">
        <v>1053</v>
      </c>
      <c r="AJ144" s="15" t="n">
        <v>0</v>
      </c>
      <c r="AK144" s="15" t="n">
        <v>0</v>
      </c>
      <c r="AL144" s="15" t="n">
        <v>0</v>
      </c>
      <c r="AM144" s="15" t="n">
        <v>0</v>
      </c>
      <c r="AN144" s="15" t="n">
        <v>0</v>
      </c>
      <c r="AO144" s="15" t="n">
        <v>0</v>
      </c>
      <c r="AP144" s="15" t="s">
        <v>1325</v>
      </c>
      <c r="AQ144" s="15" t="s">
        <v>1021</v>
      </c>
      <c r="AR144" s="15" t="s">
        <v>169</v>
      </c>
      <c r="AS144" s="15"/>
      <c r="AT144" s="29" t="str">
        <f aca="false">IF(A144="","",IF(COUNTIF(Parcels!$A$2:$A$3000,B144)=0,"Parcel not found",IF(COUNTIF($A$2:$A$3000,A144)&gt;1,"Duplicate perm_id",IF(AND(R144="Yes",D144&lt;&gt;"",COUNTIFS($C$2:$C$3000,D144,$R$2:$R$3000,"Yes")&gt;1),"Reference counted twice",IF(COUNTIF(Lists!$A$2:$A$7,I144)=0,"Unknown status","")))))</f>
        <v/>
      </c>
    </row>
    <row r="145" customFormat="false" ht="15" hidden="false" customHeight="false" outlineLevel="0" collapsed="false">
      <c r="A145" s="15" t="s">
        <v>1770</v>
      </c>
      <c r="B145" s="15" t="s">
        <v>614</v>
      </c>
      <c r="C145" s="15" t="s">
        <v>55</v>
      </c>
      <c r="D145" s="15" t="s">
        <v>1771</v>
      </c>
      <c r="E145" s="15" t="s">
        <v>1771</v>
      </c>
      <c r="F145" s="15" t="s">
        <v>615</v>
      </c>
      <c r="G145" s="15" t="n">
        <v>12</v>
      </c>
      <c r="H145" s="15"/>
      <c r="I145" s="15" t="s">
        <v>47</v>
      </c>
      <c r="J145" s="15" t="s">
        <v>1341</v>
      </c>
      <c r="K145" s="15" t="s">
        <v>48</v>
      </c>
      <c r="L145" s="15" t="n">
        <v>12</v>
      </c>
      <c r="M145" s="15" t="n">
        <v>12</v>
      </c>
      <c r="N145" s="15" t="n">
        <v>0</v>
      </c>
      <c r="O145" s="15" t="n">
        <v>0</v>
      </c>
      <c r="P145" s="15" t="s">
        <v>1342</v>
      </c>
      <c r="Q145" s="15" t="s">
        <v>1009</v>
      </c>
      <c r="R145" s="15" t="s">
        <v>1010</v>
      </c>
      <c r="S145" s="15" t="s">
        <v>1011</v>
      </c>
      <c r="T145" s="15" t="n">
        <v>0</v>
      </c>
      <c r="U145" s="15" t="n">
        <v>0</v>
      </c>
      <c r="V145" s="15" t="n">
        <v>9</v>
      </c>
      <c r="W145" s="15" t="n">
        <v>2</v>
      </c>
      <c r="X145" s="15" t="n">
        <v>1</v>
      </c>
      <c r="Y145" s="15" t="n">
        <v>0</v>
      </c>
      <c r="Z145" s="15" t="s">
        <v>1012</v>
      </c>
      <c r="AA145" s="15" t="s">
        <v>1013</v>
      </c>
      <c r="AB145" s="15" t="s">
        <v>176</v>
      </c>
      <c r="AC145" s="15" t="s">
        <v>1027</v>
      </c>
      <c r="AD145" s="15" t="s">
        <v>1772</v>
      </c>
      <c r="AE145" s="15" t="s">
        <v>1773</v>
      </c>
      <c r="AF145" s="15" t="s">
        <v>1086</v>
      </c>
      <c r="AG145" s="15" t="s">
        <v>1087</v>
      </c>
      <c r="AH145" s="15" t="s">
        <v>1041</v>
      </c>
      <c r="AI145" s="15" t="s">
        <v>1042</v>
      </c>
      <c r="AJ145" s="15" t="n">
        <v>0</v>
      </c>
      <c r="AK145" s="15" t="n">
        <v>0</v>
      </c>
      <c r="AL145" s="15" t="n">
        <v>0</v>
      </c>
      <c r="AM145" s="15" t="n">
        <v>0</v>
      </c>
      <c r="AN145" s="15" t="n">
        <v>0</v>
      </c>
      <c r="AO145" s="15" t="n">
        <v>0</v>
      </c>
      <c r="AP145" s="15" t="s">
        <v>1325</v>
      </c>
      <c r="AQ145" s="15" t="s">
        <v>1021</v>
      </c>
      <c r="AR145" s="15" t="s">
        <v>169</v>
      </c>
      <c r="AS145" s="15"/>
      <c r="AT145" s="29" t="str">
        <f aca="false">IF(A145="","",IF(COUNTIF(Parcels!$A$2:$A$3000,B145)=0,"Parcel not found",IF(COUNTIF($A$2:$A$3000,A145)&gt;1,"Duplicate perm_id",IF(AND(R145="Yes",D145&lt;&gt;"",COUNTIFS($C$2:$C$3000,D145,$R$2:$R$3000,"Yes")&gt;1),"Reference counted twice",IF(COUNTIF(Lists!$A$2:$A$7,I145)=0,"Unknown status","")))))</f>
        <v/>
      </c>
    </row>
    <row r="146" customFormat="false" ht="15" hidden="false" customHeight="false" outlineLevel="0" collapsed="false">
      <c r="A146" s="15" t="s">
        <v>1774</v>
      </c>
      <c r="B146" s="15" t="s">
        <v>720</v>
      </c>
      <c r="C146" s="15" t="s">
        <v>72</v>
      </c>
      <c r="D146" s="15" t="s">
        <v>1775</v>
      </c>
      <c r="E146" s="15" t="s">
        <v>1775</v>
      </c>
      <c r="F146" s="15" t="s">
        <v>721</v>
      </c>
      <c r="G146" s="15" t="n">
        <v>9</v>
      </c>
      <c r="H146" s="15"/>
      <c r="I146" s="15" t="s">
        <v>47</v>
      </c>
      <c r="J146" s="15" t="s">
        <v>1008</v>
      </c>
      <c r="K146" s="15" t="s">
        <v>47</v>
      </c>
      <c r="L146" s="15" t="n">
        <v>9</v>
      </c>
      <c r="M146" s="15" t="n">
        <v>0</v>
      </c>
      <c r="N146" s="15" t="n">
        <v>0</v>
      </c>
      <c r="O146" s="15" t="n">
        <v>0</v>
      </c>
      <c r="P146" s="15" t="s">
        <v>1334</v>
      </c>
      <c r="Q146" s="15" t="s">
        <v>1009</v>
      </c>
      <c r="R146" s="15" t="s">
        <v>1010</v>
      </c>
      <c r="S146" s="15" t="s">
        <v>1050</v>
      </c>
      <c r="T146" s="15" t="n">
        <v>0</v>
      </c>
      <c r="U146" s="15" t="n">
        <v>8</v>
      </c>
      <c r="V146" s="15" t="n">
        <v>1</v>
      </c>
      <c r="W146" s="15" t="n">
        <v>0</v>
      </c>
      <c r="X146" s="15" t="n">
        <v>0</v>
      </c>
      <c r="Y146" s="15" t="n">
        <v>0</v>
      </c>
      <c r="Z146" s="15" t="s">
        <v>1012</v>
      </c>
      <c r="AA146" s="15" t="s">
        <v>1035</v>
      </c>
      <c r="AB146" s="15" t="s">
        <v>1065</v>
      </c>
      <c r="AC146" s="15" t="s">
        <v>1027</v>
      </c>
      <c r="AD146" s="15" t="s">
        <v>1776</v>
      </c>
      <c r="AE146" s="15" t="s">
        <v>1777</v>
      </c>
      <c r="AF146" s="15" t="s">
        <v>1778</v>
      </c>
      <c r="AG146" s="15"/>
      <c r="AH146" s="15"/>
      <c r="AI146" s="15" t="s">
        <v>1053</v>
      </c>
      <c r="AJ146" s="15" t="n">
        <v>0</v>
      </c>
      <c r="AK146" s="15" t="n">
        <v>0</v>
      </c>
      <c r="AL146" s="15" t="n">
        <v>0</v>
      </c>
      <c r="AM146" s="15" t="n">
        <v>0</v>
      </c>
      <c r="AN146" s="15" t="n">
        <v>0</v>
      </c>
      <c r="AO146" s="15" t="n">
        <v>0</v>
      </c>
      <c r="AP146" s="15" t="s">
        <v>1325</v>
      </c>
      <c r="AQ146" s="15" t="s">
        <v>1021</v>
      </c>
      <c r="AR146" s="15" t="s">
        <v>169</v>
      </c>
      <c r="AS146" s="15"/>
      <c r="AT146" s="29" t="str">
        <f aca="false">IF(A146="","",IF(COUNTIF(Parcels!$A$2:$A$3000,B146)=0,"Parcel not found",IF(COUNTIF($A$2:$A$3000,A146)&gt;1,"Duplicate perm_id",IF(AND(R146="Yes",D146&lt;&gt;"",COUNTIFS($C$2:$C$3000,D146,$R$2:$R$3000,"Yes")&gt;1),"Reference counted twice",IF(COUNTIF(Lists!$A$2:$A$7,I146)=0,"Unknown status","")))))</f>
        <v/>
      </c>
    </row>
    <row r="147" customFormat="false" ht="15" hidden="false" customHeight="false" outlineLevel="0" collapsed="false">
      <c r="A147" s="15" t="s">
        <v>1779</v>
      </c>
      <c r="B147" s="15" t="s">
        <v>722</v>
      </c>
      <c r="C147" s="15" t="s">
        <v>64</v>
      </c>
      <c r="D147" s="15" t="s">
        <v>1780</v>
      </c>
      <c r="E147" s="15" t="s">
        <v>1780</v>
      </c>
      <c r="F147" s="15" t="s">
        <v>723</v>
      </c>
      <c r="G147" s="15" t="n">
        <v>61</v>
      </c>
      <c r="H147" s="15"/>
      <c r="I147" s="15" t="s">
        <v>48</v>
      </c>
      <c r="J147" s="15" t="s">
        <v>1008</v>
      </c>
      <c r="K147" s="15" t="s">
        <v>48</v>
      </c>
      <c r="L147" s="15" t="n">
        <v>30</v>
      </c>
      <c r="M147" s="15" t="n">
        <v>30</v>
      </c>
      <c r="N147" s="15" t="n">
        <v>15</v>
      </c>
      <c r="O147" s="15" t="n">
        <v>1</v>
      </c>
      <c r="P147" s="15"/>
      <c r="Q147" s="15" t="s">
        <v>1009</v>
      </c>
      <c r="R147" s="15" t="s">
        <v>1010</v>
      </c>
      <c r="S147" s="15" t="s">
        <v>1026</v>
      </c>
      <c r="T147" s="15"/>
      <c r="U147" s="15"/>
      <c r="V147" s="15"/>
      <c r="W147" s="15"/>
      <c r="X147" s="15"/>
      <c r="Y147" s="15"/>
      <c r="Z147" s="15" t="s">
        <v>1012</v>
      </c>
      <c r="AA147" s="15" t="s">
        <v>1013</v>
      </c>
      <c r="AB147" s="15" t="s">
        <v>176</v>
      </c>
      <c r="AC147" s="15" t="s">
        <v>1027</v>
      </c>
      <c r="AD147" s="15" t="s">
        <v>1781</v>
      </c>
      <c r="AE147" s="15" t="s">
        <v>1782</v>
      </c>
      <c r="AF147" s="15" t="s">
        <v>1710</v>
      </c>
      <c r="AG147" s="15" t="s">
        <v>1560</v>
      </c>
      <c r="AH147" s="15" t="s">
        <v>1041</v>
      </c>
      <c r="AI147" s="15" t="s">
        <v>1042</v>
      </c>
      <c r="AJ147" s="15" t="n">
        <v>14.2</v>
      </c>
      <c r="AK147" s="15" t="n">
        <v>46.8</v>
      </c>
      <c r="AL147" s="15" t="n">
        <v>0</v>
      </c>
      <c r="AM147" s="15" t="n">
        <v>0</v>
      </c>
      <c r="AN147" s="15" t="n">
        <v>0</v>
      </c>
      <c r="AO147" s="15" t="n">
        <v>0</v>
      </c>
      <c r="AP147" s="15" t="s">
        <v>1325</v>
      </c>
      <c r="AQ147" s="15" t="s">
        <v>1021</v>
      </c>
      <c r="AR147" s="15" t="s">
        <v>169</v>
      </c>
      <c r="AS147" s="15"/>
      <c r="AT147" s="29" t="str">
        <f aca="false">IF(A147="","",IF(COUNTIF(Parcels!$A$2:$A$3000,B147)=0,"Parcel not found",IF(COUNTIF($A$2:$A$3000,A147)&gt;1,"Duplicate perm_id",IF(AND(R147="Yes",D147&lt;&gt;"",COUNTIFS($C$2:$C$3000,D147,$R$2:$R$3000,"Yes")&gt;1),"Reference counted twice",IF(COUNTIF(Lists!$A$2:$A$7,I147)=0,"Unknown status","")))))</f>
        <v/>
      </c>
    </row>
    <row r="148" customFormat="false" ht="15" hidden="false" customHeight="false" outlineLevel="0" collapsed="false">
      <c r="A148" s="15" t="s">
        <v>1783</v>
      </c>
      <c r="B148" s="15" t="s">
        <v>722</v>
      </c>
      <c r="C148" s="15" t="s">
        <v>64</v>
      </c>
      <c r="D148" s="15" t="s">
        <v>1784</v>
      </c>
      <c r="E148" s="15" t="s">
        <v>1784</v>
      </c>
      <c r="F148" s="15" t="s">
        <v>1785</v>
      </c>
      <c r="G148" s="15" t="n">
        <v>12</v>
      </c>
      <c r="H148" s="15"/>
      <c r="I148" s="15" t="s">
        <v>48</v>
      </c>
      <c r="J148" s="15" t="s">
        <v>1008</v>
      </c>
      <c r="K148" s="15" t="s">
        <v>48</v>
      </c>
      <c r="L148" s="15" t="n">
        <v>0</v>
      </c>
      <c r="M148" s="15" t="n">
        <v>0</v>
      </c>
      <c r="N148" s="15" t="n">
        <v>0</v>
      </c>
      <c r="O148" s="15" t="n">
        <v>0</v>
      </c>
      <c r="P148" s="15"/>
      <c r="Q148" s="15" t="s">
        <v>1009</v>
      </c>
      <c r="R148" s="15" t="s">
        <v>1010</v>
      </c>
      <c r="S148" s="15" t="s">
        <v>1026</v>
      </c>
      <c r="T148" s="15"/>
      <c r="U148" s="15"/>
      <c r="V148" s="15"/>
      <c r="W148" s="15"/>
      <c r="X148" s="15"/>
      <c r="Y148" s="15"/>
      <c r="Z148" s="15" t="s">
        <v>1034</v>
      </c>
      <c r="AA148" s="15" t="s">
        <v>1013</v>
      </c>
      <c r="AB148" s="15" t="s">
        <v>176</v>
      </c>
      <c r="AC148" s="15" t="s">
        <v>1027</v>
      </c>
      <c r="AD148" s="15" t="s">
        <v>1786</v>
      </c>
      <c r="AE148" s="15" t="s">
        <v>1782</v>
      </c>
      <c r="AF148" s="15" t="s">
        <v>1787</v>
      </c>
      <c r="AG148" s="15" t="s">
        <v>1188</v>
      </c>
      <c r="AH148" s="15" t="s">
        <v>1041</v>
      </c>
      <c r="AI148" s="15" t="s">
        <v>1042</v>
      </c>
      <c r="AJ148" s="15" t="n">
        <v>2.8</v>
      </c>
      <c r="AK148" s="15" t="n">
        <v>9.2</v>
      </c>
      <c r="AL148" s="15" t="n">
        <v>0</v>
      </c>
      <c r="AM148" s="15" t="n">
        <v>0</v>
      </c>
      <c r="AN148" s="15" t="n">
        <v>0</v>
      </c>
      <c r="AO148" s="15" t="n">
        <v>0</v>
      </c>
      <c r="AP148" s="15" t="s">
        <v>1325</v>
      </c>
      <c r="AQ148" s="15" t="s">
        <v>1021</v>
      </c>
      <c r="AR148" s="15" t="s">
        <v>169</v>
      </c>
      <c r="AS148" s="15"/>
      <c r="AT148" s="29" t="str">
        <f aca="false">IF(A148="","",IF(COUNTIF(Parcels!$A$2:$A$3000,B148)=0,"Parcel not found",IF(COUNTIF($A$2:$A$3000,A148)&gt;1,"Duplicate perm_id",IF(AND(R148="Yes",D148&lt;&gt;"",COUNTIFS($C$2:$C$3000,D148,$R$2:$R$3000,"Yes")&gt;1),"Reference counted twice",IF(COUNTIF(Lists!$A$2:$A$7,I148)=0,"Unknown status","")))))</f>
        <v/>
      </c>
    </row>
    <row r="149" customFormat="false" ht="15" hidden="false" customHeight="false" outlineLevel="0" collapsed="false">
      <c r="A149" s="15" t="s">
        <v>1788</v>
      </c>
      <c r="B149" s="15" t="s">
        <v>616</v>
      </c>
      <c r="C149" s="15" t="s">
        <v>55</v>
      </c>
      <c r="D149" s="15" t="s">
        <v>1789</v>
      </c>
      <c r="E149" s="15" t="s">
        <v>1789</v>
      </c>
      <c r="F149" s="15" t="s">
        <v>617</v>
      </c>
      <c r="G149" s="15" t="n">
        <v>7</v>
      </c>
      <c r="H149" s="15"/>
      <c r="I149" s="15" t="s">
        <v>47</v>
      </c>
      <c r="J149" s="15" t="s">
        <v>1008</v>
      </c>
      <c r="K149" s="15" t="s">
        <v>47</v>
      </c>
      <c r="L149" s="15" t="n">
        <v>7</v>
      </c>
      <c r="M149" s="15" t="n">
        <v>7</v>
      </c>
      <c r="N149" s="15" t="n">
        <v>0</v>
      </c>
      <c r="O149" s="15" t="n">
        <v>0</v>
      </c>
      <c r="P149" s="15"/>
      <c r="Q149" s="15" t="s">
        <v>1009</v>
      </c>
      <c r="R149" s="15" t="s">
        <v>1010</v>
      </c>
      <c r="S149" s="15" t="s">
        <v>1050</v>
      </c>
      <c r="T149" s="15" t="n">
        <v>0</v>
      </c>
      <c r="U149" s="15" t="n">
        <v>0</v>
      </c>
      <c r="V149" s="15" t="n">
        <v>7</v>
      </c>
      <c r="W149" s="15" t="n">
        <v>0</v>
      </c>
      <c r="X149" s="15" t="n">
        <v>0</v>
      </c>
      <c r="Y149" s="15" t="n">
        <v>0</v>
      </c>
      <c r="Z149" s="15" t="s">
        <v>1034</v>
      </c>
      <c r="AA149" s="15" t="s">
        <v>1013</v>
      </c>
      <c r="AB149" s="15" t="s">
        <v>176</v>
      </c>
      <c r="AC149" s="15" t="s">
        <v>1027</v>
      </c>
      <c r="AD149" s="15" t="s">
        <v>1790</v>
      </c>
      <c r="AE149" s="15" t="s">
        <v>1791</v>
      </c>
      <c r="AF149" s="15" t="s">
        <v>1077</v>
      </c>
      <c r="AG149" s="15"/>
      <c r="AH149" s="15"/>
      <c r="AI149" s="15" t="s">
        <v>1053</v>
      </c>
      <c r="AJ149" s="15" t="n">
        <v>0</v>
      </c>
      <c r="AK149" s="15" t="n">
        <v>0</v>
      </c>
      <c r="AL149" s="15" t="n">
        <v>0</v>
      </c>
      <c r="AM149" s="15" t="n">
        <v>0</v>
      </c>
      <c r="AN149" s="15" t="n">
        <v>0</v>
      </c>
      <c r="AO149" s="15" t="n">
        <v>0</v>
      </c>
      <c r="AP149" s="15" t="s">
        <v>1325</v>
      </c>
      <c r="AQ149" s="15" t="s">
        <v>1021</v>
      </c>
      <c r="AR149" s="15" t="s">
        <v>169</v>
      </c>
      <c r="AS149" s="15"/>
      <c r="AT149" s="29" t="str">
        <f aca="false">IF(A149="","",IF(COUNTIF(Parcels!$A$2:$A$3000,B149)=0,"Parcel not found",IF(COUNTIF($A$2:$A$3000,A149)&gt;1,"Duplicate perm_id",IF(AND(R149="Yes",D149&lt;&gt;"",COUNTIFS($C$2:$C$3000,D149,$R$2:$R$3000,"Yes")&gt;1),"Reference counted twice",IF(COUNTIF(Lists!$A$2:$A$7,I149)=0,"Unknown status","")))))</f>
        <v/>
      </c>
    </row>
    <row r="150" customFormat="false" ht="15" hidden="false" customHeight="false" outlineLevel="0" collapsed="false">
      <c r="A150" s="15" t="s">
        <v>1792</v>
      </c>
      <c r="B150" s="15" t="s">
        <v>724</v>
      </c>
      <c r="C150" s="15" t="s">
        <v>61</v>
      </c>
      <c r="D150" s="15" t="s">
        <v>1793</v>
      </c>
      <c r="E150" s="15" t="s">
        <v>1793</v>
      </c>
      <c r="F150" s="15" t="s">
        <v>725</v>
      </c>
      <c r="G150" s="15" t="n">
        <v>9</v>
      </c>
      <c r="H150" s="15"/>
      <c r="I150" s="15" t="s">
        <v>47</v>
      </c>
      <c r="J150" s="15" t="s">
        <v>1008</v>
      </c>
      <c r="K150" s="15" t="s">
        <v>47</v>
      </c>
      <c r="L150" s="15" t="n">
        <v>9</v>
      </c>
      <c r="M150" s="15" t="n">
        <v>0</v>
      </c>
      <c r="N150" s="15" t="n">
        <v>7</v>
      </c>
      <c r="O150" s="15" t="n">
        <v>0</v>
      </c>
      <c r="P150" s="15" t="s">
        <v>1135</v>
      </c>
      <c r="Q150" s="15" t="s">
        <v>1009</v>
      </c>
      <c r="R150" s="15" t="s">
        <v>1010</v>
      </c>
      <c r="S150" s="15" t="s">
        <v>1026</v>
      </c>
      <c r="T150" s="15"/>
      <c r="U150" s="15"/>
      <c r="V150" s="15"/>
      <c r="W150" s="15"/>
      <c r="X150" s="15"/>
      <c r="Y150" s="15"/>
      <c r="Z150" s="15" t="s">
        <v>1012</v>
      </c>
      <c r="AA150" s="15" t="s">
        <v>1013</v>
      </c>
      <c r="AB150" s="15" t="s">
        <v>176</v>
      </c>
      <c r="AC150" s="15" t="s">
        <v>1027</v>
      </c>
      <c r="AD150" s="15" t="s">
        <v>1794</v>
      </c>
      <c r="AE150" s="15" t="s">
        <v>1795</v>
      </c>
      <c r="AF150" s="15" t="s">
        <v>1701</v>
      </c>
      <c r="AG150" s="15"/>
      <c r="AH150" s="15"/>
      <c r="AI150" s="15" t="s">
        <v>1053</v>
      </c>
      <c r="AJ150" s="15" t="n">
        <v>0</v>
      </c>
      <c r="AK150" s="15" t="n">
        <v>0</v>
      </c>
      <c r="AL150" s="15" t="n">
        <v>0</v>
      </c>
      <c r="AM150" s="15" t="n">
        <v>0</v>
      </c>
      <c r="AN150" s="15" t="n">
        <v>0</v>
      </c>
      <c r="AO150" s="15" t="n">
        <v>0</v>
      </c>
      <c r="AP150" s="15" t="s">
        <v>1325</v>
      </c>
      <c r="AQ150" s="15" t="s">
        <v>1021</v>
      </c>
      <c r="AR150" s="15" t="s">
        <v>169</v>
      </c>
      <c r="AS150" s="15"/>
      <c r="AT150" s="29" t="str">
        <f aca="false">IF(A150="","",IF(COUNTIF(Parcels!$A$2:$A$3000,B150)=0,"Parcel not found",IF(COUNTIF($A$2:$A$3000,A150)&gt;1,"Duplicate perm_id",IF(AND(R150="Yes",D150&lt;&gt;"",COUNTIFS($C$2:$C$3000,D150,$R$2:$R$3000,"Yes")&gt;1),"Reference counted twice",IF(COUNTIF(Lists!$A$2:$A$7,I150)=0,"Unknown status","")))))</f>
        <v/>
      </c>
    </row>
    <row r="151" customFormat="false" ht="15" hidden="false" customHeight="false" outlineLevel="0" collapsed="false">
      <c r="A151" s="15" t="s">
        <v>1796</v>
      </c>
      <c r="B151" s="15" t="s">
        <v>726</v>
      </c>
      <c r="C151" s="15" t="s">
        <v>60</v>
      </c>
      <c r="D151" s="15" t="s">
        <v>1797</v>
      </c>
      <c r="E151" s="15" t="s">
        <v>1797</v>
      </c>
      <c r="F151" s="15" t="s">
        <v>727</v>
      </c>
      <c r="G151" s="15" t="n">
        <v>68</v>
      </c>
      <c r="H151" s="15"/>
      <c r="I151" s="15" t="s">
        <v>1007</v>
      </c>
      <c r="J151" s="15" t="s">
        <v>1008</v>
      </c>
      <c r="K151" s="15" t="s">
        <v>1007</v>
      </c>
      <c r="L151" s="15" t="n">
        <v>0</v>
      </c>
      <c r="M151" s="15" t="n">
        <v>0</v>
      </c>
      <c r="N151" s="15" t="n">
        <v>0</v>
      </c>
      <c r="O151" s="15" t="n">
        <v>0</v>
      </c>
      <c r="P151" s="15"/>
      <c r="Q151" s="15" t="s">
        <v>1009</v>
      </c>
      <c r="R151" s="15" t="s">
        <v>1010</v>
      </c>
      <c r="S151" s="15" t="s">
        <v>1050</v>
      </c>
      <c r="T151" s="15" t="n">
        <v>0</v>
      </c>
      <c r="U151" s="15" t="n">
        <v>12</v>
      </c>
      <c r="V151" s="15" t="n">
        <v>23</v>
      </c>
      <c r="W151" s="15" t="n">
        <v>25</v>
      </c>
      <c r="X151" s="15" t="n">
        <v>8</v>
      </c>
      <c r="Y151" s="15" t="n">
        <v>0</v>
      </c>
      <c r="Z151" s="15" t="s">
        <v>1012</v>
      </c>
      <c r="AA151" s="15" t="s">
        <v>1013</v>
      </c>
      <c r="AB151" s="15" t="s">
        <v>176</v>
      </c>
      <c r="AC151" s="15" t="s">
        <v>1027</v>
      </c>
      <c r="AD151" s="15" t="s">
        <v>1798</v>
      </c>
      <c r="AE151" s="15" t="s">
        <v>1799</v>
      </c>
      <c r="AF151" s="15"/>
      <c r="AG151" s="15" t="s">
        <v>1280</v>
      </c>
      <c r="AH151" s="15" t="s">
        <v>1194</v>
      </c>
      <c r="AI151" s="15" t="s">
        <v>1061</v>
      </c>
      <c r="AJ151" s="15" t="n">
        <v>0</v>
      </c>
      <c r="AK151" s="15" t="n">
        <v>0</v>
      </c>
      <c r="AL151" s="15" t="n">
        <v>53</v>
      </c>
      <c r="AM151" s="15" t="n">
        <v>15</v>
      </c>
      <c r="AN151" s="15" t="n">
        <v>0</v>
      </c>
      <c r="AO151" s="15" t="n">
        <v>0</v>
      </c>
      <c r="AP151" s="15" t="s">
        <v>1325</v>
      </c>
      <c r="AQ151" s="15" t="s">
        <v>1021</v>
      </c>
      <c r="AR151" s="15" t="s">
        <v>169</v>
      </c>
      <c r="AS151" s="15"/>
      <c r="AT151" s="29" t="str">
        <f aca="false">IF(A151="","",IF(COUNTIF(Parcels!$A$2:$A$3000,B151)=0,"Parcel not found",IF(COUNTIF($A$2:$A$3000,A151)&gt;1,"Duplicate perm_id",IF(AND(R151="Yes",D151&lt;&gt;"",COUNTIFS($C$2:$C$3000,D151,$R$2:$R$3000,"Yes")&gt;1),"Reference counted twice",IF(COUNTIF(Lists!$A$2:$A$7,I151)=0,"Unknown status","")))))</f>
        <v/>
      </c>
    </row>
    <row r="152" customFormat="false" ht="15" hidden="false" customHeight="false" outlineLevel="0" collapsed="false">
      <c r="A152" s="15" t="s">
        <v>1800</v>
      </c>
      <c r="B152" s="15" t="s">
        <v>726</v>
      </c>
      <c r="C152" s="15" t="s">
        <v>60</v>
      </c>
      <c r="D152" s="15" t="s">
        <v>1801</v>
      </c>
      <c r="E152" s="15" t="s">
        <v>1801</v>
      </c>
      <c r="F152" s="15" t="s">
        <v>1802</v>
      </c>
      <c r="G152" s="15" t="n">
        <v>48</v>
      </c>
      <c r="H152" s="15"/>
      <c r="I152" s="15" t="s">
        <v>1046</v>
      </c>
      <c r="J152" s="15" t="s">
        <v>1008</v>
      </c>
      <c r="K152" s="15" t="s">
        <v>1046</v>
      </c>
      <c r="L152" s="15" t="n">
        <v>0</v>
      </c>
      <c r="M152" s="15" t="n">
        <v>0</v>
      </c>
      <c r="N152" s="15" t="n">
        <v>0</v>
      </c>
      <c r="O152" s="15" t="n">
        <v>0</v>
      </c>
      <c r="P152" s="15"/>
      <c r="Q152" s="15" t="s">
        <v>1009</v>
      </c>
      <c r="R152" s="15" t="s">
        <v>1010</v>
      </c>
      <c r="S152" s="15" t="s">
        <v>1050</v>
      </c>
      <c r="T152" s="15" t="n">
        <v>0</v>
      </c>
      <c r="U152" s="15" t="n">
        <v>20</v>
      </c>
      <c r="V152" s="15" t="n">
        <v>20</v>
      </c>
      <c r="W152" s="15" t="n">
        <v>6</v>
      </c>
      <c r="X152" s="15" t="n">
        <v>2</v>
      </c>
      <c r="Y152" s="15" t="n">
        <v>0</v>
      </c>
      <c r="Z152" s="15" t="s">
        <v>1034</v>
      </c>
      <c r="AA152" s="15" t="s">
        <v>1013</v>
      </c>
      <c r="AB152" s="15" t="s">
        <v>176</v>
      </c>
      <c r="AC152" s="15" t="s">
        <v>1027</v>
      </c>
      <c r="AD152" s="15"/>
      <c r="AE152" s="15"/>
      <c r="AF152" s="15"/>
      <c r="AG152" s="15"/>
      <c r="AH152" s="15"/>
      <c r="AI152" s="15" t="s">
        <v>1030</v>
      </c>
      <c r="AJ152" s="15" t="n">
        <v>0</v>
      </c>
      <c r="AK152" s="15" t="n">
        <v>0</v>
      </c>
      <c r="AL152" s="15" t="n">
        <v>0</v>
      </c>
      <c r="AM152" s="15" t="n">
        <v>0</v>
      </c>
      <c r="AN152" s="15" t="n">
        <v>0</v>
      </c>
      <c r="AO152" s="15" t="n">
        <v>0</v>
      </c>
      <c r="AP152" s="15" t="s">
        <v>1325</v>
      </c>
      <c r="AQ152" s="15" t="s">
        <v>1021</v>
      </c>
      <c r="AR152" s="15" t="s">
        <v>169</v>
      </c>
      <c r="AS152" s="15"/>
      <c r="AT152" s="29" t="str">
        <f aca="false">IF(A152="","",IF(COUNTIF(Parcels!$A$2:$A$3000,B152)=0,"Parcel not found",IF(COUNTIF($A$2:$A$3000,A152)&gt;1,"Duplicate perm_id",IF(AND(R152="Yes",D152&lt;&gt;"",COUNTIFS($C$2:$C$3000,D152,$R$2:$R$3000,"Yes")&gt;1),"Reference counted twice",IF(COUNTIF(Lists!$A$2:$A$7,I152)=0,"Unknown status","")))))</f>
        <v/>
      </c>
    </row>
    <row r="153" customFormat="false" ht="15" hidden="false" customHeight="false" outlineLevel="0" collapsed="false">
      <c r="A153" s="15" t="s">
        <v>1803</v>
      </c>
      <c r="B153" s="15" t="s">
        <v>728</v>
      </c>
      <c r="C153" s="15" t="s">
        <v>70</v>
      </c>
      <c r="D153" s="15" t="s">
        <v>1804</v>
      </c>
      <c r="E153" s="15" t="s">
        <v>1804</v>
      </c>
      <c r="F153" s="15" t="s">
        <v>729</v>
      </c>
      <c r="G153" s="15" t="n">
        <v>51</v>
      </c>
      <c r="H153" s="15"/>
      <c r="I153" s="15" t="s">
        <v>1007</v>
      </c>
      <c r="J153" s="15" t="s">
        <v>1008</v>
      </c>
      <c r="K153" s="15" t="s">
        <v>1007</v>
      </c>
      <c r="L153" s="15" t="n">
        <v>0</v>
      </c>
      <c r="M153" s="15" t="n">
        <v>0</v>
      </c>
      <c r="N153" s="15" t="n">
        <v>0</v>
      </c>
      <c r="O153" s="15" t="n">
        <v>0</v>
      </c>
      <c r="P153" s="15"/>
      <c r="Q153" s="15" t="s">
        <v>1009</v>
      </c>
      <c r="R153" s="15" t="s">
        <v>1010</v>
      </c>
      <c r="S153" s="15" t="s">
        <v>1026</v>
      </c>
      <c r="T153" s="15"/>
      <c r="U153" s="15"/>
      <c r="V153" s="15"/>
      <c r="W153" s="15"/>
      <c r="X153" s="15"/>
      <c r="Y153" s="15"/>
      <c r="Z153" s="15" t="s">
        <v>1012</v>
      </c>
      <c r="AA153" s="15" t="s">
        <v>1013</v>
      </c>
      <c r="AB153" s="15" t="s">
        <v>176</v>
      </c>
      <c r="AC153" s="15" t="s">
        <v>1027</v>
      </c>
      <c r="AD153" s="15" t="s">
        <v>1805</v>
      </c>
      <c r="AE153" s="15" t="s">
        <v>1806</v>
      </c>
      <c r="AF153" s="15"/>
      <c r="AG153" s="15" t="s">
        <v>1280</v>
      </c>
      <c r="AH153" s="15" t="s">
        <v>1194</v>
      </c>
      <c r="AI153" s="15" t="s">
        <v>1061</v>
      </c>
      <c r="AJ153" s="15" t="n">
        <v>0</v>
      </c>
      <c r="AK153" s="15" t="n">
        <v>0</v>
      </c>
      <c r="AL153" s="15" t="n">
        <v>39.8</v>
      </c>
      <c r="AM153" s="15" t="n">
        <v>11.2</v>
      </c>
      <c r="AN153" s="15" t="n">
        <v>0</v>
      </c>
      <c r="AO153" s="15" t="n">
        <v>0</v>
      </c>
      <c r="AP153" s="15" t="s">
        <v>1325</v>
      </c>
      <c r="AQ153" s="15" t="s">
        <v>1021</v>
      </c>
      <c r="AR153" s="15" t="s">
        <v>169</v>
      </c>
      <c r="AS153" s="15"/>
      <c r="AT153" s="29" t="str">
        <f aca="false">IF(A153="","",IF(COUNTIF(Parcels!$A$2:$A$3000,B153)=0,"Parcel not found",IF(COUNTIF($A$2:$A$3000,A153)&gt;1,"Duplicate perm_id",IF(AND(R153="Yes",D153&lt;&gt;"",COUNTIFS($C$2:$C$3000,D153,$R$2:$R$3000,"Yes")&gt;1),"Reference counted twice",IF(COUNTIF(Lists!$A$2:$A$7,I153)=0,"Unknown status","")))))</f>
        <v/>
      </c>
    </row>
    <row r="154" customFormat="false" ht="15" hidden="false" customHeight="false" outlineLevel="0" collapsed="false">
      <c r="A154" s="15" t="s">
        <v>1807</v>
      </c>
      <c r="B154" s="15" t="s">
        <v>730</v>
      </c>
      <c r="C154" s="15" t="s">
        <v>22</v>
      </c>
      <c r="D154" s="15" t="s">
        <v>1808</v>
      </c>
      <c r="E154" s="15" t="s">
        <v>1808</v>
      </c>
      <c r="F154" s="15" t="s">
        <v>731</v>
      </c>
      <c r="G154" s="15" t="n">
        <v>18</v>
      </c>
      <c r="H154" s="15"/>
      <c r="I154" s="15" t="s">
        <v>48</v>
      </c>
      <c r="J154" s="15" t="s">
        <v>1008</v>
      </c>
      <c r="K154" s="15" t="s">
        <v>48</v>
      </c>
      <c r="L154" s="15" t="n">
        <v>0</v>
      </c>
      <c r="M154" s="15" t="n">
        <v>0</v>
      </c>
      <c r="N154" s="15" t="n">
        <v>11</v>
      </c>
      <c r="O154" s="15" t="n">
        <v>0</v>
      </c>
      <c r="P154" s="15"/>
      <c r="Q154" s="15" t="s">
        <v>1009</v>
      </c>
      <c r="R154" s="15" t="s">
        <v>1010</v>
      </c>
      <c r="S154" s="15" t="s">
        <v>1050</v>
      </c>
      <c r="T154" s="15" t="n">
        <v>0</v>
      </c>
      <c r="U154" s="15" t="n">
        <v>7</v>
      </c>
      <c r="V154" s="15" t="n">
        <v>8</v>
      </c>
      <c r="W154" s="15" t="n">
        <v>2</v>
      </c>
      <c r="X154" s="15" t="n">
        <v>1</v>
      </c>
      <c r="Y154" s="15" t="n">
        <v>0</v>
      </c>
      <c r="Z154" s="15" t="s">
        <v>1034</v>
      </c>
      <c r="AA154" s="15" t="s">
        <v>1035</v>
      </c>
      <c r="AB154" s="15" t="s">
        <v>1036</v>
      </c>
      <c r="AC154" s="15" t="s">
        <v>1037</v>
      </c>
      <c r="AD154" s="15" t="s">
        <v>1809</v>
      </c>
      <c r="AE154" s="15"/>
      <c r="AF154" s="15" t="s">
        <v>1810</v>
      </c>
      <c r="AG154" s="15" t="s">
        <v>1811</v>
      </c>
      <c r="AH154" s="15" t="s">
        <v>1041</v>
      </c>
      <c r="AI154" s="15" t="s">
        <v>1042</v>
      </c>
      <c r="AJ154" s="15" t="n">
        <v>4.2</v>
      </c>
      <c r="AK154" s="15" t="n">
        <v>13.8</v>
      </c>
      <c r="AL154" s="15" t="n">
        <v>0</v>
      </c>
      <c r="AM154" s="15" t="n">
        <v>0</v>
      </c>
      <c r="AN154" s="15" t="n">
        <v>0</v>
      </c>
      <c r="AO154" s="15" t="n">
        <v>0</v>
      </c>
      <c r="AP154" s="15" t="s">
        <v>1325</v>
      </c>
      <c r="AQ154" s="15" t="s">
        <v>1021</v>
      </c>
      <c r="AR154" s="15" t="s">
        <v>169</v>
      </c>
      <c r="AS154" s="15"/>
      <c r="AT154" s="29" t="str">
        <f aca="false">IF(A154="","",IF(COUNTIF(Parcels!$A$2:$A$3000,B154)=0,"Parcel not found",IF(COUNTIF($A$2:$A$3000,A154)&gt;1,"Duplicate perm_id",IF(AND(R154="Yes",D154&lt;&gt;"",COUNTIFS($C$2:$C$3000,D154,$R$2:$R$3000,"Yes")&gt;1),"Reference counted twice",IF(COUNTIF(Lists!$A$2:$A$7,I154)=0,"Unknown status","")))))</f>
        <v/>
      </c>
    </row>
    <row r="155" customFormat="false" ht="15" hidden="false" customHeight="false" outlineLevel="0" collapsed="false">
      <c r="A155" s="15" t="s">
        <v>1812</v>
      </c>
      <c r="B155" s="15" t="s">
        <v>732</v>
      </c>
      <c r="C155" s="15" t="s">
        <v>72</v>
      </c>
      <c r="D155" s="15" t="s">
        <v>1813</v>
      </c>
      <c r="E155" s="15" t="s">
        <v>1813</v>
      </c>
      <c r="F155" s="15" t="s">
        <v>733</v>
      </c>
      <c r="G155" s="15" t="n">
        <v>10</v>
      </c>
      <c r="H155" s="15"/>
      <c r="I155" s="15" t="s">
        <v>47</v>
      </c>
      <c r="J155" s="15" t="s">
        <v>1008</v>
      </c>
      <c r="K155" s="15" t="s">
        <v>47</v>
      </c>
      <c r="L155" s="15" t="n">
        <v>10</v>
      </c>
      <c r="M155" s="15" t="n">
        <v>10</v>
      </c>
      <c r="N155" s="15" t="n">
        <v>0</v>
      </c>
      <c r="O155" s="15" t="n">
        <v>8</v>
      </c>
      <c r="P155" s="15"/>
      <c r="Q155" s="15" t="s">
        <v>1009</v>
      </c>
      <c r="R155" s="15" t="s">
        <v>1010</v>
      </c>
      <c r="S155" s="15" t="s">
        <v>1026</v>
      </c>
      <c r="T155" s="15"/>
      <c r="U155" s="15"/>
      <c r="V155" s="15"/>
      <c r="W155" s="15"/>
      <c r="X155" s="15"/>
      <c r="Y155" s="15"/>
      <c r="Z155" s="15" t="s">
        <v>1012</v>
      </c>
      <c r="AA155" s="15" t="s">
        <v>1035</v>
      </c>
      <c r="AB155" s="15" t="s">
        <v>1036</v>
      </c>
      <c r="AC155" s="15" t="s">
        <v>1037</v>
      </c>
      <c r="AD155" s="15" t="s">
        <v>1814</v>
      </c>
      <c r="AE155" s="15"/>
      <c r="AF155" s="15" t="s">
        <v>1815</v>
      </c>
      <c r="AG155" s="15"/>
      <c r="AH155" s="15"/>
      <c r="AI155" s="15" t="s">
        <v>1053</v>
      </c>
      <c r="AJ155" s="15" t="n">
        <v>0</v>
      </c>
      <c r="AK155" s="15" t="n">
        <v>0</v>
      </c>
      <c r="AL155" s="15" t="n">
        <v>0</v>
      </c>
      <c r="AM155" s="15" t="n">
        <v>0</v>
      </c>
      <c r="AN155" s="15" t="n">
        <v>0</v>
      </c>
      <c r="AO155" s="15" t="n">
        <v>0</v>
      </c>
      <c r="AP155" s="15" t="s">
        <v>1325</v>
      </c>
      <c r="AQ155" s="15" t="s">
        <v>1021</v>
      </c>
      <c r="AR155" s="15" t="s">
        <v>169</v>
      </c>
      <c r="AS155" s="15"/>
      <c r="AT155" s="29" t="str">
        <f aca="false">IF(A155="","",IF(COUNTIF(Parcels!$A$2:$A$3000,B155)=0,"Parcel not found",IF(COUNTIF($A$2:$A$3000,A155)&gt;1,"Duplicate perm_id",IF(AND(R155="Yes",D155&lt;&gt;"",COUNTIFS($C$2:$C$3000,D155,$R$2:$R$3000,"Yes")&gt;1),"Reference counted twice",IF(COUNTIF(Lists!$A$2:$A$7,I155)=0,"Unknown status","")))))</f>
        <v/>
      </c>
    </row>
    <row r="156" customFormat="false" ht="15" hidden="false" customHeight="false" outlineLevel="0" collapsed="false">
      <c r="A156" s="15" t="s">
        <v>1816</v>
      </c>
      <c r="B156" s="15" t="s">
        <v>515</v>
      </c>
      <c r="C156" s="15" t="s">
        <v>52</v>
      </c>
      <c r="D156" s="15" t="s">
        <v>1817</v>
      </c>
      <c r="E156" s="15" t="s">
        <v>1817</v>
      </c>
      <c r="F156" s="15" t="s">
        <v>516</v>
      </c>
      <c r="G156" s="15" t="n">
        <v>2</v>
      </c>
      <c r="H156" s="15"/>
      <c r="I156" s="15" t="s">
        <v>48</v>
      </c>
      <c r="J156" s="15" t="s">
        <v>1008</v>
      </c>
      <c r="K156" s="15" t="s">
        <v>48</v>
      </c>
      <c r="L156" s="15" t="n">
        <v>1</v>
      </c>
      <c r="M156" s="15" t="n">
        <v>1</v>
      </c>
      <c r="N156" s="15" t="n">
        <v>0</v>
      </c>
      <c r="O156" s="15" t="n">
        <v>0</v>
      </c>
      <c r="P156" s="15"/>
      <c r="Q156" s="15" t="s">
        <v>1009</v>
      </c>
      <c r="R156" s="15" t="s">
        <v>1010</v>
      </c>
      <c r="S156" s="15" t="s">
        <v>1026</v>
      </c>
      <c r="T156" s="15"/>
      <c r="U156" s="15"/>
      <c r="V156" s="15"/>
      <c r="W156" s="15"/>
      <c r="X156" s="15"/>
      <c r="Y156" s="15"/>
      <c r="Z156" s="15" t="s">
        <v>1034</v>
      </c>
      <c r="AA156" s="15" t="s">
        <v>1013</v>
      </c>
      <c r="AB156" s="15" t="s">
        <v>176</v>
      </c>
      <c r="AC156" s="15" t="s">
        <v>1027</v>
      </c>
      <c r="AD156" s="15" t="s">
        <v>1818</v>
      </c>
      <c r="AE156" s="15" t="s">
        <v>1819</v>
      </c>
      <c r="AF156" s="15" t="s">
        <v>1723</v>
      </c>
      <c r="AG156" s="15" t="s">
        <v>1080</v>
      </c>
      <c r="AH156" s="15" t="s">
        <v>1041</v>
      </c>
      <c r="AI156" s="15" t="s">
        <v>1042</v>
      </c>
      <c r="AJ156" s="15" t="n">
        <v>0.5</v>
      </c>
      <c r="AK156" s="15" t="n">
        <v>1.5</v>
      </c>
      <c r="AL156" s="15" t="n">
        <v>0</v>
      </c>
      <c r="AM156" s="15" t="n">
        <v>0</v>
      </c>
      <c r="AN156" s="15" t="n">
        <v>0</v>
      </c>
      <c r="AO156" s="15" t="n">
        <v>0</v>
      </c>
      <c r="AP156" s="15" t="s">
        <v>1325</v>
      </c>
      <c r="AQ156" s="15" t="s">
        <v>1021</v>
      </c>
      <c r="AR156" s="15" t="s">
        <v>169</v>
      </c>
      <c r="AS156" s="15"/>
      <c r="AT156" s="29" t="str">
        <f aca="false">IF(A156="","",IF(COUNTIF(Parcels!$A$2:$A$3000,B156)=0,"Parcel not found",IF(COUNTIF($A$2:$A$3000,A156)&gt;1,"Duplicate perm_id",IF(AND(R156="Yes",D156&lt;&gt;"",COUNTIFS($C$2:$C$3000,D156,$R$2:$R$3000,"Yes")&gt;1),"Reference counted twice",IF(COUNTIF(Lists!$A$2:$A$7,I156)=0,"Unknown status","")))))</f>
        <v/>
      </c>
    </row>
    <row r="157" customFormat="false" ht="15" hidden="false" customHeight="false" outlineLevel="0" collapsed="false">
      <c r="A157" s="15" t="s">
        <v>1820</v>
      </c>
      <c r="B157" s="15" t="s">
        <v>734</v>
      </c>
      <c r="C157" s="15" t="s">
        <v>74</v>
      </c>
      <c r="D157" s="15" t="s">
        <v>1821</v>
      </c>
      <c r="E157" s="15" t="s">
        <v>1821</v>
      </c>
      <c r="F157" s="15" t="s">
        <v>735</v>
      </c>
      <c r="G157" s="15" t="n">
        <v>9</v>
      </c>
      <c r="H157" s="15"/>
      <c r="I157" s="15" t="s">
        <v>47</v>
      </c>
      <c r="J157" s="15" t="s">
        <v>1008</v>
      </c>
      <c r="K157" s="15" t="s">
        <v>47</v>
      </c>
      <c r="L157" s="15" t="n">
        <v>9</v>
      </c>
      <c r="M157" s="15" t="n">
        <v>0</v>
      </c>
      <c r="N157" s="15" t="n">
        <v>9</v>
      </c>
      <c r="O157" s="15" t="n">
        <v>0</v>
      </c>
      <c r="P157" s="15" t="s">
        <v>1135</v>
      </c>
      <c r="Q157" s="15" t="s">
        <v>1009</v>
      </c>
      <c r="R157" s="15" t="s">
        <v>1010</v>
      </c>
      <c r="S157" s="15" t="s">
        <v>1026</v>
      </c>
      <c r="T157" s="15"/>
      <c r="U157" s="15"/>
      <c r="V157" s="15"/>
      <c r="W157" s="15"/>
      <c r="X157" s="15"/>
      <c r="Y157" s="15"/>
      <c r="Z157" s="15" t="s">
        <v>1034</v>
      </c>
      <c r="AA157" s="15" t="s">
        <v>1013</v>
      </c>
      <c r="AB157" s="15" t="s">
        <v>176</v>
      </c>
      <c r="AC157" s="15" t="s">
        <v>1027</v>
      </c>
      <c r="AD157" s="15" t="s">
        <v>1822</v>
      </c>
      <c r="AE157" s="15" t="s">
        <v>1823</v>
      </c>
      <c r="AF157" s="15" t="s">
        <v>1824</v>
      </c>
      <c r="AG157" s="15"/>
      <c r="AH157" s="15"/>
      <c r="AI157" s="15" t="s">
        <v>1053</v>
      </c>
      <c r="AJ157" s="15" t="n">
        <v>0</v>
      </c>
      <c r="AK157" s="15" t="n">
        <v>0</v>
      </c>
      <c r="AL157" s="15" t="n">
        <v>0</v>
      </c>
      <c r="AM157" s="15" t="n">
        <v>0</v>
      </c>
      <c r="AN157" s="15" t="n">
        <v>0</v>
      </c>
      <c r="AO157" s="15" t="n">
        <v>0</v>
      </c>
      <c r="AP157" s="15" t="s">
        <v>1325</v>
      </c>
      <c r="AQ157" s="15" t="s">
        <v>1021</v>
      </c>
      <c r="AR157" s="15" t="s">
        <v>169</v>
      </c>
      <c r="AS157" s="15"/>
      <c r="AT157" s="29" t="str">
        <f aca="false">IF(A157="","",IF(COUNTIF(Parcels!$A$2:$A$3000,B157)=0,"Parcel not found",IF(COUNTIF($A$2:$A$3000,A157)&gt;1,"Duplicate perm_id",IF(AND(R157="Yes",D157&lt;&gt;"",COUNTIFS($C$2:$C$3000,D157,$R$2:$R$3000,"Yes")&gt;1),"Reference counted twice",IF(COUNTIF(Lists!$A$2:$A$7,I157)=0,"Unknown status","")))))</f>
        <v/>
      </c>
    </row>
    <row r="158" customFormat="false" ht="15" hidden="false" customHeight="false" outlineLevel="0" collapsed="false">
      <c r="A158" s="15" t="s">
        <v>1825</v>
      </c>
      <c r="B158" s="15" t="s">
        <v>549</v>
      </c>
      <c r="C158" s="15" t="s">
        <v>53</v>
      </c>
      <c r="D158" s="15" t="s">
        <v>1826</v>
      </c>
      <c r="E158" s="15" t="s">
        <v>1826</v>
      </c>
      <c r="F158" s="15" t="s">
        <v>550</v>
      </c>
      <c r="G158" s="15" t="n">
        <v>29</v>
      </c>
      <c r="H158" s="15"/>
      <c r="I158" s="15" t="s">
        <v>1007</v>
      </c>
      <c r="J158" s="15" t="s">
        <v>1008</v>
      </c>
      <c r="K158" s="15" t="s">
        <v>1007</v>
      </c>
      <c r="L158" s="15" t="n">
        <v>0</v>
      </c>
      <c r="M158" s="15" t="n">
        <v>0</v>
      </c>
      <c r="N158" s="15" t="n">
        <v>0</v>
      </c>
      <c r="O158" s="15" t="n">
        <v>0</v>
      </c>
      <c r="P158" s="15"/>
      <c r="Q158" s="15" t="s">
        <v>1009</v>
      </c>
      <c r="R158" s="15" t="s">
        <v>1010</v>
      </c>
      <c r="S158" s="15" t="s">
        <v>1011</v>
      </c>
      <c r="T158" s="15" t="n">
        <v>0</v>
      </c>
      <c r="U158" s="15" t="n">
        <v>1</v>
      </c>
      <c r="V158" s="15" t="n">
        <v>24</v>
      </c>
      <c r="W158" s="15" t="n">
        <v>4</v>
      </c>
      <c r="X158" s="15" t="n">
        <v>0</v>
      </c>
      <c r="Y158" s="15" t="n">
        <v>0</v>
      </c>
      <c r="Z158" s="15" t="s">
        <v>1034</v>
      </c>
      <c r="AA158" s="15" t="s">
        <v>1013</v>
      </c>
      <c r="AB158" s="15" t="s">
        <v>176</v>
      </c>
      <c r="AC158" s="15" t="s">
        <v>1027</v>
      </c>
      <c r="AD158" s="15" t="s">
        <v>1487</v>
      </c>
      <c r="AE158" s="15" t="s">
        <v>1827</v>
      </c>
      <c r="AF158" s="15"/>
      <c r="AG158" s="15" t="s">
        <v>1017</v>
      </c>
      <c r="AH158" s="15" t="s">
        <v>1060</v>
      </c>
      <c r="AI158" s="15" t="s">
        <v>1019</v>
      </c>
      <c r="AJ158" s="15" t="n">
        <v>0</v>
      </c>
      <c r="AK158" s="15" t="n">
        <v>0</v>
      </c>
      <c r="AL158" s="15" t="n">
        <v>22</v>
      </c>
      <c r="AM158" s="15" t="n">
        <v>7</v>
      </c>
      <c r="AN158" s="15" t="n">
        <v>0</v>
      </c>
      <c r="AO158" s="15" t="n">
        <v>0</v>
      </c>
      <c r="AP158" s="15" t="s">
        <v>1325</v>
      </c>
      <c r="AQ158" s="15" t="s">
        <v>1021</v>
      </c>
      <c r="AR158" s="15" t="s">
        <v>169</v>
      </c>
      <c r="AS158" s="15"/>
      <c r="AT158" s="29" t="str">
        <f aca="false">IF(A158="","",IF(COUNTIF(Parcels!$A$2:$A$3000,B158)=0,"Parcel not found",IF(COUNTIF($A$2:$A$3000,A158)&gt;1,"Duplicate perm_id",IF(AND(R158="Yes",D158&lt;&gt;"",COUNTIFS($C$2:$C$3000,D158,$R$2:$R$3000,"Yes")&gt;1),"Reference counted twice",IF(COUNTIF(Lists!$A$2:$A$7,I158)=0,"Unknown status","")))))</f>
        <v/>
      </c>
    </row>
    <row r="159" customFormat="false" ht="15" hidden="false" customHeight="false" outlineLevel="0" collapsed="false">
      <c r="A159" s="15" t="s">
        <v>1828</v>
      </c>
      <c r="B159" s="15" t="s">
        <v>618</v>
      </c>
      <c r="C159" s="15" t="s">
        <v>55</v>
      </c>
      <c r="D159" s="15" t="s">
        <v>1829</v>
      </c>
      <c r="E159" s="15" t="s">
        <v>1829</v>
      </c>
      <c r="F159" s="15" t="s">
        <v>619</v>
      </c>
      <c r="G159" s="15" t="n">
        <v>30</v>
      </c>
      <c r="H159" s="15"/>
      <c r="I159" s="15" t="s">
        <v>1007</v>
      </c>
      <c r="J159" s="15" t="s">
        <v>1008</v>
      </c>
      <c r="K159" s="15" t="s">
        <v>1007</v>
      </c>
      <c r="L159" s="15" t="n">
        <v>0</v>
      </c>
      <c r="M159" s="15" t="n">
        <v>0</v>
      </c>
      <c r="N159" s="15" t="n">
        <v>0</v>
      </c>
      <c r="O159" s="15" t="n">
        <v>0</v>
      </c>
      <c r="P159" s="15"/>
      <c r="Q159" s="15" t="s">
        <v>1009</v>
      </c>
      <c r="R159" s="15" t="s">
        <v>1010</v>
      </c>
      <c r="S159" s="15" t="s">
        <v>1011</v>
      </c>
      <c r="T159" s="15" t="n">
        <v>0</v>
      </c>
      <c r="U159" s="15" t="n">
        <v>20</v>
      </c>
      <c r="V159" s="15" t="n">
        <v>10</v>
      </c>
      <c r="W159" s="15" t="n">
        <v>0</v>
      </c>
      <c r="X159" s="15" t="n">
        <v>0</v>
      </c>
      <c r="Y159" s="15" t="n">
        <v>0</v>
      </c>
      <c r="Z159" s="15" t="s">
        <v>1012</v>
      </c>
      <c r="AA159" s="15" t="s">
        <v>1013</v>
      </c>
      <c r="AB159" s="15" t="s">
        <v>176</v>
      </c>
      <c r="AC159" s="15" t="s">
        <v>1027</v>
      </c>
      <c r="AD159" s="15" t="s">
        <v>1830</v>
      </c>
      <c r="AE159" s="15" t="s">
        <v>1831</v>
      </c>
      <c r="AF159" s="15"/>
      <c r="AG159" s="15" t="s">
        <v>1017</v>
      </c>
      <c r="AH159" s="15" t="s">
        <v>1060</v>
      </c>
      <c r="AI159" s="15" t="s">
        <v>1019</v>
      </c>
      <c r="AJ159" s="15" t="n">
        <v>0</v>
      </c>
      <c r="AK159" s="15" t="n">
        <v>0</v>
      </c>
      <c r="AL159" s="15" t="n">
        <v>22.8</v>
      </c>
      <c r="AM159" s="15" t="n">
        <v>7.2</v>
      </c>
      <c r="AN159" s="15" t="n">
        <v>0</v>
      </c>
      <c r="AO159" s="15" t="n">
        <v>0</v>
      </c>
      <c r="AP159" s="15" t="s">
        <v>1325</v>
      </c>
      <c r="AQ159" s="15" t="s">
        <v>1021</v>
      </c>
      <c r="AR159" s="15" t="s">
        <v>169</v>
      </c>
      <c r="AS159" s="15"/>
      <c r="AT159" s="29" t="str">
        <f aca="false">IF(A159="","",IF(COUNTIF(Parcels!$A$2:$A$3000,B159)=0,"Parcel not found",IF(COUNTIF($A$2:$A$3000,A159)&gt;1,"Duplicate perm_id",IF(AND(R159="Yes",D159&lt;&gt;"",COUNTIFS($C$2:$C$3000,D159,$R$2:$R$3000,"Yes")&gt;1),"Reference counted twice",IF(COUNTIF(Lists!$A$2:$A$7,I159)=0,"Unknown status","")))))</f>
        <v/>
      </c>
    </row>
    <row r="160" customFormat="false" ht="15" hidden="false" customHeight="false" outlineLevel="0" collapsed="false">
      <c r="A160" s="15" t="s">
        <v>1832</v>
      </c>
      <c r="B160" s="15" t="s">
        <v>551</v>
      </c>
      <c r="C160" s="15" t="s">
        <v>53</v>
      </c>
      <c r="D160" s="15" t="s">
        <v>1833</v>
      </c>
      <c r="E160" s="15" t="s">
        <v>1833</v>
      </c>
      <c r="F160" s="15" t="s">
        <v>552</v>
      </c>
      <c r="G160" s="15" t="n">
        <v>25</v>
      </c>
      <c r="H160" s="15" t="n">
        <v>116</v>
      </c>
      <c r="I160" s="15" t="s">
        <v>1007</v>
      </c>
      <c r="J160" s="15" t="s">
        <v>1008</v>
      </c>
      <c r="K160" s="15" t="s">
        <v>1007</v>
      </c>
      <c r="L160" s="15" t="n">
        <v>0</v>
      </c>
      <c r="M160" s="15" t="n">
        <v>0</v>
      </c>
      <c r="N160" s="15" t="n">
        <v>0</v>
      </c>
      <c r="O160" s="15" t="n">
        <v>0</v>
      </c>
      <c r="P160" s="15"/>
      <c r="Q160" s="15" t="s">
        <v>1009</v>
      </c>
      <c r="R160" s="15" t="s">
        <v>1010</v>
      </c>
      <c r="S160" s="15" t="s">
        <v>1011</v>
      </c>
      <c r="T160" s="15" t="n">
        <v>0</v>
      </c>
      <c r="U160" s="15" t="n">
        <v>6</v>
      </c>
      <c r="V160" s="15" t="n">
        <v>0</v>
      </c>
      <c r="W160" s="15" t="n">
        <v>0</v>
      </c>
      <c r="X160" s="15" t="n">
        <v>0</v>
      </c>
      <c r="Y160" s="15" t="n">
        <v>19</v>
      </c>
      <c r="Z160" s="15" t="s">
        <v>1034</v>
      </c>
      <c r="AA160" s="15" t="s">
        <v>1119</v>
      </c>
      <c r="AB160" s="15" t="s">
        <v>176</v>
      </c>
      <c r="AC160" s="15" t="s">
        <v>1027</v>
      </c>
      <c r="AD160" s="15" t="s">
        <v>1834</v>
      </c>
      <c r="AE160" s="15" t="s">
        <v>1835</v>
      </c>
      <c r="AF160" s="15"/>
      <c r="AG160" s="15" t="s">
        <v>1017</v>
      </c>
      <c r="AH160" s="15" t="s">
        <v>1303</v>
      </c>
      <c r="AI160" s="15" t="s">
        <v>1019</v>
      </c>
      <c r="AJ160" s="15" t="n">
        <v>0</v>
      </c>
      <c r="AK160" s="15" t="n">
        <v>0</v>
      </c>
      <c r="AL160" s="15" t="n">
        <v>25</v>
      </c>
      <c r="AM160" s="15" t="n">
        <v>0</v>
      </c>
      <c r="AN160" s="15" t="n">
        <v>0</v>
      </c>
      <c r="AO160" s="15" t="n">
        <v>0</v>
      </c>
      <c r="AP160" s="15" t="s">
        <v>1325</v>
      </c>
      <c r="AQ160" s="15" t="s">
        <v>1021</v>
      </c>
      <c r="AR160" s="15" t="s">
        <v>169</v>
      </c>
      <c r="AS160" s="15"/>
      <c r="AT160" s="29" t="str">
        <f aca="false">IF(A160="","",IF(COUNTIF(Parcels!$A$2:$A$3000,B160)=0,"Parcel not found",IF(COUNTIF($A$2:$A$3000,A160)&gt;1,"Duplicate perm_id",IF(AND(R160="Yes",D160&lt;&gt;"",COUNTIFS($C$2:$C$3000,D160,$R$2:$R$3000,"Yes")&gt;1),"Reference counted twice",IF(COUNTIF(Lists!$A$2:$A$7,I160)=0,"Unknown status","")))))</f>
        <v/>
      </c>
    </row>
    <row r="161" customFormat="false" ht="15" hidden="false" customHeight="false" outlineLevel="0" collapsed="false">
      <c r="A161" s="15" t="s">
        <v>1836</v>
      </c>
      <c r="B161" s="15" t="s">
        <v>481</v>
      </c>
      <c r="C161" s="15" t="s">
        <v>51</v>
      </c>
      <c r="D161" s="15" t="s">
        <v>1837</v>
      </c>
      <c r="E161" s="15" t="s">
        <v>1837</v>
      </c>
      <c r="F161" s="15" t="s">
        <v>482</v>
      </c>
      <c r="G161" s="15" t="n">
        <v>28</v>
      </c>
      <c r="H161" s="15"/>
      <c r="I161" s="15" t="s">
        <v>48</v>
      </c>
      <c r="J161" s="15" t="s">
        <v>1008</v>
      </c>
      <c r="K161" s="15" t="s">
        <v>48</v>
      </c>
      <c r="L161" s="15" t="n">
        <v>0</v>
      </c>
      <c r="M161" s="15" t="n">
        <v>0</v>
      </c>
      <c r="N161" s="15" t="n">
        <v>0</v>
      </c>
      <c r="O161" s="15" t="n">
        <v>0</v>
      </c>
      <c r="P161" s="15"/>
      <c r="Q161" s="15" t="s">
        <v>1009</v>
      </c>
      <c r="R161" s="15" t="s">
        <v>1010</v>
      </c>
      <c r="S161" s="15" t="s">
        <v>1026</v>
      </c>
      <c r="T161" s="15"/>
      <c r="U161" s="15"/>
      <c r="V161" s="15"/>
      <c r="W161" s="15"/>
      <c r="X161" s="15"/>
      <c r="Y161" s="15"/>
      <c r="Z161" s="15" t="s">
        <v>1012</v>
      </c>
      <c r="AA161" s="15" t="s">
        <v>1013</v>
      </c>
      <c r="AB161" s="15" t="s">
        <v>176</v>
      </c>
      <c r="AC161" s="15" t="s">
        <v>1027</v>
      </c>
      <c r="AD161" s="15" t="s">
        <v>1838</v>
      </c>
      <c r="AE161" s="15" t="s">
        <v>1839</v>
      </c>
      <c r="AF161" s="15" t="s">
        <v>1840</v>
      </c>
      <c r="AG161" s="15" t="s">
        <v>1731</v>
      </c>
      <c r="AH161" s="15" t="s">
        <v>1041</v>
      </c>
      <c r="AI161" s="15" t="s">
        <v>1042</v>
      </c>
      <c r="AJ161" s="15" t="n">
        <v>3.9</v>
      </c>
      <c r="AK161" s="15" t="n">
        <v>24.1</v>
      </c>
      <c r="AL161" s="15" t="n">
        <v>0</v>
      </c>
      <c r="AM161" s="15" t="n">
        <v>0</v>
      </c>
      <c r="AN161" s="15" t="n">
        <v>0</v>
      </c>
      <c r="AO161" s="15" t="n">
        <v>0</v>
      </c>
      <c r="AP161" s="15" t="s">
        <v>1325</v>
      </c>
      <c r="AQ161" s="15" t="s">
        <v>1021</v>
      </c>
      <c r="AR161" s="15" t="s">
        <v>169</v>
      </c>
      <c r="AS161" s="15"/>
      <c r="AT161" s="29" t="str">
        <f aca="false">IF(A161="","",IF(COUNTIF(Parcels!$A$2:$A$3000,B161)=0,"Parcel not found",IF(COUNTIF($A$2:$A$3000,A161)&gt;1,"Duplicate perm_id",IF(AND(R161="Yes",D161&lt;&gt;"",COUNTIFS($C$2:$C$3000,D161,$R$2:$R$3000,"Yes")&gt;1),"Reference counted twice",IF(COUNTIF(Lists!$A$2:$A$7,I161)=0,"Unknown status","")))))</f>
        <v/>
      </c>
    </row>
    <row r="162" customFormat="false" ht="15" hidden="false" customHeight="false" outlineLevel="0" collapsed="false">
      <c r="A162" s="15" t="s">
        <v>1841</v>
      </c>
      <c r="B162" s="15" t="s">
        <v>736</v>
      </c>
      <c r="C162" s="15" t="s">
        <v>74</v>
      </c>
      <c r="D162" s="15" t="s">
        <v>1842</v>
      </c>
      <c r="E162" s="15" t="s">
        <v>1842</v>
      </c>
      <c r="F162" s="15" t="s">
        <v>737</v>
      </c>
      <c r="G162" s="15" t="n">
        <v>52</v>
      </c>
      <c r="H162" s="15"/>
      <c r="I162" s="15" t="s">
        <v>48</v>
      </c>
      <c r="J162" s="15" t="s">
        <v>1008</v>
      </c>
      <c r="K162" s="15" t="s">
        <v>48</v>
      </c>
      <c r="L162" s="15" t="n">
        <v>0</v>
      </c>
      <c r="M162" s="15" t="n">
        <v>0</v>
      </c>
      <c r="N162" s="15" t="n">
        <v>14</v>
      </c>
      <c r="O162" s="15" t="n">
        <v>0</v>
      </c>
      <c r="P162" s="15"/>
      <c r="Q162" s="15" t="s">
        <v>1009</v>
      </c>
      <c r="R162" s="15" t="s">
        <v>1010</v>
      </c>
      <c r="S162" s="15" t="s">
        <v>1377</v>
      </c>
      <c r="T162" s="15" t="n">
        <v>0</v>
      </c>
      <c r="U162" s="15" t="n">
        <v>0</v>
      </c>
      <c r="V162" s="15" t="n">
        <v>6</v>
      </c>
      <c r="W162" s="15" t="n">
        <v>40</v>
      </c>
      <c r="X162" s="15" t="n">
        <v>6</v>
      </c>
      <c r="Y162" s="15" t="n">
        <v>0</v>
      </c>
      <c r="Z162" s="15" t="s">
        <v>1012</v>
      </c>
      <c r="AA162" s="15" t="s">
        <v>1013</v>
      </c>
      <c r="AB162" s="15" t="s">
        <v>176</v>
      </c>
      <c r="AC162" s="15" t="s">
        <v>1027</v>
      </c>
      <c r="AD162" s="15" t="s">
        <v>1843</v>
      </c>
      <c r="AE162" s="15" t="s">
        <v>1844</v>
      </c>
      <c r="AF162" s="15" t="s">
        <v>1845</v>
      </c>
      <c r="AG162" s="15" t="s">
        <v>1292</v>
      </c>
      <c r="AH162" s="15" t="s">
        <v>1041</v>
      </c>
      <c r="AI162" s="15" t="s">
        <v>1042</v>
      </c>
      <c r="AJ162" s="15" t="n">
        <v>12.1</v>
      </c>
      <c r="AK162" s="15" t="n">
        <v>39.9</v>
      </c>
      <c r="AL162" s="15" t="n">
        <v>0</v>
      </c>
      <c r="AM162" s="15" t="n">
        <v>0</v>
      </c>
      <c r="AN162" s="15" t="n">
        <v>0</v>
      </c>
      <c r="AO162" s="15" t="n">
        <v>0</v>
      </c>
      <c r="AP162" s="15" t="s">
        <v>1325</v>
      </c>
      <c r="AQ162" s="15" t="s">
        <v>1021</v>
      </c>
      <c r="AR162" s="15" t="s">
        <v>169</v>
      </c>
      <c r="AS162" s="15"/>
      <c r="AT162" s="29" t="str">
        <f aca="false">IF(A162="","",IF(COUNTIF(Parcels!$A$2:$A$3000,B162)=0,"Parcel not found",IF(COUNTIF($A$2:$A$3000,A162)&gt;1,"Duplicate perm_id",IF(AND(R162="Yes",D162&lt;&gt;"",COUNTIFS($C$2:$C$3000,D162,$R$2:$R$3000,"Yes")&gt;1),"Reference counted twice",IF(COUNTIF(Lists!$A$2:$A$7,I162)=0,"Unknown status","")))))</f>
        <v/>
      </c>
    </row>
    <row r="163" customFormat="false" ht="15" hidden="false" customHeight="false" outlineLevel="0" collapsed="false">
      <c r="A163" s="15" t="s">
        <v>1846</v>
      </c>
      <c r="B163" s="15" t="s">
        <v>738</v>
      </c>
      <c r="C163" s="15" t="s">
        <v>69</v>
      </c>
      <c r="D163" s="15" t="s">
        <v>1847</v>
      </c>
      <c r="E163" s="15" t="s">
        <v>1847</v>
      </c>
      <c r="F163" s="15" t="s">
        <v>739</v>
      </c>
      <c r="G163" s="15" t="n">
        <v>17</v>
      </c>
      <c r="H163" s="15"/>
      <c r="I163" s="15" t="s">
        <v>47</v>
      </c>
      <c r="J163" s="15" t="s">
        <v>1008</v>
      </c>
      <c r="K163" s="15" t="s">
        <v>47</v>
      </c>
      <c r="L163" s="15" t="n">
        <v>17</v>
      </c>
      <c r="M163" s="15" t="n">
        <v>0</v>
      </c>
      <c r="N163" s="15" t="n">
        <v>17</v>
      </c>
      <c r="O163" s="15" t="n">
        <v>0</v>
      </c>
      <c r="P163" s="15" t="s">
        <v>1135</v>
      </c>
      <c r="Q163" s="15" t="s">
        <v>1009</v>
      </c>
      <c r="R163" s="15" t="s">
        <v>1010</v>
      </c>
      <c r="S163" s="15" t="s">
        <v>1050</v>
      </c>
      <c r="T163" s="15" t="n">
        <v>0</v>
      </c>
      <c r="U163" s="15" t="n">
        <v>0</v>
      </c>
      <c r="V163" s="15" t="n">
        <v>5</v>
      </c>
      <c r="W163" s="15" t="n">
        <v>10</v>
      </c>
      <c r="X163" s="15" t="n">
        <v>2</v>
      </c>
      <c r="Y163" s="15" t="n">
        <v>0</v>
      </c>
      <c r="Z163" s="15" t="s">
        <v>1012</v>
      </c>
      <c r="AA163" s="15" t="s">
        <v>1035</v>
      </c>
      <c r="AB163" s="15" t="s">
        <v>1065</v>
      </c>
      <c r="AC163" s="15" t="s">
        <v>1027</v>
      </c>
      <c r="AD163" s="15" t="s">
        <v>1848</v>
      </c>
      <c r="AE163" s="15" t="s">
        <v>1849</v>
      </c>
      <c r="AF163" s="15" t="s">
        <v>1850</v>
      </c>
      <c r="AG163" s="15"/>
      <c r="AH163" s="15"/>
      <c r="AI163" s="15" t="s">
        <v>1053</v>
      </c>
      <c r="AJ163" s="15" t="n">
        <v>0</v>
      </c>
      <c r="AK163" s="15" t="n">
        <v>0</v>
      </c>
      <c r="AL163" s="15" t="n">
        <v>0</v>
      </c>
      <c r="AM163" s="15" t="n">
        <v>0</v>
      </c>
      <c r="AN163" s="15" t="n">
        <v>0</v>
      </c>
      <c r="AO163" s="15" t="n">
        <v>0</v>
      </c>
      <c r="AP163" s="15" t="s">
        <v>1325</v>
      </c>
      <c r="AQ163" s="15" t="s">
        <v>1021</v>
      </c>
      <c r="AR163" s="15" t="s">
        <v>169</v>
      </c>
      <c r="AS163" s="15"/>
      <c r="AT163" s="29" t="str">
        <f aca="false">IF(A163="","",IF(COUNTIF(Parcels!$A$2:$A$3000,B163)=0,"Parcel not found",IF(COUNTIF($A$2:$A$3000,A163)&gt;1,"Duplicate perm_id",IF(AND(R163="Yes",D163&lt;&gt;"",COUNTIFS($C$2:$C$3000,D163,$R$2:$R$3000,"Yes")&gt;1),"Reference counted twice",IF(COUNTIF(Lists!$A$2:$A$7,I163)=0,"Unknown status","")))))</f>
        <v/>
      </c>
    </row>
    <row r="164" customFormat="false" ht="15" hidden="false" customHeight="false" outlineLevel="0" collapsed="false">
      <c r="A164" s="15" t="s">
        <v>1851</v>
      </c>
      <c r="B164" s="15" t="s">
        <v>553</v>
      </c>
      <c r="C164" s="15" t="s">
        <v>53</v>
      </c>
      <c r="D164" s="15" t="s">
        <v>1852</v>
      </c>
      <c r="E164" s="15" t="s">
        <v>1852</v>
      </c>
      <c r="F164" s="15" t="s">
        <v>554</v>
      </c>
      <c r="G164" s="15" t="n">
        <v>24</v>
      </c>
      <c r="H164" s="15"/>
      <c r="I164" s="15" t="s">
        <v>1007</v>
      </c>
      <c r="J164" s="15" t="s">
        <v>1008</v>
      </c>
      <c r="K164" s="15" t="s">
        <v>1007</v>
      </c>
      <c r="L164" s="15" t="n">
        <v>0</v>
      </c>
      <c r="M164" s="15" t="n">
        <v>0</v>
      </c>
      <c r="N164" s="15" t="n">
        <v>0</v>
      </c>
      <c r="O164" s="15" t="n">
        <v>0</v>
      </c>
      <c r="P164" s="15"/>
      <c r="Q164" s="15" t="s">
        <v>1009</v>
      </c>
      <c r="R164" s="15" t="s">
        <v>1010</v>
      </c>
      <c r="S164" s="15" t="s">
        <v>1011</v>
      </c>
      <c r="T164" s="15" t="n">
        <v>0</v>
      </c>
      <c r="U164" s="15" t="n">
        <v>11</v>
      </c>
      <c r="V164" s="15" t="n">
        <v>12</v>
      </c>
      <c r="W164" s="15" t="n">
        <v>1</v>
      </c>
      <c r="X164" s="15" t="n">
        <v>0</v>
      </c>
      <c r="Y164" s="15" t="n">
        <v>0</v>
      </c>
      <c r="Z164" s="15" t="s">
        <v>1012</v>
      </c>
      <c r="AA164" s="15" t="s">
        <v>1013</v>
      </c>
      <c r="AB164" s="15" t="s">
        <v>176</v>
      </c>
      <c r="AC164" s="15" t="s">
        <v>1027</v>
      </c>
      <c r="AD164" s="15" t="s">
        <v>1853</v>
      </c>
      <c r="AE164" s="15" t="s">
        <v>1854</v>
      </c>
      <c r="AF164" s="15"/>
      <c r="AG164" s="15" t="s">
        <v>1017</v>
      </c>
      <c r="AH164" s="15" t="s">
        <v>1201</v>
      </c>
      <c r="AI164" s="15" t="s">
        <v>1019</v>
      </c>
      <c r="AJ164" s="15" t="n">
        <v>0</v>
      </c>
      <c r="AK164" s="15" t="n">
        <v>0</v>
      </c>
      <c r="AL164" s="15" t="n">
        <v>6.2</v>
      </c>
      <c r="AM164" s="15" t="n">
        <v>12.8</v>
      </c>
      <c r="AN164" s="15" t="n">
        <v>5</v>
      </c>
      <c r="AO164" s="15" t="n">
        <v>0</v>
      </c>
      <c r="AP164" s="15" t="s">
        <v>1325</v>
      </c>
      <c r="AQ164" s="15" t="s">
        <v>1021</v>
      </c>
      <c r="AR164" s="15" t="s">
        <v>169</v>
      </c>
      <c r="AS164" s="15"/>
      <c r="AT164" s="29" t="str">
        <f aca="false">IF(A164="","",IF(COUNTIF(Parcels!$A$2:$A$3000,B164)=0,"Parcel not found",IF(COUNTIF($A$2:$A$3000,A164)&gt;1,"Duplicate perm_id",IF(AND(R164="Yes",D164&lt;&gt;"",COUNTIFS($C$2:$C$3000,D164,$R$2:$R$3000,"Yes")&gt;1),"Reference counted twice",IF(COUNTIF(Lists!$A$2:$A$7,I164)=0,"Unknown status","")))))</f>
        <v/>
      </c>
    </row>
    <row r="165" customFormat="false" ht="15" hidden="false" customHeight="false" outlineLevel="0" collapsed="false">
      <c r="A165" s="15" t="s">
        <v>1855</v>
      </c>
      <c r="B165" s="15" t="s">
        <v>555</v>
      </c>
      <c r="C165" s="15" t="s">
        <v>53</v>
      </c>
      <c r="D165" s="15" t="s">
        <v>1856</v>
      </c>
      <c r="E165" s="15" t="s">
        <v>1856</v>
      </c>
      <c r="F165" s="15" t="s">
        <v>1857</v>
      </c>
      <c r="G165" s="15" t="n">
        <v>8</v>
      </c>
      <c r="H165" s="15"/>
      <c r="I165" s="15" t="s">
        <v>1025</v>
      </c>
      <c r="J165" s="15" t="s">
        <v>1008</v>
      </c>
      <c r="K165" s="15" t="s">
        <v>1025</v>
      </c>
      <c r="L165" s="15" t="n">
        <v>0</v>
      </c>
      <c r="M165" s="15" t="n">
        <v>0</v>
      </c>
      <c r="N165" s="15" t="n">
        <v>0</v>
      </c>
      <c r="O165" s="15" t="n">
        <v>0</v>
      </c>
      <c r="P165" s="15"/>
      <c r="Q165" s="15" t="s">
        <v>1009</v>
      </c>
      <c r="R165" s="15" t="s">
        <v>1010</v>
      </c>
      <c r="S165" s="15" t="s">
        <v>1050</v>
      </c>
      <c r="T165" s="15" t="n">
        <v>0</v>
      </c>
      <c r="U165" s="15" t="n">
        <v>3</v>
      </c>
      <c r="V165" s="15" t="n">
        <v>3</v>
      </c>
      <c r="W165" s="15" t="n">
        <v>0</v>
      </c>
      <c r="X165" s="15" t="n">
        <v>0</v>
      </c>
      <c r="Y165" s="15" t="n">
        <v>0</v>
      </c>
      <c r="Z165" s="15" t="s">
        <v>1012</v>
      </c>
      <c r="AA165" s="15" t="s">
        <v>1013</v>
      </c>
      <c r="AB165" s="15" t="s">
        <v>176</v>
      </c>
      <c r="AC165" s="15" t="s">
        <v>1027</v>
      </c>
      <c r="AD165" s="15" t="s">
        <v>1858</v>
      </c>
      <c r="AE165" s="15" t="s">
        <v>1859</v>
      </c>
      <c r="AF165" s="15"/>
      <c r="AG165" s="15"/>
      <c r="AH165" s="15"/>
      <c r="AI165" s="15" t="s">
        <v>1030</v>
      </c>
      <c r="AJ165" s="15" t="n">
        <v>0</v>
      </c>
      <c r="AK165" s="15" t="n">
        <v>0</v>
      </c>
      <c r="AL165" s="15" t="n">
        <v>0</v>
      </c>
      <c r="AM165" s="15" t="n">
        <v>0</v>
      </c>
      <c r="AN165" s="15" t="n">
        <v>0</v>
      </c>
      <c r="AO165" s="15" t="n">
        <v>0</v>
      </c>
      <c r="AP165" s="15" t="s">
        <v>1325</v>
      </c>
      <c r="AQ165" s="15" t="s">
        <v>1021</v>
      </c>
      <c r="AR165" s="15" t="s">
        <v>169</v>
      </c>
      <c r="AS165" s="15"/>
      <c r="AT165" s="29" t="str">
        <f aca="false">IF(A165="","",IF(COUNTIF(Parcels!$A$2:$A$3000,B165)=0,"Parcel not found",IF(COUNTIF($A$2:$A$3000,A165)&gt;1,"Duplicate perm_id",IF(AND(R165="Yes",D165&lt;&gt;"",COUNTIFS($C$2:$C$3000,D165,$R$2:$R$3000,"Yes")&gt;1),"Reference counted twice",IF(COUNTIF(Lists!$A$2:$A$7,I165)=0,"Unknown status","")))))</f>
        <v/>
      </c>
    </row>
    <row r="166" customFormat="false" ht="15" hidden="false" customHeight="false" outlineLevel="0" collapsed="false">
      <c r="A166" s="15" t="s">
        <v>1860</v>
      </c>
      <c r="B166" s="15" t="s">
        <v>555</v>
      </c>
      <c r="C166" s="15" t="s">
        <v>53</v>
      </c>
      <c r="D166" s="15" t="s">
        <v>1861</v>
      </c>
      <c r="E166" s="15" t="s">
        <v>1861</v>
      </c>
      <c r="F166" s="15" t="s">
        <v>556</v>
      </c>
      <c r="G166" s="15" t="n">
        <v>9</v>
      </c>
      <c r="H166" s="15"/>
      <c r="I166" s="15" t="s">
        <v>47</v>
      </c>
      <c r="J166" s="15" t="s">
        <v>1008</v>
      </c>
      <c r="K166" s="15" t="s">
        <v>47</v>
      </c>
      <c r="L166" s="15" t="n">
        <v>9</v>
      </c>
      <c r="M166" s="15" t="n">
        <v>0</v>
      </c>
      <c r="N166" s="15" t="n">
        <v>0</v>
      </c>
      <c r="O166" s="15" t="n">
        <v>0</v>
      </c>
      <c r="P166" s="15" t="s">
        <v>1334</v>
      </c>
      <c r="Q166" s="15" t="s">
        <v>1009</v>
      </c>
      <c r="R166" s="15" t="s">
        <v>1010</v>
      </c>
      <c r="S166" s="15" t="s">
        <v>1050</v>
      </c>
      <c r="T166" s="15" t="n">
        <v>0</v>
      </c>
      <c r="U166" s="15" t="n">
        <v>9</v>
      </c>
      <c r="V166" s="15" t="n">
        <v>0</v>
      </c>
      <c r="W166" s="15" t="n">
        <v>0</v>
      </c>
      <c r="X166" s="15" t="n">
        <v>0</v>
      </c>
      <c r="Y166" s="15" t="n">
        <v>0</v>
      </c>
      <c r="Z166" s="15" t="s">
        <v>1034</v>
      </c>
      <c r="AA166" s="15" t="s">
        <v>1013</v>
      </c>
      <c r="AB166" s="15" t="s">
        <v>176</v>
      </c>
      <c r="AC166" s="15" t="s">
        <v>1027</v>
      </c>
      <c r="AD166" s="15" t="s">
        <v>1862</v>
      </c>
      <c r="AE166" s="15" t="s">
        <v>1863</v>
      </c>
      <c r="AF166" s="15" t="s">
        <v>1864</v>
      </c>
      <c r="AG166" s="15"/>
      <c r="AH166" s="15"/>
      <c r="AI166" s="15" t="s">
        <v>1053</v>
      </c>
      <c r="AJ166" s="15" t="n">
        <v>0</v>
      </c>
      <c r="AK166" s="15" t="n">
        <v>0</v>
      </c>
      <c r="AL166" s="15" t="n">
        <v>0</v>
      </c>
      <c r="AM166" s="15" t="n">
        <v>0</v>
      </c>
      <c r="AN166" s="15" t="n">
        <v>0</v>
      </c>
      <c r="AO166" s="15" t="n">
        <v>0</v>
      </c>
      <c r="AP166" s="15" t="s">
        <v>1325</v>
      </c>
      <c r="AQ166" s="15" t="s">
        <v>1021</v>
      </c>
      <c r="AR166" s="15" t="s">
        <v>169</v>
      </c>
      <c r="AS166" s="15"/>
      <c r="AT166" s="29" t="str">
        <f aca="false">IF(A166="","",IF(COUNTIF(Parcels!$A$2:$A$3000,B166)=0,"Parcel not found",IF(COUNTIF($A$2:$A$3000,A166)&gt;1,"Duplicate perm_id",IF(AND(R166="Yes",D166&lt;&gt;"",COUNTIFS($C$2:$C$3000,D166,$R$2:$R$3000,"Yes")&gt;1),"Reference counted twice",IF(COUNTIF(Lists!$A$2:$A$7,I166)=0,"Unknown status","")))))</f>
        <v/>
      </c>
    </row>
    <row r="167" customFormat="false" ht="15" hidden="false" customHeight="false" outlineLevel="0" collapsed="false">
      <c r="A167" s="15" t="s">
        <v>1865</v>
      </c>
      <c r="B167" s="15" t="s">
        <v>740</v>
      </c>
      <c r="C167" s="15" t="s">
        <v>62</v>
      </c>
      <c r="D167" s="15" t="s">
        <v>1866</v>
      </c>
      <c r="E167" s="15" t="s">
        <v>1866</v>
      </c>
      <c r="F167" s="15" t="s">
        <v>741</v>
      </c>
      <c r="G167" s="15" t="n">
        <v>13</v>
      </c>
      <c r="H167" s="15"/>
      <c r="I167" s="15" t="s">
        <v>47</v>
      </c>
      <c r="J167" s="15" t="s">
        <v>1008</v>
      </c>
      <c r="K167" s="15" t="s">
        <v>47</v>
      </c>
      <c r="L167" s="15" t="n">
        <v>13</v>
      </c>
      <c r="M167" s="15" t="n">
        <v>13</v>
      </c>
      <c r="N167" s="15" t="n">
        <v>0</v>
      </c>
      <c r="O167" s="15" t="n">
        <v>0</v>
      </c>
      <c r="P167" s="15"/>
      <c r="Q167" s="15" t="s">
        <v>1009</v>
      </c>
      <c r="R167" s="15" t="s">
        <v>1010</v>
      </c>
      <c r="S167" s="15" t="s">
        <v>1026</v>
      </c>
      <c r="T167" s="15"/>
      <c r="U167" s="15"/>
      <c r="V167" s="15"/>
      <c r="W167" s="15"/>
      <c r="X167" s="15"/>
      <c r="Y167" s="15"/>
      <c r="Z167" s="15" t="s">
        <v>1012</v>
      </c>
      <c r="AA167" s="15" t="s">
        <v>1013</v>
      </c>
      <c r="AB167" s="15" t="s">
        <v>176</v>
      </c>
      <c r="AC167" s="15" t="s">
        <v>1027</v>
      </c>
      <c r="AD167" s="15" t="s">
        <v>1867</v>
      </c>
      <c r="AE167" s="15" t="s">
        <v>1868</v>
      </c>
      <c r="AF167" s="15" t="s">
        <v>1869</v>
      </c>
      <c r="AG167" s="15"/>
      <c r="AH167" s="15"/>
      <c r="AI167" s="15" t="s">
        <v>1053</v>
      </c>
      <c r="AJ167" s="15" t="n">
        <v>0</v>
      </c>
      <c r="AK167" s="15" t="n">
        <v>0</v>
      </c>
      <c r="AL167" s="15" t="n">
        <v>0</v>
      </c>
      <c r="AM167" s="15" t="n">
        <v>0</v>
      </c>
      <c r="AN167" s="15" t="n">
        <v>0</v>
      </c>
      <c r="AO167" s="15" t="n">
        <v>0</v>
      </c>
      <c r="AP167" s="15" t="s">
        <v>1325</v>
      </c>
      <c r="AQ167" s="15" t="s">
        <v>1021</v>
      </c>
      <c r="AR167" s="15" t="s">
        <v>169</v>
      </c>
      <c r="AS167" s="15"/>
      <c r="AT167" s="29" t="str">
        <f aca="false">IF(A167="","",IF(COUNTIF(Parcels!$A$2:$A$3000,B167)=0,"Parcel not found",IF(COUNTIF($A$2:$A$3000,A167)&gt;1,"Duplicate perm_id",IF(AND(R167="Yes",D167&lt;&gt;"",COUNTIFS($C$2:$C$3000,D167,$R$2:$R$3000,"Yes")&gt;1),"Reference counted twice",IF(COUNTIF(Lists!$A$2:$A$7,I167)=0,"Unknown status","")))))</f>
        <v/>
      </c>
    </row>
    <row r="168" customFormat="false" ht="15" hidden="false" customHeight="false" outlineLevel="0" collapsed="false">
      <c r="A168" s="15" t="s">
        <v>1870</v>
      </c>
      <c r="B168" s="15" t="s">
        <v>742</v>
      </c>
      <c r="C168" s="15" t="s">
        <v>70</v>
      </c>
      <c r="D168" s="15" t="s">
        <v>1871</v>
      </c>
      <c r="E168" s="15" t="s">
        <v>1871</v>
      </c>
      <c r="F168" s="15" t="s">
        <v>743</v>
      </c>
      <c r="G168" s="15" t="n">
        <v>32</v>
      </c>
      <c r="H168" s="15"/>
      <c r="I168" s="15" t="s">
        <v>1007</v>
      </c>
      <c r="J168" s="15" t="s">
        <v>1008</v>
      </c>
      <c r="K168" s="15" t="s">
        <v>1007</v>
      </c>
      <c r="L168" s="15" t="n">
        <v>0</v>
      </c>
      <c r="M168" s="15" t="n">
        <v>0</v>
      </c>
      <c r="N168" s="15" t="n">
        <v>0</v>
      </c>
      <c r="O168" s="15" t="n">
        <v>0</v>
      </c>
      <c r="P168" s="15"/>
      <c r="Q168" s="15" t="s">
        <v>1009</v>
      </c>
      <c r="R168" s="15" t="s">
        <v>1010</v>
      </c>
      <c r="S168" s="15" t="s">
        <v>1026</v>
      </c>
      <c r="T168" s="15"/>
      <c r="U168" s="15"/>
      <c r="V168" s="15"/>
      <c r="W168" s="15"/>
      <c r="X168" s="15"/>
      <c r="Y168" s="15"/>
      <c r="Z168" s="15" t="s">
        <v>1012</v>
      </c>
      <c r="AA168" s="15" t="s">
        <v>1013</v>
      </c>
      <c r="AB168" s="15" t="s">
        <v>176</v>
      </c>
      <c r="AC168" s="15" t="s">
        <v>1027</v>
      </c>
      <c r="AD168" s="15" t="s">
        <v>1872</v>
      </c>
      <c r="AE168" s="15" t="s">
        <v>1873</v>
      </c>
      <c r="AF168" s="15"/>
      <c r="AG168" s="15" t="s">
        <v>1017</v>
      </c>
      <c r="AH168" s="15" t="s">
        <v>1194</v>
      </c>
      <c r="AI168" s="15" t="s">
        <v>1019</v>
      </c>
      <c r="AJ168" s="15" t="n">
        <v>0</v>
      </c>
      <c r="AK168" s="15" t="n">
        <v>0</v>
      </c>
      <c r="AL168" s="15" t="n">
        <v>23.6</v>
      </c>
      <c r="AM168" s="15" t="n">
        <v>8.4</v>
      </c>
      <c r="AN168" s="15" t="n">
        <v>0</v>
      </c>
      <c r="AO168" s="15" t="n">
        <v>0</v>
      </c>
      <c r="AP168" s="15" t="s">
        <v>1325</v>
      </c>
      <c r="AQ168" s="15" t="s">
        <v>1021</v>
      </c>
      <c r="AR168" s="15" t="s">
        <v>169</v>
      </c>
      <c r="AS168" s="15"/>
      <c r="AT168" s="29" t="str">
        <f aca="false">IF(A168="","",IF(COUNTIF(Parcels!$A$2:$A$3000,B168)=0,"Parcel not found",IF(COUNTIF($A$2:$A$3000,A168)&gt;1,"Duplicate perm_id",IF(AND(R168="Yes",D168&lt;&gt;"",COUNTIFS($C$2:$C$3000,D168,$R$2:$R$3000,"Yes")&gt;1),"Reference counted twice",IF(COUNTIF(Lists!$A$2:$A$7,I168)=0,"Unknown status","")))))</f>
        <v/>
      </c>
    </row>
    <row r="169" customFormat="false" ht="15" hidden="false" customHeight="false" outlineLevel="0" collapsed="false">
      <c r="A169" s="15" t="s">
        <v>1874</v>
      </c>
      <c r="B169" s="15" t="s">
        <v>620</v>
      </c>
      <c r="C169" s="15" t="s">
        <v>55</v>
      </c>
      <c r="D169" s="15" t="s">
        <v>1875</v>
      </c>
      <c r="E169" s="15" t="s">
        <v>1875</v>
      </c>
      <c r="F169" s="15" t="s">
        <v>621</v>
      </c>
      <c r="G169" s="15" t="n">
        <v>21</v>
      </c>
      <c r="H169" s="15"/>
      <c r="I169" s="15" t="s">
        <v>1007</v>
      </c>
      <c r="J169" s="15" t="s">
        <v>1008</v>
      </c>
      <c r="K169" s="15" t="s">
        <v>1007</v>
      </c>
      <c r="L169" s="15" t="n">
        <v>0</v>
      </c>
      <c r="M169" s="15" t="n">
        <v>0</v>
      </c>
      <c r="N169" s="15" t="n">
        <v>0</v>
      </c>
      <c r="O169" s="15" t="n">
        <v>0</v>
      </c>
      <c r="P169" s="15"/>
      <c r="Q169" s="15" t="s">
        <v>1009</v>
      </c>
      <c r="R169" s="15" t="s">
        <v>1010</v>
      </c>
      <c r="S169" s="15" t="s">
        <v>1011</v>
      </c>
      <c r="T169" s="15" t="n">
        <v>0</v>
      </c>
      <c r="U169" s="15" t="n">
        <v>0</v>
      </c>
      <c r="V169" s="15" t="n">
        <v>0</v>
      </c>
      <c r="W169" s="15" t="n">
        <v>7</v>
      </c>
      <c r="X169" s="15" t="n">
        <v>14</v>
      </c>
      <c r="Y169" s="15" t="n">
        <v>0</v>
      </c>
      <c r="Z169" s="15" t="s">
        <v>1012</v>
      </c>
      <c r="AA169" s="15" t="s">
        <v>1013</v>
      </c>
      <c r="AB169" s="15" t="s">
        <v>176</v>
      </c>
      <c r="AC169" s="15" t="s">
        <v>1027</v>
      </c>
      <c r="AD169" s="15" t="s">
        <v>1564</v>
      </c>
      <c r="AE169" s="15" t="s">
        <v>1876</v>
      </c>
      <c r="AF169" s="15"/>
      <c r="AG169" s="15" t="s">
        <v>1017</v>
      </c>
      <c r="AH169" s="15" t="s">
        <v>1095</v>
      </c>
      <c r="AI169" s="15" t="s">
        <v>1019</v>
      </c>
      <c r="AJ169" s="15" t="n">
        <v>0</v>
      </c>
      <c r="AK169" s="15" t="n">
        <v>0</v>
      </c>
      <c r="AL169" s="15" t="n">
        <v>6.7</v>
      </c>
      <c r="AM169" s="15" t="n">
        <v>13.9</v>
      </c>
      <c r="AN169" s="15" t="n">
        <v>0.5</v>
      </c>
      <c r="AO169" s="15" t="n">
        <v>-0.1</v>
      </c>
      <c r="AP169" s="15" t="s">
        <v>1325</v>
      </c>
      <c r="AQ169" s="15" t="s">
        <v>1021</v>
      </c>
      <c r="AR169" s="15" t="s">
        <v>169</v>
      </c>
      <c r="AS169" s="15"/>
      <c r="AT169" s="29" t="str">
        <f aca="false">IF(A169="","",IF(COUNTIF(Parcels!$A$2:$A$3000,B169)=0,"Parcel not found",IF(COUNTIF($A$2:$A$3000,A169)&gt;1,"Duplicate perm_id",IF(AND(R169="Yes",D169&lt;&gt;"",COUNTIFS($C$2:$C$3000,D169,$R$2:$R$3000,"Yes")&gt;1),"Reference counted twice",IF(COUNTIF(Lists!$A$2:$A$7,I169)=0,"Unknown status","")))))</f>
        <v/>
      </c>
    </row>
    <row r="170" customFormat="false" ht="15" hidden="false" customHeight="false" outlineLevel="0" collapsed="false">
      <c r="A170" s="15" t="s">
        <v>1877</v>
      </c>
      <c r="B170" s="15" t="s">
        <v>744</v>
      </c>
      <c r="C170" s="15" t="s">
        <v>22</v>
      </c>
      <c r="D170" s="15" t="s">
        <v>1878</v>
      </c>
      <c r="E170" s="15" t="s">
        <v>1878</v>
      </c>
      <c r="F170" s="15" t="s">
        <v>745</v>
      </c>
      <c r="G170" s="15" t="n">
        <v>9</v>
      </c>
      <c r="H170" s="15"/>
      <c r="I170" s="15" t="s">
        <v>48</v>
      </c>
      <c r="J170" s="15" t="s">
        <v>1008</v>
      </c>
      <c r="K170" s="15" t="s">
        <v>48</v>
      </c>
      <c r="L170" s="15" t="n">
        <v>0</v>
      </c>
      <c r="M170" s="15" t="n">
        <v>0</v>
      </c>
      <c r="N170" s="15" t="n">
        <v>9</v>
      </c>
      <c r="O170" s="15" t="n">
        <v>0</v>
      </c>
      <c r="P170" s="15"/>
      <c r="Q170" s="15" t="s">
        <v>1009</v>
      </c>
      <c r="R170" s="15" t="s">
        <v>1010</v>
      </c>
      <c r="S170" s="15" t="s">
        <v>1026</v>
      </c>
      <c r="T170" s="15"/>
      <c r="U170" s="15"/>
      <c r="V170" s="15"/>
      <c r="W170" s="15"/>
      <c r="X170" s="15"/>
      <c r="Y170" s="15"/>
      <c r="Z170" s="15" t="s">
        <v>1034</v>
      </c>
      <c r="AA170" s="15" t="s">
        <v>1035</v>
      </c>
      <c r="AB170" s="15" t="s">
        <v>1036</v>
      </c>
      <c r="AC170" s="15" t="s">
        <v>1037</v>
      </c>
      <c r="AD170" s="15" t="s">
        <v>1879</v>
      </c>
      <c r="AE170" s="15"/>
      <c r="AF170" s="15" t="s">
        <v>1880</v>
      </c>
      <c r="AG170" s="15" t="s">
        <v>1811</v>
      </c>
      <c r="AH170" s="15" t="s">
        <v>1041</v>
      </c>
      <c r="AI170" s="15" t="s">
        <v>1042</v>
      </c>
      <c r="AJ170" s="15" t="n">
        <v>2.1</v>
      </c>
      <c r="AK170" s="15" t="n">
        <v>6.9</v>
      </c>
      <c r="AL170" s="15" t="n">
        <v>0</v>
      </c>
      <c r="AM170" s="15" t="n">
        <v>0</v>
      </c>
      <c r="AN170" s="15" t="n">
        <v>0</v>
      </c>
      <c r="AO170" s="15" t="n">
        <v>0</v>
      </c>
      <c r="AP170" s="15" t="s">
        <v>1325</v>
      </c>
      <c r="AQ170" s="15" t="s">
        <v>1021</v>
      </c>
      <c r="AR170" s="15" t="s">
        <v>169</v>
      </c>
      <c r="AS170" s="15"/>
      <c r="AT170" s="29" t="str">
        <f aca="false">IF(A170="","",IF(COUNTIF(Parcels!$A$2:$A$3000,B170)=0,"Parcel not found",IF(COUNTIF($A$2:$A$3000,A170)&gt;1,"Duplicate perm_id",IF(AND(R170="Yes",D170&lt;&gt;"",COUNTIFS($C$2:$C$3000,D170,$R$2:$R$3000,"Yes")&gt;1),"Reference counted twice",IF(COUNTIF(Lists!$A$2:$A$7,I170)=0,"Unknown status","")))))</f>
        <v/>
      </c>
    </row>
    <row r="171" customFormat="false" ht="15" hidden="false" customHeight="false" outlineLevel="0" collapsed="false">
      <c r="A171" s="15" t="s">
        <v>1881</v>
      </c>
      <c r="B171" s="15" t="s">
        <v>746</v>
      </c>
      <c r="C171" s="15" t="s">
        <v>22</v>
      </c>
      <c r="D171" s="15" t="s">
        <v>1882</v>
      </c>
      <c r="E171" s="15" t="s">
        <v>1882</v>
      </c>
      <c r="F171" s="15" t="s">
        <v>747</v>
      </c>
      <c r="G171" s="15" t="n">
        <v>10</v>
      </c>
      <c r="H171" s="15"/>
      <c r="I171" s="15" t="s">
        <v>48</v>
      </c>
      <c r="J171" s="15" t="s">
        <v>1008</v>
      </c>
      <c r="K171" s="15" t="s">
        <v>48</v>
      </c>
      <c r="L171" s="15" t="n">
        <v>0</v>
      </c>
      <c r="M171" s="15" t="n">
        <v>0</v>
      </c>
      <c r="N171" s="15" t="n">
        <v>0</v>
      </c>
      <c r="O171" s="15" t="n">
        <v>0</v>
      </c>
      <c r="P171" s="15"/>
      <c r="Q171" s="15" t="s">
        <v>1009</v>
      </c>
      <c r="R171" s="15" t="s">
        <v>1010</v>
      </c>
      <c r="S171" s="15" t="s">
        <v>1026</v>
      </c>
      <c r="T171" s="15"/>
      <c r="U171" s="15"/>
      <c r="V171" s="15"/>
      <c r="W171" s="15"/>
      <c r="X171" s="15"/>
      <c r="Y171" s="15"/>
      <c r="Z171" s="15" t="s">
        <v>1012</v>
      </c>
      <c r="AA171" s="15" t="s">
        <v>1035</v>
      </c>
      <c r="AB171" s="15" t="s">
        <v>1036</v>
      </c>
      <c r="AC171" s="15" t="s">
        <v>1037</v>
      </c>
      <c r="AD171" s="15" t="s">
        <v>1139</v>
      </c>
      <c r="AE171" s="15"/>
      <c r="AF171" s="15" t="s">
        <v>1883</v>
      </c>
      <c r="AG171" s="15" t="s">
        <v>1324</v>
      </c>
      <c r="AH171" s="15" t="s">
        <v>1041</v>
      </c>
      <c r="AI171" s="15" t="s">
        <v>1042</v>
      </c>
      <c r="AJ171" s="15" t="n">
        <v>2.3</v>
      </c>
      <c r="AK171" s="15" t="n">
        <v>7.7</v>
      </c>
      <c r="AL171" s="15" t="n">
        <v>0</v>
      </c>
      <c r="AM171" s="15" t="n">
        <v>0</v>
      </c>
      <c r="AN171" s="15" t="n">
        <v>0</v>
      </c>
      <c r="AO171" s="15" t="n">
        <v>0</v>
      </c>
      <c r="AP171" s="15" t="s">
        <v>1325</v>
      </c>
      <c r="AQ171" s="15" t="s">
        <v>1021</v>
      </c>
      <c r="AR171" s="15" t="s">
        <v>169</v>
      </c>
      <c r="AS171" s="15"/>
      <c r="AT171" s="29" t="str">
        <f aca="false">IF(A171="","",IF(COUNTIF(Parcels!$A$2:$A$3000,B171)=0,"Parcel not found",IF(COUNTIF($A$2:$A$3000,A171)&gt;1,"Duplicate perm_id",IF(AND(R171="Yes",D171&lt;&gt;"",COUNTIFS($C$2:$C$3000,D171,$R$2:$R$3000,"Yes")&gt;1),"Reference counted twice",IF(COUNTIF(Lists!$A$2:$A$7,I171)=0,"Unknown status","")))))</f>
        <v/>
      </c>
    </row>
    <row r="172" customFormat="false" ht="15" hidden="false" customHeight="false" outlineLevel="0" collapsed="false">
      <c r="A172" s="15" t="s">
        <v>1884</v>
      </c>
      <c r="B172" s="15" t="s">
        <v>748</v>
      </c>
      <c r="C172" s="15" t="s">
        <v>64</v>
      </c>
      <c r="D172" s="15" t="s">
        <v>1885</v>
      </c>
      <c r="E172" s="15" t="s">
        <v>1885</v>
      </c>
      <c r="F172" s="15" t="s">
        <v>749</v>
      </c>
      <c r="G172" s="15" t="n">
        <v>31</v>
      </c>
      <c r="H172" s="15"/>
      <c r="I172" s="15" t="s">
        <v>1007</v>
      </c>
      <c r="J172" s="15" t="s">
        <v>1008</v>
      </c>
      <c r="K172" s="15" t="s">
        <v>1007</v>
      </c>
      <c r="L172" s="15" t="n">
        <v>0</v>
      </c>
      <c r="M172" s="15" t="n">
        <v>0</v>
      </c>
      <c r="N172" s="15" t="n">
        <v>0</v>
      </c>
      <c r="O172" s="15" t="n">
        <v>0</v>
      </c>
      <c r="P172" s="15"/>
      <c r="Q172" s="15" t="s">
        <v>1009</v>
      </c>
      <c r="R172" s="15" t="s">
        <v>1010</v>
      </c>
      <c r="S172" s="15" t="s">
        <v>1050</v>
      </c>
      <c r="T172" s="15" t="n">
        <v>0</v>
      </c>
      <c r="U172" s="15" t="n">
        <v>10</v>
      </c>
      <c r="V172" s="15" t="n">
        <v>12</v>
      </c>
      <c r="W172" s="15" t="n">
        <v>6</v>
      </c>
      <c r="X172" s="15" t="n">
        <v>3</v>
      </c>
      <c r="Y172" s="15" t="n">
        <v>0</v>
      </c>
      <c r="Z172" s="15" t="s">
        <v>1012</v>
      </c>
      <c r="AA172" s="15" t="s">
        <v>1035</v>
      </c>
      <c r="AB172" s="15" t="s">
        <v>1036</v>
      </c>
      <c r="AC172" s="15" t="s">
        <v>1037</v>
      </c>
      <c r="AD172" s="15" t="s">
        <v>1886</v>
      </c>
      <c r="AE172" s="15"/>
      <c r="AF172" s="15"/>
      <c r="AG172" s="15" t="s">
        <v>1017</v>
      </c>
      <c r="AH172" s="15" t="s">
        <v>1060</v>
      </c>
      <c r="AI172" s="15" t="s">
        <v>1019</v>
      </c>
      <c r="AJ172" s="15" t="n">
        <v>0</v>
      </c>
      <c r="AK172" s="15" t="n">
        <v>0</v>
      </c>
      <c r="AL172" s="15" t="n">
        <v>23.6</v>
      </c>
      <c r="AM172" s="15" t="n">
        <v>7.4</v>
      </c>
      <c r="AN172" s="15" t="n">
        <v>0</v>
      </c>
      <c r="AO172" s="15" t="n">
        <v>0</v>
      </c>
      <c r="AP172" s="15" t="s">
        <v>1325</v>
      </c>
      <c r="AQ172" s="15" t="s">
        <v>1021</v>
      </c>
      <c r="AR172" s="15" t="s">
        <v>169</v>
      </c>
      <c r="AS172" s="15"/>
      <c r="AT172" s="29" t="str">
        <f aca="false">IF(A172="","",IF(COUNTIF(Parcels!$A$2:$A$3000,B172)=0,"Parcel not found",IF(COUNTIF($A$2:$A$3000,A172)&gt;1,"Duplicate perm_id",IF(AND(R172="Yes",D172&lt;&gt;"",COUNTIFS($C$2:$C$3000,D172,$R$2:$R$3000,"Yes")&gt;1),"Reference counted twice",IF(COUNTIF(Lists!$A$2:$A$7,I172)=0,"Unknown status","")))))</f>
        <v/>
      </c>
    </row>
    <row r="173" customFormat="false" ht="15" hidden="false" customHeight="false" outlineLevel="0" collapsed="false">
      <c r="A173" s="15" t="s">
        <v>1887</v>
      </c>
      <c r="B173" s="15" t="s">
        <v>557</v>
      </c>
      <c r="C173" s="15" t="s">
        <v>53</v>
      </c>
      <c r="D173" s="15" t="s">
        <v>1888</v>
      </c>
      <c r="E173" s="15" t="s">
        <v>1888</v>
      </c>
      <c r="F173" s="15" t="s">
        <v>558</v>
      </c>
      <c r="G173" s="15" t="n">
        <v>13</v>
      </c>
      <c r="H173" s="15"/>
      <c r="I173" s="15" t="s">
        <v>48</v>
      </c>
      <c r="J173" s="15" t="s">
        <v>1008</v>
      </c>
      <c r="K173" s="15" t="s">
        <v>48</v>
      </c>
      <c r="L173" s="15" t="n">
        <v>0</v>
      </c>
      <c r="M173" s="15" t="n">
        <v>0</v>
      </c>
      <c r="N173" s="15" t="n">
        <v>0</v>
      </c>
      <c r="O173" s="15" t="n">
        <v>0</v>
      </c>
      <c r="P173" s="15"/>
      <c r="Q173" s="15" t="s">
        <v>1009</v>
      </c>
      <c r="R173" s="15" t="s">
        <v>1010</v>
      </c>
      <c r="S173" s="15" t="s">
        <v>1011</v>
      </c>
      <c r="T173" s="15" t="n">
        <v>0</v>
      </c>
      <c r="U173" s="15" t="n">
        <v>5</v>
      </c>
      <c r="V173" s="15" t="n">
        <v>8</v>
      </c>
      <c r="W173" s="15" t="n">
        <v>0</v>
      </c>
      <c r="X173" s="15" t="n">
        <v>0</v>
      </c>
      <c r="Y173" s="15" t="n">
        <v>0</v>
      </c>
      <c r="Z173" s="15" t="s">
        <v>1012</v>
      </c>
      <c r="AA173" s="15" t="s">
        <v>1035</v>
      </c>
      <c r="AB173" s="15" t="s">
        <v>1036</v>
      </c>
      <c r="AC173" s="15" t="s">
        <v>1037</v>
      </c>
      <c r="AD173" s="15" t="s">
        <v>1757</v>
      </c>
      <c r="AE173" s="15"/>
      <c r="AF173" s="15" t="s">
        <v>1889</v>
      </c>
      <c r="AG173" s="15" t="s">
        <v>1731</v>
      </c>
      <c r="AH173" s="15" t="s">
        <v>1200</v>
      </c>
      <c r="AI173" s="15" t="s">
        <v>1042</v>
      </c>
      <c r="AJ173" s="15" t="n">
        <v>0</v>
      </c>
      <c r="AK173" s="15" t="n">
        <v>13</v>
      </c>
      <c r="AL173" s="15" t="n">
        <v>0</v>
      </c>
      <c r="AM173" s="15" t="n">
        <v>0</v>
      </c>
      <c r="AN173" s="15" t="n">
        <v>0</v>
      </c>
      <c r="AO173" s="15" t="n">
        <v>0</v>
      </c>
      <c r="AP173" s="15" t="s">
        <v>1325</v>
      </c>
      <c r="AQ173" s="15" t="s">
        <v>1021</v>
      </c>
      <c r="AR173" s="15" t="s">
        <v>169</v>
      </c>
      <c r="AS173" s="15"/>
      <c r="AT173" s="29" t="str">
        <f aca="false">IF(A173="","",IF(COUNTIF(Parcels!$A$2:$A$3000,B173)=0,"Parcel not found",IF(COUNTIF($A$2:$A$3000,A173)&gt;1,"Duplicate perm_id",IF(AND(R173="Yes",D173&lt;&gt;"",COUNTIFS($C$2:$C$3000,D173,$R$2:$R$3000,"Yes")&gt;1),"Reference counted twice",IF(COUNTIF(Lists!$A$2:$A$7,I173)=0,"Unknown status","")))))</f>
        <v/>
      </c>
    </row>
    <row r="174" customFormat="false" ht="15" hidden="false" customHeight="false" outlineLevel="0" collapsed="false">
      <c r="A174" s="15" t="s">
        <v>1890</v>
      </c>
      <c r="B174" s="15" t="s">
        <v>750</v>
      </c>
      <c r="C174" s="15" t="s">
        <v>64</v>
      </c>
      <c r="D174" s="15" t="s">
        <v>1891</v>
      </c>
      <c r="E174" s="15" t="s">
        <v>1891</v>
      </c>
      <c r="F174" s="15" t="s">
        <v>751</v>
      </c>
      <c r="G174" s="15" t="n">
        <v>93</v>
      </c>
      <c r="H174" s="15"/>
      <c r="I174" s="15" t="s">
        <v>48</v>
      </c>
      <c r="J174" s="15" t="s">
        <v>1008</v>
      </c>
      <c r="K174" s="15" t="s">
        <v>48</v>
      </c>
      <c r="L174" s="15" t="n">
        <v>0</v>
      </c>
      <c r="M174" s="15" t="n">
        <v>0</v>
      </c>
      <c r="N174" s="15" t="n">
        <v>37</v>
      </c>
      <c r="O174" s="15" t="n">
        <v>0</v>
      </c>
      <c r="P174" s="15"/>
      <c r="Q174" s="15" t="s">
        <v>1009</v>
      </c>
      <c r="R174" s="15" t="s">
        <v>1010</v>
      </c>
      <c r="S174" s="15" t="s">
        <v>1377</v>
      </c>
      <c r="T174" s="15" t="n">
        <v>0</v>
      </c>
      <c r="U174" s="15" t="n">
        <v>18</v>
      </c>
      <c r="V174" s="15" t="n">
        <v>18</v>
      </c>
      <c r="W174" s="15" t="n">
        <v>44</v>
      </c>
      <c r="X174" s="15" t="n">
        <v>13</v>
      </c>
      <c r="Y174" s="15" t="n">
        <v>0</v>
      </c>
      <c r="Z174" s="15" t="s">
        <v>1012</v>
      </c>
      <c r="AA174" s="15" t="s">
        <v>1013</v>
      </c>
      <c r="AB174" s="15" t="s">
        <v>176</v>
      </c>
      <c r="AC174" s="15" t="s">
        <v>1027</v>
      </c>
      <c r="AD174" s="15" t="s">
        <v>1892</v>
      </c>
      <c r="AE174" s="15" t="s">
        <v>1893</v>
      </c>
      <c r="AF174" s="15" t="s">
        <v>1894</v>
      </c>
      <c r="AG174" s="15" t="s">
        <v>1539</v>
      </c>
      <c r="AH174" s="15" t="s">
        <v>1041</v>
      </c>
      <c r="AI174" s="15" t="s">
        <v>1042</v>
      </c>
      <c r="AJ174" s="15" t="n">
        <v>21.7</v>
      </c>
      <c r="AK174" s="15" t="n">
        <v>71.3</v>
      </c>
      <c r="AL174" s="15" t="n">
        <v>0</v>
      </c>
      <c r="AM174" s="15" t="n">
        <v>0</v>
      </c>
      <c r="AN174" s="15" t="n">
        <v>0</v>
      </c>
      <c r="AO174" s="15" t="n">
        <v>0</v>
      </c>
      <c r="AP174" s="15" t="s">
        <v>1325</v>
      </c>
      <c r="AQ174" s="15" t="s">
        <v>1021</v>
      </c>
      <c r="AR174" s="15" t="s">
        <v>169</v>
      </c>
      <c r="AS174" s="15"/>
      <c r="AT174" s="29" t="str">
        <f aca="false">IF(A174="","",IF(COUNTIF(Parcels!$A$2:$A$3000,B174)=0,"Parcel not found",IF(COUNTIF($A$2:$A$3000,A174)&gt;1,"Duplicate perm_id",IF(AND(R174="Yes",D174&lt;&gt;"",COUNTIFS($C$2:$C$3000,D174,$R$2:$R$3000,"Yes")&gt;1),"Reference counted twice",IF(COUNTIF(Lists!$A$2:$A$7,I174)=0,"Unknown status","")))))</f>
        <v/>
      </c>
    </row>
    <row r="175" customFormat="false" ht="15" hidden="false" customHeight="false" outlineLevel="0" collapsed="false">
      <c r="A175" s="15" t="s">
        <v>1895</v>
      </c>
      <c r="B175" s="15" t="s">
        <v>752</v>
      </c>
      <c r="C175" s="15" t="s">
        <v>67</v>
      </c>
      <c r="D175" s="15" t="s">
        <v>1896</v>
      </c>
      <c r="E175" s="15" t="s">
        <v>1896</v>
      </c>
      <c r="F175" s="15" t="s">
        <v>753</v>
      </c>
      <c r="G175" s="15" t="n">
        <v>99</v>
      </c>
      <c r="H175" s="15"/>
      <c r="I175" s="15" t="s">
        <v>1007</v>
      </c>
      <c r="J175" s="15" t="s">
        <v>1008</v>
      </c>
      <c r="K175" s="15" t="s">
        <v>1007</v>
      </c>
      <c r="L175" s="15" t="n">
        <v>0</v>
      </c>
      <c r="M175" s="15" t="n">
        <v>0</v>
      </c>
      <c r="N175" s="15" t="n">
        <v>0</v>
      </c>
      <c r="O175" s="15" t="n">
        <v>0</v>
      </c>
      <c r="P175" s="15"/>
      <c r="Q175" s="15" t="s">
        <v>1009</v>
      </c>
      <c r="R175" s="15" t="s">
        <v>1010</v>
      </c>
      <c r="S175" s="15" t="s">
        <v>1050</v>
      </c>
      <c r="T175" s="15" t="n">
        <v>0</v>
      </c>
      <c r="U175" s="15" t="n">
        <v>1</v>
      </c>
      <c r="V175" s="15" t="n">
        <v>12</v>
      </c>
      <c r="W175" s="15" t="n">
        <v>35</v>
      </c>
      <c r="X175" s="15" t="n">
        <v>22</v>
      </c>
      <c r="Y175" s="15" t="n">
        <v>4</v>
      </c>
      <c r="Z175" s="15" t="s">
        <v>1034</v>
      </c>
      <c r="AA175" s="15" t="s">
        <v>1013</v>
      </c>
      <c r="AB175" s="15" t="s">
        <v>176</v>
      </c>
      <c r="AC175" s="15" t="s">
        <v>1027</v>
      </c>
      <c r="AD175" s="15" t="s">
        <v>1897</v>
      </c>
      <c r="AE175" s="15" t="s">
        <v>1898</v>
      </c>
      <c r="AF175" s="15"/>
      <c r="AG175" s="15" t="s">
        <v>1017</v>
      </c>
      <c r="AH175" s="15" t="s">
        <v>1201</v>
      </c>
      <c r="AI175" s="15" t="s">
        <v>1019</v>
      </c>
      <c r="AJ175" s="15" t="n">
        <v>0</v>
      </c>
      <c r="AK175" s="15" t="n">
        <v>0</v>
      </c>
      <c r="AL175" s="15" t="n">
        <v>25.1</v>
      </c>
      <c r="AM175" s="15" t="n">
        <v>51.9</v>
      </c>
      <c r="AN175" s="15" t="n">
        <v>22</v>
      </c>
      <c r="AO175" s="15" t="n">
        <v>0</v>
      </c>
      <c r="AP175" s="15" t="s">
        <v>1325</v>
      </c>
      <c r="AQ175" s="15" t="s">
        <v>1021</v>
      </c>
      <c r="AR175" s="15" t="s">
        <v>169</v>
      </c>
      <c r="AS175" s="15"/>
      <c r="AT175" s="29" t="str">
        <f aca="false">IF(A175="","",IF(COUNTIF(Parcels!$A$2:$A$3000,B175)=0,"Parcel not found",IF(COUNTIF($A$2:$A$3000,A175)&gt;1,"Duplicate perm_id",IF(AND(R175="Yes",D175&lt;&gt;"",COUNTIFS($C$2:$C$3000,D175,$R$2:$R$3000,"Yes")&gt;1),"Reference counted twice",IF(COUNTIF(Lists!$A$2:$A$7,I175)=0,"Unknown status","")))))</f>
        <v/>
      </c>
    </row>
    <row r="176" customFormat="false" ht="15" hidden="false" customHeight="false" outlineLevel="0" collapsed="false">
      <c r="A176" s="15" t="s">
        <v>1899</v>
      </c>
      <c r="B176" s="15" t="s">
        <v>752</v>
      </c>
      <c r="C176" s="15" t="s">
        <v>67</v>
      </c>
      <c r="D176" s="15" t="s">
        <v>1900</v>
      </c>
      <c r="E176" s="15" t="s">
        <v>1900</v>
      </c>
      <c r="F176" s="15" t="s">
        <v>1901</v>
      </c>
      <c r="G176" s="15" t="n">
        <v>28</v>
      </c>
      <c r="H176" s="15"/>
      <c r="I176" s="15" t="s">
        <v>1007</v>
      </c>
      <c r="J176" s="15" t="s">
        <v>1008</v>
      </c>
      <c r="K176" s="15" t="s">
        <v>1007</v>
      </c>
      <c r="L176" s="15" t="n">
        <v>0</v>
      </c>
      <c r="M176" s="15" t="n">
        <v>0</v>
      </c>
      <c r="N176" s="15" t="n">
        <v>0</v>
      </c>
      <c r="O176" s="15" t="n">
        <v>0</v>
      </c>
      <c r="P176" s="15"/>
      <c r="Q176" s="15" t="s">
        <v>1009</v>
      </c>
      <c r="R176" s="15" t="s">
        <v>1010</v>
      </c>
      <c r="S176" s="15" t="s">
        <v>1050</v>
      </c>
      <c r="T176" s="15" t="n">
        <v>0</v>
      </c>
      <c r="U176" s="15" t="n">
        <v>2</v>
      </c>
      <c r="V176" s="15" t="n">
        <v>6</v>
      </c>
      <c r="W176" s="15" t="n">
        <v>15</v>
      </c>
      <c r="X176" s="15" t="n">
        <v>5</v>
      </c>
      <c r="Y176" s="15" t="n">
        <v>0</v>
      </c>
      <c r="Z176" s="15" t="s">
        <v>1143</v>
      </c>
      <c r="AA176" s="15" t="s">
        <v>1013</v>
      </c>
      <c r="AB176" s="15" t="s">
        <v>176</v>
      </c>
      <c r="AC176" s="15" t="s">
        <v>1027</v>
      </c>
      <c r="AD176" s="15" t="s">
        <v>1902</v>
      </c>
      <c r="AE176" s="15" t="s">
        <v>1903</v>
      </c>
      <c r="AF176" s="15"/>
      <c r="AG176" s="15" t="s">
        <v>1017</v>
      </c>
      <c r="AH176" s="15" t="s">
        <v>1060</v>
      </c>
      <c r="AI176" s="15" t="s">
        <v>1019</v>
      </c>
      <c r="AJ176" s="15" t="n">
        <v>0</v>
      </c>
      <c r="AK176" s="15" t="n">
        <v>0</v>
      </c>
      <c r="AL176" s="15" t="n">
        <v>21.3</v>
      </c>
      <c r="AM176" s="15" t="n">
        <v>6.7</v>
      </c>
      <c r="AN176" s="15" t="n">
        <v>0</v>
      </c>
      <c r="AO176" s="15" t="n">
        <v>0</v>
      </c>
      <c r="AP176" s="15" t="s">
        <v>1325</v>
      </c>
      <c r="AQ176" s="15" t="s">
        <v>1021</v>
      </c>
      <c r="AR176" s="15" t="s">
        <v>169</v>
      </c>
      <c r="AS176" s="15"/>
      <c r="AT176" s="29" t="str">
        <f aca="false">IF(A176="","",IF(COUNTIF(Parcels!$A$2:$A$3000,B176)=0,"Parcel not found",IF(COUNTIF($A$2:$A$3000,A176)&gt;1,"Duplicate perm_id",IF(AND(R176="Yes",D176&lt;&gt;"",COUNTIFS($C$2:$C$3000,D176,$R$2:$R$3000,"Yes")&gt;1),"Reference counted twice",IF(COUNTIF(Lists!$A$2:$A$7,I176)=0,"Unknown status","")))))</f>
        <v/>
      </c>
    </row>
    <row r="177" customFormat="false" ht="15" hidden="false" customHeight="false" outlineLevel="0" collapsed="false">
      <c r="A177" s="15" t="s">
        <v>1904</v>
      </c>
      <c r="B177" s="15" t="s">
        <v>754</v>
      </c>
      <c r="C177" s="15" t="s">
        <v>63</v>
      </c>
      <c r="D177" s="15" t="s">
        <v>1905</v>
      </c>
      <c r="E177" s="15" t="s">
        <v>1905</v>
      </c>
      <c r="F177" s="15" t="s">
        <v>755</v>
      </c>
      <c r="G177" s="15" t="n">
        <v>28</v>
      </c>
      <c r="H177" s="15"/>
      <c r="I177" s="15" t="s">
        <v>48</v>
      </c>
      <c r="J177" s="15" t="s">
        <v>1008</v>
      </c>
      <c r="K177" s="15" t="s">
        <v>48</v>
      </c>
      <c r="L177" s="15" t="n">
        <v>0</v>
      </c>
      <c r="M177" s="15" t="n">
        <v>0</v>
      </c>
      <c r="N177" s="15" t="n">
        <v>0</v>
      </c>
      <c r="O177" s="15" t="n">
        <v>0</v>
      </c>
      <c r="P177" s="15"/>
      <c r="Q177" s="15" t="s">
        <v>1009</v>
      </c>
      <c r="R177" s="15" t="s">
        <v>1010</v>
      </c>
      <c r="S177" s="15" t="s">
        <v>1026</v>
      </c>
      <c r="T177" s="15"/>
      <c r="U177" s="15"/>
      <c r="V177" s="15"/>
      <c r="W177" s="15"/>
      <c r="X177" s="15"/>
      <c r="Y177" s="15"/>
      <c r="Z177" s="15" t="s">
        <v>1012</v>
      </c>
      <c r="AA177" s="15" t="s">
        <v>1013</v>
      </c>
      <c r="AB177" s="15" t="s">
        <v>176</v>
      </c>
      <c r="AC177" s="15" t="s">
        <v>1027</v>
      </c>
      <c r="AD177" s="15" t="s">
        <v>1906</v>
      </c>
      <c r="AE177" s="15" t="s">
        <v>1907</v>
      </c>
      <c r="AF177" s="15" t="s">
        <v>1908</v>
      </c>
      <c r="AG177" s="15" t="s">
        <v>1731</v>
      </c>
      <c r="AH177" s="15" t="s">
        <v>1041</v>
      </c>
      <c r="AI177" s="15" t="s">
        <v>1042</v>
      </c>
      <c r="AJ177" s="15" t="n">
        <v>1.2</v>
      </c>
      <c r="AK177" s="15" t="n">
        <v>26.8</v>
      </c>
      <c r="AL177" s="15" t="n">
        <v>0</v>
      </c>
      <c r="AM177" s="15" t="n">
        <v>0</v>
      </c>
      <c r="AN177" s="15" t="n">
        <v>0</v>
      </c>
      <c r="AO177" s="15" t="n">
        <v>0</v>
      </c>
      <c r="AP177" s="15" t="s">
        <v>1325</v>
      </c>
      <c r="AQ177" s="15" t="s">
        <v>1021</v>
      </c>
      <c r="AR177" s="15" t="s">
        <v>169</v>
      </c>
      <c r="AS177" s="15"/>
      <c r="AT177" s="29" t="str">
        <f aca="false">IF(A177="","",IF(COUNTIF(Parcels!$A$2:$A$3000,B177)=0,"Parcel not found",IF(COUNTIF($A$2:$A$3000,A177)&gt;1,"Duplicate perm_id",IF(AND(R177="Yes",D177&lt;&gt;"",COUNTIFS($C$2:$C$3000,D177,$R$2:$R$3000,"Yes")&gt;1),"Reference counted twice",IF(COUNTIF(Lists!$A$2:$A$7,I177)=0,"Unknown status","")))))</f>
        <v/>
      </c>
    </row>
    <row r="178" customFormat="false" ht="15" hidden="false" customHeight="false" outlineLevel="0" collapsed="false">
      <c r="A178" s="15" t="s">
        <v>1909</v>
      </c>
      <c r="B178" s="15" t="s">
        <v>559</v>
      </c>
      <c r="C178" s="15" t="s">
        <v>53</v>
      </c>
      <c r="D178" s="15" t="s">
        <v>1910</v>
      </c>
      <c r="E178" s="15" t="s">
        <v>1910</v>
      </c>
      <c r="F178" s="15" t="s">
        <v>560</v>
      </c>
      <c r="G178" s="15" t="n">
        <v>4</v>
      </c>
      <c r="H178" s="15"/>
      <c r="I178" s="15" t="s">
        <v>1007</v>
      </c>
      <c r="J178" s="15" t="s">
        <v>1008</v>
      </c>
      <c r="K178" s="15" t="s">
        <v>1007</v>
      </c>
      <c r="L178" s="15" t="n">
        <v>0</v>
      </c>
      <c r="M178" s="15" t="n">
        <v>0</v>
      </c>
      <c r="N178" s="15" t="n">
        <v>0</v>
      </c>
      <c r="O178" s="15" t="n">
        <v>0</v>
      </c>
      <c r="P178" s="15"/>
      <c r="Q178" s="15" t="s">
        <v>1009</v>
      </c>
      <c r="R178" s="15" t="s">
        <v>1010</v>
      </c>
      <c r="S178" s="15" t="s">
        <v>1050</v>
      </c>
      <c r="T178" s="15" t="n">
        <v>0</v>
      </c>
      <c r="U178" s="15" t="n">
        <v>2</v>
      </c>
      <c r="V178" s="15" t="n">
        <v>2</v>
      </c>
      <c r="W178" s="15" t="n">
        <v>0</v>
      </c>
      <c r="X178" s="15" t="n">
        <v>0</v>
      </c>
      <c r="Y178" s="15" t="n">
        <v>0</v>
      </c>
      <c r="Z178" s="15" t="s">
        <v>1012</v>
      </c>
      <c r="AA178" s="15" t="s">
        <v>1035</v>
      </c>
      <c r="AB178" s="15" t="s">
        <v>1065</v>
      </c>
      <c r="AC178" s="15" t="s">
        <v>1027</v>
      </c>
      <c r="AD178" s="15" t="s">
        <v>1911</v>
      </c>
      <c r="AE178" s="15" t="s">
        <v>1912</v>
      </c>
      <c r="AF178" s="15"/>
      <c r="AG178" s="15" t="s">
        <v>1017</v>
      </c>
      <c r="AH178" s="15" t="s">
        <v>1194</v>
      </c>
      <c r="AI178" s="15" t="s">
        <v>1019</v>
      </c>
      <c r="AJ178" s="15" t="n">
        <v>0</v>
      </c>
      <c r="AK178" s="15" t="n">
        <v>0</v>
      </c>
      <c r="AL178" s="15" t="n">
        <v>2.5</v>
      </c>
      <c r="AM178" s="15" t="n">
        <v>1.5</v>
      </c>
      <c r="AN178" s="15" t="n">
        <v>0</v>
      </c>
      <c r="AO178" s="15" t="n">
        <v>0</v>
      </c>
      <c r="AP178" s="15" t="s">
        <v>1325</v>
      </c>
      <c r="AQ178" s="15" t="s">
        <v>1021</v>
      </c>
      <c r="AR178" s="15" t="s">
        <v>169</v>
      </c>
      <c r="AS178" s="15"/>
      <c r="AT178" s="29" t="str">
        <f aca="false">IF(A178="","",IF(COUNTIF(Parcels!$A$2:$A$3000,B178)=0,"Parcel not found",IF(COUNTIF($A$2:$A$3000,A178)&gt;1,"Duplicate perm_id",IF(AND(R178="Yes",D178&lt;&gt;"",COUNTIFS($C$2:$C$3000,D178,$R$2:$R$3000,"Yes")&gt;1),"Reference counted twice",IF(COUNTIF(Lists!$A$2:$A$7,I178)=0,"Unknown status","")))))</f>
        <v/>
      </c>
    </row>
    <row r="179" customFormat="false" ht="15" hidden="false" customHeight="false" outlineLevel="0" collapsed="false">
      <c r="A179" s="15" t="s">
        <v>1913</v>
      </c>
      <c r="B179" s="15" t="s">
        <v>462</v>
      </c>
      <c r="C179" s="15" t="s">
        <v>50</v>
      </c>
      <c r="D179" s="15" t="s">
        <v>1914</v>
      </c>
      <c r="E179" s="15" t="s">
        <v>1914</v>
      </c>
      <c r="F179" s="15" t="s">
        <v>463</v>
      </c>
      <c r="G179" s="15" t="n">
        <v>21</v>
      </c>
      <c r="H179" s="15"/>
      <c r="I179" s="15" t="s">
        <v>48</v>
      </c>
      <c r="J179" s="15" t="s">
        <v>1008</v>
      </c>
      <c r="K179" s="15" t="s">
        <v>48</v>
      </c>
      <c r="L179" s="15" t="n">
        <v>0</v>
      </c>
      <c r="M179" s="15" t="n">
        <v>0</v>
      </c>
      <c r="N179" s="15" t="n">
        <v>0</v>
      </c>
      <c r="O179" s="15" t="n">
        <v>0</v>
      </c>
      <c r="P179" s="15"/>
      <c r="Q179" s="15" t="s">
        <v>1009</v>
      </c>
      <c r="R179" s="15" t="s">
        <v>1010</v>
      </c>
      <c r="S179" s="15" t="s">
        <v>1011</v>
      </c>
      <c r="T179" s="15" t="n">
        <v>0</v>
      </c>
      <c r="U179" s="15" t="n">
        <v>8</v>
      </c>
      <c r="V179" s="15" t="n">
        <v>13</v>
      </c>
      <c r="W179" s="15" t="n">
        <v>0</v>
      </c>
      <c r="X179" s="15" t="n">
        <v>0</v>
      </c>
      <c r="Y179" s="15" t="n">
        <v>0</v>
      </c>
      <c r="Z179" s="15" t="s">
        <v>1012</v>
      </c>
      <c r="AA179" s="15" t="s">
        <v>1035</v>
      </c>
      <c r="AB179" s="15" t="s">
        <v>1065</v>
      </c>
      <c r="AC179" s="15" t="s">
        <v>1027</v>
      </c>
      <c r="AD179" s="15" t="s">
        <v>1915</v>
      </c>
      <c r="AE179" s="15" t="s">
        <v>1916</v>
      </c>
      <c r="AF179" s="15" t="s">
        <v>1917</v>
      </c>
      <c r="AG179" s="15" t="s">
        <v>1324</v>
      </c>
      <c r="AH179" s="15" t="s">
        <v>1101</v>
      </c>
      <c r="AI179" s="15" t="s">
        <v>1042</v>
      </c>
      <c r="AJ179" s="15" t="n">
        <v>2.7</v>
      </c>
      <c r="AK179" s="15" t="n">
        <v>13.9</v>
      </c>
      <c r="AL179" s="15" t="n">
        <v>4.5</v>
      </c>
      <c r="AM179" s="15" t="n">
        <v>0</v>
      </c>
      <c r="AN179" s="15" t="n">
        <v>0</v>
      </c>
      <c r="AO179" s="15" t="n">
        <v>-0.1</v>
      </c>
      <c r="AP179" s="15" t="s">
        <v>1325</v>
      </c>
      <c r="AQ179" s="15" t="s">
        <v>1021</v>
      </c>
      <c r="AR179" s="15" t="s">
        <v>169</v>
      </c>
      <c r="AS179" s="15"/>
      <c r="AT179" s="29" t="str">
        <f aca="false">IF(A179="","",IF(COUNTIF(Parcels!$A$2:$A$3000,B179)=0,"Parcel not found",IF(COUNTIF($A$2:$A$3000,A179)&gt;1,"Duplicate perm_id",IF(AND(R179="Yes",D179&lt;&gt;"",COUNTIFS($C$2:$C$3000,D179,$R$2:$R$3000,"Yes")&gt;1),"Reference counted twice",IF(COUNTIF(Lists!$A$2:$A$7,I179)=0,"Unknown status","")))))</f>
        <v/>
      </c>
    </row>
    <row r="180" customFormat="false" ht="15" hidden="false" customHeight="false" outlineLevel="0" collapsed="false">
      <c r="A180" s="15" t="s">
        <v>1918</v>
      </c>
      <c r="B180" s="15" t="s">
        <v>756</v>
      </c>
      <c r="C180" s="15" t="s">
        <v>74</v>
      </c>
      <c r="D180" s="15" t="s">
        <v>1919</v>
      </c>
      <c r="E180" s="15" t="s">
        <v>1919</v>
      </c>
      <c r="F180" s="15" t="s">
        <v>757</v>
      </c>
      <c r="G180" s="15" t="n">
        <v>41</v>
      </c>
      <c r="H180" s="15"/>
      <c r="I180" s="15" t="s">
        <v>1007</v>
      </c>
      <c r="J180" s="15" t="s">
        <v>1008</v>
      </c>
      <c r="K180" s="15" t="s">
        <v>1007</v>
      </c>
      <c r="L180" s="15" t="n">
        <v>0</v>
      </c>
      <c r="M180" s="15" t="n">
        <v>0</v>
      </c>
      <c r="N180" s="15" t="n">
        <v>0</v>
      </c>
      <c r="O180" s="15" t="n">
        <v>0</v>
      </c>
      <c r="P180" s="15"/>
      <c r="Q180" s="15" t="s">
        <v>1009</v>
      </c>
      <c r="R180" s="15" t="s">
        <v>1010</v>
      </c>
      <c r="S180" s="15" t="s">
        <v>1377</v>
      </c>
      <c r="T180" s="15" t="n">
        <v>0</v>
      </c>
      <c r="U180" s="15" t="n">
        <v>0</v>
      </c>
      <c r="V180" s="15" t="n">
        <v>0</v>
      </c>
      <c r="W180" s="15" t="n">
        <v>41</v>
      </c>
      <c r="X180" s="15" t="n">
        <v>0</v>
      </c>
      <c r="Y180" s="15" t="n">
        <v>0</v>
      </c>
      <c r="Z180" s="15" t="s">
        <v>1034</v>
      </c>
      <c r="AA180" s="15" t="s">
        <v>1013</v>
      </c>
      <c r="AB180" s="15" t="s">
        <v>176</v>
      </c>
      <c r="AC180" s="15" t="s">
        <v>1027</v>
      </c>
      <c r="AD180" s="15" t="s">
        <v>1920</v>
      </c>
      <c r="AE180" s="15" t="s">
        <v>1599</v>
      </c>
      <c r="AF180" s="15"/>
      <c r="AG180" s="15" t="s">
        <v>1280</v>
      </c>
      <c r="AH180" s="15" t="s">
        <v>1303</v>
      </c>
      <c r="AI180" s="15" t="s">
        <v>1061</v>
      </c>
      <c r="AJ180" s="15" t="n">
        <v>0</v>
      </c>
      <c r="AK180" s="15" t="n">
        <v>1.1</v>
      </c>
      <c r="AL180" s="15" t="n">
        <v>39.9</v>
      </c>
      <c r="AM180" s="15" t="n">
        <v>0</v>
      </c>
      <c r="AN180" s="15" t="n">
        <v>0</v>
      </c>
      <c r="AO180" s="15" t="n">
        <v>0</v>
      </c>
      <c r="AP180" s="15" t="s">
        <v>1325</v>
      </c>
      <c r="AQ180" s="15" t="s">
        <v>1021</v>
      </c>
      <c r="AR180" s="15" t="s">
        <v>169</v>
      </c>
      <c r="AS180" s="15"/>
      <c r="AT180" s="29" t="str">
        <f aca="false">IF(A180="","",IF(COUNTIF(Parcels!$A$2:$A$3000,B180)=0,"Parcel not found",IF(COUNTIF($A$2:$A$3000,A180)&gt;1,"Duplicate perm_id",IF(AND(R180="Yes",D180&lt;&gt;"",COUNTIFS($C$2:$C$3000,D180,$R$2:$R$3000,"Yes")&gt;1),"Reference counted twice",IF(COUNTIF(Lists!$A$2:$A$7,I180)=0,"Unknown status","")))))</f>
        <v/>
      </c>
    </row>
    <row r="181" customFormat="false" ht="15" hidden="false" customHeight="false" outlineLevel="0" collapsed="false">
      <c r="A181" s="15" t="s">
        <v>1921</v>
      </c>
      <c r="B181" s="15" t="s">
        <v>561</v>
      </c>
      <c r="C181" s="15" t="s">
        <v>53</v>
      </c>
      <c r="D181" s="15" t="s">
        <v>1922</v>
      </c>
      <c r="E181" s="15" t="s">
        <v>1922</v>
      </c>
      <c r="F181" s="15" t="s">
        <v>562</v>
      </c>
      <c r="G181" s="15" t="n">
        <v>24</v>
      </c>
      <c r="H181" s="15"/>
      <c r="I181" s="15" t="s">
        <v>48</v>
      </c>
      <c r="J181" s="15" t="s">
        <v>1008</v>
      </c>
      <c r="K181" s="15" t="s">
        <v>48</v>
      </c>
      <c r="L181" s="15" t="n">
        <v>0</v>
      </c>
      <c r="M181" s="15" t="n">
        <v>0</v>
      </c>
      <c r="N181" s="15" t="n">
        <v>0</v>
      </c>
      <c r="O181" s="15" t="n">
        <v>0</v>
      </c>
      <c r="P181" s="15"/>
      <c r="Q181" s="15" t="s">
        <v>1009</v>
      </c>
      <c r="R181" s="15" t="s">
        <v>1010</v>
      </c>
      <c r="S181" s="15" t="s">
        <v>1011</v>
      </c>
      <c r="T181" s="15" t="n">
        <v>0</v>
      </c>
      <c r="U181" s="15" t="n">
        <v>13</v>
      </c>
      <c r="V181" s="15" t="n">
        <v>11</v>
      </c>
      <c r="W181" s="15" t="n">
        <v>0</v>
      </c>
      <c r="X181" s="15" t="n">
        <v>0</v>
      </c>
      <c r="Y181" s="15" t="n">
        <v>0</v>
      </c>
      <c r="Z181" s="15" t="s">
        <v>1012</v>
      </c>
      <c r="AA181" s="15" t="s">
        <v>1013</v>
      </c>
      <c r="AB181" s="15" t="s">
        <v>176</v>
      </c>
      <c r="AC181" s="15" t="s">
        <v>1027</v>
      </c>
      <c r="AD181" s="15" t="s">
        <v>1923</v>
      </c>
      <c r="AE181" s="15" t="s">
        <v>1924</v>
      </c>
      <c r="AF181" s="15" t="s">
        <v>1925</v>
      </c>
      <c r="AG181" s="15" t="s">
        <v>1324</v>
      </c>
      <c r="AH181" s="15" t="s">
        <v>1303</v>
      </c>
      <c r="AI181" s="15" t="s">
        <v>1042</v>
      </c>
      <c r="AJ181" s="15" t="n">
        <v>1.1</v>
      </c>
      <c r="AK181" s="15" t="n">
        <v>12.8</v>
      </c>
      <c r="AL181" s="15" t="n">
        <v>10.1</v>
      </c>
      <c r="AM181" s="15" t="n">
        <v>0</v>
      </c>
      <c r="AN181" s="15" t="n">
        <v>0</v>
      </c>
      <c r="AO181" s="15" t="n">
        <v>0</v>
      </c>
      <c r="AP181" s="15" t="s">
        <v>1325</v>
      </c>
      <c r="AQ181" s="15" t="s">
        <v>1021</v>
      </c>
      <c r="AR181" s="15" t="s">
        <v>169</v>
      </c>
      <c r="AS181" s="15"/>
      <c r="AT181" s="29" t="str">
        <f aca="false">IF(A181="","",IF(COUNTIF(Parcels!$A$2:$A$3000,B181)=0,"Parcel not found",IF(COUNTIF($A$2:$A$3000,A181)&gt;1,"Duplicate perm_id",IF(AND(R181="Yes",D181&lt;&gt;"",COUNTIFS($C$2:$C$3000,D181,$R$2:$R$3000,"Yes")&gt;1),"Reference counted twice",IF(COUNTIF(Lists!$A$2:$A$7,I181)=0,"Unknown status","")))))</f>
        <v/>
      </c>
    </row>
    <row r="182" customFormat="false" ht="15" hidden="false" customHeight="false" outlineLevel="0" collapsed="false">
      <c r="A182" s="15" t="s">
        <v>1926</v>
      </c>
      <c r="B182" s="15" t="s">
        <v>758</v>
      </c>
      <c r="C182" s="15" t="s">
        <v>22</v>
      </c>
      <c r="D182" s="15" t="s">
        <v>1927</v>
      </c>
      <c r="E182" s="15" t="s">
        <v>1927</v>
      </c>
      <c r="F182" s="15" t="s">
        <v>759</v>
      </c>
      <c r="G182" s="15" t="n">
        <v>3</v>
      </c>
      <c r="H182" s="15"/>
      <c r="I182" s="15" t="s">
        <v>1025</v>
      </c>
      <c r="J182" s="15" t="s">
        <v>1008</v>
      </c>
      <c r="K182" s="15" t="s">
        <v>1025</v>
      </c>
      <c r="L182" s="15" t="n">
        <v>0</v>
      </c>
      <c r="M182" s="15" t="n">
        <v>0</v>
      </c>
      <c r="N182" s="15" t="n">
        <v>0</v>
      </c>
      <c r="O182" s="15" t="n">
        <v>0</v>
      </c>
      <c r="P182" s="15"/>
      <c r="Q182" s="15" t="s">
        <v>1009</v>
      </c>
      <c r="R182" s="15" t="s">
        <v>1010</v>
      </c>
      <c r="S182" s="15" t="s">
        <v>1026</v>
      </c>
      <c r="T182" s="15"/>
      <c r="U182" s="15"/>
      <c r="V182" s="15"/>
      <c r="W182" s="15"/>
      <c r="X182" s="15"/>
      <c r="Y182" s="15"/>
      <c r="Z182" s="15" t="s">
        <v>1012</v>
      </c>
      <c r="AA182" s="15" t="s">
        <v>1013</v>
      </c>
      <c r="AB182" s="15" t="s">
        <v>176</v>
      </c>
      <c r="AC182" s="15" t="s">
        <v>1027</v>
      </c>
      <c r="AD182" s="15" t="s">
        <v>1928</v>
      </c>
      <c r="AE182" s="15" t="s">
        <v>1929</v>
      </c>
      <c r="AF182" s="15"/>
      <c r="AG182" s="15"/>
      <c r="AH182" s="15"/>
      <c r="AI182" s="15" t="s">
        <v>1030</v>
      </c>
      <c r="AJ182" s="15" t="n">
        <v>0</v>
      </c>
      <c r="AK182" s="15" t="n">
        <v>0</v>
      </c>
      <c r="AL182" s="15" t="n">
        <v>0</v>
      </c>
      <c r="AM182" s="15" t="n">
        <v>0</v>
      </c>
      <c r="AN182" s="15" t="n">
        <v>0</v>
      </c>
      <c r="AO182" s="15" t="n">
        <v>0</v>
      </c>
      <c r="AP182" s="15" t="s">
        <v>1325</v>
      </c>
      <c r="AQ182" s="15" t="s">
        <v>1021</v>
      </c>
      <c r="AR182" s="15" t="s">
        <v>169</v>
      </c>
      <c r="AS182" s="15"/>
      <c r="AT182" s="29" t="str">
        <f aca="false">IF(A182="","",IF(COUNTIF(Parcels!$A$2:$A$3000,B182)=0,"Parcel not found",IF(COUNTIF($A$2:$A$3000,A182)&gt;1,"Duplicate perm_id",IF(AND(R182="Yes",D182&lt;&gt;"",COUNTIFS($C$2:$C$3000,D182,$R$2:$R$3000,"Yes")&gt;1),"Reference counted twice",IF(COUNTIF(Lists!$A$2:$A$7,I182)=0,"Unknown status","")))))</f>
        <v/>
      </c>
    </row>
    <row r="183" customFormat="false" ht="15" hidden="false" customHeight="false" outlineLevel="0" collapsed="false">
      <c r="A183" s="15" t="s">
        <v>1930</v>
      </c>
      <c r="B183" s="15" t="s">
        <v>517</v>
      </c>
      <c r="C183" s="15" t="s">
        <v>52</v>
      </c>
      <c r="D183" s="15" t="s">
        <v>1931</v>
      </c>
      <c r="E183" s="15" t="s">
        <v>1931</v>
      </c>
      <c r="F183" s="15" t="s">
        <v>518</v>
      </c>
      <c r="G183" s="15" t="n">
        <v>14</v>
      </c>
      <c r="H183" s="15"/>
      <c r="I183" s="15" t="s">
        <v>48</v>
      </c>
      <c r="J183" s="15" t="s">
        <v>1008</v>
      </c>
      <c r="K183" s="15" t="s">
        <v>48</v>
      </c>
      <c r="L183" s="15" t="n">
        <v>0</v>
      </c>
      <c r="M183" s="15" t="n">
        <v>0</v>
      </c>
      <c r="N183" s="15" t="n">
        <v>13</v>
      </c>
      <c r="O183" s="15" t="n">
        <v>0</v>
      </c>
      <c r="P183" s="15"/>
      <c r="Q183" s="15" t="s">
        <v>1009</v>
      </c>
      <c r="R183" s="15" t="s">
        <v>1010</v>
      </c>
      <c r="S183" s="15" t="s">
        <v>1011</v>
      </c>
      <c r="T183" s="15" t="n">
        <v>0</v>
      </c>
      <c r="U183" s="15" t="n">
        <v>0</v>
      </c>
      <c r="V183" s="15" t="n">
        <v>14</v>
      </c>
      <c r="W183" s="15" t="n">
        <v>0</v>
      </c>
      <c r="X183" s="15" t="n">
        <v>0</v>
      </c>
      <c r="Y183" s="15" t="n">
        <v>0</v>
      </c>
      <c r="Z183" s="15" t="s">
        <v>1012</v>
      </c>
      <c r="AA183" s="15" t="s">
        <v>1013</v>
      </c>
      <c r="AB183" s="15" t="s">
        <v>176</v>
      </c>
      <c r="AC183" s="15" t="s">
        <v>1027</v>
      </c>
      <c r="AD183" s="15" t="s">
        <v>1843</v>
      </c>
      <c r="AE183" s="15" t="s">
        <v>1844</v>
      </c>
      <c r="AF183" s="15" t="s">
        <v>1932</v>
      </c>
      <c r="AG183" s="15" t="s">
        <v>1539</v>
      </c>
      <c r="AH183" s="15" t="s">
        <v>1041</v>
      </c>
      <c r="AI183" s="15" t="s">
        <v>1042</v>
      </c>
      <c r="AJ183" s="15" t="n">
        <v>3.3</v>
      </c>
      <c r="AK183" s="15" t="n">
        <v>10.7</v>
      </c>
      <c r="AL183" s="15" t="n">
        <v>0</v>
      </c>
      <c r="AM183" s="15" t="n">
        <v>0</v>
      </c>
      <c r="AN183" s="15" t="n">
        <v>0</v>
      </c>
      <c r="AO183" s="15" t="n">
        <v>0</v>
      </c>
      <c r="AP183" s="15" t="s">
        <v>1325</v>
      </c>
      <c r="AQ183" s="15" t="s">
        <v>1021</v>
      </c>
      <c r="AR183" s="15" t="s">
        <v>169</v>
      </c>
      <c r="AS183" s="15"/>
      <c r="AT183" s="29" t="str">
        <f aca="false">IF(A183="","",IF(COUNTIF(Parcels!$A$2:$A$3000,B183)=0,"Parcel not found",IF(COUNTIF($A$2:$A$3000,A183)&gt;1,"Duplicate perm_id",IF(AND(R183="Yes",D183&lt;&gt;"",COUNTIFS($C$2:$C$3000,D183,$R$2:$R$3000,"Yes")&gt;1),"Reference counted twice",IF(COUNTIF(Lists!$A$2:$A$7,I183)=0,"Unknown status","")))))</f>
        <v/>
      </c>
    </row>
    <row r="184" customFormat="false" ht="15" hidden="false" customHeight="false" outlineLevel="0" collapsed="false">
      <c r="A184" s="15" t="s">
        <v>1933</v>
      </c>
      <c r="B184" s="15" t="s">
        <v>563</v>
      </c>
      <c r="C184" s="15" t="s">
        <v>53</v>
      </c>
      <c r="D184" s="15" t="s">
        <v>1934</v>
      </c>
      <c r="E184" s="15" t="s">
        <v>1934</v>
      </c>
      <c r="F184" s="15" t="s">
        <v>564</v>
      </c>
      <c r="G184" s="15" t="n">
        <v>21</v>
      </c>
      <c r="H184" s="15"/>
      <c r="I184" s="15" t="s">
        <v>1007</v>
      </c>
      <c r="J184" s="15" t="s">
        <v>1008</v>
      </c>
      <c r="K184" s="15" t="s">
        <v>1007</v>
      </c>
      <c r="L184" s="15" t="n">
        <v>0</v>
      </c>
      <c r="M184" s="15" t="n">
        <v>0</v>
      </c>
      <c r="N184" s="15" t="n">
        <v>0</v>
      </c>
      <c r="O184" s="15" t="n">
        <v>0</v>
      </c>
      <c r="P184" s="15"/>
      <c r="Q184" s="15" t="s">
        <v>1009</v>
      </c>
      <c r="R184" s="15" t="s">
        <v>1010</v>
      </c>
      <c r="S184" s="15" t="s">
        <v>1011</v>
      </c>
      <c r="T184" s="15" t="n">
        <v>0</v>
      </c>
      <c r="U184" s="15" t="n">
        <v>18</v>
      </c>
      <c r="V184" s="15" t="n">
        <v>3</v>
      </c>
      <c r="W184" s="15" t="n">
        <v>0</v>
      </c>
      <c r="X184" s="15" t="n">
        <v>0</v>
      </c>
      <c r="Y184" s="15" t="n">
        <v>0</v>
      </c>
      <c r="Z184" s="15" t="s">
        <v>1034</v>
      </c>
      <c r="AA184" s="15" t="s">
        <v>1013</v>
      </c>
      <c r="AB184" s="15" t="s">
        <v>176</v>
      </c>
      <c r="AC184" s="15" t="s">
        <v>1027</v>
      </c>
      <c r="AD184" s="15" t="s">
        <v>1935</v>
      </c>
      <c r="AE184" s="15" t="s">
        <v>1936</v>
      </c>
      <c r="AF184" s="15"/>
      <c r="AG184" s="15" t="s">
        <v>1017</v>
      </c>
      <c r="AH184" s="15" t="s">
        <v>1095</v>
      </c>
      <c r="AI184" s="15" t="s">
        <v>1019</v>
      </c>
      <c r="AJ184" s="15" t="n">
        <v>0</v>
      </c>
      <c r="AK184" s="15" t="n">
        <v>0</v>
      </c>
      <c r="AL184" s="15" t="n">
        <v>6.7</v>
      </c>
      <c r="AM184" s="15" t="n">
        <v>13.9</v>
      </c>
      <c r="AN184" s="15" t="n">
        <v>0.5</v>
      </c>
      <c r="AO184" s="15" t="n">
        <v>-0.1</v>
      </c>
      <c r="AP184" s="15" t="s">
        <v>1325</v>
      </c>
      <c r="AQ184" s="15" t="s">
        <v>1021</v>
      </c>
      <c r="AR184" s="15" t="s">
        <v>169</v>
      </c>
      <c r="AS184" s="15"/>
      <c r="AT184" s="29" t="str">
        <f aca="false">IF(A184="","",IF(COUNTIF(Parcels!$A$2:$A$3000,B184)=0,"Parcel not found",IF(COUNTIF($A$2:$A$3000,A184)&gt;1,"Duplicate perm_id",IF(AND(R184="Yes",D184&lt;&gt;"",COUNTIFS($C$2:$C$3000,D184,$R$2:$R$3000,"Yes")&gt;1),"Reference counted twice",IF(COUNTIF(Lists!$A$2:$A$7,I184)=0,"Unknown status","")))))</f>
        <v/>
      </c>
    </row>
    <row r="185" customFormat="false" ht="15" hidden="false" customHeight="false" outlineLevel="0" collapsed="false">
      <c r="A185" s="15" t="s">
        <v>1937</v>
      </c>
      <c r="B185" s="15" t="s">
        <v>760</v>
      </c>
      <c r="C185" s="15" t="s">
        <v>22</v>
      </c>
      <c r="D185" s="15" t="s">
        <v>1938</v>
      </c>
      <c r="E185" s="15" t="s">
        <v>1938</v>
      </c>
      <c r="F185" s="15" t="s">
        <v>761</v>
      </c>
      <c r="G185" s="15" t="n">
        <v>8</v>
      </c>
      <c r="H185" s="15"/>
      <c r="I185" s="15" t="s">
        <v>47</v>
      </c>
      <c r="J185" s="15" t="s">
        <v>1008</v>
      </c>
      <c r="K185" s="15" t="s">
        <v>47</v>
      </c>
      <c r="L185" s="15" t="n">
        <v>8</v>
      </c>
      <c r="M185" s="15" t="n">
        <v>0</v>
      </c>
      <c r="N185" s="15" t="n">
        <v>8</v>
      </c>
      <c r="O185" s="15" t="n">
        <v>0</v>
      </c>
      <c r="P185" s="15" t="s">
        <v>1135</v>
      </c>
      <c r="Q185" s="15" t="s">
        <v>1009</v>
      </c>
      <c r="R185" s="15" t="s">
        <v>1010</v>
      </c>
      <c r="S185" s="15" t="s">
        <v>1050</v>
      </c>
      <c r="T185" s="15" t="n">
        <v>0</v>
      </c>
      <c r="U185" s="15" t="n">
        <v>0</v>
      </c>
      <c r="V185" s="15" t="n">
        <v>0</v>
      </c>
      <c r="W185" s="15" t="n">
        <v>0</v>
      </c>
      <c r="X185" s="15" t="n">
        <v>4</v>
      </c>
      <c r="Y185" s="15" t="n">
        <v>0</v>
      </c>
      <c r="Z185" s="15" t="s">
        <v>1034</v>
      </c>
      <c r="AA185" s="15" t="s">
        <v>1013</v>
      </c>
      <c r="AB185" s="15" t="s">
        <v>176</v>
      </c>
      <c r="AC185" s="15" t="s">
        <v>1027</v>
      </c>
      <c r="AD185" s="15" t="s">
        <v>1939</v>
      </c>
      <c r="AE185" s="15" t="s">
        <v>1940</v>
      </c>
      <c r="AF185" s="15" t="s">
        <v>1787</v>
      </c>
      <c r="AG185" s="15"/>
      <c r="AH185" s="15"/>
      <c r="AI185" s="15" t="s">
        <v>1053</v>
      </c>
      <c r="AJ185" s="15" t="n">
        <v>0</v>
      </c>
      <c r="AK185" s="15" t="n">
        <v>0</v>
      </c>
      <c r="AL185" s="15" t="n">
        <v>0</v>
      </c>
      <c r="AM185" s="15" t="n">
        <v>0</v>
      </c>
      <c r="AN185" s="15" t="n">
        <v>0</v>
      </c>
      <c r="AO185" s="15" t="n">
        <v>0</v>
      </c>
      <c r="AP185" s="15" t="s">
        <v>1325</v>
      </c>
      <c r="AQ185" s="15" t="s">
        <v>1021</v>
      </c>
      <c r="AR185" s="15" t="s">
        <v>169</v>
      </c>
      <c r="AS185" s="15"/>
      <c r="AT185" s="29" t="str">
        <f aca="false">IF(A185="","",IF(COUNTIF(Parcels!$A$2:$A$3000,B185)=0,"Parcel not found",IF(COUNTIF($A$2:$A$3000,A185)&gt;1,"Duplicate perm_id",IF(AND(R185="Yes",D185&lt;&gt;"",COUNTIFS($C$2:$C$3000,D185,$R$2:$R$3000,"Yes")&gt;1),"Reference counted twice",IF(COUNTIF(Lists!$A$2:$A$7,I185)=0,"Unknown status","")))))</f>
        <v/>
      </c>
    </row>
    <row r="186" customFormat="false" ht="15" hidden="false" customHeight="false" outlineLevel="0" collapsed="false">
      <c r="A186" s="15" t="s">
        <v>1941</v>
      </c>
      <c r="B186" s="15" t="s">
        <v>762</v>
      </c>
      <c r="C186" s="15" t="s">
        <v>22</v>
      </c>
      <c r="D186" s="15" t="s">
        <v>1942</v>
      </c>
      <c r="E186" s="15" t="s">
        <v>1942</v>
      </c>
      <c r="F186" s="15" t="s">
        <v>763</v>
      </c>
      <c r="G186" s="15" t="n">
        <v>3</v>
      </c>
      <c r="H186" s="15"/>
      <c r="I186" s="15" t="s">
        <v>48</v>
      </c>
      <c r="J186" s="15" t="s">
        <v>1008</v>
      </c>
      <c r="K186" s="15" t="s">
        <v>48</v>
      </c>
      <c r="L186" s="15" t="n">
        <v>1</v>
      </c>
      <c r="M186" s="15" t="n">
        <v>1</v>
      </c>
      <c r="N186" s="15" t="n">
        <v>2</v>
      </c>
      <c r="O186" s="15" t="n">
        <v>0</v>
      </c>
      <c r="P186" s="15"/>
      <c r="Q186" s="15" t="s">
        <v>1009</v>
      </c>
      <c r="R186" s="15" t="s">
        <v>1010</v>
      </c>
      <c r="S186" s="15" t="s">
        <v>1026</v>
      </c>
      <c r="T186" s="15"/>
      <c r="U186" s="15"/>
      <c r="V186" s="15"/>
      <c r="W186" s="15"/>
      <c r="X186" s="15"/>
      <c r="Y186" s="15"/>
      <c r="Z186" s="15" t="s">
        <v>1012</v>
      </c>
      <c r="AA186" s="15" t="s">
        <v>1013</v>
      </c>
      <c r="AB186" s="15" t="s">
        <v>176</v>
      </c>
      <c r="AC186" s="15" t="s">
        <v>1027</v>
      </c>
      <c r="AD186" s="15" t="s">
        <v>1943</v>
      </c>
      <c r="AE186" s="15" t="s">
        <v>1944</v>
      </c>
      <c r="AF186" s="15" t="s">
        <v>1945</v>
      </c>
      <c r="AG186" s="15" t="s">
        <v>1087</v>
      </c>
      <c r="AH186" s="15" t="s">
        <v>1041</v>
      </c>
      <c r="AI186" s="15" t="s">
        <v>1042</v>
      </c>
      <c r="AJ186" s="15" t="n">
        <v>0.7</v>
      </c>
      <c r="AK186" s="15" t="n">
        <v>2.3</v>
      </c>
      <c r="AL186" s="15" t="n">
        <v>0</v>
      </c>
      <c r="AM186" s="15" t="n">
        <v>0</v>
      </c>
      <c r="AN186" s="15" t="n">
        <v>0</v>
      </c>
      <c r="AO186" s="15" t="n">
        <v>0</v>
      </c>
      <c r="AP186" s="15" t="s">
        <v>1325</v>
      </c>
      <c r="AQ186" s="15" t="s">
        <v>1021</v>
      </c>
      <c r="AR186" s="15" t="s">
        <v>169</v>
      </c>
      <c r="AS186" s="15"/>
      <c r="AT186" s="29" t="str">
        <f aca="false">IF(A186="","",IF(COUNTIF(Parcels!$A$2:$A$3000,B186)=0,"Parcel not found",IF(COUNTIF($A$2:$A$3000,A186)&gt;1,"Duplicate perm_id",IF(AND(R186="Yes",D186&lt;&gt;"",COUNTIFS($C$2:$C$3000,D186,$R$2:$R$3000,"Yes")&gt;1),"Reference counted twice",IF(COUNTIF(Lists!$A$2:$A$7,I186)=0,"Unknown status","")))))</f>
        <v/>
      </c>
    </row>
    <row r="187" customFormat="false" ht="15" hidden="false" customHeight="false" outlineLevel="0" collapsed="false">
      <c r="A187" s="15" t="s">
        <v>1946</v>
      </c>
      <c r="B187" s="15" t="s">
        <v>764</v>
      </c>
      <c r="C187" s="15" t="s">
        <v>22</v>
      </c>
      <c r="D187" s="15" t="s">
        <v>1947</v>
      </c>
      <c r="E187" s="15" t="s">
        <v>1947</v>
      </c>
      <c r="F187" s="15" t="s">
        <v>765</v>
      </c>
      <c r="G187" s="15" t="n">
        <v>4</v>
      </c>
      <c r="H187" s="15"/>
      <c r="I187" s="15" t="s">
        <v>47</v>
      </c>
      <c r="J187" s="15" t="s">
        <v>1008</v>
      </c>
      <c r="K187" s="15" t="s">
        <v>47</v>
      </c>
      <c r="L187" s="15" t="n">
        <v>4</v>
      </c>
      <c r="M187" s="15" t="n">
        <v>4</v>
      </c>
      <c r="N187" s="15" t="n">
        <v>0</v>
      </c>
      <c r="O187" s="15" t="n">
        <v>0</v>
      </c>
      <c r="P187" s="15"/>
      <c r="Q187" s="15" t="s">
        <v>1009</v>
      </c>
      <c r="R187" s="15" t="s">
        <v>1010</v>
      </c>
      <c r="S187" s="15" t="s">
        <v>1026</v>
      </c>
      <c r="T187" s="15"/>
      <c r="U187" s="15"/>
      <c r="V187" s="15"/>
      <c r="W187" s="15"/>
      <c r="X187" s="15"/>
      <c r="Y187" s="15"/>
      <c r="Z187" s="15" t="s">
        <v>1012</v>
      </c>
      <c r="AA187" s="15" t="s">
        <v>1013</v>
      </c>
      <c r="AB187" s="15" t="s">
        <v>176</v>
      </c>
      <c r="AC187" s="15" t="s">
        <v>1027</v>
      </c>
      <c r="AD187" s="15" t="s">
        <v>1843</v>
      </c>
      <c r="AE187" s="15" t="s">
        <v>1844</v>
      </c>
      <c r="AF187" s="15" t="s">
        <v>1948</v>
      </c>
      <c r="AG187" s="15"/>
      <c r="AH187" s="15"/>
      <c r="AI187" s="15" t="s">
        <v>1053</v>
      </c>
      <c r="AJ187" s="15" t="n">
        <v>0</v>
      </c>
      <c r="AK187" s="15" t="n">
        <v>0</v>
      </c>
      <c r="AL187" s="15" t="n">
        <v>0</v>
      </c>
      <c r="AM187" s="15" t="n">
        <v>0</v>
      </c>
      <c r="AN187" s="15" t="n">
        <v>0</v>
      </c>
      <c r="AO187" s="15" t="n">
        <v>0</v>
      </c>
      <c r="AP187" s="15" t="s">
        <v>1325</v>
      </c>
      <c r="AQ187" s="15" t="s">
        <v>1021</v>
      </c>
      <c r="AR187" s="15" t="s">
        <v>169</v>
      </c>
      <c r="AS187" s="15"/>
      <c r="AT187" s="29" t="str">
        <f aca="false">IF(A187="","",IF(COUNTIF(Parcels!$A$2:$A$3000,B187)=0,"Parcel not found",IF(COUNTIF($A$2:$A$3000,A187)&gt;1,"Duplicate perm_id",IF(AND(R187="Yes",D187&lt;&gt;"",COUNTIFS($C$2:$C$3000,D187,$R$2:$R$3000,"Yes")&gt;1),"Reference counted twice",IF(COUNTIF(Lists!$A$2:$A$7,I187)=0,"Unknown status","")))))</f>
        <v/>
      </c>
    </row>
    <row r="188" customFormat="false" ht="15" hidden="false" customHeight="false" outlineLevel="0" collapsed="false">
      <c r="A188" s="15" t="s">
        <v>1949</v>
      </c>
      <c r="B188" s="15" t="s">
        <v>622</v>
      </c>
      <c r="C188" s="15" t="s">
        <v>55</v>
      </c>
      <c r="D188" s="15" t="s">
        <v>1950</v>
      </c>
      <c r="E188" s="15" t="s">
        <v>1950</v>
      </c>
      <c r="F188" s="15" t="s">
        <v>623</v>
      </c>
      <c r="G188" s="15" t="n">
        <v>66</v>
      </c>
      <c r="H188" s="15"/>
      <c r="I188" s="15" t="s">
        <v>48</v>
      </c>
      <c r="J188" s="15" t="s">
        <v>1008</v>
      </c>
      <c r="K188" s="15" t="s">
        <v>48</v>
      </c>
      <c r="L188" s="15" t="n">
        <v>13</v>
      </c>
      <c r="M188" s="15" t="n">
        <v>13</v>
      </c>
      <c r="N188" s="15" t="n">
        <v>47</v>
      </c>
      <c r="O188" s="15" t="n">
        <v>4</v>
      </c>
      <c r="P188" s="15"/>
      <c r="Q188" s="15" t="s">
        <v>1009</v>
      </c>
      <c r="R188" s="15" t="s">
        <v>1010</v>
      </c>
      <c r="S188" s="15" t="s">
        <v>1011</v>
      </c>
      <c r="T188" s="15" t="n">
        <v>0</v>
      </c>
      <c r="U188" s="15" t="n">
        <v>12</v>
      </c>
      <c r="V188" s="15" t="n">
        <v>21</v>
      </c>
      <c r="W188" s="15" t="n">
        <v>23</v>
      </c>
      <c r="X188" s="15" t="n">
        <v>10</v>
      </c>
      <c r="Y188" s="15" t="n">
        <v>0</v>
      </c>
      <c r="Z188" s="15" t="s">
        <v>1012</v>
      </c>
      <c r="AA188" s="15" t="s">
        <v>1013</v>
      </c>
      <c r="AB188" s="15" t="s">
        <v>176</v>
      </c>
      <c r="AC188" s="15" t="s">
        <v>1027</v>
      </c>
      <c r="AD188" s="15" t="s">
        <v>1951</v>
      </c>
      <c r="AE188" s="15" t="s">
        <v>1952</v>
      </c>
      <c r="AF188" s="15" t="s">
        <v>1712</v>
      </c>
      <c r="AG188" s="15" t="s">
        <v>1087</v>
      </c>
      <c r="AH188" s="15" t="s">
        <v>1041</v>
      </c>
      <c r="AI188" s="15" t="s">
        <v>1042</v>
      </c>
      <c r="AJ188" s="15" t="n">
        <v>15.4</v>
      </c>
      <c r="AK188" s="15" t="n">
        <v>50.6</v>
      </c>
      <c r="AL188" s="15" t="n">
        <v>0</v>
      </c>
      <c r="AM188" s="15" t="n">
        <v>0</v>
      </c>
      <c r="AN188" s="15" t="n">
        <v>0</v>
      </c>
      <c r="AO188" s="15" t="n">
        <v>0</v>
      </c>
      <c r="AP188" s="15" t="s">
        <v>1325</v>
      </c>
      <c r="AQ188" s="15" t="s">
        <v>1021</v>
      </c>
      <c r="AR188" s="15" t="s">
        <v>169</v>
      </c>
      <c r="AS188" s="15"/>
      <c r="AT188" s="29" t="str">
        <f aca="false">IF(A188="","",IF(COUNTIF(Parcels!$A$2:$A$3000,B188)=0,"Parcel not found",IF(COUNTIF($A$2:$A$3000,A188)&gt;1,"Duplicate perm_id",IF(AND(R188="Yes",D188&lt;&gt;"",COUNTIFS($C$2:$C$3000,D188,$R$2:$R$3000,"Yes")&gt;1),"Reference counted twice",IF(COUNTIF(Lists!$A$2:$A$7,I188)=0,"Unknown status","")))))</f>
        <v/>
      </c>
    </row>
    <row r="189" customFormat="false" ht="15" hidden="false" customHeight="false" outlineLevel="0" collapsed="false">
      <c r="A189" s="15" t="s">
        <v>1953</v>
      </c>
      <c r="B189" s="15" t="s">
        <v>624</v>
      </c>
      <c r="C189" s="15" t="s">
        <v>55</v>
      </c>
      <c r="D189" s="15" t="s">
        <v>1954</v>
      </c>
      <c r="E189" s="15" t="s">
        <v>1954</v>
      </c>
      <c r="F189" s="15" t="s">
        <v>625</v>
      </c>
      <c r="G189" s="15" t="n">
        <v>104</v>
      </c>
      <c r="H189" s="15"/>
      <c r="I189" s="15" t="s">
        <v>1007</v>
      </c>
      <c r="J189" s="15" t="s">
        <v>1008</v>
      </c>
      <c r="K189" s="15" t="s">
        <v>1007</v>
      </c>
      <c r="L189" s="15" t="n">
        <v>0</v>
      </c>
      <c r="M189" s="15" t="n">
        <v>0</v>
      </c>
      <c r="N189" s="15" t="n">
        <v>0</v>
      </c>
      <c r="O189" s="15" t="n">
        <v>0</v>
      </c>
      <c r="P189" s="15"/>
      <c r="Q189" s="15" t="s">
        <v>1009</v>
      </c>
      <c r="R189" s="15" t="s">
        <v>1010</v>
      </c>
      <c r="S189" s="15" t="s">
        <v>1011</v>
      </c>
      <c r="T189" s="15" t="n">
        <v>0</v>
      </c>
      <c r="U189" s="15" t="n">
        <v>51</v>
      </c>
      <c r="V189" s="15" t="n">
        <v>49</v>
      </c>
      <c r="W189" s="15" t="n">
        <v>4</v>
      </c>
      <c r="X189" s="15" t="n">
        <v>0</v>
      </c>
      <c r="Y189" s="15" t="n">
        <v>0</v>
      </c>
      <c r="Z189" s="15" t="s">
        <v>1012</v>
      </c>
      <c r="AA189" s="15" t="s">
        <v>1013</v>
      </c>
      <c r="AB189" s="15" t="s">
        <v>176</v>
      </c>
      <c r="AC189" s="15" t="s">
        <v>1027</v>
      </c>
      <c r="AD189" s="15" t="s">
        <v>1955</v>
      </c>
      <c r="AE189" s="15" t="s">
        <v>1956</v>
      </c>
      <c r="AF189" s="15"/>
      <c r="AG189" s="15" t="s">
        <v>1059</v>
      </c>
      <c r="AH189" s="15" t="s">
        <v>1194</v>
      </c>
      <c r="AI189" s="15" t="s">
        <v>1061</v>
      </c>
      <c r="AJ189" s="15" t="n">
        <v>0</v>
      </c>
      <c r="AK189" s="15" t="n">
        <v>0</v>
      </c>
      <c r="AL189" s="15" t="n">
        <v>70</v>
      </c>
      <c r="AM189" s="15" t="n">
        <v>34</v>
      </c>
      <c r="AN189" s="15" t="n">
        <v>0</v>
      </c>
      <c r="AO189" s="15" t="n">
        <v>0</v>
      </c>
      <c r="AP189" s="15" t="s">
        <v>1325</v>
      </c>
      <c r="AQ189" s="15" t="s">
        <v>1021</v>
      </c>
      <c r="AR189" s="15" t="s">
        <v>169</v>
      </c>
      <c r="AS189" s="15"/>
      <c r="AT189" s="29" t="str">
        <f aca="false">IF(A189="","",IF(COUNTIF(Parcels!$A$2:$A$3000,B189)=0,"Parcel not found",IF(COUNTIF($A$2:$A$3000,A189)&gt;1,"Duplicate perm_id",IF(AND(R189="Yes",D189&lt;&gt;"",COUNTIFS($C$2:$C$3000,D189,$R$2:$R$3000,"Yes")&gt;1),"Reference counted twice",IF(COUNTIF(Lists!$A$2:$A$7,I189)=0,"Unknown status","")))))</f>
        <v/>
      </c>
    </row>
    <row r="190" customFormat="false" ht="15" hidden="false" customHeight="false" outlineLevel="0" collapsed="false">
      <c r="A190" s="15" t="s">
        <v>1957</v>
      </c>
      <c r="B190" s="15" t="s">
        <v>766</v>
      </c>
      <c r="C190" s="15" t="s">
        <v>64</v>
      </c>
      <c r="D190" s="15" t="s">
        <v>1958</v>
      </c>
      <c r="E190" s="15" t="s">
        <v>1958</v>
      </c>
      <c r="F190" s="15" t="s">
        <v>767</v>
      </c>
      <c r="G190" s="15" t="n">
        <v>53</v>
      </c>
      <c r="H190" s="15"/>
      <c r="I190" s="15" t="s">
        <v>1118</v>
      </c>
      <c r="J190" s="15" t="s">
        <v>1008</v>
      </c>
      <c r="K190" s="15" t="s">
        <v>1118</v>
      </c>
      <c r="L190" s="15" t="n">
        <v>0</v>
      </c>
      <c r="M190" s="15" t="n">
        <v>0</v>
      </c>
      <c r="N190" s="15" t="n">
        <v>0</v>
      </c>
      <c r="O190" s="15" t="n">
        <v>0</v>
      </c>
      <c r="P190" s="15"/>
      <c r="Q190" s="15" t="s">
        <v>1009</v>
      </c>
      <c r="R190" s="15" t="s">
        <v>1010</v>
      </c>
      <c r="S190" s="15" t="s">
        <v>1050</v>
      </c>
      <c r="T190" s="15" t="n">
        <v>0</v>
      </c>
      <c r="U190" s="15" t="n">
        <v>0</v>
      </c>
      <c r="V190" s="15" t="n">
        <v>15</v>
      </c>
      <c r="W190" s="15" t="n">
        <v>38</v>
      </c>
      <c r="X190" s="15" t="n">
        <v>0</v>
      </c>
      <c r="Y190" s="15" t="n">
        <v>0</v>
      </c>
      <c r="Z190" s="15" t="s">
        <v>1012</v>
      </c>
      <c r="AA190" s="15" t="s">
        <v>1013</v>
      </c>
      <c r="AB190" s="15" t="s">
        <v>176</v>
      </c>
      <c r="AC190" s="15" t="s">
        <v>1027</v>
      </c>
      <c r="AD190" s="15" t="s">
        <v>1935</v>
      </c>
      <c r="AE190" s="15" t="s">
        <v>1936</v>
      </c>
      <c r="AF190" s="15"/>
      <c r="AG190" s="15"/>
      <c r="AH190" s="15"/>
      <c r="AI190" s="15" t="s">
        <v>1030</v>
      </c>
      <c r="AJ190" s="15" t="n">
        <v>0</v>
      </c>
      <c r="AK190" s="15" t="n">
        <v>0</v>
      </c>
      <c r="AL190" s="15" t="n">
        <v>0</v>
      </c>
      <c r="AM190" s="15" t="n">
        <v>0</v>
      </c>
      <c r="AN190" s="15" t="n">
        <v>0</v>
      </c>
      <c r="AO190" s="15" t="n">
        <v>0</v>
      </c>
      <c r="AP190" s="15" t="s">
        <v>1325</v>
      </c>
      <c r="AQ190" s="15" t="s">
        <v>1021</v>
      </c>
      <c r="AR190" s="15" t="s">
        <v>169</v>
      </c>
      <c r="AS190" s="15"/>
      <c r="AT190" s="29" t="str">
        <f aca="false">IF(A190="","",IF(COUNTIF(Parcels!$A$2:$A$3000,B190)=0,"Parcel not found",IF(COUNTIF($A$2:$A$3000,A190)&gt;1,"Duplicate perm_id",IF(AND(R190="Yes",D190&lt;&gt;"",COUNTIFS($C$2:$C$3000,D190,$R$2:$R$3000,"Yes")&gt;1),"Reference counted twice",IF(COUNTIF(Lists!$A$2:$A$7,I190)=0,"Unknown status","")))))</f>
        <v/>
      </c>
    </row>
    <row r="191" customFormat="false" ht="15" hidden="false" customHeight="false" outlineLevel="0" collapsed="false">
      <c r="A191" s="15" t="s">
        <v>1959</v>
      </c>
      <c r="B191" s="15" t="s">
        <v>642</v>
      </c>
      <c r="C191" s="15" t="s">
        <v>57</v>
      </c>
      <c r="D191" s="15" t="s">
        <v>1960</v>
      </c>
      <c r="E191" s="15" t="s">
        <v>1960</v>
      </c>
      <c r="F191" s="15" t="s">
        <v>643</v>
      </c>
      <c r="G191" s="15" t="n">
        <v>8</v>
      </c>
      <c r="H191" s="15"/>
      <c r="I191" s="15" t="s">
        <v>1007</v>
      </c>
      <c r="J191" s="15" t="s">
        <v>1008</v>
      </c>
      <c r="K191" s="15" t="s">
        <v>1007</v>
      </c>
      <c r="L191" s="15" t="n">
        <v>0</v>
      </c>
      <c r="M191" s="15" t="n">
        <v>0</v>
      </c>
      <c r="N191" s="15" t="n">
        <v>0</v>
      </c>
      <c r="O191" s="15" t="n">
        <v>0</v>
      </c>
      <c r="P191" s="15"/>
      <c r="Q191" s="15" t="s">
        <v>1009</v>
      </c>
      <c r="R191" s="15" t="s">
        <v>1010</v>
      </c>
      <c r="S191" s="15" t="s">
        <v>1026</v>
      </c>
      <c r="T191" s="15"/>
      <c r="U191" s="15"/>
      <c r="V191" s="15"/>
      <c r="W191" s="15"/>
      <c r="X191" s="15"/>
      <c r="Y191" s="15"/>
      <c r="Z191" s="15" t="s">
        <v>1034</v>
      </c>
      <c r="AA191" s="15" t="s">
        <v>1013</v>
      </c>
      <c r="AB191" s="15" t="s">
        <v>176</v>
      </c>
      <c r="AC191" s="15" t="s">
        <v>1027</v>
      </c>
      <c r="AD191" s="15" t="s">
        <v>1158</v>
      </c>
      <c r="AE191" s="15" t="s">
        <v>1961</v>
      </c>
      <c r="AF191" s="15"/>
      <c r="AG191" s="15" t="s">
        <v>1017</v>
      </c>
      <c r="AH191" s="15" t="s">
        <v>1127</v>
      </c>
      <c r="AI191" s="15" t="s">
        <v>1019</v>
      </c>
      <c r="AJ191" s="15" t="n">
        <v>0</v>
      </c>
      <c r="AK191" s="15" t="n">
        <v>0</v>
      </c>
      <c r="AL191" s="15" t="n">
        <v>4</v>
      </c>
      <c r="AM191" s="15" t="n">
        <v>4</v>
      </c>
      <c r="AN191" s="15" t="n">
        <v>0</v>
      </c>
      <c r="AO191" s="15" t="n">
        <v>0</v>
      </c>
      <c r="AP191" s="15" t="s">
        <v>1325</v>
      </c>
      <c r="AQ191" s="15" t="s">
        <v>1021</v>
      </c>
      <c r="AR191" s="15" t="s">
        <v>169</v>
      </c>
      <c r="AS191" s="15"/>
      <c r="AT191" s="29" t="str">
        <f aca="false">IF(A191="","",IF(COUNTIF(Parcels!$A$2:$A$3000,B191)=0,"Parcel not found",IF(COUNTIF($A$2:$A$3000,A191)&gt;1,"Duplicate perm_id",IF(AND(R191="Yes",D191&lt;&gt;"",COUNTIFS($C$2:$C$3000,D191,$R$2:$R$3000,"Yes")&gt;1),"Reference counted twice",IF(COUNTIF(Lists!$A$2:$A$7,I191)=0,"Unknown status","")))))</f>
        <v/>
      </c>
    </row>
    <row r="192" customFormat="false" ht="15" hidden="false" customHeight="false" outlineLevel="0" collapsed="false">
      <c r="A192" s="15" t="s">
        <v>1962</v>
      </c>
      <c r="B192" s="15" t="s">
        <v>768</v>
      </c>
      <c r="C192" s="15" t="s">
        <v>68</v>
      </c>
      <c r="D192" s="15" t="s">
        <v>1963</v>
      </c>
      <c r="E192" s="15" t="s">
        <v>1963</v>
      </c>
      <c r="F192" s="15" t="s">
        <v>769</v>
      </c>
      <c r="G192" s="15" t="n">
        <v>74</v>
      </c>
      <c r="H192" s="15"/>
      <c r="I192" s="15" t="s">
        <v>1007</v>
      </c>
      <c r="J192" s="15" t="s">
        <v>1008</v>
      </c>
      <c r="K192" s="15" t="s">
        <v>1007</v>
      </c>
      <c r="L192" s="15" t="n">
        <v>0</v>
      </c>
      <c r="M192" s="15" t="n">
        <v>0</v>
      </c>
      <c r="N192" s="15" t="n">
        <v>0</v>
      </c>
      <c r="O192" s="15" t="n">
        <v>0</v>
      </c>
      <c r="P192" s="15"/>
      <c r="Q192" s="15" t="s">
        <v>1009</v>
      </c>
      <c r="R192" s="15" t="s">
        <v>1010</v>
      </c>
      <c r="S192" s="15" t="s">
        <v>1050</v>
      </c>
      <c r="T192" s="15" t="n">
        <v>0</v>
      </c>
      <c r="U192" s="15" t="n">
        <v>0</v>
      </c>
      <c r="V192" s="15" t="n">
        <v>6</v>
      </c>
      <c r="W192" s="15" t="n">
        <v>59</v>
      </c>
      <c r="X192" s="15" t="n">
        <v>9</v>
      </c>
      <c r="Y192" s="15" t="n">
        <v>0</v>
      </c>
      <c r="Z192" s="15" t="s">
        <v>1012</v>
      </c>
      <c r="AA192" s="15" t="s">
        <v>1013</v>
      </c>
      <c r="AB192" s="15" t="s">
        <v>176</v>
      </c>
      <c r="AC192" s="15" t="s">
        <v>1027</v>
      </c>
      <c r="AD192" s="15" t="s">
        <v>1964</v>
      </c>
      <c r="AE192" s="15" t="s">
        <v>1965</v>
      </c>
      <c r="AF192" s="15"/>
      <c r="AG192" s="15" t="s">
        <v>1017</v>
      </c>
      <c r="AH192" s="15" t="s">
        <v>1230</v>
      </c>
      <c r="AI192" s="15" t="s">
        <v>1019</v>
      </c>
      <c r="AJ192" s="15" t="n">
        <v>0</v>
      </c>
      <c r="AK192" s="15" t="n">
        <v>0</v>
      </c>
      <c r="AL192" s="15" t="n">
        <v>28.4</v>
      </c>
      <c r="AM192" s="15" t="n">
        <v>45.6</v>
      </c>
      <c r="AN192" s="15" t="n">
        <v>0</v>
      </c>
      <c r="AO192" s="15" t="n">
        <v>0</v>
      </c>
      <c r="AP192" s="15" t="s">
        <v>1325</v>
      </c>
      <c r="AQ192" s="15" t="s">
        <v>1021</v>
      </c>
      <c r="AR192" s="15" t="s">
        <v>169</v>
      </c>
      <c r="AS192" s="15"/>
      <c r="AT192" s="29" t="str">
        <f aca="false">IF(A192="","",IF(COUNTIF(Parcels!$A$2:$A$3000,B192)=0,"Parcel not found",IF(COUNTIF($A$2:$A$3000,A192)&gt;1,"Duplicate perm_id",IF(AND(R192="Yes",D192&lt;&gt;"",COUNTIFS($C$2:$C$3000,D192,$R$2:$R$3000,"Yes")&gt;1),"Reference counted twice",IF(COUNTIF(Lists!$A$2:$A$7,I192)=0,"Unknown status","")))))</f>
        <v/>
      </c>
    </row>
    <row r="193" customFormat="false" ht="15" hidden="false" customHeight="false" outlineLevel="0" collapsed="false">
      <c r="A193" s="15" t="s">
        <v>1966</v>
      </c>
      <c r="B193" s="15" t="s">
        <v>770</v>
      </c>
      <c r="C193" s="15" t="s">
        <v>22</v>
      </c>
      <c r="D193" s="15" t="s">
        <v>1967</v>
      </c>
      <c r="E193" s="15" t="s">
        <v>1967</v>
      </c>
      <c r="F193" s="15" t="s">
        <v>771</v>
      </c>
      <c r="G193" s="15" t="n">
        <v>6</v>
      </c>
      <c r="H193" s="15"/>
      <c r="I193" s="15" t="s">
        <v>48</v>
      </c>
      <c r="J193" s="15" t="s">
        <v>1008</v>
      </c>
      <c r="K193" s="15" t="s">
        <v>48</v>
      </c>
      <c r="L193" s="15" t="n">
        <v>2</v>
      </c>
      <c r="M193" s="15" t="n">
        <v>2</v>
      </c>
      <c r="N193" s="15" t="n">
        <v>4</v>
      </c>
      <c r="O193" s="15" t="n">
        <v>0</v>
      </c>
      <c r="P193" s="15"/>
      <c r="Q193" s="15" t="s">
        <v>1009</v>
      </c>
      <c r="R193" s="15" t="s">
        <v>1010</v>
      </c>
      <c r="S193" s="15" t="s">
        <v>1050</v>
      </c>
      <c r="T193" s="15" t="n">
        <v>0</v>
      </c>
      <c r="U193" s="15" t="n">
        <v>0</v>
      </c>
      <c r="V193" s="15" t="n">
        <v>6</v>
      </c>
      <c r="W193" s="15" t="n">
        <v>0</v>
      </c>
      <c r="X193" s="15" t="n">
        <v>0</v>
      </c>
      <c r="Y193" s="15" t="n">
        <v>0</v>
      </c>
      <c r="Z193" s="15" t="s">
        <v>1143</v>
      </c>
      <c r="AA193" s="15" t="s">
        <v>1013</v>
      </c>
      <c r="AB193" s="15" t="s">
        <v>176</v>
      </c>
      <c r="AC193" s="15" t="s">
        <v>1027</v>
      </c>
      <c r="AD193" s="15" t="s">
        <v>1968</v>
      </c>
      <c r="AE193" s="15" t="s">
        <v>1969</v>
      </c>
      <c r="AF193" s="15" t="s">
        <v>1970</v>
      </c>
      <c r="AG193" s="15" t="s">
        <v>1147</v>
      </c>
      <c r="AH193" s="15" t="s">
        <v>1041</v>
      </c>
      <c r="AI193" s="15" t="s">
        <v>1042</v>
      </c>
      <c r="AJ193" s="15" t="n">
        <v>1.4</v>
      </c>
      <c r="AK193" s="15" t="n">
        <v>4.6</v>
      </c>
      <c r="AL193" s="15" t="n">
        <v>0</v>
      </c>
      <c r="AM193" s="15" t="n">
        <v>0</v>
      </c>
      <c r="AN193" s="15" t="n">
        <v>0</v>
      </c>
      <c r="AO193" s="15" t="n">
        <v>0</v>
      </c>
      <c r="AP193" s="15" t="s">
        <v>1325</v>
      </c>
      <c r="AQ193" s="15" t="s">
        <v>1021</v>
      </c>
      <c r="AR193" s="15" t="s">
        <v>169</v>
      </c>
      <c r="AS193" s="15"/>
      <c r="AT193" s="29" t="str">
        <f aca="false">IF(A193="","",IF(COUNTIF(Parcels!$A$2:$A$3000,B193)=0,"Parcel not found",IF(COUNTIF($A$2:$A$3000,A193)&gt;1,"Duplicate perm_id",IF(AND(R193="Yes",D193&lt;&gt;"",COUNTIFS($C$2:$C$3000,D193,$R$2:$R$3000,"Yes")&gt;1),"Reference counted twice",IF(COUNTIF(Lists!$A$2:$A$7,I193)=0,"Unknown status","")))))</f>
        <v/>
      </c>
    </row>
    <row r="194" customFormat="false" ht="15" hidden="false" customHeight="false" outlineLevel="0" collapsed="false">
      <c r="A194" s="15" t="s">
        <v>1971</v>
      </c>
      <c r="B194" s="15" t="s">
        <v>772</v>
      </c>
      <c r="C194" s="15" t="s">
        <v>64</v>
      </c>
      <c r="D194" s="15" t="s">
        <v>1972</v>
      </c>
      <c r="E194" s="15" t="s">
        <v>1972</v>
      </c>
      <c r="F194" s="15" t="s">
        <v>773</v>
      </c>
      <c r="G194" s="15" t="n">
        <v>14</v>
      </c>
      <c r="H194" s="15"/>
      <c r="I194" s="15" t="s">
        <v>1007</v>
      </c>
      <c r="J194" s="15" t="s">
        <v>1008</v>
      </c>
      <c r="K194" s="15" t="s">
        <v>1007</v>
      </c>
      <c r="L194" s="15" t="n">
        <v>0</v>
      </c>
      <c r="M194" s="15" t="n">
        <v>0</v>
      </c>
      <c r="N194" s="15" t="n">
        <v>0</v>
      </c>
      <c r="O194" s="15" t="n">
        <v>0</v>
      </c>
      <c r="P194" s="15"/>
      <c r="Q194" s="15" t="s">
        <v>1009</v>
      </c>
      <c r="R194" s="15" t="s">
        <v>1010</v>
      </c>
      <c r="S194" s="15" t="s">
        <v>1026</v>
      </c>
      <c r="T194" s="15"/>
      <c r="U194" s="15"/>
      <c r="V194" s="15"/>
      <c r="W194" s="15"/>
      <c r="X194" s="15"/>
      <c r="Y194" s="15"/>
      <c r="Z194" s="15" t="s">
        <v>1012</v>
      </c>
      <c r="AA194" s="15" t="s">
        <v>1013</v>
      </c>
      <c r="AB194" s="15" t="s">
        <v>176</v>
      </c>
      <c r="AC194" s="15" t="s">
        <v>1027</v>
      </c>
      <c r="AD194" s="15" t="s">
        <v>1973</v>
      </c>
      <c r="AE194" s="15" t="s">
        <v>1974</v>
      </c>
      <c r="AF194" s="15"/>
      <c r="AG194" s="15" t="s">
        <v>1017</v>
      </c>
      <c r="AH194" s="15" t="s">
        <v>1194</v>
      </c>
      <c r="AI194" s="15" t="s">
        <v>1019</v>
      </c>
      <c r="AJ194" s="15" t="n">
        <v>0</v>
      </c>
      <c r="AK194" s="15" t="n">
        <v>0</v>
      </c>
      <c r="AL194" s="15" t="n">
        <v>8.2</v>
      </c>
      <c r="AM194" s="15" t="n">
        <v>5.8</v>
      </c>
      <c r="AN194" s="15" t="n">
        <v>0</v>
      </c>
      <c r="AO194" s="15" t="n">
        <v>0</v>
      </c>
      <c r="AP194" s="15" t="s">
        <v>1325</v>
      </c>
      <c r="AQ194" s="15" t="s">
        <v>1021</v>
      </c>
      <c r="AR194" s="15" t="s">
        <v>169</v>
      </c>
      <c r="AS194" s="15"/>
      <c r="AT194" s="29" t="str">
        <f aca="false">IF(A194="","",IF(COUNTIF(Parcels!$A$2:$A$3000,B194)=0,"Parcel not found",IF(COUNTIF($A$2:$A$3000,A194)&gt;1,"Duplicate perm_id",IF(AND(R194="Yes",D194&lt;&gt;"",COUNTIFS($C$2:$C$3000,D194,$R$2:$R$3000,"Yes")&gt;1),"Reference counted twice",IF(COUNTIF(Lists!$A$2:$A$7,I194)=0,"Unknown status","")))))</f>
        <v/>
      </c>
    </row>
    <row r="195" customFormat="false" ht="15" hidden="false" customHeight="false" outlineLevel="0" collapsed="false">
      <c r="A195" s="15" t="s">
        <v>1975</v>
      </c>
      <c r="B195" s="15" t="s">
        <v>519</v>
      </c>
      <c r="C195" s="15" t="s">
        <v>52</v>
      </c>
      <c r="D195" s="15" t="s">
        <v>1976</v>
      </c>
      <c r="E195" s="15" t="s">
        <v>1976</v>
      </c>
      <c r="F195" s="15" t="s">
        <v>520</v>
      </c>
      <c r="G195" s="15" t="n">
        <v>122</v>
      </c>
      <c r="H195" s="15"/>
      <c r="I195" s="15" t="s">
        <v>48</v>
      </c>
      <c r="J195" s="15" t="s">
        <v>1008</v>
      </c>
      <c r="K195" s="15" t="s">
        <v>48</v>
      </c>
      <c r="L195" s="15" t="n">
        <v>0</v>
      </c>
      <c r="M195" s="15" t="n">
        <v>0</v>
      </c>
      <c r="N195" s="15" t="n">
        <v>56</v>
      </c>
      <c r="O195" s="15" t="n">
        <v>0</v>
      </c>
      <c r="P195" s="15"/>
      <c r="Q195" s="15" t="s">
        <v>1009</v>
      </c>
      <c r="R195" s="15" t="s">
        <v>1010</v>
      </c>
      <c r="S195" s="15" t="s">
        <v>1011</v>
      </c>
      <c r="T195" s="15" t="n">
        <v>0</v>
      </c>
      <c r="U195" s="15" t="n">
        <v>29</v>
      </c>
      <c r="V195" s="15" t="n">
        <v>26</v>
      </c>
      <c r="W195" s="15" t="n">
        <v>61</v>
      </c>
      <c r="X195" s="15" t="n">
        <v>6</v>
      </c>
      <c r="Y195" s="15" t="n">
        <v>0</v>
      </c>
      <c r="Z195" s="15" t="s">
        <v>1012</v>
      </c>
      <c r="AA195" s="15" t="s">
        <v>1013</v>
      </c>
      <c r="AB195" s="15" t="s">
        <v>176</v>
      </c>
      <c r="AC195" s="15" t="s">
        <v>1092</v>
      </c>
      <c r="AD195" s="15" t="s">
        <v>1977</v>
      </c>
      <c r="AE195" s="15" t="s">
        <v>1978</v>
      </c>
      <c r="AF195" s="15" t="s">
        <v>1979</v>
      </c>
      <c r="AG195" s="15" t="s">
        <v>1188</v>
      </c>
      <c r="AH195" s="15" t="s">
        <v>1041</v>
      </c>
      <c r="AI195" s="15" t="s">
        <v>1042</v>
      </c>
      <c r="AJ195" s="15" t="n">
        <v>28.4</v>
      </c>
      <c r="AK195" s="15" t="n">
        <v>93.6</v>
      </c>
      <c r="AL195" s="15" t="n">
        <v>0</v>
      </c>
      <c r="AM195" s="15" t="n">
        <v>0</v>
      </c>
      <c r="AN195" s="15" t="n">
        <v>0</v>
      </c>
      <c r="AO195" s="15" t="n">
        <v>0</v>
      </c>
      <c r="AP195" s="15" t="s">
        <v>1325</v>
      </c>
      <c r="AQ195" s="15" t="s">
        <v>1021</v>
      </c>
      <c r="AR195" s="15" t="s">
        <v>169</v>
      </c>
      <c r="AS195" s="15"/>
      <c r="AT195" s="29" t="str">
        <f aca="false">IF(A195="","",IF(COUNTIF(Parcels!$A$2:$A$3000,B195)=0,"Parcel not found",IF(COUNTIF($A$2:$A$3000,A195)&gt;1,"Duplicate perm_id",IF(AND(R195="Yes",D195&lt;&gt;"",COUNTIFS($C$2:$C$3000,D195,$R$2:$R$3000,"Yes")&gt;1),"Reference counted twice",IF(COUNTIF(Lists!$A$2:$A$7,I195)=0,"Unknown status","")))))</f>
        <v/>
      </c>
    </row>
    <row r="196" customFormat="false" ht="15" hidden="false" customHeight="false" outlineLevel="0" collapsed="false">
      <c r="A196" s="15" t="s">
        <v>1980</v>
      </c>
      <c r="B196" s="15" t="s">
        <v>774</v>
      </c>
      <c r="C196" s="15" t="s">
        <v>62</v>
      </c>
      <c r="D196" s="15" t="s">
        <v>1981</v>
      </c>
      <c r="E196" s="15" t="s">
        <v>1981</v>
      </c>
      <c r="F196" s="15" t="s">
        <v>775</v>
      </c>
      <c r="G196" s="15" t="n">
        <v>74</v>
      </c>
      <c r="H196" s="15"/>
      <c r="I196" s="15" t="s">
        <v>48</v>
      </c>
      <c r="J196" s="15" t="s">
        <v>1008</v>
      </c>
      <c r="K196" s="15" t="s">
        <v>48</v>
      </c>
      <c r="L196" s="15" t="n">
        <v>0</v>
      </c>
      <c r="M196" s="15" t="n">
        <v>0</v>
      </c>
      <c r="N196" s="15" t="n">
        <v>28</v>
      </c>
      <c r="O196" s="15" t="n">
        <v>0</v>
      </c>
      <c r="P196" s="15"/>
      <c r="Q196" s="15" t="s">
        <v>1009</v>
      </c>
      <c r="R196" s="15" t="s">
        <v>1010</v>
      </c>
      <c r="S196" s="15" t="s">
        <v>1050</v>
      </c>
      <c r="T196" s="15" t="n">
        <v>0</v>
      </c>
      <c r="U196" s="15" t="n">
        <v>0</v>
      </c>
      <c r="V196" s="15" t="n">
        <v>12</v>
      </c>
      <c r="W196" s="15" t="n">
        <v>30</v>
      </c>
      <c r="X196" s="15" t="n">
        <v>32</v>
      </c>
      <c r="Y196" s="15" t="n">
        <v>0</v>
      </c>
      <c r="Z196" s="15" t="s">
        <v>1012</v>
      </c>
      <c r="AA196" s="15" t="s">
        <v>1013</v>
      </c>
      <c r="AB196" s="15" t="s">
        <v>176</v>
      </c>
      <c r="AC196" s="15" t="s">
        <v>1027</v>
      </c>
      <c r="AD196" s="15" t="s">
        <v>1982</v>
      </c>
      <c r="AE196" s="15" t="s">
        <v>1983</v>
      </c>
      <c r="AF196" s="15" t="s">
        <v>1291</v>
      </c>
      <c r="AG196" s="15" t="s">
        <v>1292</v>
      </c>
      <c r="AH196" s="15" t="s">
        <v>1041</v>
      </c>
      <c r="AI196" s="15" t="s">
        <v>1042</v>
      </c>
      <c r="AJ196" s="15" t="n">
        <v>17.2</v>
      </c>
      <c r="AK196" s="15" t="n">
        <v>56.8</v>
      </c>
      <c r="AL196" s="15" t="n">
        <v>0</v>
      </c>
      <c r="AM196" s="15" t="n">
        <v>0</v>
      </c>
      <c r="AN196" s="15" t="n">
        <v>0</v>
      </c>
      <c r="AO196" s="15" t="n">
        <v>0</v>
      </c>
      <c r="AP196" s="15" t="s">
        <v>1325</v>
      </c>
      <c r="AQ196" s="15" t="s">
        <v>1021</v>
      </c>
      <c r="AR196" s="15" t="s">
        <v>169</v>
      </c>
      <c r="AS196" s="15"/>
      <c r="AT196" s="29" t="str">
        <f aca="false">IF(A196="","",IF(COUNTIF(Parcels!$A$2:$A$3000,B196)=0,"Parcel not found",IF(COUNTIF($A$2:$A$3000,A196)&gt;1,"Duplicate perm_id",IF(AND(R196="Yes",D196&lt;&gt;"",COUNTIFS($C$2:$C$3000,D196,$R$2:$R$3000,"Yes")&gt;1),"Reference counted twice",IF(COUNTIF(Lists!$A$2:$A$7,I196)=0,"Unknown status","")))))</f>
        <v/>
      </c>
    </row>
    <row r="197" customFormat="false" ht="15" hidden="false" customHeight="false" outlineLevel="0" collapsed="false">
      <c r="A197" s="15" t="s">
        <v>1984</v>
      </c>
      <c r="B197" s="15" t="s">
        <v>776</v>
      </c>
      <c r="C197" s="15" t="s">
        <v>70</v>
      </c>
      <c r="D197" s="15" t="s">
        <v>1985</v>
      </c>
      <c r="E197" s="15" t="s">
        <v>1985</v>
      </c>
      <c r="F197" s="15" t="s">
        <v>777</v>
      </c>
      <c r="G197" s="15" t="n">
        <v>10</v>
      </c>
      <c r="H197" s="15"/>
      <c r="I197" s="15" t="s">
        <v>1007</v>
      </c>
      <c r="J197" s="15" t="s">
        <v>1008</v>
      </c>
      <c r="K197" s="15" t="s">
        <v>1007</v>
      </c>
      <c r="L197" s="15" t="n">
        <v>0</v>
      </c>
      <c r="M197" s="15" t="n">
        <v>0</v>
      </c>
      <c r="N197" s="15" t="n">
        <v>0</v>
      </c>
      <c r="O197" s="15" t="n">
        <v>0</v>
      </c>
      <c r="P197" s="15"/>
      <c r="Q197" s="15" t="s">
        <v>1009</v>
      </c>
      <c r="R197" s="15" t="s">
        <v>1010</v>
      </c>
      <c r="S197" s="15" t="s">
        <v>1346</v>
      </c>
      <c r="T197" s="15"/>
      <c r="U197" s="15"/>
      <c r="V197" s="15"/>
      <c r="W197" s="15"/>
      <c r="X197" s="15"/>
      <c r="Y197" s="15"/>
      <c r="Z197" s="15" t="s">
        <v>1012</v>
      </c>
      <c r="AA197" s="15" t="s">
        <v>1013</v>
      </c>
      <c r="AB197" s="15" t="s">
        <v>176</v>
      </c>
      <c r="AC197" s="15" t="s">
        <v>1027</v>
      </c>
      <c r="AD197" s="15" t="s">
        <v>1986</v>
      </c>
      <c r="AE197" s="15" t="s">
        <v>1987</v>
      </c>
      <c r="AF197" s="15"/>
      <c r="AG197" s="15" t="s">
        <v>1017</v>
      </c>
      <c r="AH197" s="15" t="s">
        <v>1194</v>
      </c>
      <c r="AI197" s="15" t="s">
        <v>1019</v>
      </c>
      <c r="AJ197" s="15" t="n">
        <v>0</v>
      </c>
      <c r="AK197" s="15" t="n">
        <v>0</v>
      </c>
      <c r="AL197" s="15" t="n">
        <v>5.9</v>
      </c>
      <c r="AM197" s="15" t="n">
        <v>4.1</v>
      </c>
      <c r="AN197" s="15" t="n">
        <v>0</v>
      </c>
      <c r="AO197" s="15" t="n">
        <v>0</v>
      </c>
      <c r="AP197" s="15" t="s">
        <v>1325</v>
      </c>
      <c r="AQ197" s="15" t="s">
        <v>1670</v>
      </c>
      <c r="AR197" s="15" t="s">
        <v>169</v>
      </c>
      <c r="AS197" s="15"/>
      <c r="AT197" s="29" t="str">
        <f aca="false">IF(A197="","",IF(COUNTIF(Parcels!$A$2:$A$3000,B197)=0,"Parcel not found",IF(COUNTIF($A$2:$A$3000,A197)&gt;1,"Duplicate perm_id",IF(AND(R197="Yes",D197&lt;&gt;"",COUNTIFS($C$2:$C$3000,D197,$R$2:$R$3000,"Yes")&gt;1),"Reference counted twice",IF(COUNTIF(Lists!$A$2:$A$7,I197)=0,"Unknown status","")))))</f>
        <v/>
      </c>
    </row>
    <row r="198" customFormat="false" ht="15" hidden="false" customHeight="false" outlineLevel="0" collapsed="false">
      <c r="A198" s="15" t="s">
        <v>1988</v>
      </c>
      <c r="B198" s="15" t="s">
        <v>778</v>
      </c>
      <c r="C198" s="15" t="s">
        <v>22</v>
      </c>
      <c r="D198" s="15" t="s">
        <v>1989</v>
      </c>
      <c r="E198" s="15" t="s">
        <v>1989</v>
      </c>
      <c r="F198" s="15" t="s">
        <v>779</v>
      </c>
      <c r="G198" s="15" t="n">
        <v>30</v>
      </c>
      <c r="H198" s="15"/>
      <c r="I198" s="15" t="s">
        <v>48</v>
      </c>
      <c r="J198" s="15" t="s">
        <v>1008</v>
      </c>
      <c r="K198" s="15" t="s">
        <v>48</v>
      </c>
      <c r="L198" s="15" t="n">
        <v>0</v>
      </c>
      <c r="M198" s="15" t="n">
        <v>0</v>
      </c>
      <c r="N198" s="15" t="n">
        <v>0</v>
      </c>
      <c r="O198" s="15" t="n">
        <v>0</v>
      </c>
      <c r="P198" s="15"/>
      <c r="Q198" s="15" t="s">
        <v>1009</v>
      </c>
      <c r="R198" s="15" t="s">
        <v>1010</v>
      </c>
      <c r="S198" s="15" t="s">
        <v>1050</v>
      </c>
      <c r="T198" s="15" t="n">
        <v>0</v>
      </c>
      <c r="U198" s="15" t="n">
        <v>0</v>
      </c>
      <c r="V198" s="15" t="n">
        <v>0</v>
      </c>
      <c r="W198" s="15" t="n">
        <v>30</v>
      </c>
      <c r="X198" s="15" t="n">
        <v>0</v>
      </c>
      <c r="Y198" s="15" t="n">
        <v>0</v>
      </c>
      <c r="Z198" s="15" t="s">
        <v>1012</v>
      </c>
      <c r="AA198" s="15" t="s">
        <v>1013</v>
      </c>
      <c r="AB198" s="15" t="s">
        <v>176</v>
      </c>
      <c r="AC198" s="15" t="s">
        <v>1027</v>
      </c>
      <c r="AD198" s="15" t="s">
        <v>1990</v>
      </c>
      <c r="AE198" s="15" t="s">
        <v>1991</v>
      </c>
      <c r="AF198" s="15" t="s">
        <v>1992</v>
      </c>
      <c r="AG198" s="15" t="s">
        <v>1324</v>
      </c>
      <c r="AH198" s="15" t="s">
        <v>1041</v>
      </c>
      <c r="AI198" s="15" t="s">
        <v>1042</v>
      </c>
      <c r="AJ198" s="15" t="n">
        <v>7</v>
      </c>
      <c r="AK198" s="15" t="n">
        <v>23</v>
      </c>
      <c r="AL198" s="15" t="n">
        <v>0</v>
      </c>
      <c r="AM198" s="15" t="n">
        <v>0</v>
      </c>
      <c r="AN198" s="15" t="n">
        <v>0</v>
      </c>
      <c r="AO198" s="15" t="n">
        <v>0</v>
      </c>
      <c r="AP198" s="15" t="s">
        <v>1325</v>
      </c>
      <c r="AQ198" s="15" t="s">
        <v>1021</v>
      </c>
      <c r="AR198" s="15" t="s">
        <v>169</v>
      </c>
      <c r="AS198" s="15"/>
      <c r="AT198" s="29" t="str">
        <f aca="false">IF(A198="","",IF(COUNTIF(Parcels!$A$2:$A$3000,B198)=0,"Parcel not found",IF(COUNTIF($A$2:$A$3000,A198)&gt;1,"Duplicate perm_id",IF(AND(R198="Yes",D198&lt;&gt;"",COUNTIFS($C$2:$C$3000,D198,$R$2:$R$3000,"Yes")&gt;1),"Reference counted twice",IF(COUNTIF(Lists!$A$2:$A$7,I198)=0,"Unknown status","")))))</f>
        <v/>
      </c>
    </row>
    <row r="199" customFormat="false" ht="15" hidden="false" customHeight="false" outlineLevel="0" collapsed="false">
      <c r="A199" s="15" t="s">
        <v>1993</v>
      </c>
      <c r="B199" s="15" t="s">
        <v>565</v>
      </c>
      <c r="C199" s="15" t="s">
        <v>53</v>
      </c>
      <c r="D199" s="15" t="s">
        <v>1994</v>
      </c>
      <c r="E199" s="15" t="s">
        <v>1994</v>
      </c>
      <c r="F199" s="15" t="s">
        <v>566</v>
      </c>
      <c r="G199" s="15" t="n">
        <v>3</v>
      </c>
      <c r="H199" s="15"/>
      <c r="I199" s="15" t="s">
        <v>48</v>
      </c>
      <c r="J199" s="15" t="s">
        <v>1008</v>
      </c>
      <c r="K199" s="15" t="s">
        <v>48</v>
      </c>
      <c r="L199" s="15" t="n">
        <v>0</v>
      </c>
      <c r="M199" s="15" t="n">
        <v>0</v>
      </c>
      <c r="N199" s="15" t="n">
        <v>0</v>
      </c>
      <c r="O199" s="15" t="n">
        <v>0</v>
      </c>
      <c r="P199" s="15"/>
      <c r="Q199" s="15" t="s">
        <v>1009</v>
      </c>
      <c r="R199" s="15" t="s">
        <v>1010</v>
      </c>
      <c r="S199" s="15" t="s">
        <v>1026</v>
      </c>
      <c r="T199" s="15"/>
      <c r="U199" s="15"/>
      <c r="V199" s="15"/>
      <c r="W199" s="15"/>
      <c r="X199" s="15"/>
      <c r="Y199" s="15"/>
      <c r="Z199" s="15" t="s">
        <v>1012</v>
      </c>
      <c r="AA199" s="15" t="s">
        <v>1013</v>
      </c>
      <c r="AB199" s="15" t="s">
        <v>176</v>
      </c>
      <c r="AC199" s="15" t="s">
        <v>1027</v>
      </c>
      <c r="AD199" s="15" t="s">
        <v>1066</v>
      </c>
      <c r="AE199" s="15" t="s">
        <v>1067</v>
      </c>
      <c r="AF199" s="15" t="s">
        <v>1995</v>
      </c>
      <c r="AG199" s="15" t="s">
        <v>1188</v>
      </c>
      <c r="AH199" s="15" t="s">
        <v>1041</v>
      </c>
      <c r="AI199" s="15" t="s">
        <v>1042</v>
      </c>
      <c r="AJ199" s="15" t="n">
        <v>0.7</v>
      </c>
      <c r="AK199" s="15" t="n">
        <v>2.3</v>
      </c>
      <c r="AL199" s="15" t="n">
        <v>0</v>
      </c>
      <c r="AM199" s="15" t="n">
        <v>0</v>
      </c>
      <c r="AN199" s="15" t="n">
        <v>0</v>
      </c>
      <c r="AO199" s="15" t="n">
        <v>0</v>
      </c>
      <c r="AP199" s="15" t="s">
        <v>1325</v>
      </c>
      <c r="AQ199" s="15" t="s">
        <v>1021</v>
      </c>
      <c r="AR199" s="15" t="s">
        <v>169</v>
      </c>
      <c r="AS199" s="15"/>
      <c r="AT199" s="29" t="str">
        <f aca="false">IF(A199="","",IF(COUNTIF(Parcels!$A$2:$A$3000,B199)=0,"Parcel not found",IF(COUNTIF($A$2:$A$3000,A199)&gt;1,"Duplicate perm_id",IF(AND(R199="Yes",D199&lt;&gt;"",COUNTIFS($C$2:$C$3000,D199,$R$2:$R$3000,"Yes")&gt;1),"Reference counted twice",IF(COUNTIF(Lists!$A$2:$A$7,I199)=0,"Unknown status","")))))</f>
        <v/>
      </c>
    </row>
    <row r="200" customFormat="false" ht="15" hidden="false" customHeight="false" outlineLevel="0" collapsed="false">
      <c r="A200" s="15" t="s">
        <v>1996</v>
      </c>
      <c r="B200" s="15" t="s">
        <v>567</v>
      </c>
      <c r="C200" s="15" t="s">
        <v>53</v>
      </c>
      <c r="D200" s="15" t="s">
        <v>1997</v>
      </c>
      <c r="E200" s="15" t="s">
        <v>1997</v>
      </c>
      <c r="F200" s="15" t="s">
        <v>568</v>
      </c>
      <c r="G200" s="15" t="n">
        <v>8</v>
      </c>
      <c r="H200" s="15"/>
      <c r="I200" s="15" t="s">
        <v>48</v>
      </c>
      <c r="J200" s="15" t="s">
        <v>1008</v>
      </c>
      <c r="K200" s="15" t="s">
        <v>48</v>
      </c>
      <c r="L200" s="15" t="n">
        <v>0</v>
      </c>
      <c r="M200" s="15" t="n">
        <v>0</v>
      </c>
      <c r="N200" s="15" t="n">
        <v>0</v>
      </c>
      <c r="O200" s="15" t="n">
        <v>0</v>
      </c>
      <c r="P200" s="15"/>
      <c r="Q200" s="15" t="s">
        <v>1009</v>
      </c>
      <c r="R200" s="15" t="s">
        <v>1010</v>
      </c>
      <c r="S200" s="15" t="s">
        <v>1050</v>
      </c>
      <c r="T200" s="15" t="n">
        <v>0</v>
      </c>
      <c r="U200" s="15" t="n">
        <v>7</v>
      </c>
      <c r="V200" s="15" t="n">
        <v>1</v>
      </c>
      <c r="W200" s="15" t="n">
        <v>0</v>
      </c>
      <c r="X200" s="15" t="n">
        <v>0</v>
      </c>
      <c r="Y200" s="15" t="n">
        <v>0</v>
      </c>
      <c r="Z200" s="15" t="s">
        <v>1034</v>
      </c>
      <c r="AA200" s="15" t="s">
        <v>1013</v>
      </c>
      <c r="AB200" s="15" t="s">
        <v>176</v>
      </c>
      <c r="AC200" s="15" t="s">
        <v>1027</v>
      </c>
      <c r="AD200" s="15" t="s">
        <v>1998</v>
      </c>
      <c r="AE200" s="15" t="s">
        <v>1999</v>
      </c>
      <c r="AF200" s="15" t="s">
        <v>2000</v>
      </c>
      <c r="AG200" s="15" t="s">
        <v>1811</v>
      </c>
      <c r="AH200" s="15" t="s">
        <v>1041</v>
      </c>
      <c r="AI200" s="15" t="s">
        <v>1042</v>
      </c>
      <c r="AJ200" s="15" t="n">
        <v>1.9</v>
      </c>
      <c r="AK200" s="15" t="n">
        <v>6.1</v>
      </c>
      <c r="AL200" s="15" t="n">
        <v>0</v>
      </c>
      <c r="AM200" s="15" t="n">
        <v>0</v>
      </c>
      <c r="AN200" s="15" t="n">
        <v>0</v>
      </c>
      <c r="AO200" s="15" t="n">
        <v>0</v>
      </c>
      <c r="AP200" s="15" t="s">
        <v>1325</v>
      </c>
      <c r="AQ200" s="15" t="s">
        <v>1021</v>
      </c>
      <c r="AR200" s="15" t="s">
        <v>169</v>
      </c>
      <c r="AS200" s="15"/>
      <c r="AT200" s="29" t="str">
        <f aca="false">IF(A200="","",IF(COUNTIF(Parcels!$A$2:$A$3000,B200)=0,"Parcel not found",IF(COUNTIF($A$2:$A$3000,A200)&gt;1,"Duplicate perm_id",IF(AND(R200="Yes",D200&lt;&gt;"",COUNTIFS($C$2:$C$3000,D200,$R$2:$R$3000,"Yes")&gt;1),"Reference counted twice",IF(COUNTIF(Lists!$A$2:$A$7,I200)=0,"Unknown status","")))))</f>
        <v/>
      </c>
    </row>
    <row r="201" customFormat="false" ht="15" hidden="false" customHeight="false" outlineLevel="0" collapsed="false">
      <c r="A201" s="15" t="s">
        <v>2001</v>
      </c>
      <c r="B201" s="15" t="s">
        <v>780</v>
      </c>
      <c r="C201" s="15" t="s">
        <v>22</v>
      </c>
      <c r="D201" s="15" t="s">
        <v>2002</v>
      </c>
      <c r="E201" s="15" t="s">
        <v>2002</v>
      </c>
      <c r="F201" s="15" t="s">
        <v>781</v>
      </c>
      <c r="G201" s="15" t="n">
        <v>7</v>
      </c>
      <c r="H201" s="15"/>
      <c r="I201" s="15" t="s">
        <v>1007</v>
      </c>
      <c r="J201" s="15" t="s">
        <v>1008</v>
      </c>
      <c r="K201" s="15" t="s">
        <v>1007</v>
      </c>
      <c r="L201" s="15" t="n">
        <v>0</v>
      </c>
      <c r="M201" s="15" t="n">
        <v>0</v>
      </c>
      <c r="N201" s="15" t="n">
        <v>0</v>
      </c>
      <c r="O201" s="15" t="n">
        <v>0</v>
      </c>
      <c r="P201" s="15"/>
      <c r="Q201" s="15" t="s">
        <v>1009</v>
      </c>
      <c r="R201" s="15" t="s">
        <v>1010</v>
      </c>
      <c r="S201" s="15" t="s">
        <v>1050</v>
      </c>
      <c r="T201" s="15" t="n">
        <v>0</v>
      </c>
      <c r="U201" s="15" t="n">
        <v>3</v>
      </c>
      <c r="V201" s="15" t="n">
        <v>4</v>
      </c>
      <c r="W201" s="15" t="n">
        <v>0</v>
      </c>
      <c r="X201" s="15" t="n">
        <v>0</v>
      </c>
      <c r="Y201" s="15" t="n">
        <v>0</v>
      </c>
      <c r="Z201" s="15" t="s">
        <v>1034</v>
      </c>
      <c r="AA201" s="15" t="s">
        <v>1035</v>
      </c>
      <c r="AB201" s="15" t="s">
        <v>1065</v>
      </c>
      <c r="AC201" s="15" t="s">
        <v>1027</v>
      </c>
      <c r="AD201" s="15" t="s">
        <v>2003</v>
      </c>
      <c r="AE201" s="15" t="s">
        <v>2004</v>
      </c>
      <c r="AF201" s="15"/>
      <c r="AG201" s="15" t="s">
        <v>1059</v>
      </c>
      <c r="AH201" s="15" t="s">
        <v>1060</v>
      </c>
      <c r="AI201" s="15" t="s">
        <v>1061</v>
      </c>
      <c r="AJ201" s="15" t="n">
        <v>0</v>
      </c>
      <c r="AK201" s="15" t="n">
        <v>0</v>
      </c>
      <c r="AL201" s="15" t="n">
        <v>6.1</v>
      </c>
      <c r="AM201" s="15" t="n">
        <v>0.9</v>
      </c>
      <c r="AN201" s="15" t="n">
        <v>0</v>
      </c>
      <c r="AO201" s="15" t="n">
        <v>0</v>
      </c>
      <c r="AP201" s="15" t="s">
        <v>1325</v>
      </c>
      <c r="AQ201" s="15" t="s">
        <v>1021</v>
      </c>
      <c r="AR201" s="15" t="s">
        <v>169</v>
      </c>
      <c r="AS201" s="15"/>
      <c r="AT201" s="29" t="str">
        <f aca="false">IF(A201="","",IF(COUNTIF(Parcels!$A$2:$A$3000,B201)=0,"Parcel not found",IF(COUNTIF($A$2:$A$3000,A201)&gt;1,"Duplicate perm_id",IF(AND(R201="Yes",D201&lt;&gt;"",COUNTIFS($C$2:$C$3000,D201,$R$2:$R$3000,"Yes")&gt;1),"Reference counted twice",IF(COUNTIF(Lists!$A$2:$A$7,I201)=0,"Unknown status","")))))</f>
        <v/>
      </c>
    </row>
    <row r="202" customFormat="false" ht="15" hidden="false" customHeight="false" outlineLevel="0" collapsed="false">
      <c r="A202" s="15" t="s">
        <v>2005</v>
      </c>
      <c r="B202" s="15" t="s">
        <v>569</v>
      </c>
      <c r="C202" s="15" t="s">
        <v>53</v>
      </c>
      <c r="D202" s="15" t="s">
        <v>2006</v>
      </c>
      <c r="E202" s="15" t="s">
        <v>2006</v>
      </c>
      <c r="F202" s="15" t="s">
        <v>570</v>
      </c>
      <c r="G202" s="15" t="n">
        <v>8</v>
      </c>
      <c r="H202" s="15"/>
      <c r="I202" s="15" t="s">
        <v>1007</v>
      </c>
      <c r="J202" s="15" t="s">
        <v>1008</v>
      </c>
      <c r="K202" s="15" t="s">
        <v>1007</v>
      </c>
      <c r="L202" s="15" t="n">
        <v>0</v>
      </c>
      <c r="M202" s="15" t="n">
        <v>0</v>
      </c>
      <c r="N202" s="15" t="n">
        <v>0</v>
      </c>
      <c r="O202" s="15" t="n">
        <v>0</v>
      </c>
      <c r="P202" s="15"/>
      <c r="Q202" s="15" t="s">
        <v>1009</v>
      </c>
      <c r="R202" s="15" t="s">
        <v>1010</v>
      </c>
      <c r="S202" s="15" t="s">
        <v>1026</v>
      </c>
      <c r="T202" s="15"/>
      <c r="U202" s="15"/>
      <c r="V202" s="15"/>
      <c r="W202" s="15"/>
      <c r="X202" s="15"/>
      <c r="Y202" s="15"/>
      <c r="Z202" s="15" t="s">
        <v>1034</v>
      </c>
      <c r="AA202" s="15" t="s">
        <v>1013</v>
      </c>
      <c r="AB202" s="15" t="s">
        <v>176</v>
      </c>
      <c r="AC202" s="15" t="s">
        <v>1027</v>
      </c>
      <c r="AD202" s="15" t="s">
        <v>1158</v>
      </c>
      <c r="AE202" s="15" t="s">
        <v>1961</v>
      </c>
      <c r="AF202" s="15"/>
      <c r="AG202" s="15" t="s">
        <v>1017</v>
      </c>
      <c r="AH202" s="15" t="s">
        <v>1127</v>
      </c>
      <c r="AI202" s="15" t="s">
        <v>1019</v>
      </c>
      <c r="AJ202" s="15" t="n">
        <v>0</v>
      </c>
      <c r="AK202" s="15" t="n">
        <v>0</v>
      </c>
      <c r="AL202" s="15" t="n">
        <v>4</v>
      </c>
      <c r="AM202" s="15" t="n">
        <v>4</v>
      </c>
      <c r="AN202" s="15" t="n">
        <v>0</v>
      </c>
      <c r="AO202" s="15" t="n">
        <v>0</v>
      </c>
      <c r="AP202" s="15" t="s">
        <v>1325</v>
      </c>
      <c r="AQ202" s="15" t="s">
        <v>1021</v>
      </c>
      <c r="AR202" s="15" t="s">
        <v>169</v>
      </c>
      <c r="AS202" s="15"/>
      <c r="AT202" s="29" t="str">
        <f aca="false">IF(A202="","",IF(COUNTIF(Parcels!$A$2:$A$3000,B202)=0,"Parcel not found",IF(COUNTIF($A$2:$A$3000,A202)&gt;1,"Duplicate perm_id",IF(AND(R202="Yes",D202&lt;&gt;"",COUNTIFS($C$2:$C$3000,D202,$R$2:$R$3000,"Yes")&gt;1),"Reference counted twice",IF(COUNTIF(Lists!$A$2:$A$7,I202)=0,"Unknown status","")))))</f>
        <v/>
      </c>
    </row>
    <row r="203" customFormat="false" ht="15" hidden="false" customHeight="false" outlineLevel="0" collapsed="false">
      <c r="A203" s="15" t="s">
        <v>2007</v>
      </c>
      <c r="B203" s="15" t="s">
        <v>571</v>
      </c>
      <c r="C203" s="15" t="s">
        <v>53</v>
      </c>
      <c r="D203" s="15" t="s">
        <v>2008</v>
      </c>
      <c r="E203" s="15" t="s">
        <v>2008</v>
      </c>
      <c r="F203" s="15" t="s">
        <v>572</v>
      </c>
      <c r="G203" s="15" t="n">
        <v>7</v>
      </c>
      <c r="H203" s="15"/>
      <c r="I203" s="15" t="s">
        <v>48</v>
      </c>
      <c r="J203" s="15" t="s">
        <v>1008</v>
      </c>
      <c r="K203" s="15" t="s">
        <v>48</v>
      </c>
      <c r="L203" s="15" t="n">
        <v>0</v>
      </c>
      <c r="M203" s="15" t="n">
        <v>0</v>
      </c>
      <c r="N203" s="15" t="n">
        <v>0</v>
      </c>
      <c r="O203" s="15" t="n">
        <v>0</v>
      </c>
      <c r="P203" s="15"/>
      <c r="Q203" s="15" t="s">
        <v>1009</v>
      </c>
      <c r="R203" s="15" t="s">
        <v>1010</v>
      </c>
      <c r="S203" s="15" t="s">
        <v>1050</v>
      </c>
      <c r="T203" s="15" t="n">
        <v>1</v>
      </c>
      <c r="U203" s="15" t="n">
        <v>3</v>
      </c>
      <c r="V203" s="15" t="n">
        <v>3</v>
      </c>
      <c r="W203" s="15" t="n">
        <v>0</v>
      </c>
      <c r="X203" s="15" t="n">
        <v>0</v>
      </c>
      <c r="Y203" s="15" t="n">
        <v>0</v>
      </c>
      <c r="Z203" s="15" t="s">
        <v>1034</v>
      </c>
      <c r="AA203" s="15" t="s">
        <v>1013</v>
      </c>
      <c r="AB203" s="15" t="s">
        <v>176</v>
      </c>
      <c r="AC203" s="15" t="s">
        <v>1027</v>
      </c>
      <c r="AD203" s="15" t="s">
        <v>1174</v>
      </c>
      <c r="AE203" s="15" t="s">
        <v>1175</v>
      </c>
      <c r="AF203" s="15" t="s">
        <v>2009</v>
      </c>
      <c r="AG203" s="15" t="s">
        <v>1069</v>
      </c>
      <c r="AH203" s="15" t="s">
        <v>1200</v>
      </c>
      <c r="AI203" s="15" t="s">
        <v>1042</v>
      </c>
      <c r="AJ203" s="15" t="n">
        <v>0</v>
      </c>
      <c r="AK203" s="15" t="n">
        <v>5.8</v>
      </c>
      <c r="AL203" s="15" t="n">
        <v>1.2</v>
      </c>
      <c r="AM203" s="15" t="n">
        <v>0</v>
      </c>
      <c r="AN203" s="15" t="n">
        <v>0</v>
      </c>
      <c r="AO203" s="15" t="n">
        <v>0</v>
      </c>
      <c r="AP203" s="15" t="s">
        <v>1325</v>
      </c>
      <c r="AQ203" s="15" t="s">
        <v>1021</v>
      </c>
      <c r="AR203" s="15" t="s">
        <v>169</v>
      </c>
      <c r="AS203" s="15"/>
      <c r="AT203" s="29" t="str">
        <f aca="false">IF(A203="","",IF(COUNTIF(Parcels!$A$2:$A$3000,B203)=0,"Parcel not found",IF(COUNTIF($A$2:$A$3000,A203)&gt;1,"Duplicate perm_id",IF(AND(R203="Yes",D203&lt;&gt;"",COUNTIFS($C$2:$C$3000,D203,$R$2:$R$3000,"Yes")&gt;1),"Reference counted twice",IF(COUNTIF(Lists!$A$2:$A$7,I203)=0,"Unknown status","")))))</f>
        <v/>
      </c>
    </row>
    <row r="204" customFormat="false" ht="15" hidden="false" customHeight="false" outlineLevel="0" collapsed="false">
      <c r="A204" s="15" t="s">
        <v>2010</v>
      </c>
      <c r="B204" s="15" t="s">
        <v>782</v>
      </c>
      <c r="C204" s="15" t="s">
        <v>22</v>
      </c>
      <c r="D204" s="15" t="s">
        <v>2011</v>
      </c>
      <c r="E204" s="15" t="s">
        <v>2011</v>
      </c>
      <c r="F204" s="15" t="s">
        <v>783</v>
      </c>
      <c r="G204" s="15" t="n">
        <v>3</v>
      </c>
      <c r="H204" s="15"/>
      <c r="I204" s="15" t="s">
        <v>1007</v>
      </c>
      <c r="J204" s="15" t="s">
        <v>1008</v>
      </c>
      <c r="K204" s="15" t="s">
        <v>1007</v>
      </c>
      <c r="L204" s="15" t="n">
        <v>0</v>
      </c>
      <c r="M204" s="15" t="n">
        <v>0</v>
      </c>
      <c r="N204" s="15" t="n">
        <v>0</v>
      </c>
      <c r="O204" s="15" t="n">
        <v>0</v>
      </c>
      <c r="P204" s="15"/>
      <c r="Q204" s="15" t="s">
        <v>1009</v>
      </c>
      <c r="R204" s="15" t="s">
        <v>1010</v>
      </c>
      <c r="S204" s="15" t="s">
        <v>1026</v>
      </c>
      <c r="T204" s="15"/>
      <c r="U204" s="15"/>
      <c r="V204" s="15"/>
      <c r="W204" s="15"/>
      <c r="X204" s="15"/>
      <c r="Y204" s="15"/>
      <c r="Z204" s="15" t="s">
        <v>1012</v>
      </c>
      <c r="AA204" s="15" t="s">
        <v>1013</v>
      </c>
      <c r="AB204" s="15" t="s">
        <v>176</v>
      </c>
      <c r="AC204" s="15" t="s">
        <v>1027</v>
      </c>
      <c r="AD204" s="15" t="s">
        <v>2012</v>
      </c>
      <c r="AE204" s="15" t="s">
        <v>2013</v>
      </c>
      <c r="AF204" s="15"/>
      <c r="AG204" s="15" t="s">
        <v>1017</v>
      </c>
      <c r="AH204" s="15" t="s">
        <v>1194</v>
      </c>
      <c r="AI204" s="15" t="s">
        <v>1019</v>
      </c>
      <c r="AJ204" s="15" t="n">
        <v>0</v>
      </c>
      <c r="AK204" s="15" t="n">
        <v>0</v>
      </c>
      <c r="AL204" s="15" t="n">
        <v>1.9</v>
      </c>
      <c r="AM204" s="15" t="n">
        <v>1.1</v>
      </c>
      <c r="AN204" s="15" t="n">
        <v>0</v>
      </c>
      <c r="AO204" s="15" t="n">
        <v>0</v>
      </c>
      <c r="AP204" s="15" t="s">
        <v>1325</v>
      </c>
      <c r="AQ204" s="15" t="s">
        <v>1021</v>
      </c>
      <c r="AR204" s="15" t="s">
        <v>169</v>
      </c>
      <c r="AS204" s="15"/>
      <c r="AT204" s="29" t="str">
        <f aca="false">IF(A204="","",IF(COUNTIF(Parcels!$A$2:$A$3000,B204)=0,"Parcel not found",IF(COUNTIF($A$2:$A$3000,A204)&gt;1,"Duplicate perm_id",IF(AND(R204="Yes",D204&lt;&gt;"",COUNTIFS($C$2:$C$3000,D204,$R$2:$R$3000,"Yes")&gt;1),"Reference counted twice",IF(COUNTIF(Lists!$A$2:$A$7,I204)=0,"Unknown status","")))))</f>
        <v/>
      </c>
    </row>
    <row r="205" customFormat="false" ht="15" hidden="false" customHeight="false" outlineLevel="0" collapsed="false">
      <c r="A205" s="15" t="s">
        <v>2014</v>
      </c>
      <c r="B205" s="15" t="s">
        <v>784</v>
      </c>
      <c r="C205" s="15" t="s">
        <v>67</v>
      </c>
      <c r="D205" s="15" t="s">
        <v>2015</v>
      </c>
      <c r="E205" s="15" t="s">
        <v>2015</v>
      </c>
      <c r="F205" s="15" t="s">
        <v>785</v>
      </c>
      <c r="G205" s="15" t="n">
        <v>25</v>
      </c>
      <c r="H205" s="15"/>
      <c r="I205" s="15" t="s">
        <v>1007</v>
      </c>
      <c r="J205" s="15" t="s">
        <v>1008</v>
      </c>
      <c r="K205" s="15" t="s">
        <v>1007</v>
      </c>
      <c r="L205" s="15" t="n">
        <v>0</v>
      </c>
      <c r="M205" s="15" t="n">
        <v>0</v>
      </c>
      <c r="N205" s="15" t="n">
        <v>0</v>
      </c>
      <c r="O205" s="15" t="n">
        <v>0</v>
      </c>
      <c r="P205" s="15"/>
      <c r="Q205" s="15" t="s">
        <v>1009</v>
      </c>
      <c r="R205" s="15" t="s">
        <v>1010</v>
      </c>
      <c r="S205" s="15" t="s">
        <v>1050</v>
      </c>
      <c r="T205" s="15" t="n">
        <v>0</v>
      </c>
      <c r="U205" s="15" t="n">
        <v>0</v>
      </c>
      <c r="V205" s="15" t="n">
        <v>0</v>
      </c>
      <c r="W205" s="15" t="n">
        <v>12</v>
      </c>
      <c r="X205" s="15" t="n">
        <v>13</v>
      </c>
      <c r="Y205" s="15" t="n">
        <v>0</v>
      </c>
      <c r="Z205" s="15" t="s">
        <v>1143</v>
      </c>
      <c r="AA205" s="15" t="s">
        <v>1013</v>
      </c>
      <c r="AB205" s="15" t="s">
        <v>176</v>
      </c>
      <c r="AC205" s="15" t="s">
        <v>1027</v>
      </c>
      <c r="AD205" s="15" t="s">
        <v>1902</v>
      </c>
      <c r="AE205" s="15" t="s">
        <v>1903</v>
      </c>
      <c r="AF205" s="15"/>
      <c r="AG205" s="15" t="s">
        <v>1017</v>
      </c>
      <c r="AH205" s="15" t="s">
        <v>1060</v>
      </c>
      <c r="AI205" s="15" t="s">
        <v>1019</v>
      </c>
      <c r="AJ205" s="15" t="n">
        <v>0</v>
      </c>
      <c r="AK205" s="15" t="n">
        <v>0</v>
      </c>
      <c r="AL205" s="15" t="n">
        <v>19</v>
      </c>
      <c r="AM205" s="15" t="n">
        <v>6</v>
      </c>
      <c r="AN205" s="15" t="n">
        <v>0</v>
      </c>
      <c r="AO205" s="15" t="n">
        <v>0</v>
      </c>
      <c r="AP205" s="15" t="s">
        <v>1325</v>
      </c>
      <c r="AQ205" s="15" t="s">
        <v>1021</v>
      </c>
      <c r="AR205" s="15" t="s">
        <v>169</v>
      </c>
      <c r="AS205" s="15"/>
      <c r="AT205" s="29" t="str">
        <f aca="false">IF(A205="","",IF(COUNTIF(Parcels!$A$2:$A$3000,B205)=0,"Parcel not found",IF(COUNTIF($A$2:$A$3000,A205)&gt;1,"Duplicate perm_id",IF(AND(R205="Yes",D205&lt;&gt;"",COUNTIFS($C$2:$C$3000,D205,$R$2:$R$3000,"Yes")&gt;1),"Reference counted twice",IF(COUNTIF(Lists!$A$2:$A$7,I205)=0,"Unknown status","")))))</f>
        <v/>
      </c>
    </row>
    <row r="206" customFormat="false" ht="15" hidden="false" customHeight="false" outlineLevel="0" collapsed="false">
      <c r="A206" s="15" t="s">
        <v>2016</v>
      </c>
      <c r="B206" s="15" t="s">
        <v>658</v>
      </c>
      <c r="C206" s="15" t="s">
        <v>58</v>
      </c>
      <c r="D206" s="15" t="s">
        <v>2017</v>
      </c>
      <c r="E206" s="15" t="s">
        <v>2017</v>
      </c>
      <c r="F206" s="15" t="s">
        <v>659</v>
      </c>
      <c r="G206" s="15" t="n">
        <v>12</v>
      </c>
      <c r="H206" s="15"/>
      <c r="I206" s="15" t="s">
        <v>48</v>
      </c>
      <c r="J206" s="15" t="s">
        <v>1008</v>
      </c>
      <c r="K206" s="15" t="s">
        <v>48</v>
      </c>
      <c r="L206" s="15" t="n">
        <v>0</v>
      </c>
      <c r="M206" s="15" t="n">
        <v>0</v>
      </c>
      <c r="N206" s="15" t="n">
        <v>10</v>
      </c>
      <c r="O206" s="15" t="n">
        <v>0</v>
      </c>
      <c r="P206" s="15"/>
      <c r="Q206" s="15" t="s">
        <v>1009</v>
      </c>
      <c r="R206" s="15" t="s">
        <v>1010</v>
      </c>
      <c r="S206" s="15" t="s">
        <v>1011</v>
      </c>
      <c r="T206" s="15" t="n">
        <v>0</v>
      </c>
      <c r="U206" s="15" t="n">
        <v>0</v>
      </c>
      <c r="V206" s="15" t="n">
        <v>0</v>
      </c>
      <c r="W206" s="15" t="n">
        <v>2</v>
      </c>
      <c r="X206" s="15" t="n">
        <v>10</v>
      </c>
      <c r="Y206" s="15" t="n">
        <v>0</v>
      </c>
      <c r="Z206" s="15" t="s">
        <v>1034</v>
      </c>
      <c r="AA206" s="15" t="s">
        <v>1013</v>
      </c>
      <c r="AB206" s="15" t="s">
        <v>176</v>
      </c>
      <c r="AC206" s="15" t="s">
        <v>1027</v>
      </c>
      <c r="AD206" s="15" t="s">
        <v>2018</v>
      </c>
      <c r="AE206" s="15" t="s">
        <v>2019</v>
      </c>
      <c r="AF206" s="15" t="s">
        <v>2020</v>
      </c>
      <c r="AG206" s="15" t="s">
        <v>1292</v>
      </c>
      <c r="AH206" s="15" t="s">
        <v>1041</v>
      </c>
      <c r="AI206" s="15" t="s">
        <v>1042</v>
      </c>
      <c r="AJ206" s="15" t="n">
        <v>2.8</v>
      </c>
      <c r="AK206" s="15" t="n">
        <v>9.2</v>
      </c>
      <c r="AL206" s="15" t="n">
        <v>0</v>
      </c>
      <c r="AM206" s="15" t="n">
        <v>0</v>
      </c>
      <c r="AN206" s="15" t="n">
        <v>0</v>
      </c>
      <c r="AO206" s="15" t="n">
        <v>0</v>
      </c>
      <c r="AP206" s="15" t="s">
        <v>1325</v>
      </c>
      <c r="AQ206" s="15" t="s">
        <v>1021</v>
      </c>
      <c r="AR206" s="15" t="s">
        <v>169</v>
      </c>
      <c r="AS206" s="15"/>
      <c r="AT206" s="29" t="str">
        <f aca="false">IF(A206="","",IF(COUNTIF(Parcels!$A$2:$A$3000,B206)=0,"Parcel not found",IF(COUNTIF($A$2:$A$3000,A206)&gt;1,"Duplicate perm_id",IF(AND(R206="Yes",D206&lt;&gt;"",COUNTIFS($C$2:$C$3000,D206,$R$2:$R$3000,"Yes")&gt;1),"Reference counted twice",IF(COUNTIF(Lists!$A$2:$A$7,I206)=0,"Unknown status","")))))</f>
        <v/>
      </c>
    </row>
    <row r="207" customFormat="false" ht="15" hidden="false" customHeight="false" outlineLevel="0" collapsed="false">
      <c r="A207" s="15" t="s">
        <v>2021</v>
      </c>
      <c r="B207" s="15" t="s">
        <v>786</v>
      </c>
      <c r="C207" s="15" t="s">
        <v>22</v>
      </c>
      <c r="D207" s="15" t="s">
        <v>2022</v>
      </c>
      <c r="E207" s="15" t="s">
        <v>2022</v>
      </c>
      <c r="F207" s="15" t="s">
        <v>787</v>
      </c>
      <c r="G207" s="15" t="n">
        <v>18</v>
      </c>
      <c r="H207" s="15"/>
      <c r="I207" s="15" t="s">
        <v>48</v>
      </c>
      <c r="J207" s="15" t="s">
        <v>1008</v>
      </c>
      <c r="K207" s="15" t="s">
        <v>48</v>
      </c>
      <c r="L207" s="15" t="n">
        <v>0</v>
      </c>
      <c r="M207" s="15" t="n">
        <v>0</v>
      </c>
      <c r="N207" s="15" t="n">
        <v>10</v>
      </c>
      <c r="O207" s="15" t="n">
        <v>0</v>
      </c>
      <c r="P207" s="15"/>
      <c r="Q207" s="15" t="s">
        <v>1009</v>
      </c>
      <c r="R207" s="15" t="s">
        <v>1010</v>
      </c>
      <c r="S207" s="15" t="s">
        <v>1026</v>
      </c>
      <c r="T207" s="15"/>
      <c r="U207" s="15"/>
      <c r="V207" s="15"/>
      <c r="W207" s="15"/>
      <c r="X207" s="15"/>
      <c r="Y207" s="15"/>
      <c r="Z207" s="15" t="s">
        <v>1012</v>
      </c>
      <c r="AA207" s="15" t="s">
        <v>1013</v>
      </c>
      <c r="AB207" s="15" t="s">
        <v>176</v>
      </c>
      <c r="AC207" s="15" t="s">
        <v>1027</v>
      </c>
      <c r="AD207" s="15" t="s">
        <v>2023</v>
      </c>
      <c r="AE207" s="15" t="s">
        <v>2024</v>
      </c>
      <c r="AF207" s="15" t="s">
        <v>1323</v>
      </c>
      <c r="AG207" s="15" t="s">
        <v>1324</v>
      </c>
      <c r="AH207" s="15" t="s">
        <v>1041</v>
      </c>
      <c r="AI207" s="15" t="s">
        <v>1042</v>
      </c>
      <c r="AJ207" s="15" t="n">
        <v>3.6</v>
      </c>
      <c r="AK207" s="15" t="n">
        <v>14.4</v>
      </c>
      <c r="AL207" s="15" t="n">
        <v>0</v>
      </c>
      <c r="AM207" s="15" t="n">
        <v>0</v>
      </c>
      <c r="AN207" s="15" t="n">
        <v>0</v>
      </c>
      <c r="AO207" s="15" t="n">
        <v>0</v>
      </c>
      <c r="AP207" s="15" t="s">
        <v>1325</v>
      </c>
      <c r="AQ207" s="15" t="s">
        <v>1021</v>
      </c>
      <c r="AR207" s="15" t="s">
        <v>169</v>
      </c>
      <c r="AS207" s="15"/>
      <c r="AT207" s="29" t="str">
        <f aca="false">IF(A207="","",IF(COUNTIF(Parcels!$A$2:$A$3000,B207)=0,"Parcel not found",IF(COUNTIF($A$2:$A$3000,A207)&gt;1,"Duplicate perm_id",IF(AND(R207="Yes",D207&lt;&gt;"",COUNTIFS($C$2:$C$3000,D207,$R$2:$R$3000,"Yes")&gt;1),"Reference counted twice",IF(COUNTIF(Lists!$A$2:$A$7,I207)=0,"Unknown status","")))))</f>
        <v/>
      </c>
    </row>
    <row r="208" customFormat="false" ht="15" hidden="false" customHeight="false" outlineLevel="0" collapsed="false">
      <c r="A208" s="15" t="s">
        <v>2025</v>
      </c>
      <c r="B208" s="15" t="s">
        <v>573</v>
      </c>
      <c r="C208" s="15" t="s">
        <v>53</v>
      </c>
      <c r="D208" s="15" t="s">
        <v>2026</v>
      </c>
      <c r="E208" s="15" t="s">
        <v>2026</v>
      </c>
      <c r="F208" s="15" t="s">
        <v>574</v>
      </c>
      <c r="G208" s="15" t="n">
        <v>40</v>
      </c>
      <c r="H208" s="15"/>
      <c r="I208" s="15" t="s">
        <v>1007</v>
      </c>
      <c r="J208" s="15" t="s">
        <v>1008</v>
      </c>
      <c r="K208" s="15" t="s">
        <v>1007</v>
      </c>
      <c r="L208" s="15" t="n">
        <v>0</v>
      </c>
      <c r="M208" s="15" t="n">
        <v>0</v>
      </c>
      <c r="N208" s="15" t="n">
        <v>0</v>
      </c>
      <c r="O208" s="15" t="n">
        <v>0</v>
      </c>
      <c r="P208" s="15"/>
      <c r="Q208" s="15" t="s">
        <v>1009</v>
      </c>
      <c r="R208" s="15" t="s">
        <v>1010</v>
      </c>
      <c r="S208" s="15" t="s">
        <v>1011</v>
      </c>
      <c r="T208" s="15" t="n">
        <v>0</v>
      </c>
      <c r="U208" s="15" t="n">
        <v>24</v>
      </c>
      <c r="V208" s="15" t="n">
        <v>16</v>
      </c>
      <c r="W208" s="15" t="n">
        <v>0</v>
      </c>
      <c r="X208" s="15" t="n">
        <v>0</v>
      </c>
      <c r="Y208" s="15" t="n">
        <v>0</v>
      </c>
      <c r="Z208" s="15" t="s">
        <v>1012</v>
      </c>
      <c r="AA208" s="15" t="s">
        <v>1013</v>
      </c>
      <c r="AB208" s="15" t="s">
        <v>176</v>
      </c>
      <c r="AC208" s="15" t="s">
        <v>1027</v>
      </c>
      <c r="AD208" s="15" t="s">
        <v>2027</v>
      </c>
      <c r="AE208" s="15" t="s">
        <v>2028</v>
      </c>
      <c r="AF208" s="15"/>
      <c r="AG208" s="15" t="s">
        <v>1017</v>
      </c>
      <c r="AH208" s="15" t="s">
        <v>1194</v>
      </c>
      <c r="AI208" s="15" t="s">
        <v>1019</v>
      </c>
      <c r="AJ208" s="15" t="n">
        <v>0</v>
      </c>
      <c r="AK208" s="15" t="n">
        <v>0</v>
      </c>
      <c r="AL208" s="15" t="n">
        <v>22</v>
      </c>
      <c r="AM208" s="15" t="n">
        <v>18</v>
      </c>
      <c r="AN208" s="15" t="n">
        <v>0</v>
      </c>
      <c r="AO208" s="15" t="n">
        <v>0</v>
      </c>
      <c r="AP208" s="15" t="s">
        <v>1325</v>
      </c>
      <c r="AQ208" s="15" t="s">
        <v>1021</v>
      </c>
      <c r="AR208" s="15" t="s">
        <v>169</v>
      </c>
      <c r="AS208" s="15"/>
      <c r="AT208" s="29" t="str">
        <f aca="false">IF(A208="","",IF(COUNTIF(Parcels!$A$2:$A$3000,B208)=0,"Parcel not found",IF(COUNTIF($A$2:$A$3000,A208)&gt;1,"Duplicate perm_id",IF(AND(R208="Yes",D208&lt;&gt;"",COUNTIFS($C$2:$C$3000,D208,$R$2:$R$3000,"Yes")&gt;1),"Reference counted twice",IF(COUNTIF(Lists!$A$2:$A$7,I208)=0,"Unknown status","")))))</f>
        <v/>
      </c>
    </row>
    <row r="209" customFormat="false" ht="15" hidden="false" customHeight="false" outlineLevel="0" collapsed="false">
      <c r="A209" s="15" t="s">
        <v>2029</v>
      </c>
      <c r="B209" s="15" t="s">
        <v>575</v>
      </c>
      <c r="C209" s="15" t="s">
        <v>53</v>
      </c>
      <c r="D209" s="15" t="s">
        <v>2030</v>
      </c>
      <c r="E209" s="15" t="s">
        <v>2030</v>
      </c>
      <c r="F209" s="15" t="s">
        <v>576</v>
      </c>
      <c r="G209" s="15" t="n">
        <v>15</v>
      </c>
      <c r="H209" s="15"/>
      <c r="I209" s="15" t="s">
        <v>1007</v>
      </c>
      <c r="J209" s="15" t="s">
        <v>1008</v>
      </c>
      <c r="K209" s="15" t="s">
        <v>1007</v>
      </c>
      <c r="L209" s="15" t="n">
        <v>0</v>
      </c>
      <c r="M209" s="15" t="n">
        <v>0</v>
      </c>
      <c r="N209" s="15" t="n">
        <v>0</v>
      </c>
      <c r="O209" s="15" t="n">
        <v>0</v>
      </c>
      <c r="P209" s="15"/>
      <c r="Q209" s="15" t="s">
        <v>1009</v>
      </c>
      <c r="R209" s="15" t="s">
        <v>1010</v>
      </c>
      <c r="S209" s="15" t="s">
        <v>1011</v>
      </c>
      <c r="T209" s="15" t="n">
        <v>0</v>
      </c>
      <c r="U209" s="15" t="n">
        <v>14</v>
      </c>
      <c r="V209" s="15" t="n">
        <v>1</v>
      </c>
      <c r="W209" s="15" t="n">
        <v>0</v>
      </c>
      <c r="X209" s="15" t="n">
        <v>0</v>
      </c>
      <c r="Y209" s="15" t="n">
        <v>0</v>
      </c>
      <c r="Z209" s="15" t="s">
        <v>1012</v>
      </c>
      <c r="AA209" s="15" t="s">
        <v>1013</v>
      </c>
      <c r="AB209" s="15" t="s">
        <v>176</v>
      </c>
      <c r="AC209" s="15" t="s">
        <v>1027</v>
      </c>
      <c r="AD209" s="15" t="s">
        <v>2031</v>
      </c>
      <c r="AE209" s="15" t="s">
        <v>2032</v>
      </c>
      <c r="AF209" s="15"/>
      <c r="AG209" s="15" t="s">
        <v>1017</v>
      </c>
      <c r="AH209" s="15" t="s">
        <v>1194</v>
      </c>
      <c r="AI209" s="15" t="s">
        <v>1019</v>
      </c>
      <c r="AJ209" s="15" t="n">
        <v>0</v>
      </c>
      <c r="AK209" s="15" t="n">
        <v>0</v>
      </c>
      <c r="AL209" s="15" t="n">
        <v>8.8</v>
      </c>
      <c r="AM209" s="15" t="n">
        <v>6.2</v>
      </c>
      <c r="AN209" s="15" t="n">
        <v>0</v>
      </c>
      <c r="AO209" s="15" t="n">
        <v>0</v>
      </c>
      <c r="AP209" s="15" t="s">
        <v>1325</v>
      </c>
      <c r="AQ209" s="15" t="s">
        <v>1021</v>
      </c>
      <c r="AR209" s="15" t="s">
        <v>169</v>
      </c>
      <c r="AS209" s="15"/>
      <c r="AT209" s="29" t="str">
        <f aca="false">IF(A209="","",IF(COUNTIF(Parcels!$A$2:$A$3000,B209)=0,"Parcel not found",IF(COUNTIF($A$2:$A$3000,A209)&gt;1,"Duplicate perm_id",IF(AND(R209="Yes",D209&lt;&gt;"",COUNTIFS($C$2:$C$3000,D209,$R$2:$R$3000,"Yes")&gt;1),"Reference counted twice",IF(COUNTIF(Lists!$A$2:$A$7,I209)=0,"Unknown status","")))))</f>
        <v/>
      </c>
    </row>
    <row r="210" customFormat="false" ht="15" hidden="false" customHeight="false" outlineLevel="0" collapsed="false">
      <c r="A210" s="15" t="s">
        <v>2033</v>
      </c>
      <c r="B210" s="15" t="s">
        <v>788</v>
      </c>
      <c r="C210" s="15" t="s">
        <v>63</v>
      </c>
      <c r="D210" s="15" t="s">
        <v>2034</v>
      </c>
      <c r="E210" s="15" t="s">
        <v>2034</v>
      </c>
      <c r="F210" s="15" t="s">
        <v>789</v>
      </c>
      <c r="G210" s="15" t="n">
        <v>42</v>
      </c>
      <c r="H210" s="15"/>
      <c r="I210" s="15" t="s">
        <v>48</v>
      </c>
      <c r="J210" s="15" t="s">
        <v>1008</v>
      </c>
      <c r="K210" s="15" t="s">
        <v>48</v>
      </c>
      <c r="L210" s="15" t="n">
        <v>0</v>
      </c>
      <c r="M210" s="15" t="n">
        <v>0</v>
      </c>
      <c r="N210" s="15" t="n">
        <v>0</v>
      </c>
      <c r="O210" s="15" t="n">
        <v>0</v>
      </c>
      <c r="P210" s="15"/>
      <c r="Q210" s="15" t="s">
        <v>1009</v>
      </c>
      <c r="R210" s="15" t="s">
        <v>1010</v>
      </c>
      <c r="S210" s="15" t="s">
        <v>1377</v>
      </c>
      <c r="T210" s="15" t="n">
        <v>0</v>
      </c>
      <c r="U210" s="15" t="n">
        <v>4</v>
      </c>
      <c r="V210" s="15" t="n">
        <v>12</v>
      </c>
      <c r="W210" s="15" t="n">
        <v>18</v>
      </c>
      <c r="X210" s="15" t="n">
        <v>8</v>
      </c>
      <c r="Y210" s="15" t="n">
        <v>0</v>
      </c>
      <c r="Z210" s="15" t="s">
        <v>1012</v>
      </c>
      <c r="AA210" s="15" t="s">
        <v>1013</v>
      </c>
      <c r="AB210" s="15" t="s">
        <v>176</v>
      </c>
      <c r="AC210" s="15" t="s">
        <v>1027</v>
      </c>
      <c r="AD210" s="15" t="s">
        <v>2035</v>
      </c>
      <c r="AE210" s="15" t="s">
        <v>2036</v>
      </c>
      <c r="AF210" s="15" t="s">
        <v>2037</v>
      </c>
      <c r="AG210" s="15" t="s">
        <v>1069</v>
      </c>
      <c r="AH210" s="15" t="s">
        <v>1200</v>
      </c>
      <c r="AI210" s="15" t="s">
        <v>1042</v>
      </c>
      <c r="AJ210" s="15" t="n">
        <v>0</v>
      </c>
      <c r="AK210" s="15" t="n">
        <v>32</v>
      </c>
      <c r="AL210" s="15" t="n">
        <v>10</v>
      </c>
      <c r="AM210" s="15" t="n">
        <v>0</v>
      </c>
      <c r="AN210" s="15" t="n">
        <v>0</v>
      </c>
      <c r="AO210" s="15" t="n">
        <v>0</v>
      </c>
      <c r="AP210" s="15" t="s">
        <v>1325</v>
      </c>
      <c r="AQ210" s="15" t="s">
        <v>1021</v>
      </c>
      <c r="AR210" s="15" t="s">
        <v>169</v>
      </c>
      <c r="AS210" s="15"/>
      <c r="AT210" s="29" t="str">
        <f aca="false">IF(A210="","",IF(COUNTIF(Parcels!$A$2:$A$3000,B210)=0,"Parcel not found",IF(COUNTIF($A$2:$A$3000,A210)&gt;1,"Duplicate perm_id",IF(AND(R210="Yes",D210&lt;&gt;"",COUNTIFS($C$2:$C$3000,D210,$R$2:$R$3000,"Yes")&gt;1),"Reference counted twice",IF(COUNTIF(Lists!$A$2:$A$7,I210)=0,"Unknown status","")))))</f>
        <v/>
      </c>
    </row>
    <row r="211" customFormat="false" ht="15" hidden="false" customHeight="false" outlineLevel="0" collapsed="false">
      <c r="A211" s="15" t="s">
        <v>2038</v>
      </c>
      <c r="B211" s="15" t="s">
        <v>597</v>
      </c>
      <c r="C211" s="15" t="s">
        <v>54</v>
      </c>
      <c r="D211" s="15" t="s">
        <v>2039</v>
      </c>
      <c r="E211" s="15" t="s">
        <v>2039</v>
      </c>
      <c r="F211" s="15" t="s">
        <v>598</v>
      </c>
      <c r="G211" s="15" t="n">
        <v>15</v>
      </c>
      <c r="H211" s="15"/>
      <c r="I211" s="15" t="s">
        <v>1007</v>
      </c>
      <c r="J211" s="15" t="s">
        <v>1008</v>
      </c>
      <c r="K211" s="15" t="s">
        <v>1007</v>
      </c>
      <c r="L211" s="15" t="n">
        <v>0</v>
      </c>
      <c r="M211" s="15" t="n">
        <v>0</v>
      </c>
      <c r="N211" s="15" t="n">
        <v>0</v>
      </c>
      <c r="O211" s="15" t="n">
        <v>0</v>
      </c>
      <c r="P211" s="15"/>
      <c r="Q211" s="15" t="s">
        <v>1009</v>
      </c>
      <c r="R211" s="15" t="s">
        <v>1010</v>
      </c>
      <c r="S211" s="15" t="s">
        <v>1011</v>
      </c>
      <c r="T211" s="15" t="n">
        <v>0</v>
      </c>
      <c r="U211" s="15" t="n">
        <v>4</v>
      </c>
      <c r="V211" s="15" t="n">
        <v>1</v>
      </c>
      <c r="W211" s="15" t="n">
        <v>10</v>
      </c>
      <c r="X211" s="15" t="n">
        <v>0</v>
      </c>
      <c r="Y211" s="15" t="n">
        <v>0</v>
      </c>
      <c r="Z211" s="15" t="s">
        <v>1012</v>
      </c>
      <c r="AA211" s="15" t="s">
        <v>1013</v>
      </c>
      <c r="AB211" s="15" t="s">
        <v>176</v>
      </c>
      <c r="AC211" s="15" t="s">
        <v>1027</v>
      </c>
      <c r="AD211" s="15" t="s">
        <v>2040</v>
      </c>
      <c r="AE211" s="15" t="s">
        <v>2041</v>
      </c>
      <c r="AF211" s="15"/>
      <c r="AG211" s="15" t="s">
        <v>1280</v>
      </c>
      <c r="AH211" s="15" t="s">
        <v>1060</v>
      </c>
      <c r="AI211" s="15" t="s">
        <v>1061</v>
      </c>
      <c r="AJ211" s="15" t="n">
        <v>0</v>
      </c>
      <c r="AK211" s="15" t="n">
        <v>0</v>
      </c>
      <c r="AL211" s="15" t="n">
        <v>15</v>
      </c>
      <c r="AM211" s="15" t="n">
        <v>0</v>
      </c>
      <c r="AN211" s="15" t="n">
        <v>0</v>
      </c>
      <c r="AO211" s="15" t="n">
        <v>0</v>
      </c>
      <c r="AP211" s="15" t="s">
        <v>1325</v>
      </c>
      <c r="AQ211" s="15" t="s">
        <v>1021</v>
      </c>
      <c r="AR211" s="15" t="s">
        <v>169</v>
      </c>
      <c r="AS211" s="15"/>
      <c r="AT211" s="29" t="str">
        <f aca="false">IF(A211="","",IF(COUNTIF(Parcels!$A$2:$A$3000,B211)=0,"Parcel not found",IF(COUNTIF($A$2:$A$3000,A211)&gt;1,"Duplicate perm_id",IF(AND(R211="Yes",D211&lt;&gt;"",COUNTIFS($C$2:$C$3000,D211,$R$2:$R$3000,"Yes")&gt;1),"Reference counted twice",IF(COUNTIF(Lists!$A$2:$A$7,I211)=0,"Unknown status","")))))</f>
        <v/>
      </c>
    </row>
    <row r="212" customFormat="false" ht="15" hidden="false" customHeight="false" outlineLevel="0" collapsed="false">
      <c r="A212" s="15" t="s">
        <v>2042</v>
      </c>
      <c r="B212" s="15" t="s">
        <v>790</v>
      </c>
      <c r="C212" s="15" t="s">
        <v>69</v>
      </c>
      <c r="D212" s="15" t="s">
        <v>2043</v>
      </c>
      <c r="E212" s="15" t="s">
        <v>2043</v>
      </c>
      <c r="F212" s="15" t="s">
        <v>791</v>
      </c>
      <c r="G212" s="15" t="n">
        <v>7</v>
      </c>
      <c r="H212" s="15"/>
      <c r="I212" s="15" t="s">
        <v>1007</v>
      </c>
      <c r="J212" s="15" t="s">
        <v>1008</v>
      </c>
      <c r="K212" s="15" t="s">
        <v>1007</v>
      </c>
      <c r="L212" s="15" t="n">
        <v>0</v>
      </c>
      <c r="M212" s="15" t="n">
        <v>0</v>
      </c>
      <c r="N212" s="15" t="n">
        <v>0</v>
      </c>
      <c r="O212" s="15" t="n">
        <v>0</v>
      </c>
      <c r="P212" s="15"/>
      <c r="Q212" s="15" t="s">
        <v>1009</v>
      </c>
      <c r="R212" s="15" t="s">
        <v>1010</v>
      </c>
      <c r="S212" s="15" t="s">
        <v>1026</v>
      </c>
      <c r="T212" s="15"/>
      <c r="U212" s="15"/>
      <c r="V212" s="15"/>
      <c r="W212" s="15"/>
      <c r="X212" s="15"/>
      <c r="Y212" s="15"/>
      <c r="Z212" s="15" t="s">
        <v>1760</v>
      </c>
      <c r="AA212" s="15" t="s">
        <v>1013</v>
      </c>
      <c r="AB212" s="15" t="s">
        <v>176</v>
      </c>
      <c r="AC212" s="15" t="s">
        <v>1027</v>
      </c>
      <c r="AD212" s="15" t="s">
        <v>2044</v>
      </c>
      <c r="AE212" s="15" t="s">
        <v>2045</v>
      </c>
      <c r="AF212" s="15"/>
      <c r="AG212" s="15" t="s">
        <v>1017</v>
      </c>
      <c r="AH212" s="15" t="s">
        <v>1194</v>
      </c>
      <c r="AI212" s="15" t="s">
        <v>1019</v>
      </c>
      <c r="AJ212" s="15" t="n">
        <v>0</v>
      </c>
      <c r="AK212" s="15" t="n">
        <v>0</v>
      </c>
      <c r="AL212" s="15" t="n">
        <v>4.4</v>
      </c>
      <c r="AM212" s="15" t="n">
        <v>2.6</v>
      </c>
      <c r="AN212" s="15" t="n">
        <v>0</v>
      </c>
      <c r="AO212" s="15" t="n">
        <v>0</v>
      </c>
      <c r="AP212" s="15" t="s">
        <v>1325</v>
      </c>
      <c r="AQ212" s="15" t="s">
        <v>1021</v>
      </c>
      <c r="AR212" s="15" t="s">
        <v>169</v>
      </c>
      <c r="AS212" s="15"/>
      <c r="AT212" s="29" t="str">
        <f aca="false">IF(A212="","",IF(COUNTIF(Parcels!$A$2:$A$3000,B212)=0,"Parcel not found",IF(COUNTIF($A$2:$A$3000,A212)&gt;1,"Duplicate perm_id",IF(AND(R212="Yes",D212&lt;&gt;"",COUNTIFS($C$2:$C$3000,D212,$R$2:$R$3000,"Yes")&gt;1),"Reference counted twice",IF(COUNTIF(Lists!$A$2:$A$7,I212)=0,"Unknown status","")))))</f>
        <v/>
      </c>
    </row>
    <row r="213" customFormat="false" ht="15" hidden="false" customHeight="false" outlineLevel="0" collapsed="false">
      <c r="A213" s="15" t="s">
        <v>2046</v>
      </c>
      <c r="B213" s="15" t="s">
        <v>792</v>
      </c>
      <c r="C213" s="15" t="s">
        <v>22</v>
      </c>
      <c r="D213" s="15" t="s">
        <v>2047</v>
      </c>
      <c r="E213" s="15" t="s">
        <v>2047</v>
      </c>
      <c r="F213" s="15" t="s">
        <v>793</v>
      </c>
      <c r="G213" s="15" t="n">
        <v>27</v>
      </c>
      <c r="H213" s="15"/>
      <c r="I213" s="15" t="s">
        <v>1007</v>
      </c>
      <c r="J213" s="15" t="s">
        <v>1008</v>
      </c>
      <c r="K213" s="15" t="s">
        <v>1007</v>
      </c>
      <c r="L213" s="15" t="n">
        <v>0</v>
      </c>
      <c r="M213" s="15" t="n">
        <v>0</v>
      </c>
      <c r="N213" s="15" t="n">
        <v>0</v>
      </c>
      <c r="O213" s="15" t="n">
        <v>0</v>
      </c>
      <c r="P213" s="15"/>
      <c r="Q213" s="15" t="s">
        <v>1009</v>
      </c>
      <c r="R213" s="15" t="s">
        <v>1010</v>
      </c>
      <c r="S213" s="15" t="s">
        <v>1050</v>
      </c>
      <c r="T213" s="15" t="n">
        <v>0</v>
      </c>
      <c r="U213" s="15" t="n">
        <v>0</v>
      </c>
      <c r="V213" s="15" t="n">
        <v>16</v>
      </c>
      <c r="W213" s="15" t="n">
        <v>11</v>
      </c>
      <c r="X213" s="15" t="n">
        <v>0</v>
      </c>
      <c r="Y213" s="15" t="n">
        <v>0</v>
      </c>
      <c r="Z213" s="15" t="s">
        <v>1012</v>
      </c>
      <c r="AA213" s="15" t="s">
        <v>1013</v>
      </c>
      <c r="AB213" s="15" t="s">
        <v>176</v>
      </c>
      <c r="AC213" s="15" t="s">
        <v>1027</v>
      </c>
      <c r="AD213" s="15" t="s">
        <v>2048</v>
      </c>
      <c r="AE213" s="15" t="s">
        <v>2049</v>
      </c>
      <c r="AF213" s="15"/>
      <c r="AG213" s="15" t="s">
        <v>1041</v>
      </c>
      <c r="AH213" s="15" t="s">
        <v>1127</v>
      </c>
      <c r="AI213" s="15" t="s">
        <v>1061</v>
      </c>
      <c r="AJ213" s="15" t="n">
        <v>0</v>
      </c>
      <c r="AK213" s="15" t="n">
        <v>0</v>
      </c>
      <c r="AL213" s="15" t="n">
        <v>11.4</v>
      </c>
      <c r="AM213" s="15" t="n">
        <v>15.6</v>
      </c>
      <c r="AN213" s="15" t="n">
        <v>0</v>
      </c>
      <c r="AO213" s="15" t="n">
        <v>0</v>
      </c>
      <c r="AP213" s="15" t="s">
        <v>1325</v>
      </c>
      <c r="AQ213" s="15" t="s">
        <v>1021</v>
      </c>
      <c r="AR213" s="15" t="s">
        <v>169</v>
      </c>
      <c r="AS213" s="15"/>
      <c r="AT213" s="29" t="str">
        <f aca="false">IF(A213="","",IF(COUNTIF(Parcels!$A$2:$A$3000,B213)=0,"Parcel not found",IF(COUNTIF($A$2:$A$3000,A213)&gt;1,"Duplicate perm_id",IF(AND(R213="Yes",D213&lt;&gt;"",COUNTIFS($C$2:$C$3000,D213,$R$2:$R$3000,"Yes")&gt;1),"Reference counted twice",IF(COUNTIF(Lists!$A$2:$A$7,I213)=0,"Unknown status","")))))</f>
        <v/>
      </c>
    </row>
    <row r="214" customFormat="false" ht="15" hidden="false" customHeight="false" outlineLevel="0" collapsed="false">
      <c r="A214" s="15" t="s">
        <v>2050</v>
      </c>
      <c r="B214" s="15" t="s">
        <v>577</v>
      </c>
      <c r="C214" s="15" t="s">
        <v>53</v>
      </c>
      <c r="D214" s="15" t="s">
        <v>2051</v>
      </c>
      <c r="E214" s="15" t="s">
        <v>2051</v>
      </c>
      <c r="F214" s="15" t="s">
        <v>578</v>
      </c>
      <c r="G214" s="15" t="n">
        <v>6</v>
      </c>
      <c r="H214" s="15"/>
      <c r="I214" s="15" t="s">
        <v>48</v>
      </c>
      <c r="J214" s="15" t="s">
        <v>1008</v>
      </c>
      <c r="K214" s="15" t="s">
        <v>48</v>
      </c>
      <c r="L214" s="15" t="n">
        <v>0</v>
      </c>
      <c r="M214" s="15" t="n">
        <v>0</v>
      </c>
      <c r="N214" s="15" t="n">
        <v>0</v>
      </c>
      <c r="O214" s="15" t="n">
        <v>0</v>
      </c>
      <c r="P214" s="15"/>
      <c r="Q214" s="15" t="s">
        <v>1009</v>
      </c>
      <c r="R214" s="15" t="s">
        <v>1010</v>
      </c>
      <c r="S214" s="15" t="s">
        <v>1050</v>
      </c>
      <c r="T214" s="15" t="n">
        <v>0</v>
      </c>
      <c r="U214" s="15" t="n">
        <v>4</v>
      </c>
      <c r="V214" s="15" t="n">
        <v>2</v>
      </c>
      <c r="W214" s="15" t="n">
        <v>0</v>
      </c>
      <c r="X214" s="15" t="n">
        <v>0</v>
      </c>
      <c r="Y214" s="15" t="n">
        <v>0</v>
      </c>
      <c r="Z214" s="15" t="s">
        <v>1012</v>
      </c>
      <c r="AA214" s="15" t="s">
        <v>1013</v>
      </c>
      <c r="AB214" s="15" t="s">
        <v>176</v>
      </c>
      <c r="AC214" s="15" t="s">
        <v>1027</v>
      </c>
      <c r="AD214" s="15" t="s">
        <v>2052</v>
      </c>
      <c r="AE214" s="15" t="s">
        <v>2053</v>
      </c>
      <c r="AF214" s="15" t="s">
        <v>2054</v>
      </c>
      <c r="AG214" s="15" t="s">
        <v>1731</v>
      </c>
      <c r="AH214" s="15" t="s">
        <v>1200</v>
      </c>
      <c r="AI214" s="15" t="s">
        <v>1042</v>
      </c>
      <c r="AJ214" s="15" t="n">
        <v>0</v>
      </c>
      <c r="AK214" s="15" t="n">
        <v>6</v>
      </c>
      <c r="AL214" s="15" t="n">
        <v>0</v>
      </c>
      <c r="AM214" s="15" t="n">
        <v>0</v>
      </c>
      <c r="AN214" s="15" t="n">
        <v>0</v>
      </c>
      <c r="AO214" s="15" t="n">
        <v>0</v>
      </c>
      <c r="AP214" s="15" t="s">
        <v>1325</v>
      </c>
      <c r="AQ214" s="15" t="s">
        <v>1021</v>
      </c>
      <c r="AR214" s="15" t="s">
        <v>169</v>
      </c>
      <c r="AS214" s="15"/>
      <c r="AT214" s="29" t="str">
        <f aca="false">IF(A214="","",IF(COUNTIF(Parcels!$A$2:$A$3000,B214)=0,"Parcel not found",IF(COUNTIF($A$2:$A$3000,A214)&gt;1,"Duplicate perm_id",IF(AND(R214="Yes",D214&lt;&gt;"",COUNTIFS($C$2:$C$3000,D214,$R$2:$R$3000,"Yes")&gt;1),"Reference counted twice",IF(COUNTIF(Lists!$A$2:$A$7,I214)=0,"Unknown status","")))))</f>
        <v/>
      </c>
    </row>
    <row r="215" customFormat="false" ht="15" hidden="false" customHeight="false" outlineLevel="0" collapsed="false">
      <c r="A215" s="15" t="s">
        <v>2055</v>
      </c>
      <c r="B215" s="15" t="s">
        <v>521</v>
      </c>
      <c r="C215" s="15" t="s">
        <v>52</v>
      </c>
      <c r="D215" s="15" t="s">
        <v>2056</v>
      </c>
      <c r="E215" s="15" t="s">
        <v>2056</v>
      </c>
      <c r="F215" s="15" t="s">
        <v>522</v>
      </c>
      <c r="G215" s="15" t="n">
        <v>6</v>
      </c>
      <c r="H215" s="15"/>
      <c r="I215" s="15" t="s">
        <v>48</v>
      </c>
      <c r="J215" s="15" t="s">
        <v>1008</v>
      </c>
      <c r="K215" s="15" t="s">
        <v>48</v>
      </c>
      <c r="L215" s="15" t="n">
        <v>0</v>
      </c>
      <c r="M215" s="15" t="n">
        <v>0</v>
      </c>
      <c r="N215" s="15" t="n">
        <v>0</v>
      </c>
      <c r="O215" s="15" t="n">
        <v>0</v>
      </c>
      <c r="P215" s="15"/>
      <c r="Q215" s="15" t="s">
        <v>1009</v>
      </c>
      <c r="R215" s="15" t="s">
        <v>1010</v>
      </c>
      <c r="S215" s="15" t="s">
        <v>1131</v>
      </c>
      <c r="T215" s="15"/>
      <c r="U215" s="15"/>
      <c r="V215" s="15"/>
      <c r="W215" s="15"/>
      <c r="X215" s="15"/>
      <c r="Y215" s="15"/>
      <c r="Z215" s="15" t="s">
        <v>1012</v>
      </c>
      <c r="AA215" s="15" t="s">
        <v>1035</v>
      </c>
      <c r="AB215" s="15" t="s">
        <v>1036</v>
      </c>
      <c r="AC215" s="15" t="s">
        <v>1037</v>
      </c>
      <c r="AD215" s="15" t="s">
        <v>2057</v>
      </c>
      <c r="AE215" s="15"/>
      <c r="AF215" s="15" t="s">
        <v>2058</v>
      </c>
      <c r="AG215" s="15" t="s">
        <v>1069</v>
      </c>
      <c r="AH215" s="15" t="s">
        <v>1200</v>
      </c>
      <c r="AI215" s="15" t="s">
        <v>1042</v>
      </c>
      <c r="AJ215" s="15" t="n">
        <v>0</v>
      </c>
      <c r="AK215" s="15" t="n">
        <v>4.7</v>
      </c>
      <c r="AL215" s="15" t="n">
        <v>1.3</v>
      </c>
      <c r="AM215" s="15" t="n">
        <v>0</v>
      </c>
      <c r="AN215" s="15" t="n">
        <v>0</v>
      </c>
      <c r="AO215" s="15" t="n">
        <v>0</v>
      </c>
      <c r="AP215" s="15" t="s">
        <v>1325</v>
      </c>
      <c r="AQ215" s="15" t="s">
        <v>1021</v>
      </c>
      <c r="AR215" s="15" t="s">
        <v>169</v>
      </c>
      <c r="AS215" s="15"/>
      <c r="AT215" s="29" t="str">
        <f aca="false">IF(A215="","",IF(COUNTIF(Parcels!$A$2:$A$3000,B215)=0,"Parcel not found",IF(COUNTIF($A$2:$A$3000,A215)&gt;1,"Duplicate perm_id",IF(AND(R215="Yes",D215&lt;&gt;"",COUNTIFS($C$2:$C$3000,D215,$R$2:$R$3000,"Yes")&gt;1),"Reference counted twice",IF(COUNTIF(Lists!$A$2:$A$7,I215)=0,"Unknown status","")))))</f>
        <v/>
      </c>
    </row>
    <row r="216" customFormat="false" ht="15" hidden="false" customHeight="false" outlineLevel="0" collapsed="false">
      <c r="A216" s="15" t="s">
        <v>2059</v>
      </c>
      <c r="B216" s="15" t="s">
        <v>579</v>
      </c>
      <c r="C216" s="15" t="s">
        <v>53</v>
      </c>
      <c r="D216" s="15" t="s">
        <v>2060</v>
      </c>
      <c r="E216" s="15" t="s">
        <v>2060</v>
      </c>
      <c r="F216" s="15" t="s">
        <v>580</v>
      </c>
      <c r="G216" s="15" t="n">
        <v>7</v>
      </c>
      <c r="H216" s="15"/>
      <c r="I216" s="15" t="s">
        <v>48</v>
      </c>
      <c r="J216" s="15" t="s">
        <v>1008</v>
      </c>
      <c r="K216" s="15" t="s">
        <v>48</v>
      </c>
      <c r="L216" s="15" t="n">
        <v>0</v>
      </c>
      <c r="M216" s="15" t="n">
        <v>0</v>
      </c>
      <c r="N216" s="15" t="n">
        <v>0</v>
      </c>
      <c r="O216" s="15" t="n">
        <v>0</v>
      </c>
      <c r="P216" s="15"/>
      <c r="Q216" s="15" t="s">
        <v>1009</v>
      </c>
      <c r="R216" s="15" t="s">
        <v>1010</v>
      </c>
      <c r="S216" s="15" t="s">
        <v>1026</v>
      </c>
      <c r="T216" s="15"/>
      <c r="U216" s="15"/>
      <c r="V216" s="15"/>
      <c r="W216" s="15"/>
      <c r="X216" s="15"/>
      <c r="Y216" s="15"/>
      <c r="Z216" s="15" t="s">
        <v>1012</v>
      </c>
      <c r="AA216" s="15" t="s">
        <v>1013</v>
      </c>
      <c r="AB216" s="15" t="s">
        <v>176</v>
      </c>
      <c r="AC216" s="15" t="s">
        <v>1027</v>
      </c>
      <c r="AD216" s="15" t="s">
        <v>2061</v>
      </c>
      <c r="AE216" s="15" t="s">
        <v>2062</v>
      </c>
      <c r="AF216" s="15" t="s">
        <v>2063</v>
      </c>
      <c r="AG216" s="15" t="s">
        <v>1731</v>
      </c>
      <c r="AH216" s="15" t="s">
        <v>1200</v>
      </c>
      <c r="AI216" s="15" t="s">
        <v>1042</v>
      </c>
      <c r="AJ216" s="15" t="n">
        <v>0</v>
      </c>
      <c r="AK216" s="15" t="n">
        <v>6.6</v>
      </c>
      <c r="AL216" s="15" t="n">
        <v>0.4</v>
      </c>
      <c r="AM216" s="15" t="n">
        <v>0</v>
      </c>
      <c r="AN216" s="15" t="n">
        <v>0</v>
      </c>
      <c r="AO216" s="15" t="n">
        <v>0</v>
      </c>
      <c r="AP216" s="15" t="s">
        <v>1325</v>
      </c>
      <c r="AQ216" s="15" t="s">
        <v>1021</v>
      </c>
      <c r="AR216" s="15" t="s">
        <v>169</v>
      </c>
      <c r="AS216" s="15"/>
      <c r="AT216" s="29" t="str">
        <f aca="false">IF(A216="","",IF(COUNTIF(Parcels!$A$2:$A$3000,B216)=0,"Parcel not found",IF(COUNTIF($A$2:$A$3000,A216)&gt;1,"Duplicate perm_id",IF(AND(R216="Yes",D216&lt;&gt;"",COUNTIFS($C$2:$C$3000,D216,$R$2:$R$3000,"Yes")&gt;1),"Reference counted twice",IF(COUNTIF(Lists!$A$2:$A$7,I216)=0,"Unknown status","")))))</f>
        <v/>
      </c>
    </row>
    <row r="217" customFormat="false" ht="15" hidden="false" customHeight="false" outlineLevel="0" collapsed="false">
      <c r="A217" s="15" t="s">
        <v>2064</v>
      </c>
      <c r="B217" s="15" t="s">
        <v>794</v>
      </c>
      <c r="C217" s="15" t="s">
        <v>74</v>
      </c>
      <c r="D217" s="15" t="s">
        <v>2065</v>
      </c>
      <c r="E217" s="15" t="s">
        <v>2065</v>
      </c>
      <c r="F217" s="15" t="s">
        <v>795</v>
      </c>
      <c r="G217" s="15" t="n">
        <v>63</v>
      </c>
      <c r="H217" s="15"/>
      <c r="I217" s="15" t="s">
        <v>1007</v>
      </c>
      <c r="J217" s="15" t="s">
        <v>1008</v>
      </c>
      <c r="K217" s="15" t="s">
        <v>1007</v>
      </c>
      <c r="L217" s="15" t="n">
        <v>0</v>
      </c>
      <c r="M217" s="15" t="n">
        <v>0</v>
      </c>
      <c r="N217" s="15" t="n">
        <v>0</v>
      </c>
      <c r="O217" s="15" t="n">
        <v>0</v>
      </c>
      <c r="P217" s="15"/>
      <c r="Q217" s="15" t="s">
        <v>1009</v>
      </c>
      <c r="R217" s="15" t="s">
        <v>1010</v>
      </c>
      <c r="S217" s="15" t="s">
        <v>1377</v>
      </c>
      <c r="T217" s="15" t="n">
        <v>0</v>
      </c>
      <c r="U217" s="15" t="n">
        <v>0</v>
      </c>
      <c r="V217" s="15" t="n">
        <v>5</v>
      </c>
      <c r="W217" s="15" t="n">
        <v>55</v>
      </c>
      <c r="X217" s="15" t="n">
        <v>3</v>
      </c>
      <c r="Y217" s="15" t="n">
        <v>0</v>
      </c>
      <c r="Z217" s="15" t="s">
        <v>1034</v>
      </c>
      <c r="AA217" s="15" t="s">
        <v>1013</v>
      </c>
      <c r="AB217" s="15" t="s">
        <v>176</v>
      </c>
      <c r="AC217" s="15" t="s">
        <v>1027</v>
      </c>
      <c r="AD217" s="15" t="s">
        <v>2066</v>
      </c>
      <c r="AE217" s="15" t="s">
        <v>2067</v>
      </c>
      <c r="AF217" s="15"/>
      <c r="AG217" s="15" t="s">
        <v>1017</v>
      </c>
      <c r="AH217" s="15" t="s">
        <v>1230</v>
      </c>
      <c r="AI217" s="15" t="s">
        <v>1019</v>
      </c>
      <c r="AJ217" s="15" t="n">
        <v>0</v>
      </c>
      <c r="AK217" s="15" t="n">
        <v>0</v>
      </c>
      <c r="AL217" s="15" t="n">
        <v>24.1</v>
      </c>
      <c r="AM217" s="15" t="n">
        <v>38.9</v>
      </c>
      <c r="AN217" s="15" t="n">
        <v>0</v>
      </c>
      <c r="AO217" s="15" t="n">
        <v>0</v>
      </c>
      <c r="AP217" s="15" t="s">
        <v>1325</v>
      </c>
      <c r="AQ217" s="15" t="s">
        <v>1021</v>
      </c>
      <c r="AR217" s="15" t="s">
        <v>169</v>
      </c>
      <c r="AS217" s="15"/>
      <c r="AT217" s="29" t="str">
        <f aca="false">IF(A217="","",IF(COUNTIF(Parcels!$A$2:$A$3000,B217)=0,"Parcel not found",IF(COUNTIF($A$2:$A$3000,A217)&gt;1,"Duplicate perm_id",IF(AND(R217="Yes",D217&lt;&gt;"",COUNTIFS($C$2:$C$3000,D217,$R$2:$R$3000,"Yes")&gt;1),"Reference counted twice",IF(COUNTIF(Lists!$A$2:$A$7,I217)=0,"Unknown status","")))))</f>
        <v/>
      </c>
    </row>
    <row r="218" customFormat="false" ht="15" hidden="false" customHeight="false" outlineLevel="0" collapsed="false">
      <c r="A218" s="15" t="s">
        <v>2068</v>
      </c>
      <c r="B218" s="15" t="s">
        <v>794</v>
      </c>
      <c r="C218" s="15" t="s">
        <v>74</v>
      </c>
      <c r="D218" s="15" t="s">
        <v>2069</v>
      </c>
      <c r="E218" s="15" t="s">
        <v>2069</v>
      </c>
      <c r="F218" s="15" t="s">
        <v>2070</v>
      </c>
      <c r="G218" s="15" t="n">
        <v>40</v>
      </c>
      <c r="H218" s="15"/>
      <c r="I218" s="15" t="s">
        <v>1118</v>
      </c>
      <c r="J218" s="15" t="s">
        <v>1008</v>
      </c>
      <c r="K218" s="15" t="s">
        <v>1118</v>
      </c>
      <c r="L218" s="15" t="n">
        <v>0</v>
      </c>
      <c r="M218" s="15" t="n">
        <v>0</v>
      </c>
      <c r="N218" s="15" t="n">
        <v>0</v>
      </c>
      <c r="O218" s="15" t="n">
        <v>0</v>
      </c>
      <c r="P218" s="15"/>
      <c r="Q218" s="15" t="s">
        <v>1009</v>
      </c>
      <c r="R218" s="15" t="s">
        <v>1010</v>
      </c>
      <c r="S218" s="15" t="s">
        <v>1377</v>
      </c>
      <c r="T218" s="15" t="n">
        <v>0</v>
      </c>
      <c r="U218" s="15" t="n">
        <v>0</v>
      </c>
      <c r="V218" s="15" t="n">
        <v>6</v>
      </c>
      <c r="W218" s="15" t="n">
        <v>34</v>
      </c>
      <c r="X218" s="15" t="n">
        <v>2</v>
      </c>
      <c r="Y218" s="15" t="n">
        <v>0</v>
      </c>
      <c r="Z218" s="15" t="s">
        <v>1034</v>
      </c>
      <c r="AA218" s="15" t="s">
        <v>1013</v>
      </c>
      <c r="AB218" s="15" t="s">
        <v>176</v>
      </c>
      <c r="AC218" s="15" t="s">
        <v>1027</v>
      </c>
      <c r="AD218" s="15" t="s">
        <v>2071</v>
      </c>
      <c r="AE218" s="15" t="s">
        <v>2072</v>
      </c>
      <c r="AF218" s="15"/>
      <c r="AG218" s="15"/>
      <c r="AH218" s="15"/>
      <c r="AI218" s="15" t="s">
        <v>1030</v>
      </c>
      <c r="AJ218" s="15" t="n">
        <v>0</v>
      </c>
      <c r="AK218" s="15" t="n">
        <v>0</v>
      </c>
      <c r="AL218" s="15" t="n">
        <v>0</v>
      </c>
      <c r="AM218" s="15" t="n">
        <v>0</v>
      </c>
      <c r="AN218" s="15" t="n">
        <v>0</v>
      </c>
      <c r="AO218" s="15" t="n">
        <v>0</v>
      </c>
      <c r="AP218" s="15" t="s">
        <v>1325</v>
      </c>
      <c r="AQ218" s="15" t="s">
        <v>1021</v>
      </c>
      <c r="AR218" s="15" t="s">
        <v>169</v>
      </c>
      <c r="AS218" s="15"/>
      <c r="AT218" s="29" t="str">
        <f aca="false">IF(A218="","",IF(COUNTIF(Parcels!$A$2:$A$3000,B218)=0,"Parcel not found",IF(COUNTIF($A$2:$A$3000,A218)&gt;1,"Duplicate perm_id",IF(AND(R218="Yes",D218&lt;&gt;"",COUNTIFS($C$2:$C$3000,D218,$R$2:$R$3000,"Yes")&gt;1),"Reference counted twice",IF(COUNTIF(Lists!$A$2:$A$7,I218)=0,"Unknown status","")))))</f>
        <v/>
      </c>
    </row>
    <row r="219" customFormat="false" ht="15" hidden="false" customHeight="false" outlineLevel="0" collapsed="false">
      <c r="A219" s="15" t="s">
        <v>2073</v>
      </c>
      <c r="B219" s="15" t="s">
        <v>794</v>
      </c>
      <c r="C219" s="15" t="s">
        <v>74</v>
      </c>
      <c r="D219" s="15" t="s">
        <v>2074</v>
      </c>
      <c r="E219" s="15" t="s">
        <v>2074</v>
      </c>
      <c r="F219" s="15" t="s">
        <v>2075</v>
      </c>
      <c r="G219" s="15" t="n">
        <v>49</v>
      </c>
      <c r="H219" s="15"/>
      <c r="I219" s="15" t="s">
        <v>1025</v>
      </c>
      <c r="J219" s="15" t="s">
        <v>1008</v>
      </c>
      <c r="K219" s="15" t="s">
        <v>1025</v>
      </c>
      <c r="L219" s="15" t="n">
        <v>0</v>
      </c>
      <c r="M219" s="15" t="n">
        <v>0</v>
      </c>
      <c r="N219" s="15" t="n">
        <v>0</v>
      </c>
      <c r="O219" s="15" t="n">
        <v>0</v>
      </c>
      <c r="P219" s="15"/>
      <c r="Q219" s="15" t="s">
        <v>1009</v>
      </c>
      <c r="R219" s="15" t="s">
        <v>1010</v>
      </c>
      <c r="S219" s="15" t="s">
        <v>1026</v>
      </c>
      <c r="T219" s="15"/>
      <c r="U219" s="15"/>
      <c r="V219" s="15"/>
      <c r="W219" s="15"/>
      <c r="X219" s="15"/>
      <c r="Y219" s="15"/>
      <c r="Z219" s="15" t="s">
        <v>1012</v>
      </c>
      <c r="AA219" s="15" t="s">
        <v>1013</v>
      </c>
      <c r="AB219" s="15" t="s">
        <v>176</v>
      </c>
      <c r="AC219" s="15" t="s">
        <v>1027</v>
      </c>
      <c r="AD219" s="15" t="s">
        <v>2076</v>
      </c>
      <c r="AE219" s="15" t="s">
        <v>2077</v>
      </c>
      <c r="AF219" s="15"/>
      <c r="AG219" s="15"/>
      <c r="AH219" s="15"/>
      <c r="AI219" s="15" t="s">
        <v>1030</v>
      </c>
      <c r="AJ219" s="15" t="n">
        <v>0</v>
      </c>
      <c r="AK219" s="15" t="n">
        <v>0</v>
      </c>
      <c r="AL219" s="15" t="n">
        <v>0</v>
      </c>
      <c r="AM219" s="15" t="n">
        <v>0</v>
      </c>
      <c r="AN219" s="15" t="n">
        <v>0</v>
      </c>
      <c r="AO219" s="15" t="n">
        <v>0</v>
      </c>
      <c r="AP219" s="15" t="s">
        <v>1325</v>
      </c>
      <c r="AQ219" s="15" t="s">
        <v>1021</v>
      </c>
      <c r="AR219" s="15" t="s">
        <v>169</v>
      </c>
      <c r="AS219" s="15"/>
      <c r="AT219" s="29" t="str">
        <f aca="false">IF(A219="","",IF(COUNTIF(Parcels!$A$2:$A$3000,B219)=0,"Parcel not found",IF(COUNTIF($A$2:$A$3000,A219)&gt;1,"Duplicate perm_id",IF(AND(R219="Yes",D219&lt;&gt;"",COUNTIFS($C$2:$C$3000,D219,$R$2:$R$3000,"Yes")&gt;1),"Reference counted twice",IF(COUNTIF(Lists!$A$2:$A$7,I219)=0,"Unknown status","")))))</f>
        <v/>
      </c>
    </row>
    <row r="220" customFormat="false" ht="15" hidden="false" customHeight="false" outlineLevel="0" collapsed="false">
      <c r="A220" s="15" t="s">
        <v>2078</v>
      </c>
      <c r="B220" s="15" t="s">
        <v>796</v>
      </c>
      <c r="C220" s="15" t="s">
        <v>73</v>
      </c>
      <c r="D220" s="15" t="s">
        <v>2079</v>
      </c>
      <c r="E220" s="15" t="s">
        <v>2079</v>
      </c>
      <c r="F220" s="15" t="s">
        <v>797</v>
      </c>
      <c r="G220" s="15" t="n">
        <v>4</v>
      </c>
      <c r="H220" s="15"/>
      <c r="I220" s="15" t="s">
        <v>48</v>
      </c>
      <c r="J220" s="15" t="s">
        <v>1008</v>
      </c>
      <c r="K220" s="15" t="s">
        <v>48</v>
      </c>
      <c r="L220" s="15" t="n">
        <v>0</v>
      </c>
      <c r="M220" s="15" t="n">
        <v>0</v>
      </c>
      <c r="N220" s="15" t="n">
        <v>0</v>
      </c>
      <c r="O220" s="15" t="n">
        <v>0</v>
      </c>
      <c r="P220" s="15"/>
      <c r="Q220" s="15" t="s">
        <v>1009</v>
      </c>
      <c r="R220" s="15" t="s">
        <v>1010</v>
      </c>
      <c r="S220" s="15" t="s">
        <v>1026</v>
      </c>
      <c r="T220" s="15"/>
      <c r="U220" s="15"/>
      <c r="V220" s="15"/>
      <c r="W220" s="15"/>
      <c r="X220" s="15"/>
      <c r="Y220" s="15"/>
      <c r="Z220" s="15" t="s">
        <v>1012</v>
      </c>
      <c r="AA220" s="15" t="s">
        <v>1013</v>
      </c>
      <c r="AB220" s="15" t="s">
        <v>176</v>
      </c>
      <c r="AC220" s="15" t="s">
        <v>1027</v>
      </c>
      <c r="AD220" s="15" t="s">
        <v>2080</v>
      </c>
      <c r="AE220" s="15" t="s">
        <v>2081</v>
      </c>
      <c r="AF220" s="15" t="s">
        <v>2082</v>
      </c>
      <c r="AG220" s="15" t="s">
        <v>1731</v>
      </c>
      <c r="AH220" s="15" t="s">
        <v>1200</v>
      </c>
      <c r="AI220" s="15" t="s">
        <v>1042</v>
      </c>
      <c r="AJ220" s="15" t="n">
        <v>0</v>
      </c>
      <c r="AK220" s="15" t="n">
        <v>3.7</v>
      </c>
      <c r="AL220" s="15" t="n">
        <v>0.3</v>
      </c>
      <c r="AM220" s="15" t="n">
        <v>0</v>
      </c>
      <c r="AN220" s="15" t="n">
        <v>0</v>
      </c>
      <c r="AO220" s="15" t="n">
        <v>0</v>
      </c>
      <c r="AP220" s="15" t="s">
        <v>1325</v>
      </c>
      <c r="AQ220" s="15" t="s">
        <v>1021</v>
      </c>
      <c r="AR220" s="15" t="s">
        <v>169</v>
      </c>
      <c r="AS220" s="15"/>
      <c r="AT220" s="29" t="str">
        <f aca="false">IF(A220="","",IF(COUNTIF(Parcels!$A$2:$A$3000,B220)=0,"Parcel not found",IF(COUNTIF($A$2:$A$3000,A220)&gt;1,"Duplicate perm_id",IF(AND(R220="Yes",D220&lt;&gt;"",COUNTIFS($C$2:$C$3000,D220,$R$2:$R$3000,"Yes")&gt;1),"Reference counted twice",IF(COUNTIF(Lists!$A$2:$A$7,I220)=0,"Unknown status","")))))</f>
        <v/>
      </c>
    </row>
    <row r="221" customFormat="false" ht="15" hidden="false" customHeight="false" outlineLevel="0" collapsed="false">
      <c r="A221" s="15" t="s">
        <v>2083</v>
      </c>
      <c r="B221" s="15" t="s">
        <v>581</v>
      </c>
      <c r="C221" s="15" t="s">
        <v>53</v>
      </c>
      <c r="D221" s="15" t="s">
        <v>2084</v>
      </c>
      <c r="E221" s="15" t="s">
        <v>2084</v>
      </c>
      <c r="F221" s="15" t="s">
        <v>582</v>
      </c>
      <c r="G221" s="15" t="n">
        <v>16</v>
      </c>
      <c r="H221" s="15"/>
      <c r="I221" s="15" t="s">
        <v>1007</v>
      </c>
      <c r="J221" s="15" t="s">
        <v>1008</v>
      </c>
      <c r="K221" s="15" t="s">
        <v>1007</v>
      </c>
      <c r="L221" s="15" t="n">
        <v>0</v>
      </c>
      <c r="M221" s="15" t="n">
        <v>0</v>
      </c>
      <c r="N221" s="15" t="n">
        <v>0</v>
      </c>
      <c r="O221" s="15" t="n">
        <v>0</v>
      </c>
      <c r="P221" s="15"/>
      <c r="Q221" s="15" t="s">
        <v>1009</v>
      </c>
      <c r="R221" s="15" t="s">
        <v>1010</v>
      </c>
      <c r="S221" s="15" t="s">
        <v>1011</v>
      </c>
      <c r="T221" s="15" t="n">
        <v>0</v>
      </c>
      <c r="U221" s="15" t="n">
        <v>14</v>
      </c>
      <c r="V221" s="15" t="n">
        <v>2</v>
      </c>
      <c r="W221" s="15" t="n">
        <v>0</v>
      </c>
      <c r="X221" s="15" t="n">
        <v>0</v>
      </c>
      <c r="Y221" s="15" t="n">
        <v>0</v>
      </c>
      <c r="Z221" s="15" t="s">
        <v>1034</v>
      </c>
      <c r="AA221" s="15" t="s">
        <v>1013</v>
      </c>
      <c r="AB221" s="15" t="s">
        <v>176</v>
      </c>
      <c r="AC221" s="15" t="s">
        <v>1027</v>
      </c>
      <c r="AD221" s="15" t="s">
        <v>2085</v>
      </c>
      <c r="AE221" s="15" t="s">
        <v>2086</v>
      </c>
      <c r="AF221" s="15"/>
      <c r="AG221" s="15" t="s">
        <v>1041</v>
      </c>
      <c r="AH221" s="15" t="s">
        <v>1230</v>
      </c>
      <c r="AI221" s="15" t="s">
        <v>1061</v>
      </c>
      <c r="AJ221" s="15" t="n">
        <v>0</v>
      </c>
      <c r="AK221" s="15" t="n">
        <v>0</v>
      </c>
      <c r="AL221" s="15" t="n">
        <v>3.1</v>
      </c>
      <c r="AM221" s="15" t="n">
        <v>12.9</v>
      </c>
      <c r="AN221" s="15" t="n">
        <v>0</v>
      </c>
      <c r="AO221" s="15" t="n">
        <v>0</v>
      </c>
      <c r="AP221" s="15" t="s">
        <v>1325</v>
      </c>
      <c r="AQ221" s="15" t="s">
        <v>1021</v>
      </c>
      <c r="AR221" s="15" t="s">
        <v>169</v>
      </c>
      <c r="AS221" s="15"/>
      <c r="AT221" s="29" t="str">
        <f aca="false">IF(A221="","",IF(COUNTIF(Parcels!$A$2:$A$3000,B221)=0,"Parcel not found",IF(COUNTIF($A$2:$A$3000,A221)&gt;1,"Duplicate perm_id",IF(AND(R221="Yes",D221&lt;&gt;"",COUNTIFS($C$2:$C$3000,D221,$R$2:$R$3000,"Yes")&gt;1),"Reference counted twice",IF(COUNTIF(Lists!$A$2:$A$7,I221)=0,"Unknown status","")))))</f>
        <v/>
      </c>
    </row>
    <row r="222" customFormat="false" ht="15" hidden="false" customHeight="false" outlineLevel="0" collapsed="false">
      <c r="A222" s="15" t="s">
        <v>2087</v>
      </c>
      <c r="B222" s="15" t="s">
        <v>626</v>
      </c>
      <c r="C222" s="15" t="s">
        <v>55</v>
      </c>
      <c r="D222" s="15" t="s">
        <v>2088</v>
      </c>
      <c r="E222" s="15" t="s">
        <v>2088</v>
      </c>
      <c r="F222" s="15" t="s">
        <v>627</v>
      </c>
      <c r="G222" s="15" t="n">
        <v>24</v>
      </c>
      <c r="H222" s="15"/>
      <c r="I222" s="15" t="s">
        <v>1007</v>
      </c>
      <c r="J222" s="15" t="s">
        <v>1008</v>
      </c>
      <c r="K222" s="15" t="s">
        <v>1007</v>
      </c>
      <c r="L222" s="15" t="n">
        <v>0</v>
      </c>
      <c r="M222" s="15" t="n">
        <v>0</v>
      </c>
      <c r="N222" s="15" t="n">
        <v>0</v>
      </c>
      <c r="O222" s="15" t="n">
        <v>0</v>
      </c>
      <c r="P222" s="15"/>
      <c r="Q222" s="15" t="s">
        <v>1009</v>
      </c>
      <c r="R222" s="15" t="s">
        <v>1010</v>
      </c>
      <c r="S222" s="15" t="s">
        <v>1011</v>
      </c>
      <c r="T222" s="15" t="n">
        <v>0</v>
      </c>
      <c r="U222" s="15" t="n">
        <v>8</v>
      </c>
      <c r="V222" s="15" t="n">
        <v>12</v>
      </c>
      <c r="W222" s="15" t="n">
        <v>4</v>
      </c>
      <c r="X222" s="15" t="n">
        <v>0</v>
      </c>
      <c r="Y222" s="15" t="n">
        <v>0</v>
      </c>
      <c r="Z222" s="15" t="s">
        <v>1034</v>
      </c>
      <c r="AA222" s="15" t="s">
        <v>1013</v>
      </c>
      <c r="AB222" s="15" t="s">
        <v>176</v>
      </c>
      <c r="AC222" s="15" t="s">
        <v>1027</v>
      </c>
      <c r="AD222" s="15" t="s">
        <v>2089</v>
      </c>
      <c r="AE222" s="15" t="s">
        <v>2090</v>
      </c>
      <c r="AF222" s="15"/>
      <c r="AG222" s="15" t="s">
        <v>1017</v>
      </c>
      <c r="AH222" s="15" t="s">
        <v>2091</v>
      </c>
      <c r="AI222" s="15" t="s">
        <v>1061</v>
      </c>
      <c r="AJ222" s="15" t="n">
        <v>0</v>
      </c>
      <c r="AK222" s="15" t="n">
        <v>0</v>
      </c>
      <c r="AL222" s="15" t="n">
        <v>4.2</v>
      </c>
      <c r="AM222" s="15" t="n">
        <v>12.8</v>
      </c>
      <c r="AN222" s="15" t="n">
        <v>7</v>
      </c>
      <c r="AO222" s="15" t="n">
        <v>0</v>
      </c>
      <c r="AP222" s="15" t="s">
        <v>1325</v>
      </c>
      <c r="AQ222" s="15" t="s">
        <v>1021</v>
      </c>
      <c r="AR222" s="15" t="s">
        <v>169</v>
      </c>
      <c r="AS222" s="15"/>
      <c r="AT222" s="29" t="str">
        <f aca="false">IF(A222="","",IF(COUNTIF(Parcels!$A$2:$A$3000,B222)=0,"Parcel not found",IF(COUNTIF($A$2:$A$3000,A222)&gt;1,"Duplicate perm_id",IF(AND(R222="Yes",D222&lt;&gt;"",COUNTIFS($C$2:$C$3000,D222,$R$2:$R$3000,"Yes")&gt;1),"Reference counted twice",IF(COUNTIF(Lists!$A$2:$A$7,I222)=0,"Unknown status","")))))</f>
        <v/>
      </c>
    </row>
    <row r="223" customFormat="false" ht="15" hidden="false" customHeight="false" outlineLevel="0" collapsed="false">
      <c r="A223" s="15" t="s">
        <v>2092</v>
      </c>
      <c r="B223" s="15" t="s">
        <v>583</v>
      </c>
      <c r="C223" s="15" t="s">
        <v>53</v>
      </c>
      <c r="D223" s="15" t="s">
        <v>2093</v>
      </c>
      <c r="E223" s="15" t="s">
        <v>2093</v>
      </c>
      <c r="F223" s="15" t="s">
        <v>584</v>
      </c>
      <c r="G223" s="15" t="n">
        <v>48</v>
      </c>
      <c r="H223" s="15"/>
      <c r="I223" s="15" t="s">
        <v>1007</v>
      </c>
      <c r="J223" s="15" t="s">
        <v>1008</v>
      </c>
      <c r="K223" s="15" t="s">
        <v>1007</v>
      </c>
      <c r="L223" s="15" t="n">
        <v>0</v>
      </c>
      <c r="M223" s="15" t="n">
        <v>0</v>
      </c>
      <c r="N223" s="15" t="n">
        <v>0</v>
      </c>
      <c r="O223" s="15" t="n">
        <v>0</v>
      </c>
      <c r="P223" s="15"/>
      <c r="Q223" s="15" t="s">
        <v>1009</v>
      </c>
      <c r="R223" s="15" t="s">
        <v>1010</v>
      </c>
      <c r="S223" s="15" t="s">
        <v>1011</v>
      </c>
      <c r="T223" s="15" t="n">
        <v>0</v>
      </c>
      <c r="U223" s="15" t="n">
        <v>25</v>
      </c>
      <c r="V223" s="15" t="n">
        <v>23</v>
      </c>
      <c r="W223" s="15" t="n">
        <v>0</v>
      </c>
      <c r="X223" s="15" t="n">
        <v>0</v>
      </c>
      <c r="Y223" s="15" t="n">
        <v>0</v>
      </c>
      <c r="Z223" s="15" t="s">
        <v>1012</v>
      </c>
      <c r="AA223" s="15" t="s">
        <v>1013</v>
      </c>
      <c r="AB223" s="15" t="s">
        <v>176</v>
      </c>
      <c r="AC223" s="15" t="s">
        <v>1027</v>
      </c>
      <c r="AD223" s="15" t="s">
        <v>2094</v>
      </c>
      <c r="AE223" s="15" t="s">
        <v>2095</v>
      </c>
      <c r="AF223" s="15"/>
      <c r="AG223" s="15" t="s">
        <v>1059</v>
      </c>
      <c r="AH223" s="15" t="s">
        <v>1127</v>
      </c>
      <c r="AI223" s="15" t="s">
        <v>1061</v>
      </c>
      <c r="AJ223" s="15" t="n">
        <v>0</v>
      </c>
      <c r="AK223" s="15" t="n">
        <v>0</v>
      </c>
      <c r="AL223" s="15" t="n">
        <v>20.5</v>
      </c>
      <c r="AM223" s="15" t="n">
        <v>27.5</v>
      </c>
      <c r="AN223" s="15" t="n">
        <v>0</v>
      </c>
      <c r="AO223" s="15" t="n">
        <v>0</v>
      </c>
      <c r="AP223" s="15" t="s">
        <v>1325</v>
      </c>
      <c r="AQ223" s="15" t="s">
        <v>1021</v>
      </c>
      <c r="AR223" s="15" t="s">
        <v>169</v>
      </c>
      <c r="AS223" s="15"/>
      <c r="AT223" s="29" t="str">
        <f aca="false">IF(A223="","",IF(COUNTIF(Parcels!$A$2:$A$3000,B223)=0,"Parcel not found",IF(COUNTIF($A$2:$A$3000,A223)&gt;1,"Duplicate perm_id",IF(AND(R223="Yes",D223&lt;&gt;"",COUNTIFS($C$2:$C$3000,D223,$R$2:$R$3000,"Yes")&gt;1),"Reference counted twice",IF(COUNTIF(Lists!$A$2:$A$7,I223)=0,"Unknown status","")))))</f>
        <v/>
      </c>
    </row>
    <row r="224" customFormat="false" ht="15" hidden="false" customHeight="false" outlineLevel="0" collapsed="false">
      <c r="A224" s="15" t="s">
        <v>2096</v>
      </c>
      <c r="B224" s="15" t="s">
        <v>585</v>
      </c>
      <c r="C224" s="15" t="s">
        <v>53</v>
      </c>
      <c r="D224" s="15" t="s">
        <v>2097</v>
      </c>
      <c r="E224" s="15" t="s">
        <v>2097</v>
      </c>
      <c r="F224" s="15" t="s">
        <v>586</v>
      </c>
      <c r="G224" s="15" t="n">
        <v>6</v>
      </c>
      <c r="H224" s="15"/>
      <c r="I224" s="15" t="s">
        <v>1007</v>
      </c>
      <c r="J224" s="15" t="s">
        <v>1008</v>
      </c>
      <c r="K224" s="15" t="s">
        <v>1007</v>
      </c>
      <c r="L224" s="15" t="n">
        <v>0</v>
      </c>
      <c r="M224" s="15" t="n">
        <v>0</v>
      </c>
      <c r="N224" s="15" t="n">
        <v>0</v>
      </c>
      <c r="O224" s="15" t="n">
        <v>0</v>
      </c>
      <c r="P224" s="15"/>
      <c r="Q224" s="15" t="s">
        <v>1009</v>
      </c>
      <c r="R224" s="15" t="s">
        <v>1010</v>
      </c>
      <c r="S224" s="15" t="s">
        <v>1050</v>
      </c>
      <c r="T224" s="15" t="n">
        <v>0</v>
      </c>
      <c r="U224" s="15" t="n">
        <v>6</v>
      </c>
      <c r="V224" s="15" t="n">
        <v>0</v>
      </c>
      <c r="W224" s="15" t="n">
        <v>0</v>
      </c>
      <c r="X224" s="15" t="n">
        <v>0</v>
      </c>
      <c r="Y224" s="15" t="n">
        <v>0</v>
      </c>
      <c r="Z224" s="15" t="s">
        <v>1034</v>
      </c>
      <c r="AA224" s="15" t="s">
        <v>1013</v>
      </c>
      <c r="AB224" s="15" t="s">
        <v>176</v>
      </c>
      <c r="AC224" s="15" t="s">
        <v>1027</v>
      </c>
      <c r="AD224" s="15" t="s">
        <v>1315</v>
      </c>
      <c r="AE224" s="15" t="s">
        <v>1316</v>
      </c>
      <c r="AF224" s="15"/>
      <c r="AG224" s="15" t="s">
        <v>1059</v>
      </c>
      <c r="AH224" s="15" t="s">
        <v>1194</v>
      </c>
      <c r="AI224" s="15" t="s">
        <v>1061</v>
      </c>
      <c r="AJ224" s="15" t="n">
        <v>0</v>
      </c>
      <c r="AK224" s="15" t="n">
        <v>0</v>
      </c>
      <c r="AL224" s="15" t="n">
        <v>4.5</v>
      </c>
      <c r="AM224" s="15" t="n">
        <v>1.5</v>
      </c>
      <c r="AN224" s="15" t="n">
        <v>0</v>
      </c>
      <c r="AO224" s="15" t="n">
        <v>0</v>
      </c>
      <c r="AP224" s="15" t="s">
        <v>1325</v>
      </c>
      <c r="AQ224" s="15" t="s">
        <v>1021</v>
      </c>
      <c r="AR224" s="15" t="s">
        <v>169</v>
      </c>
      <c r="AS224" s="15"/>
      <c r="AT224" s="29" t="str">
        <f aca="false">IF(A224="","",IF(COUNTIF(Parcels!$A$2:$A$3000,B224)=0,"Parcel not found",IF(COUNTIF($A$2:$A$3000,A224)&gt;1,"Duplicate perm_id",IF(AND(R224="Yes",D224&lt;&gt;"",COUNTIFS($C$2:$C$3000,D224,$R$2:$R$3000,"Yes")&gt;1),"Reference counted twice",IF(COUNTIF(Lists!$A$2:$A$7,I224)=0,"Unknown status","")))))</f>
        <v/>
      </c>
    </row>
    <row r="225" customFormat="false" ht="15" hidden="false" customHeight="false" outlineLevel="0" collapsed="false">
      <c r="A225" s="15" t="s">
        <v>2098</v>
      </c>
      <c r="B225" s="15" t="s">
        <v>798</v>
      </c>
      <c r="C225" s="15" t="s">
        <v>74</v>
      </c>
      <c r="D225" s="15" t="s">
        <v>2099</v>
      </c>
      <c r="E225" s="15" t="s">
        <v>2099</v>
      </c>
      <c r="F225" s="15" t="s">
        <v>799</v>
      </c>
      <c r="G225" s="15" t="n">
        <v>6</v>
      </c>
      <c r="H225" s="15"/>
      <c r="I225" s="15" t="s">
        <v>1007</v>
      </c>
      <c r="J225" s="15" t="s">
        <v>1008</v>
      </c>
      <c r="K225" s="15" t="s">
        <v>1007</v>
      </c>
      <c r="L225" s="15" t="n">
        <v>0</v>
      </c>
      <c r="M225" s="15" t="n">
        <v>0</v>
      </c>
      <c r="N225" s="15" t="n">
        <v>0</v>
      </c>
      <c r="O225" s="15" t="n">
        <v>0</v>
      </c>
      <c r="P225" s="15"/>
      <c r="Q225" s="15" t="s">
        <v>1009</v>
      </c>
      <c r="R225" s="15" t="s">
        <v>1010</v>
      </c>
      <c r="S225" s="15" t="s">
        <v>1026</v>
      </c>
      <c r="T225" s="15"/>
      <c r="U225" s="15"/>
      <c r="V225" s="15"/>
      <c r="W225" s="15"/>
      <c r="X225" s="15"/>
      <c r="Y225" s="15"/>
      <c r="Z225" s="15" t="s">
        <v>1034</v>
      </c>
      <c r="AA225" s="15" t="s">
        <v>1013</v>
      </c>
      <c r="AB225" s="15" t="s">
        <v>176</v>
      </c>
      <c r="AC225" s="15" t="s">
        <v>1027</v>
      </c>
      <c r="AD225" s="15" t="s">
        <v>2100</v>
      </c>
      <c r="AE225" s="15" t="s">
        <v>2101</v>
      </c>
      <c r="AF225" s="15"/>
      <c r="AG225" s="15" t="s">
        <v>1017</v>
      </c>
      <c r="AH225" s="15" t="s">
        <v>1194</v>
      </c>
      <c r="AI225" s="15" t="s">
        <v>1061</v>
      </c>
      <c r="AJ225" s="15" t="n">
        <v>0</v>
      </c>
      <c r="AK225" s="15" t="n">
        <v>0</v>
      </c>
      <c r="AL225" s="15" t="n">
        <v>3.7</v>
      </c>
      <c r="AM225" s="15" t="n">
        <v>2.3</v>
      </c>
      <c r="AN225" s="15" t="n">
        <v>0</v>
      </c>
      <c r="AO225" s="15" t="n">
        <v>0</v>
      </c>
      <c r="AP225" s="15" t="s">
        <v>1325</v>
      </c>
      <c r="AQ225" s="15" t="s">
        <v>1021</v>
      </c>
      <c r="AR225" s="15" t="s">
        <v>169</v>
      </c>
      <c r="AS225" s="15"/>
      <c r="AT225" s="29" t="str">
        <f aca="false">IF(A225="","",IF(COUNTIF(Parcels!$A$2:$A$3000,B225)=0,"Parcel not found",IF(COUNTIF($A$2:$A$3000,A225)&gt;1,"Duplicate perm_id",IF(AND(R225="Yes",D225&lt;&gt;"",COUNTIFS($C$2:$C$3000,D225,$R$2:$R$3000,"Yes")&gt;1),"Reference counted twice",IF(COUNTIF(Lists!$A$2:$A$7,I225)=0,"Unknown status","")))))</f>
        <v/>
      </c>
    </row>
    <row r="226" customFormat="false" ht="15" hidden="false" customHeight="false" outlineLevel="0" collapsed="false">
      <c r="A226" s="15" t="s">
        <v>2102</v>
      </c>
      <c r="B226" s="15" t="s">
        <v>587</v>
      </c>
      <c r="C226" s="15" t="s">
        <v>53</v>
      </c>
      <c r="D226" s="15" t="s">
        <v>2103</v>
      </c>
      <c r="E226" s="15" t="s">
        <v>2103</v>
      </c>
      <c r="F226" s="15" t="s">
        <v>588</v>
      </c>
      <c r="G226" s="15" t="n">
        <v>22</v>
      </c>
      <c r="H226" s="15"/>
      <c r="I226" s="15" t="s">
        <v>1007</v>
      </c>
      <c r="J226" s="15" t="s">
        <v>1008</v>
      </c>
      <c r="K226" s="15" t="s">
        <v>1007</v>
      </c>
      <c r="L226" s="15" t="n">
        <v>0</v>
      </c>
      <c r="M226" s="15" t="n">
        <v>0</v>
      </c>
      <c r="N226" s="15" t="n">
        <v>0</v>
      </c>
      <c r="O226" s="15" t="n">
        <v>0</v>
      </c>
      <c r="P226" s="15"/>
      <c r="Q226" s="15" t="s">
        <v>1009</v>
      </c>
      <c r="R226" s="15" t="s">
        <v>1010</v>
      </c>
      <c r="S226" s="15" t="s">
        <v>1011</v>
      </c>
      <c r="T226" s="15" t="n">
        <v>0</v>
      </c>
      <c r="U226" s="15" t="n">
        <v>16</v>
      </c>
      <c r="V226" s="15" t="n">
        <v>6</v>
      </c>
      <c r="W226" s="15" t="n">
        <v>0</v>
      </c>
      <c r="X226" s="15" t="n">
        <v>0</v>
      </c>
      <c r="Y226" s="15" t="n">
        <v>0</v>
      </c>
      <c r="Z226" s="15" t="s">
        <v>1034</v>
      </c>
      <c r="AA226" s="15" t="s">
        <v>1013</v>
      </c>
      <c r="AB226" s="15" t="s">
        <v>176</v>
      </c>
      <c r="AC226" s="15" t="s">
        <v>1027</v>
      </c>
      <c r="AD226" s="15" t="s">
        <v>2104</v>
      </c>
      <c r="AE226" s="15" t="s">
        <v>2105</v>
      </c>
      <c r="AF226" s="15"/>
      <c r="AG226" s="15" t="s">
        <v>1041</v>
      </c>
      <c r="AH226" s="15" t="s">
        <v>1201</v>
      </c>
      <c r="AI226" s="15" t="s">
        <v>1061</v>
      </c>
      <c r="AJ226" s="15" t="n">
        <v>0</v>
      </c>
      <c r="AK226" s="15" t="n">
        <v>0</v>
      </c>
      <c r="AL226" s="15" t="n">
        <v>2.4</v>
      </c>
      <c r="AM226" s="15" t="n">
        <v>13.5</v>
      </c>
      <c r="AN226" s="15" t="n">
        <v>6.2</v>
      </c>
      <c r="AO226" s="15" t="n">
        <v>-0.1</v>
      </c>
      <c r="AP226" s="15" t="s">
        <v>1325</v>
      </c>
      <c r="AQ226" s="15" t="s">
        <v>1021</v>
      </c>
      <c r="AR226" s="15" t="s">
        <v>169</v>
      </c>
      <c r="AS226" s="15"/>
      <c r="AT226" s="29" t="str">
        <f aca="false">IF(A226="","",IF(COUNTIF(Parcels!$A$2:$A$3000,B226)=0,"Parcel not found",IF(COUNTIF($A$2:$A$3000,A226)&gt;1,"Duplicate perm_id",IF(AND(R226="Yes",D226&lt;&gt;"",COUNTIFS($C$2:$C$3000,D226,$R$2:$R$3000,"Yes")&gt;1),"Reference counted twice",IF(COUNTIF(Lists!$A$2:$A$7,I226)=0,"Unknown status","")))))</f>
        <v/>
      </c>
    </row>
    <row r="227" customFormat="false" ht="15" hidden="false" customHeight="false" outlineLevel="0" collapsed="false">
      <c r="A227" s="15" t="s">
        <v>2106</v>
      </c>
      <c r="B227" s="15" t="s">
        <v>800</v>
      </c>
      <c r="C227" s="15" t="s">
        <v>68</v>
      </c>
      <c r="D227" s="15" t="s">
        <v>2107</v>
      </c>
      <c r="E227" s="15" t="s">
        <v>2107</v>
      </c>
      <c r="F227" s="15" t="s">
        <v>801</v>
      </c>
      <c r="G227" s="15" t="n">
        <v>8</v>
      </c>
      <c r="H227" s="15"/>
      <c r="I227" s="15" t="s">
        <v>1007</v>
      </c>
      <c r="J227" s="15" t="s">
        <v>1008</v>
      </c>
      <c r="K227" s="15" t="s">
        <v>1007</v>
      </c>
      <c r="L227" s="15" t="n">
        <v>0</v>
      </c>
      <c r="M227" s="15" t="n">
        <v>0</v>
      </c>
      <c r="N227" s="15" t="n">
        <v>0</v>
      </c>
      <c r="O227" s="15" t="n">
        <v>0</v>
      </c>
      <c r="P227" s="15"/>
      <c r="Q227" s="15" t="s">
        <v>1009</v>
      </c>
      <c r="R227" s="15" t="s">
        <v>1010</v>
      </c>
      <c r="S227" s="15" t="s">
        <v>1026</v>
      </c>
      <c r="T227" s="15"/>
      <c r="U227" s="15"/>
      <c r="V227" s="15"/>
      <c r="W227" s="15"/>
      <c r="X227" s="15"/>
      <c r="Y227" s="15"/>
      <c r="Z227" s="15" t="s">
        <v>1012</v>
      </c>
      <c r="AA227" s="15" t="s">
        <v>1013</v>
      </c>
      <c r="AB227" s="15" t="s">
        <v>176</v>
      </c>
      <c r="AC227" s="15" t="s">
        <v>1027</v>
      </c>
      <c r="AD227" s="15" t="s">
        <v>2108</v>
      </c>
      <c r="AE227" s="15" t="s">
        <v>2109</v>
      </c>
      <c r="AF227" s="15"/>
      <c r="AG227" s="15" t="s">
        <v>1041</v>
      </c>
      <c r="AH227" s="15" t="s">
        <v>1230</v>
      </c>
      <c r="AI227" s="15" t="s">
        <v>1061</v>
      </c>
      <c r="AJ227" s="15" t="n">
        <v>0</v>
      </c>
      <c r="AK227" s="15" t="n">
        <v>0</v>
      </c>
      <c r="AL227" s="15" t="n">
        <v>0.5</v>
      </c>
      <c r="AM227" s="15" t="n">
        <v>7.5</v>
      </c>
      <c r="AN227" s="15" t="n">
        <v>0</v>
      </c>
      <c r="AO227" s="15" t="n">
        <v>0</v>
      </c>
      <c r="AP227" s="15" t="s">
        <v>1325</v>
      </c>
      <c r="AQ227" s="15" t="s">
        <v>1021</v>
      </c>
      <c r="AR227" s="15" t="s">
        <v>169</v>
      </c>
      <c r="AS227" s="15"/>
      <c r="AT227" s="29" t="str">
        <f aca="false">IF(A227="","",IF(COUNTIF(Parcels!$A$2:$A$3000,B227)=0,"Parcel not found",IF(COUNTIF($A$2:$A$3000,A227)&gt;1,"Duplicate perm_id",IF(AND(R227="Yes",D227&lt;&gt;"",COUNTIFS($C$2:$C$3000,D227,$R$2:$R$3000,"Yes")&gt;1),"Reference counted twice",IF(COUNTIF(Lists!$A$2:$A$7,I227)=0,"Unknown status","")))))</f>
        <v/>
      </c>
    </row>
    <row r="228" customFormat="false" ht="15" hidden="false" customHeight="false" outlineLevel="0" collapsed="false">
      <c r="A228" s="15" t="s">
        <v>2110</v>
      </c>
      <c r="B228" s="15" t="s">
        <v>802</v>
      </c>
      <c r="C228" s="15" t="s">
        <v>67</v>
      </c>
      <c r="D228" s="15" t="s">
        <v>2111</v>
      </c>
      <c r="E228" s="15" t="s">
        <v>2111</v>
      </c>
      <c r="F228" s="15" t="s">
        <v>803</v>
      </c>
      <c r="G228" s="15" t="n">
        <v>10</v>
      </c>
      <c r="H228" s="15"/>
      <c r="I228" s="15" t="s">
        <v>48</v>
      </c>
      <c r="J228" s="15" t="s">
        <v>1008</v>
      </c>
      <c r="K228" s="15" t="s">
        <v>48</v>
      </c>
      <c r="L228" s="15" t="n">
        <v>0</v>
      </c>
      <c r="M228" s="15" t="n">
        <v>0</v>
      </c>
      <c r="N228" s="15" t="n">
        <v>0</v>
      </c>
      <c r="O228" s="15" t="n">
        <v>0</v>
      </c>
      <c r="P228" s="15"/>
      <c r="Q228" s="15" t="s">
        <v>1009</v>
      </c>
      <c r="R228" s="15" t="s">
        <v>1010</v>
      </c>
      <c r="S228" s="15" t="s">
        <v>1050</v>
      </c>
      <c r="T228" s="15" t="n">
        <v>0</v>
      </c>
      <c r="U228" s="15" t="n">
        <v>0</v>
      </c>
      <c r="V228" s="15" t="n">
        <v>0</v>
      </c>
      <c r="W228" s="15" t="n">
        <v>10</v>
      </c>
      <c r="X228" s="15" t="n">
        <v>0</v>
      </c>
      <c r="Y228" s="15" t="n">
        <v>0</v>
      </c>
      <c r="Z228" s="15" t="s">
        <v>1012</v>
      </c>
      <c r="AA228" s="15" t="s">
        <v>1013</v>
      </c>
      <c r="AB228" s="15" t="s">
        <v>176</v>
      </c>
      <c r="AC228" s="15" t="s">
        <v>1027</v>
      </c>
      <c r="AD228" s="15" t="s">
        <v>2112</v>
      </c>
      <c r="AE228" s="15" t="s">
        <v>2113</v>
      </c>
      <c r="AF228" s="15" t="s">
        <v>2114</v>
      </c>
      <c r="AG228" s="15" t="s">
        <v>1069</v>
      </c>
      <c r="AH228" s="15" t="s">
        <v>1101</v>
      </c>
      <c r="AI228" s="15" t="s">
        <v>1042</v>
      </c>
      <c r="AJ228" s="15" t="n">
        <v>0</v>
      </c>
      <c r="AK228" s="15" t="n">
        <v>6.9</v>
      </c>
      <c r="AL228" s="15" t="n">
        <v>3.1</v>
      </c>
      <c r="AM228" s="15" t="n">
        <v>0</v>
      </c>
      <c r="AN228" s="15" t="n">
        <v>0</v>
      </c>
      <c r="AO228" s="15" t="n">
        <v>0</v>
      </c>
      <c r="AP228" s="15" t="s">
        <v>1325</v>
      </c>
      <c r="AQ228" s="15" t="s">
        <v>1021</v>
      </c>
      <c r="AR228" s="15" t="s">
        <v>169</v>
      </c>
      <c r="AS228" s="15"/>
      <c r="AT228" s="29" t="str">
        <f aca="false">IF(A228="","",IF(COUNTIF(Parcels!$A$2:$A$3000,B228)=0,"Parcel not found",IF(COUNTIF($A$2:$A$3000,A228)&gt;1,"Duplicate perm_id",IF(AND(R228="Yes",D228&lt;&gt;"",COUNTIFS($C$2:$C$3000,D228,$R$2:$R$3000,"Yes")&gt;1),"Reference counted twice",IF(COUNTIF(Lists!$A$2:$A$7,I228)=0,"Unknown status","")))))</f>
        <v/>
      </c>
    </row>
    <row r="229" customFormat="false" ht="15" hidden="false" customHeight="false" outlineLevel="0" collapsed="false">
      <c r="A229" s="15" t="s">
        <v>2115</v>
      </c>
      <c r="B229" s="15" t="s">
        <v>804</v>
      </c>
      <c r="C229" s="15" t="s">
        <v>64</v>
      </c>
      <c r="D229" s="15" t="s">
        <v>2116</v>
      </c>
      <c r="E229" s="15" t="s">
        <v>2116</v>
      </c>
      <c r="F229" s="15" t="s">
        <v>805</v>
      </c>
      <c r="G229" s="15" t="n">
        <v>10</v>
      </c>
      <c r="H229" s="15"/>
      <c r="I229" s="15" t="s">
        <v>1007</v>
      </c>
      <c r="J229" s="15" t="s">
        <v>1008</v>
      </c>
      <c r="K229" s="15" t="s">
        <v>1007</v>
      </c>
      <c r="L229" s="15" t="n">
        <v>0</v>
      </c>
      <c r="M229" s="15" t="n">
        <v>0</v>
      </c>
      <c r="N229" s="15" t="n">
        <v>0</v>
      </c>
      <c r="O229" s="15" t="n">
        <v>0</v>
      </c>
      <c r="P229" s="15"/>
      <c r="Q229" s="15" t="s">
        <v>1009</v>
      </c>
      <c r="R229" s="15" t="s">
        <v>1010</v>
      </c>
      <c r="S229" s="15" t="s">
        <v>1050</v>
      </c>
      <c r="T229" s="15" t="n">
        <v>0</v>
      </c>
      <c r="U229" s="15" t="n">
        <v>3</v>
      </c>
      <c r="V229" s="15" t="n">
        <v>7</v>
      </c>
      <c r="W229" s="15" t="n">
        <v>0</v>
      </c>
      <c r="X229" s="15" t="n">
        <v>0</v>
      </c>
      <c r="Y229" s="15" t="n">
        <v>0</v>
      </c>
      <c r="Z229" s="15" t="s">
        <v>1012</v>
      </c>
      <c r="AA229" s="15" t="s">
        <v>1013</v>
      </c>
      <c r="AB229" s="15" t="s">
        <v>176</v>
      </c>
      <c r="AC229" s="15" t="s">
        <v>1027</v>
      </c>
      <c r="AD229" s="15" t="s">
        <v>2117</v>
      </c>
      <c r="AE229" s="15" t="s">
        <v>2118</v>
      </c>
      <c r="AF229" s="15"/>
      <c r="AG229" s="15" t="s">
        <v>1059</v>
      </c>
      <c r="AH229" s="15" t="s">
        <v>1060</v>
      </c>
      <c r="AI229" s="15" t="s">
        <v>1061</v>
      </c>
      <c r="AJ229" s="15" t="n">
        <v>0</v>
      </c>
      <c r="AK229" s="15" t="n">
        <v>0</v>
      </c>
      <c r="AL229" s="15" t="n">
        <v>8.4</v>
      </c>
      <c r="AM229" s="15" t="n">
        <v>1.6</v>
      </c>
      <c r="AN229" s="15" t="n">
        <v>0</v>
      </c>
      <c r="AO229" s="15" t="n">
        <v>0</v>
      </c>
      <c r="AP229" s="15" t="s">
        <v>1325</v>
      </c>
      <c r="AQ229" s="15" t="s">
        <v>1021</v>
      </c>
      <c r="AR229" s="15" t="s">
        <v>169</v>
      </c>
      <c r="AS229" s="15"/>
      <c r="AT229" s="29" t="str">
        <f aca="false">IF(A229="","",IF(COUNTIF(Parcels!$A$2:$A$3000,B229)=0,"Parcel not found",IF(COUNTIF($A$2:$A$3000,A229)&gt;1,"Duplicate perm_id",IF(AND(R229="Yes",D229&lt;&gt;"",COUNTIFS($C$2:$C$3000,D229,$R$2:$R$3000,"Yes")&gt;1),"Reference counted twice",IF(COUNTIF(Lists!$A$2:$A$7,I229)=0,"Unknown status","")))))</f>
        <v/>
      </c>
    </row>
    <row r="230" customFormat="false" ht="15" hidden="false" customHeight="false" outlineLevel="0" collapsed="false">
      <c r="A230" s="15" t="s">
        <v>2119</v>
      </c>
      <c r="B230" s="15" t="s">
        <v>806</v>
      </c>
      <c r="C230" s="15" t="s">
        <v>74</v>
      </c>
      <c r="D230" s="15" t="s">
        <v>2120</v>
      </c>
      <c r="E230" s="15" t="s">
        <v>2120</v>
      </c>
      <c r="F230" s="15" t="s">
        <v>2121</v>
      </c>
      <c r="G230" s="15" t="n">
        <v>36</v>
      </c>
      <c r="H230" s="15"/>
      <c r="I230" s="15" t="s">
        <v>48</v>
      </c>
      <c r="J230" s="15" t="s">
        <v>1008</v>
      </c>
      <c r="K230" s="15" t="s">
        <v>48</v>
      </c>
      <c r="L230" s="15" t="n">
        <v>0</v>
      </c>
      <c r="M230" s="15" t="n">
        <v>0</v>
      </c>
      <c r="N230" s="15" t="n">
        <v>0</v>
      </c>
      <c r="O230" s="15" t="n">
        <v>0</v>
      </c>
      <c r="P230" s="15"/>
      <c r="Q230" s="15" t="s">
        <v>1009</v>
      </c>
      <c r="R230" s="15" t="s">
        <v>1010</v>
      </c>
      <c r="S230" s="15" t="s">
        <v>1026</v>
      </c>
      <c r="T230" s="15"/>
      <c r="U230" s="15"/>
      <c r="V230" s="15"/>
      <c r="W230" s="15"/>
      <c r="X230" s="15"/>
      <c r="Y230" s="15"/>
      <c r="Z230" s="15" t="s">
        <v>1034</v>
      </c>
      <c r="AA230" s="15" t="s">
        <v>1013</v>
      </c>
      <c r="AB230" s="15" t="s">
        <v>176</v>
      </c>
      <c r="AC230" s="15" t="s">
        <v>1027</v>
      </c>
      <c r="AD230" s="15" t="s">
        <v>2122</v>
      </c>
      <c r="AE230" s="15" t="s">
        <v>1925</v>
      </c>
      <c r="AF230" s="15" t="s">
        <v>2123</v>
      </c>
      <c r="AG230" s="15" t="s">
        <v>1601</v>
      </c>
      <c r="AH230" s="15" t="s">
        <v>1041</v>
      </c>
      <c r="AI230" s="15" t="s">
        <v>1042</v>
      </c>
      <c r="AJ230" s="15" t="n">
        <v>8.4</v>
      </c>
      <c r="AK230" s="15" t="n">
        <v>27.6</v>
      </c>
      <c r="AL230" s="15" t="n">
        <v>0</v>
      </c>
      <c r="AM230" s="15" t="n">
        <v>0</v>
      </c>
      <c r="AN230" s="15" t="n">
        <v>0</v>
      </c>
      <c r="AO230" s="15" t="n">
        <v>0</v>
      </c>
      <c r="AP230" s="15" t="s">
        <v>1325</v>
      </c>
      <c r="AQ230" s="15" t="s">
        <v>1021</v>
      </c>
      <c r="AR230" s="15" t="s">
        <v>169</v>
      </c>
      <c r="AS230" s="15"/>
      <c r="AT230" s="29" t="str">
        <f aca="false">IF(A230="","",IF(COUNTIF(Parcels!$A$2:$A$3000,B230)=0,"Parcel not found",IF(COUNTIF($A$2:$A$3000,A230)&gt;1,"Duplicate perm_id",IF(AND(R230="Yes",D230&lt;&gt;"",COUNTIFS($C$2:$C$3000,D230,$R$2:$R$3000,"Yes")&gt;1),"Reference counted twice",IF(COUNTIF(Lists!$A$2:$A$7,I230)=0,"Unknown status","")))))</f>
        <v/>
      </c>
    </row>
    <row r="231" customFormat="false" ht="15" hidden="false" customHeight="false" outlineLevel="0" collapsed="false">
      <c r="A231" s="15" t="s">
        <v>2124</v>
      </c>
      <c r="B231" s="15" t="s">
        <v>806</v>
      </c>
      <c r="C231" s="15" t="s">
        <v>74</v>
      </c>
      <c r="D231" s="15" t="s">
        <v>2125</v>
      </c>
      <c r="E231" s="15" t="s">
        <v>2125</v>
      </c>
      <c r="F231" s="15" t="s">
        <v>807</v>
      </c>
      <c r="G231" s="15" t="n">
        <v>54</v>
      </c>
      <c r="H231" s="15"/>
      <c r="I231" s="15" t="s">
        <v>48</v>
      </c>
      <c r="J231" s="15" t="s">
        <v>1008</v>
      </c>
      <c r="K231" s="15" t="s">
        <v>48</v>
      </c>
      <c r="L231" s="15" t="n">
        <v>0</v>
      </c>
      <c r="M231" s="15" t="n">
        <v>0</v>
      </c>
      <c r="N231" s="15" t="n">
        <v>0</v>
      </c>
      <c r="O231" s="15" t="n">
        <v>0</v>
      </c>
      <c r="P231" s="15"/>
      <c r="Q231" s="15" t="s">
        <v>1009</v>
      </c>
      <c r="R231" s="15" t="s">
        <v>1010</v>
      </c>
      <c r="S231" s="15" t="s">
        <v>1050</v>
      </c>
      <c r="T231" s="15" t="n">
        <v>0</v>
      </c>
      <c r="U231" s="15" t="n">
        <v>0</v>
      </c>
      <c r="V231" s="15" t="n">
        <v>12</v>
      </c>
      <c r="W231" s="15" t="n">
        <v>0</v>
      </c>
      <c r="X231" s="15" t="n">
        <v>43</v>
      </c>
      <c r="Y231" s="15" t="n">
        <v>0</v>
      </c>
      <c r="Z231" s="15" t="s">
        <v>1034</v>
      </c>
      <c r="AA231" s="15" t="s">
        <v>1013</v>
      </c>
      <c r="AB231" s="15" t="s">
        <v>176</v>
      </c>
      <c r="AC231" s="15" t="s">
        <v>1027</v>
      </c>
      <c r="AD231" s="15" t="s">
        <v>2126</v>
      </c>
      <c r="AE231" s="15" t="s">
        <v>2127</v>
      </c>
      <c r="AF231" s="15" t="s">
        <v>2128</v>
      </c>
      <c r="AG231" s="15" t="s">
        <v>1114</v>
      </c>
      <c r="AH231" s="15" t="s">
        <v>1303</v>
      </c>
      <c r="AI231" s="15" t="s">
        <v>1042</v>
      </c>
      <c r="AJ231" s="15" t="n">
        <v>0</v>
      </c>
      <c r="AK231" s="15" t="n">
        <v>20.1</v>
      </c>
      <c r="AL231" s="15" t="n">
        <v>33.9</v>
      </c>
      <c r="AM231" s="15" t="n">
        <v>0</v>
      </c>
      <c r="AN231" s="15" t="n">
        <v>0</v>
      </c>
      <c r="AO231" s="15" t="n">
        <v>0</v>
      </c>
      <c r="AP231" s="15" t="s">
        <v>1325</v>
      </c>
      <c r="AQ231" s="15" t="s">
        <v>1021</v>
      </c>
      <c r="AR231" s="15" t="s">
        <v>169</v>
      </c>
      <c r="AS231" s="15"/>
      <c r="AT231" s="29" t="str">
        <f aca="false">IF(A231="","",IF(COUNTIF(Parcels!$A$2:$A$3000,B231)=0,"Parcel not found",IF(COUNTIF($A$2:$A$3000,A231)&gt;1,"Duplicate perm_id",IF(AND(R231="Yes",D231&lt;&gt;"",COUNTIFS($C$2:$C$3000,D231,$R$2:$R$3000,"Yes")&gt;1),"Reference counted twice",IF(COUNTIF(Lists!$A$2:$A$7,I231)=0,"Unknown status","")))))</f>
        <v/>
      </c>
    </row>
    <row r="232" customFormat="false" ht="15" hidden="false" customHeight="false" outlineLevel="0" collapsed="false">
      <c r="A232" s="15" t="s">
        <v>2129</v>
      </c>
      <c r="B232" s="15" t="s">
        <v>644</v>
      </c>
      <c r="C232" s="15" t="s">
        <v>57</v>
      </c>
      <c r="D232" s="15" t="s">
        <v>2130</v>
      </c>
      <c r="E232" s="15" t="s">
        <v>2130</v>
      </c>
      <c r="F232" s="15" t="s">
        <v>645</v>
      </c>
      <c r="G232" s="15" t="n">
        <v>0</v>
      </c>
      <c r="H232" s="15" t="n">
        <v>115</v>
      </c>
      <c r="I232" s="15" t="s">
        <v>1007</v>
      </c>
      <c r="J232" s="15" t="s">
        <v>1008</v>
      </c>
      <c r="K232" s="15" t="s">
        <v>1007</v>
      </c>
      <c r="L232" s="15" t="n">
        <v>0</v>
      </c>
      <c r="M232" s="15" t="n">
        <v>0</v>
      </c>
      <c r="N232" s="15" t="n">
        <v>0</v>
      </c>
      <c r="O232" s="15" t="n">
        <v>0</v>
      </c>
      <c r="P232" s="15"/>
      <c r="Q232" s="15" t="s">
        <v>1009</v>
      </c>
      <c r="R232" s="15" t="s">
        <v>1010</v>
      </c>
      <c r="S232" s="15" t="s">
        <v>1026</v>
      </c>
      <c r="T232" s="15"/>
      <c r="U232" s="15"/>
      <c r="V232" s="15"/>
      <c r="W232" s="15"/>
      <c r="X232" s="15"/>
      <c r="Y232" s="15"/>
      <c r="Z232" s="15" t="s">
        <v>1012</v>
      </c>
      <c r="AA232" s="15" t="s">
        <v>1119</v>
      </c>
      <c r="AB232" s="15" t="s">
        <v>176</v>
      </c>
      <c r="AC232" s="15" t="s">
        <v>1027</v>
      </c>
      <c r="AD232" s="15" t="s">
        <v>2131</v>
      </c>
      <c r="AE232" s="15" t="s">
        <v>2132</v>
      </c>
      <c r="AF232" s="15"/>
      <c r="AG232" s="15" t="s">
        <v>1041</v>
      </c>
      <c r="AH232" s="15" t="s">
        <v>1127</v>
      </c>
      <c r="AI232" s="15" t="s">
        <v>1061</v>
      </c>
      <c r="AJ232" s="15" t="n">
        <v>0</v>
      </c>
      <c r="AK232" s="15" t="n">
        <v>0</v>
      </c>
      <c r="AL232" s="15" t="n">
        <v>0</v>
      </c>
      <c r="AM232" s="15" t="n">
        <v>0</v>
      </c>
      <c r="AN232" s="15" t="n">
        <v>0</v>
      </c>
      <c r="AO232" s="15" t="n">
        <v>0</v>
      </c>
      <c r="AP232" s="15" t="s">
        <v>1325</v>
      </c>
      <c r="AQ232" s="15" t="s">
        <v>1021</v>
      </c>
      <c r="AR232" s="15" t="s">
        <v>169</v>
      </c>
      <c r="AS232" s="15"/>
      <c r="AT232" s="29" t="str">
        <f aca="false">IF(A232="","",IF(COUNTIF(Parcels!$A$2:$A$3000,B232)=0,"Parcel not found",IF(COUNTIF($A$2:$A$3000,A232)&gt;1,"Duplicate perm_id",IF(AND(R232="Yes",D232&lt;&gt;"",COUNTIFS($C$2:$C$3000,D232,$R$2:$R$3000,"Yes")&gt;1),"Reference counted twice",IF(COUNTIF(Lists!$A$2:$A$7,I232)=0,"Unknown status","")))))</f>
        <v/>
      </c>
    </row>
    <row r="233" customFormat="false" ht="15" hidden="false" customHeight="false" outlineLevel="0" collapsed="false">
      <c r="A233" s="15" t="s">
        <v>2133</v>
      </c>
      <c r="B233" s="15" t="s">
        <v>589</v>
      </c>
      <c r="C233" s="15" t="s">
        <v>53</v>
      </c>
      <c r="D233" s="15" t="s">
        <v>2134</v>
      </c>
      <c r="E233" s="15" t="s">
        <v>2134</v>
      </c>
      <c r="F233" s="15" t="s">
        <v>2135</v>
      </c>
      <c r="G233" s="15" t="n">
        <v>24</v>
      </c>
      <c r="H233" s="15"/>
      <c r="I233" s="15" t="s">
        <v>1025</v>
      </c>
      <c r="J233" s="15" t="s">
        <v>1008</v>
      </c>
      <c r="K233" s="15" t="s">
        <v>1025</v>
      </c>
      <c r="L233" s="15" t="n">
        <v>0</v>
      </c>
      <c r="M233" s="15" t="n">
        <v>0</v>
      </c>
      <c r="N233" s="15" t="n">
        <v>0</v>
      </c>
      <c r="O233" s="15" t="n">
        <v>0</v>
      </c>
      <c r="P233" s="15"/>
      <c r="Q233" s="15" t="s">
        <v>1009</v>
      </c>
      <c r="R233" s="15" t="s">
        <v>1010</v>
      </c>
      <c r="S233" s="15" t="s">
        <v>1050</v>
      </c>
      <c r="T233" s="15" t="n">
        <v>0</v>
      </c>
      <c r="U233" s="15" t="n">
        <v>9</v>
      </c>
      <c r="V233" s="15" t="n">
        <v>15</v>
      </c>
      <c r="W233" s="15" t="n">
        <v>0</v>
      </c>
      <c r="X233" s="15" t="n">
        <v>0</v>
      </c>
      <c r="Y233" s="15" t="n">
        <v>0</v>
      </c>
      <c r="Z233" s="15" t="s">
        <v>1012</v>
      </c>
      <c r="AA233" s="15" t="s">
        <v>1013</v>
      </c>
      <c r="AB233" s="15" t="s">
        <v>176</v>
      </c>
      <c r="AC233" s="15" t="s">
        <v>1027</v>
      </c>
      <c r="AD233" s="15" t="s">
        <v>2136</v>
      </c>
      <c r="AE233" s="15" t="s">
        <v>2137</v>
      </c>
      <c r="AF233" s="15"/>
      <c r="AG233" s="15"/>
      <c r="AH233" s="15"/>
      <c r="AI233" s="15" t="s">
        <v>1030</v>
      </c>
      <c r="AJ233" s="15" t="n">
        <v>0</v>
      </c>
      <c r="AK233" s="15" t="n">
        <v>0</v>
      </c>
      <c r="AL233" s="15" t="n">
        <v>0</v>
      </c>
      <c r="AM233" s="15" t="n">
        <v>0</v>
      </c>
      <c r="AN233" s="15" t="n">
        <v>0</v>
      </c>
      <c r="AO233" s="15" t="n">
        <v>0</v>
      </c>
      <c r="AP233" s="15" t="s">
        <v>1325</v>
      </c>
      <c r="AQ233" s="15" t="s">
        <v>1021</v>
      </c>
      <c r="AR233" s="15" t="s">
        <v>169</v>
      </c>
      <c r="AS233" s="15"/>
      <c r="AT233" s="29" t="str">
        <f aca="false">IF(A233="","",IF(COUNTIF(Parcels!$A$2:$A$3000,B233)=0,"Parcel not found",IF(COUNTIF($A$2:$A$3000,A233)&gt;1,"Duplicate perm_id",IF(AND(R233="Yes",D233&lt;&gt;"",COUNTIFS($C$2:$C$3000,D233,$R$2:$R$3000,"Yes")&gt;1),"Reference counted twice",IF(COUNTIF(Lists!$A$2:$A$7,I233)=0,"Unknown status","")))))</f>
        <v/>
      </c>
    </row>
    <row r="234" customFormat="false" ht="15" hidden="false" customHeight="false" outlineLevel="0" collapsed="false">
      <c r="A234" s="15" t="s">
        <v>2138</v>
      </c>
      <c r="B234" s="15" t="s">
        <v>589</v>
      </c>
      <c r="C234" s="15" t="s">
        <v>53</v>
      </c>
      <c r="D234" s="15" t="s">
        <v>2139</v>
      </c>
      <c r="E234" s="15" t="s">
        <v>2139</v>
      </c>
      <c r="F234" s="15" t="s">
        <v>590</v>
      </c>
      <c r="G234" s="15" t="n">
        <v>76</v>
      </c>
      <c r="H234" s="15"/>
      <c r="I234" s="15" t="s">
        <v>1007</v>
      </c>
      <c r="J234" s="15" t="s">
        <v>1008</v>
      </c>
      <c r="K234" s="15" t="s">
        <v>1007</v>
      </c>
      <c r="L234" s="15" t="n">
        <v>0</v>
      </c>
      <c r="M234" s="15" t="n">
        <v>0</v>
      </c>
      <c r="N234" s="15" t="n">
        <v>0</v>
      </c>
      <c r="O234" s="15" t="n">
        <v>0</v>
      </c>
      <c r="P234" s="15"/>
      <c r="Q234" s="15" t="s">
        <v>1009</v>
      </c>
      <c r="R234" s="15" t="s">
        <v>1010</v>
      </c>
      <c r="S234" s="15" t="s">
        <v>1011</v>
      </c>
      <c r="T234" s="15" t="n">
        <v>0</v>
      </c>
      <c r="U234" s="15" t="n">
        <v>35</v>
      </c>
      <c r="V234" s="15" t="n">
        <v>41</v>
      </c>
      <c r="W234" s="15" t="n">
        <v>0</v>
      </c>
      <c r="X234" s="15" t="n">
        <v>0</v>
      </c>
      <c r="Y234" s="15" t="n">
        <v>0</v>
      </c>
      <c r="Z234" s="15" t="s">
        <v>1034</v>
      </c>
      <c r="AA234" s="15" t="s">
        <v>1013</v>
      </c>
      <c r="AB234" s="15" t="s">
        <v>176</v>
      </c>
      <c r="AC234" s="15" t="s">
        <v>1027</v>
      </c>
      <c r="AD234" s="15" t="s">
        <v>2140</v>
      </c>
      <c r="AE234" s="15" t="s">
        <v>2141</v>
      </c>
      <c r="AF234" s="15"/>
      <c r="AG234" s="15" t="s">
        <v>1017</v>
      </c>
      <c r="AH234" s="15" t="s">
        <v>1230</v>
      </c>
      <c r="AI234" s="15" t="s">
        <v>1061</v>
      </c>
      <c r="AJ234" s="15" t="n">
        <v>0</v>
      </c>
      <c r="AK234" s="15" t="n">
        <v>0</v>
      </c>
      <c r="AL234" s="15" t="n">
        <v>26.3</v>
      </c>
      <c r="AM234" s="15" t="n">
        <v>49.7</v>
      </c>
      <c r="AN234" s="15" t="n">
        <v>0</v>
      </c>
      <c r="AO234" s="15" t="n">
        <v>0</v>
      </c>
      <c r="AP234" s="15" t="s">
        <v>1325</v>
      </c>
      <c r="AQ234" s="15" t="s">
        <v>1021</v>
      </c>
      <c r="AR234" s="15" t="s">
        <v>169</v>
      </c>
      <c r="AS234" s="15"/>
      <c r="AT234" s="29" t="str">
        <f aca="false">IF(A234="","",IF(COUNTIF(Parcels!$A$2:$A$3000,B234)=0,"Parcel not found",IF(COUNTIF($A$2:$A$3000,A234)&gt;1,"Duplicate perm_id",IF(AND(R234="Yes",D234&lt;&gt;"",COUNTIFS($C$2:$C$3000,D234,$R$2:$R$3000,"Yes")&gt;1),"Reference counted twice",IF(COUNTIF(Lists!$A$2:$A$7,I234)=0,"Unknown status","")))))</f>
        <v/>
      </c>
    </row>
    <row r="235" customFormat="false" ht="15" hidden="false" customHeight="false" outlineLevel="0" collapsed="false">
      <c r="A235" s="15" t="s">
        <v>2142</v>
      </c>
      <c r="B235" s="15" t="s">
        <v>523</v>
      </c>
      <c r="C235" s="15" t="s">
        <v>52</v>
      </c>
      <c r="D235" s="15" t="s">
        <v>2143</v>
      </c>
      <c r="E235" s="15" t="s">
        <v>2143</v>
      </c>
      <c r="F235" s="15" t="s">
        <v>524</v>
      </c>
      <c r="G235" s="15" t="n">
        <v>4</v>
      </c>
      <c r="H235" s="15"/>
      <c r="I235" s="15" t="s">
        <v>1007</v>
      </c>
      <c r="J235" s="15" t="s">
        <v>1008</v>
      </c>
      <c r="K235" s="15" t="s">
        <v>1007</v>
      </c>
      <c r="L235" s="15" t="n">
        <v>0</v>
      </c>
      <c r="M235" s="15" t="n">
        <v>0</v>
      </c>
      <c r="N235" s="15" t="n">
        <v>0</v>
      </c>
      <c r="O235" s="15" t="n">
        <v>0</v>
      </c>
      <c r="P235" s="15"/>
      <c r="Q235" s="15" t="s">
        <v>1009</v>
      </c>
      <c r="R235" s="15" t="s">
        <v>1010</v>
      </c>
      <c r="S235" s="15" t="s">
        <v>1050</v>
      </c>
      <c r="T235" s="15" t="n">
        <v>0</v>
      </c>
      <c r="U235" s="15" t="n">
        <v>2</v>
      </c>
      <c r="V235" s="15" t="n">
        <v>2</v>
      </c>
      <c r="W235" s="15" t="n">
        <v>0</v>
      </c>
      <c r="X235" s="15" t="n">
        <v>0</v>
      </c>
      <c r="Y235" s="15" t="n">
        <v>0</v>
      </c>
      <c r="Z235" s="15" t="s">
        <v>1034</v>
      </c>
      <c r="AA235" s="15" t="s">
        <v>1013</v>
      </c>
      <c r="AB235" s="15" t="s">
        <v>176</v>
      </c>
      <c r="AC235" s="15" t="s">
        <v>1027</v>
      </c>
      <c r="AD235" s="15" t="s">
        <v>1099</v>
      </c>
      <c r="AE235" s="15" t="s">
        <v>1100</v>
      </c>
      <c r="AF235" s="15"/>
      <c r="AG235" s="15" t="s">
        <v>1041</v>
      </c>
      <c r="AH235" s="15" t="s">
        <v>1127</v>
      </c>
      <c r="AI235" s="15" t="s">
        <v>1061</v>
      </c>
      <c r="AJ235" s="15" t="n">
        <v>0</v>
      </c>
      <c r="AK235" s="15" t="n">
        <v>0</v>
      </c>
      <c r="AL235" s="15" t="n">
        <v>1.2</v>
      </c>
      <c r="AM235" s="15" t="n">
        <v>2.8</v>
      </c>
      <c r="AN235" s="15" t="n">
        <v>0</v>
      </c>
      <c r="AO235" s="15" t="n">
        <v>0</v>
      </c>
      <c r="AP235" s="15" t="s">
        <v>1325</v>
      </c>
      <c r="AQ235" s="15" t="s">
        <v>1021</v>
      </c>
      <c r="AR235" s="15" t="s">
        <v>169</v>
      </c>
      <c r="AS235" s="15"/>
      <c r="AT235" s="29" t="str">
        <f aca="false">IF(A235="","",IF(COUNTIF(Parcels!$A$2:$A$3000,B235)=0,"Parcel not found",IF(COUNTIF($A$2:$A$3000,A235)&gt;1,"Duplicate perm_id",IF(AND(R235="Yes",D235&lt;&gt;"",COUNTIFS($C$2:$C$3000,D235,$R$2:$R$3000,"Yes")&gt;1),"Reference counted twice",IF(COUNTIF(Lists!$A$2:$A$7,I235)=0,"Unknown status","")))))</f>
        <v/>
      </c>
    </row>
    <row r="236" customFormat="false" ht="15" hidden="false" customHeight="false" outlineLevel="0" collapsed="false">
      <c r="A236" s="15" t="s">
        <v>2144</v>
      </c>
      <c r="B236" s="15" t="s">
        <v>808</v>
      </c>
      <c r="C236" s="15" t="s">
        <v>60</v>
      </c>
      <c r="D236" s="15" t="s">
        <v>2145</v>
      </c>
      <c r="E236" s="15" t="s">
        <v>2145</v>
      </c>
      <c r="F236" s="15" t="s">
        <v>809</v>
      </c>
      <c r="G236" s="15" t="n">
        <v>12</v>
      </c>
      <c r="H236" s="15"/>
      <c r="I236" s="15" t="s">
        <v>1007</v>
      </c>
      <c r="J236" s="15" t="s">
        <v>1008</v>
      </c>
      <c r="K236" s="15" t="s">
        <v>1007</v>
      </c>
      <c r="L236" s="15" t="n">
        <v>0</v>
      </c>
      <c r="M236" s="15" t="n">
        <v>0</v>
      </c>
      <c r="N236" s="15" t="n">
        <v>0</v>
      </c>
      <c r="O236" s="15" t="n">
        <v>0</v>
      </c>
      <c r="P236" s="15"/>
      <c r="Q236" s="15" t="s">
        <v>1009</v>
      </c>
      <c r="R236" s="15" t="s">
        <v>1010</v>
      </c>
      <c r="S236" s="15" t="s">
        <v>1050</v>
      </c>
      <c r="T236" s="15" t="n">
        <v>0</v>
      </c>
      <c r="U236" s="15" t="n">
        <v>0</v>
      </c>
      <c r="V236" s="15" t="n">
        <v>1</v>
      </c>
      <c r="W236" s="15" t="n">
        <v>11</v>
      </c>
      <c r="X236" s="15" t="n">
        <v>0</v>
      </c>
      <c r="Y236" s="15" t="n">
        <v>0</v>
      </c>
      <c r="Z236" s="15" t="s">
        <v>1012</v>
      </c>
      <c r="AA236" s="15" t="s">
        <v>1035</v>
      </c>
      <c r="AB236" s="15" t="s">
        <v>1065</v>
      </c>
      <c r="AC236" s="15" t="s">
        <v>1037</v>
      </c>
      <c r="AD236" s="15"/>
      <c r="AE236" s="15"/>
      <c r="AF236" s="15"/>
      <c r="AG236" s="15" t="s">
        <v>1200</v>
      </c>
      <c r="AH236" s="15" t="s">
        <v>1095</v>
      </c>
      <c r="AI236" s="15" t="s">
        <v>1061</v>
      </c>
      <c r="AJ236" s="15" t="n">
        <v>0</v>
      </c>
      <c r="AK236" s="15" t="n">
        <v>0</v>
      </c>
      <c r="AL236" s="15" t="n">
        <v>0</v>
      </c>
      <c r="AM236" s="15" t="n">
        <v>11.3</v>
      </c>
      <c r="AN236" s="15" t="n">
        <v>0.7</v>
      </c>
      <c r="AO236" s="15" t="n">
        <v>0</v>
      </c>
      <c r="AP236" s="15" t="s">
        <v>1325</v>
      </c>
      <c r="AQ236" s="15" t="s">
        <v>1021</v>
      </c>
      <c r="AR236" s="15" t="s">
        <v>169</v>
      </c>
      <c r="AS236" s="15"/>
      <c r="AT236" s="29" t="str">
        <f aca="false">IF(A236="","",IF(COUNTIF(Parcels!$A$2:$A$3000,B236)=0,"Parcel not found",IF(COUNTIF($A$2:$A$3000,A236)&gt;1,"Duplicate perm_id",IF(AND(R236="Yes",D236&lt;&gt;"",COUNTIFS($C$2:$C$3000,D236,$R$2:$R$3000,"Yes")&gt;1),"Reference counted twice",IF(COUNTIF(Lists!$A$2:$A$7,I236)=0,"Unknown status","")))))</f>
        <v/>
      </c>
    </row>
    <row r="237" customFormat="false" ht="15" hidden="false" customHeight="false" outlineLevel="0" collapsed="false">
      <c r="A237" s="15" t="s">
        <v>2146</v>
      </c>
      <c r="B237" s="15" t="s">
        <v>810</v>
      </c>
      <c r="C237" s="15" t="s">
        <v>22</v>
      </c>
      <c r="D237" s="15" t="s">
        <v>2147</v>
      </c>
      <c r="E237" s="15" t="s">
        <v>2147</v>
      </c>
      <c r="F237" s="15" t="s">
        <v>811</v>
      </c>
      <c r="G237" s="15" t="n">
        <v>8</v>
      </c>
      <c r="H237" s="15"/>
      <c r="I237" s="15" t="s">
        <v>1046</v>
      </c>
      <c r="J237" s="15" t="s">
        <v>1008</v>
      </c>
      <c r="K237" s="15" t="s">
        <v>1046</v>
      </c>
      <c r="L237" s="15" t="n">
        <v>0</v>
      </c>
      <c r="M237" s="15" t="n">
        <v>0</v>
      </c>
      <c r="N237" s="15" t="n">
        <v>0</v>
      </c>
      <c r="O237" s="15" t="n">
        <v>0</v>
      </c>
      <c r="P237" s="15"/>
      <c r="Q237" s="15" t="s">
        <v>1009</v>
      </c>
      <c r="R237" s="15" t="s">
        <v>1010</v>
      </c>
      <c r="S237" s="15" t="s">
        <v>1050</v>
      </c>
      <c r="T237" s="15" t="n">
        <v>0</v>
      </c>
      <c r="U237" s="15" t="n">
        <v>1</v>
      </c>
      <c r="V237" s="15" t="n">
        <v>4</v>
      </c>
      <c r="W237" s="15" t="n">
        <v>3</v>
      </c>
      <c r="X237" s="15" t="n">
        <v>0</v>
      </c>
      <c r="Y237" s="15" t="n">
        <v>0</v>
      </c>
      <c r="Z237" s="15" t="s">
        <v>1012</v>
      </c>
      <c r="AA237" s="15" t="s">
        <v>1035</v>
      </c>
      <c r="AB237" s="15" t="s">
        <v>1065</v>
      </c>
      <c r="AC237" s="15" t="s">
        <v>1027</v>
      </c>
      <c r="AD237" s="15"/>
      <c r="AE237" s="15"/>
      <c r="AF237" s="15"/>
      <c r="AG237" s="15"/>
      <c r="AH237" s="15"/>
      <c r="AI237" s="15" t="s">
        <v>1030</v>
      </c>
      <c r="AJ237" s="15" t="n">
        <v>0</v>
      </c>
      <c r="AK237" s="15" t="n">
        <v>0</v>
      </c>
      <c r="AL237" s="15" t="n">
        <v>0</v>
      </c>
      <c r="AM237" s="15" t="n">
        <v>0</v>
      </c>
      <c r="AN237" s="15" t="n">
        <v>0</v>
      </c>
      <c r="AO237" s="15" t="n">
        <v>0</v>
      </c>
      <c r="AP237" s="15" t="s">
        <v>1325</v>
      </c>
      <c r="AQ237" s="15" t="s">
        <v>1021</v>
      </c>
      <c r="AR237" s="15" t="s">
        <v>169</v>
      </c>
      <c r="AS237" s="15"/>
      <c r="AT237" s="29" t="str">
        <f aca="false">IF(A237="","",IF(COUNTIF(Parcels!$A$2:$A$3000,B237)=0,"Parcel not found",IF(COUNTIF($A$2:$A$3000,A237)&gt;1,"Duplicate perm_id",IF(AND(R237="Yes",D237&lt;&gt;"",COUNTIFS($C$2:$C$3000,D237,$R$2:$R$3000,"Yes")&gt;1),"Reference counted twice",IF(COUNTIF(Lists!$A$2:$A$7,I237)=0,"Unknown status","")))))</f>
        <v/>
      </c>
    </row>
    <row r="238" customFormat="false" ht="15" hidden="false" customHeight="false" outlineLevel="0" collapsed="false">
      <c r="A238" s="15" t="s">
        <v>2148</v>
      </c>
      <c r="B238" s="15" t="s">
        <v>812</v>
      </c>
      <c r="C238" s="15" t="s">
        <v>64</v>
      </c>
      <c r="D238" s="15" t="s">
        <v>2149</v>
      </c>
      <c r="E238" s="15" t="s">
        <v>2149</v>
      </c>
      <c r="F238" s="15" t="s">
        <v>813</v>
      </c>
      <c r="G238" s="15" t="n">
        <v>30</v>
      </c>
      <c r="H238" s="15"/>
      <c r="I238" s="15" t="s">
        <v>1046</v>
      </c>
      <c r="J238" s="15" t="s">
        <v>1008</v>
      </c>
      <c r="K238" s="15" t="s">
        <v>1046</v>
      </c>
      <c r="L238" s="15" t="n">
        <v>0</v>
      </c>
      <c r="M238" s="15" t="n">
        <v>0</v>
      </c>
      <c r="N238" s="15" t="n">
        <v>0</v>
      </c>
      <c r="O238" s="15" t="n">
        <v>0</v>
      </c>
      <c r="P238" s="15"/>
      <c r="Q238" s="15" t="s">
        <v>1009</v>
      </c>
      <c r="R238" s="15" t="s">
        <v>1010</v>
      </c>
      <c r="S238" s="15" t="s">
        <v>1050</v>
      </c>
      <c r="T238" s="15" t="n">
        <v>0</v>
      </c>
      <c r="U238" s="15" t="n">
        <v>20</v>
      </c>
      <c r="V238" s="15" t="n">
        <v>10</v>
      </c>
      <c r="W238" s="15" t="n">
        <v>0</v>
      </c>
      <c r="X238" s="15" t="n">
        <v>0</v>
      </c>
      <c r="Y238" s="15" t="n">
        <v>0</v>
      </c>
      <c r="Z238" s="15" t="s">
        <v>1012</v>
      </c>
      <c r="AA238" s="15" t="s">
        <v>1013</v>
      </c>
      <c r="AB238" s="15" t="s">
        <v>176</v>
      </c>
      <c r="AC238" s="15" t="s">
        <v>1027</v>
      </c>
      <c r="AD238" s="15"/>
      <c r="AE238" s="15"/>
      <c r="AF238" s="15"/>
      <c r="AG238" s="15"/>
      <c r="AH238" s="15"/>
      <c r="AI238" s="15" t="s">
        <v>1030</v>
      </c>
      <c r="AJ238" s="15" t="n">
        <v>0</v>
      </c>
      <c r="AK238" s="15" t="n">
        <v>0</v>
      </c>
      <c r="AL238" s="15" t="n">
        <v>0</v>
      </c>
      <c r="AM238" s="15" t="n">
        <v>0</v>
      </c>
      <c r="AN238" s="15" t="n">
        <v>0</v>
      </c>
      <c r="AO238" s="15" t="n">
        <v>0</v>
      </c>
      <c r="AP238" s="15" t="s">
        <v>1325</v>
      </c>
      <c r="AQ238" s="15" t="s">
        <v>1021</v>
      </c>
      <c r="AR238" s="15" t="s">
        <v>169</v>
      </c>
      <c r="AS238" s="15"/>
      <c r="AT238" s="29" t="str">
        <f aca="false">IF(A238="","",IF(COUNTIF(Parcels!$A$2:$A$3000,B238)=0,"Parcel not found",IF(COUNTIF($A$2:$A$3000,A238)&gt;1,"Duplicate perm_id",IF(AND(R238="Yes",D238&lt;&gt;"",COUNTIFS($C$2:$C$3000,D238,$R$2:$R$3000,"Yes")&gt;1),"Reference counted twice",IF(COUNTIF(Lists!$A$2:$A$7,I238)=0,"Unknown status","")))))</f>
        <v/>
      </c>
    </row>
    <row r="239" customFormat="false" ht="15" hidden="false" customHeight="false" outlineLevel="0" collapsed="false">
      <c r="A239" s="15" t="s">
        <v>2150</v>
      </c>
      <c r="B239" s="15" t="s">
        <v>814</v>
      </c>
      <c r="C239" s="15" t="s">
        <v>67</v>
      </c>
      <c r="D239" s="15" t="s">
        <v>2151</v>
      </c>
      <c r="E239" s="15" t="s">
        <v>2151</v>
      </c>
      <c r="F239" s="15" t="s">
        <v>816</v>
      </c>
      <c r="G239" s="15" t="n">
        <v>28</v>
      </c>
      <c r="H239" s="15"/>
      <c r="I239" s="15" t="s">
        <v>1007</v>
      </c>
      <c r="J239" s="15" t="s">
        <v>1008</v>
      </c>
      <c r="K239" s="15" t="s">
        <v>1007</v>
      </c>
      <c r="L239" s="15" t="n">
        <v>0</v>
      </c>
      <c r="M239" s="15" t="n">
        <v>0</v>
      </c>
      <c r="N239" s="15" t="n">
        <v>0</v>
      </c>
      <c r="O239" s="15" t="n">
        <v>0</v>
      </c>
      <c r="P239" s="15"/>
      <c r="Q239" s="15" t="s">
        <v>1009</v>
      </c>
      <c r="R239" s="15" t="s">
        <v>1010</v>
      </c>
      <c r="S239" s="15" t="s">
        <v>1365</v>
      </c>
      <c r="T239" s="15"/>
      <c r="U239" s="15"/>
      <c r="V239" s="15"/>
      <c r="W239" s="15"/>
      <c r="X239" s="15"/>
      <c r="Y239" s="15"/>
      <c r="Z239" s="15" t="s">
        <v>1012</v>
      </c>
      <c r="AA239" s="15" t="s">
        <v>1013</v>
      </c>
      <c r="AB239" s="15" t="s">
        <v>176</v>
      </c>
      <c r="AC239" s="15" t="s">
        <v>1027</v>
      </c>
      <c r="AD239" s="15" t="s">
        <v>2108</v>
      </c>
      <c r="AE239" s="15" t="s">
        <v>2109</v>
      </c>
      <c r="AF239" s="15"/>
      <c r="AG239" s="15" t="s">
        <v>1101</v>
      </c>
      <c r="AH239" s="15" t="s">
        <v>1095</v>
      </c>
      <c r="AI239" s="15" t="s">
        <v>1061</v>
      </c>
      <c r="AJ239" s="15" t="n">
        <v>0</v>
      </c>
      <c r="AK239" s="15" t="n">
        <v>0</v>
      </c>
      <c r="AL239" s="15" t="n">
        <v>0</v>
      </c>
      <c r="AM239" s="15" t="n">
        <v>27.8</v>
      </c>
      <c r="AN239" s="15" t="n">
        <v>0.2</v>
      </c>
      <c r="AO239" s="15" t="n">
        <v>0</v>
      </c>
      <c r="AP239" s="15" t="s">
        <v>1325</v>
      </c>
      <c r="AQ239" s="15" t="s">
        <v>1021</v>
      </c>
      <c r="AR239" s="15" t="s">
        <v>169</v>
      </c>
      <c r="AS239" s="15"/>
      <c r="AT239" s="29" t="str">
        <f aca="false">IF(A239="","",IF(COUNTIF(Parcels!$A$2:$A$3000,B239)=0,"Parcel not found",IF(COUNTIF($A$2:$A$3000,A239)&gt;1,"Duplicate perm_id",IF(AND(R239="Yes",D239&lt;&gt;"",COUNTIFS($C$2:$C$3000,D239,$R$2:$R$3000,"Yes")&gt;1),"Reference counted twice",IF(COUNTIF(Lists!$A$2:$A$7,I239)=0,"Unknown status","")))))</f>
        <v/>
      </c>
    </row>
    <row r="240" customFormat="false" ht="15" hidden="false" customHeight="false" outlineLevel="0" collapsed="false">
      <c r="A240" s="15" t="s">
        <v>2152</v>
      </c>
      <c r="B240" s="15" t="s">
        <v>483</v>
      </c>
      <c r="C240" s="15" t="s">
        <v>51</v>
      </c>
      <c r="D240" s="15" t="s">
        <v>2153</v>
      </c>
      <c r="E240" s="15" t="s">
        <v>2153</v>
      </c>
      <c r="F240" s="15" t="s">
        <v>484</v>
      </c>
      <c r="G240" s="15" t="n">
        <v>6</v>
      </c>
      <c r="H240" s="15"/>
      <c r="I240" s="15" t="s">
        <v>1046</v>
      </c>
      <c r="J240" s="15" t="s">
        <v>1008</v>
      </c>
      <c r="K240" s="15" t="s">
        <v>1046</v>
      </c>
      <c r="L240" s="15" t="n">
        <v>0</v>
      </c>
      <c r="M240" s="15" t="n">
        <v>0</v>
      </c>
      <c r="N240" s="15" t="n">
        <v>0</v>
      </c>
      <c r="O240" s="15" t="n">
        <v>0</v>
      </c>
      <c r="P240" s="15"/>
      <c r="Q240" s="15" t="s">
        <v>1009</v>
      </c>
      <c r="R240" s="15" t="s">
        <v>1010</v>
      </c>
      <c r="S240" s="15" t="s">
        <v>1131</v>
      </c>
      <c r="T240" s="15"/>
      <c r="U240" s="15"/>
      <c r="V240" s="15"/>
      <c r="W240" s="15"/>
      <c r="X240" s="15"/>
      <c r="Y240" s="15"/>
      <c r="Z240" s="15" t="s">
        <v>1012</v>
      </c>
      <c r="AA240" s="15" t="s">
        <v>1035</v>
      </c>
      <c r="AB240" s="15" t="s">
        <v>1036</v>
      </c>
      <c r="AC240" s="15" t="s">
        <v>1037</v>
      </c>
      <c r="AD240" s="15"/>
      <c r="AE240" s="15"/>
      <c r="AF240" s="15"/>
      <c r="AG240" s="15"/>
      <c r="AH240" s="15"/>
      <c r="AI240" s="15" t="s">
        <v>1030</v>
      </c>
      <c r="AJ240" s="15" t="n">
        <v>0</v>
      </c>
      <c r="AK240" s="15" t="n">
        <v>0</v>
      </c>
      <c r="AL240" s="15" t="n">
        <v>0</v>
      </c>
      <c r="AM240" s="15" t="n">
        <v>0</v>
      </c>
      <c r="AN240" s="15" t="n">
        <v>0</v>
      </c>
      <c r="AO240" s="15" t="n">
        <v>0</v>
      </c>
      <c r="AP240" s="15" t="s">
        <v>1325</v>
      </c>
      <c r="AQ240" s="15" t="s">
        <v>1021</v>
      </c>
      <c r="AR240" s="15" t="s">
        <v>169</v>
      </c>
      <c r="AS240" s="15"/>
      <c r="AT240" s="29" t="str">
        <f aca="false">IF(A240="","",IF(COUNTIF(Parcels!$A$2:$A$3000,B240)=0,"Parcel not found",IF(COUNTIF($A$2:$A$3000,A240)&gt;1,"Duplicate perm_id",IF(AND(R240="Yes",D240&lt;&gt;"",COUNTIFS($C$2:$C$3000,D240,$R$2:$R$3000,"Yes")&gt;1),"Reference counted twice",IF(COUNTIF(Lists!$A$2:$A$7,I240)=0,"Unknown status","")))))</f>
        <v/>
      </c>
    </row>
    <row r="241" customFormat="false" ht="15" hidden="false" customHeight="false" outlineLevel="0" collapsed="false">
      <c r="A241" s="15" t="s">
        <v>2154</v>
      </c>
      <c r="B241" s="15" t="s">
        <v>600</v>
      </c>
      <c r="C241" s="15" t="s">
        <v>54</v>
      </c>
      <c r="D241" s="15" t="s">
        <v>2155</v>
      </c>
      <c r="E241" s="15" t="s">
        <v>2155</v>
      </c>
      <c r="F241" s="15" t="s">
        <v>601</v>
      </c>
      <c r="G241" s="15" t="n">
        <v>6</v>
      </c>
      <c r="H241" s="15"/>
      <c r="I241" s="15" t="s">
        <v>1046</v>
      </c>
      <c r="J241" s="15" t="s">
        <v>1008</v>
      </c>
      <c r="K241" s="15" t="s">
        <v>1046</v>
      </c>
      <c r="L241" s="15" t="n">
        <v>0</v>
      </c>
      <c r="M241" s="15" t="n">
        <v>0</v>
      </c>
      <c r="N241" s="15" t="n">
        <v>0</v>
      </c>
      <c r="O241" s="15" t="n">
        <v>0</v>
      </c>
      <c r="P241" s="15"/>
      <c r="Q241" s="15" t="s">
        <v>1009</v>
      </c>
      <c r="R241" s="15" t="s">
        <v>1010</v>
      </c>
      <c r="S241" s="15" t="s">
        <v>1131</v>
      </c>
      <c r="T241" s="15"/>
      <c r="U241" s="15"/>
      <c r="V241" s="15"/>
      <c r="W241" s="15"/>
      <c r="X241" s="15"/>
      <c r="Y241" s="15"/>
      <c r="Z241" s="15" t="s">
        <v>1012</v>
      </c>
      <c r="AA241" s="15" t="s">
        <v>1035</v>
      </c>
      <c r="AB241" s="15" t="s">
        <v>1036</v>
      </c>
      <c r="AC241" s="15" t="s">
        <v>1037</v>
      </c>
      <c r="AD241" s="15"/>
      <c r="AE241" s="15"/>
      <c r="AF241" s="15"/>
      <c r="AG241" s="15"/>
      <c r="AH241" s="15"/>
      <c r="AI241" s="15" t="s">
        <v>1030</v>
      </c>
      <c r="AJ241" s="15" t="n">
        <v>0</v>
      </c>
      <c r="AK241" s="15" t="n">
        <v>0</v>
      </c>
      <c r="AL241" s="15" t="n">
        <v>0</v>
      </c>
      <c r="AM241" s="15" t="n">
        <v>0</v>
      </c>
      <c r="AN241" s="15" t="n">
        <v>0</v>
      </c>
      <c r="AO241" s="15" t="n">
        <v>0</v>
      </c>
      <c r="AP241" s="15" t="s">
        <v>1325</v>
      </c>
      <c r="AQ241" s="15" t="s">
        <v>1021</v>
      </c>
      <c r="AR241" s="15" t="s">
        <v>169</v>
      </c>
      <c r="AS241" s="15"/>
      <c r="AT241" s="29" t="str">
        <f aca="false">IF(A241="","",IF(COUNTIF(Parcels!$A$2:$A$3000,B241)=0,"Parcel not found",IF(COUNTIF($A$2:$A$3000,A241)&gt;1,"Duplicate perm_id",IF(AND(R241="Yes",D241&lt;&gt;"",COUNTIFS($C$2:$C$3000,D241,$R$2:$R$3000,"Yes")&gt;1),"Reference counted twice",IF(COUNTIF(Lists!$A$2:$A$7,I241)=0,"Unknown status","")))))</f>
        <v/>
      </c>
    </row>
    <row r="242" customFormat="false" ht="15" hidden="false" customHeight="false" outlineLevel="0" collapsed="false">
      <c r="A242" s="15" t="s">
        <v>2156</v>
      </c>
      <c r="B242" s="15" t="s">
        <v>591</v>
      </c>
      <c r="C242" s="15" t="s">
        <v>53</v>
      </c>
      <c r="D242" s="15" t="s">
        <v>2157</v>
      </c>
      <c r="E242" s="15" t="s">
        <v>2157</v>
      </c>
      <c r="F242" s="15" t="s">
        <v>592</v>
      </c>
      <c r="G242" s="15" t="n">
        <v>13</v>
      </c>
      <c r="H242" s="15"/>
      <c r="I242" s="15" t="s">
        <v>1046</v>
      </c>
      <c r="J242" s="15" t="s">
        <v>1008</v>
      </c>
      <c r="K242" s="15" t="s">
        <v>1046</v>
      </c>
      <c r="L242" s="15" t="n">
        <v>0</v>
      </c>
      <c r="M242" s="15" t="n">
        <v>0</v>
      </c>
      <c r="N242" s="15" t="n">
        <v>0</v>
      </c>
      <c r="O242" s="15" t="n">
        <v>0</v>
      </c>
      <c r="P242" s="15"/>
      <c r="Q242" s="15" t="s">
        <v>1009</v>
      </c>
      <c r="R242" s="15" t="s">
        <v>1010</v>
      </c>
      <c r="S242" s="15" t="s">
        <v>1131</v>
      </c>
      <c r="T242" s="15"/>
      <c r="U242" s="15"/>
      <c r="V242" s="15"/>
      <c r="W242" s="15"/>
      <c r="X242" s="15"/>
      <c r="Y242" s="15"/>
      <c r="Z242" s="15" t="s">
        <v>1012</v>
      </c>
      <c r="AA242" s="15" t="s">
        <v>1035</v>
      </c>
      <c r="AB242" s="15" t="s">
        <v>1036</v>
      </c>
      <c r="AC242" s="15" t="s">
        <v>1037</v>
      </c>
      <c r="AD242" s="15"/>
      <c r="AE242" s="15"/>
      <c r="AF242" s="15"/>
      <c r="AG242" s="15"/>
      <c r="AH242" s="15"/>
      <c r="AI242" s="15" t="s">
        <v>1030</v>
      </c>
      <c r="AJ242" s="15" t="n">
        <v>0</v>
      </c>
      <c r="AK242" s="15" t="n">
        <v>0</v>
      </c>
      <c r="AL242" s="15" t="n">
        <v>0</v>
      </c>
      <c r="AM242" s="15" t="n">
        <v>0</v>
      </c>
      <c r="AN242" s="15" t="n">
        <v>0</v>
      </c>
      <c r="AO242" s="15" t="n">
        <v>0</v>
      </c>
      <c r="AP242" s="15" t="s">
        <v>1325</v>
      </c>
      <c r="AQ242" s="15" t="s">
        <v>1021</v>
      </c>
      <c r="AR242" s="15" t="s">
        <v>169</v>
      </c>
      <c r="AS242" s="15"/>
      <c r="AT242" s="29" t="str">
        <f aca="false">IF(A242="","",IF(COUNTIF(Parcels!$A$2:$A$3000,B242)=0,"Parcel not found",IF(COUNTIF($A$2:$A$3000,A242)&gt;1,"Duplicate perm_id",IF(AND(R242="Yes",D242&lt;&gt;"",COUNTIFS($C$2:$C$3000,D242,$R$2:$R$3000,"Yes")&gt;1),"Reference counted twice",IF(COUNTIF(Lists!$A$2:$A$7,I242)=0,"Unknown status","")))))</f>
        <v/>
      </c>
    </row>
    <row r="243" customFormat="false" ht="15" hidden="false" customHeight="false" outlineLevel="0" collapsed="false">
      <c r="A243" s="15" t="s">
        <v>2158</v>
      </c>
      <c r="B243" s="15" t="s">
        <v>525</v>
      </c>
      <c r="C243" s="15" t="s">
        <v>52</v>
      </c>
      <c r="D243" s="15" t="s">
        <v>2159</v>
      </c>
      <c r="E243" s="15" t="s">
        <v>2159</v>
      </c>
      <c r="F243" s="15" t="s">
        <v>2160</v>
      </c>
      <c r="G243" s="15" t="n">
        <v>54</v>
      </c>
      <c r="H243" s="15"/>
      <c r="I243" s="15" t="s">
        <v>47</v>
      </c>
      <c r="J243" s="15" t="s">
        <v>1341</v>
      </c>
      <c r="K243" s="15" t="s">
        <v>48</v>
      </c>
      <c r="L243" s="15" t="n">
        <v>54</v>
      </c>
      <c r="M243" s="15" t="n">
        <v>54</v>
      </c>
      <c r="N243" s="15" t="n">
        <v>0</v>
      </c>
      <c r="O243" s="15" t="n">
        <v>0</v>
      </c>
      <c r="P243" s="15" t="s">
        <v>1342</v>
      </c>
      <c r="Q243" s="15" t="s">
        <v>1009</v>
      </c>
      <c r="R243" s="15" t="s">
        <v>1010</v>
      </c>
      <c r="S243" s="15" t="s">
        <v>1365</v>
      </c>
      <c r="T243" s="15"/>
      <c r="U243" s="15"/>
      <c r="V243" s="15"/>
      <c r="W243" s="15"/>
      <c r="X243" s="15"/>
      <c r="Y243" s="15"/>
      <c r="Z243" s="15" t="s">
        <v>1136</v>
      </c>
      <c r="AA243" s="15" t="s">
        <v>1013</v>
      </c>
      <c r="AB243" s="15" t="s">
        <v>176</v>
      </c>
      <c r="AC243" s="15" t="s">
        <v>1027</v>
      </c>
      <c r="AD243" s="15" t="s">
        <v>2076</v>
      </c>
      <c r="AE243" s="15" t="s">
        <v>1429</v>
      </c>
      <c r="AF243" s="15" t="s">
        <v>2161</v>
      </c>
      <c r="AG243" s="15" t="s">
        <v>1575</v>
      </c>
      <c r="AH243" s="15" t="s">
        <v>1041</v>
      </c>
      <c r="AI243" s="15" t="s">
        <v>1042</v>
      </c>
      <c r="AJ243" s="15" t="n">
        <v>0</v>
      </c>
      <c r="AK243" s="15" t="n">
        <v>0</v>
      </c>
      <c r="AL243" s="15" t="n">
        <v>0</v>
      </c>
      <c r="AM243" s="15" t="n">
        <v>0</v>
      </c>
      <c r="AN243" s="15" t="n">
        <v>0</v>
      </c>
      <c r="AO243" s="15" t="n">
        <v>0</v>
      </c>
      <c r="AP243" s="15" t="s">
        <v>1325</v>
      </c>
      <c r="AQ243" s="15" t="s">
        <v>1021</v>
      </c>
      <c r="AR243" s="15" t="s">
        <v>169</v>
      </c>
      <c r="AS243" s="15"/>
      <c r="AT243" s="29" t="str">
        <f aca="false">IF(A243="","",IF(COUNTIF(Parcels!$A$2:$A$3000,B243)=0,"Parcel not found",IF(COUNTIF($A$2:$A$3000,A243)&gt;1,"Duplicate perm_id",IF(AND(R243="Yes",D243&lt;&gt;"",COUNTIFS($C$2:$C$3000,D243,$R$2:$R$3000,"Yes")&gt;1),"Reference counted twice",IF(COUNTIF(Lists!$A$2:$A$7,I243)=0,"Unknown status","")))))</f>
        <v/>
      </c>
    </row>
    <row r="244" customFormat="false" ht="15" hidden="false" customHeight="false" outlineLevel="0" collapsed="false">
      <c r="A244" s="15" t="s">
        <v>2162</v>
      </c>
      <c r="B244" s="15" t="s">
        <v>525</v>
      </c>
      <c r="C244" s="15" t="s">
        <v>52</v>
      </c>
      <c r="D244" s="15" t="s">
        <v>2163</v>
      </c>
      <c r="E244" s="15" t="s">
        <v>2163</v>
      </c>
      <c r="F244" s="15" t="s">
        <v>526</v>
      </c>
      <c r="G244" s="15" t="n">
        <v>200</v>
      </c>
      <c r="H244" s="15"/>
      <c r="I244" s="15" t="s">
        <v>47</v>
      </c>
      <c r="J244" s="15" t="s">
        <v>1008</v>
      </c>
      <c r="K244" s="15" t="s">
        <v>47</v>
      </c>
      <c r="L244" s="15" t="n">
        <v>200</v>
      </c>
      <c r="M244" s="15" t="n">
        <v>199</v>
      </c>
      <c r="N244" s="15" t="n">
        <v>0</v>
      </c>
      <c r="O244" s="15" t="n">
        <v>0</v>
      </c>
      <c r="P244" s="15"/>
      <c r="Q244" s="15" t="s">
        <v>1009</v>
      </c>
      <c r="R244" s="15" t="s">
        <v>1010</v>
      </c>
      <c r="S244" s="15" t="s">
        <v>1377</v>
      </c>
      <c r="T244" s="15" t="n">
        <v>0</v>
      </c>
      <c r="U244" s="15" t="n">
        <v>53</v>
      </c>
      <c r="V244" s="15" t="n">
        <v>69</v>
      </c>
      <c r="W244" s="15" t="n">
        <v>78</v>
      </c>
      <c r="X244" s="15" t="n">
        <v>0</v>
      </c>
      <c r="Y244" s="15" t="n">
        <v>0</v>
      </c>
      <c r="Z244" s="15" t="s">
        <v>1012</v>
      </c>
      <c r="AA244" s="15" t="s">
        <v>1013</v>
      </c>
      <c r="AB244" s="15" t="s">
        <v>176</v>
      </c>
      <c r="AC244" s="15" t="s">
        <v>1014</v>
      </c>
      <c r="AD244" s="15" t="s">
        <v>2164</v>
      </c>
      <c r="AE244" s="15" t="s">
        <v>2165</v>
      </c>
      <c r="AF244" s="15" t="s">
        <v>2166</v>
      </c>
      <c r="AG244" s="15"/>
      <c r="AH244" s="15"/>
      <c r="AI244" s="15" t="s">
        <v>1053</v>
      </c>
      <c r="AJ244" s="15" t="n">
        <v>0</v>
      </c>
      <c r="AK244" s="15" t="n">
        <v>0</v>
      </c>
      <c r="AL244" s="15" t="n">
        <v>0</v>
      </c>
      <c r="AM244" s="15" t="n">
        <v>0</v>
      </c>
      <c r="AN244" s="15" t="n">
        <v>0</v>
      </c>
      <c r="AO244" s="15" t="n">
        <v>0</v>
      </c>
      <c r="AP244" s="15" t="s">
        <v>1325</v>
      </c>
      <c r="AQ244" s="15" t="s">
        <v>1021</v>
      </c>
      <c r="AR244" s="15" t="s">
        <v>169</v>
      </c>
      <c r="AS244" s="15"/>
      <c r="AT244" s="29" t="str">
        <f aca="false">IF(A244="","",IF(COUNTIF(Parcels!$A$2:$A$3000,B244)=0,"Parcel not found",IF(COUNTIF($A$2:$A$3000,A244)&gt;1,"Duplicate perm_id",IF(AND(R244="Yes",D244&lt;&gt;"",COUNTIFS($C$2:$C$3000,D244,$R$2:$R$3000,"Yes")&gt;1),"Reference counted twice",IF(COUNTIF(Lists!$A$2:$A$7,I244)=0,"Unknown status","")))))</f>
        <v/>
      </c>
    </row>
    <row r="245" customFormat="false" ht="15" hidden="false" customHeight="false" outlineLevel="0" collapsed="false">
      <c r="A245" s="15" t="s">
        <v>2167</v>
      </c>
      <c r="B245" s="15" t="s">
        <v>525</v>
      </c>
      <c r="C245" s="15" t="s">
        <v>52</v>
      </c>
      <c r="D245" s="15" t="s">
        <v>2168</v>
      </c>
      <c r="E245" s="15" t="s">
        <v>2168</v>
      </c>
      <c r="F245" s="15" t="s">
        <v>2169</v>
      </c>
      <c r="G245" s="15" t="n">
        <v>21</v>
      </c>
      <c r="H245" s="15"/>
      <c r="I245" s="15" t="s">
        <v>47</v>
      </c>
      <c r="J245" s="15" t="s">
        <v>1008</v>
      </c>
      <c r="K245" s="15" t="s">
        <v>47</v>
      </c>
      <c r="L245" s="15" t="n">
        <v>21</v>
      </c>
      <c r="M245" s="15" t="n">
        <v>21</v>
      </c>
      <c r="N245" s="15" t="n">
        <v>0</v>
      </c>
      <c r="O245" s="15" t="n">
        <v>0</v>
      </c>
      <c r="P245" s="15"/>
      <c r="Q245" s="15" t="s">
        <v>1009</v>
      </c>
      <c r="R245" s="15" t="s">
        <v>1010</v>
      </c>
      <c r="S245" s="15" t="s">
        <v>1026</v>
      </c>
      <c r="T245" s="15"/>
      <c r="U245" s="15"/>
      <c r="V245" s="15"/>
      <c r="W245" s="15"/>
      <c r="X245" s="15"/>
      <c r="Y245" s="15"/>
      <c r="Z245" s="15" t="s">
        <v>1034</v>
      </c>
      <c r="AA245" s="15" t="s">
        <v>1013</v>
      </c>
      <c r="AB245" s="15" t="s">
        <v>176</v>
      </c>
      <c r="AC245" s="15" t="s">
        <v>1027</v>
      </c>
      <c r="AD245" s="15" t="s">
        <v>2170</v>
      </c>
      <c r="AE245" s="15" t="s">
        <v>2171</v>
      </c>
      <c r="AF245" s="15" t="s">
        <v>2172</v>
      </c>
      <c r="AG245" s="15"/>
      <c r="AH245" s="15"/>
      <c r="AI245" s="15" t="s">
        <v>1053</v>
      </c>
      <c r="AJ245" s="15" t="n">
        <v>0</v>
      </c>
      <c r="AK245" s="15" t="n">
        <v>0</v>
      </c>
      <c r="AL245" s="15" t="n">
        <v>0</v>
      </c>
      <c r="AM245" s="15" t="n">
        <v>0</v>
      </c>
      <c r="AN245" s="15" t="n">
        <v>0</v>
      </c>
      <c r="AO245" s="15" t="n">
        <v>0</v>
      </c>
      <c r="AP245" s="15" t="s">
        <v>1325</v>
      </c>
      <c r="AQ245" s="15" t="s">
        <v>1021</v>
      </c>
      <c r="AR245" s="15" t="s">
        <v>169</v>
      </c>
      <c r="AS245" s="15"/>
      <c r="AT245" s="29" t="str">
        <f aca="false">IF(A245="","",IF(COUNTIF(Parcels!$A$2:$A$3000,B245)=0,"Parcel not found",IF(COUNTIF($A$2:$A$3000,A245)&gt;1,"Duplicate perm_id",IF(AND(R245="Yes",D245&lt;&gt;"",COUNTIFS($C$2:$C$3000,D245,$R$2:$R$3000,"Yes")&gt;1),"Reference counted twice",IF(COUNTIF(Lists!$A$2:$A$7,I245)=0,"Unknown status","")))))</f>
        <v/>
      </c>
    </row>
    <row r="246" customFormat="false" ht="15" hidden="false" customHeight="false" outlineLevel="0" collapsed="false">
      <c r="A246" s="15" t="s">
        <v>2173</v>
      </c>
      <c r="B246" s="15" t="s">
        <v>525</v>
      </c>
      <c r="C246" s="15" t="s">
        <v>52</v>
      </c>
      <c r="D246" s="15" t="s">
        <v>2174</v>
      </c>
      <c r="E246" s="15" t="s">
        <v>2174</v>
      </c>
      <c r="F246" s="15" t="s">
        <v>2175</v>
      </c>
      <c r="G246" s="15" t="n">
        <v>23</v>
      </c>
      <c r="H246" s="15"/>
      <c r="I246" s="15" t="s">
        <v>47</v>
      </c>
      <c r="J246" s="15" t="s">
        <v>1341</v>
      </c>
      <c r="K246" s="15" t="s">
        <v>48</v>
      </c>
      <c r="L246" s="15" t="n">
        <v>23</v>
      </c>
      <c r="M246" s="15" t="n">
        <v>23</v>
      </c>
      <c r="N246" s="15" t="n">
        <v>0</v>
      </c>
      <c r="O246" s="15" t="n">
        <v>0</v>
      </c>
      <c r="P246" s="15" t="s">
        <v>1342</v>
      </c>
      <c r="Q246" s="15" t="s">
        <v>1009</v>
      </c>
      <c r="R246" s="15" t="s">
        <v>1010</v>
      </c>
      <c r="S246" s="15" t="s">
        <v>1011</v>
      </c>
      <c r="T246" s="15" t="n">
        <v>0</v>
      </c>
      <c r="U246" s="15" t="n">
        <v>0</v>
      </c>
      <c r="V246" s="15" t="n">
        <v>0</v>
      </c>
      <c r="W246" s="15" t="n">
        <v>23</v>
      </c>
      <c r="X246" s="15" t="n">
        <v>0</v>
      </c>
      <c r="Y246" s="15" t="n">
        <v>0</v>
      </c>
      <c r="Z246" s="15" t="s">
        <v>1034</v>
      </c>
      <c r="AA246" s="15" t="s">
        <v>1013</v>
      </c>
      <c r="AB246" s="15" t="s">
        <v>176</v>
      </c>
      <c r="AC246" s="15" t="s">
        <v>1027</v>
      </c>
      <c r="AD246" s="15" t="s">
        <v>1781</v>
      </c>
      <c r="AE246" s="15" t="s">
        <v>1782</v>
      </c>
      <c r="AF246" s="15" t="s">
        <v>2176</v>
      </c>
      <c r="AG246" s="15" t="s">
        <v>1560</v>
      </c>
      <c r="AH246" s="15" t="s">
        <v>1041</v>
      </c>
      <c r="AI246" s="15" t="s">
        <v>1042</v>
      </c>
      <c r="AJ246" s="15" t="n">
        <v>0</v>
      </c>
      <c r="AK246" s="15" t="n">
        <v>0</v>
      </c>
      <c r="AL246" s="15" t="n">
        <v>0</v>
      </c>
      <c r="AM246" s="15" t="n">
        <v>0</v>
      </c>
      <c r="AN246" s="15" t="n">
        <v>0</v>
      </c>
      <c r="AO246" s="15" t="n">
        <v>0</v>
      </c>
      <c r="AP246" s="15" t="s">
        <v>1325</v>
      </c>
      <c r="AQ246" s="15" t="s">
        <v>1021</v>
      </c>
      <c r="AR246" s="15" t="s">
        <v>169</v>
      </c>
      <c r="AS246" s="15"/>
      <c r="AT246" s="29" t="str">
        <f aca="false">IF(A246="","",IF(COUNTIF(Parcels!$A$2:$A$3000,B246)=0,"Parcel not found",IF(COUNTIF($A$2:$A$3000,A246)&gt;1,"Duplicate perm_id",IF(AND(R246="Yes",D246&lt;&gt;"",COUNTIFS($C$2:$C$3000,D246,$R$2:$R$3000,"Yes")&gt;1),"Reference counted twice",IF(COUNTIF(Lists!$A$2:$A$7,I246)=0,"Unknown status","")))))</f>
        <v/>
      </c>
    </row>
    <row r="247" customFormat="false" ht="15" hidden="false" customHeight="false" outlineLevel="0" collapsed="false">
      <c r="A247" s="15" t="s">
        <v>2177</v>
      </c>
      <c r="B247" s="15" t="s">
        <v>487</v>
      </c>
      <c r="C247" s="15" t="s">
        <v>51</v>
      </c>
      <c r="D247" s="15" t="s">
        <v>2178</v>
      </c>
      <c r="E247" s="15" t="s">
        <v>2178</v>
      </c>
      <c r="F247" s="15" t="s">
        <v>488</v>
      </c>
      <c r="G247" s="15" t="n">
        <v>6</v>
      </c>
      <c r="H247" s="15"/>
      <c r="I247" s="15" t="s">
        <v>47</v>
      </c>
      <c r="J247" s="15" t="s">
        <v>1008</v>
      </c>
      <c r="K247" s="15" t="s">
        <v>47</v>
      </c>
      <c r="L247" s="15" t="n">
        <v>6</v>
      </c>
      <c r="M247" s="15" t="n">
        <v>0</v>
      </c>
      <c r="N247" s="15" t="n">
        <v>0</v>
      </c>
      <c r="O247" s="15" t="n">
        <v>0</v>
      </c>
      <c r="P247" s="15" t="s">
        <v>1334</v>
      </c>
      <c r="Q247" s="15" t="s">
        <v>1009</v>
      </c>
      <c r="R247" s="15" t="s">
        <v>1010</v>
      </c>
      <c r="S247" s="15" t="s">
        <v>1131</v>
      </c>
      <c r="T247" s="15"/>
      <c r="U247" s="15"/>
      <c r="V247" s="15"/>
      <c r="W247" s="15"/>
      <c r="X247" s="15"/>
      <c r="Y247" s="15"/>
      <c r="Z247" s="15" t="s">
        <v>1012</v>
      </c>
      <c r="AA247" s="15" t="s">
        <v>1035</v>
      </c>
      <c r="AB247" s="15" t="s">
        <v>1036</v>
      </c>
      <c r="AC247" s="15" t="s">
        <v>1037</v>
      </c>
      <c r="AD247" s="15" t="s">
        <v>2179</v>
      </c>
      <c r="AE247" s="15"/>
      <c r="AF247" s="15" t="s">
        <v>2180</v>
      </c>
      <c r="AG247" s="15"/>
      <c r="AH247" s="15"/>
      <c r="AI247" s="15" t="s">
        <v>1053</v>
      </c>
      <c r="AJ247" s="15" t="n">
        <v>0</v>
      </c>
      <c r="AK247" s="15" t="n">
        <v>0</v>
      </c>
      <c r="AL247" s="15" t="n">
        <v>0</v>
      </c>
      <c r="AM247" s="15" t="n">
        <v>0</v>
      </c>
      <c r="AN247" s="15" t="n">
        <v>0</v>
      </c>
      <c r="AO247" s="15" t="n">
        <v>0</v>
      </c>
      <c r="AP247" s="15" t="s">
        <v>1325</v>
      </c>
      <c r="AQ247" s="15" t="s">
        <v>1021</v>
      </c>
      <c r="AR247" s="15" t="s">
        <v>169</v>
      </c>
      <c r="AS247" s="15"/>
      <c r="AT247" s="29" t="str">
        <f aca="false">IF(A247="","",IF(COUNTIF(Parcels!$A$2:$A$3000,B247)=0,"Parcel not found",IF(COUNTIF($A$2:$A$3000,A247)&gt;1,"Duplicate perm_id",IF(AND(R247="Yes",D247&lt;&gt;"",COUNTIFS($C$2:$C$3000,D247,$R$2:$R$3000,"Yes")&gt;1),"Reference counted twice",IF(COUNTIF(Lists!$A$2:$A$7,I247)=0,"Unknown status","")))))</f>
        <v/>
      </c>
    </row>
    <row r="248" customFormat="false" ht="15" hidden="false" customHeight="false" outlineLevel="0" collapsed="false">
      <c r="A248" s="15" t="s">
        <v>2181</v>
      </c>
      <c r="B248" s="15" t="s">
        <v>817</v>
      </c>
      <c r="C248" s="15" t="s">
        <v>22</v>
      </c>
      <c r="D248" s="15"/>
      <c r="E248" s="15"/>
      <c r="F248" s="15" t="s">
        <v>818</v>
      </c>
      <c r="G248" s="15" t="n">
        <v>17</v>
      </c>
      <c r="H248" s="15"/>
      <c r="I248" s="15" t="s">
        <v>1025</v>
      </c>
      <c r="J248" s="15" t="s">
        <v>1008</v>
      </c>
      <c r="K248" s="15" t="s">
        <v>1025</v>
      </c>
      <c r="L248" s="15" t="n">
        <v>3</v>
      </c>
      <c r="M248" s="15" t="n">
        <v>3</v>
      </c>
      <c r="N248" s="15" t="n">
        <v>0</v>
      </c>
      <c r="O248" s="15" t="n">
        <v>0</v>
      </c>
      <c r="P248" s="15" t="s">
        <v>1585</v>
      </c>
      <c r="Q248" s="15" t="s">
        <v>1009</v>
      </c>
      <c r="R248" s="15" t="s">
        <v>1010</v>
      </c>
      <c r="S248" s="15" t="s">
        <v>1131</v>
      </c>
      <c r="T248" s="15"/>
      <c r="U248" s="15"/>
      <c r="V248" s="15"/>
      <c r="W248" s="15"/>
      <c r="X248" s="15"/>
      <c r="Y248" s="15"/>
      <c r="Z248" s="15" t="s">
        <v>1012</v>
      </c>
      <c r="AA248" s="15" t="s">
        <v>1013</v>
      </c>
      <c r="AB248" s="15" t="s">
        <v>176</v>
      </c>
      <c r="AC248" s="15" t="s">
        <v>1027</v>
      </c>
      <c r="AD248" s="15" t="s">
        <v>2182</v>
      </c>
      <c r="AE248" s="15" t="s">
        <v>2183</v>
      </c>
      <c r="AF248" s="15"/>
      <c r="AG248" s="15"/>
      <c r="AH248" s="15"/>
      <c r="AI248" s="15" t="s">
        <v>1030</v>
      </c>
      <c r="AJ248" s="15" t="n">
        <v>0</v>
      </c>
      <c r="AK248" s="15" t="n">
        <v>0</v>
      </c>
      <c r="AL248" s="15" t="n">
        <v>0</v>
      </c>
      <c r="AM248" s="15" t="n">
        <v>0</v>
      </c>
      <c r="AN248" s="15" t="n">
        <v>0</v>
      </c>
      <c r="AO248" s="15" t="n">
        <v>0</v>
      </c>
      <c r="AP248" s="15" t="s">
        <v>1325</v>
      </c>
      <c r="AQ248" s="15" t="s">
        <v>1021</v>
      </c>
      <c r="AR248" s="15" t="s">
        <v>169</v>
      </c>
      <c r="AS248" s="15"/>
      <c r="AT248" s="29" t="str">
        <f aca="false">IF(A248="","",IF(COUNTIF(Parcels!$A$2:$A$3000,B248)=0,"Parcel not found",IF(COUNTIF($A$2:$A$3000,A248)&gt;1,"Duplicate perm_id",IF(AND(R248="Yes",D248&lt;&gt;"",COUNTIFS($C$2:$C$3000,D248,$R$2:$R$3000,"Yes")&gt;1),"Reference counted twice",IF(COUNTIF(Lists!$A$2:$A$7,I248)=0,"Unknown status","")))))</f>
        <v/>
      </c>
    </row>
    <row r="249" customFormat="false" ht="15" hidden="false" customHeight="false" outlineLevel="0" collapsed="false">
      <c r="A249" s="15" t="s">
        <v>2184</v>
      </c>
      <c r="B249" s="15" t="s">
        <v>489</v>
      </c>
      <c r="C249" s="15" t="s">
        <v>51</v>
      </c>
      <c r="D249" s="15"/>
      <c r="E249" s="15"/>
      <c r="F249" s="15" t="s">
        <v>2185</v>
      </c>
      <c r="G249" s="15" t="n">
        <v>0</v>
      </c>
      <c r="H249" s="15"/>
      <c r="I249" s="15" t="s">
        <v>1007</v>
      </c>
      <c r="J249" s="15" t="s">
        <v>1008</v>
      </c>
      <c r="K249" s="15" t="s">
        <v>1007</v>
      </c>
      <c r="L249" s="15" t="n">
        <v>0</v>
      </c>
      <c r="M249" s="15" t="n">
        <v>0</v>
      </c>
      <c r="N249" s="15" t="n">
        <v>0</v>
      </c>
      <c r="O249" s="15" t="n">
        <v>0</v>
      </c>
      <c r="P249" s="15"/>
      <c r="Q249" s="15" t="s">
        <v>1009</v>
      </c>
      <c r="R249" s="15" t="s">
        <v>1010</v>
      </c>
      <c r="S249" s="15" t="s">
        <v>1131</v>
      </c>
      <c r="T249" s="15"/>
      <c r="U249" s="15"/>
      <c r="V249" s="15"/>
      <c r="W249" s="15"/>
      <c r="X249" s="15"/>
      <c r="Y249" s="15"/>
      <c r="Z249" s="15" t="s">
        <v>1012</v>
      </c>
      <c r="AA249" s="15" t="s">
        <v>1035</v>
      </c>
      <c r="AB249" s="15" t="s">
        <v>1036</v>
      </c>
      <c r="AC249" s="15" t="s">
        <v>1027</v>
      </c>
      <c r="AD249" s="15"/>
      <c r="AE249" s="15"/>
      <c r="AF249" s="15"/>
      <c r="AG249" s="15"/>
      <c r="AH249" s="15"/>
      <c r="AI249" s="15" t="s">
        <v>1030</v>
      </c>
      <c r="AJ249" s="15" t="n">
        <v>0</v>
      </c>
      <c r="AK249" s="15" t="n">
        <v>0</v>
      </c>
      <c r="AL249" s="15" t="n">
        <v>0</v>
      </c>
      <c r="AM249" s="15" t="n">
        <v>0</v>
      </c>
      <c r="AN249" s="15" t="n">
        <v>0</v>
      </c>
      <c r="AO249" s="15" t="n">
        <v>0</v>
      </c>
      <c r="AP249" s="15" t="s">
        <v>1325</v>
      </c>
      <c r="AQ249" s="15" t="s">
        <v>1021</v>
      </c>
      <c r="AR249" s="15" t="s">
        <v>169</v>
      </c>
      <c r="AS249" s="15"/>
      <c r="AT249" s="29" t="str">
        <f aca="false">IF(A249="","",IF(COUNTIF(Parcels!$A$2:$A$3000,B249)=0,"Parcel not found",IF(COUNTIF($A$2:$A$3000,A249)&gt;1,"Duplicate perm_id",IF(AND(R249="Yes",D249&lt;&gt;"",COUNTIFS($C$2:$C$3000,D249,$R$2:$R$3000,"Yes")&gt;1),"Reference counted twice",IF(COUNTIF(Lists!$A$2:$A$7,I249)=0,"Unknown status","")))))</f>
        <v/>
      </c>
    </row>
    <row r="250" customFormat="false" ht="15" hidden="false" customHeight="false" outlineLevel="0" collapsed="false">
      <c r="A250" s="15" t="s">
        <v>2186</v>
      </c>
      <c r="B250" s="15" t="s">
        <v>660</v>
      </c>
      <c r="C250" s="15" t="s">
        <v>58</v>
      </c>
      <c r="D250" s="15"/>
      <c r="E250" s="15"/>
      <c r="F250" s="15" t="s">
        <v>661</v>
      </c>
      <c r="G250" s="15" t="n">
        <v>12</v>
      </c>
      <c r="H250" s="15"/>
      <c r="I250" s="15" t="s">
        <v>1046</v>
      </c>
      <c r="J250" s="15" t="s">
        <v>1008</v>
      </c>
      <c r="K250" s="15" t="s">
        <v>1046</v>
      </c>
      <c r="L250" s="15" t="n">
        <v>0</v>
      </c>
      <c r="M250" s="15" t="n">
        <v>0</v>
      </c>
      <c r="N250" s="15" t="n">
        <v>0</v>
      </c>
      <c r="O250" s="15" t="n">
        <v>0</v>
      </c>
      <c r="P250" s="15"/>
      <c r="Q250" s="15" t="s">
        <v>1009</v>
      </c>
      <c r="R250" s="15" t="s">
        <v>1010</v>
      </c>
      <c r="S250" s="15" t="s">
        <v>1131</v>
      </c>
      <c r="T250" s="15"/>
      <c r="U250" s="15"/>
      <c r="V250" s="15"/>
      <c r="W250" s="15"/>
      <c r="X250" s="15"/>
      <c r="Y250" s="15"/>
      <c r="Z250" s="15" t="s">
        <v>1012</v>
      </c>
      <c r="AA250" s="15" t="s">
        <v>1035</v>
      </c>
      <c r="AB250" s="15" t="s">
        <v>1036</v>
      </c>
      <c r="AC250" s="15" t="s">
        <v>1037</v>
      </c>
      <c r="AD250" s="15"/>
      <c r="AE250" s="15"/>
      <c r="AF250" s="15"/>
      <c r="AG250" s="15"/>
      <c r="AH250" s="15"/>
      <c r="AI250" s="15" t="s">
        <v>1030</v>
      </c>
      <c r="AJ250" s="15" t="n">
        <v>0</v>
      </c>
      <c r="AK250" s="15" t="n">
        <v>0</v>
      </c>
      <c r="AL250" s="15" t="n">
        <v>0</v>
      </c>
      <c r="AM250" s="15" t="n">
        <v>0</v>
      </c>
      <c r="AN250" s="15" t="n">
        <v>0</v>
      </c>
      <c r="AO250" s="15" t="n">
        <v>0</v>
      </c>
      <c r="AP250" s="15" t="s">
        <v>1325</v>
      </c>
      <c r="AQ250" s="15" t="s">
        <v>1021</v>
      </c>
      <c r="AR250" s="15" t="s">
        <v>169</v>
      </c>
      <c r="AS250" s="15"/>
      <c r="AT250" s="29" t="str">
        <f aca="false">IF(A250="","",IF(COUNTIF(Parcels!$A$2:$A$3000,B250)=0,"Parcel not found",IF(COUNTIF($A$2:$A$3000,A250)&gt;1,"Duplicate perm_id",IF(AND(R250="Yes",D250&lt;&gt;"",COUNTIFS($C$2:$C$3000,D250,$R$2:$R$3000,"Yes")&gt;1),"Reference counted twice",IF(COUNTIF(Lists!$A$2:$A$7,I250)=0,"Unknown status","")))))</f>
        <v/>
      </c>
    </row>
    <row r="251" customFormat="false" ht="15" hidden="false" customHeight="false" outlineLevel="0" collapsed="false">
      <c r="A251" s="15" t="s">
        <v>2187</v>
      </c>
      <c r="B251" s="15" t="s">
        <v>630</v>
      </c>
      <c r="C251" s="15" t="s">
        <v>56</v>
      </c>
      <c r="D251" s="15"/>
      <c r="E251" s="15"/>
      <c r="F251" s="15" t="s">
        <v>2188</v>
      </c>
      <c r="G251" s="15" t="n">
        <v>23</v>
      </c>
      <c r="H251" s="15"/>
      <c r="I251" s="15" t="s">
        <v>1007</v>
      </c>
      <c r="J251" s="15" t="s">
        <v>1008</v>
      </c>
      <c r="K251" s="15" t="s">
        <v>1007</v>
      </c>
      <c r="L251" s="15" t="n">
        <v>0</v>
      </c>
      <c r="M251" s="15" t="n">
        <v>0</v>
      </c>
      <c r="N251" s="15" t="n">
        <v>0</v>
      </c>
      <c r="O251" s="15" t="n">
        <v>0</v>
      </c>
      <c r="P251" s="15"/>
      <c r="Q251" s="15" t="s">
        <v>1009</v>
      </c>
      <c r="R251" s="15" t="s">
        <v>1010</v>
      </c>
      <c r="S251" s="15" t="s">
        <v>1131</v>
      </c>
      <c r="T251" s="15"/>
      <c r="U251" s="15"/>
      <c r="V251" s="15"/>
      <c r="W251" s="15"/>
      <c r="X251" s="15"/>
      <c r="Y251" s="15"/>
      <c r="Z251" s="15" t="s">
        <v>1034</v>
      </c>
      <c r="AA251" s="15" t="s">
        <v>1035</v>
      </c>
      <c r="AB251" s="15" t="s">
        <v>1036</v>
      </c>
      <c r="AC251" s="15" t="s">
        <v>1027</v>
      </c>
      <c r="AD251" s="15"/>
      <c r="AE251" s="15"/>
      <c r="AF251" s="15"/>
      <c r="AG251" s="15" t="s">
        <v>1059</v>
      </c>
      <c r="AH251" s="15" t="s">
        <v>1095</v>
      </c>
      <c r="AI251" s="15" t="s">
        <v>1061</v>
      </c>
      <c r="AJ251" s="15" t="n">
        <v>0</v>
      </c>
      <c r="AK251" s="15" t="n">
        <v>0</v>
      </c>
      <c r="AL251" s="15" t="n">
        <v>9.6</v>
      </c>
      <c r="AM251" s="15" t="n">
        <v>13.1</v>
      </c>
      <c r="AN251" s="15" t="n">
        <v>0.3</v>
      </c>
      <c r="AO251" s="15" t="n">
        <v>0</v>
      </c>
      <c r="AP251" s="15" t="s">
        <v>1325</v>
      </c>
      <c r="AQ251" s="15" t="s">
        <v>1021</v>
      </c>
      <c r="AR251" s="15" t="s">
        <v>169</v>
      </c>
      <c r="AS251" s="15"/>
      <c r="AT251" s="29" t="str">
        <f aca="false">IF(A251="","",IF(COUNTIF(Parcels!$A$2:$A$3000,B251)=0,"Parcel not found",IF(COUNTIF($A$2:$A$3000,A251)&gt;1,"Duplicate perm_id",IF(AND(R251="Yes",D251&lt;&gt;"",COUNTIFS($C$2:$C$3000,D251,$R$2:$R$3000,"Yes")&gt;1),"Reference counted twice",IF(COUNTIF(Lists!$A$2:$A$7,I251)=0,"Unknown status","")))))</f>
        <v/>
      </c>
    </row>
    <row r="252" customFormat="false" ht="15" hidden="false" customHeight="false" outlineLevel="0" collapsed="false">
      <c r="A252" s="15" t="s">
        <v>2189</v>
      </c>
      <c r="B252" s="15" t="s">
        <v>662</v>
      </c>
      <c r="C252" s="15" t="s">
        <v>58</v>
      </c>
      <c r="D252" s="15" t="s">
        <v>2190</v>
      </c>
      <c r="E252" s="15" t="s">
        <v>2190</v>
      </c>
      <c r="F252" s="15" t="s">
        <v>663</v>
      </c>
      <c r="G252" s="15" t="n">
        <v>5</v>
      </c>
      <c r="H252" s="15"/>
      <c r="I252" s="15" t="s">
        <v>1007</v>
      </c>
      <c r="J252" s="15" t="s">
        <v>1008</v>
      </c>
      <c r="K252" s="15" t="s">
        <v>1007</v>
      </c>
      <c r="L252" s="15" t="n">
        <v>0</v>
      </c>
      <c r="M252" s="15" t="n">
        <v>0</v>
      </c>
      <c r="N252" s="15" t="n">
        <v>0</v>
      </c>
      <c r="O252" s="15" t="n">
        <v>0</v>
      </c>
      <c r="P252" s="15"/>
      <c r="Q252" s="15" t="s">
        <v>1009</v>
      </c>
      <c r="R252" s="15" t="s">
        <v>1010</v>
      </c>
      <c r="S252" s="15" t="s">
        <v>1131</v>
      </c>
      <c r="T252" s="15"/>
      <c r="U252" s="15"/>
      <c r="V252" s="15"/>
      <c r="W252" s="15"/>
      <c r="X252" s="15"/>
      <c r="Y252" s="15"/>
      <c r="Z252" s="15" t="s">
        <v>1012</v>
      </c>
      <c r="AA252" s="15" t="s">
        <v>1035</v>
      </c>
      <c r="AB252" s="15" t="s">
        <v>1036</v>
      </c>
      <c r="AC252" s="15" t="s">
        <v>1037</v>
      </c>
      <c r="AD252" s="15" t="s">
        <v>2191</v>
      </c>
      <c r="AE252" s="15"/>
      <c r="AF252" s="15"/>
      <c r="AG252" s="15" t="s">
        <v>1059</v>
      </c>
      <c r="AH252" s="15" t="s">
        <v>1060</v>
      </c>
      <c r="AI252" s="15" t="s">
        <v>1061</v>
      </c>
      <c r="AJ252" s="15" t="n">
        <v>0</v>
      </c>
      <c r="AK252" s="15" t="n">
        <v>0</v>
      </c>
      <c r="AL252" s="15" t="n">
        <v>4.4</v>
      </c>
      <c r="AM252" s="15" t="n">
        <v>0.6</v>
      </c>
      <c r="AN252" s="15" t="n">
        <v>0</v>
      </c>
      <c r="AO252" s="15" t="n">
        <v>0</v>
      </c>
      <c r="AP252" s="15" t="s">
        <v>1325</v>
      </c>
      <c r="AQ252" s="15" t="s">
        <v>1021</v>
      </c>
      <c r="AR252" s="15" t="s">
        <v>169</v>
      </c>
      <c r="AS252" s="15"/>
      <c r="AT252" s="29" t="str">
        <f aca="false">IF(A252="","",IF(COUNTIF(Parcels!$A$2:$A$3000,B252)=0,"Parcel not found",IF(COUNTIF($A$2:$A$3000,A252)&gt;1,"Duplicate perm_id",IF(AND(R252="Yes",D252&lt;&gt;"",COUNTIFS($C$2:$C$3000,D252,$R$2:$R$3000,"Yes")&gt;1),"Reference counted twice",IF(COUNTIF(Lists!$A$2:$A$7,I252)=0,"Unknown status","")))))</f>
        <v/>
      </c>
    </row>
    <row r="253" customFormat="false" ht="15" hidden="false" customHeight="false" outlineLevel="0" collapsed="false">
      <c r="A253" s="15" t="s">
        <v>2192</v>
      </c>
      <c r="B253" s="15" t="s">
        <v>493</v>
      </c>
      <c r="C253" s="15" t="s">
        <v>51</v>
      </c>
      <c r="D253" s="15" t="s">
        <v>2193</v>
      </c>
      <c r="E253" s="15" t="s">
        <v>2194</v>
      </c>
      <c r="F253" s="15" t="s">
        <v>494</v>
      </c>
      <c r="G253" s="15" t="n">
        <v>22</v>
      </c>
      <c r="H253" s="15"/>
      <c r="I253" s="15" t="s">
        <v>1046</v>
      </c>
      <c r="J253" s="15" t="s">
        <v>1008</v>
      </c>
      <c r="K253" s="15" t="s">
        <v>1046</v>
      </c>
      <c r="L253" s="15" t="n">
        <v>0</v>
      </c>
      <c r="M253" s="15" t="n">
        <v>0</v>
      </c>
      <c r="N253" s="15" t="n">
        <v>0</v>
      </c>
      <c r="O253" s="15" t="n">
        <v>0</v>
      </c>
      <c r="P253" s="15"/>
      <c r="Q253" s="15" t="s">
        <v>1009</v>
      </c>
      <c r="R253" s="15" t="s">
        <v>1010</v>
      </c>
      <c r="S253" s="15" t="s">
        <v>1131</v>
      </c>
      <c r="T253" s="15"/>
      <c r="U253" s="15"/>
      <c r="V253" s="15"/>
      <c r="W253" s="15"/>
      <c r="X253" s="15"/>
      <c r="Y253" s="15"/>
      <c r="Z253" s="15" t="s">
        <v>1012</v>
      </c>
      <c r="AA253" s="15" t="s">
        <v>1035</v>
      </c>
      <c r="AB253" s="15" t="s">
        <v>1036</v>
      </c>
      <c r="AC253" s="15" t="s">
        <v>1037</v>
      </c>
      <c r="AD253" s="15"/>
      <c r="AE253" s="15"/>
      <c r="AF253" s="15"/>
      <c r="AG253" s="15"/>
      <c r="AH253" s="15"/>
      <c r="AI253" s="15" t="s">
        <v>1030</v>
      </c>
      <c r="AJ253" s="15" t="n">
        <v>0</v>
      </c>
      <c r="AK253" s="15" t="n">
        <v>0</v>
      </c>
      <c r="AL253" s="15" t="n">
        <v>0</v>
      </c>
      <c r="AM253" s="15" t="n">
        <v>0</v>
      </c>
      <c r="AN253" s="15" t="n">
        <v>0</v>
      </c>
      <c r="AO253" s="15" t="n">
        <v>0</v>
      </c>
      <c r="AP253" s="15" t="s">
        <v>1325</v>
      </c>
      <c r="AQ253" s="15" t="s">
        <v>1021</v>
      </c>
      <c r="AR253" s="15" t="s">
        <v>169</v>
      </c>
      <c r="AS253" s="15"/>
      <c r="AT253" s="29" t="str">
        <f aca="false">IF(A253="","",IF(COUNTIF(Parcels!$A$2:$A$3000,B253)=0,"Parcel not found",IF(COUNTIF($A$2:$A$3000,A253)&gt;1,"Duplicate perm_id",IF(AND(R253="Yes",D253&lt;&gt;"",COUNTIFS($C$2:$C$3000,D253,$R$2:$R$3000,"Yes")&gt;1),"Reference counted twice",IF(COUNTIF(Lists!$A$2:$A$7,I253)=0,"Unknown status","")))))</f>
        <v/>
      </c>
    </row>
    <row r="254" customFormat="false" ht="15" hidden="false" customHeight="false" outlineLevel="0" collapsed="false">
      <c r="A254" s="15" t="s">
        <v>2195</v>
      </c>
      <c r="B254" s="15" t="s">
        <v>819</v>
      </c>
      <c r="C254" s="15" t="s">
        <v>62</v>
      </c>
      <c r="D254" s="15" t="s">
        <v>2196</v>
      </c>
      <c r="E254" s="15" t="s">
        <v>2197</v>
      </c>
      <c r="F254" s="15" t="s">
        <v>820</v>
      </c>
      <c r="G254" s="15" t="n">
        <v>4</v>
      </c>
      <c r="H254" s="15"/>
      <c r="I254" s="15" t="s">
        <v>47</v>
      </c>
      <c r="J254" s="15" t="s">
        <v>1341</v>
      </c>
      <c r="K254" s="15" t="s">
        <v>48</v>
      </c>
      <c r="L254" s="15" t="n">
        <v>4</v>
      </c>
      <c r="M254" s="15" t="n">
        <v>4</v>
      </c>
      <c r="N254" s="15" t="n">
        <v>0</v>
      </c>
      <c r="O254" s="15" t="n">
        <v>0</v>
      </c>
      <c r="P254" s="15" t="s">
        <v>1342</v>
      </c>
      <c r="Q254" s="15" t="s">
        <v>1009</v>
      </c>
      <c r="R254" s="15" t="s">
        <v>1010</v>
      </c>
      <c r="S254" s="15" t="s">
        <v>1131</v>
      </c>
      <c r="T254" s="15"/>
      <c r="U254" s="15"/>
      <c r="V254" s="15"/>
      <c r="W254" s="15"/>
      <c r="X254" s="15"/>
      <c r="Y254" s="15"/>
      <c r="Z254" s="15" t="s">
        <v>1012</v>
      </c>
      <c r="AA254" s="15" t="s">
        <v>1035</v>
      </c>
      <c r="AB254" s="15" t="s">
        <v>1036</v>
      </c>
      <c r="AC254" s="15" t="s">
        <v>1037</v>
      </c>
      <c r="AD254" s="15" t="s">
        <v>1452</v>
      </c>
      <c r="AE254" s="15"/>
      <c r="AF254" s="15" t="s">
        <v>2198</v>
      </c>
      <c r="AG254" s="15" t="s">
        <v>1421</v>
      </c>
      <c r="AH254" s="15" t="s">
        <v>1041</v>
      </c>
      <c r="AI254" s="15" t="s">
        <v>1042</v>
      </c>
      <c r="AJ254" s="15" t="n">
        <v>0</v>
      </c>
      <c r="AK254" s="15" t="n">
        <v>0</v>
      </c>
      <c r="AL254" s="15" t="n">
        <v>0</v>
      </c>
      <c r="AM254" s="15" t="n">
        <v>0</v>
      </c>
      <c r="AN254" s="15" t="n">
        <v>0</v>
      </c>
      <c r="AO254" s="15" t="n">
        <v>0</v>
      </c>
      <c r="AP254" s="15" t="s">
        <v>1325</v>
      </c>
      <c r="AQ254" s="15" t="s">
        <v>1021</v>
      </c>
      <c r="AR254" s="15" t="s">
        <v>169</v>
      </c>
      <c r="AS254" s="15"/>
      <c r="AT254" s="29" t="str">
        <f aca="false">IF(A254="","",IF(COUNTIF(Parcels!$A$2:$A$3000,B254)=0,"Parcel not found",IF(COUNTIF($A$2:$A$3000,A254)&gt;1,"Duplicate perm_id",IF(AND(R254="Yes",D254&lt;&gt;"",COUNTIFS($C$2:$C$3000,D254,$R$2:$R$3000,"Yes")&gt;1),"Reference counted twice",IF(COUNTIF(Lists!$A$2:$A$7,I254)=0,"Unknown status","")))))</f>
        <v/>
      </c>
    </row>
    <row r="255" customFormat="false" ht="15" hidden="false" customHeight="false" outlineLevel="0" collapsed="false">
      <c r="A255" s="15" t="s">
        <v>2199</v>
      </c>
      <c r="B255" s="15" t="s">
        <v>495</v>
      </c>
      <c r="C255" s="15" t="s">
        <v>51</v>
      </c>
      <c r="D255" s="15" t="s">
        <v>2200</v>
      </c>
      <c r="E255" s="15" t="s">
        <v>2200</v>
      </c>
      <c r="F255" s="15" t="s">
        <v>496</v>
      </c>
      <c r="G255" s="15" t="n">
        <v>38</v>
      </c>
      <c r="H255" s="15"/>
      <c r="I255" s="15" t="s">
        <v>48</v>
      </c>
      <c r="J255" s="15" t="s">
        <v>1008</v>
      </c>
      <c r="K255" s="15" t="s">
        <v>48</v>
      </c>
      <c r="L255" s="15" t="n">
        <v>0</v>
      </c>
      <c r="M255" s="15" t="n">
        <v>0</v>
      </c>
      <c r="N255" s="15" t="n">
        <v>0</v>
      </c>
      <c r="O255" s="15" t="n">
        <v>0</v>
      </c>
      <c r="P255" s="15"/>
      <c r="Q255" s="15" t="s">
        <v>1009</v>
      </c>
      <c r="R255" s="15" t="s">
        <v>1010</v>
      </c>
      <c r="S255" s="15" t="s">
        <v>1131</v>
      </c>
      <c r="T255" s="15"/>
      <c r="U255" s="15"/>
      <c r="V255" s="15"/>
      <c r="W255" s="15"/>
      <c r="X255" s="15"/>
      <c r="Y255" s="15"/>
      <c r="Z255" s="15" t="s">
        <v>1012</v>
      </c>
      <c r="AA255" s="15" t="s">
        <v>1035</v>
      </c>
      <c r="AB255" s="15" t="s">
        <v>1036</v>
      </c>
      <c r="AC255" s="15" t="s">
        <v>1037</v>
      </c>
      <c r="AD255" s="15" t="s">
        <v>2201</v>
      </c>
      <c r="AE255" s="15"/>
      <c r="AF255" s="15" t="s">
        <v>2202</v>
      </c>
      <c r="AG255" s="15" t="s">
        <v>1575</v>
      </c>
      <c r="AH255" s="15" t="s">
        <v>1041</v>
      </c>
      <c r="AI255" s="15" t="s">
        <v>1042</v>
      </c>
      <c r="AJ255" s="15" t="n">
        <v>8.8</v>
      </c>
      <c r="AK255" s="15" t="n">
        <v>29.2</v>
      </c>
      <c r="AL255" s="15" t="n">
        <v>0</v>
      </c>
      <c r="AM255" s="15" t="n">
        <v>0</v>
      </c>
      <c r="AN255" s="15" t="n">
        <v>0</v>
      </c>
      <c r="AO255" s="15" t="n">
        <v>0</v>
      </c>
      <c r="AP255" s="15" t="s">
        <v>1325</v>
      </c>
      <c r="AQ255" s="15" t="s">
        <v>1021</v>
      </c>
      <c r="AR255" s="15" t="s">
        <v>169</v>
      </c>
      <c r="AS255" s="15"/>
      <c r="AT255" s="29" t="str">
        <f aca="false">IF(A255="","",IF(COUNTIF(Parcels!$A$2:$A$3000,B255)=0,"Parcel not found",IF(COUNTIF($A$2:$A$3000,A255)&gt;1,"Duplicate perm_id",IF(AND(R255="Yes",D255&lt;&gt;"",COUNTIFS($C$2:$C$3000,D255,$R$2:$R$3000,"Yes")&gt;1),"Reference counted twice",IF(COUNTIF(Lists!$A$2:$A$7,I255)=0,"Unknown status","")))))</f>
        <v/>
      </c>
    </row>
    <row r="256" customFormat="false" ht="15" hidden="false" customHeight="false" outlineLevel="0" collapsed="false">
      <c r="A256" s="15" t="s">
        <v>2203</v>
      </c>
      <c r="B256" s="15" t="s">
        <v>821</v>
      </c>
      <c r="C256" s="15" t="s">
        <v>74</v>
      </c>
      <c r="D256" s="15" t="s">
        <v>2204</v>
      </c>
      <c r="E256" s="15" t="s">
        <v>2204</v>
      </c>
      <c r="F256" s="15" t="s">
        <v>822</v>
      </c>
      <c r="G256" s="15" t="n">
        <v>24</v>
      </c>
      <c r="H256" s="15"/>
      <c r="I256" s="15" t="s">
        <v>1007</v>
      </c>
      <c r="J256" s="15" t="s">
        <v>1008</v>
      </c>
      <c r="K256" s="15" t="s">
        <v>1007</v>
      </c>
      <c r="L256" s="15" t="n">
        <v>0</v>
      </c>
      <c r="M256" s="15" t="n">
        <v>0</v>
      </c>
      <c r="N256" s="15" t="n">
        <v>0</v>
      </c>
      <c r="O256" s="15" t="n">
        <v>0</v>
      </c>
      <c r="P256" s="15"/>
      <c r="Q256" s="15" t="s">
        <v>1009</v>
      </c>
      <c r="R256" s="15" t="s">
        <v>1010</v>
      </c>
      <c r="S256" s="15" t="s">
        <v>1131</v>
      </c>
      <c r="T256" s="15"/>
      <c r="U256" s="15"/>
      <c r="V256" s="15"/>
      <c r="W256" s="15"/>
      <c r="X256" s="15"/>
      <c r="Y256" s="15"/>
      <c r="Z256" s="15" t="s">
        <v>1034</v>
      </c>
      <c r="AA256" s="15" t="s">
        <v>1035</v>
      </c>
      <c r="AB256" s="15" t="s">
        <v>1036</v>
      </c>
      <c r="AC256" s="15" t="s">
        <v>1037</v>
      </c>
      <c r="AD256" s="15" t="s">
        <v>2205</v>
      </c>
      <c r="AE256" s="15"/>
      <c r="AF256" s="15"/>
      <c r="AG256" s="15" t="s">
        <v>1017</v>
      </c>
      <c r="AH256" s="15" t="s">
        <v>1201</v>
      </c>
      <c r="AI256" s="15" t="s">
        <v>1019</v>
      </c>
      <c r="AJ256" s="15" t="n">
        <v>0</v>
      </c>
      <c r="AK256" s="15" t="n">
        <v>0</v>
      </c>
      <c r="AL256" s="15" t="n">
        <v>6.2</v>
      </c>
      <c r="AM256" s="15" t="n">
        <v>12.8</v>
      </c>
      <c r="AN256" s="15" t="n">
        <v>5</v>
      </c>
      <c r="AO256" s="15" t="n">
        <v>0</v>
      </c>
      <c r="AP256" s="15" t="s">
        <v>1325</v>
      </c>
      <c r="AQ256" s="15" t="s">
        <v>1021</v>
      </c>
      <c r="AR256" s="15" t="s">
        <v>169</v>
      </c>
      <c r="AS256" s="15"/>
      <c r="AT256" s="29" t="str">
        <f aca="false">IF(A256="","",IF(COUNTIF(Parcels!$A$2:$A$3000,B256)=0,"Parcel not found",IF(COUNTIF($A$2:$A$3000,A256)&gt;1,"Duplicate perm_id",IF(AND(R256="Yes",D256&lt;&gt;"",COUNTIFS($C$2:$C$3000,D256,$R$2:$R$3000,"Yes")&gt;1),"Reference counted twice",IF(COUNTIF(Lists!$A$2:$A$7,I256)=0,"Unknown status","")))))</f>
        <v/>
      </c>
    </row>
    <row r="257" customFormat="false" ht="15" hidden="false" customHeight="false" outlineLevel="0" collapsed="false">
      <c r="A257" s="15" t="s">
        <v>2206</v>
      </c>
      <c r="B257" s="15" t="s">
        <v>593</v>
      </c>
      <c r="C257" s="15" t="s">
        <v>53</v>
      </c>
      <c r="D257" s="15" t="s">
        <v>2207</v>
      </c>
      <c r="E257" s="15" t="s">
        <v>2207</v>
      </c>
      <c r="F257" s="15" t="s">
        <v>594</v>
      </c>
      <c r="G257" s="15" t="n">
        <v>8</v>
      </c>
      <c r="H257" s="15"/>
      <c r="I257" s="15" t="s">
        <v>1007</v>
      </c>
      <c r="J257" s="15" t="s">
        <v>1008</v>
      </c>
      <c r="K257" s="15" t="s">
        <v>1007</v>
      </c>
      <c r="L257" s="15" t="n">
        <v>0</v>
      </c>
      <c r="M257" s="15" t="n">
        <v>0</v>
      </c>
      <c r="N257" s="15" t="n">
        <v>0</v>
      </c>
      <c r="O257" s="15" t="n">
        <v>0</v>
      </c>
      <c r="P257" s="15"/>
      <c r="Q257" s="15" t="s">
        <v>1009</v>
      </c>
      <c r="R257" s="15" t="s">
        <v>1010</v>
      </c>
      <c r="S257" s="15" t="s">
        <v>1131</v>
      </c>
      <c r="T257" s="15"/>
      <c r="U257" s="15"/>
      <c r="V257" s="15"/>
      <c r="W257" s="15"/>
      <c r="X257" s="15"/>
      <c r="Y257" s="15"/>
      <c r="Z257" s="15" t="s">
        <v>1034</v>
      </c>
      <c r="AA257" s="15" t="s">
        <v>1035</v>
      </c>
      <c r="AB257" s="15" t="s">
        <v>1036</v>
      </c>
      <c r="AC257" s="15" t="s">
        <v>1037</v>
      </c>
      <c r="AD257" s="15" t="s">
        <v>1635</v>
      </c>
      <c r="AE257" s="15"/>
      <c r="AF257" s="15"/>
      <c r="AG257" s="15" t="s">
        <v>1017</v>
      </c>
      <c r="AH257" s="15" t="s">
        <v>1127</v>
      </c>
      <c r="AI257" s="15" t="s">
        <v>1019</v>
      </c>
      <c r="AJ257" s="15" t="n">
        <v>0</v>
      </c>
      <c r="AK257" s="15" t="n">
        <v>0</v>
      </c>
      <c r="AL257" s="15" t="n">
        <v>4</v>
      </c>
      <c r="AM257" s="15" t="n">
        <v>4</v>
      </c>
      <c r="AN257" s="15" t="n">
        <v>0</v>
      </c>
      <c r="AO257" s="15" t="n">
        <v>0</v>
      </c>
      <c r="AP257" s="15" t="s">
        <v>1325</v>
      </c>
      <c r="AQ257" s="15" t="s">
        <v>1021</v>
      </c>
      <c r="AR257" s="15" t="s">
        <v>169</v>
      </c>
      <c r="AS257" s="15"/>
      <c r="AT257" s="29" t="str">
        <f aca="false">IF(A257="","",IF(COUNTIF(Parcels!$A$2:$A$3000,B257)=0,"Parcel not found",IF(COUNTIF($A$2:$A$3000,A257)&gt;1,"Duplicate perm_id",IF(AND(R257="Yes",D257&lt;&gt;"",COUNTIFS($C$2:$C$3000,D257,$R$2:$R$3000,"Yes")&gt;1),"Reference counted twice",IF(COUNTIF(Lists!$A$2:$A$7,I257)=0,"Unknown status","")))))</f>
        <v/>
      </c>
    </row>
    <row r="258" customFormat="false" ht="15" hidden="false" customHeight="false" outlineLevel="0" collapsed="false">
      <c r="A258" s="15" t="s">
        <v>2208</v>
      </c>
      <c r="B258" s="15" t="s">
        <v>823</v>
      </c>
      <c r="C258" s="15" t="s">
        <v>22</v>
      </c>
      <c r="D258" s="15" t="s">
        <v>2209</v>
      </c>
      <c r="E258" s="15" t="s">
        <v>2209</v>
      </c>
      <c r="F258" s="15" t="s">
        <v>824</v>
      </c>
      <c r="G258" s="15" t="n">
        <v>4</v>
      </c>
      <c r="H258" s="15"/>
      <c r="I258" s="15" t="s">
        <v>1007</v>
      </c>
      <c r="J258" s="15" t="s">
        <v>1008</v>
      </c>
      <c r="K258" s="15" t="s">
        <v>1007</v>
      </c>
      <c r="L258" s="15" t="n">
        <v>0</v>
      </c>
      <c r="M258" s="15" t="n">
        <v>0</v>
      </c>
      <c r="N258" s="15" t="n">
        <v>0</v>
      </c>
      <c r="O258" s="15" t="n">
        <v>0</v>
      </c>
      <c r="P258" s="15"/>
      <c r="Q258" s="15" t="s">
        <v>1009</v>
      </c>
      <c r="R258" s="15" t="s">
        <v>1010</v>
      </c>
      <c r="S258" s="15" t="s">
        <v>1131</v>
      </c>
      <c r="T258" s="15"/>
      <c r="U258" s="15"/>
      <c r="V258" s="15"/>
      <c r="W258" s="15"/>
      <c r="X258" s="15"/>
      <c r="Y258" s="15"/>
      <c r="Z258" s="15" t="s">
        <v>1012</v>
      </c>
      <c r="AA258" s="15" t="s">
        <v>1035</v>
      </c>
      <c r="AB258" s="15" t="s">
        <v>1036</v>
      </c>
      <c r="AC258" s="15" t="s">
        <v>1037</v>
      </c>
      <c r="AD258" s="15" t="s">
        <v>1720</v>
      </c>
      <c r="AE258" s="15"/>
      <c r="AF258" s="15"/>
      <c r="AG258" s="15" t="s">
        <v>1059</v>
      </c>
      <c r="AH258" s="15" t="s">
        <v>1060</v>
      </c>
      <c r="AI258" s="15" t="s">
        <v>1061</v>
      </c>
      <c r="AJ258" s="15" t="n">
        <v>0</v>
      </c>
      <c r="AK258" s="15" t="n">
        <v>0</v>
      </c>
      <c r="AL258" s="15" t="n">
        <v>3.5</v>
      </c>
      <c r="AM258" s="15" t="n">
        <v>0.5</v>
      </c>
      <c r="AN258" s="15" t="n">
        <v>0</v>
      </c>
      <c r="AO258" s="15" t="n">
        <v>0</v>
      </c>
      <c r="AP258" s="15" t="s">
        <v>1325</v>
      </c>
      <c r="AQ258" s="15" t="s">
        <v>1021</v>
      </c>
      <c r="AR258" s="15" t="s">
        <v>169</v>
      </c>
      <c r="AS258" s="15"/>
      <c r="AT258" s="29" t="str">
        <f aca="false">IF(A258="","",IF(COUNTIF(Parcels!$A$2:$A$3000,B258)=0,"Parcel not found",IF(COUNTIF($A$2:$A$3000,A258)&gt;1,"Duplicate perm_id",IF(AND(R258="Yes",D258&lt;&gt;"",COUNTIFS($C$2:$C$3000,D258,$R$2:$R$3000,"Yes")&gt;1),"Reference counted twice",IF(COUNTIF(Lists!$A$2:$A$7,I258)=0,"Unknown status","")))))</f>
        <v/>
      </c>
    </row>
    <row r="259" customFormat="false" ht="15" hidden="false" customHeight="false" outlineLevel="0" collapsed="false">
      <c r="A259" s="15" t="s">
        <v>2210</v>
      </c>
      <c r="B259" s="15" t="s">
        <v>825</v>
      </c>
      <c r="C259" s="15" t="s">
        <v>65</v>
      </c>
      <c r="D259" s="15" t="s">
        <v>2211</v>
      </c>
      <c r="E259" s="15" t="s">
        <v>2211</v>
      </c>
      <c r="F259" s="15" t="s">
        <v>826</v>
      </c>
      <c r="G259" s="15" t="n">
        <v>11</v>
      </c>
      <c r="H259" s="15"/>
      <c r="I259" s="15" t="s">
        <v>48</v>
      </c>
      <c r="J259" s="15" t="s">
        <v>1008</v>
      </c>
      <c r="K259" s="15" t="s">
        <v>48</v>
      </c>
      <c r="L259" s="15" t="n">
        <v>0</v>
      </c>
      <c r="M259" s="15" t="n">
        <v>0</v>
      </c>
      <c r="N259" s="15" t="n">
        <v>0</v>
      </c>
      <c r="O259" s="15" t="n">
        <v>0</v>
      </c>
      <c r="P259" s="15"/>
      <c r="Q259" s="15" t="s">
        <v>1009</v>
      </c>
      <c r="R259" s="15" t="s">
        <v>1010</v>
      </c>
      <c r="S259" s="15" t="s">
        <v>1131</v>
      </c>
      <c r="T259" s="15"/>
      <c r="U259" s="15"/>
      <c r="V259" s="15"/>
      <c r="W259" s="15"/>
      <c r="X259" s="15"/>
      <c r="Y259" s="15"/>
      <c r="Z259" s="15" t="s">
        <v>1012</v>
      </c>
      <c r="AA259" s="15" t="s">
        <v>1035</v>
      </c>
      <c r="AB259" s="15" t="s">
        <v>1036</v>
      </c>
      <c r="AC259" s="15" t="s">
        <v>1037</v>
      </c>
      <c r="AD259" s="15"/>
      <c r="AE259" s="15"/>
      <c r="AF259" s="15" t="s">
        <v>2212</v>
      </c>
      <c r="AG259" s="15" t="s">
        <v>1188</v>
      </c>
      <c r="AH259" s="15" t="s">
        <v>1041</v>
      </c>
      <c r="AI259" s="15" t="s">
        <v>1042</v>
      </c>
      <c r="AJ259" s="15" t="n">
        <v>2.6</v>
      </c>
      <c r="AK259" s="15" t="n">
        <v>8.4</v>
      </c>
      <c r="AL259" s="15" t="n">
        <v>0</v>
      </c>
      <c r="AM259" s="15" t="n">
        <v>0</v>
      </c>
      <c r="AN259" s="15" t="n">
        <v>0</v>
      </c>
      <c r="AO259" s="15" t="n">
        <v>0</v>
      </c>
      <c r="AP259" s="15" t="s">
        <v>1325</v>
      </c>
      <c r="AQ259" s="15" t="s">
        <v>1021</v>
      </c>
      <c r="AR259" s="15" t="s">
        <v>169</v>
      </c>
      <c r="AS259" s="15"/>
      <c r="AT259" s="29" t="str">
        <f aca="false">IF(A259="","",IF(COUNTIF(Parcels!$A$2:$A$3000,B259)=0,"Parcel not found",IF(COUNTIF($A$2:$A$3000,A259)&gt;1,"Duplicate perm_id",IF(AND(R259="Yes",D259&lt;&gt;"",COUNTIFS($C$2:$C$3000,D259,$R$2:$R$3000,"Yes")&gt;1),"Reference counted twice",IF(COUNTIF(Lists!$A$2:$A$7,I259)=0,"Unknown status","")))))</f>
        <v/>
      </c>
    </row>
    <row r="260" customFormat="false" ht="15" hidden="false" customHeight="false" outlineLevel="0" collapsed="false">
      <c r="A260" s="15" t="s">
        <v>2213</v>
      </c>
      <c r="B260" s="15" t="s">
        <v>664</v>
      </c>
      <c r="C260" s="15" t="s">
        <v>58</v>
      </c>
      <c r="D260" s="15" t="s">
        <v>2214</v>
      </c>
      <c r="E260" s="15" t="s">
        <v>2214</v>
      </c>
      <c r="F260" s="15" t="s">
        <v>665</v>
      </c>
      <c r="G260" s="15" t="n">
        <v>14</v>
      </c>
      <c r="H260" s="15"/>
      <c r="I260" s="15" t="s">
        <v>47</v>
      </c>
      <c r="J260" s="15" t="s">
        <v>1008</v>
      </c>
      <c r="K260" s="15" t="s">
        <v>47</v>
      </c>
      <c r="L260" s="15" t="n">
        <v>14</v>
      </c>
      <c r="M260" s="15" t="n">
        <v>0</v>
      </c>
      <c r="N260" s="15" t="n">
        <v>6</v>
      </c>
      <c r="O260" s="15" t="n">
        <v>0</v>
      </c>
      <c r="P260" s="15" t="s">
        <v>1135</v>
      </c>
      <c r="Q260" s="15" t="s">
        <v>1009</v>
      </c>
      <c r="R260" s="15" t="s">
        <v>1010</v>
      </c>
      <c r="S260" s="15" t="s">
        <v>1131</v>
      </c>
      <c r="T260" s="15"/>
      <c r="U260" s="15"/>
      <c r="V260" s="15"/>
      <c r="W260" s="15"/>
      <c r="X260" s="15"/>
      <c r="Y260" s="15"/>
      <c r="Z260" s="15" t="s">
        <v>1012</v>
      </c>
      <c r="AA260" s="15" t="s">
        <v>1035</v>
      </c>
      <c r="AB260" s="15" t="s">
        <v>1036</v>
      </c>
      <c r="AC260" s="15" t="s">
        <v>1037</v>
      </c>
      <c r="AD260" s="15" t="s">
        <v>1786</v>
      </c>
      <c r="AE260" s="15"/>
      <c r="AF260" s="15" t="s">
        <v>1144</v>
      </c>
      <c r="AG260" s="15"/>
      <c r="AH260" s="15"/>
      <c r="AI260" s="15" t="s">
        <v>1053</v>
      </c>
      <c r="AJ260" s="15" t="n">
        <v>0</v>
      </c>
      <c r="AK260" s="15" t="n">
        <v>0</v>
      </c>
      <c r="AL260" s="15" t="n">
        <v>0</v>
      </c>
      <c r="AM260" s="15" t="n">
        <v>0</v>
      </c>
      <c r="AN260" s="15" t="n">
        <v>0</v>
      </c>
      <c r="AO260" s="15" t="n">
        <v>0</v>
      </c>
      <c r="AP260" s="15" t="s">
        <v>1325</v>
      </c>
      <c r="AQ260" s="15" t="s">
        <v>1021</v>
      </c>
      <c r="AR260" s="15" t="s">
        <v>169</v>
      </c>
      <c r="AS260" s="15"/>
      <c r="AT260" s="29" t="str">
        <f aca="false">IF(A260="","",IF(COUNTIF(Parcels!$A$2:$A$3000,B260)=0,"Parcel not found",IF(COUNTIF($A$2:$A$3000,A260)&gt;1,"Duplicate perm_id",IF(AND(R260="Yes",D260&lt;&gt;"",COUNTIFS($C$2:$C$3000,D260,$R$2:$R$3000,"Yes")&gt;1),"Reference counted twice",IF(COUNTIF(Lists!$A$2:$A$7,I260)=0,"Unknown status","")))))</f>
        <v/>
      </c>
    </row>
    <row r="261" customFormat="false" ht="15" hidden="false" customHeight="false" outlineLevel="0" collapsed="false">
      <c r="A261" s="15" t="s">
        <v>2215</v>
      </c>
      <c r="B261" s="15" t="s">
        <v>628</v>
      </c>
      <c r="C261" s="15" t="s">
        <v>55</v>
      </c>
      <c r="D261" s="15" t="s">
        <v>2216</v>
      </c>
      <c r="E261" s="15" t="s">
        <v>2216</v>
      </c>
      <c r="F261" s="15" t="s">
        <v>629</v>
      </c>
      <c r="G261" s="15" t="n">
        <v>20</v>
      </c>
      <c r="H261" s="15"/>
      <c r="I261" s="15" t="s">
        <v>1007</v>
      </c>
      <c r="J261" s="15" t="s">
        <v>1008</v>
      </c>
      <c r="K261" s="15" t="s">
        <v>1007</v>
      </c>
      <c r="L261" s="15" t="n">
        <v>0</v>
      </c>
      <c r="M261" s="15" t="n">
        <v>0</v>
      </c>
      <c r="N261" s="15" t="n">
        <v>0</v>
      </c>
      <c r="O261" s="15" t="n">
        <v>0</v>
      </c>
      <c r="P261" s="15"/>
      <c r="Q261" s="15" t="s">
        <v>1009</v>
      </c>
      <c r="R261" s="15" t="s">
        <v>1010</v>
      </c>
      <c r="S261" s="15" t="s">
        <v>1011</v>
      </c>
      <c r="T261" s="15" t="n">
        <v>0</v>
      </c>
      <c r="U261" s="15" t="n">
        <v>1</v>
      </c>
      <c r="V261" s="15" t="n">
        <v>17</v>
      </c>
      <c r="W261" s="15" t="n">
        <v>0</v>
      </c>
      <c r="X261" s="15" t="n">
        <v>0</v>
      </c>
      <c r="Y261" s="15" t="n">
        <v>2</v>
      </c>
      <c r="Z261" s="15" t="s">
        <v>1760</v>
      </c>
      <c r="AA261" s="15" t="s">
        <v>1035</v>
      </c>
      <c r="AB261" s="15" t="s">
        <v>1036</v>
      </c>
      <c r="AC261" s="15" t="s">
        <v>1037</v>
      </c>
      <c r="AD261" s="15" t="s">
        <v>2217</v>
      </c>
      <c r="AE261" s="15"/>
      <c r="AF261" s="15"/>
      <c r="AG261" s="15" t="s">
        <v>1017</v>
      </c>
      <c r="AH261" s="15" t="s">
        <v>1230</v>
      </c>
      <c r="AI261" s="15" t="s">
        <v>1019</v>
      </c>
      <c r="AJ261" s="15" t="n">
        <v>0</v>
      </c>
      <c r="AK261" s="15" t="n">
        <v>0</v>
      </c>
      <c r="AL261" s="15" t="n">
        <v>6.9</v>
      </c>
      <c r="AM261" s="15" t="n">
        <v>13.1</v>
      </c>
      <c r="AN261" s="15" t="n">
        <v>0</v>
      </c>
      <c r="AO261" s="15" t="n">
        <v>0</v>
      </c>
      <c r="AP261" s="15" t="s">
        <v>1325</v>
      </c>
      <c r="AQ261" s="15" t="s">
        <v>1021</v>
      </c>
      <c r="AR261" s="15" t="s">
        <v>169</v>
      </c>
      <c r="AS261" s="15"/>
      <c r="AT261" s="29" t="str">
        <f aca="false">IF(A261="","",IF(COUNTIF(Parcels!$A$2:$A$3000,B261)=0,"Parcel not found",IF(COUNTIF($A$2:$A$3000,A261)&gt;1,"Duplicate perm_id",IF(AND(R261="Yes",D261&lt;&gt;"",COUNTIFS($C$2:$C$3000,D261,$R$2:$R$3000,"Yes")&gt;1),"Reference counted twice",IF(COUNTIF(Lists!$A$2:$A$7,I261)=0,"Unknown status","")))))</f>
        <v/>
      </c>
    </row>
    <row r="262" customFormat="false" ht="15" hidden="false" customHeight="false" outlineLevel="0" collapsed="false">
      <c r="A262" s="15" t="s">
        <v>2218</v>
      </c>
      <c r="B262" s="15" t="s">
        <v>666</v>
      </c>
      <c r="C262" s="15" t="s">
        <v>58</v>
      </c>
      <c r="D262" s="15" t="s">
        <v>2219</v>
      </c>
      <c r="E262" s="15" t="s">
        <v>2219</v>
      </c>
      <c r="F262" s="15" t="s">
        <v>667</v>
      </c>
      <c r="G262" s="15" t="n">
        <v>4</v>
      </c>
      <c r="H262" s="15"/>
      <c r="I262" s="15" t="s">
        <v>1046</v>
      </c>
      <c r="J262" s="15" t="s">
        <v>1008</v>
      </c>
      <c r="K262" s="15" t="s">
        <v>1046</v>
      </c>
      <c r="L262" s="15" t="n">
        <v>0</v>
      </c>
      <c r="M262" s="15" t="n">
        <v>0</v>
      </c>
      <c r="N262" s="15" t="n">
        <v>0</v>
      </c>
      <c r="O262" s="15" t="n">
        <v>0</v>
      </c>
      <c r="P262" s="15"/>
      <c r="Q262" s="15" t="s">
        <v>1009</v>
      </c>
      <c r="R262" s="15" t="s">
        <v>1010</v>
      </c>
      <c r="S262" s="15" t="s">
        <v>1131</v>
      </c>
      <c r="T262" s="15"/>
      <c r="U262" s="15"/>
      <c r="V262" s="15"/>
      <c r="W262" s="15"/>
      <c r="X262" s="15"/>
      <c r="Y262" s="15"/>
      <c r="Z262" s="15" t="s">
        <v>1012</v>
      </c>
      <c r="AA262" s="15" t="s">
        <v>1035</v>
      </c>
      <c r="AB262" s="15" t="s">
        <v>1036</v>
      </c>
      <c r="AC262" s="15" t="s">
        <v>1037</v>
      </c>
      <c r="AD262" s="15"/>
      <c r="AE262" s="15"/>
      <c r="AF262" s="15"/>
      <c r="AG262" s="15"/>
      <c r="AH262" s="15"/>
      <c r="AI262" s="15" t="s">
        <v>1030</v>
      </c>
      <c r="AJ262" s="15" t="n">
        <v>0</v>
      </c>
      <c r="AK262" s="15" t="n">
        <v>0</v>
      </c>
      <c r="AL262" s="15" t="n">
        <v>0</v>
      </c>
      <c r="AM262" s="15" t="n">
        <v>0</v>
      </c>
      <c r="AN262" s="15" t="n">
        <v>0</v>
      </c>
      <c r="AO262" s="15" t="n">
        <v>0</v>
      </c>
      <c r="AP262" s="15" t="s">
        <v>1325</v>
      </c>
      <c r="AQ262" s="15" t="s">
        <v>1021</v>
      </c>
      <c r="AR262" s="15" t="s">
        <v>169</v>
      </c>
      <c r="AS262" s="15"/>
      <c r="AT262" s="29" t="str">
        <f aca="false">IF(A262="","",IF(COUNTIF(Parcels!$A$2:$A$3000,B262)=0,"Parcel not found",IF(COUNTIF($A$2:$A$3000,A262)&gt;1,"Duplicate perm_id",IF(AND(R262="Yes",D262&lt;&gt;"",COUNTIFS($C$2:$C$3000,D262,$R$2:$R$3000,"Yes")&gt;1),"Reference counted twice",IF(COUNTIF(Lists!$A$2:$A$7,I262)=0,"Unknown status","")))))</f>
        <v/>
      </c>
    </row>
    <row r="263" customFormat="false" ht="15" hidden="false" customHeight="false" outlineLevel="0" collapsed="false">
      <c r="A263" s="15" t="s">
        <v>2220</v>
      </c>
      <c r="B263" s="15" t="s">
        <v>827</v>
      </c>
      <c r="C263" s="15" t="s">
        <v>22</v>
      </c>
      <c r="D263" s="15" t="s">
        <v>2221</v>
      </c>
      <c r="E263" s="15" t="s">
        <v>2221</v>
      </c>
      <c r="F263" s="15" t="s">
        <v>828</v>
      </c>
      <c r="G263" s="15" t="n">
        <v>4</v>
      </c>
      <c r="H263" s="15"/>
      <c r="I263" s="15" t="s">
        <v>1046</v>
      </c>
      <c r="J263" s="15" t="s">
        <v>1008</v>
      </c>
      <c r="K263" s="15" t="s">
        <v>1046</v>
      </c>
      <c r="L263" s="15" t="n">
        <v>0</v>
      </c>
      <c r="M263" s="15" t="n">
        <v>0</v>
      </c>
      <c r="N263" s="15" t="n">
        <v>0</v>
      </c>
      <c r="O263" s="15" t="n">
        <v>0</v>
      </c>
      <c r="P263" s="15"/>
      <c r="Q263" s="15" t="s">
        <v>1009</v>
      </c>
      <c r="R263" s="15" t="s">
        <v>1010</v>
      </c>
      <c r="S263" s="15" t="s">
        <v>1131</v>
      </c>
      <c r="T263" s="15"/>
      <c r="U263" s="15"/>
      <c r="V263" s="15"/>
      <c r="W263" s="15"/>
      <c r="X263" s="15"/>
      <c r="Y263" s="15"/>
      <c r="Z263" s="15" t="s">
        <v>1012</v>
      </c>
      <c r="AA263" s="15" t="s">
        <v>1035</v>
      </c>
      <c r="AB263" s="15" t="s">
        <v>1036</v>
      </c>
      <c r="AC263" s="15" t="s">
        <v>1037</v>
      </c>
      <c r="AD263" s="15"/>
      <c r="AE263" s="15"/>
      <c r="AF263" s="15"/>
      <c r="AG263" s="15"/>
      <c r="AH263" s="15"/>
      <c r="AI263" s="15" t="s">
        <v>1030</v>
      </c>
      <c r="AJ263" s="15" t="n">
        <v>0</v>
      </c>
      <c r="AK263" s="15" t="n">
        <v>0</v>
      </c>
      <c r="AL263" s="15" t="n">
        <v>0</v>
      </c>
      <c r="AM263" s="15" t="n">
        <v>0</v>
      </c>
      <c r="AN263" s="15" t="n">
        <v>0</v>
      </c>
      <c r="AO263" s="15" t="n">
        <v>0</v>
      </c>
      <c r="AP263" s="15" t="s">
        <v>1325</v>
      </c>
      <c r="AQ263" s="15" t="s">
        <v>1021</v>
      </c>
      <c r="AR263" s="15" t="s">
        <v>169</v>
      </c>
      <c r="AS263" s="15"/>
      <c r="AT263" s="29" t="str">
        <f aca="false">IF(A263="","",IF(COUNTIF(Parcels!$A$2:$A$3000,B263)=0,"Parcel not found",IF(COUNTIF($A$2:$A$3000,A263)&gt;1,"Duplicate perm_id",IF(AND(R263="Yes",D263&lt;&gt;"",COUNTIFS($C$2:$C$3000,D263,$R$2:$R$3000,"Yes")&gt;1),"Reference counted twice",IF(COUNTIF(Lists!$A$2:$A$7,I263)=0,"Unknown status","")))))</f>
        <v/>
      </c>
    </row>
    <row r="264" customFormat="false" ht="15" hidden="false" customHeight="false" outlineLevel="0" collapsed="false">
      <c r="A264" s="15" t="s">
        <v>2222</v>
      </c>
      <c r="B264" s="15" t="s">
        <v>829</v>
      </c>
      <c r="C264" s="15" t="s">
        <v>68</v>
      </c>
      <c r="D264" s="15" t="s">
        <v>2223</v>
      </c>
      <c r="E264" s="15" t="s">
        <v>2223</v>
      </c>
      <c r="F264" s="15" t="s">
        <v>830</v>
      </c>
      <c r="G264" s="15" t="n">
        <v>18</v>
      </c>
      <c r="H264" s="15"/>
      <c r="I264" s="15" t="s">
        <v>48</v>
      </c>
      <c r="J264" s="15" t="s">
        <v>1008</v>
      </c>
      <c r="K264" s="15" t="s">
        <v>48</v>
      </c>
      <c r="L264" s="15" t="n">
        <v>0</v>
      </c>
      <c r="M264" s="15" t="n">
        <v>0</v>
      </c>
      <c r="N264" s="15" t="n">
        <v>0</v>
      </c>
      <c r="O264" s="15" t="n">
        <v>0</v>
      </c>
      <c r="P264" s="15"/>
      <c r="Q264" s="15" t="s">
        <v>1009</v>
      </c>
      <c r="R264" s="15" t="s">
        <v>1010</v>
      </c>
      <c r="S264" s="15" t="s">
        <v>1131</v>
      </c>
      <c r="T264" s="15"/>
      <c r="U264" s="15"/>
      <c r="V264" s="15"/>
      <c r="W264" s="15"/>
      <c r="X264" s="15"/>
      <c r="Y264" s="15"/>
      <c r="Z264" s="15" t="s">
        <v>1012</v>
      </c>
      <c r="AA264" s="15" t="s">
        <v>1035</v>
      </c>
      <c r="AB264" s="15" t="s">
        <v>1036</v>
      </c>
      <c r="AC264" s="15" t="s">
        <v>1037</v>
      </c>
      <c r="AD264" s="15" t="s">
        <v>2224</v>
      </c>
      <c r="AE264" s="15"/>
      <c r="AF264" s="15" t="s">
        <v>2225</v>
      </c>
      <c r="AG264" s="15" t="s">
        <v>1069</v>
      </c>
      <c r="AH264" s="15" t="s">
        <v>1070</v>
      </c>
      <c r="AI264" s="15" t="s">
        <v>1042</v>
      </c>
      <c r="AJ264" s="15" t="n">
        <v>0</v>
      </c>
      <c r="AK264" s="15" t="n">
        <v>10.2</v>
      </c>
      <c r="AL264" s="15" t="n">
        <v>7.8</v>
      </c>
      <c r="AM264" s="15" t="n">
        <v>0</v>
      </c>
      <c r="AN264" s="15" t="n">
        <v>0</v>
      </c>
      <c r="AO264" s="15" t="n">
        <v>0</v>
      </c>
      <c r="AP264" s="15" t="s">
        <v>1325</v>
      </c>
      <c r="AQ264" s="15" t="s">
        <v>1021</v>
      </c>
      <c r="AR264" s="15" t="s">
        <v>169</v>
      </c>
      <c r="AS264" s="15"/>
      <c r="AT264" s="29" t="str">
        <f aca="false">IF(A264="","",IF(COUNTIF(Parcels!$A$2:$A$3000,B264)=0,"Parcel not found",IF(COUNTIF($A$2:$A$3000,A264)&gt;1,"Duplicate perm_id",IF(AND(R264="Yes",D264&lt;&gt;"",COUNTIFS($C$2:$C$3000,D264,$R$2:$R$3000,"Yes")&gt;1),"Reference counted twice",IF(COUNTIF(Lists!$A$2:$A$7,I264)=0,"Unknown status","")))))</f>
        <v/>
      </c>
    </row>
    <row r="265" customFormat="false" ht="15" hidden="false" customHeight="false" outlineLevel="0" collapsed="false">
      <c r="AT265" s="29" t="str">
        <f aca="false">IF(A265="","",IF(COUNTIF(Parcels!$A$2:$A$3000,B265)=0,"Parcel not found",IF(COUNTIF($A$2:$A$3000,A265)&gt;1,"Duplicate perm_id",IF(AND(R265="Yes",D265&lt;&gt;"",COUNTIFS($C$2:$C$3000,D265,$R$2:$R$3000,"Yes")&gt;1),"Reference counted twice",IF(COUNTIF(Lists!$A$2:$A$7,I265)=0,"Unknown status","")))))</f>
        <v/>
      </c>
    </row>
    <row r="266" customFormat="false" ht="15" hidden="false" customHeight="false" outlineLevel="0" collapsed="false">
      <c r="AT266" s="29" t="str">
        <f aca="false">IF(A266="","",IF(COUNTIF(Parcels!$A$2:$A$3000,B266)=0,"Parcel not found",IF(COUNTIF($A$2:$A$3000,A266)&gt;1,"Duplicate perm_id",IF(AND(R266="Yes",D266&lt;&gt;"",COUNTIFS($C$2:$C$3000,D266,$R$2:$R$3000,"Yes")&gt;1),"Reference counted twice",IF(COUNTIF(Lists!$A$2:$A$7,I266)=0,"Unknown status","")))))</f>
        <v/>
      </c>
    </row>
    <row r="267" customFormat="false" ht="15" hidden="false" customHeight="false" outlineLevel="0" collapsed="false">
      <c r="AT267" s="29" t="str">
        <f aca="false">IF(A267="","",IF(COUNTIF(Parcels!$A$2:$A$3000,B267)=0,"Parcel not found",IF(COUNTIF($A$2:$A$3000,A267)&gt;1,"Duplicate perm_id",IF(AND(R267="Yes",D267&lt;&gt;"",COUNTIFS($C$2:$C$3000,D267,$R$2:$R$3000,"Yes")&gt;1),"Reference counted twice",IF(COUNTIF(Lists!$A$2:$A$7,I267)=0,"Unknown status","")))))</f>
        <v/>
      </c>
    </row>
    <row r="268" customFormat="false" ht="15" hidden="false" customHeight="false" outlineLevel="0" collapsed="false">
      <c r="AT268" s="29" t="str">
        <f aca="false">IF(A268="","",IF(COUNTIF(Parcels!$A$2:$A$3000,B268)=0,"Parcel not found",IF(COUNTIF($A$2:$A$3000,A268)&gt;1,"Duplicate perm_id",IF(AND(R268="Yes",D268&lt;&gt;"",COUNTIFS($C$2:$C$3000,D268,$R$2:$R$3000,"Yes")&gt;1),"Reference counted twice",IF(COUNTIF(Lists!$A$2:$A$7,I268)=0,"Unknown status","")))))</f>
        <v/>
      </c>
    </row>
    <row r="269" customFormat="false" ht="15" hidden="false" customHeight="false" outlineLevel="0" collapsed="false">
      <c r="AT269" s="29" t="str">
        <f aca="false">IF(A269="","",IF(COUNTIF(Parcels!$A$2:$A$3000,B269)=0,"Parcel not found",IF(COUNTIF($A$2:$A$3000,A269)&gt;1,"Duplicate perm_id",IF(AND(R269="Yes",D269&lt;&gt;"",COUNTIFS($C$2:$C$3000,D269,$R$2:$R$3000,"Yes")&gt;1),"Reference counted twice",IF(COUNTIF(Lists!$A$2:$A$7,I269)=0,"Unknown status","")))))</f>
        <v/>
      </c>
    </row>
    <row r="270" customFormat="false" ht="15" hidden="false" customHeight="false" outlineLevel="0" collapsed="false">
      <c r="AT270" s="29" t="str">
        <f aca="false">IF(A270="","",IF(COUNTIF(Parcels!$A$2:$A$3000,B270)=0,"Parcel not found",IF(COUNTIF($A$2:$A$3000,A270)&gt;1,"Duplicate perm_id",IF(AND(R270="Yes",D270&lt;&gt;"",COUNTIFS($C$2:$C$3000,D270,$R$2:$R$3000,"Yes")&gt;1),"Reference counted twice",IF(COUNTIF(Lists!$A$2:$A$7,I270)=0,"Unknown status","")))))</f>
        <v/>
      </c>
    </row>
    <row r="271" customFormat="false" ht="15" hidden="false" customHeight="false" outlineLevel="0" collapsed="false">
      <c r="AT271" s="29" t="str">
        <f aca="false">IF(A271="","",IF(COUNTIF(Parcels!$A$2:$A$3000,B271)=0,"Parcel not found",IF(COUNTIF($A$2:$A$3000,A271)&gt;1,"Duplicate perm_id",IF(AND(R271="Yes",D271&lt;&gt;"",COUNTIFS($C$2:$C$3000,D271,$R$2:$R$3000,"Yes")&gt;1),"Reference counted twice",IF(COUNTIF(Lists!$A$2:$A$7,I271)=0,"Unknown status","")))))</f>
        <v/>
      </c>
    </row>
    <row r="272" customFormat="false" ht="15" hidden="false" customHeight="false" outlineLevel="0" collapsed="false">
      <c r="AT272" s="29" t="str">
        <f aca="false">IF(A272="","",IF(COUNTIF(Parcels!$A$2:$A$3000,B272)=0,"Parcel not found",IF(COUNTIF($A$2:$A$3000,A272)&gt;1,"Duplicate perm_id",IF(AND(R272="Yes",D272&lt;&gt;"",COUNTIFS($C$2:$C$3000,D272,$R$2:$R$3000,"Yes")&gt;1),"Reference counted twice",IF(COUNTIF(Lists!$A$2:$A$7,I272)=0,"Unknown status","")))))</f>
        <v/>
      </c>
    </row>
    <row r="273" customFormat="false" ht="15" hidden="false" customHeight="false" outlineLevel="0" collapsed="false">
      <c r="AT273" s="29" t="str">
        <f aca="false">IF(A273="","",IF(COUNTIF(Parcels!$A$2:$A$3000,B273)=0,"Parcel not found",IF(COUNTIF($A$2:$A$3000,A273)&gt;1,"Duplicate perm_id",IF(AND(R273="Yes",D273&lt;&gt;"",COUNTIFS($C$2:$C$3000,D273,$R$2:$R$3000,"Yes")&gt;1),"Reference counted twice",IF(COUNTIF(Lists!$A$2:$A$7,I273)=0,"Unknown status","")))))</f>
        <v/>
      </c>
    </row>
    <row r="274" customFormat="false" ht="15" hidden="false" customHeight="false" outlineLevel="0" collapsed="false">
      <c r="AT274" s="29" t="str">
        <f aca="false">IF(A274="","",IF(COUNTIF(Parcels!$A$2:$A$3000,B274)=0,"Parcel not found",IF(COUNTIF($A$2:$A$3000,A274)&gt;1,"Duplicate perm_id",IF(AND(R274="Yes",D274&lt;&gt;"",COUNTIFS($C$2:$C$3000,D274,$R$2:$R$3000,"Yes")&gt;1),"Reference counted twice",IF(COUNTIF(Lists!$A$2:$A$7,I274)=0,"Unknown status","")))))</f>
        <v/>
      </c>
    </row>
    <row r="275" customFormat="false" ht="15" hidden="false" customHeight="false" outlineLevel="0" collapsed="false">
      <c r="AT275" s="29" t="str">
        <f aca="false">IF(A275="","",IF(COUNTIF(Parcels!$A$2:$A$3000,B275)=0,"Parcel not found",IF(COUNTIF($A$2:$A$3000,A275)&gt;1,"Duplicate perm_id",IF(AND(R275="Yes",D275&lt;&gt;"",COUNTIFS($C$2:$C$3000,D275,$R$2:$R$3000,"Yes")&gt;1),"Reference counted twice",IF(COUNTIF(Lists!$A$2:$A$7,I275)=0,"Unknown status","")))))</f>
        <v/>
      </c>
    </row>
    <row r="276" customFormat="false" ht="15" hidden="false" customHeight="false" outlineLevel="0" collapsed="false">
      <c r="AT276" s="29" t="str">
        <f aca="false">IF(A276="","",IF(COUNTIF(Parcels!$A$2:$A$3000,B276)=0,"Parcel not found",IF(COUNTIF($A$2:$A$3000,A276)&gt;1,"Duplicate perm_id",IF(AND(R276="Yes",D276&lt;&gt;"",COUNTIFS($C$2:$C$3000,D276,$R$2:$R$3000,"Yes")&gt;1),"Reference counted twice",IF(COUNTIF(Lists!$A$2:$A$7,I276)=0,"Unknown status","")))))</f>
        <v/>
      </c>
    </row>
    <row r="277" customFormat="false" ht="15" hidden="false" customHeight="false" outlineLevel="0" collapsed="false">
      <c r="AT277" s="29" t="str">
        <f aca="false">IF(A277="","",IF(COUNTIF(Parcels!$A$2:$A$3000,B277)=0,"Parcel not found",IF(COUNTIF($A$2:$A$3000,A277)&gt;1,"Duplicate perm_id",IF(AND(R277="Yes",D277&lt;&gt;"",COUNTIFS($C$2:$C$3000,D277,$R$2:$R$3000,"Yes")&gt;1),"Reference counted twice",IF(COUNTIF(Lists!$A$2:$A$7,I277)=0,"Unknown status","")))))</f>
        <v/>
      </c>
    </row>
    <row r="278" customFormat="false" ht="15" hidden="false" customHeight="false" outlineLevel="0" collapsed="false">
      <c r="AT278" s="29" t="str">
        <f aca="false">IF(A278="","",IF(COUNTIF(Parcels!$A$2:$A$3000,B278)=0,"Parcel not found",IF(COUNTIF($A$2:$A$3000,A278)&gt;1,"Duplicate perm_id",IF(AND(R278="Yes",D278&lt;&gt;"",COUNTIFS($C$2:$C$3000,D278,$R$2:$R$3000,"Yes")&gt;1),"Reference counted twice",IF(COUNTIF(Lists!$A$2:$A$7,I278)=0,"Unknown status","")))))</f>
        <v/>
      </c>
    </row>
    <row r="279" customFormat="false" ht="15" hidden="false" customHeight="false" outlineLevel="0" collapsed="false">
      <c r="AT279" s="29" t="str">
        <f aca="false">IF(A279="","",IF(COUNTIF(Parcels!$A$2:$A$3000,B279)=0,"Parcel not found",IF(COUNTIF($A$2:$A$3000,A279)&gt;1,"Duplicate perm_id",IF(AND(R279="Yes",D279&lt;&gt;"",COUNTIFS($C$2:$C$3000,D279,$R$2:$R$3000,"Yes")&gt;1),"Reference counted twice",IF(COUNTIF(Lists!$A$2:$A$7,I279)=0,"Unknown status","")))))</f>
        <v/>
      </c>
    </row>
    <row r="280" customFormat="false" ht="15" hidden="false" customHeight="false" outlineLevel="0" collapsed="false">
      <c r="AT280" s="29" t="str">
        <f aca="false">IF(A280="","",IF(COUNTIF(Parcels!$A$2:$A$3000,B280)=0,"Parcel not found",IF(COUNTIF($A$2:$A$3000,A280)&gt;1,"Duplicate perm_id",IF(AND(R280="Yes",D280&lt;&gt;"",COUNTIFS($C$2:$C$3000,D280,$R$2:$R$3000,"Yes")&gt;1),"Reference counted twice",IF(COUNTIF(Lists!$A$2:$A$7,I280)=0,"Unknown status","")))))</f>
        <v/>
      </c>
    </row>
    <row r="281" customFormat="false" ht="15" hidden="false" customHeight="false" outlineLevel="0" collapsed="false">
      <c r="AT281" s="29" t="str">
        <f aca="false">IF(A281="","",IF(COUNTIF(Parcels!$A$2:$A$3000,B281)=0,"Parcel not found",IF(COUNTIF($A$2:$A$3000,A281)&gt;1,"Duplicate perm_id",IF(AND(R281="Yes",D281&lt;&gt;"",COUNTIFS($C$2:$C$3000,D281,$R$2:$R$3000,"Yes")&gt;1),"Reference counted twice",IF(COUNTIF(Lists!$A$2:$A$7,I281)=0,"Unknown status","")))))</f>
        <v/>
      </c>
    </row>
    <row r="282" customFormat="false" ht="15" hidden="false" customHeight="false" outlineLevel="0" collapsed="false">
      <c r="AT282" s="29" t="str">
        <f aca="false">IF(A282="","",IF(COUNTIF(Parcels!$A$2:$A$3000,B282)=0,"Parcel not found",IF(COUNTIF($A$2:$A$3000,A282)&gt;1,"Duplicate perm_id",IF(AND(R282="Yes",D282&lt;&gt;"",COUNTIFS($C$2:$C$3000,D282,$R$2:$R$3000,"Yes")&gt;1),"Reference counted twice",IF(COUNTIF(Lists!$A$2:$A$7,I282)=0,"Unknown status","")))))</f>
        <v/>
      </c>
    </row>
    <row r="283" customFormat="false" ht="15" hidden="false" customHeight="false" outlineLevel="0" collapsed="false">
      <c r="AT283" s="29" t="str">
        <f aca="false">IF(A283="","",IF(COUNTIF(Parcels!$A$2:$A$3000,B283)=0,"Parcel not found",IF(COUNTIF($A$2:$A$3000,A283)&gt;1,"Duplicate perm_id",IF(AND(R283="Yes",D283&lt;&gt;"",COUNTIFS($C$2:$C$3000,D283,$R$2:$R$3000,"Yes")&gt;1),"Reference counted twice",IF(COUNTIF(Lists!$A$2:$A$7,I283)=0,"Unknown status","")))))</f>
        <v/>
      </c>
    </row>
    <row r="284" customFormat="false" ht="15" hidden="false" customHeight="false" outlineLevel="0" collapsed="false">
      <c r="AT284" s="29" t="str">
        <f aca="false">IF(A284="","",IF(COUNTIF(Parcels!$A$2:$A$3000,B284)=0,"Parcel not found",IF(COUNTIF($A$2:$A$3000,A284)&gt;1,"Duplicate perm_id",IF(AND(R284="Yes",D284&lt;&gt;"",COUNTIFS($C$2:$C$3000,D284,$R$2:$R$3000,"Yes")&gt;1),"Reference counted twice",IF(COUNTIF(Lists!$A$2:$A$7,I284)=0,"Unknown status","")))))</f>
        <v/>
      </c>
    </row>
    <row r="285" customFormat="false" ht="15" hidden="false" customHeight="false" outlineLevel="0" collapsed="false">
      <c r="AT285" s="29" t="str">
        <f aca="false">IF(A285="","",IF(COUNTIF(Parcels!$A$2:$A$3000,B285)=0,"Parcel not found",IF(COUNTIF($A$2:$A$3000,A285)&gt;1,"Duplicate perm_id",IF(AND(R285="Yes",D285&lt;&gt;"",COUNTIFS($C$2:$C$3000,D285,$R$2:$R$3000,"Yes")&gt;1),"Reference counted twice",IF(COUNTIF(Lists!$A$2:$A$7,I285)=0,"Unknown status","")))))</f>
        <v/>
      </c>
    </row>
    <row r="286" customFormat="false" ht="15" hidden="false" customHeight="false" outlineLevel="0" collapsed="false">
      <c r="AT286" s="29" t="str">
        <f aca="false">IF(A286="","",IF(COUNTIF(Parcels!$A$2:$A$3000,B286)=0,"Parcel not found",IF(COUNTIF($A$2:$A$3000,A286)&gt;1,"Duplicate perm_id",IF(AND(R286="Yes",D286&lt;&gt;"",COUNTIFS($C$2:$C$3000,D286,$R$2:$R$3000,"Yes")&gt;1),"Reference counted twice",IF(COUNTIF(Lists!$A$2:$A$7,I286)=0,"Unknown status","")))))</f>
        <v/>
      </c>
    </row>
    <row r="287" customFormat="false" ht="15" hidden="false" customHeight="false" outlineLevel="0" collapsed="false">
      <c r="AT287" s="29" t="str">
        <f aca="false">IF(A287="","",IF(COUNTIF(Parcels!$A$2:$A$3000,B287)=0,"Parcel not found",IF(COUNTIF($A$2:$A$3000,A287)&gt;1,"Duplicate perm_id",IF(AND(R287="Yes",D287&lt;&gt;"",COUNTIFS($C$2:$C$3000,D287,$R$2:$R$3000,"Yes")&gt;1),"Reference counted twice",IF(COUNTIF(Lists!$A$2:$A$7,I287)=0,"Unknown status","")))))</f>
        <v/>
      </c>
    </row>
    <row r="288" customFormat="false" ht="15" hidden="false" customHeight="false" outlineLevel="0" collapsed="false">
      <c r="AT288" s="29" t="str">
        <f aca="false">IF(A288="","",IF(COUNTIF(Parcels!$A$2:$A$3000,B288)=0,"Parcel not found",IF(COUNTIF($A$2:$A$3000,A288)&gt;1,"Duplicate perm_id",IF(AND(R288="Yes",D288&lt;&gt;"",COUNTIFS($C$2:$C$3000,D288,$R$2:$R$3000,"Yes")&gt;1),"Reference counted twice",IF(COUNTIF(Lists!$A$2:$A$7,I288)=0,"Unknown status","")))))</f>
        <v/>
      </c>
    </row>
    <row r="289" customFormat="false" ht="15" hidden="false" customHeight="false" outlineLevel="0" collapsed="false">
      <c r="AT289" s="29" t="str">
        <f aca="false">IF(A289="","",IF(COUNTIF(Parcels!$A$2:$A$3000,B289)=0,"Parcel not found",IF(COUNTIF($A$2:$A$3000,A289)&gt;1,"Duplicate perm_id",IF(AND(R289="Yes",D289&lt;&gt;"",COUNTIFS($C$2:$C$3000,D289,$R$2:$R$3000,"Yes")&gt;1),"Reference counted twice",IF(COUNTIF(Lists!$A$2:$A$7,I289)=0,"Unknown status","")))))</f>
        <v/>
      </c>
    </row>
    <row r="290" customFormat="false" ht="15" hidden="false" customHeight="false" outlineLevel="0" collapsed="false">
      <c r="AT290" s="29" t="str">
        <f aca="false">IF(A290="","",IF(COUNTIF(Parcels!$A$2:$A$3000,B290)=0,"Parcel not found",IF(COUNTIF($A$2:$A$3000,A290)&gt;1,"Duplicate perm_id",IF(AND(R290="Yes",D290&lt;&gt;"",COUNTIFS($C$2:$C$3000,D290,$R$2:$R$3000,"Yes")&gt;1),"Reference counted twice",IF(COUNTIF(Lists!$A$2:$A$7,I290)=0,"Unknown status","")))))</f>
        <v/>
      </c>
    </row>
    <row r="291" customFormat="false" ht="15" hidden="false" customHeight="false" outlineLevel="0" collapsed="false">
      <c r="AT291" s="29" t="str">
        <f aca="false">IF(A291="","",IF(COUNTIF(Parcels!$A$2:$A$3000,B291)=0,"Parcel not found",IF(COUNTIF($A$2:$A$3000,A291)&gt;1,"Duplicate perm_id",IF(AND(R291="Yes",D291&lt;&gt;"",COUNTIFS($C$2:$C$3000,D291,$R$2:$R$3000,"Yes")&gt;1),"Reference counted twice",IF(COUNTIF(Lists!$A$2:$A$7,I291)=0,"Unknown status","")))))</f>
        <v/>
      </c>
    </row>
    <row r="292" customFormat="false" ht="15" hidden="false" customHeight="false" outlineLevel="0" collapsed="false">
      <c r="AT292" s="29" t="str">
        <f aca="false">IF(A292="","",IF(COUNTIF(Parcels!$A$2:$A$3000,B292)=0,"Parcel not found",IF(COUNTIF($A$2:$A$3000,A292)&gt;1,"Duplicate perm_id",IF(AND(R292="Yes",D292&lt;&gt;"",COUNTIFS($C$2:$C$3000,D292,$R$2:$R$3000,"Yes")&gt;1),"Reference counted twice",IF(COUNTIF(Lists!$A$2:$A$7,I292)=0,"Unknown status","")))))</f>
        <v/>
      </c>
    </row>
    <row r="293" customFormat="false" ht="15" hidden="false" customHeight="false" outlineLevel="0" collapsed="false">
      <c r="AT293" s="29" t="str">
        <f aca="false">IF(A293="","",IF(COUNTIF(Parcels!$A$2:$A$3000,B293)=0,"Parcel not found",IF(COUNTIF($A$2:$A$3000,A293)&gt;1,"Duplicate perm_id",IF(AND(R293="Yes",D293&lt;&gt;"",COUNTIFS($C$2:$C$3000,D293,$R$2:$R$3000,"Yes")&gt;1),"Reference counted twice",IF(COUNTIF(Lists!$A$2:$A$7,I293)=0,"Unknown status","")))))</f>
        <v/>
      </c>
    </row>
    <row r="294" customFormat="false" ht="15" hidden="false" customHeight="false" outlineLevel="0" collapsed="false">
      <c r="AT294" s="29" t="str">
        <f aca="false">IF(A294="","",IF(COUNTIF(Parcels!$A$2:$A$3000,B294)=0,"Parcel not found",IF(COUNTIF($A$2:$A$3000,A294)&gt;1,"Duplicate perm_id",IF(AND(R294="Yes",D294&lt;&gt;"",COUNTIFS($C$2:$C$3000,D294,$R$2:$R$3000,"Yes")&gt;1),"Reference counted twice",IF(COUNTIF(Lists!$A$2:$A$7,I294)=0,"Unknown status","")))))</f>
        <v/>
      </c>
    </row>
    <row r="295" customFormat="false" ht="15" hidden="false" customHeight="false" outlineLevel="0" collapsed="false">
      <c r="AT295" s="29" t="str">
        <f aca="false">IF(A295="","",IF(COUNTIF(Parcels!$A$2:$A$3000,B295)=0,"Parcel not found",IF(COUNTIF($A$2:$A$3000,A295)&gt;1,"Duplicate perm_id",IF(AND(R295="Yes",D295&lt;&gt;"",COUNTIFS($C$2:$C$3000,D295,$R$2:$R$3000,"Yes")&gt;1),"Reference counted twice",IF(COUNTIF(Lists!$A$2:$A$7,I295)=0,"Unknown status","")))))</f>
        <v/>
      </c>
    </row>
    <row r="296" customFormat="false" ht="15" hidden="false" customHeight="false" outlineLevel="0" collapsed="false">
      <c r="AT296" s="29" t="str">
        <f aca="false">IF(A296="","",IF(COUNTIF(Parcels!$A$2:$A$3000,B296)=0,"Parcel not found",IF(COUNTIF($A$2:$A$3000,A296)&gt;1,"Duplicate perm_id",IF(AND(R296="Yes",D296&lt;&gt;"",COUNTIFS($C$2:$C$3000,D296,$R$2:$R$3000,"Yes")&gt;1),"Reference counted twice",IF(COUNTIF(Lists!$A$2:$A$7,I296)=0,"Unknown status","")))))</f>
        <v/>
      </c>
    </row>
    <row r="297" customFormat="false" ht="15" hidden="false" customHeight="false" outlineLevel="0" collapsed="false">
      <c r="AT297" s="29" t="str">
        <f aca="false">IF(A297="","",IF(COUNTIF(Parcels!$A$2:$A$3000,B297)=0,"Parcel not found",IF(COUNTIF($A$2:$A$3000,A297)&gt;1,"Duplicate perm_id",IF(AND(R297="Yes",D297&lt;&gt;"",COUNTIFS($C$2:$C$3000,D297,$R$2:$R$3000,"Yes")&gt;1),"Reference counted twice",IF(COUNTIF(Lists!$A$2:$A$7,I297)=0,"Unknown status","")))))</f>
        <v/>
      </c>
    </row>
    <row r="298" customFormat="false" ht="15" hidden="false" customHeight="false" outlineLevel="0" collapsed="false">
      <c r="AT298" s="29" t="str">
        <f aca="false">IF(A298="","",IF(COUNTIF(Parcels!$A$2:$A$3000,B298)=0,"Parcel not found",IF(COUNTIF($A$2:$A$3000,A298)&gt;1,"Duplicate perm_id",IF(AND(R298="Yes",D298&lt;&gt;"",COUNTIFS($C$2:$C$3000,D298,$R$2:$R$3000,"Yes")&gt;1),"Reference counted twice",IF(COUNTIF(Lists!$A$2:$A$7,I298)=0,"Unknown status","")))))</f>
        <v/>
      </c>
    </row>
    <row r="299" customFormat="false" ht="15" hidden="false" customHeight="false" outlineLevel="0" collapsed="false">
      <c r="AT299" s="29" t="str">
        <f aca="false">IF(A299="","",IF(COUNTIF(Parcels!$A$2:$A$3000,B299)=0,"Parcel not found",IF(COUNTIF($A$2:$A$3000,A299)&gt;1,"Duplicate perm_id",IF(AND(R299="Yes",D299&lt;&gt;"",COUNTIFS($C$2:$C$3000,D299,$R$2:$R$3000,"Yes")&gt;1),"Reference counted twice",IF(COUNTIF(Lists!$A$2:$A$7,I299)=0,"Unknown status","")))))</f>
        <v/>
      </c>
    </row>
    <row r="300" customFormat="false" ht="15" hidden="false" customHeight="false" outlineLevel="0" collapsed="false">
      <c r="AT300" s="29" t="str">
        <f aca="false">IF(A300="","",IF(COUNTIF(Parcels!$A$2:$A$3000,B300)=0,"Parcel not found",IF(COUNTIF($A$2:$A$3000,A300)&gt;1,"Duplicate perm_id",IF(AND(R300="Yes",D300&lt;&gt;"",COUNTIFS($C$2:$C$3000,D300,$R$2:$R$3000,"Yes")&gt;1),"Reference counted twice",IF(COUNTIF(Lists!$A$2:$A$7,I300)=0,"Unknown status","")))))</f>
        <v/>
      </c>
    </row>
    <row r="301" customFormat="false" ht="15" hidden="false" customHeight="false" outlineLevel="0" collapsed="false">
      <c r="AT301" s="29" t="str">
        <f aca="false">IF(A301="","",IF(COUNTIF(Parcels!$A$2:$A$3000,B301)=0,"Parcel not found",IF(COUNTIF($A$2:$A$3000,A301)&gt;1,"Duplicate perm_id",IF(AND(R301="Yes",D301&lt;&gt;"",COUNTIFS($C$2:$C$3000,D301,$R$2:$R$3000,"Yes")&gt;1),"Reference counted twice",IF(COUNTIF(Lists!$A$2:$A$7,I301)=0,"Unknown status","")))))</f>
        <v/>
      </c>
    </row>
    <row r="302" customFormat="false" ht="15" hidden="false" customHeight="false" outlineLevel="0" collapsed="false">
      <c r="AT302" s="29" t="str">
        <f aca="false">IF(A302="","",IF(COUNTIF(Parcels!$A$2:$A$3000,B302)=0,"Parcel not found",IF(COUNTIF($A$2:$A$3000,A302)&gt;1,"Duplicate perm_id",IF(AND(R302="Yes",D302&lt;&gt;"",COUNTIFS($C$2:$C$3000,D302,$R$2:$R$3000,"Yes")&gt;1),"Reference counted twice",IF(COUNTIF(Lists!$A$2:$A$7,I302)=0,"Unknown status","")))))</f>
        <v/>
      </c>
    </row>
    <row r="303" customFormat="false" ht="15" hidden="false" customHeight="false" outlineLevel="0" collapsed="false">
      <c r="AT303" s="29" t="str">
        <f aca="false">IF(A303="","",IF(COUNTIF(Parcels!$A$2:$A$3000,B303)=0,"Parcel not found",IF(COUNTIF($A$2:$A$3000,A303)&gt;1,"Duplicate perm_id",IF(AND(R303="Yes",D303&lt;&gt;"",COUNTIFS($C$2:$C$3000,D303,$R$2:$R$3000,"Yes")&gt;1),"Reference counted twice",IF(COUNTIF(Lists!$A$2:$A$7,I303)=0,"Unknown status","")))))</f>
        <v/>
      </c>
    </row>
    <row r="304" customFormat="false" ht="15" hidden="false" customHeight="false" outlineLevel="0" collapsed="false">
      <c r="AT304" s="29" t="str">
        <f aca="false">IF(A304="","",IF(COUNTIF(Parcels!$A$2:$A$3000,B304)=0,"Parcel not found",IF(COUNTIF($A$2:$A$3000,A304)&gt;1,"Duplicate perm_id",IF(AND(R304="Yes",D304&lt;&gt;"",COUNTIFS($C$2:$C$3000,D304,$R$2:$R$3000,"Yes")&gt;1),"Reference counted twice",IF(COUNTIF(Lists!$A$2:$A$7,I304)=0,"Unknown status","")))))</f>
        <v/>
      </c>
    </row>
    <row r="305" customFormat="false" ht="15" hidden="false" customHeight="false" outlineLevel="0" collapsed="false">
      <c r="AT305" s="29" t="str">
        <f aca="false">IF(A305="","",IF(COUNTIF(Parcels!$A$2:$A$3000,B305)=0,"Parcel not found",IF(COUNTIF($A$2:$A$3000,A305)&gt;1,"Duplicate perm_id",IF(AND(R305="Yes",D305&lt;&gt;"",COUNTIFS($C$2:$C$3000,D305,$R$2:$R$3000,"Yes")&gt;1),"Reference counted twice",IF(COUNTIF(Lists!$A$2:$A$7,I305)=0,"Unknown status","")))))</f>
        <v/>
      </c>
    </row>
    <row r="306" customFormat="false" ht="15" hidden="false" customHeight="false" outlineLevel="0" collapsed="false">
      <c r="AT306" s="29" t="str">
        <f aca="false">IF(A306="","",IF(COUNTIF(Parcels!$A$2:$A$3000,B306)=0,"Parcel not found",IF(COUNTIF($A$2:$A$3000,A306)&gt;1,"Duplicate perm_id",IF(AND(R306="Yes",D306&lt;&gt;"",COUNTIFS($C$2:$C$3000,D306,$R$2:$R$3000,"Yes")&gt;1),"Reference counted twice",IF(COUNTIF(Lists!$A$2:$A$7,I306)=0,"Unknown status","")))))</f>
        <v/>
      </c>
    </row>
    <row r="307" customFormat="false" ht="15" hidden="false" customHeight="false" outlineLevel="0" collapsed="false">
      <c r="AT307" s="29" t="str">
        <f aca="false">IF(A307="","",IF(COUNTIF(Parcels!$A$2:$A$3000,B307)=0,"Parcel not found",IF(COUNTIF($A$2:$A$3000,A307)&gt;1,"Duplicate perm_id",IF(AND(R307="Yes",D307&lt;&gt;"",COUNTIFS($C$2:$C$3000,D307,$R$2:$R$3000,"Yes")&gt;1),"Reference counted twice",IF(COUNTIF(Lists!$A$2:$A$7,I307)=0,"Unknown status","")))))</f>
        <v/>
      </c>
    </row>
    <row r="308" customFormat="false" ht="15" hidden="false" customHeight="false" outlineLevel="0" collapsed="false">
      <c r="AT308" s="29" t="str">
        <f aca="false">IF(A308="","",IF(COUNTIF(Parcels!$A$2:$A$3000,B308)=0,"Parcel not found",IF(COUNTIF($A$2:$A$3000,A308)&gt;1,"Duplicate perm_id",IF(AND(R308="Yes",D308&lt;&gt;"",COUNTIFS($C$2:$C$3000,D308,$R$2:$R$3000,"Yes")&gt;1),"Reference counted twice",IF(COUNTIF(Lists!$A$2:$A$7,I308)=0,"Unknown status","")))))</f>
        <v/>
      </c>
    </row>
    <row r="309" customFormat="false" ht="15" hidden="false" customHeight="false" outlineLevel="0" collapsed="false">
      <c r="AT309" s="29" t="str">
        <f aca="false">IF(A309="","",IF(COUNTIF(Parcels!$A$2:$A$3000,B309)=0,"Parcel not found",IF(COUNTIF($A$2:$A$3000,A309)&gt;1,"Duplicate perm_id",IF(AND(R309="Yes",D309&lt;&gt;"",COUNTIFS($C$2:$C$3000,D309,$R$2:$R$3000,"Yes")&gt;1),"Reference counted twice",IF(COUNTIF(Lists!$A$2:$A$7,I309)=0,"Unknown status","")))))</f>
        <v/>
      </c>
    </row>
    <row r="310" customFormat="false" ht="15" hidden="false" customHeight="false" outlineLevel="0" collapsed="false">
      <c r="AT310" s="29" t="str">
        <f aca="false">IF(A310="","",IF(COUNTIF(Parcels!$A$2:$A$3000,B310)=0,"Parcel not found",IF(COUNTIF($A$2:$A$3000,A310)&gt;1,"Duplicate perm_id",IF(AND(R310="Yes",D310&lt;&gt;"",COUNTIFS($C$2:$C$3000,D310,$R$2:$R$3000,"Yes")&gt;1),"Reference counted twice",IF(COUNTIF(Lists!$A$2:$A$7,I310)=0,"Unknown status","")))))</f>
        <v/>
      </c>
    </row>
    <row r="311" customFormat="false" ht="15" hidden="false" customHeight="false" outlineLevel="0" collapsed="false">
      <c r="AT311" s="29" t="str">
        <f aca="false">IF(A311="","",IF(COUNTIF(Parcels!$A$2:$A$3000,B311)=0,"Parcel not found",IF(COUNTIF($A$2:$A$3000,A311)&gt;1,"Duplicate perm_id",IF(AND(R311="Yes",D311&lt;&gt;"",COUNTIFS($C$2:$C$3000,D311,$R$2:$R$3000,"Yes")&gt;1),"Reference counted twice",IF(COUNTIF(Lists!$A$2:$A$7,I311)=0,"Unknown status","")))))</f>
        <v/>
      </c>
    </row>
    <row r="312" customFormat="false" ht="15" hidden="false" customHeight="false" outlineLevel="0" collapsed="false">
      <c r="AT312" s="29" t="str">
        <f aca="false">IF(A312="","",IF(COUNTIF(Parcels!$A$2:$A$3000,B312)=0,"Parcel not found",IF(COUNTIF($A$2:$A$3000,A312)&gt;1,"Duplicate perm_id",IF(AND(R312="Yes",D312&lt;&gt;"",COUNTIFS($C$2:$C$3000,D312,$R$2:$R$3000,"Yes")&gt;1),"Reference counted twice",IF(COUNTIF(Lists!$A$2:$A$7,I312)=0,"Unknown status","")))))</f>
        <v/>
      </c>
    </row>
    <row r="313" customFormat="false" ht="15" hidden="false" customHeight="false" outlineLevel="0" collapsed="false">
      <c r="AT313" s="29" t="str">
        <f aca="false">IF(A313="","",IF(COUNTIF(Parcels!$A$2:$A$3000,B313)=0,"Parcel not found",IF(COUNTIF($A$2:$A$3000,A313)&gt;1,"Duplicate perm_id",IF(AND(R313="Yes",D313&lt;&gt;"",COUNTIFS($C$2:$C$3000,D313,$R$2:$R$3000,"Yes")&gt;1),"Reference counted twice",IF(COUNTIF(Lists!$A$2:$A$7,I313)=0,"Unknown status","")))))</f>
        <v/>
      </c>
    </row>
    <row r="314" customFormat="false" ht="15" hidden="false" customHeight="false" outlineLevel="0" collapsed="false">
      <c r="AT314" s="29" t="str">
        <f aca="false">IF(A314="","",IF(COUNTIF(Parcels!$A$2:$A$3000,B314)=0,"Parcel not found",IF(COUNTIF($A$2:$A$3000,A314)&gt;1,"Duplicate perm_id",IF(AND(R314="Yes",D314&lt;&gt;"",COUNTIFS($C$2:$C$3000,D314,$R$2:$R$3000,"Yes")&gt;1),"Reference counted twice",IF(COUNTIF(Lists!$A$2:$A$7,I314)=0,"Unknown status","")))))</f>
        <v/>
      </c>
    </row>
    <row r="315" customFormat="false" ht="15" hidden="false" customHeight="false" outlineLevel="0" collapsed="false">
      <c r="AT315" s="29" t="str">
        <f aca="false">IF(A315="","",IF(COUNTIF(Parcels!$A$2:$A$3000,B315)=0,"Parcel not found",IF(COUNTIF($A$2:$A$3000,A315)&gt;1,"Duplicate perm_id",IF(AND(R315="Yes",D315&lt;&gt;"",COUNTIFS($C$2:$C$3000,D315,$R$2:$R$3000,"Yes")&gt;1),"Reference counted twice",IF(COUNTIF(Lists!$A$2:$A$7,I315)=0,"Unknown status","")))))</f>
        <v/>
      </c>
    </row>
    <row r="316" customFormat="false" ht="15" hidden="false" customHeight="false" outlineLevel="0" collapsed="false">
      <c r="AT316" s="29" t="str">
        <f aca="false">IF(A316="","",IF(COUNTIF(Parcels!$A$2:$A$3000,B316)=0,"Parcel not found",IF(COUNTIF($A$2:$A$3000,A316)&gt;1,"Duplicate perm_id",IF(AND(R316="Yes",D316&lt;&gt;"",COUNTIFS($C$2:$C$3000,D316,$R$2:$R$3000,"Yes")&gt;1),"Reference counted twice",IF(COUNTIF(Lists!$A$2:$A$7,I316)=0,"Unknown status","")))))</f>
        <v/>
      </c>
    </row>
    <row r="317" customFormat="false" ht="15" hidden="false" customHeight="false" outlineLevel="0" collapsed="false">
      <c r="AT317" s="29" t="str">
        <f aca="false">IF(A317="","",IF(COUNTIF(Parcels!$A$2:$A$3000,B317)=0,"Parcel not found",IF(COUNTIF($A$2:$A$3000,A317)&gt;1,"Duplicate perm_id",IF(AND(R317="Yes",D317&lt;&gt;"",COUNTIFS($C$2:$C$3000,D317,$R$2:$R$3000,"Yes")&gt;1),"Reference counted twice",IF(COUNTIF(Lists!$A$2:$A$7,I317)=0,"Unknown status","")))))</f>
        <v/>
      </c>
    </row>
    <row r="318" customFormat="false" ht="15" hidden="false" customHeight="false" outlineLevel="0" collapsed="false">
      <c r="AT318" s="29" t="str">
        <f aca="false">IF(A318="","",IF(COUNTIF(Parcels!$A$2:$A$3000,B318)=0,"Parcel not found",IF(COUNTIF($A$2:$A$3000,A318)&gt;1,"Duplicate perm_id",IF(AND(R318="Yes",D318&lt;&gt;"",COUNTIFS($C$2:$C$3000,D318,$R$2:$R$3000,"Yes")&gt;1),"Reference counted twice",IF(COUNTIF(Lists!$A$2:$A$7,I318)=0,"Unknown status","")))))</f>
        <v/>
      </c>
    </row>
    <row r="319" customFormat="false" ht="15" hidden="false" customHeight="false" outlineLevel="0" collapsed="false">
      <c r="AT319" s="29" t="str">
        <f aca="false">IF(A319="","",IF(COUNTIF(Parcels!$A$2:$A$3000,B319)=0,"Parcel not found",IF(COUNTIF($A$2:$A$3000,A319)&gt;1,"Duplicate perm_id",IF(AND(R319="Yes",D319&lt;&gt;"",COUNTIFS($C$2:$C$3000,D319,$R$2:$R$3000,"Yes")&gt;1),"Reference counted twice",IF(COUNTIF(Lists!$A$2:$A$7,I319)=0,"Unknown status","")))))</f>
        <v/>
      </c>
    </row>
    <row r="320" customFormat="false" ht="15" hidden="false" customHeight="false" outlineLevel="0" collapsed="false">
      <c r="AT320" s="29" t="str">
        <f aca="false">IF(A320="","",IF(COUNTIF(Parcels!$A$2:$A$3000,B320)=0,"Parcel not found",IF(COUNTIF($A$2:$A$3000,A320)&gt;1,"Duplicate perm_id",IF(AND(R320="Yes",D320&lt;&gt;"",COUNTIFS($C$2:$C$3000,D320,$R$2:$R$3000,"Yes")&gt;1),"Reference counted twice",IF(COUNTIF(Lists!$A$2:$A$7,I320)=0,"Unknown status","")))))</f>
        <v/>
      </c>
    </row>
    <row r="321" customFormat="false" ht="15" hidden="false" customHeight="false" outlineLevel="0" collapsed="false">
      <c r="AT321" s="29" t="str">
        <f aca="false">IF(A321="","",IF(COUNTIF(Parcels!$A$2:$A$3000,B321)=0,"Parcel not found",IF(COUNTIF($A$2:$A$3000,A321)&gt;1,"Duplicate perm_id",IF(AND(R321="Yes",D321&lt;&gt;"",COUNTIFS($C$2:$C$3000,D321,$R$2:$R$3000,"Yes")&gt;1),"Reference counted twice",IF(COUNTIF(Lists!$A$2:$A$7,I321)=0,"Unknown status","")))))</f>
        <v/>
      </c>
    </row>
    <row r="322" customFormat="false" ht="15" hidden="false" customHeight="false" outlineLevel="0" collapsed="false">
      <c r="AT322" s="29" t="str">
        <f aca="false">IF(A322="","",IF(COUNTIF(Parcels!$A$2:$A$3000,B322)=0,"Parcel not found",IF(COUNTIF($A$2:$A$3000,A322)&gt;1,"Duplicate perm_id",IF(AND(R322="Yes",D322&lt;&gt;"",COUNTIFS($C$2:$C$3000,D322,$R$2:$R$3000,"Yes")&gt;1),"Reference counted twice",IF(COUNTIF(Lists!$A$2:$A$7,I322)=0,"Unknown status","")))))</f>
        <v/>
      </c>
    </row>
    <row r="323" customFormat="false" ht="15" hidden="false" customHeight="false" outlineLevel="0" collapsed="false">
      <c r="AT323" s="29" t="str">
        <f aca="false">IF(A323="","",IF(COUNTIF(Parcels!$A$2:$A$3000,B323)=0,"Parcel not found",IF(COUNTIF($A$2:$A$3000,A323)&gt;1,"Duplicate perm_id",IF(AND(R323="Yes",D323&lt;&gt;"",COUNTIFS($C$2:$C$3000,D323,$R$2:$R$3000,"Yes")&gt;1),"Reference counted twice",IF(COUNTIF(Lists!$A$2:$A$7,I323)=0,"Unknown status","")))))</f>
        <v/>
      </c>
    </row>
    <row r="324" customFormat="false" ht="15" hidden="false" customHeight="false" outlineLevel="0" collapsed="false">
      <c r="AT324" s="29" t="str">
        <f aca="false">IF(A324="","",IF(COUNTIF(Parcels!$A$2:$A$3000,B324)=0,"Parcel not found",IF(COUNTIF($A$2:$A$3000,A324)&gt;1,"Duplicate perm_id",IF(AND(R324="Yes",D324&lt;&gt;"",COUNTIFS($C$2:$C$3000,D324,$R$2:$R$3000,"Yes")&gt;1),"Reference counted twice",IF(COUNTIF(Lists!$A$2:$A$7,I324)=0,"Unknown status","")))))</f>
        <v/>
      </c>
    </row>
    <row r="325" customFormat="false" ht="15" hidden="false" customHeight="false" outlineLevel="0" collapsed="false">
      <c r="AT325" s="29" t="str">
        <f aca="false">IF(A325="","",IF(COUNTIF(Parcels!$A$2:$A$3000,B325)=0,"Parcel not found",IF(COUNTIF($A$2:$A$3000,A325)&gt;1,"Duplicate perm_id",IF(AND(R325="Yes",D325&lt;&gt;"",COUNTIFS($C$2:$C$3000,D325,$R$2:$R$3000,"Yes")&gt;1),"Reference counted twice",IF(COUNTIF(Lists!$A$2:$A$7,I325)=0,"Unknown status","")))))</f>
        <v/>
      </c>
    </row>
    <row r="326" customFormat="false" ht="15" hidden="false" customHeight="false" outlineLevel="0" collapsed="false">
      <c r="AT326" s="29" t="str">
        <f aca="false">IF(A326="","",IF(COUNTIF(Parcels!$A$2:$A$3000,B326)=0,"Parcel not found",IF(COUNTIF($A$2:$A$3000,A326)&gt;1,"Duplicate perm_id",IF(AND(R326="Yes",D326&lt;&gt;"",COUNTIFS($C$2:$C$3000,D326,$R$2:$R$3000,"Yes")&gt;1),"Reference counted twice",IF(COUNTIF(Lists!$A$2:$A$7,I326)=0,"Unknown status","")))))</f>
        <v/>
      </c>
    </row>
    <row r="327" customFormat="false" ht="15" hidden="false" customHeight="false" outlineLevel="0" collapsed="false">
      <c r="AT327" s="29" t="str">
        <f aca="false">IF(A327="","",IF(COUNTIF(Parcels!$A$2:$A$3000,B327)=0,"Parcel not found",IF(COUNTIF($A$2:$A$3000,A327)&gt;1,"Duplicate perm_id",IF(AND(R327="Yes",D327&lt;&gt;"",COUNTIFS($C$2:$C$3000,D327,$R$2:$R$3000,"Yes")&gt;1),"Reference counted twice",IF(COUNTIF(Lists!$A$2:$A$7,I327)=0,"Unknown status","")))))</f>
        <v/>
      </c>
    </row>
    <row r="328" customFormat="false" ht="15" hidden="false" customHeight="false" outlineLevel="0" collapsed="false">
      <c r="AT328" s="29" t="str">
        <f aca="false">IF(A328="","",IF(COUNTIF(Parcels!$A$2:$A$3000,B328)=0,"Parcel not found",IF(COUNTIF($A$2:$A$3000,A328)&gt;1,"Duplicate perm_id",IF(AND(R328="Yes",D328&lt;&gt;"",COUNTIFS($C$2:$C$3000,D328,$R$2:$R$3000,"Yes")&gt;1),"Reference counted twice",IF(COUNTIF(Lists!$A$2:$A$7,I328)=0,"Unknown status","")))))</f>
        <v/>
      </c>
    </row>
    <row r="329" customFormat="false" ht="15" hidden="false" customHeight="false" outlineLevel="0" collapsed="false">
      <c r="AT329" s="29" t="str">
        <f aca="false">IF(A329="","",IF(COUNTIF(Parcels!$A$2:$A$3000,B329)=0,"Parcel not found",IF(COUNTIF($A$2:$A$3000,A329)&gt;1,"Duplicate perm_id",IF(AND(R329="Yes",D329&lt;&gt;"",COUNTIFS($C$2:$C$3000,D329,$R$2:$R$3000,"Yes")&gt;1),"Reference counted twice",IF(COUNTIF(Lists!$A$2:$A$7,I329)=0,"Unknown status","")))))</f>
        <v/>
      </c>
    </row>
    <row r="330" customFormat="false" ht="15" hidden="false" customHeight="false" outlineLevel="0" collapsed="false">
      <c r="AT330" s="29" t="str">
        <f aca="false">IF(A330="","",IF(COUNTIF(Parcels!$A$2:$A$3000,B330)=0,"Parcel not found",IF(COUNTIF($A$2:$A$3000,A330)&gt;1,"Duplicate perm_id",IF(AND(R330="Yes",D330&lt;&gt;"",COUNTIFS($C$2:$C$3000,D330,$R$2:$R$3000,"Yes")&gt;1),"Reference counted twice",IF(COUNTIF(Lists!$A$2:$A$7,I330)=0,"Unknown status","")))))</f>
        <v/>
      </c>
    </row>
    <row r="331" customFormat="false" ht="15" hidden="false" customHeight="false" outlineLevel="0" collapsed="false">
      <c r="AT331" s="29" t="str">
        <f aca="false">IF(A331="","",IF(COUNTIF(Parcels!$A$2:$A$3000,B331)=0,"Parcel not found",IF(COUNTIF($A$2:$A$3000,A331)&gt;1,"Duplicate perm_id",IF(AND(R331="Yes",D331&lt;&gt;"",COUNTIFS($C$2:$C$3000,D331,$R$2:$R$3000,"Yes")&gt;1),"Reference counted twice",IF(COUNTIF(Lists!$A$2:$A$7,I331)=0,"Unknown status","")))))</f>
        <v/>
      </c>
    </row>
    <row r="332" customFormat="false" ht="15" hidden="false" customHeight="false" outlineLevel="0" collapsed="false">
      <c r="AT332" s="29" t="str">
        <f aca="false">IF(A332="","",IF(COUNTIF(Parcels!$A$2:$A$3000,B332)=0,"Parcel not found",IF(COUNTIF($A$2:$A$3000,A332)&gt;1,"Duplicate perm_id",IF(AND(R332="Yes",D332&lt;&gt;"",COUNTIFS($C$2:$C$3000,D332,$R$2:$R$3000,"Yes")&gt;1),"Reference counted twice",IF(COUNTIF(Lists!$A$2:$A$7,I332)=0,"Unknown status","")))))</f>
        <v/>
      </c>
    </row>
    <row r="333" customFormat="false" ht="15" hidden="false" customHeight="false" outlineLevel="0" collapsed="false">
      <c r="AT333" s="29" t="str">
        <f aca="false">IF(A333="","",IF(COUNTIF(Parcels!$A$2:$A$3000,B333)=0,"Parcel not found",IF(COUNTIF($A$2:$A$3000,A333)&gt;1,"Duplicate perm_id",IF(AND(R333="Yes",D333&lt;&gt;"",COUNTIFS($C$2:$C$3000,D333,$R$2:$R$3000,"Yes")&gt;1),"Reference counted twice",IF(COUNTIF(Lists!$A$2:$A$7,I333)=0,"Unknown status","")))))</f>
        <v/>
      </c>
    </row>
    <row r="334" customFormat="false" ht="15" hidden="false" customHeight="false" outlineLevel="0" collapsed="false">
      <c r="AT334" s="29" t="str">
        <f aca="false">IF(A334="","",IF(COUNTIF(Parcels!$A$2:$A$3000,B334)=0,"Parcel not found",IF(COUNTIF($A$2:$A$3000,A334)&gt;1,"Duplicate perm_id",IF(AND(R334="Yes",D334&lt;&gt;"",COUNTIFS($C$2:$C$3000,D334,$R$2:$R$3000,"Yes")&gt;1),"Reference counted twice",IF(COUNTIF(Lists!$A$2:$A$7,I334)=0,"Unknown status","")))))</f>
        <v/>
      </c>
    </row>
    <row r="335" customFormat="false" ht="15" hidden="false" customHeight="false" outlineLevel="0" collapsed="false">
      <c r="AT335" s="29" t="str">
        <f aca="false">IF(A335="","",IF(COUNTIF(Parcels!$A$2:$A$3000,B335)=0,"Parcel not found",IF(COUNTIF($A$2:$A$3000,A335)&gt;1,"Duplicate perm_id",IF(AND(R335="Yes",D335&lt;&gt;"",COUNTIFS($C$2:$C$3000,D335,$R$2:$R$3000,"Yes")&gt;1),"Reference counted twice",IF(COUNTIF(Lists!$A$2:$A$7,I335)=0,"Unknown status","")))))</f>
        <v/>
      </c>
    </row>
    <row r="336" customFormat="false" ht="15" hidden="false" customHeight="false" outlineLevel="0" collapsed="false">
      <c r="AT336" s="29" t="str">
        <f aca="false">IF(A336="","",IF(COUNTIF(Parcels!$A$2:$A$3000,B336)=0,"Parcel not found",IF(COUNTIF($A$2:$A$3000,A336)&gt;1,"Duplicate perm_id",IF(AND(R336="Yes",D336&lt;&gt;"",COUNTIFS($C$2:$C$3000,D336,$R$2:$R$3000,"Yes")&gt;1),"Reference counted twice",IF(COUNTIF(Lists!$A$2:$A$7,I336)=0,"Unknown status","")))))</f>
        <v/>
      </c>
    </row>
    <row r="337" customFormat="false" ht="15" hidden="false" customHeight="false" outlineLevel="0" collapsed="false">
      <c r="AT337" s="29" t="str">
        <f aca="false">IF(A337="","",IF(COUNTIF(Parcels!$A$2:$A$3000,B337)=0,"Parcel not found",IF(COUNTIF($A$2:$A$3000,A337)&gt;1,"Duplicate perm_id",IF(AND(R337="Yes",D337&lt;&gt;"",COUNTIFS($C$2:$C$3000,D337,$R$2:$R$3000,"Yes")&gt;1),"Reference counted twice",IF(COUNTIF(Lists!$A$2:$A$7,I337)=0,"Unknown status","")))))</f>
        <v/>
      </c>
    </row>
    <row r="338" customFormat="false" ht="15" hidden="false" customHeight="false" outlineLevel="0" collapsed="false">
      <c r="AT338" s="29" t="str">
        <f aca="false">IF(A338="","",IF(COUNTIF(Parcels!$A$2:$A$3000,B338)=0,"Parcel not found",IF(COUNTIF($A$2:$A$3000,A338)&gt;1,"Duplicate perm_id",IF(AND(R338="Yes",D338&lt;&gt;"",COUNTIFS($C$2:$C$3000,D338,$R$2:$R$3000,"Yes")&gt;1),"Reference counted twice",IF(COUNTIF(Lists!$A$2:$A$7,I338)=0,"Unknown status","")))))</f>
        <v/>
      </c>
    </row>
    <row r="339" customFormat="false" ht="15" hidden="false" customHeight="false" outlineLevel="0" collapsed="false">
      <c r="AT339" s="29" t="str">
        <f aca="false">IF(A339="","",IF(COUNTIF(Parcels!$A$2:$A$3000,B339)=0,"Parcel not found",IF(COUNTIF($A$2:$A$3000,A339)&gt;1,"Duplicate perm_id",IF(AND(R339="Yes",D339&lt;&gt;"",COUNTIFS($C$2:$C$3000,D339,$R$2:$R$3000,"Yes")&gt;1),"Reference counted twice",IF(COUNTIF(Lists!$A$2:$A$7,I339)=0,"Unknown status","")))))</f>
        <v/>
      </c>
    </row>
    <row r="340" customFormat="false" ht="15" hidden="false" customHeight="false" outlineLevel="0" collapsed="false">
      <c r="AT340" s="29" t="str">
        <f aca="false">IF(A340="","",IF(COUNTIF(Parcels!$A$2:$A$3000,B340)=0,"Parcel not found",IF(COUNTIF($A$2:$A$3000,A340)&gt;1,"Duplicate perm_id",IF(AND(R340="Yes",D340&lt;&gt;"",COUNTIFS($C$2:$C$3000,D340,$R$2:$R$3000,"Yes")&gt;1),"Reference counted twice",IF(COUNTIF(Lists!$A$2:$A$7,I340)=0,"Unknown status","")))))</f>
        <v/>
      </c>
    </row>
    <row r="341" customFormat="false" ht="15" hidden="false" customHeight="false" outlineLevel="0" collapsed="false">
      <c r="AT341" s="29" t="str">
        <f aca="false">IF(A341="","",IF(COUNTIF(Parcels!$A$2:$A$3000,B341)=0,"Parcel not found",IF(COUNTIF($A$2:$A$3000,A341)&gt;1,"Duplicate perm_id",IF(AND(R341="Yes",D341&lt;&gt;"",COUNTIFS($C$2:$C$3000,D341,$R$2:$R$3000,"Yes")&gt;1),"Reference counted twice",IF(COUNTIF(Lists!$A$2:$A$7,I341)=0,"Unknown status","")))))</f>
        <v/>
      </c>
    </row>
    <row r="342" customFormat="false" ht="15" hidden="false" customHeight="false" outlineLevel="0" collapsed="false">
      <c r="AT342" s="29" t="str">
        <f aca="false">IF(A342="","",IF(COUNTIF(Parcels!$A$2:$A$3000,B342)=0,"Parcel not found",IF(COUNTIF($A$2:$A$3000,A342)&gt;1,"Duplicate perm_id",IF(AND(R342="Yes",D342&lt;&gt;"",COUNTIFS($C$2:$C$3000,D342,$R$2:$R$3000,"Yes")&gt;1),"Reference counted twice",IF(COUNTIF(Lists!$A$2:$A$7,I342)=0,"Unknown status","")))))</f>
        <v/>
      </c>
    </row>
    <row r="343" customFormat="false" ht="15" hidden="false" customHeight="false" outlineLevel="0" collapsed="false">
      <c r="AT343" s="29" t="str">
        <f aca="false">IF(A343="","",IF(COUNTIF(Parcels!$A$2:$A$3000,B343)=0,"Parcel not found",IF(COUNTIF($A$2:$A$3000,A343)&gt;1,"Duplicate perm_id",IF(AND(R343="Yes",D343&lt;&gt;"",COUNTIFS($C$2:$C$3000,D343,$R$2:$R$3000,"Yes")&gt;1),"Reference counted twice",IF(COUNTIF(Lists!$A$2:$A$7,I343)=0,"Unknown status","")))))</f>
        <v/>
      </c>
    </row>
    <row r="344" customFormat="false" ht="15" hidden="false" customHeight="false" outlineLevel="0" collapsed="false">
      <c r="AT344" s="29" t="str">
        <f aca="false">IF(A344="","",IF(COUNTIF(Parcels!$A$2:$A$3000,B344)=0,"Parcel not found",IF(COUNTIF($A$2:$A$3000,A344)&gt;1,"Duplicate perm_id",IF(AND(R344="Yes",D344&lt;&gt;"",COUNTIFS($C$2:$C$3000,D344,$R$2:$R$3000,"Yes")&gt;1),"Reference counted twice",IF(COUNTIF(Lists!$A$2:$A$7,I344)=0,"Unknown status","")))))</f>
        <v/>
      </c>
    </row>
    <row r="345" customFormat="false" ht="15" hidden="false" customHeight="false" outlineLevel="0" collapsed="false">
      <c r="AT345" s="29" t="str">
        <f aca="false">IF(A345="","",IF(COUNTIF(Parcels!$A$2:$A$3000,B345)=0,"Parcel not found",IF(COUNTIF($A$2:$A$3000,A345)&gt;1,"Duplicate perm_id",IF(AND(R345="Yes",D345&lt;&gt;"",COUNTIFS($C$2:$C$3000,D345,$R$2:$R$3000,"Yes")&gt;1),"Reference counted twice",IF(COUNTIF(Lists!$A$2:$A$7,I345)=0,"Unknown status","")))))</f>
        <v/>
      </c>
    </row>
    <row r="346" customFormat="false" ht="15" hidden="false" customHeight="false" outlineLevel="0" collapsed="false">
      <c r="AT346" s="29" t="str">
        <f aca="false">IF(A346="","",IF(COUNTIF(Parcels!$A$2:$A$3000,B346)=0,"Parcel not found",IF(COUNTIF($A$2:$A$3000,A346)&gt;1,"Duplicate perm_id",IF(AND(R346="Yes",D346&lt;&gt;"",COUNTIFS($C$2:$C$3000,D346,$R$2:$R$3000,"Yes")&gt;1),"Reference counted twice",IF(COUNTIF(Lists!$A$2:$A$7,I346)=0,"Unknown status","")))))</f>
        <v/>
      </c>
    </row>
    <row r="347" customFormat="false" ht="15" hidden="false" customHeight="false" outlineLevel="0" collapsed="false">
      <c r="AT347" s="29" t="str">
        <f aca="false">IF(A347="","",IF(COUNTIF(Parcels!$A$2:$A$3000,B347)=0,"Parcel not found",IF(COUNTIF($A$2:$A$3000,A347)&gt;1,"Duplicate perm_id",IF(AND(R347="Yes",D347&lt;&gt;"",COUNTIFS($C$2:$C$3000,D347,$R$2:$R$3000,"Yes")&gt;1),"Reference counted twice",IF(COUNTIF(Lists!$A$2:$A$7,I347)=0,"Unknown status","")))))</f>
        <v/>
      </c>
    </row>
    <row r="348" customFormat="false" ht="15" hidden="false" customHeight="false" outlineLevel="0" collapsed="false">
      <c r="AT348" s="29" t="str">
        <f aca="false">IF(A348="","",IF(COUNTIF(Parcels!$A$2:$A$3000,B348)=0,"Parcel not found",IF(COUNTIF($A$2:$A$3000,A348)&gt;1,"Duplicate perm_id",IF(AND(R348="Yes",D348&lt;&gt;"",COUNTIFS($C$2:$C$3000,D348,$R$2:$R$3000,"Yes")&gt;1),"Reference counted twice",IF(COUNTIF(Lists!$A$2:$A$7,I348)=0,"Unknown status","")))))</f>
        <v/>
      </c>
    </row>
    <row r="349" customFormat="false" ht="15" hidden="false" customHeight="false" outlineLevel="0" collapsed="false">
      <c r="AT349" s="29" t="str">
        <f aca="false">IF(A349="","",IF(COUNTIF(Parcels!$A$2:$A$3000,B349)=0,"Parcel not found",IF(COUNTIF($A$2:$A$3000,A349)&gt;1,"Duplicate perm_id",IF(AND(R349="Yes",D349&lt;&gt;"",COUNTIFS($C$2:$C$3000,D349,$R$2:$R$3000,"Yes")&gt;1),"Reference counted twice",IF(COUNTIF(Lists!$A$2:$A$7,I349)=0,"Unknown status","")))))</f>
        <v/>
      </c>
    </row>
    <row r="350" customFormat="false" ht="15" hidden="false" customHeight="false" outlineLevel="0" collapsed="false">
      <c r="AT350" s="29" t="str">
        <f aca="false">IF(A350="","",IF(COUNTIF(Parcels!$A$2:$A$3000,B350)=0,"Parcel not found",IF(COUNTIF($A$2:$A$3000,A350)&gt;1,"Duplicate perm_id",IF(AND(R350="Yes",D350&lt;&gt;"",COUNTIFS($C$2:$C$3000,D350,$R$2:$R$3000,"Yes")&gt;1),"Reference counted twice",IF(COUNTIF(Lists!$A$2:$A$7,I350)=0,"Unknown status","")))))</f>
        <v/>
      </c>
    </row>
    <row r="351" customFormat="false" ht="15" hidden="false" customHeight="false" outlineLevel="0" collapsed="false">
      <c r="AT351" s="29" t="str">
        <f aca="false">IF(A351="","",IF(COUNTIF(Parcels!$A$2:$A$3000,B351)=0,"Parcel not found",IF(COUNTIF($A$2:$A$3000,A351)&gt;1,"Duplicate perm_id",IF(AND(R351="Yes",D351&lt;&gt;"",COUNTIFS($C$2:$C$3000,D351,$R$2:$R$3000,"Yes")&gt;1),"Reference counted twice",IF(COUNTIF(Lists!$A$2:$A$7,I351)=0,"Unknown status","")))))</f>
        <v/>
      </c>
    </row>
    <row r="352" customFormat="false" ht="15" hidden="false" customHeight="false" outlineLevel="0" collapsed="false">
      <c r="AT352" s="29" t="str">
        <f aca="false">IF(A352="","",IF(COUNTIF(Parcels!$A$2:$A$3000,B352)=0,"Parcel not found",IF(COUNTIF($A$2:$A$3000,A352)&gt;1,"Duplicate perm_id",IF(AND(R352="Yes",D352&lt;&gt;"",COUNTIFS($C$2:$C$3000,D352,$R$2:$R$3000,"Yes")&gt;1),"Reference counted twice",IF(COUNTIF(Lists!$A$2:$A$7,I352)=0,"Unknown status","")))))</f>
        <v/>
      </c>
    </row>
    <row r="353" customFormat="false" ht="15" hidden="false" customHeight="false" outlineLevel="0" collapsed="false">
      <c r="AT353" s="29" t="str">
        <f aca="false">IF(A353="","",IF(COUNTIF(Parcels!$A$2:$A$3000,B353)=0,"Parcel not found",IF(COUNTIF($A$2:$A$3000,A353)&gt;1,"Duplicate perm_id",IF(AND(R353="Yes",D353&lt;&gt;"",COUNTIFS($C$2:$C$3000,D353,$R$2:$R$3000,"Yes")&gt;1),"Reference counted twice",IF(COUNTIF(Lists!$A$2:$A$7,I353)=0,"Unknown status","")))))</f>
        <v/>
      </c>
    </row>
    <row r="354" customFormat="false" ht="15" hidden="false" customHeight="false" outlineLevel="0" collapsed="false">
      <c r="AT354" s="29" t="str">
        <f aca="false">IF(A354="","",IF(COUNTIF(Parcels!$A$2:$A$3000,B354)=0,"Parcel not found",IF(COUNTIF($A$2:$A$3000,A354)&gt;1,"Duplicate perm_id",IF(AND(R354="Yes",D354&lt;&gt;"",COUNTIFS($C$2:$C$3000,D354,$R$2:$R$3000,"Yes")&gt;1),"Reference counted twice",IF(COUNTIF(Lists!$A$2:$A$7,I354)=0,"Unknown status","")))))</f>
        <v/>
      </c>
    </row>
    <row r="355" customFormat="false" ht="15" hidden="false" customHeight="false" outlineLevel="0" collapsed="false">
      <c r="AT355" s="29" t="str">
        <f aca="false">IF(A355="","",IF(COUNTIF(Parcels!$A$2:$A$3000,B355)=0,"Parcel not found",IF(COUNTIF($A$2:$A$3000,A355)&gt;1,"Duplicate perm_id",IF(AND(R355="Yes",D355&lt;&gt;"",COUNTIFS($C$2:$C$3000,D355,$R$2:$R$3000,"Yes")&gt;1),"Reference counted twice",IF(COUNTIF(Lists!$A$2:$A$7,I355)=0,"Unknown status","")))))</f>
        <v/>
      </c>
    </row>
    <row r="356" customFormat="false" ht="15" hidden="false" customHeight="false" outlineLevel="0" collapsed="false">
      <c r="AT356" s="29" t="str">
        <f aca="false">IF(A356="","",IF(COUNTIF(Parcels!$A$2:$A$3000,B356)=0,"Parcel not found",IF(COUNTIF($A$2:$A$3000,A356)&gt;1,"Duplicate perm_id",IF(AND(R356="Yes",D356&lt;&gt;"",COUNTIFS($C$2:$C$3000,D356,$R$2:$R$3000,"Yes")&gt;1),"Reference counted twice",IF(COUNTIF(Lists!$A$2:$A$7,I356)=0,"Unknown status","")))))</f>
        <v/>
      </c>
    </row>
    <row r="357" customFormat="false" ht="15" hidden="false" customHeight="false" outlineLevel="0" collapsed="false">
      <c r="AT357" s="29" t="str">
        <f aca="false">IF(A357="","",IF(COUNTIF(Parcels!$A$2:$A$3000,B357)=0,"Parcel not found",IF(COUNTIF($A$2:$A$3000,A357)&gt;1,"Duplicate perm_id",IF(AND(R357="Yes",D357&lt;&gt;"",COUNTIFS($C$2:$C$3000,D357,$R$2:$R$3000,"Yes")&gt;1),"Reference counted twice",IF(COUNTIF(Lists!$A$2:$A$7,I357)=0,"Unknown status","")))))</f>
        <v/>
      </c>
    </row>
    <row r="358" customFormat="false" ht="15" hidden="false" customHeight="false" outlineLevel="0" collapsed="false">
      <c r="AT358" s="29" t="str">
        <f aca="false">IF(A358="","",IF(COUNTIF(Parcels!$A$2:$A$3000,B358)=0,"Parcel not found",IF(COUNTIF($A$2:$A$3000,A358)&gt;1,"Duplicate perm_id",IF(AND(R358="Yes",D358&lt;&gt;"",COUNTIFS($C$2:$C$3000,D358,$R$2:$R$3000,"Yes")&gt;1),"Reference counted twice",IF(COUNTIF(Lists!$A$2:$A$7,I358)=0,"Unknown status","")))))</f>
        <v/>
      </c>
    </row>
    <row r="359" customFormat="false" ht="15" hidden="false" customHeight="false" outlineLevel="0" collapsed="false">
      <c r="AT359" s="29" t="str">
        <f aca="false">IF(A359="","",IF(COUNTIF(Parcels!$A$2:$A$3000,B359)=0,"Parcel not found",IF(COUNTIF($A$2:$A$3000,A359)&gt;1,"Duplicate perm_id",IF(AND(R359="Yes",D359&lt;&gt;"",COUNTIFS($C$2:$C$3000,D359,$R$2:$R$3000,"Yes")&gt;1),"Reference counted twice",IF(COUNTIF(Lists!$A$2:$A$7,I359)=0,"Unknown status","")))))</f>
        <v/>
      </c>
    </row>
    <row r="360" customFormat="false" ht="15" hidden="false" customHeight="false" outlineLevel="0" collapsed="false">
      <c r="AT360" s="29" t="str">
        <f aca="false">IF(A360="","",IF(COUNTIF(Parcels!$A$2:$A$3000,B360)=0,"Parcel not found",IF(COUNTIF($A$2:$A$3000,A360)&gt;1,"Duplicate perm_id",IF(AND(R360="Yes",D360&lt;&gt;"",COUNTIFS($C$2:$C$3000,D360,$R$2:$R$3000,"Yes")&gt;1),"Reference counted twice",IF(COUNTIF(Lists!$A$2:$A$7,I360)=0,"Unknown status","")))))</f>
        <v/>
      </c>
    </row>
    <row r="361" customFormat="false" ht="15" hidden="false" customHeight="false" outlineLevel="0" collapsed="false">
      <c r="AT361" s="29" t="str">
        <f aca="false">IF(A361="","",IF(COUNTIF(Parcels!$A$2:$A$3000,B361)=0,"Parcel not found",IF(COUNTIF($A$2:$A$3000,A361)&gt;1,"Duplicate perm_id",IF(AND(R361="Yes",D361&lt;&gt;"",COUNTIFS($C$2:$C$3000,D361,$R$2:$R$3000,"Yes")&gt;1),"Reference counted twice",IF(COUNTIF(Lists!$A$2:$A$7,I361)=0,"Unknown status","")))))</f>
        <v/>
      </c>
    </row>
    <row r="362" customFormat="false" ht="15" hidden="false" customHeight="false" outlineLevel="0" collapsed="false">
      <c r="AT362" s="29" t="str">
        <f aca="false">IF(A362="","",IF(COUNTIF(Parcels!$A$2:$A$3000,B362)=0,"Parcel not found",IF(COUNTIF($A$2:$A$3000,A362)&gt;1,"Duplicate perm_id",IF(AND(R362="Yes",D362&lt;&gt;"",COUNTIFS($C$2:$C$3000,D362,$R$2:$R$3000,"Yes")&gt;1),"Reference counted twice",IF(COUNTIF(Lists!$A$2:$A$7,I362)=0,"Unknown status","")))))</f>
        <v/>
      </c>
    </row>
    <row r="363" customFormat="false" ht="15" hidden="false" customHeight="false" outlineLevel="0" collapsed="false">
      <c r="AT363" s="29" t="str">
        <f aca="false">IF(A363="","",IF(COUNTIF(Parcels!$A$2:$A$3000,B363)=0,"Parcel not found",IF(COUNTIF($A$2:$A$3000,A363)&gt;1,"Duplicate perm_id",IF(AND(R363="Yes",D363&lt;&gt;"",COUNTIFS($C$2:$C$3000,D363,$R$2:$R$3000,"Yes")&gt;1),"Reference counted twice",IF(COUNTIF(Lists!$A$2:$A$7,I363)=0,"Unknown status","")))))</f>
        <v/>
      </c>
    </row>
    <row r="364" customFormat="false" ht="15" hidden="false" customHeight="false" outlineLevel="0" collapsed="false">
      <c r="AT364" s="29" t="str">
        <f aca="false">IF(A364="","",IF(COUNTIF(Parcels!$A$2:$A$3000,B364)=0,"Parcel not found",IF(COUNTIF($A$2:$A$3000,A364)&gt;1,"Duplicate perm_id",IF(AND(R364="Yes",D364&lt;&gt;"",COUNTIFS($C$2:$C$3000,D364,$R$2:$R$3000,"Yes")&gt;1),"Reference counted twice",IF(COUNTIF(Lists!$A$2:$A$7,I364)=0,"Unknown status","")))))</f>
        <v/>
      </c>
    </row>
    <row r="365" customFormat="false" ht="15" hidden="false" customHeight="false" outlineLevel="0" collapsed="false">
      <c r="AT365" s="29" t="str">
        <f aca="false">IF(A365="","",IF(COUNTIF(Parcels!$A$2:$A$3000,B365)=0,"Parcel not found",IF(COUNTIF($A$2:$A$3000,A365)&gt;1,"Duplicate perm_id",IF(AND(R365="Yes",D365&lt;&gt;"",COUNTIFS($C$2:$C$3000,D365,$R$2:$R$3000,"Yes")&gt;1),"Reference counted twice",IF(COUNTIF(Lists!$A$2:$A$7,I365)=0,"Unknown status","")))))</f>
        <v/>
      </c>
    </row>
    <row r="366" customFormat="false" ht="15" hidden="false" customHeight="false" outlineLevel="0" collapsed="false">
      <c r="AT366" s="29" t="str">
        <f aca="false">IF(A366="","",IF(COUNTIF(Parcels!$A$2:$A$3000,B366)=0,"Parcel not found",IF(COUNTIF($A$2:$A$3000,A366)&gt;1,"Duplicate perm_id",IF(AND(R366="Yes",D366&lt;&gt;"",COUNTIFS($C$2:$C$3000,D366,$R$2:$R$3000,"Yes")&gt;1),"Reference counted twice",IF(COUNTIF(Lists!$A$2:$A$7,I366)=0,"Unknown status","")))))</f>
        <v/>
      </c>
    </row>
    <row r="367" customFormat="false" ht="15" hidden="false" customHeight="false" outlineLevel="0" collapsed="false">
      <c r="AT367" s="29" t="str">
        <f aca="false">IF(A367="","",IF(COUNTIF(Parcels!$A$2:$A$3000,B367)=0,"Parcel not found",IF(COUNTIF($A$2:$A$3000,A367)&gt;1,"Duplicate perm_id",IF(AND(R367="Yes",D367&lt;&gt;"",COUNTIFS($C$2:$C$3000,D367,$R$2:$R$3000,"Yes")&gt;1),"Reference counted twice",IF(COUNTIF(Lists!$A$2:$A$7,I367)=0,"Unknown status","")))))</f>
        <v/>
      </c>
    </row>
    <row r="368" customFormat="false" ht="15" hidden="false" customHeight="false" outlineLevel="0" collapsed="false">
      <c r="AT368" s="29" t="str">
        <f aca="false">IF(A368="","",IF(COUNTIF(Parcels!$A$2:$A$3000,B368)=0,"Parcel not found",IF(COUNTIF($A$2:$A$3000,A368)&gt;1,"Duplicate perm_id",IF(AND(R368="Yes",D368&lt;&gt;"",COUNTIFS($C$2:$C$3000,D368,$R$2:$R$3000,"Yes")&gt;1),"Reference counted twice",IF(COUNTIF(Lists!$A$2:$A$7,I368)=0,"Unknown status","")))))</f>
        <v/>
      </c>
    </row>
    <row r="369" customFormat="false" ht="15" hidden="false" customHeight="false" outlineLevel="0" collapsed="false">
      <c r="AT369" s="29" t="str">
        <f aca="false">IF(A369="","",IF(COUNTIF(Parcels!$A$2:$A$3000,B369)=0,"Parcel not found",IF(COUNTIF($A$2:$A$3000,A369)&gt;1,"Duplicate perm_id",IF(AND(R369="Yes",D369&lt;&gt;"",COUNTIFS($C$2:$C$3000,D369,$R$2:$R$3000,"Yes")&gt;1),"Reference counted twice",IF(COUNTIF(Lists!$A$2:$A$7,I369)=0,"Unknown status","")))))</f>
        <v/>
      </c>
    </row>
    <row r="370" customFormat="false" ht="15" hidden="false" customHeight="false" outlineLevel="0" collapsed="false">
      <c r="AT370" s="29" t="str">
        <f aca="false">IF(A370="","",IF(COUNTIF(Parcels!$A$2:$A$3000,B370)=0,"Parcel not found",IF(COUNTIF($A$2:$A$3000,A370)&gt;1,"Duplicate perm_id",IF(AND(R370="Yes",D370&lt;&gt;"",COUNTIFS($C$2:$C$3000,D370,$R$2:$R$3000,"Yes")&gt;1),"Reference counted twice",IF(COUNTIF(Lists!$A$2:$A$7,I370)=0,"Unknown status","")))))</f>
        <v/>
      </c>
    </row>
    <row r="371" customFormat="false" ht="15" hidden="false" customHeight="false" outlineLevel="0" collapsed="false">
      <c r="AT371" s="29" t="str">
        <f aca="false">IF(A371="","",IF(COUNTIF(Parcels!$A$2:$A$3000,B371)=0,"Parcel not found",IF(COUNTIF($A$2:$A$3000,A371)&gt;1,"Duplicate perm_id",IF(AND(R371="Yes",D371&lt;&gt;"",COUNTIFS($C$2:$C$3000,D371,$R$2:$R$3000,"Yes")&gt;1),"Reference counted twice",IF(COUNTIF(Lists!$A$2:$A$7,I371)=0,"Unknown status","")))))</f>
        <v/>
      </c>
    </row>
    <row r="372" customFormat="false" ht="15" hidden="false" customHeight="false" outlineLevel="0" collapsed="false">
      <c r="AT372" s="29" t="str">
        <f aca="false">IF(A372="","",IF(COUNTIF(Parcels!$A$2:$A$3000,B372)=0,"Parcel not found",IF(COUNTIF($A$2:$A$3000,A372)&gt;1,"Duplicate perm_id",IF(AND(R372="Yes",D372&lt;&gt;"",COUNTIFS($C$2:$C$3000,D372,$R$2:$R$3000,"Yes")&gt;1),"Reference counted twice",IF(COUNTIF(Lists!$A$2:$A$7,I372)=0,"Unknown status","")))))</f>
        <v/>
      </c>
    </row>
    <row r="373" customFormat="false" ht="15" hidden="false" customHeight="false" outlineLevel="0" collapsed="false">
      <c r="AT373" s="29" t="str">
        <f aca="false">IF(A373="","",IF(COUNTIF(Parcels!$A$2:$A$3000,B373)=0,"Parcel not found",IF(COUNTIF($A$2:$A$3000,A373)&gt;1,"Duplicate perm_id",IF(AND(R373="Yes",D373&lt;&gt;"",COUNTIFS($C$2:$C$3000,D373,$R$2:$R$3000,"Yes")&gt;1),"Reference counted twice",IF(COUNTIF(Lists!$A$2:$A$7,I373)=0,"Unknown status","")))))</f>
        <v/>
      </c>
    </row>
    <row r="374" customFormat="false" ht="15" hidden="false" customHeight="false" outlineLevel="0" collapsed="false">
      <c r="AT374" s="29" t="str">
        <f aca="false">IF(A374="","",IF(COUNTIF(Parcels!$A$2:$A$3000,B374)=0,"Parcel not found",IF(COUNTIF($A$2:$A$3000,A374)&gt;1,"Duplicate perm_id",IF(AND(R374="Yes",D374&lt;&gt;"",COUNTIFS($C$2:$C$3000,D374,$R$2:$R$3000,"Yes")&gt;1),"Reference counted twice",IF(COUNTIF(Lists!$A$2:$A$7,I374)=0,"Unknown status","")))))</f>
        <v/>
      </c>
    </row>
    <row r="375" customFormat="false" ht="15" hidden="false" customHeight="false" outlineLevel="0" collapsed="false">
      <c r="AT375" s="29" t="str">
        <f aca="false">IF(A375="","",IF(COUNTIF(Parcels!$A$2:$A$3000,B375)=0,"Parcel not found",IF(COUNTIF($A$2:$A$3000,A375)&gt;1,"Duplicate perm_id",IF(AND(R375="Yes",D375&lt;&gt;"",COUNTIFS($C$2:$C$3000,D375,$R$2:$R$3000,"Yes")&gt;1),"Reference counted twice",IF(COUNTIF(Lists!$A$2:$A$7,I375)=0,"Unknown status","")))))</f>
        <v/>
      </c>
    </row>
    <row r="376" customFormat="false" ht="15" hidden="false" customHeight="false" outlineLevel="0" collapsed="false">
      <c r="AT376" s="29" t="str">
        <f aca="false">IF(A376="","",IF(COUNTIF(Parcels!$A$2:$A$3000,B376)=0,"Parcel not found",IF(COUNTIF($A$2:$A$3000,A376)&gt;1,"Duplicate perm_id",IF(AND(R376="Yes",D376&lt;&gt;"",COUNTIFS($C$2:$C$3000,D376,$R$2:$R$3000,"Yes")&gt;1),"Reference counted twice",IF(COUNTIF(Lists!$A$2:$A$7,I376)=0,"Unknown status","")))))</f>
        <v/>
      </c>
    </row>
    <row r="377" customFormat="false" ht="15" hidden="false" customHeight="false" outlineLevel="0" collapsed="false">
      <c r="AT377" s="29" t="str">
        <f aca="false">IF(A377="","",IF(COUNTIF(Parcels!$A$2:$A$3000,B377)=0,"Parcel not found",IF(COUNTIF($A$2:$A$3000,A377)&gt;1,"Duplicate perm_id",IF(AND(R377="Yes",D377&lt;&gt;"",COUNTIFS($C$2:$C$3000,D377,$R$2:$R$3000,"Yes")&gt;1),"Reference counted twice",IF(COUNTIF(Lists!$A$2:$A$7,I377)=0,"Unknown status","")))))</f>
        <v/>
      </c>
    </row>
    <row r="378" customFormat="false" ht="15" hidden="false" customHeight="false" outlineLevel="0" collapsed="false">
      <c r="AT378" s="29" t="str">
        <f aca="false">IF(A378="","",IF(COUNTIF(Parcels!$A$2:$A$3000,B378)=0,"Parcel not found",IF(COUNTIF($A$2:$A$3000,A378)&gt;1,"Duplicate perm_id",IF(AND(R378="Yes",D378&lt;&gt;"",COUNTIFS($C$2:$C$3000,D378,$R$2:$R$3000,"Yes")&gt;1),"Reference counted twice",IF(COUNTIF(Lists!$A$2:$A$7,I378)=0,"Unknown status","")))))</f>
        <v/>
      </c>
    </row>
    <row r="379" customFormat="false" ht="15" hidden="false" customHeight="false" outlineLevel="0" collapsed="false">
      <c r="AT379" s="29" t="str">
        <f aca="false">IF(A379="","",IF(COUNTIF(Parcels!$A$2:$A$3000,B379)=0,"Parcel not found",IF(COUNTIF($A$2:$A$3000,A379)&gt;1,"Duplicate perm_id",IF(AND(R379="Yes",D379&lt;&gt;"",COUNTIFS($C$2:$C$3000,D379,$R$2:$R$3000,"Yes")&gt;1),"Reference counted twice",IF(COUNTIF(Lists!$A$2:$A$7,I379)=0,"Unknown status","")))))</f>
        <v/>
      </c>
    </row>
    <row r="380" customFormat="false" ht="15" hidden="false" customHeight="false" outlineLevel="0" collapsed="false">
      <c r="AT380" s="29" t="str">
        <f aca="false">IF(A380="","",IF(COUNTIF(Parcels!$A$2:$A$3000,B380)=0,"Parcel not found",IF(COUNTIF($A$2:$A$3000,A380)&gt;1,"Duplicate perm_id",IF(AND(R380="Yes",D380&lt;&gt;"",COUNTIFS($C$2:$C$3000,D380,$R$2:$R$3000,"Yes")&gt;1),"Reference counted twice",IF(COUNTIF(Lists!$A$2:$A$7,I380)=0,"Unknown status","")))))</f>
        <v/>
      </c>
    </row>
    <row r="381" customFormat="false" ht="15" hidden="false" customHeight="false" outlineLevel="0" collapsed="false">
      <c r="AT381" s="29" t="str">
        <f aca="false">IF(A381="","",IF(COUNTIF(Parcels!$A$2:$A$3000,B381)=0,"Parcel not found",IF(COUNTIF($A$2:$A$3000,A381)&gt;1,"Duplicate perm_id",IF(AND(R381="Yes",D381&lt;&gt;"",COUNTIFS($C$2:$C$3000,D381,$R$2:$R$3000,"Yes")&gt;1),"Reference counted twice",IF(COUNTIF(Lists!$A$2:$A$7,I381)=0,"Unknown status","")))))</f>
        <v/>
      </c>
    </row>
    <row r="382" customFormat="false" ht="15" hidden="false" customHeight="false" outlineLevel="0" collapsed="false">
      <c r="AT382" s="29" t="str">
        <f aca="false">IF(A382="","",IF(COUNTIF(Parcels!$A$2:$A$3000,B382)=0,"Parcel not found",IF(COUNTIF($A$2:$A$3000,A382)&gt;1,"Duplicate perm_id",IF(AND(R382="Yes",D382&lt;&gt;"",COUNTIFS($C$2:$C$3000,D382,$R$2:$R$3000,"Yes")&gt;1),"Reference counted twice",IF(COUNTIF(Lists!$A$2:$A$7,I382)=0,"Unknown status","")))))</f>
        <v/>
      </c>
    </row>
    <row r="383" customFormat="false" ht="15" hidden="false" customHeight="false" outlineLevel="0" collapsed="false">
      <c r="AT383" s="29" t="str">
        <f aca="false">IF(A383="","",IF(COUNTIF(Parcels!$A$2:$A$3000,B383)=0,"Parcel not found",IF(COUNTIF($A$2:$A$3000,A383)&gt;1,"Duplicate perm_id",IF(AND(R383="Yes",D383&lt;&gt;"",COUNTIFS($C$2:$C$3000,D383,$R$2:$R$3000,"Yes")&gt;1),"Reference counted twice",IF(COUNTIF(Lists!$A$2:$A$7,I383)=0,"Unknown status","")))))</f>
        <v/>
      </c>
    </row>
    <row r="384" customFormat="false" ht="15" hidden="false" customHeight="false" outlineLevel="0" collapsed="false">
      <c r="AT384" s="29" t="str">
        <f aca="false">IF(A384="","",IF(COUNTIF(Parcels!$A$2:$A$3000,B384)=0,"Parcel not found",IF(COUNTIF($A$2:$A$3000,A384)&gt;1,"Duplicate perm_id",IF(AND(R384="Yes",D384&lt;&gt;"",COUNTIFS($C$2:$C$3000,D384,$R$2:$R$3000,"Yes")&gt;1),"Reference counted twice",IF(COUNTIF(Lists!$A$2:$A$7,I384)=0,"Unknown status","")))))</f>
        <v/>
      </c>
    </row>
    <row r="385" customFormat="false" ht="15" hidden="false" customHeight="false" outlineLevel="0" collapsed="false">
      <c r="AT385" s="29" t="str">
        <f aca="false">IF(A385="","",IF(COUNTIF(Parcels!$A$2:$A$3000,B385)=0,"Parcel not found",IF(COUNTIF($A$2:$A$3000,A385)&gt;1,"Duplicate perm_id",IF(AND(R385="Yes",D385&lt;&gt;"",COUNTIFS($C$2:$C$3000,D385,$R$2:$R$3000,"Yes")&gt;1),"Reference counted twice",IF(COUNTIF(Lists!$A$2:$A$7,I385)=0,"Unknown status","")))))</f>
        <v/>
      </c>
    </row>
    <row r="386" customFormat="false" ht="15" hidden="false" customHeight="false" outlineLevel="0" collapsed="false">
      <c r="AT386" s="29" t="str">
        <f aca="false">IF(A386="","",IF(COUNTIF(Parcels!$A$2:$A$3000,B386)=0,"Parcel not found",IF(COUNTIF($A$2:$A$3000,A386)&gt;1,"Duplicate perm_id",IF(AND(R386="Yes",D386&lt;&gt;"",COUNTIFS($C$2:$C$3000,D386,$R$2:$R$3000,"Yes")&gt;1),"Reference counted twice",IF(COUNTIF(Lists!$A$2:$A$7,I386)=0,"Unknown status","")))))</f>
        <v/>
      </c>
    </row>
    <row r="387" customFormat="false" ht="15" hidden="false" customHeight="false" outlineLevel="0" collapsed="false">
      <c r="AT387" s="29" t="str">
        <f aca="false">IF(A387="","",IF(COUNTIF(Parcels!$A$2:$A$3000,B387)=0,"Parcel not found",IF(COUNTIF($A$2:$A$3000,A387)&gt;1,"Duplicate perm_id",IF(AND(R387="Yes",D387&lt;&gt;"",COUNTIFS($C$2:$C$3000,D387,$R$2:$R$3000,"Yes")&gt;1),"Reference counted twice",IF(COUNTIF(Lists!$A$2:$A$7,I387)=0,"Unknown status","")))))</f>
        <v/>
      </c>
    </row>
    <row r="388" customFormat="false" ht="15" hidden="false" customHeight="false" outlineLevel="0" collapsed="false">
      <c r="AT388" s="29" t="str">
        <f aca="false">IF(A388="","",IF(COUNTIF(Parcels!$A$2:$A$3000,B388)=0,"Parcel not found",IF(COUNTIF($A$2:$A$3000,A388)&gt;1,"Duplicate perm_id",IF(AND(R388="Yes",D388&lt;&gt;"",COUNTIFS($C$2:$C$3000,D388,$R$2:$R$3000,"Yes")&gt;1),"Reference counted twice",IF(COUNTIF(Lists!$A$2:$A$7,I388)=0,"Unknown status","")))))</f>
        <v/>
      </c>
    </row>
    <row r="389" customFormat="false" ht="15" hidden="false" customHeight="false" outlineLevel="0" collapsed="false">
      <c r="AT389" s="29" t="str">
        <f aca="false">IF(A389="","",IF(COUNTIF(Parcels!$A$2:$A$3000,B389)=0,"Parcel not found",IF(COUNTIF($A$2:$A$3000,A389)&gt;1,"Duplicate perm_id",IF(AND(R389="Yes",D389&lt;&gt;"",COUNTIFS($C$2:$C$3000,D389,$R$2:$R$3000,"Yes")&gt;1),"Reference counted twice",IF(COUNTIF(Lists!$A$2:$A$7,I389)=0,"Unknown status","")))))</f>
        <v/>
      </c>
    </row>
    <row r="390" customFormat="false" ht="15" hidden="false" customHeight="false" outlineLevel="0" collapsed="false">
      <c r="AT390" s="29" t="str">
        <f aca="false">IF(A390="","",IF(COUNTIF(Parcels!$A$2:$A$3000,B390)=0,"Parcel not found",IF(COUNTIF($A$2:$A$3000,A390)&gt;1,"Duplicate perm_id",IF(AND(R390="Yes",D390&lt;&gt;"",COUNTIFS($C$2:$C$3000,D390,$R$2:$R$3000,"Yes")&gt;1),"Reference counted twice",IF(COUNTIF(Lists!$A$2:$A$7,I390)=0,"Unknown status","")))))</f>
        <v/>
      </c>
    </row>
    <row r="391" customFormat="false" ht="15" hidden="false" customHeight="false" outlineLevel="0" collapsed="false">
      <c r="AT391" s="29" t="str">
        <f aca="false">IF(A391="","",IF(COUNTIF(Parcels!$A$2:$A$3000,B391)=0,"Parcel not found",IF(COUNTIF($A$2:$A$3000,A391)&gt;1,"Duplicate perm_id",IF(AND(R391="Yes",D391&lt;&gt;"",COUNTIFS($C$2:$C$3000,D391,$R$2:$R$3000,"Yes")&gt;1),"Reference counted twice",IF(COUNTIF(Lists!$A$2:$A$7,I391)=0,"Unknown status","")))))</f>
        <v/>
      </c>
    </row>
    <row r="392" customFormat="false" ht="15" hidden="false" customHeight="false" outlineLevel="0" collapsed="false">
      <c r="AT392" s="29" t="str">
        <f aca="false">IF(A392="","",IF(COUNTIF(Parcels!$A$2:$A$3000,B392)=0,"Parcel not found",IF(COUNTIF($A$2:$A$3000,A392)&gt;1,"Duplicate perm_id",IF(AND(R392="Yes",D392&lt;&gt;"",COUNTIFS($C$2:$C$3000,D392,$R$2:$R$3000,"Yes")&gt;1),"Reference counted twice",IF(COUNTIF(Lists!$A$2:$A$7,I392)=0,"Unknown status","")))))</f>
        <v/>
      </c>
    </row>
    <row r="393" customFormat="false" ht="15" hidden="false" customHeight="false" outlineLevel="0" collapsed="false">
      <c r="AT393" s="29" t="str">
        <f aca="false">IF(A393="","",IF(COUNTIF(Parcels!$A$2:$A$3000,B393)=0,"Parcel not found",IF(COUNTIF($A$2:$A$3000,A393)&gt;1,"Duplicate perm_id",IF(AND(R393="Yes",D393&lt;&gt;"",COUNTIFS($C$2:$C$3000,D393,$R$2:$R$3000,"Yes")&gt;1),"Reference counted twice",IF(COUNTIF(Lists!$A$2:$A$7,I393)=0,"Unknown status","")))))</f>
        <v/>
      </c>
    </row>
    <row r="394" customFormat="false" ht="15" hidden="false" customHeight="false" outlineLevel="0" collapsed="false">
      <c r="AT394" s="29" t="str">
        <f aca="false">IF(A394="","",IF(COUNTIF(Parcels!$A$2:$A$3000,B394)=0,"Parcel not found",IF(COUNTIF($A$2:$A$3000,A394)&gt;1,"Duplicate perm_id",IF(AND(R394="Yes",D394&lt;&gt;"",COUNTIFS($C$2:$C$3000,D394,$R$2:$R$3000,"Yes")&gt;1),"Reference counted twice",IF(COUNTIF(Lists!$A$2:$A$7,I394)=0,"Unknown status","")))))</f>
        <v/>
      </c>
    </row>
    <row r="395" customFormat="false" ht="15" hidden="false" customHeight="false" outlineLevel="0" collapsed="false">
      <c r="AT395" s="29" t="str">
        <f aca="false">IF(A395="","",IF(COUNTIF(Parcels!$A$2:$A$3000,B395)=0,"Parcel not found",IF(COUNTIF($A$2:$A$3000,A395)&gt;1,"Duplicate perm_id",IF(AND(R395="Yes",D395&lt;&gt;"",COUNTIFS($C$2:$C$3000,D395,$R$2:$R$3000,"Yes")&gt;1),"Reference counted twice",IF(COUNTIF(Lists!$A$2:$A$7,I395)=0,"Unknown status","")))))</f>
        <v/>
      </c>
    </row>
    <row r="396" customFormat="false" ht="15" hidden="false" customHeight="false" outlineLevel="0" collapsed="false">
      <c r="AT396" s="29" t="str">
        <f aca="false">IF(A396="","",IF(COUNTIF(Parcels!$A$2:$A$3000,B396)=0,"Parcel not found",IF(COUNTIF($A$2:$A$3000,A396)&gt;1,"Duplicate perm_id",IF(AND(R396="Yes",D396&lt;&gt;"",COUNTIFS($C$2:$C$3000,D396,$R$2:$R$3000,"Yes")&gt;1),"Reference counted twice",IF(COUNTIF(Lists!$A$2:$A$7,I396)=0,"Unknown status","")))))</f>
        <v/>
      </c>
    </row>
    <row r="397" customFormat="false" ht="15" hidden="false" customHeight="false" outlineLevel="0" collapsed="false">
      <c r="AT397" s="29" t="str">
        <f aca="false">IF(A397="","",IF(COUNTIF(Parcels!$A$2:$A$3000,B397)=0,"Parcel not found",IF(COUNTIF($A$2:$A$3000,A397)&gt;1,"Duplicate perm_id",IF(AND(R397="Yes",D397&lt;&gt;"",COUNTIFS($C$2:$C$3000,D397,$R$2:$R$3000,"Yes")&gt;1),"Reference counted twice",IF(COUNTIF(Lists!$A$2:$A$7,I397)=0,"Unknown status","")))))</f>
        <v/>
      </c>
    </row>
    <row r="398" customFormat="false" ht="15" hidden="false" customHeight="false" outlineLevel="0" collapsed="false">
      <c r="AT398" s="29" t="str">
        <f aca="false">IF(A398="","",IF(COUNTIF(Parcels!$A$2:$A$3000,B398)=0,"Parcel not found",IF(COUNTIF($A$2:$A$3000,A398)&gt;1,"Duplicate perm_id",IF(AND(R398="Yes",D398&lt;&gt;"",COUNTIFS($C$2:$C$3000,D398,$R$2:$R$3000,"Yes")&gt;1),"Reference counted twice",IF(COUNTIF(Lists!$A$2:$A$7,I398)=0,"Unknown status","")))))</f>
        <v/>
      </c>
    </row>
    <row r="399" customFormat="false" ht="15" hidden="false" customHeight="false" outlineLevel="0" collapsed="false">
      <c r="AT399" s="29" t="str">
        <f aca="false">IF(A399="","",IF(COUNTIF(Parcels!$A$2:$A$3000,B399)=0,"Parcel not found",IF(COUNTIF($A$2:$A$3000,A399)&gt;1,"Duplicate perm_id",IF(AND(R399="Yes",D399&lt;&gt;"",COUNTIFS($C$2:$C$3000,D399,$R$2:$R$3000,"Yes")&gt;1),"Reference counted twice",IF(COUNTIF(Lists!$A$2:$A$7,I399)=0,"Unknown status","")))))</f>
        <v/>
      </c>
    </row>
    <row r="400" customFormat="false" ht="15" hidden="false" customHeight="false" outlineLevel="0" collapsed="false">
      <c r="AT400" s="29" t="str">
        <f aca="false">IF(A400="","",IF(COUNTIF(Parcels!$A$2:$A$3000,B400)=0,"Parcel not found",IF(COUNTIF($A$2:$A$3000,A400)&gt;1,"Duplicate perm_id",IF(AND(R400="Yes",D400&lt;&gt;"",COUNTIFS($C$2:$C$3000,D400,$R$2:$R$3000,"Yes")&gt;1),"Reference counted twice",IF(COUNTIF(Lists!$A$2:$A$7,I400)=0,"Unknown status","")))))</f>
        <v/>
      </c>
    </row>
    <row r="401" customFormat="false" ht="15" hidden="false" customHeight="false" outlineLevel="0" collapsed="false">
      <c r="AT401" s="29" t="str">
        <f aca="false">IF(A401="","",IF(COUNTIF(Parcels!$A$2:$A$3000,B401)=0,"Parcel not found",IF(COUNTIF($A$2:$A$3000,A401)&gt;1,"Duplicate perm_id",IF(AND(R401="Yes",D401&lt;&gt;"",COUNTIFS($C$2:$C$3000,D401,$R$2:$R$3000,"Yes")&gt;1),"Reference counted twice",IF(COUNTIF(Lists!$A$2:$A$7,I401)=0,"Unknown status","")))))</f>
        <v/>
      </c>
    </row>
    <row r="402" customFormat="false" ht="15" hidden="false" customHeight="false" outlineLevel="0" collapsed="false">
      <c r="AT402" s="29" t="str">
        <f aca="false">IF(A402="","",IF(COUNTIF(Parcels!$A$2:$A$3000,B402)=0,"Parcel not found",IF(COUNTIF($A$2:$A$3000,A402)&gt;1,"Duplicate perm_id",IF(AND(R402="Yes",D402&lt;&gt;"",COUNTIFS($C$2:$C$3000,D402,$R$2:$R$3000,"Yes")&gt;1),"Reference counted twice",IF(COUNTIF(Lists!$A$2:$A$7,I402)=0,"Unknown status","")))))</f>
        <v/>
      </c>
    </row>
    <row r="403" customFormat="false" ht="15" hidden="false" customHeight="false" outlineLevel="0" collapsed="false">
      <c r="AT403" s="29" t="str">
        <f aca="false">IF(A403="","",IF(COUNTIF(Parcels!$A$2:$A$3000,B403)=0,"Parcel not found",IF(COUNTIF($A$2:$A$3000,A403)&gt;1,"Duplicate perm_id",IF(AND(R403="Yes",D403&lt;&gt;"",COUNTIFS($C$2:$C$3000,D403,$R$2:$R$3000,"Yes")&gt;1),"Reference counted twice",IF(COUNTIF(Lists!$A$2:$A$7,I403)=0,"Unknown status","")))))</f>
        <v/>
      </c>
    </row>
    <row r="404" customFormat="false" ht="15" hidden="false" customHeight="false" outlineLevel="0" collapsed="false">
      <c r="AT404" s="29" t="str">
        <f aca="false">IF(A404="","",IF(COUNTIF(Parcels!$A$2:$A$3000,B404)=0,"Parcel not found",IF(COUNTIF($A$2:$A$3000,A404)&gt;1,"Duplicate perm_id",IF(AND(R404="Yes",D404&lt;&gt;"",COUNTIFS($C$2:$C$3000,D404,$R$2:$R$3000,"Yes")&gt;1),"Reference counted twice",IF(COUNTIF(Lists!$A$2:$A$7,I404)=0,"Unknown status","")))))</f>
        <v/>
      </c>
    </row>
    <row r="405" customFormat="false" ht="15" hidden="false" customHeight="false" outlineLevel="0" collapsed="false">
      <c r="AT405" s="29" t="str">
        <f aca="false">IF(A405="","",IF(COUNTIF(Parcels!$A$2:$A$3000,B405)=0,"Parcel not found",IF(COUNTIF($A$2:$A$3000,A405)&gt;1,"Duplicate perm_id",IF(AND(R405="Yes",D405&lt;&gt;"",COUNTIFS($C$2:$C$3000,D405,$R$2:$R$3000,"Yes")&gt;1),"Reference counted twice",IF(COUNTIF(Lists!$A$2:$A$7,I405)=0,"Unknown status","")))))</f>
        <v/>
      </c>
    </row>
    <row r="406" customFormat="false" ht="15" hidden="false" customHeight="false" outlineLevel="0" collapsed="false">
      <c r="AT406" s="29" t="str">
        <f aca="false">IF(A406="","",IF(COUNTIF(Parcels!$A$2:$A$3000,B406)=0,"Parcel not found",IF(COUNTIF($A$2:$A$3000,A406)&gt;1,"Duplicate perm_id",IF(AND(R406="Yes",D406&lt;&gt;"",COUNTIFS($C$2:$C$3000,D406,$R$2:$R$3000,"Yes")&gt;1),"Reference counted twice",IF(COUNTIF(Lists!$A$2:$A$7,I406)=0,"Unknown status","")))))</f>
        <v/>
      </c>
    </row>
    <row r="407" customFormat="false" ht="15" hidden="false" customHeight="false" outlineLevel="0" collapsed="false">
      <c r="AT407" s="29" t="str">
        <f aca="false">IF(A407="","",IF(COUNTIF(Parcels!$A$2:$A$3000,B407)=0,"Parcel not found",IF(COUNTIF($A$2:$A$3000,A407)&gt;1,"Duplicate perm_id",IF(AND(R407="Yes",D407&lt;&gt;"",COUNTIFS($C$2:$C$3000,D407,$R$2:$R$3000,"Yes")&gt;1),"Reference counted twice",IF(COUNTIF(Lists!$A$2:$A$7,I407)=0,"Unknown status","")))))</f>
        <v/>
      </c>
    </row>
    <row r="408" customFormat="false" ht="15" hidden="false" customHeight="false" outlineLevel="0" collapsed="false">
      <c r="AT408" s="29" t="str">
        <f aca="false">IF(A408="","",IF(COUNTIF(Parcels!$A$2:$A$3000,B408)=0,"Parcel not found",IF(COUNTIF($A$2:$A$3000,A408)&gt;1,"Duplicate perm_id",IF(AND(R408="Yes",D408&lt;&gt;"",COUNTIFS($C$2:$C$3000,D408,$R$2:$R$3000,"Yes")&gt;1),"Reference counted twice",IF(COUNTIF(Lists!$A$2:$A$7,I408)=0,"Unknown status","")))))</f>
        <v/>
      </c>
    </row>
    <row r="409" customFormat="false" ht="15" hidden="false" customHeight="false" outlineLevel="0" collapsed="false">
      <c r="AT409" s="29" t="str">
        <f aca="false">IF(A409="","",IF(COUNTIF(Parcels!$A$2:$A$3000,B409)=0,"Parcel not found",IF(COUNTIF($A$2:$A$3000,A409)&gt;1,"Duplicate perm_id",IF(AND(R409="Yes",D409&lt;&gt;"",COUNTIFS($C$2:$C$3000,D409,$R$2:$R$3000,"Yes")&gt;1),"Reference counted twice",IF(COUNTIF(Lists!$A$2:$A$7,I409)=0,"Unknown status","")))))</f>
        <v/>
      </c>
    </row>
    <row r="410" customFormat="false" ht="15" hidden="false" customHeight="false" outlineLevel="0" collapsed="false">
      <c r="AT410" s="29" t="str">
        <f aca="false">IF(A410="","",IF(COUNTIF(Parcels!$A$2:$A$3000,B410)=0,"Parcel not found",IF(COUNTIF($A$2:$A$3000,A410)&gt;1,"Duplicate perm_id",IF(AND(R410="Yes",D410&lt;&gt;"",COUNTIFS($C$2:$C$3000,D410,$R$2:$R$3000,"Yes")&gt;1),"Reference counted twice",IF(COUNTIF(Lists!$A$2:$A$7,I410)=0,"Unknown status","")))))</f>
        <v/>
      </c>
    </row>
    <row r="411" customFormat="false" ht="15" hidden="false" customHeight="false" outlineLevel="0" collapsed="false">
      <c r="AT411" s="29" t="str">
        <f aca="false">IF(A411="","",IF(COUNTIF(Parcels!$A$2:$A$3000,B411)=0,"Parcel not found",IF(COUNTIF($A$2:$A$3000,A411)&gt;1,"Duplicate perm_id",IF(AND(R411="Yes",D411&lt;&gt;"",COUNTIFS($C$2:$C$3000,D411,$R$2:$R$3000,"Yes")&gt;1),"Reference counted twice",IF(COUNTIF(Lists!$A$2:$A$7,I411)=0,"Unknown status","")))))</f>
        <v/>
      </c>
    </row>
    <row r="412" customFormat="false" ht="15" hidden="false" customHeight="false" outlineLevel="0" collapsed="false">
      <c r="AT412" s="29" t="str">
        <f aca="false">IF(A412="","",IF(COUNTIF(Parcels!$A$2:$A$3000,B412)=0,"Parcel not found",IF(COUNTIF($A$2:$A$3000,A412)&gt;1,"Duplicate perm_id",IF(AND(R412="Yes",D412&lt;&gt;"",COUNTIFS($C$2:$C$3000,D412,$R$2:$R$3000,"Yes")&gt;1),"Reference counted twice",IF(COUNTIF(Lists!$A$2:$A$7,I412)=0,"Unknown status","")))))</f>
        <v/>
      </c>
    </row>
    <row r="413" customFormat="false" ht="15" hidden="false" customHeight="false" outlineLevel="0" collapsed="false">
      <c r="AT413" s="29" t="str">
        <f aca="false">IF(A413="","",IF(COUNTIF(Parcels!$A$2:$A$3000,B413)=0,"Parcel not found",IF(COUNTIF($A$2:$A$3000,A413)&gt;1,"Duplicate perm_id",IF(AND(R413="Yes",D413&lt;&gt;"",COUNTIFS($C$2:$C$3000,D413,$R$2:$R$3000,"Yes")&gt;1),"Reference counted twice",IF(COUNTIF(Lists!$A$2:$A$7,I413)=0,"Unknown status","")))))</f>
        <v/>
      </c>
    </row>
    <row r="414" customFormat="false" ht="15" hidden="false" customHeight="false" outlineLevel="0" collapsed="false">
      <c r="AT414" s="29" t="str">
        <f aca="false">IF(A414="","",IF(COUNTIF(Parcels!$A$2:$A$3000,B414)=0,"Parcel not found",IF(COUNTIF($A$2:$A$3000,A414)&gt;1,"Duplicate perm_id",IF(AND(R414="Yes",D414&lt;&gt;"",COUNTIFS($C$2:$C$3000,D414,$R$2:$R$3000,"Yes")&gt;1),"Reference counted twice",IF(COUNTIF(Lists!$A$2:$A$7,I414)=0,"Unknown status","")))))</f>
        <v/>
      </c>
    </row>
    <row r="415" customFormat="false" ht="15" hidden="false" customHeight="false" outlineLevel="0" collapsed="false">
      <c r="AT415" s="29" t="str">
        <f aca="false">IF(A415="","",IF(COUNTIF(Parcels!$A$2:$A$3000,B415)=0,"Parcel not found",IF(COUNTIF($A$2:$A$3000,A415)&gt;1,"Duplicate perm_id",IF(AND(R415="Yes",D415&lt;&gt;"",COUNTIFS($C$2:$C$3000,D415,$R$2:$R$3000,"Yes")&gt;1),"Reference counted twice",IF(COUNTIF(Lists!$A$2:$A$7,I415)=0,"Unknown status","")))))</f>
        <v/>
      </c>
    </row>
    <row r="416" customFormat="false" ht="15" hidden="false" customHeight="false" outlineLevel="0" collapsed="false">
      <c r="AT416" s="29" t="str">
        <f aca="false">IF(A416="","",IF(COUNTIF(Parcels!$A$2:$A$3000,B416)=0,"Parcel not found",IF(COUNTIF($A$2:$A$3000,A416)&gt;1,"Duplicate perm_id",IF(AND(R416="Yes",D416&lt;&gt;"",COUNTIFS($C$2:$C$3000,D416,$R$2:$R$3000,"Yes")&gt;1),"Reference counted twice",IF(COUNTIF(Lists!$A$2:$A$7,I416)=0,"Unknown status","")))))</f>
        <v/>
      </c>
    </row>
    <row r="417" customFormat="false" ht="15" hidden="false" customHeight="false" outlineLevel="0" collapsed="false">
      <c r="AT417" s="29" t="str">
        <f aca="false">IF(A417="","",IF(COUNTIF(Parcels!$A$2:$A$3000,B417)=0,"Parcel not found",IF(COUNTIF($A$2:$A$3000,A417)&gt;1,"Duplicate perm_id",IF(AND(R417="Yes",D417&lt;&gt;"",COUNTIFS($C$2:$C$3000,D417,$R$2:$R$3000,"Yes")&gt;1),"Reference counted twice",IF(COUNTIF(Lists!$A$2:$A$7,I417)=0,"Unknown status","")))))</f>
        <v/>
      </c>
    </row>
    <row r="418" customFormat="false" ht="15" hidden="false" customHeight="false" outlineLevel="0" collapsed="false">
      <c r="AT418" s="29" t="str">
        <f aca="false">IF(A418="","",IF(COUNTIF(Parcels!$A$2:$A$3000,B418)=0,"Parcel not found",IF(COUNTIF($A$2:$A$3000,A418)&gt;1,"Duplicate perm_id",IF(AND(R418="Yes",D418&lt;&gt;"",COUNTIFS($C$2:$C$3000,D418,$R$2:$R$3000,"Yes")&gt;1),"Reference counted twice",IF(COUNTIF(Lists!$A$2:$A$7,I418)=0,"Unknown status","")))))</f>
        <v/>
      </c>
    </row>
    <row r="419" customFormat="false" ht="15" hidden="false" customHeight="false" outlineLevel="0" collapsed="false">
      <c r="AT419" s="29" t="str">
        <f aca="false">IF(A419="","",IF(COUNTIF(Parcels!$A$2:$A$3000,B419)=0,"Parcel not found",IF(COUNTIF($A$2:$A$3000,A419)&gt;1,"Duplicate perm_id",IF(AND(R419="Yes",D419&lt;&gt;"",COUNTIFS($C$2:$C$3000,D419,$R$2:$R$3000,"Yes")&gt;1),"Reference counted twice",IF(COUNTIF(Lists!$A$2:$A$7,I419)=0,"Unknown status","")))))</f>
        <v/>
      </c>
    </row>
    <row r="420" customFormat="false" ht="15" hidden="false" customHeight="false" outlineLevel="0" collapsed="false">
      <c r="AT420" s="29" t="str">
        <f aca="false">IF(A420="","",IF(COUNTIF(Parcels!$A$2:$A$3000,B420)=0,"Parcel not found",IF(COUNTIF($A$2:$A$3000,A420)&gt;1,"Duplicate perm_id",IF(AND(R420="Yes",D420&lt;&gt;"",COUNTIFS($C$2:$C$3000,D420,$R$2:$R$3000,"Yes")&gt;1),"Reference counted twice",IF(COUNTIF(Lists!$A$2:$A$7,I420)=0,"Unknown status","")))))</f>
        <v/>
      </c>
    </row>
    <row r="421" customFormat="false" ht="15" hidden="false" customHeight="false" outlineLevel="0" collapsed="false">
      <c r="AT421" s="29" t="str">
        <f aca="false">IF(A421="","",IF(COUNTIF(Parcels!$A$2:$A$3000,B421)=0,"Parcel not found",IF(COUNTIF($A$2:$A$3000,A421)&gt;1,"Duplicate perm_id",IF(AND(R421="Yes",D421&lt;&gt;"",COUNTIFS($C$2:$C$3000,D421,$R$2:$R$3000,"Yes")&gt;1),"Reference counted twice",IF(COUNTIF(Lists!$A$2:$A$7,I421)=0,"Unknown status","")))))</f>
        <v/>
      </c>
    </row>
    <row r="422" customFormat="false" ht="15" hidden="false" customHeight="false" outlineLevel="0" collapsed="false">
      <c r="AT422" s="29" t="str">
        <f aca="false">IF(A422="","",IF(COUNTIF(Parcels!$A$2:$A$3000,B422)=0,"Parcel not found",IF(COUNTIF($A$2:$A$3000,A422)&gt;1,"Duplicate perm_id",IF(AND(R422="Yes",D422&lt;&gt;"",COUNTIFS($C$2:$C$3000,D422,$R$2:$R$3000,"Yes")&gt;1),"Reference counted twice",IF(COUNTIF(Lists!$A$2:$A$7,I422)=0,"Unknown status","")))))</f>
        <v/>
      </c>
    </row>
    <row r="423" customFormat="false" ht="15" hidden="false" customHeight="false" outlineLevel="0" collapsed="false">
      <c r="AT423" s="29" t="str">
        <f aca="false">IF(A423="","",IF(COUNTIF(Parcels!$A$2:$A$3000,B423)=0,"Parcel not found",IF(COUNTIF($A$2:$A$3000,A423)&gt;1,"Duplicate perm_id",IF(AND(R423="Yes",D423&lt;&gt;"",COUNTIFS($C$2:$C$3000,D423,$R$2:$R$3000,"Yes")&gt;1),"Reference counted twice",IF(COUNTIF(Lists!$A$2:$A$7,I423)=0,"Unknown status","")))))</f>
        <v/>
      </c>
    </row>
    <row r="424" customFormat="false" ht="15" hidden="false" customHeight="false" outlineLevel="0" collapsed="false">
      <c r="AT424" s="29" t="str">
        <f aca="false">IF(A424="","",IF(COUNTIF(Parcels!$A$2:$A$3000,B424)=0,"Parcel not found",IF(COUNTIF($A$2:$A$3000,A424)&gt;1,"Duplicate perm_id",IF(AND(R424="Yes",D424&lt;&gt;"",COUNTIFS($C$2:$C$3000,D424,$R$2:$R$3000,"Yes")&gt;1),"Reference counted twice",IF(COUNTIF(Lists!$A$2:$A$7,I424)=0,"Unknown status","")))))</f>
        <v/>
      </c>
    </row>
    <row r="425" customFormat="false" ht="15" hidden="false" customHeight="false" outlineLevel="0" collapsed="false">
      <c r="AT425" s="29" t="str">
        <f aca="false">IF(A425="","",IF(COUNTIF(Parcels!$A$2:$A$3000,B425)=0,"Parcel not found",IF(COUNTIF($A$2:$A$3000,A425)&gt;1,"Duplicate perm_id",IF(AND(R425="Yes",D425&lt;&gt;"",COUNTIFS($C$2:$C$3000,D425,$R$2:$R$3000,"Yes")&gt;1),"Reference counted twice",IF(COUNTIF(Lists!$A$2:$A$7,I425)=0,"Unknown status","")))))</f>
        <v/>
      </c>
    </row>
    <row r="426" customFormat="false" ht="15" hidden="false" customHeight="false" outlineLevel="0" collapsed="false">
      <c r="AT426" s="29" t="str">
        <f aca="false">IF(A426="","",IF(COUNTIF(Parcels!$A$2:$A$3000,B426)=0,"Parcel not found",IF(COUNTIF($A$2:$A$3000,A426)&gt;1,"Duplicate perm_id",IF(AND(R426="Yes",D426&lt;&gt;"",COUNTIFS($C$2:$C$3000,D426,$R$2:$R$3000,"Yes")&gt;1),"Reference counted twice",IF(COUNTIF(Lists!$A$2:$A$7,I426)=0,"Unknown status","")))))</f>
        <v/>
      </c>
    </row>
    <row r="427" customFormat="false" ht="15" hidden="false" customHeight="false" outlineLevel="0" collapsed="false">
      <c r="AT427" s="29" t="str">
        <f aca="false">IF(A427="","",IF(COUNTIF(Parcels!$A$2:$A$3000,B427)=0,"Parcel not found",IF(COUNTIF($A$2:$A$3000,A427)&gt;1,"Duplicate perm_id",IF(AND(R427="Yes",D427&lt;&gt;"",COUNTIFS($C$2:$C$3000,D427,$R$2:$R$3000,"Yes")&gt;1),"Reference counted twice",IF(COUNTIF(Lists!$A$2:$A$7,I427)=0,"Unknown status","")))))</f>
        <v/>
      </c>
    </row>
    <row r="428" customFormat="false" ht="15" hidden="false" customHeight="false" outlineLevel="0" collapsed="false">
      <c r="AT428" s="29" t="str">
        <f aca="false">IF(A428="","",IF(COUNTIF(Parcels!$A$2:$A$3000,B428)=0,"Parcel not found",IF(COUNTIF($A$2:$A$3000,A428)&gt;1,"Duplicate perm_id",IF(AND(R428="Yes",D428&lt;&gt;"",COUNTIFS($C$2:$C$3000,D428,$R$2:$R$3000,"Yes")&gt;1),"Reference counted twice",IF(COUNTIF(Lists!$A$2:$A$7,I428)=0,"Unknown status","")))))</f>
        <v/>
      </c>
    </row>
    <row r="429" customFormat="false" ht="15" hidden="false" customHeight="false" outlineLevel="0" collapsed="false">
      <c r="AT429" s="29" t="str">
        <f aca="false">IF(A429="","",IF(COUNTIF(Parcels!$A$2:$A$3000,B429)=0,"Parcel not found",IF(COUNTIF($A$2:$A$3000,A429)&gt;1,"Duplicate perm_id",IF(AND(R429="Yes",D429&lt;&gt;"",COUNTIFS($C$2:$C$3000,D429,$R$2:$R$3000,"Yes")&gt;1),"Reference counted twice",IF(COUNTIF(Lists!$A$2:$A$7,I429)=0,"Unknown status","")))))</f>
        <v/>
      </c>
    </row>
    <row r="430" customFormat="false" ht="15" hidden="false" customHeight="false" outlineLevel="0" collapsed="false">
      <c r="AT430" s="29" t="str">
        <f aca="false">IF(A430="","",IF(COUNTIF(Parcels!$A$2:$A$3000,B430)=0,"Parcel not found",IF(COUNTIF($A$2:$A$3000,A430)&gt;1,"Duplicate perm_id",IF(AND(R430="Yes",D430&lt;&gt;"",COUNTIFS($C$2:$C$3000,D430,$R$2:$R$3000,"Yes")&gt;1),"Reference counted twice",IF(COUNTIF(Lists!$A$2:$A$7,I430)=0,"Unknown status","")))))</f>
        <v/>
      </c>
    </row>
    <row r="431" customFormat="false" ht="15" hidden="false" customHeight="false" outlineLevel="0" collapsed="false">
      <c r="AT431" s="29" t="str">
        <f aca="false">IF(A431="","",IF(COUNTIF(Parcels!$A$2:$A$3000,B431)=0,"Parcel not found",IF(COUNTIF($A$2:$A$3000,A431)&gt;1,"Duplicate perm_id",IF(AND(R431="Yes",D431&lt;&gt;"",COUNTIFS($C$2:$C$3000,D431,$R$2:$R$3000,"Yes")&gt;1),"Reference counted twice",IF(COUNTIF(Lists!$A$2:$A$7,I431)=0,"Unknown status","")))))</f>
        <v/>
      </c>
    </row>
    <row r="432" customFormat="false" ht="15" hidden="false" customHeight="false" outlineLevel="0" collapsed="false">
      <c r="AT432" s="29" t="str">
        <f aca="false">IF(A432="","",IF(COUNTIF(Parcels!$A$2:$A$3000,B432)=0,"Parcel not found",IF(COUNTIF($A$2:$A$3000,A432)&gt;1,"Duplicate perm_id",IF(AND(R432="Yes",D432&lt;&gt;"",COUNTIFS($C$2:$C$3000,D432,$R$2:$R$3000,"Yes")&gt;1),"Reference counted twice",IF(COUNTIF(Lists!$A$2:$A$7,I432)=0,"Unknown status","")))))</f>
        <v/>
      </c>
    </row>
    <row r="433" customFormat="false" ht="15" hidden="false" customHeight="false" outlineLevel="0" collapsed="false">
      <c r="AT433" s="29" t="str">
        <f aca="false">IF(A433="","",IF(COUNTIF(Parcels!$A$2:$A$3000,B433)=0,"Parcel not found",IF(COUNTIF($A$2:$A$3000,A433)&gt;1,"Duplicate perm_id",IF(AND(R433="Yes",D433&lt;&gt;"",COUNTIFS($C$2:$C$3000,D433,$R$2:$R$3000,"Yes")&gt;1),"Reference counted twice",IF(COUNTIF(Lists!$A$2:$A$7,I433)=0,"Unknown status","")))))</f>
        <v/>
      </c>
    </row>
    <row r="434" customFormat="false" ht="15" hidden="false" customHeight="false" outlineLevel="0" collapsed="false">
      <c r="AT434" s="29" t="str">
        <f aca="false">IF(A434="","",IF(COUNTIF(Parcels!$A$2:$A$3000,B434)=0,"Parcel not found",IF(COUNTIF($A$2:$A$3000,A434)&gt;1,"Duplicate perm_id",IF(AND(R434="Yes",D434&lt;&gt;"",COUNTIFS($C$2:$C$3000,D434,$R$2:$R$3000,"Yes")&gt;1),"Reference counted twice",IF(COUNTIF(Lists!$A$2:$A$7,I434)=0,"Unknown status","")))))</f>
        <v/>
      </c>
    </row>
    <row r="435" customFormat="false" ht="15" hidden="false" customHeight="false" outlineLevel="0" collapsed="false">
      <c r="AT435" s="29" t="str">
        <f aca="false">IF(A435="","",IF(COUNTIF(Parcels!$A$2:$A$3000,B435)=0,"Parcel not found",IF(COUNTIF($A$2:$A$3000,A435)&gt;1,"Duplicate perm_id",IF(AND(R435="Yes",D435&lt;&gt;"",COUNTIFS($C$2:$C$3000,D435,$R$2:$R$3000,"Yes")&gt;1),"Reference counted twice",IF(COUNTIF(Lists!$A$2:$A$7,I435)=0,"Unknown status","")))))</f>
        <v/>
      </c>
    </row>
    <row r="436" customFormat="false" ht="15" hidden="false" customHeight="false" outlineLevel="0" collapsed="false">
      <c r="AT436" s="29" t="str">
        <f aca="false">IF(A436="","",IF(COUNTIF(Parcels!$A$2:$A$3000,B436)=0,"Parcel not found",IF(COUNTIF($A$2:$A$3000,A436)&gt;1,"Duplicate perm_id",IF(AND(R436="Yes",D436&lt;&gt;"",COUNTIFS($C$2:$C$3000,D436,$R$2:$R$3000,"Yes")&gt;1),"Reference counted twice",IF(COUNTIF(Lists!$A$2:$A$7,I436)=0,"Unknown status","")))))</f>
        <v/>
      </c>
    </row>
    <row r="437" customFormat="false" ht="15" hidden="false" customHeight="false" outlineLevel="0" collapsed="false">
      <c r="AT437" s="29" t="str">
        <f aca="false">IF(A437="","",IF(COUNTIF(Parcels!$A$2:$A$3000,B437)=0,"Parcel not found",IF(COUNTIF($A$2:$A$3000,A437)&gt;1,"Duplicate perm_id",IF(AND(R437="Yes",D437&lt;&gt;"",COUNTIFS($C$2:$C$3000,D437,$R$2:$R$3000,"Yes")&gt;1),"Reference counted twice",IF(COUNTIF(Lists!$A$2:$A$7,I437)=0,"Unknown status","")))))</f>
        <v/>
      </c>
    </row>
    <row r="438" customFormat="false" ht="15" hidden="false" customHeight="false" outlineLevel="0" collapsed="false">
      <c r="AT438" s="29" t="str">
        <f aca="false">IF(A438="","",IF(COUNTIF(Parcels!$A$2:$A$3000,B438)=0,"Parcel not found",IF(COUNTIF($A$2:$A$3000,A438)&gt;1,"Duplicate perm_id",IF(AND(R438="Yes",D438&lt;&gt;"",COUNTIFS($C$2:$C$3000,D438,$R$2:$R$3000,"Yes")&gt;1),"Reference counted twice",IF(COUNTIF(Lists!$A$2:$A$7,I438)=0,"Unknown status","")))))</f>
        <v/>
      </c>
    </row>
    <row r="439" customFormat="false" ht="15" hidden="false" customHeight="false" outlineLevel="0" collapsed="false">
      <c r="AT439" s="29" t="str">
        <f aca="false">IF(A439="","",IF(COUNTIF(Parcels!$A$2:$A$3000,B439)=0,"Parcel not found",IF(COUNTIF($A$2:$A$3000,A439)&gt;1,"Duplicate perm_id",IF(AND(R439="Yes",D439&lt;&gt;"",COUNTIFS($C$2:$C$3000,D439,$R$2:$R$3000,"Yes")&gt;1),"Reference counted twice",IF(COUNTIF(Lists!$A$2:$A$7,I439)=0,"Unknown status","")))))</f>
        <v/>
      </c>
    </row>
    <row r="440" customFormat="false" ht="15" hidden="false" customHeight="false" outlineLevel="0" collapsed="false">
      <c r="AT440" s="29" t="str">
        <f aca="false">IF(A440="","",IF(COUNTIF(Parcels!$A$2:$A$3000,B440)=0,"Parcel not found",IF(COUNTIF($A$2:$A$3000,A440)&gt;1,"Duplicate perm_id",IF(AND(R440="Yes",D440&lt;&gt;"",COUNTIFS($C$2:$C$3000,D440,$R$2:$R$3000,"Yes")&gt;1),"Reference counted twice",IF(COUNTIF(Lists!$A$2:$A$7,I440)=0,"Unknown status","")))))</f>
        <v/>
      </c>
    </row>
    <row r="441" customFormat="false" ht="15" hidden="false" customHeight="false" outlineLevel="0" collapsed="false">
      <c r="AT441" s="29" t="str">
        <f aca="false">IF(A441="","",IF(COUNTIF(Parcels!$A$2:$A$3000,B441)=0,"Parcel not found",IF(COUNTIF($A$2:$A$3000,A441)&gt;1,"Duplicate perm_id",IF(AND(R441="Yes",D441&lt;&gt;"",COUNTIFS($C$2:$C$3000,D441,$R$2:$R$3000,"Yes")&gt;1),"Reference counted twice",IF(COUNTIF(Lists!$A$2:$A$7,I441)=0,"Unknown status","")))))</f>
        <v/>
      </c>
    </row>
    <row r="442" customFormat="false" ht="15" hidden="false" customHeight="false" outlineLevel="0" collapsed="false">
      <c r="AT442" s="29" t="str">
        <f aca="false">IF(A442="","",IF(COUNTIF(Parcels!$A$2:$A$3000,B442)=0,"Parcel not found",IF(COUNTIF($A$2:$A$3000,A442)&gt;1,"Duplicate perm_id",IF(AND(R442="Yes",D442&lt;&gt;"",COUNTIFS($C$2:$C$3000,D442,$R$2:$R$3000,"Yes")&gt;1),"Reference counted twice",IF(COUNTIF(Lists!$A$2:$A$7,I442)=0,"Unknown status","")))))</f>
        <v/>
      </c>
    </row>
    <row r="443" customFormat="false" ht="15" hidden="false" customHeight="false" outlineLevel="0" collapsed="false">
      <c r="AT443" s="29" t="str">
        <f aca="false">IF(A443="","",IF(COUNTIF(Parcels!$A$2:$A$3000,B443)=0,"Parcel not found",IF(COUNTIF($A$2:$A$3000,A443)&gt;1,"Duplicate perm_id",IF(AND(R443="Yes",D443&lt;&gt;"",COUNTIFS($C$2:$C$3000,D443,$R$2:$R$3000,"Yes")&gt;1),"Reference counted twice",IF(COUNTIF(Lists!$A$2:$A$7,I443)=0,"Unknown status","")))))</f>
        <v/>
      </c>
    </row>
    <row r="444" customFormat="false" ht="15" hidden="false" customHeight="false" outlineLevel="0" collapsed="false">
      <c r="AT444" s="29" t="str">
        <f aca="false">IF(A444="","",IF(COUNTIF(Parcels!$A$2:$A$3000,B444)=0,"Parcel not found",IF(COUNTIF($A$2:$A$3000,A444)&gt;1,"Duplicate perm_id",IF(AND(R444="Yes",D444&lt;&gt;"",COUNTIFS($C$2:$C$3000,D444,$R$2:$R$3000,"Yes")&gt;1),"Reference counted twice",IF(COUNTIF(Lists!$A$2:$A$7,I444)=0,"Unknown status","")))))</f>
        <v/>
      </c>
    </row>
    <row r="445" customFormat="false" ht="15" hidden="false" customHeight="false" outlineLevel="0" collapsed="false">
      <c r="AT445" s="29" t="str">
        <f aca="false">IF(A445="","",IF(COUNTIF(Parcels!$A$2:$A$3000,B445)=0,"Parcel not found",IF(COUNTIF($A$2:$A$3000,A445)&gt;1,"Duplicate perm_id",IF(AND(R445="Yes",D445&lt;&gt;"",COUNTIFS($C$2:$C$3000,D445,$R$2:$R$3000,"Yes")&gt;1),"Reference counted twice",IF(COUNTIF(Lists!$A$2:$A$7,I445)=0,"Unknown status","")))))</f>
        <v/>
      </c>
    </row>
    <row r="446" customFormat="false" ht="15" hidden="false" customHeight="false" outlineLevel="0" collapsed="false">
      <c r="AT446" s="29" t="str">
        <f aca="false">IF(A446="","",IF(COUNTIF(Parcels!$A$2:$A$3000,B446)=0,"Parcel not found",IF(COUNTIF($A$2:$A$3000,A446)&gt;1,"Duplicate perm_id",IF(AND(R446="Yes",D446&lt;&gt;"",COUNTIFS($C$2:$C$3000,D446,$R$2:$R$3000,"Yes")&gt;1),"Reference counted twice",IF(COUNTIF(Lists!$A$2:$A$7,I446)=0,"Unknown status","")))))</f>
        <v/>
      </c>
    </row>
    <row r="447" customFormat="false" ht="15" hidden="false" customHeight="false" outlineLevel="0" collapsed="false">
      <c r="AT447" s="29" t="str">
        <f aca="false">IF(A447="","",IF(COUNTIF(Parcels!$A$2:$A$3000,B447)=0,"Parcel not found",IF(COUNTIF($A$2:$A$3000,A447)&gt;1,"Duplicate perm_id",IF(AND(R447="Yes",D447&lt;&gt;"",COUNTIFS($C$2:$C$3000,D447,$R$2:$R$3000,"Yes")&gt;1),"Reference counted twice",IF(COUNTIF(Lists!$A$2:$A$7,I447)=0,"Unknown status","")))))</f>
        <v/>
      </c>
    </row>
    <row r="448" customFormat="false" ht="15" hidden="false" customHeight="false" outlineLevel="0" collapsed="false">
      <c r="AT448" s="29" t="str">
        <f aca="false">IF(A448="","",IF(COUNTIF(Parcels!$A$2:$A$3000,B448)=0,"Parcel not found",IF(COUNTIF($A$2:$A$3000,A448)&gt;1,"Duplicate perm_id",IF(AND(R448="Yes",D448&lt;&gt;"",COUNTIFS($C$2:$C$3000,D448,$R$2:$R$3000,"Yes")&gt;1),"Reference counted twice",IF(COUNTIF(Lists!$A$2:$A$7,I448)=0,"Unknown status","")))))</f>
        <v/>
      </c>
    </row>
    <row r="449" customFormat="false" ht="15" hidden="false" customHeight="false" outlineLevel="0" collapsed="false">
      <c r="AT449" s="29" t="str">
        <f aca="false">IF(A449="","",IF(COUNTIF(Parcels!$A$2:$A$3000,B449)=0,"Parcel not found",IF(COUNTIF($A$2:$A$3000,A449)&gt;1,"Duplicate perm_id",IF(AND(R449="Yes",D449&lt;&gt;"",COUNTIFS($C$2:$C$3000,D449,$R$2:$R$3000,"Yes")&gt;1),"Reference counted twice",IF(COUNTIF(Lists!$A$2:$A$7,I449)=0,"Unknown status","")))))</f>
        <v/>
      </c>
    </row>
    <row r="450" customFormat="false" ht="15" hidden="false" customHeight="false" outlineLevel="0" collapsed="false">
      <c r="AT450" s="29" t="str">
        <f aca="false">IF(A450="","",IF(COUNTIF(Parcels!$A$2:$A$3000,B450)=0,"Parcel not found",IF(COUNTIF($A$2:$A$3000,A450)&gt;1,"Duplicate perm_id",IF(AND(R450="Yes",D450&lt;&gt;"",COUNTIFS($C$2:$C$3000,D450,$R$2:$R$3000,"Yes")&gt;1),"Reference counted twice",IF(COUNTIF(Lists!$A$2:$A$7,I450)=0,"Unknown status","")))))</f>
        <v/>
      </c>
    </row>
    <row r="451" customFormat="false" ht="15" hidden="false" customHeight="false" outlineLevel="0" collapsed="false">
      <c r="AT451" s="29" t="str">
        <f aca="false">IF(A451="","",IF(COUNTIF(Parcels!$A$2:$A$3000,B451)=0,"Parcel not found",IF(COUNTIF($A$2:$A$3000,A451)&gt;1,"Duplicate perm_id",IF(AND(R451="Yes",D451&lt;&gt;"",COUNTIFS($C$2:$C$3000,D451,$R$2:$R$3000,"Yes")&gt;1),"Reference counted twice",IF(COUNTIF(Lists!$A$2:$A$7,I451)=0,"Unknown status","")))))</f>
        <v/>
      </c>
    </row>
    <row r="452" customFormat="false" ht="15" hidden="false" customHeight="false" outlineLevel="0" collapsed="false">
      <c r="AT452" s="29" t="str">
        <f aca="false">IF(A452="","",IF(COUNTIF(Parcels!$A$2:$A$3000,B452)=0,"Parcel not found",IF(COUNTIF($A$2:$A$3000,A452)&gt;1,"Duplicate perm_id",IF(AND(R452="Yes",D452&lt;&gt;"",COUNTIFS($C$2:$C$3000,D452,$R$2:$R$3000,"Yes")&gt;1),"Reference counted twice",IF(COUNTIF(Lists!$A$2:$A$7,I452)=0,"Unknown status","")))))</f>
        <v/>
      </c>
    </row>
    <row r="453" customFormat="false" ht="15" hidden="false" customHeight="false" outlineLevel="0" collapsed="false">
      <c r="AT453" s="29" t="str">
        <f aca="false">IF(A453="","",IF(COUNTIF(Parcels!$A$2:$A$3000,B453)=0,"Parcel not found",IF(COUNTIF($A$2:$A$3000,A453)&gt;1,"Duplicate perm_id",IF(AND(R453="Yes",D453&lt;&gt;"",COUNTIFS($C$2:$C$3000,D453,$R$2:$R$3000,"Yes")&gt;1),"Reference counted twice",IF(COUNTIF(Lists!$A$2:$A$7,I453)=0,"Unknown status","")))))</f>
        <v/>
      </c>
    </row>
    <row r="454" customFormat="false" ht="15" hidden="false" customHeight="false" outlineLevel="0" collapsed="false">
      <c r="AT454" s="29" t="str">
        <f aca="false">IF(A454="","",IF(COUNTIF(Parcels!$A$2:$A$3000,B454)=0,"Parcel not found",IF(COUNTIF($A$2:$A$3000,A454)&gt;1,"Duplicate perm_id",IF(AND(R454="Yes",D454&lt;&gt;"",COUNTIFS($C$2:$C$3000,D454,$R$2:$R$3000,"Yes")&gt;1),"Reference counted twice",IF(COUNTIF(Lists!$A$2:$A$7,I454)=0,"Unknown status","")))))</f>
        <v/>
      </c>
    </row>
    <row r="455" customFormat="false" ht="15" hidden="false" customHeight="false" outlineLevel="0" collapsed="false">
      <c r="AT455" s="29" t="str">
        <f aca="false">IF(A455="","",IF(COUNTIF(Parcels!$A$2:$A$3000,B455)=0,"Parcel not found",IF(COUNTIF($A$2:$A$3000,A455)&gt;1,"Duplicate perm_id",IF(AND(R455="Yes",D455&lt;&gt;"",COUNTIFS($C$2:$C$3000,D455,$R$2:$R$3000,"Yes")&gt;1),"Reference counted twice",IF(COUNTIF(Lists!$A$2:$A$7,I455)=0,"Unknown status","")))))</f>
        <v/>
      </c>
    </row>
    <row r="456" customFormat="false" ht="15" hidden="false" customHeight="false" outlineLevel="0" collapsed="false">
      <c r="AT456" s="29" t="str">
        <f aca="false">IF(A456="","",IF(COUNTIF(Parcels!$A$2:$A$3000,B456)=0,"Parcel not found",IF(COUNTIF($A$2:$A$3000,A456)&gt;1,"Duplicate perm_id",IF(AND(R456="Yes",D456&lt;&gt;"",COUNTIFS($C$2:$C$3000,D456,$R$2:$R$3000,"Yes")&gt;1),"Reference counted twice",IF(COUNTIF(Lists!$A$2:$A$7,I456)=0,"Unknown status","")))))</f>
        <v/>
      </c>
    </row>
    <row r="457" customFormat="false" ht="15" hidden="false" customHeight="false" outlineLevel="0" collapsed="false">
      <c r="AT457" s="29" t="str">
        <f aca="false">IF(A457="","",IF(COUNTIF(Parcels!$A$2:$A$3000,B457)=0,"Parcel not found",IF(COUNTIF($A$2:$A$3000,A457)&gt;1,"Duplicate perm_id",IF(AND(R457="Yes",D457&lt;&gt;"",COUNTIFS($C$2:$C$3000,D457,$R$2:$R$3000,"Yes")&gt;1),"Reference counted twice",IF(COUNTIF(Lists!$A$2:$A$7,I457)=0,"Unknown status","")))))</f>
        <v/>
      </c>
    </row>
    <row r="458" customFormat="false" ht="15" hidden="false" customHeight="false" outlineLevel="0" collapsed="false">
      <c r="AT458" s="29" t="str">
        <f aca="false">IF(A458="","",IF(COUNTIF(Parcels!$A$2:$A$3000,B458)=0,"Parcel not found",IF(COUNTIF($A$2:$A$3000,A458)&gt;1,"Duplicate perm_id",IF(AND(R458="Yes",D458&lt;&gt;"",COUNTIFS($C$2:$C$3000,D458,$R$2:$R$3000,"Yes")&gt;1),"Reference counted twice",IF(COUNTIF(Lists!$A$2:$A$7,I458)=0,"Unknown status","")))))</f>
        <v/>
      </c>
    </row>
    <row r="459" customFormat="false" ht="15" hidden="false" customHeight="false" outlineLevel="0" collapsed="false">
      <c r="AT459" s="29" t="str">
        <f aca="false">IF(A459="","",IF(COUNTIF(Parcels!$A$2:$A$3000,B459)=0,"Parcel not found",IF(COUNTIF($A$2:$A$3000,A459)&gt;1,"Duplicate perm_id",IF(AND(R459="Yes",D459&lt;&gt;"",COUNTIFS($C$2:$C$3000,D459,$R$2:$R$3000,"Yes")&gt;1),"Reference counted twice",IF(COUNTIF(Lists!$A$2:$A$7,I459)=0,"Unknown status","")))))</f>
        <v/>
      </c>
    </row>
    <row r="460" customFormat="false" ht="15" hidden="false" customHeight="false" outlineLevel="0" collapsed="false">
      <c r="AT460" s="29" t="str">
        <f aca="false">IF(A460="","",IF(COUNTIF(Parcels!$A$2:$A$3000,B460)=0,"Parcel not found",IF(COUNTIF($A$2:$A$3000,A460)&gt;1,"Duplicate perm_id",IF(AND(R460="Yes",D460&lt;&gt;"",COUNTIFS($C$2:$C$3000,D460,$R$2:$R$3000,"Yes")&gt;1),"Reference counted twice",IF(COUNTIF(Lists!$A$2:$A$7,I460)=0,"Unknown status","")))))</f>
        <v/>
      </c>
    </row>
    <row r="461" customFormat="false" ht="15" hidden="false" customHeight="false" outlineLevel="0" collapsed="false">
      <c r="AT461" s="29" t="str">
        <f aca="false">IF(A461="","",IF(COUNTIF(Parcels!$A$2:$A$3000,B461)=0,"Parcel not found",IF(COUNTIF($A$2:$A$3000,A461)&gt;1,"Duplicate perm_id",IF(AND(R461="Yes",D461&lt;&gt;"",COUNTIFS($C$2:$C$3000,D461,$R$2:$R$3000,"Yes")&gt;1),"Reference counted twice",IF(COUNTIF(Lists!$A$2:$A$7,I461)=0,"Unknown status","")))))</f>
        <v/>
      </c>
    </row>
    <row r="462" customFormat="false" ht="15" hidden="false" customHeight="false" outlineLevel="0" collapsed="false">
      <c r="AT462" s="29" t="str">
        <f aca="false">IF(A462="","",IF(COUNTIF(Parcels!$A$2:$A$3000,B462)=0,"Parcel not found",IF(COUNTIF($A$2:$A$3000,A462)&gt;1,"Duplicate perm_id",IF(AND(R462="Yes",D462&lt;&gt;"",COUNTIFS($C$2:$C$3000,D462,$R$2:$R$3000,"Yes")&gt;1),"Reference counted twice",IF(COUNTIF(Lists!$A$2:$A$7,I462)=0,"Unknown status","")))))</f>
        <v/>
      </c>
    </row>
    <row r="463" customFormat="false" ht="15" hidden="false" customHeight="false" outlineLevel="0" collapsed="false">
      <c r="AT463" s="29" t="str">
        <f aca="false">IF(A463="","",IF(COUNTIF(Parcels!$A$2:$A$3000,B463)=0,"Parcel not found",IF(COUNTIF($A$2:$A$3000,A463)&gt;1,"Duplicate perm_id",IF(AND(R463="Yes",D463&lt;&gt;"",COUNTIFS($C$2:$C$3000,D463,$R$2:$R$3000,"Yes")&gt;1),"Reference counted twice",IF(COUNTIF(Lists!$A$2:$A$7,I463)=0,"Unknown status","")))))</f>
        <v/>
      </c>
    </row>
  </sheetData>
  <autoFilter ref="A1:AT264"/>
  <conditionalFormatting sqref="AT2:AT3000">
    <cfRule type="expression" priority="2" aboveAverage="0" equalAverage="0" bottom="0" percent="0" rank="0" text="" dxfId="0">
      <formula>LEN(AT2)&gt;0</formula>
    </cfRule>
  </conditionalFormatting>
  <dataValidations count="3">
    <dataValidation allowBlank="true" error="Pick a value from the list." errorStyle="stop" errorTitle="Not in list" operator="between" showDropDown="false" showErrorMessage="true" showInputMessage="false" sqref="I2:I1463" type="list">
      <formula1>Lists!$A$2:$A$7</formula1>
      <formula2>0</formula2>
    </dataValidation>
    <dataValidation allowBlank="true" error="Pick a value from the list." errorStyle="stop" errorTitle="Not in list" operator="between" showDropDown="false" showErrorMessage="true" showInputMessage="false" sqref="R2:R1463" type="list">
      <formula1>Lists!$B$2:$B$3</formula1>
      <formula2>0</formula2>
    </dataValidation>
    <dataValidation allowBlank="true" error="Pick a value from the list." errorStyle="stop" errorTitle="Not in list" operator="between" showDropDown="false" showErrorMessage="true" showInputMessage="false" sqref="B2:B1463" type="list">
      <formula1>Parcels!$A$2:$A$3000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4" min="1" style="0" width="36"/>
  </cols>
  <sheetData>
    <row r="1" customFormat="false" ht="15" hidden="false" customHeight="false" outlineLevel="0" collapsed="false">
      <c r="A1" s="30" t="s">
        <v>975</v>
      </c>
      <c r="B1" s="30" t="s">
        <v>982</v>
      </c>
      <c r="C1" s="30" t="s">
        <v>102</v>
      </c>
      <c r="D1" s="30" t="s">
        <v>103</v>
      </c>
    </row>
    <row r="2" customFormat="false" ht="15" hidden="false" customHeight="false" outlineLevel="0" collapsed="false">
      <c r="A2" s="0" t="s">
        <v>47</v>
      </c>
      <c r="B2" s="0" t="s">
        <v>1010</v>
      </c>
      <c r="C2" s="0" t="s">
        <v>10</v>
      </c>
      <c r="D2" s="0" t="s">
        <v>16</v>
      </c>
    </row>
    <row r="3" customFormat="false" ht="15" hidden="false" customHeight="false" outlineLevel="0" collapsed="false">
      <c r="A3" s="0" t="s">
        <v>48</v>
      </c>
      <c r="B3" s="0" t="s">
        <v>2226</v>
      </c>
      <c r="C3" s="0" t="s">
        <v>11</v>
      </c>
      <c r="D3" s="0" t="s">
        <v>17</v>
      </c>
    </row>
    <row r="4" customFormat="false" ht="15" hidden="false" customHeight="false" outlineLevel="0" collapsed="false">
      <c r="A4" s="0" t="s">
        <v>1007</v>
      </c>
      <c r="C4" s="0" t="s">
        <v>12</v>
      </c>
    </row>
    <row r="5" customFormat="false" ht="15" hidden="false" customHeight="false" outlineLevel="0" collapsed="false">
      <c r="A5" s="0" t="s">
        <v>1118</v>
      </c>
      <c r="C5" s="0" t="s">
        <v>13</v>
      </c>
    </row>
    <row r="6" customFormat="false" ht="15" hidden="false" customHeight="false" outlineLevel="0" collapsed="false">
      <c r="A6" s="0" t="s">
        <v>1025</v>
      </c>
      <c r="C6" s="0" t="s">
        <v>345</v>
      </c>
    </row>
    <row r="7" customFormat="false" ht="15" hidden="false" customHeight="false" outlineLevel="0" collapsed="false">
      <c r="A7" s="0" t="s">
        <v>1046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40"/>
    <col collapsed="false" customWidth="true" hidden="false" outlineLevel="0" max="4" min="4" style="0" width="36"/>
    <col collapsed="false" customWidth="true" hidden="false" outlineLevel="0" max="5" min="5" style="0" width="8"/>
    <col collapsed="false" customWidth="true" hidden="false" outlineLevel="0" max="7" min="6" style="0" width="18"/>
    <col collapsed="false" customWidth="true" hidden="false" outlineLevel="0" max="9" min="8" style="0" width="10"/>
    <col collapsed="false" customWidth="true" hidden="false" outlineLevel="0" max="10" min="10" style="0" width="30"/>
  </cols>
  <sheetData>
    <row r="1" customFormat="false" ht="17.35" hidden="false" customHeight="false" outlineLevel="0" collapsed="false">
      <c r="A1" s="1" t="s">
        <v>2227</v>
      </c>
    </row>
    <row r="2" customFormat="false" ht="15" hidden="false" customHeight="false" outlineLevel="0" collapsed="false">
      <c r="A2" s="2" t="s">
        <v>2228</v>
      </c>
    </row>
    <row r="4" customFormat="false" ht="15" hidden="false" customHeight="false" outlineLevel="0" collapsed="false">
      <c r="A4" s="3" t="s">
        <v>2229</v>
      </c>
    </row>
    <row r="5" customFormat="false" ht="42" hidden="false" customHeight="true" outlineLevel="0" collapsed="false">
      <c r="A5" s="14" t="s">
        <v>969</v>
      </c>
      <c r="B5" s="14" t="s">
        <v>101</v>
      </c>
      <c r="C5" s="14" t="s">
        <v>970</v>
      </c>
      <c r="D5" s="14" t="s">
        <v>972</v>
      </c>
      <c r="E5" s="14" t="s">
        <v>973</v>
      </c>
      <c r="F5" s="14" t="s">
        <v>977</v>
      </c>
      <c r="G5" s="14" t="s">
        <v>975</v>
      </c>
      <c r="H5" s="14" t="s">
        <v>153</v>
      </c>
      <c r="I5" s="14" t="s">
        <v>979</v>
      </c>
      <c r="J5" s="14" t="s">
        <v>980</v>
      </c>
    </row>
    <row r="6" customFormat="false" ht="15" hidden="false" customHeight="false" outlineLevel="0" collapsed="false">
      <c r="A6" s="15" t="s">
        <v>1607</v>
      </c>
      <c r="B6" s="15" t="s">
        <v>507</v>
      </c>
      <c r="C6" s="15" t="s">
        <v>1608</v>
      </c>
      <c r="D6" s="15" t="s">
        <v>508</v>
      </c>
      <c r="E6" s="15" t="n">
        <v>62</v>
      </c>
      <c r="F6" s="15" t="s">
        <v>48</v>
      </c>
      <c r="G6" s="15" t="s">
        <v>47</v>
      </c>
      <c r="H6" s="15" t="n">
        <v>62</v>
      </c>
      <c r="I6" s="15" t="n">
        <v>0</v>
      </c>
      <c r="J6" s="15" t="s">
        <v>1342</v>
      </c>
    </row>
    <row r="7" customFormat="false" ht="15" hidden="false" customHeight="false" outlineLevel="0" collapsed="false">
      <c r="A7" s="15" t="s">
        <v>2158</v>
      </c>
      <c r="B7" s="15" t="s">
        <v>525</v>
      </c>
      <c r="C7" s="15" t="s">
        <v>2159</v>
      </c>
      <c r="D7" s="15" t="s">
        <v>2160</v>
      </c>
      <c r="E7" s="15" t="n">
        <v>54</v>
      </c>
      <c r="F7" s="15" t="s">
        <v>48</v>
      </c>
      <c r="G7" s="15" t="s">
        <v>47</v>
      </c>
      <c r="H7" s="15" t="n">
        <v>54</v>
      </c>
      <c r="I7" s="15" t="n">
        <v>0</v>
      </c>
      <c r="J7" s="15" t="s">
        <v>1342</v>
      </c>
    </row>
    <row r="8" customFormat="false" ht="15" hidden="false" customHeight="false" outlineLevel="0" collapsed="false">
      <c r="A8" s="15" t="s">
        <v>1519</v>
      </c>
      <c r="B8" s="15" t="s">
        <v>688</v>
      </c>
      <c r="C8" s="15" t="s">
        <v>1520</v>
      </c>
      <c r="D8" s="15" t="s">
        <v>689</v>
      </c>
      <c r="E8" s="15" t="n">
        <v>51</v>
      </c>
      <c r="F8" s="15" t="s">
        <v>48</v>
      </c>
      <c r="G8" s="15" t="s">
        <v>47</v>
      </c>
      <c r="H8" s="15" t="n">
        <v>51</v>
      </c>
      <c r="I8" s="15" t="n">
        <v>0</v>
      </c>
      <c r="J8" s="15" t="s">
        <v>1342</v>
      </c>
    </row>
    <row r="9" customFormat="false" ht="15" hidden="false" customHeight="false" outlineLevel="0" collapsed="false">
      <c r="A9" s="15" t="s">
        <v>1385</v>
      </c>
      <c r="B9" s="15" t="s">
        <v>670</v>
      </c>
      <c r="C9" s="15" t="s">
        <v>1386</v>
      </c>
      <c r="D9" s="15" t="s">
        <v>1387</v>
      </c>
      <c r="E9" s="15" t="n">
        <v>49</v>
      </c>
      <c r="F9" s="15" t="s">
        <v>48</v>
      </c>
      <c r="G9" s="15" t="s">
        <v>47</v>
      </c>
      <c r="H9" s="15" t="n">
        <v>48</v>
      </c>
      <c r="I9" s="15" t="n">
        <v>0</v>
      </c>
      <c r="J9" s="15" t="s">
        <v>1342</v>
      </c>
    </row>
    <row r="10" customFormat="false" ht="15" hidden="false" customHeight="false" outlineLevel="0" collapsed="false">
      <c r="A10" s="15" t="s">
        <v>1556</v>
      </c>
      <c r="B10" s="15" t="s">
        <v>473</v>
      </c>
      <c r="C10" s="15" t="s">
        <v>1557</v>
      </c>
      <c r="D10" s="15" t="s">
        <v>474</v>
      </c>
      <c r="E10" s="15" t="n">
        <v>27</v>
      </c>
      <c r="F10" s="15" t="s">
        <v>48</v>
      </c>
      <c r="G10" s="15" t="s">
        <v>47</v>
      </c>
      <c r="H10" s="15" t="n">
        <v>27</v>
      </c>
      <c r="I10" s="15" t="n">
        <v>0</v>
      </c>
      <c r="J10" s="15" t="s">
        <v>1342</v>
      </c>
    </row>
    <row r="11" customFormat="false" ht="15" hidden="false" customHeight="false" outlineLevel="0" collapsed="false">
      <c r="A11" s="15" t="s">
        <v>2173</v>
      </c>
      <c r="B11" s="15" t="s">
        <v>525</v>
      </c>
      <c r="C11" s="15" t="s">
        <v>2174</v>
      </c>
      <c r="D11" s="15" t="s">
        <v>2175</v>
      </c>
      <c r="E11" s="15" t="n">
        <v>23</v>
      </c>
      <c r="F11" s="15" t="s">
        <v>48</v>
      </c>
      <c r="G11" s="15" t="s">
        <v>47</v>
      </c>
      <c r="H11" s="15" t="n">
        <v>23</v>
      </c>
      <c r="I11" s="15" t="n">
        <v>0</v>
      </c>
      <c r="J11" s="15" t="s">
        <v>1342</v>
      </c>
    </row>
    <row r="12" customFormat="false" ht="15" hidden="false" customHeight="false" outlineLevel="0" collapsed="false">
      <c r="A12" s="15" t="s">
        <v>1351</v>
      </c>
      <c r="B12" s="15" t="s">
        <v>668</v>
      </c>
      <c r="C12" s="15" t="s">
        <v>1352</v>
      </c>
      <c r="D12" s="15" t="s">
        <v>669</v>
      </c>
      <c r="E12" s="15" t="n">
        <v>16</v>
      </c>
      <c r="F12" s="15" t="s">
        <v>48</v>
      </c>
      <c r="G12" s="15" t="s">
        <v>47</v>
      </c>
      <c r="H12" s="15" t="n">
        <v>16</v>
      </c>
      <c r="I12" s="15" t="n">
        <v>0</v>
      </c>
      <c r="J12" s="15" t="s">
        <v>1342</v>
      </c>
    </row>
    <row r="13" customFormat="false" ht="15" hidden="false" customHeight="false" outlineLevel="0" collapsed="false">
      <c r="A13" s="15" t="s">
        <v>1360</v>
      </c>
      <c r="B13" s="15" t="s">
        <v>527</v>
      </c>
      <c r="C13" s="15" t="s">
        <v>1361</v>
      </c>
      <c r="D13" s="15" t="s">
        <v>528</v>
      </c>
      <c r="E13" s="15" t="n">
        <v>13</v>
      </c>
      <c r="F13" s="15" t="s">
        <v>48</v>
      </c>
      <c r="G13" s="15" t="s">
        <v>47</v>
      </c>
      <c r="H13" s="15" t="n">
        <v>13</v>
      </c>
      <c r="I13" s="15" t="n">
        <v>0</v>
      </c>
      <c r="J13" s="15" t="s">
        <v>1342</v>
      </c>
    </row>
    <row r="14" customFormat="false" ht="15" hidden="false" customHeight="false" outlineLevel="0" collapsed="false">
      <c r="A14" s="15" t="s">
        <v>1546</v>
      </c>
      <c r="B14" s="15" t="s">
        <v>505</v>
      </c>
      <c r="C14" s="15" t="s">
        <v>1547</v>
      </c>
      <c r="D14" s="15" t="s">
        <v>506</v>
      </c>
      <c r="E14" s="15" t="n">
        <v>12</v>
      </c>
      <c r="F14" s="15" t="s">
        <v>1025</v>
      </c>
      <c r="G14" s="15" t="s">
        <v>47</v>
      </c>
      <c r="H14" s="15" t="n">
        <v>11</v>
      </c>
      <c r="I14" s="15" t="n">
        <v>0</v>
      </c>
      <c r="J14" s="15" t="s">
        <v>1342</v>
      </c>
    </row>
    <row r="15" customFormat="false" ht="15" hidden="false" customHeight="false" outlineLevel="0" collapsed="false">
      <c r="A15" s="15" t="s">
        <v>1770</v>
      </c>
      <c r="B15" s="15" t="s">
        <v>614</v>
      </c>
      <c r="C15" s="15" t="s">
        <v>1771</v>
      </c>
      <c r="D15" s="15" t="s">
        <v>615</v>
      </c>
      <c r="E15" s="15" t="n">
        <v>12</v>
      </c>
      <c r="F15" s="15" t="s">
        <v>48</v>
      </c>
      <c r="G15" s="15" t="s">
        <v>47</v>
      </c>
      <c r="H15" s="15" t="n">
        <v>12</v>
      </c>
      <c r="I15" s="15" t="n">
        <v>0</v>
      </c>
      <c r="J15" s="15" t="s">
        <v>1342</v>
      </c>
    </row>
    <row r="16" customFormat="false" ht="15" hidden="false" customHeight="false" outlineLevel="0" collapsed="false">
      <c r="A16" s="15" t="s">
        <v>1591</v>
      </c>
      <c r="B16" s="15" t="s">
        <v>702</v>
      </c>
      <c r="C16" s="15" t="s">
        <v>1592</v>
      </c>
      <c r="D16" s="15" t="s">
        <v>703</v>
      </c>
      <c r="E16" s="15" t="n">
        <v>10</v>
      </c>
      <c r="F16" s="15" t="s">
        <v>48</v>
      </c>
      <c r="G16" s="15" t="s">
        <v>47</v>
      </c>
      <c r="H16" s="15" t="n">
        <v>10</v>
      </c>
      <c r="I16" s="15" t="n">
        <v>0</v>
      </c>
      <c r="J16" s="15" t="s">
        <v>1342</v>
      </c>
    </row>
    <row r="17" customFormat="false" ht="15" hidden="false" customHeight="false" outlineLevel="0" collapsed="false">
      <c r="A17" s="15" t="s">
        <v>1344</v>
      </c>
      <c r="B17" s="15" t="s">
        <v>632</v>
      </c>
      <c r="C17" s="15" t="s">
        <v>1345</v>
      </c>
      <c r="D17" s="15" t="s">
        <v>633</v>
      </c>
      <c r="E17" s="15" t="n">
        <v>7</v>
      </c>
      <c r="F17" s="15" t="s">
        <v>48</v>
      </c>
      <c r="G17" s="15" t="s">
        <v>47</v>
      </c>
      <c r="H17" s="15" t="n">
        <v>7</v>
      </c>
      <c r="I17" s="15" t="n">
        <v>0</v>
      </c>
      <c r="J17" s="15" t="s">
        <v>1342</v>
      </c>
    </row>
    <row r="18" customFormat="false" ht="15" hidden="false" customHeight="false" outlineLevel="0" collapsed="false">
      <c r="A18" s="15" t="s">
        <v>1380</v>
      </c>
      <c r="B18" s="15" t="s">
        <v>670</v>
      </c>
      <c r="C18" s="15" t="s">
        <v>1381</v>
      </c>
      <c r="D18" s="15" t="s">
        <v>1382</v>
      </c>
      <c r="E18" s="15" t="n">
        <v>5</v>
      </c>
      <c r="F18" s="15" t="s">
        <v>48</v>
      </c>
      <c r="G18" s="15" t="s">
        <v>47</v>
      </c>
      <c r="H18" s="15" t="n">
        <v>5</v>
      </c>
      <c r="I18" s="15" t="n">
        <v>0</v>
      </c>
      <c r="J18" s="15" t="s">
        <v>1342</v>
      </c>
    </row>
    <row r="19" customFormat="false" ht="15" hidden="false" customHeight="false" outlineLevel="0" collapsed="false">
      <c r="A19" s="15" t="s">
        <v>1569</v>
      </c>
      <c r="B19" s="15" t="s">
        <v>697</v>
      </c>
      <c r="C19" s="15" t="s">
        <v>1570</v>
      </c>
      <c r="D19" s="15" t="s">
        <v>1571</v>
      </c>
      <c r="E19" s="15" t="n">
        <v>5</v>
      </c>
      <c r="F19" s="15" t="s">
        <v>48</v>
      </c>
      <c r="G19" s="15" t="s">
        <v>47</v>
      </c>
      <c r="H19" s="15" t="n">
        <v>5</v>
      </c>
      <c r="I19" s="15" t="n">
        <v>0</v>
      </c>
      <c r="J19" s="15" t="s">
        <v>1342</v>
      </c>
    </row>
    <row r="20" customFormat="false" ht="15" hidden="false" customHeight="false" outlineLevel="0" collapsed="false">
      <c r="A20" s="15" t="s">
        <v>1356</v>
      </c>
      <c r="B20" s="15" t="s">
        <v>646</v>
      </c>
      <c r="C20" s="15" t="s">
        <v>1357</v>
      </c>
      <c r="D20" s="15" t="s">
        <v>647</v>
      </c>
      <c r="E20" s="15" t="n">
        <v>5</v>
      </c>
      <c r="F20" s="15" t="s">
        <v>48</v>
      </c>
      <c r="G20" s="15" t="s">
        <v>47</v>
      </c>
      <c r="H20" s="15" t="n">
        <v>5</v>
      </c>
      <c r="I20" s="15" t="n">
        <v>0</v>
      </c>
      <c r="J20" s="15" t="s">
        <v>1342</v>
      </c>
    </row>
    <row r="21" customFormat="false" ht="15" hidden="false" customHeight="false" outlineLevel="0" collapsed="false">
      <c r="A21" s="15" t="s">
        <v>1540</v>
      </c>
      <c r="B21" s="15" t="s">
        <v>693</v>
      </c>
      <c r="C21" s="15" t="s">
        <v>1541</v>
      </c>
      <c r="D21" s="15" t="s">
        <v>694</v>
      </c>
      <c r="E21" s="15" t="n">
        <v>4</v>
      </c>
      <c r="F21" s="15" t="s">
        <v>48</v>
      </c>
      <c r="G21" s="15" t="s">
        <v>47</v>
      </c>
      <c r="H21" s="15" t="n">
        <v>4</v>
      </c>
      <c r="I21" s="15" t="n">
        <v>0</v>
      </c>
      <c r="J21" s="15" t="s">
        <v>1342</v>
      </c>
    </row>
    <row r="22" customFormat="false" ht="15" hidden="false" customHeight="false" outlineLevel="0" collapsed="false">
      <c r="A22" s="15" t="s">
        <v>2195</v>
      </c>
      <c r="B22" s="15" t="s">
        <v>819</v>
      </c>
      <c r="C22" s="15" t="s">
        <v>2196</v>
      </c>
      <c r="D22" s="15" t="s">
        <v>820</v>
      </c>
      <c r="E22" s="15" t="n">
        <v>4</v>
      </c>
      <c r="F22" s="15" t="s">
        <v>48</v>
      </c>
      <c r="G22" s="15" t="s">
        <v>47</v>
      </c>
      <c r="H22" s="15" t="n">
        <v>4</v>
      </c>
      <c r="I22" s="15" t="n">
        <v>0</v>
      </c>
      <c r="J22" s="15" t="s">
        <v>1342</v>
      </c>
    </row>
    <row r="23" customFormat="false" ht="15" hidden="false" customHeight="false" outlineLevel="0" collapsed="false">
      <c r="A23" s="15" t="s">
        <v>1646</v>
      </c>
      <c r="B23" s="15" t="s">
        <v>509</v>
      </c>
      <c r="C23" s="15" t="s">
        <v>1647</v>
      </c>
      <c r="D23" s="15" t="s">
        <v>510</v>
      </c>
      <c r="E23" s="15" t="n">
        <v>3</v>
      </c>
      <c r="F23" s="15" t="s">
        <v>48</v>
      </c>
      <c r="G23" s="15" t="s">
        <v>47</v>
      </c>
      <c r="H23" s="15" t="n">
        <v>3</v>
      </c>
      <c r="I23" s="15" t="n">
        <v>0</v>
      </c>
      <c r="J23" s="15" t="s">
        <v>1342</v>
      </c>
    </row>
    <row r="24" customFormat="false" ht="15" hidden="false" customHeight="false" outlineLevel="0" collapsed="false">
      <c r="A24" s="15" t="s">
        <v>1338</v>
      </c>
      <c r="B24" s="15" t="s">
        <v>442</v>
      </c>
      <c r="C24" s="15" t="s">
        <v>1339</v>
      </c>
      <c r="D24" s="15" t="s">
        <v>1340</v>
      </c>
      <c r="E24" s="15" t="n">
        <v>3</v>
      </c>
      <c r="F24" s="15" t="s">
        <v>1007</v>
      </c>
      <c r="G24" s="15" t="s">
        <v>47</v>
      </c>
      <c r="H24" s="15" t="n">
        <v>3</v>
      </c>
      <c r="I24" s="15" t="n">
        <v>0</v>
      </c>
      <c r="J24" s="15" t="s">
        <v>1342</v>
      </c>
    </row>
    <row r="25" customFormat="false" ht="15" hidden="false" customHeight="false" outlineLevel="0" collapsed="false">
      <c r="A25" s="15" t="s">
        <v>1576</v>
      </c>
      <c r="B25" s="15" t="s">
        <v>537</v>
      </c>
      <c r="C25" s="15" t="s">
        <v>1577</v>
      </c>
      <c r="D25" s="15" t="s">
        <v>538</v>
      </c>
      <c r="E25" s="15" t="n">
        <v>3</v>
      </c>
      <c r="F25" s="15" t="s">
        <v>48</v>
      </c>
      <c r="G25" s="15" t="s">
        <v>47</v>
      </c>
      <c r="H25" s="15" t="n">
        <v>3</v>
      </c>
      <c r="I25" s="15" t="n">
        <v>0</v>
      </c>
      <c r="J25" s="15" t="s">
        <v>1342</v>
      </c>
    </row>
    <row r="26" customFormat="false" ht="15" hidden="false" customHeight="false" outlineLevel="0" collapsed="false">
      <c r="A26" s="15" t="s">
        <v>1406</v>
      </c>
      <c r="B26" s="15" t="s">
        <v>650</v>
      </c>
      <c r="C26" s="15" t="s">
        <v>1407</v>
      </c>
      <c r="D26" s="15" t="s">
        <v>651</v>
      </c>
      <c r="E26" s="15" t="n">
        <v>133</v>
      </c>
      <c r="F26" s="15" t="s">
        <v>47</v>
      </c>
      <c r="G26" s="15" t="s">
        <v>47</v>
      </c>
      <c r="H26" s="15" t="n">
        <v>102</v>
      </c>
      <c r="I26" s="15" t="n">
        <v>0</v>
      </c>
      <c r="J26" s="15" t="s">
        <v>1135</v>
      </c>
    </row>
    <row r="27" customFormat="false" ht="15" hidden="false" customHeight="false" outlineLevel="0" collapsed="false">
      <c r="A27" s="15" t="s">
        <v>1697</v>
      </c>
      <c r="B27" s="15" t="s">
        <v>511</v>
      </c>
      <c r="C27" s="15" t="s">
        <v>1698</v>
      </c>
      <c r="D27" s="15" t="s">
        <v>512</v>
      </c>
      <c r="E27" s="15" t="n">
        <v>105</v>
      </c>
      <c r="F27" s="15" t="s">
        <v>47</v>
      </c>
      <c r="G27" s="15" t="s">
        <v>47</v>
      </c>
      <c r="H27" s="15" t="n">
        <v>37</v>
      </c>
      <c r="I27" s="15" t="n">
        <v>29</v>
      </c>
      <c r="J27" s="15" t="s">
        <v>1135</v>
      </c>
    </row>
    <row r="28" customFormat="false" ht="15" hidden="false" customHeight="false" outlineLevel="0" collapsed="false">
      <c r="A28" s="15" t="s">
        <v>1691</v>
      </c>
      <c r="B28" s="15" t="s">
        <v>511</v>
      </c>
      <c r="C28" s="15" t="s">
        <v>1692</v>
      </c>
      <c r="D28" s="15" t="s">
        <v>1693</v>
      </c>
      <c r="E28" s="15" t="n">
        <v>92</v>
      </c>
      <c r="F28" s="15" t="s">
        <v>47</v>
      </c>
      <c r="G28" s="15" t="s">
        <v>47</v>
      </c>
      <c r="H28" s="15" t="n">
        <v>86</v>
      </c>
      <c r="I28" s="15" t="n">
        <v>0</v>
      </c>
      <c r="J28" s="15" t="s">
        <v>1135</v>
      </c>
    </row>
    <row r="29" customFormat="false" ht="15" hidden="false" customHeight="false" outlineLevel="0" collapsed="false">
      <c r="A29" s="15" t="s">
        <v>1132</v>
      </c>
      <c r="B29" s="15" t="s">
        <v>203</v>
      </c>
      <c r="C29" s="15" t="s">
        <v>1133</v>
      </c>
      <c r="D29" s="15" t="s">
        <v>1134</v>
      </c>
      <c r="E29" s="15" t="n">
        <v>65</v>
      </c>
      <c r="F29" s="15" t="s">
        <v>47</v>
      </c>
      <c r="G29" s="15" t="s">
        <v>47</v>
      </c>
      <c r="H29" s="15" t="n">
        <v>0</v>
      </c>
      <c r="I29" s="15" t="n">
        <v>65</v>
      </c>
      <c r="J29" s="15" t="s">
        <v>1135</v>
      </c>
    </row>
    <row r="30" customFormat="false" ht="15" hidden="false" customHeight="false" outlineLevel="0" collapsed="false">
      <c r="A30" s="15" t="s">
        <v>1400</v>
      </c>
      <c r="B30" s="15" t="s">
        <v>650</v>
      </c>
      <c r="C30" s="15" t="s">
        <v>1401</v>
      </c>
      <c r="D30" s="15" t="s">
        <v>1402</v>
      </c>
      <c r="E30" s="15" t="n">
        <v>37</v>
      </c>
      <c r="F30" s="15" t="s">
        <v>47</v>
      </c>
      <c r="G30" s="15" t="s">
        <v>47</v>
      </c>
      <c r="H30" s="15" t="n">
        <v>33</v>
      </c>
      <c r="I30" s="15" t="n">
        <v>0</v>
      </c>
      <c r="J30" s="15" t="s">
        <v>1135</v>
      </c>
    </row>
    <row r="31" customFormat="false" ht="15" hidden="false" customHeight="false" outlineLevel="0" collapsed="false">
      <c r="A31" s="15" t="s">
        <v>1660</v>
      </c>
      <c r="B31" s="15" t="s">
        <v>608</v>
      </c>
      <c r="C31" s="15" t="s">
        <v>1661</v>
      </c>
      <c r="D31" s="15" t="s">
        <v>1662</v>
      </c>
      <c r="E31" s="15" t="n">
        <v>25</v>
      </c>
      <c r="F31" s="15" t="s">
        <v>47</v>
      </c>
      <c r="G31" s="15" t="s">
        <v>47</v>
      </c>
      <c r="H31" s="15" t="n">
        <v>19</v>
      </c>
      <c r="I31" s="15" t="n">
        <v>0</v>
      </c>
      <c r="J31" s="15" t="s">
        <v>1135</v>
      </c>
    </row>
    <row r="32" customFormat="false" ht="15" hidden="false" customHeight="false" outlineLevel="0" collapsed="false">
      <c r="A32" s="15" t="s">
        <v>1846</v>
      </c>
      <c r="B32" s="15" t="s">
        <v>738</v>
      </c>
      <c r="C32" s="15" t="s">
        <v>1847</v>
      </c>
      <c r="D32" s="15" t="s">
        <v>739</v>
      </c>
      <c r="E32" s="15" t="n">
        <v>17</v>
      </c>
      <c r="F32" s="15" t="s">
        <v>47</v>
      </c>
      <c r="G32" s="15" t="s">
        <v>47</v>
      </c>
      <c r="H32" s="15" t="n">
        <v>0</v>
      </c>
      <c r="I32" s="15" t="n">
        <v>17</v>
      </c>
      <c r="J32" s="15" t="s">
        <v>1135</v>
      </c>
    </row>
    <row r="33" customFormat="false" ht="15" hidden="false" customHeight="false" outlineLevel="0" collapsed="false">
      <c r="A33" s="15" t="s">
        <v>2213</v>
      </c>
      <c r="B33" s="15" t="s">
        <v>664</v>
      </c>
      <c r="C33" s="15" t="s">
        <v>2214</v>
      </c>
      <c r="D33" s="15" t="s">
        <v>665</v>
      </c>
      <c r="E33" s="15" t="n">
        <v>14</v>
      </c>
      <c r="F33" s="15" t="s">
        <v>47</v>
      </c>
      <c r="G33" s="15" t="s">
        <v>47</v>
      </c>
      <c r="H33" s="15" t="n">
        <v>0</v>
      </c>
      <c r="I33" s="15" t="n">
        <v>6</v>
      </c>
      <c r="J33" s="15" t="s">
        <v>1135</v>
      </c>
    </row>
    <row r="34" customFormat="false" ht="15" hidden="false" customHeight="false" outlineLevel="0" collapsed="false">
      <c r="A34" s="15" t="s">
        <v>1792</v>
      </c>
      <c r="B34" s="15" t="s">
        <v>724</v>
      </c>
      <c r="C34" s="15" t="s">
        <v>1793</v>
      </c>
      <c r="D34" s="15" t="s">
        <v>725</v>
      </c>
      <c r="E34" s="15" t="n">
        <v>9</v>
      </c>
      <c r="F34" s="15" t="s">
        <v>47</v>
      </c>
      <c r="G34" s="15" t="s">
        <v>47</v>
      </c>
      <c r="H34" s="15" t="n">
        <v>0</v>
      </c>
      <c r="I34" s="15" t="n">
        <v>7</v>
      </c>
      <c r="J34" s="15" t="s">
        <v>1135</v>
      </c>
    </row>
    <row r="35" customFormat="false" ht="15" hidden="false" customHeight="false" outlineLevel="0" collapsed="false">
      <c r="A35" s="15" t="s">
        <v>1820</v>
      </c>
      <c r="B35" s="15" t="s">
        <v>734</v>
      </c>
      <c r="C35" s="15" t="s">
        <v>1821</v>
      </c>
      <c r="D35" s="15" t="s">
        <v>735</v>
      </c>
      <c r="E35" s="15" t="n">
        <v>9</v>
      </c>
      <c r="F35" s="15" t="s">
        <v>47</v>
      </c>
      <c r="G35" s="15" t="s">
        <v>47</v>
      </c>
      <c r="H35" s="15" t="n">
        <v>0</v>
      </c>
      <c r="I35" s="15" t="n">
        <v>9</v>
      </c>
      <c r="J35" s="15" t="s">
        <v>1135</v>
      </c>
    </row>
    <row r="36" customFormat="false" ht="15" hidden="false" customHeight="false" outlineLevel="0" collapsed="false">
      <c r="A36" s="15" t="s">
        <v>1937</v>
      </c>
      <c r="B36" s="15" t="s">
        <v>760</v>
      </c>
      <c r="C36" s="15" t="s">
        <v>1938</v>
      </c>
      <c r="D36" s="15" t="s">
        <v>761</v>
      </c>
      <c r="E36" s="15" t="n">
        <v>8</v>
      </c>
      <c r="F36" s="15" t="s">
        <v>47</v>
      </c>
      <c r="G36" s="15" t="s">
        <v>47</v>
      </c>
      <c r="H36" s="15" t="n">
        <v>0</v>
      </c>
      <c r="I36" s="15" t="n">
        <v>8</v>
      </c>
      <c r="J36" s="15" t="s">
        <v>1135</v>
      </c>
    </row>
    <row r="37" customFormat="false" ht="15" hidden="false" customHeight="false" outlineLevel="0" collapsed="false">
      <c r="A37" s="15" t="s">
        <v>1349</v>
      </c>
      <c r="B37" s="15" t="s">
        <v>634</v>
      </c>
      <c r="C37" s="15" t="s">
        <v>1350</v>
      </c>
      <c r="D37" s="15" t="s">
        <v>635</v>
      </c>
      <c r="E37" s="15" t="n">
        <v>7</v>
      </c>
      <c r="F37" s="15" t="s">
        <v>47</v>
      </c>
      <c r="G37" s="15" t="s">
        <v>47</v>
      </c>
      <c r="H37" s="15" t="n">
        <v>3</v>
      </c>
      <c r="I37" s="15" t="n">
        <v>4</v>
      </c>
      <c r="J37" s="15" t="s">
        <v>1135</v>
      </c>
    </row>
    <row r="38" customFormat="false" ht="15" hidden="false" customHeight="false" outlineLevel="0" collapsed="false">
      <c r="A38" s="15" t="s">
        <v>1753</v>
      </c>
      <c r="B38" s="15" t="s">
        <v>479</v>
      </c>
      <c r="C38" s="15" t="s">
        <v>1754</v>
      </c>
      <c r="D38" s="15" t="s">
        <v>480</v>
      </c>
      <c r="E38" s="15" t="n">
        <v>6</v>
      </c>
      <c r="F38" s="15" t="s">
        <v>47</v>
      </c>
      <c r="G38" s="15" t="s">
        <v>47</v>
      </c>
      <c r="H38" s="15" t="n">
        <v>5</v>
      </c>
      <c r="I38" s="15" t="n">
        <v>0</v>
      </c>
      <c r="J38" s="15" t="s">
        <v>1135</v>
      </c>
    </row>
    <row r="39" customFormat="false" ht="15" hidden="false" customHeight="false" outlineLevel="0" collapsed="false">
      <c r="A39" s="15" t="s">
        <v>1510</v>
      </c>
      <c r="B39" s="15" t="s">
        <v>686</v>
      </c>
      <c r="C39" s="15" t="s">
        <v>1511</v>
      </c>
      <c r="D39" s="15" t="s">
        <v>687</v>
      </c>
      <c r="E39" s="15" t="n">
        <v>5</v>
      </c>
      <c r="F39" s="15" t="s">
        <v>47</v>
      </c>
      <c r="G39" s="15" t="s">
        <v>47</v>
      </c>
      <c r="H39" s="15" t="n">
        <v>0</v>
      </c>
      <c r="I39" s="15" t="n">
        <v>5</v>
      </c>
      <c r="J39" s="15" t="s">
        <v>1135</v>
      </c>
    </row>
    <row r="40" customFormat="false" ht="15" hidden="false" customHeight="false" outlineLevel="0" collapsed="false">
      <c r="A40" s="15" t="s">
        <v>1493</v>
      </c>
      <c r="B40" s="15" t="s">
        <v>533</v>
      </c>
      <c r="C40" s="15" t="s">
        <v>1494</v>
      </c>
      <c r="D40" s="15" t="s">
        <v>534</v>
      </c>
      <c r="E40" s="15" t="n">
        <v>35</v>
      </c>
      <c r="F40" s="15" t="s">
        <v>47</v>
      </c>
      <c r="G40" s="15" t="s">
        <v>47</v>
      </c>
      <c r="H40" s="15" t="n">
        <v>0</v>
      </c>
      <c r="I40" s="15" t="n">
        <v>0</v>
      </c>
      <c r="J40" s="15" t="s">
        <v>1334</v>
      </c>
    </row>
    <row r="41" customFormat="false" ht="15" hidden="false" customHeight="false" outlineLevel="0" collapsed="false">
      <c r="A41" s="15" t="s">
        <v>1396</v>
      </c>
      <c r="B41" s="15" t="s">
        <v>529</v>
      </c>
      <c r="C41" s="15" t="s">
        <v>1397</v>
      </c>
      <c r="D41" s="15" t="s">
        <v>530</v>
      </c>
      <c r="E41" s="15" t="n">
        <v>14</v>
      </c>
      <c r="F41" s="15" t="s">
        <v>47</v>
      </c>
      <c r="G41" s="15" t="s">
        <v>47</v>
      </c>
      <c r="H41" s="15" t="n">
        <v>0</v>
      </c>
      <c r="I41" s="15" t="n">
        <v>0</v>
      </c>
      <c r="J41" s="15" t="s">
        <v>1334</v>
      </c>
    </row>
    <row r="42" customFormat="false" ht="15" hidden="false" customHeight="false" outlineLevel="0" collapsed="false">
      <c r="A42" s="15" t="s">
        <v>1774</v>
      </c>
      <c r="B42" s="15" t="s">
        <v>720</v>
      </c>
      <c r="C42" s="15" t="s">
        <v>1775</v>
      </c>
      <c r="D42" s="15" t="s">
        <v>721</v>
      </c>
      <c r="E42" s="15" t="n">
        <v>9</v>
      </c>
      <c r="F42" s="15" t="s">
        <v>47</v>
      </c>
      <c r="G42" s="15" t="s">
        <v>47</v>
      </c>
      <c r="H42" s="15" t="n">
        <v>0</v>
      </c>
      <c r="I42" s="15" t="n">
        <v>0</v>
      </c>
      <c r="J42" s="15" t="s">
        <v>1334</v>
      </c>
    </row>
    <row r="43" customFormat="false" ht="15" hidden="false" customHeight="false" outlineLevel="0" collapsed="false">
      <c r="A43" s="15" t="s">
        <v>1860</v>
      </c>
      <c r="B43" s="15" t="s">
        <v>555</v>
      </c>
      <c r="C43" s="15" t="s">
        <v>1861</v>
      </c>
      <c r="D43" s="15" t="s">
        <v>556</v>
      </c>
      <c r="E43" s="15" t="n">
        <v>9</v>
      </c>
      <c r="F43" s="15" t="s">
        <v>47</v>
      </c>
      <c r="G43" s="15" t="s">
        <v>47</v>
      </c>
      <c r="H43" s="15" t="n">
        <v>0</v>
      </c>
      <c r="I43" s="15" t="n">
        <v>0</v>
      </c>
      <c r="J43" s="15" t="s">
        <v>1334</v>
      </c>
    </row>
    <row r="44" customFormat="false" ht="15" hidden="false" customHeight="false" outlineLevel="0" collapsed="false">
      <c r="A44" s="15" t="s">
        <v>2177</v>
      </c>
      <c r="B44" s="15" t="s">
        <v>487</v>
      </c>
      <c r="C44" s="15" t="s">
        <v>2178</v>
      </c>
      <c r="D44" s="15" t="s">
        <v>488</v>
      </c>
      <c r="E44" s="15" t="n">
        <v>6</v>
      </c>
      <c r="F44" s="15" t="s">
        <v>47</v>
      </c>
      <c r="G44" s="15" t="s">
        <v>47</v>
      </c>
      <c r="H44" s="15" t="n">
        <v>0</v>
      </c>
      <c r="I44" s="15" t="n">
        <v>0</v>
      </c>
      <c r="J44" s="15" t="s">
        <v>1334</v>
      </c>
    </row>
    <row r="45" customFormat="false" ht="15" hidden="false" customHeight="false" outlineLevel="0" collapsed="false">
      <c r="A45" s="15" t="s">
        <v>1331</v>
      </c>
      <c r="B45" s="15" t="s">
        <v>442</v>
      </c>
      <c r="C45" s="15" t="s">
        <v>1332</v>
      </c>
      <c r="D45" s="15" t="s">
        <v>1333</v>
      </c>
      <c r="E45" s="15" t="n">
        <v>3</v>
      </c>
      <c r="F45" s="15" t="s">
        <v>47</v>
      </c>
      <c r="G45" s="15" t="s">
        <v>47</v>
      </c>
      <c r="H45" s="15" t="n">
        <v>0</v>
      </c>
      <c r="I45" s="15" t="n">
        <v>0</v>
      </c>
      <c r="J45" s="15" t="s">
        <v>1334</v>
      </c>
    </row>
    <row r="46" customFormat="false" ht="15" hidden="false" customHeight="false" outlineLevel="0" collapsed="false">
      <c r="A46" s="15" t="s">
        <v>1602</v>
      </c>
      <c r="B46" s="15" t="s">
        <v>602</v>
      </c>
      <c r="C46" s="15" t="s">
        <v>1603</v>
      </c>
      <c r="D46" s="15" t="s">
        <v>603</v>
      </c>
      <c r="E46" s="15" t="n">
        <v>0</v>
      </c>
      <c r="F46" s="15" t="s">
        <v>47</v>
      </c>
      <c r="G46" s="15" t="s">
        <v>47</v>
      </c>
      <c r="H46" s="15" t="n">
        <v>0</v>
      </c>
      <c r="I46" s="15" t="n">
        <v>0</v>
      </c>
      <c r="J46" s="15" t="s">
        <v>1334</v>
      </c>
    </row>
    <row r="47" customFormat="false" ht="15" hidden="false" customHeight="false" outlineLevel="0" collapsed="false">
      <c r="A47" s="15" t="s">
        <v>1583</v>
      </c>
      <c r="B47" s="15" t="s">
        <v>700</v>
      </c>
      <c r="C47" s="15" t="s">
        <v>1584</v>
      </c>
      <c r="D47" s="15" t="s">
        <v>701</v>
      </c>
      <c r="E47" s="15" t="n">
        <v>31</v>
      </c>
      <c r="F47" s="15" t="s">
        <v>1007</v>
      </c>
      <c r="G47" s="15" t="s">
        <v>1007</v>
      </c>
      <c r="H47" s="15" t="n">
        <v>2</v>
      </c>
      <c r="I47" s="15" t="n">
        <v>0</v>
      </c>
      <c r="J47" s="15" t="s">
        <v>1585</v>
      </c>
    </row>
    <row r="48" customFormat="false" ht="15" hidden="false" customHeight="false" outlineLevel="0" collapsed="false">
      <c r="A48" s="15" t="s">
        <v>2181</v>
      </c>
      <c r="B48" s="15" t="s">
        <v>817</v>
      </c>
      <c r="C48" s="15"/>
      <c r="D48" s="15" t="s">
        <v>818</v>
      </c>
      <c r="E48" s="15" t="n">
        <v>17</v>
      </c>
      <c r="F48" s="15" t="s">
        <v>1025</v>
      </c>
      <c r="G48" s="15" t="s">
        <v>1025</v>
      </c>
      <c r="H48" s="15" t="n">
        <v>3</v>
      </c>
      <c r="I48" s="15" t="n">
        <v>0</v>
      </c>
      <c r="J48" s="15" t="s">
        <v>1585</v>
      </c>
    </row>
    <row r="51" customFormat="false" ht="15" hidden="false" customHeight="false" outlineLevel="0" collapsed="false">
      <c r="A51" s="3" t="s">
        <v>2230</v>
      </c>
    </row>
    <row r="52" customFormat="false" ht="42" hidden="false" customHeight="true" outlineLevel="0" collapsed="false">
      <c r="A52" s="14" t="s">
        <v>2231</v>
      </c>
      <c r="B52" s="14" t="s">
        <v>103</v>
      </c>
      <c r="C52" s="14" t="s">
        <v>2232</v>
      </c>
      <c r="D52" s="14" t="s">
        <v>2233</v>
      </c>
      <c r="E52" s="14" t="s">
        <v>2234</v>
      </c>
      <c r="F52" s="14" t="s">
        <v>2235</v>
      </c>
      <c r="G52" s="14" t="s">
        <v>2236</v>
      </c>
      <c r="H52" s="14" t="s">
        <v>2237</v>
      </c>
      <c r="I52" s="14" t="s">
        <v>2238</v>
      </c>
      <c r="J52" s="14" t="s">
        <v>2239</v>
      </c>
    </row>
    <row r="53" customFormat="false" ht="15" hidden="false" customHeight="false" outlineLevel="0" collapsed="false">
      <c r="A53" s="15" t="s">
        <v>2240</v>
      </c>
      <c r="B53" s="15" t="s">
        <v>16</v>
      </c>
      <c r="C53" s="15" t="s">
        <v>2241</v>
      </c>
      <c r="D53" s="15" t="n">
        <v>106</v>
      </c>
      <c r="E53" s="15" t="n">
        <v>105</v>
      </c>
      <c r="F53" s="15" t="n">
        <v>1</v>
      </c>
      <c r="G53" s="15" t="s">
        <v>2242</v>
      </c>
      <c r="H53" s="15" t="s">
        <v>2243</v>
      </c>
      <c r="I53" s="15" t="s">
        <v>2244</v>
      </c>
      <c r="J53" s="15" t="s">
        <v>2245</v>
      </c>
    </row>
    <row r="54" customFormat="false" ht="15" hidden="false" customHeight="false" outlineLevel="0" collapsed="false">
      <c r="A54" s="15" t="s">
        <v>2246</v>
      </c>
      <c r="B54" s="15" t="s">
        <v>17</v>
      </c>
      <c r="C54" s="15" t="s">
        <v>2241</v>
      </c>
      <c r="D54" s="15" t="n">
        <v>69</v>
      </c>
      <c r="E54" s="15" t="n">
        <v>68</v>
      </c>
      <c r="F54" s="15" t="n">
        <v>1</v>
      </c>
      <c r="G54" s="15" t="s">
        <v>2247</v>
      </c>
      <c r="H54" s="15" t="s">
        <v>2248</v>
      </c>
      <c r="I54" s="15" t="s">
        <v>2249</v>
      </c>
      <c r="J54" s="15" t="s">
        <v>2250</v>
      </c>
    </row>
    <row r="55" customFormat="false" ht="15" hidden="false" customHeight="false" outlineLevel="0" collapsed="false">
      <c r="A55" s="15" t="s">
        <v>2251</v>
      </c>
      <c r="B55" s="15" t="s">
        <v>16</v>
      </c>
      <c r="C55" s="15" t="s">
        <v>2241</v>
      </c>
      <c r="D55" s="15" t="n">
        <v>54</v>
      </c>
      <c r="E55" s="15" t="n">
        <v>23</v>
      </c>
      <c r="F55" s="15" t="n">
        <v>31</v>
      </c>
      <c r="G55" s="15" t="s">
        <v>2252</v>
      </c>
      <c r="H55" s="15" t="s">
        <v>2253</v>
      </c>
      <c r="I55" s="15" t="s">
        <v>1889</v>
      </c>
      <c r="J55" s="15" t="s">
        <v>2254</v>
      </c>
    </row>
    <row r="56" customFormat="false" ht="15" hidden="false" customHeight="false" outlineLevel="0" collapsed="false">
      <c r="A56" s="15" t="s">
        <v>2255</v>
      </c>
      <c r="B56" s="15" t="s">
        <v>16</v>
      </c>
      <c r="C56" s="15" t="s">
        <v>2241</v>
      </c>
      <c r="D56" s="15" t="n">
        <v>19</v>
      </c>
      <c r="E56" s="15" t="n">
        <v>19</v>
      </c>
      <c r="F56" s="15" t="n">
        <v>0</v>
      </c>
      <c r="G56" s="15" t="s">
        <v>2256</v>
      </c>
      <c r="H56" s="15" t="s">
        <v>2257</v>
      </c>
      <c r="I56" s="15" t="s">
        <v>2258</v>
      </c>
      <c r="J56" s="15"/>
    </row>
    <row r="57" customFormat="false" ht="15" hidden="false" customHeight="false" outlineLevel="0" collapsed="false">
      <c r="A57" s="15" t="s">
        <v>2259</v>
      </c>
      <c r="B57" s="15" t="s">
        <v>17</v>
      </c>
      <c r="C57" s="15" t="s">
        <v>2241</v>
      </c>
      <c r="D57" s="15" t="n">
        <v>18</v>
      </c>
      <c r="E57" s="15" t="n">
        <v>10</v>
      </c>
      <c r="F57" s="15" t="n">
        <v>8</v>
      </c>
      <c r="G57" s="15" t="s">
        <v>2260</v>
      </c>
      <c r="H57" s="15" t="s">
        <v>2261</v>
      </c>
      <c r="I57" s="15" t="s">
        <v>1982</v>
      </c>
      <c r="J57" s="15" t="s">
        <v>2262</v>
      </c>
    </row>
    <row r="58" customFormat="false" ht="15" hidden="false" customHeight="false" outlineLevel="0" collapsed="false">
      <c r="A58" s="15" t="s">
        <v>2263</v>
      </c>
      <c r="B58" s="15" t="s">
        <v>16</v>
      </c>
      <c r="C58" s="15" t="s">
        <v>2241</v>
      </c>
      <c r="D58" s="15" t="n">
        <v>17</v>
      </c>
      <c r="E58" s="15" t="n">
        <v>17</v>
      </c>
      <c r="F58" s="15" t="n">
        <v>0</v>
      </c>
      <c r="G58" s="15" t="s">
        <v>2264</v>
      </c>
      <c r="H58" s="15" t="s">
        <v>2265</v>
      </c>
      <c r="I58" s="15" t="s">
        <v>1244</v>
      </c>
      <c r="J58" s="15"/>
    </row>
    <row r="59" customFormat="false" ht="15" hidden="false" customHeight="false" outlineLevel="0" collapsed="false">
      <c r="A59" s="15" t="s">
        <v>2266</v>
      </c>
      <c r="B59" s="15" t="s">
        <v>16</v>
      </c>
      <c r="C59" s="15" t="s">
        <v>2241</v>
      </c>
      <c r="D59" s="15" t="n">
        <v>16</v>
      </c>
      <c r="E59" s="15" t="n">
        <v>14</v>
      </c>
      <c r="F59" s="15" t="n">
        <v>2</v>
      </c>
      <c r="G59" s="15" t="s">
        <v>2267</v>
      </c>
      <c r="H59" s="15" t="s">
        <v>2268</v>
      </c>
      <c r="I59" s="15" t="s">
        <v>2269</v>
      </c>
      <c r="J59" s="15"/>
    </row>
    <row r="60" customFormat="false" ht="15" hidden="false" customHeight="false" outlineLevel="0" collapsed="false">
      <c r="A60" s="15" t="s">
        <v>2270</v>
      </c>
      <c r="B60" s="15" t="s">
        <v>17</v>
      </c>
      <c r="C60" s="15" t="s">
        <v>2241</v>
      </c>
      <c r="D60" s="15" t="n">
        <v>15</v>
      </c>
      <c r="E60" s="15" t="n">
        <v>15</v>
      </c>
      <c r="F60" s="15" t="n">
        <v>0</v>
      </c>
      <c r="G60" s="15" t="s">
        <v>2271</v>
      </c>
      <c r="H60" s="15" t="s">
        <v>2272</v>
      </c>
      <c r="I60" s="15" t="s">
        <v>2272</v>
      </c>
      <c r="J60" s="15" t="s">
        <v>2273</v>
      </c>
    </row>
    <row r="61" customFormat="false" ht="15" hidden="false" customHeight="false" outlineLevel="0" collapsed="false">
      <c r="A61" s="15" t="s">
        <v>2274</v>
      </c>
      <c r="B61" s="15" t="s">
        <v>16</v>
      </c>
      <c r="C61" s="15" t="s">
        <v>2241</v>
      </c>
      <c r="D61" s="15" t="n">
        <v>14</v>
      </c>
      <c r="E61" s="15" t="n">
        <v>13</v>
      </c>
      <c r="F61" s="15" t="n">
        <v>1</v>
      </c>
      <c r="G61" s="15" t="s">
        <v>2275</v>
      </c>
      <c r="H61" s="15" t="s">
        <v>2276</v>
      </c>
      <c r="I61" s="15" t="s">
        <v>2244</v>
      </c>
      <c r="J61" s="15"/>
    </row>
    <row r="62" customFormat="false" ht="15" hidden="false" customHeight="false" outlineLevel="0" collapsed="false">
      <c r="A62" s="15" t="s">
        <v>2277</v>
      </c>
      <c r="B62" s="15" t="s">
        <v>16</v>
      </c>
      <c r="C62" s="15" t="s">
        <v>2241</v>
      </c>
      <c r="D62" s="15" t="n">
        <v>10</v>
      </c>
      <c r="E62" s="15" t="n">
        <v>0</v>
      </c>
      <c r="F62" s="15" t="n">
        <v>10</v>
      </c>
      <c r="G62" s="15" t="s">
        <v>2278</v>
      </c>
      <c r="H62" s="15" t="s">
        <v>2279</v>
      </c>
      <c r="I62" s="15" t="s">
        <v>2279</v>
      </c>
      <c r="J62" s="15"/>
    </row>
    <row r="63" customFormat="false" ht="15" hidden="false" customHeight="false" outlineLevel="0" collapsed="false">
      <c r="A63" s="15" t="s">
        <v>2280</v>
      </c>
      <c r="B63" s="15" t="s">
        <v>16</v>
      </c>
      <c r="C63" s="15" t="s">
        <v>2281</v>
      </c>
      <c r="D63" s="15" t="n">
        <v>109</v>
      </c>
      <c r="E63" s="15" t="n">
        <v>109</v>
      </c>
      <c r="F63" s="15" t="n">
        <v>0</v>
      </c>
      <c r="G63" s="15" t="s">
        <v>2282</v>
      </c>
      <c r="H63" s="15" t="s">
        <v>2283</v>
      </c>
      <c r="I63" s="15" t="s">
        <v>2122</v>
      </c>
      <c r="J63" s="15" t="s">
        <v>2284</v>
      </c>
    </row>
    <row r="64" customFormat="false" ht="15" hidden="false" customHeight="false" outlineLevel="0" collapsed="false">
      <c r="A64" s="15" t="s">
        <v>2285</v>
      </c>
      <c r="B64" s="15" t="s">
        <v>16</v>
      </c>
      <c r="C64" s="15" t="s">
        <v>2281</v>
      </c>
      <c r="D64" s="15" t="n">
        <v>107</v>
      </c>
      <c r="E64" s="15" t="n">
        <v>107</v>
      </c>
      <c r="F64" s="15" t="n">
        <v>0</v>
      </c>
      <c r="G64" s="15" t="s">
        <v>2286</v>
      </c>
      <c r="H64" s="15" t="s">
        <v>2287</v>
      </c>
      <c r="I64" s="15" t="s">
        <v>2288</v>
      </c>
      <c r="J64" s="15" t="s">
        <v>2289</v>
      </c>
    </row>
    <row r="65" customFormat="false" ht="15" hidden="false" customHeight="false" outlineLevel="0" collapsed="false">
      <c r="A65" s="15" t="s">
        <v>2290</v>
      </c>
      <c r="B65" s="15" t="s">
        <v>16</v>
      </c>
      <c r="C65" s="15" t="s">
        <v>2281</v>
      </c>
      <c r="D65" s="15" t="n">
        <v>62</v>
      </c>
      <c r="E65" s="15" t="n">
        <v>62</v>
      </c>
      <c r="F65" s="15" t="n">
        <v>0</v>
      </c>
      <c r="G65" s="15" t="s">
        <v>2291</v>
      </c>
      <c r="H65" s="15" t="s">
        <v>2292</v>
      </c>
      <c r="I65" s="15" t="s">
        <v>2293</v>
      </c>
      <c r="J65" s="15" t="s">
        <v>2294</v>
      </c>
    </row>
    <row r="66" customFormat="false" ht="15" hidden="false" customHeight="false" outlineLevel="0" collapsed="false">
      <c r="A66" s="15" t="s">
        <v>2295</v>
      </c>
      <c r="B66" s="15" t="s">
        <v>16</v>
      </c>
      <c r="C66" s="15" t="s">
        <v>2281</v>
      </c>
      <c r="D66" s="15" t="n">
        <v>55</v>
      </c>
      <c r="E66" s="15" t="n">
        <v>55</v>
      </c>
      <c r="F66" s="15" t="n">
        <v>0</v>
      </c>
      <c r="G66" s="15" t="s">
        <v>2296</v>
      </c>
      <c r="H66" s="15" t="s">
        <v>2292</v>
      </c>
      <c r="I66" s="15" t="s">
        <v>2297</v>
      </c>
      <c r="J66" s="15" t="s">
        <v>2298</v>
      </c>
    </row>
    <row r="67" customFormat="false" ht="15" hidden="false" customHeight="false" outlineLevel="0" collapsed="false">
      <c r="A67" s="15" t="s">
        <v>2299</v>
      </c>
      <c r="B67" s="15" t="s">
        <v>16</v>
      </c>
      <c r="C67" s="15" t="s">
        <v>2281</v>
      </c>
      <c r="D67" s="15" t="n">
        <v>47</v>
      </c>
      <c r="E67" s="15" t="n">
        <v>47</v>
      </c>
      <c r="F67" s="15" t="n">
        <v>0</v>
      </c>
      <c r="G67" s="15" t="s">
        <v>2300</v>
      </c>
      <c r="H67" s="15" t="s">
        <v>2301</v>
      </c>
      <c r="I67" s="15" t="s">
        <v>2302</v>
      </c>
      <c r="J67" s="15" t="s">
        <v>2303</v>
      </c>
    </row>
    <row r="68" customFormat="false" ht="15" hidden="false" customHeight="false" outlineLevel="0" collapsed="false">
      <c r="A68" s="15" t="s">
        <v>2304</v>
      </c>
      <c r="B68" s="15" t="s">
        <v>17</v>
      </c>
      <c r="C68" s="15" t="s">
        <v>2281</v>
      </c>
      <c r="D68" s="15" t="n">
        <v>44</v>
      </c>
      <c r="E68" s="15" t="n">
        <v>44</v>
      </c>
      <c r="F68" s="15" t="n">
        <v>0</v>
      </c>
      <c r="G68" s="15" t="s">
        <v>2305</v>
      </c>
      <c r="H68" s="15" t="s">
        <v>2292</v>
      </c>
      <c r="I68" s="15" t="s">
        <v>2306</v>
      </c>
      <c r="J68" s="15" t="s">
        <v>2307</v>
      </c>
    </row>
    <row r="69" customFormat="false" ht="15" hidden="false" customHeight="false" outlineLevel="0" collapsed="false">
      <c r="A69" s="15" t="s">
        <v>2308</v>
      </c>
      <c r="B69" s="15" t="s">
        <v>16</v>
      </c>
      <c r="C69" s="15" t="s">
        <v>2281</v>
      </c>
      <c r="D69" s="15" t="n">
        <v>37</v>
      </c>
      <c r="E69" s="15" t="n">
        <v>37</v>
      </c>
      <c r="F69" s="15" t="n">
        <v>0</v>
      </c>
      <c r="G69" s="15" t="s">
        <v>2309</v>
      </c>
      <c r="H69" s="15" t="s">
        <v>2310</v>
      </c>
      <c r="I69" s="15" t="s">
        <v>2310</v>
      </c>
      <c r="J69" s="15"/>
    </row>
    <row r="70" customFormat="false" ht="15" hidden="false" customHeight="false" outlineLevel="0" collapsed="false">
      <c r="A70" s="15" t="s">
        <v>2311</v>
      </c>
      <c r="B70" s="15" t="s">
        <v>17</v>
      </c>
      <c r="C70" s="15" t="s">
        <v>2281</v>
      </c>
      <c r="D70" s="15" t="n">
        <v>35</v>
      </c>
      <c r="E70" s="15" t="n">
        <v>35</v>
      </c>
      <c r="F70" s="15" t="n">
        <v>0</v>
      </c>
      <c r="G70" s="15" t="s">
        <v>2312</v>
      </c>
      <c r="H70" s="15" t="s">
        <v>2283</v>
      </c>
      <c r="I70" s="15" t="s">
        <v>2313</v>
      </c>
      <c r="J70" s="15" t="s">
        <v>2314</v>
      </c>
    </row>
    <row r="71" customFormat="false" ht="15" hidden="false" customHeight="false" outlineLevel="0" collapsed="false">
      <c r="A71" s="15" t="s">
        <v>2315</v>
      </c>
      <c r="B71" s="15" t="s">
        <v>16</v>
      </c>
      <c r="C71" s="15" t="s">
        <v>2281</v>
      </c>
      <c r="D71" s="15" t="n">
        <v>33</v>
      </c>
      <c r="E71" s="15" t="n">
        <v>33</v>
      </c>
      <c r="F71" s="15" t="n">
        <v>0</v>
      </c>
      <c r="G71" s="15" t="s">
        <v>2316</v>
      </c>
      <c r="H71" s="15" t="s">
        <v>2317</v>
      </c>
      <c r="I71" s="15" t="s">
        <v>2318</v>
      </c>
      <c r="J71" s="15" t="s">
        <v>2319</v>
      </c>
    </row>
    <row r="72" customFormat="false" ht="15" hidden="false" customHeight="false" outlineLevel="0" collapsed="false">
      <c r="A72" s="15" t="s">
        <v>2320</v>
      </c>
      <c r="B72" s="15" t="s">
        <v>17</v>
      </c>
      <c r="C72" s="15" t="s">
        <v>2281</v>
      </c>
      <c r="D72" s="15" t="n">
        <v>33</v>
      </c>
      <c r="E72" s="15" t="n">
        <v>33</v>
      </c>
      <c r="F72" s="15" t="n">
        <v>0</v>
      </c>
      <c r="G72" s="15" t="s">
        <v>2321</v>
      </c>
      <c r="H72" s="15" t="s">
        <v>2322</v>
      </c>
      <c r="I72" s="15" t="s">
        <v>2323</v>
      </c>
      <c r="J72" s="15" t="s">
        <v>2324</v>
      </c>
    </row>
    <row r="73" customFormat="false" ht="15" hidden="false" customHeight="false" outlineLevel="0" collapsed="false">
      <c r="A73" s="15" t="s">
        <v>2325</v>
      </c>
      <c r="B73" s="15" t="s">
        <v>17</v>
      </c>
      <c r="C73" s="15" t="s">
        <v>2281</v>
      </c>
      <c r="D73" s="15" t="n">
        <v>30</v>
      </c>
      <c r="E73" s="15" t="n">
        <v>30</v>
      </c>
      <c r="F73" s="15" t="n">
        <v>0</v>
      </c>
      <c r="G73" s="15" t="s">
        <v>2326</v>
      </c>
      <c r="H73" s="15" t="s">
        <v>2327</v>
      </c>
      <c r="I73" s="15" t="s">
        <v>2327</v>
      </c>
      <c r="J73" s="15" t="s">
        <v>2328</v>
      </c>
    </row>
    <row r="74" customFormat="false" ht="15" hidden="false" customHeight="false" outlineLevel="0" collapsed="false">
      <c r="A74" s="15" t="s">
        <v>2329</v>
      </c>
      <c r="B74" s="15" t="s">
        <v>16</v>
      </c>
      <c r="C74" s="15" t="s">
        <v>2281</v>
      </c>
      <c r="D74" s="15" t="n">
        <v>25</v>
      </c>
      <c r="E74" s="15" t="n">
        <v>25</v>
      </c>
      <c r="F74" s="15" t="n">
        <v>0</v>
      </c>
      <c r="G74" s="15" t="s">
        <v>2330</v>
      </c>
      <c r="H74" s="15" t="s">
        <v>2331</v>
      </c>
      <c r="I74" s="15" t="s">
        <v>2332</v>
      </c>
      <c r="J74" s="15"/>
    </row>
    <row r="75" customFormat="false" ht="15" hidden="false" customHeight="false" outlineLevel="0" collapsed="false">
      <c r="A75" s="15" t="s">
        <v>2333</v>
      </c>
      <c r="B75" s="15" t="s">
        <v>17</v>
      </c>
      <c r="C75" s="15" t="s">
        <v>2281</v>
      </c>
      <c r="D75" s="15" t="n">
        <v>16</v>
      </c>
      <c r="E75" s="15" t="n">
        <v>16</v>
      </c>
      <c r="F75" s="15" t="n">
        <v>0</v>
      </c>
      <c r="G75" s="15" t="s">
        <v>2334</v>
      </c>
      <c r="H75" s="15" t="s">
        <v>2335</v>
      </c>
      <c r="I75" s="15" t="s">
        <v>2335</v>
      </c>
      <c r="J75" s="15" t="s">
        <v>2336</v>
      </c>
    </row>
    <row r="76" customFormat="false" ht="15" hidden="false" customHeight="false" outlineLevel="0" collapsed="false">
      <c r="A76" s="15" t="s">
        <v>2337</v>
      </c>
      <c r="B76" s="15" t="s">
        <v>16</v>
      </c>
      <c r="C76" s="15" t="s">
        <v>2281</v>
      </c>
      <c r="D76" s="15" t="n">
        <v>16</v>
      </c>
      <c r="E76" s="15" t="n">
        <v>16</v>
      </c>
      <c r="F76" s="15" t="n">
        <v>0</v>
      </c>
      <c r="G76" s="15" t="s">
        <v>2338</v>
      </c>
      <c r="H76" s="15" t="s">
        <v>2339</v>
      </c>
      <c r="I76" s="15" t="s">
        <v>2339</v>
      </c>
      <c r="J76" s="15"/>
    </row>
    <row r="77" customFormat="false" ht="15" hidden="false" customHeight="false" outlineLevel="0" collapsed="false">
      <c r="A77" s="15" t="s">
        <v>2340</v>
      </c>
      <c r="B77" s="15" t="s">
        <v>16</v>
      </c>
      <c r="C77" s="15" t="s">
        <v>2281</v>
      </c>
      <c r="D77" s="15" t="n">
        <v>15</v>
      </c>
      <c r="E77" s="15" t="n">
        <v>15</v>
      </c>
      <c r="F77" s="15" t="n">
        <v>0</v>
      </c>
      <c r="G77" s="15" t="s">
        <v>2341</v>
      </c>
      <c r="H77" s="15" t="s">
        <v>2283</v>
      </c>
      <c r="I77" s="15" t="s">
        <v>2283</v>
      </c>
      <c r="J77" s="15" t="s">
        <v>2342</v>
      </c>
    </row>
    <row r="78" customFormat="false" ht="15" hidden="false" customHeight="false" outlineLevel="0" collapsed="false">
      <c r="A78" s="15" t="s">
        <v>2343</v>
      </c>
      <c r="B78" s="15" t="s">
        <v>16</v>
      </c>
      <c r="C78" s="15" t="s">
        <v>2281</v>
      </c>
      <c r="D78" s="15" t="n">
        <v>14</v>
      </c>
      <c r="E78" s="15" t="n">
        <v>14</v>
      </c>
      <c r="F78" s="15" t="n">
        <v>0</v>
      </c>
      <c r="G78" s="15" t="s">
        <v>2344</v>
      </c>
      <c r="H78" s="15" t="s">
        <v>2322</v>
      </c>
      <c r="I78" s="15" t="s">
        <v>2322</v>
      </c>
      <c r="J78" s="15" t="s">
        <v>2345</v>
      </c>
    </row>
    <row r="79" customFormat="false" ht="15" hidden="false" customHeight="false" outlineLevel="0" collapsed="false">
      <c r="A79" s="15" t="s">
        <v>2346</v>
      </c>
      <c r="B79" s="15" t="s">
        <v>16</v>
      </c>
      <c r="C79" s="15" t="s">
        <v>2281</v>
      </c>
      <c r="D79" s="15" t="n">
        <v>11</v>
      </c>
      <c r="E79" s="15" t="n">
        <v>11</v>
      </c>
      <c r="F79" s="15" t="n">
        <v>0</v>
      </c>
      <c r="G79" s="15" t="s">
        <v>2347</v>
      </c>
      <c r="H79" s="15" t="s">
        <v>2348</v>
      </c>
      <c r="I79" s="15" t="s">
        <v>2348</v>
      </c>
      <c r="J79" s="15"/>
    </row>
    <row r="80" customFormat="false" ht="15" hidden="false" customHeight="false" outlineLevel="0" collapsed="false">
      <c r="A80" s="15" t="s">
        <v>2349</v>
      </c>
      <c r="B80" s="15" t="s">
        <v>16</v>
      </c>
      <c r="C80" s="15" t="s">
        <v>2281</v>
      </c>
      <c r="D80" s="15" t="n">
        <v>10</v>
      </c>
      <c r="E80" s="15" t="n">
        <v>10</v>
      </c>
      <c r="F80" s="15" t="n">
        <v>0</v>
      </c>
      <c r="G80" s="15" t="s">
        <v>2350</v>
      </c>
      <c r="H80" s="15" t="s">
        <v>2351</v>
      </c>
      <c r="I80" s="15" t="s">
        <v>1614</v>
      </c>
      <c r="J80" s="15" t="s">
        <v>2352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110"/>
  </cols>
  <sheetData>
    <row r="1" customFormat="false" ht="15" hidden="false" customHeight="false" outlineLevel="0" collapsed="false">
      <c r="A1" s="30" t="s">
        <v>2353</v>
      </c>
      <c r="B1" s="30" t="s">
        <v>2354</v>
      </c>
      <c r="C1" s="30" t="s">
        <v>2355</v>
      </c>
    </row>
    <row r="2" customFormat="false" ht="28.35" hidden="false" customHeight="false" outlineLevel="0" collapsed="false">
      <c r="A2" s="31" t="s">
        <v>2356</v>
      </c>
      <c r="B2" s="31" t="s">
        <v>101</v>
      </c>
      <c r="C2" s="31" t="s">
        <v>2357</v>
      </c>
    </row>
    <row r="3" customFormat="false" ht="41.75" hidden="false" customHeight="false" outlineLevel="0" collapsed="false">
      <c r="A3" s="31" t="s">
        <v>2356</v>
      </c>
      <c r="B3" s="31" t="s">
        <v>102</v>
      </c>
      <c r="C3" s="31" t="s">
        <v>2358</v>
      </c>
    </row>
    <row r="4" customFormat="false" ht="15" hidden="false" customHeight="false" outlineLevel="0" collapsed="false">
      <c r="A4" s="31" t="s">
        <v>2356</v>
      </c>
      <c r="B4" s="31" t="s">
        <v>103</v>
      </c>
      <c r="C4" s="31" t="s">
        <v>2359</v>
      </c>
    </row>
    <row r="5" customFormat="false" ht="15" hidden="false" customHeight="false" outlineLevel="0" collapsed="false">
      <c r="A5" s="31" t="s">
        <v>2356</v>
      </c>
      <c r="B5" s="31" t="s">
        <v>108</v>
      </c>
      <c r="C5" s="31" t="s">
        <v>2360</v>
      </c>
    </row>
    <row r="6" customFormat="false" ht="28.35" hidden="false" customHeight="false" outlineLevel="0" collapsed="false">
      <c r="A6" s="31" t="s">
        <v>2356</v>
      </c>
      <c r="B6" s="31" t="s">
        <v>118</v>
      </c>
      <c r="C6" s="31" t="s">
        <v>2361</v>
      </c>
    </row>
    <row r="7" customFormat="false" ht="15" hidden="false" customHeight="false" outlineLevel="0" collapsed="false">
      <c r="A7" s="31" t="s">
        <v>2356</v>
      </c>
      <c r="B7" s="31" t="s">
        <v>119</v>
      </c>
      <c r="C7" s="31" t="s">
        <v>2362</v>
      </c>
    </row>
    <row r="8" customFormat="false" ht="15" hidden="false" customHeight="false" outlineLevel="0" collapsed="false">
      <c r="A8" s="31" t="s">
        <v>2356</v>
      </c>
      <c r="B8" s="31" t="s">
        <v>116</v>
      </c>
      <c r="C8" s="31" t="s">
        <v>2363</v>
      </c>
    </row>
    <row r="9" customFormat="false" ht="28.35" hidden="false" customHeight="false" outlineLevel="0" collapsed="false">
      <c r="A9" s="31" t="s">
        <v>2356</v>
      </c>
      <c r="B9" s="31" t="s">
        <v>117</v>
      </c>
      <c r="C9" s="31" t="s">
        <v>2364</v>
      </c>
    </row>
    <row r="10" customFormat="false" ht="15" hidden="false" customHeight="false" outlineLevel="0" collapsed="false">
      <c r="A10" s="31" t="s">
        <v>2356</v>
      </c>
      <c r="B10" s="31" t="s">
        <v>130</v>
      </c>
      <c r="C10" s="31" t="s">
        <v>2365</v>
      </c>
    </row>
    <row r="11" customFormat="false" ht="15" hidden="false" customHeight="false" outlineLevel="0" collapsed="false">
      <c r="A11" s="31" t="s">
        <v>2356</v>
      </c>
      <c r="B11" s="31" t="s">
        <v>2366</v>
      </c>
      <c r="C11" s="31" t="s">
        <v>2367</v>
      </c>
    </row>
    <row r="12" customFormat="false" ht="28.35" hidden="false" customHeight="false" outlineLevel="0" collapsed="false">
      <c r="A12" s="31" t="s">
        <v>2356</v>
      </c>
      <c r="B12" s="31" t="s">
        <v>2368</v>
      </c>
      <c r="C12" s="31" t="s">
        <v>2369</v>
      </c>
    </row>
    <row r="13" customFormat="false" ht="15" hidden="false" customHeight="false" outlineLevel="0" collapsed="false">
      <c r="A13" s="31" t="s">
        <v>2356</v>
      </c>
      <c r="B13" s="31" t="s">
        <v>127</v>
      </c>
      <c r="C13" s="31" t="s">
        <v>2370</v>
      </c>
    </row>
    <row r="14" customFormat="false" ht="28.35" hidden="false" customHeight="false" outlineLevel="0" collapsed="false">
      <c r="A14" s="31" t="s">
        <v>2356</v>
      </c>
      <c r="B14" s="31" t="s">
        <v>2371</v>
      </c>
      <c r="C14" s="31" t="s">
        <v>2372</v>
      </c>
    </row>
    <row r="15" customFormat="false" ht="41.75" hidden="false" customHeight="false" outlineLevel="0" collapsed="false">
      <c r="A15" s="31" t="s">
        <v>2356</v>
      </c>
      <c r="B15" s="31" t="s">
        <v>2373</v>
      </c>
      <c r="C15" s="31" t="s">
        <v>2374</v>
      </c>
    </row>
    <row r="16" customFormat="false" ht="15" hidden="false" customHeight="false" outlineLevel="0" collapsed="false">
      <c r="A16" s="31" t="s">
        <v>2356</v>
      </c>
      <c r="B16" s="31" t="s">
        <v>131</v>
      </c>
      <c r="C16" s="31" t="s">
        <v>2375</v>
      </c>
    </row>
    <row r="17" customFormat="false" ht="15" hidden="false" customHeight="false" outlineLevel="0" collapsed="false">
      <c r="A17" s="31" t="s">
        <v>2356</v>
      </c>
      <c r="B17" s="31" t="s">
        <v>2376</v>
      </c>
      <c r="C17" s="31" t="s">
        <v>2377</v>
      </c>
    </row>
    <row r="18" customFormat="false" ht="15" hidden="false" customHeight="false" outlineLevel="0" collapsed="false">
      <c r="A18" s="31" t="s">
        <v>2378</v>
      </c>
      <c r="B18" s="31" t="s">
        <v>969</v>
      </c>
      <c r="C18" s="31" t="s">
        <v>2379</v>
      </c>
    </row>
    <row r="19" customFormat="false" ht="15" hidden="false" customHeight="false" outlineLevel="0" collapsed="false">
      <c r="A19" s="31" t="s">
        <v>2378</v>
      </c>
      <c r="B19" s="31" t="s">
        <v>101</v>
      </c>
      <c r="C19" s="31" t="s">
        <v>2380</v>
      </c>
    </row>
    <row r="20" customFormat="false" ht="15" hidden="false" customHeight="false" outlineLevel="0" collapsed="false">
      <c r="A20" s="31" t="s">
        <v>2378</v>
      </c>
      <c r="B20" s="31" t="s">
        <v>973</v>
      </c>
      <c r="C20" s="31" t="s">
        <v>2381</v>
      </c>
    </row>
    <row r="21" customFormat="false" ht="15" hidden="false" customHeight="false" outlineLevel="0" collapsed="false">
      <c r="A21" s="31" t="s">
        <v>2378</v>
      </c>
      <c r="B21" s="31" t="s">
        <v>975</v>
      </c>
      <c r="C21" s="31" t="s">
        <v>2382</v>
      </c>
    </row>
    <row r="22" customFormat="false" ht="15" hidden="false" customHeight="false" outlineLevel="0" collapsed="false">
      <c r="A22" s="31" t="s">
        <v>2378</v>
      </c>
      <c r="B22" s="31" t="s">
        <v>982</v>
      </c>
      <c r="C22" s="31" t="s">
        <v>2383</v>
      </c>
    </row>
    <row r="23" customFormat="false" ht="28.35" hidden="false" customHeight="false" outlineLevel="0" collapsed="false">
      <c r="A23" s="31" t="s">
        <v>2378</v>
      </c>
      <c r="B23" s="31" t="s">
        <v>990</v>
      </c>
      <c r="C23" s="31" t="s">
        <v>2384</v>
      </c>
    </row>
    <row r="24" customFormat="false" ht="28.35" hidden="false" customHeight="false" outlineLevel="0" collapsed="false">
      <c r="A24" s="31" t="s">
        <v>2378</v>
      </c>
      <c r="B24" s="31" t="s">
        <v>2385</v>
      </c>
      <c r="C24" s="31" t="s">
        <v>2386</v>
      </c>
    </row>
    <row r="25" customFormat="false" ht="15" hidden="false" customHeight="false" outlineLevel="0" collapsed="false">
      <c r="A25" s="31" t="s">
        <v>2378</v>
      </c>
      <c r="B25" s="31" t="s">
        <v>1000</v>
      </c>
      <c r="C25" s="31" t="s">
        <v>2387</v>
      </c>
    </row>
    <row r="26" customFormat="false" ht="28.35" hidden="false" customHeight="false" outlineLevel="0" collapsed="false">
      <c r="A26" s="31" t="s">
        <v>2378</v>
      </c>
      <c r="B26" s="31" t="s">
        <v>2388</v>
      </c>
      <c r="C26" s="31" t="s">
        <v>2389</v>
      </c>
    </row>
    <row r="27" customFormat="false" ht="41.75" hidden="false" customHeight="false" outlineLevel="0" collapsed="false">
      <c r="A27" s="31" t="s">
        <v>2378</v>
      </c>
      <c r="B27" s="31" t="s">
        <v>2390</v>
      </c>
      <c r="C27" s="31" t="s">
        <v>2391</v>
      </c>
    </row>
    <row r="28" customFormat="false" ht="15" hidden="false" customHeight="false" outlineLevel="0" collapsed="false">
      <c r="A28" s="31" t="s">
        <v>2378</v>
      </c>
      <c r="B28" s="31" t="s">
        <v>2392</v>
      </c>
      <c r="C28" s="31" t="s">
        <v>2393</v>
      </c>
    </row>
    <row r="29" customFormat="false" ht="28.35" hidden="false" customHeight="false" outlineLevel="0" collapsed="false">
      <c r="A29" s="31" t="s">
        <v>2378</v>
      </c>
      <c r="B29" s="31" t="s">
        <v>2394</v>
      </c>
      <c r="C29" s="31" t="s">
        <v>2395</v>
      </c>
    </row>
    <row r="30" customFormat="false" ht="15" hidden="false" customHeight="false" outlineLevel="0" collapsed="false">
      <c r="A30" s="31" t="s">
        <v>2396</v>
      </c>
      <c r="B30" s="31" t="s">
        <v>2397</v>
      </c>
      <c r="C30" s="31" t="s">
        <v>2398</v>
      </c>
    </row>
    <row r="31" customFormat="false" ht="15" hidden="false" customHeight="false" outlineLevel="0" collapsed="false">
      <c r="A31" s="31" t="s">
        <v>2378</v>
      </c>
      <c r="B31" s="31" t="s">
        <v>154</v>
      </c>
      <c r="C31" s="31" t="s">
        <v>2399</v>
      </c>
    </row>
    <row r="32" customFormat="false" ht="41.75" hidden="false" customHeight="false" outlineLevel="0" collapsed="false">
      <c r="A32" s="31" t="s">
        <v>2356</v>
      </c>
      <c r="B32" s="31" t="s">
        <v>120</v>
      </c>
      <c r="C32" s="31" t="s">
        <v>2400</v>
      </c>
    </row>
    <row r="33" customFormat="false" ht="28.35" hidden="false" customHeight="false" outlineLevel="0" collapsed="false">
      <c r="A33" s="31" t="s">
        <v>2396</v>
      </c>
      <c r="B33" s="31" t="s">
        <v>134</v>
      </c>
      <c r="C33" s="31" t="s">
        <v>2401</v>
      </c>
    </row>
    <row r="34" customFormat="false" ht="15" hidden="false" customHeight="false" outlineLevel="0" collapsed="false">
      <c r="A34" s="31" t="s">
        <v>2402</v>
      </c>
      <c r="B34" s="31" t="s">
        <v>2403</v>
      </c>
      <c r="C34" s="31" t="s">
        <v>2404</v>
      </c>
    </row>
    <row r="35" customFormat="false" ht="28.35" hidden="false" customHeight="false" outlineLevel="0" collapsed="false">
      <c r="A35" s="31" t="s">
        <v>2396</v>
      </c>
      <c r="B35" s="31" t="s">
        <v>155</v>
      </c>
      <c r="C35" s="31" t="s">
        <v>2405</v>
      </c>
    </row>
    <row r="36" customFormat="false" ht="28.35" hidden="false" customHeight="false" outlineLevel="0" collapsed="false">
      <c r="A36" s="31" t="s">
        <v>2378</v>
      </c>
      <c r="B36" s="31" t="s">
        <v>978</v>
      </c>
      <c r="C36" s="31" t="s">
        <v>2406</v>
      </c>
    </row>
    <row r="37" customFormat="false" ht="15" hidden="false" customHeight="false" outlineLevel="0" collapsed="false">
      <c r="A37" s="31" t="s">
        <v>2396</v>
      </c>
      <c r="B37" s="31" t="s">
        <v>2407</v>
      </c>
      <c r="C37" s="31" t="s">
        <v>2408</v>
      </c>
    </row>
    <row r="38" customFormat="false" ht="15" hidden="false" customHeight="false" outlineLevel="0" collapsed="false">
      <c r="A38" s="31" t="s">
        <v>2396</v>
      </c>
      <c r="B38" s="31" t="s">
        <v>139</v>
      </c>
      <c r="C38" s="31" t="s">
        <v>2409</v>
      </c>
    </row>
    <row r="39" customFormat="false" ht="15" hidden="false" customHeight="false" outlineLevel="0" collapsed="false">
      <c r="A39" s="31" t="s">
        <v>2396</v>
      </c>
      <c r="B39" s="31" t="s">
        <v>142</v>
      </c>
      <c r="C39" s="31" t="s">
        <v>2410</v>
      </c>
    </row>
    <row r="40" customFormat="false" ht="15" hidden="false" customHeight="false" outlineLevel="0" collapsed="false">
      <c r="A40" s="31" t="s">
        <v>2396</v>
      </c>
      <c r="B40" s="31" t="s">
        <v>143</v>
      </c>
      <c r="C40" s="31" t="s">
        <v>2411</v>
      </c>
    </row>
    <row r="41" customFormat="false" ht="15" hidden="false" customHeight="false" outlineLevel="0" collapsed="false">
      <c r="A41" s="31" t="s">
        <v>2412</v>
      </c>
      <c r="B41" s="31" t="s">
        <v>2413</v>
      </c>
      <c r="C41" s="31" t="s">
        <v>2414</v>
      </c>
    </row>
    <row r="42" customFormat="false" ht="28.35" hidden="false" customHeight="false" outlineLevel="0" collapsed="false">
      <c r="A42" s="31" t="s">
        <v>2412</v>
      </c>
      <c r="B42" s="31" t="s">
        <v>2415</v>
      </c>
      <c r="C42" s="31" t="s">
        <v>2416</v>
      </c>
    </row>
    <row r="43" customFormat="false" ht="28.35" hidden="false" customHeight="false" outlineLevel="0" collapsed="false">
      <c r="A43" s="31" t="s">
        <v>2412</v>
      </c>
      <c r="B43" s="31" t="s">
        <v>2417</v>
      </c>
      <c r="C43" s="31" t="s">
        <v>2418</v>
      </c>
    </row>
    <row r="44" customFormat="false" ht="28.35" hidden="false" customHeight="false" outlineLevel="0" collapsed="false">
      <c r="A44" s="31" t="s">
        <v>2412</v>
      </c>
      <c r="B44" s="31" t="s">
        <v>2419</v>
      </c>
      <c r="C44" s="31" t="s">
        <v>2420</v>
      </c>
    </row>
    <row r="45" customFormat="false" ht="28.35" hidden="false" customHeight="false" outlineLevel="0" collapsed="false">
      <c r="A45" s="31" t="s">
        <v>2412</v>
      </c>
      <c r="B45" s="31" t="s">
        <v>2421</v>
      </c>
      <c r="C45" s="31" t="s">
        <v>2422</v>
      </c>
    </row>
    <row r="46" customFormat="false" ht="28.35" hidden="false" customHeight="false" outlineLevel="0" collapsed="false">
      <c r="A46" s="31" t="s">
        <v>2412</v>
      </c>
      <c r="B46" s="31" t="s">
        <v>97</v>
      </c>
      <c r="C46" s="31" t="s">
        <v>2423</v>
      </c>
    </row>
    <row r="47" customFormat="false" ht="15" hidden="false" customHeight="false" outlineLevel="0" collapsed="false">
      <c r="A47" s="31" t="s">
        <v>2412</v>
      </c>
      <c r="B47" s="31" t="s">
        <v>2424</v>
      </c>
      <c r="C47" s="31" t="s">
        <v>2425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2026-10-23T11:52:53Z</dcterms:created>
  <dc:creator>openpyxl</dc:creator>
  <dc:description/>
  <dc:language>en-US</dc:language>
  <cp:lastModifiedBy/>
  <dcterms:modified xsi:type="dcterms:W3CDTF">2026-10-23T11:52:54Z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