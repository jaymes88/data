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reakdowns" sheetId="2" state="visible" r:id="rId4"/>
    <sheet name="Sites" sheetId="3" state="visible" r:id="rId5"/>
    <sheet name="Schemes" sheetId="4" state="visible" r:id="rId6"/>
    <sheet name="CSO reconciliation" sheetId="5" state="visible" r:id="rId7"/>
    <sheet name="Assumptions" sheetId="6" state="visible" r:id="rId8"/>
  </sheets>
  <definedNames>
    <definedName function="false" hidden="true" localSheetId="3" name="_xlnm._FilterDatabase" vbProcedure="false">Schemes!$A$1:$AC$264</definedName>
    <definedName function="false" hidden="true" localSheetId="2" name="_xlnm._FilterDatabase" vbProcedure="false">Sites!$A$1:$U$135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<sst xmlns="http://schemas.openxmlformats.org/spreadsheetml/2006/main" count="5886" uniqueCount="1906">
  <si>
    <t xml:space="preserve">Limerick housing supply – audit land, consents and expected delivery</t>
  </si>
  <si>
    <t xml:space="preserve">Council city sites audit (134 sites; county audit not yet supplied) and counted residential permissions. Planning status at 08/10/2026.</t>
  </si>
  <si>
    <t xml:space="preserve">Headline</t>
  </si>
  <si>
    <t xml:space="preserve">Value</t>
  </si>
  <si>
    <t xml:space="preserve">Audit land (ha)</t>
  </si>
  <si>
    <t xml:space="preserve">Audit sites</t>
  </si>
  <si>
    <t xml:space="preserve">Estimated unit capacity on audit land</t>
  </si>
  <si>
    <t xml:space="preserve">Consented on audit land (within sites)</t>
  </si>
  <si>
    <t xml:space="preserve">Share of capacity consented</t>
  </si>
  <si>
    <t xml:space="preserve">Residual capacity (sum of sites)</t>
  </si>
  <si>
    <t xml:space="preserve">Consented partly on / at edge of audit sites (check)</t>
  </si>
  <si>
    <t xml:space="preserve">Consented in city outside audit land</t>
  </si>
  <si>
    <t xml:space="preserve">Consented in county (audit pending)</t>
  </si>
  <si>
    <t xml:space="preserve">All consented units</t>
  </si>
  <si>
    <t xml:space="preserve">Student bedspaces consented (PBSA)*</t>
  </si>
  <si>
    <t xml:space="preserve">Expected completions Q4 2026–2030, tracked schemes</t>
  </si>
  <si>
    <t xml:space="preserve">+ small schemes and one-off houses (CSO-based)</t>
  </si>
  <si>
    <t xml:space="preserve">* PBSA schemes are counted in the unit totals by their recorded units (cluster apartments), not bedspaces. See Breakdowns.</t>
  </si>
  <si>
    <t xml:space="preserve">1. Audit land and capacity by landowner (city)</t>
  </si>
  <si>
    <t xml:space="preserve">Landowner</t>
  </si>
  <si>
    <t xml:space="preserve">Sites</t>
  </si>
  <si>
    <t xml:space="preserve">Area (ha)</t>
  </si>
  <si>
    <t xml:space="preserve">Capacity</t>
  </si>
  <si>
    <t xml:space="preserve">Complete</t>
  </si>
  <si>
    <t xml:space="preserve">Under constr.</t>
  </si>
  <si>
    <t xml:space="preserve">Permitted, not started</t>
  </si>
  <si>
    <t xml:space="preserve">Consented</t>
  </si>
  <si>
    <t xml:space="preserve">Residual</t>
  </si>
  <si>
    <t xml:space="preserve">Council</t>
  </si>
  <si>
    <t xml:space="preserve">Private</t>
  </si>
  <si>
    <t xml:space="preserve">Unknown</t>
  </si>
  <si>
    <t xml:space="preserve">Total</t>
  </si>
  <si>
    <t xml:space="preserve">2. Residential permissions by location and status (units)</t>
  </si>
  <si>
    <t xml:space="preserve">Location</t>
  </si>
  <si>
    <t xml:space="preserve">Under construction</t>
  </si>
  <si>
    <t xml:space="preserve">Not started – permission live</t>
  </si>
  <si>
    <t xml:space="preserve">Stalled (CIS)</t>
  </si>
  <si>
    <t xml:space="preserve">Consented total</t>
  </si>
  <si>
    <t xml:space="preserve">Expired, not started</t>
  </si>
  <si>
    <t xml:space="preserve">In planning</t>
  </si>
  <si>
    <t xml:space="preserve">Audit land – within site</t>
  </si>
  <si>
    <t xml:space="preserve">Audit land – partly on / edge (check)</t>
  </si>
  <si>
    <t xml:space="preserve">City – outside audit land</t>
  </si>
  <si>
    <t xml:space="preserve">County – audit not yet supplied</t>
  </si>
  <si>
    <t xml:space="preserve">3. Consented units by sector and location</t>
  </si>
  <si>
    <t xml:space="preserve">Sector</t>
  </si>
  <si>
    <t xml:space="preserve">Audit land – partly / edge</t>
  </si>
  <si>
    <t xml:space="preserve">County</t>
  </si>
  <si>
    <t xml:space="preserve">Share</t>
  </si>
  <si>
    <t xml:space="preserve">Public – local authority</t>
  </si>
  <si>
    <t xml:space="preserve">Public – AHB</t>
  </si>
  <si>
    <t xml:space="preserve">Public – LDA</t>
  </si>
  <si>
    <t xml:space="preserve">Public subtotal (LA + AHB + LDA)</t>
  </si>
  <si>
    <t xml:space="preserve">4. Expected completions by year and sector (consented, not yet complete)</t>
  </si>
  <si>
    <t xml:space="preserve">Q4 2026</t>
  </si>
  <si>
    <t xml:space="preserve">2027</t>
  </si>
  <si>
    <t xml:space="preserve">2028</t>
  </si>
  <si>
    <t xml:space="preserve">2029</t>
  </si>
  <si>
    <t xml:space="preserve">2030</t>
  </si>
  <si>
    <t xml:space="preserve">2031+</t>
  </si>
  <si>
    <t xml:space="preserve">Total projected</t>
  </si>
  <si>
    <t xml:space="preserve">Not projected*</t>
  </si>
  <si>
    <t xml:space="preserve">Small schemes and one-off houses (allowance)</t>
  </si>
  <si>
    <t xml:space="preserve">* Stalled, expired or still in planning. Shown for reference, not placed in a year. Allowance = one-off houses and 2–9 unit schemes the tracker does not hold (CSO reconciliation sheet).</t>
  </si>
  <si>
    <t xml:space="preserve">5. Expected completions by year and location</t>
  </si>
  <si>
    <t xml:space="preserve">6. Expected completions by year and confidence</t>
  </si>
  <si>
    <t xml:space="preserve">Confidence</t>
  </si>
  <si>
    <t xml:space="preserve">High</t>
  </si>
  <si>
    <t xml:space="preserve">Medium</t>
  </si>
  <si>
    <t xml:space="preserve">Low</t>
  </si>
  <si>
    <t xml:space="preserve">High = on site. Medium = permitted and within the usual time to start, or at tender / contract awarded. Low = permitted but past the usual start date with no commencement, or expiry falls before the assumed start.</t>
  </si>
  <si>
    <t xml:space="preserve">Interpretation</t>
  </si>
  <si>
    <t xml:space="preserve">• Consents within audit sites cover 37% of the estimated capacity on audit land. Most audit land has no permission yet.</t>
  </si>
  <si>
    <t xml:space="preserve">• 37% of consented units in the city are outside the audit land. 2,529 of those are complete or under construction, so this is real supply that a site-based target would miss.</t>
  </si>
  <si>
    <t xml:space="preserve">• 4,064 units are under construction. These are the most reliable part of the next two years.</t>
  </si>
  <si>
    <t xml:space="preserve">• 4,987 units have a live permission but no start. 1,423 of them are past the usual time to start or close to expiry, so they are rated low confidence.</t>
  </si>
  <si>
    <t xml:space="preserve">• Public bodies (council, AHBs, LDA) hold 15% of consented units.</t>
  </si>
  <si>
    <t xml:space="preserve">• Projected completions peak in 2027. Figures after 2028 depend mostly on permissions that have not started, so treat them as an upper figure.</t>
  </si>
  <si>
    <t xml:space="preserve">• CSO and the planning register agree closely over 2018–2025 (8,846 vs 9,416 units permitted). The tracker holds the larger schemes; about 183 one-off houses and 79 units in 2–9 unit schemes are permitted each year outside it (2023–2025). At 73% built, that adds about 191 homes a year to the projection.</t>
  </si>
  <si>
    <t xml:space="preserve">• Delivery years are our estimates from timings observed in Limerick (see Assumptions). They are not developer programmes.</t>
  </si>
  <si>
    <t xml:space="preserve">Breakdowns</t>
  </si>
  <si>
    <t xml:space="preserve">City neighbourhoods: audit land, capacity and consents</t>
  </si>
  <si>
    <t xml:space="preserve">Neighbourhood</t>
  </si>
  <si>
    <t xml:space="preserve">Consented within sites</t>
  </si>
  <si>
    <t xml:space="preserve">Consented, partly / edge</t>
  </si>
  <si>
    <t xml:space="preserve">Consented outside audit land</t>
  </si>
  <si>
    <t xml:space="preserve">All consented</t>
  </si>
  <si>
    <t xml:space="preserve">Ballinacurra</t>
  </si>
  <si>
    <t xml:space="preserve">Caherdavin</t>
  </si>
  <si>
    <t xml:space="preserve">Castletroy/Annacotty</t>
  </si>
  <si>
    <t xml:space="preserve">City Centre</t>
  </si>
  <si>
    <t xml:space="preserve">Corbally/Grove Island</t>
  </si>
  <si>
    <t xml:space="preserve">Dooradoyle</t>
  </si>
  <si>
    <t xml:space="preserve">Kings Island</t>
  </si>
  <si>
    <t xml:space="preserve">Singland/Garryowen</t>
  </si>
  <si>
    <t xml:space="preserve">Southhill</t>
  </si>
  <si>
    <t xml:space="preserve">Consents within sites are counted by the scheme’s own neighbourhood, so a few may sit in a different row from the site they fall on near a boundary.</t>
  </si>
  <si>
    <t xml:space="preserve">Consented units by tenure and location</t>
  </si>
  <si>
    <t xml:space="preserve">Tenure</t>
  </si>
  <si>
    <t xml:space="preserve">Market (incl. Part V)</t>
  </si>
  <si>
    <t xml:space="preserve">Social</t>
  </si>
  <si>
    <t xml:space="preserve">Affordable / cost rental</t>
  </si>
  <si>
    <t xml:space="preserve">Student (PBSA)</t>
  </si>
  <si>
    <t xml:space="preserve">Consented units by sector and status</t>
  </si>
  <si>
    <t xml:space="preserve">Not started – past expiry</t>
  </si>
  <si>
    <t xml:space="preserve">Purpose-built student accommodation: units and bedspaces</t>
  </si>
  <si>
    <t xml:space="preserve">Scheme</t>
  </si>
  <si>
    <t xml:space="preserve">Planning ref</t>
  </si>
  <si>
    <t xml:space="preserve">Status</t>
  </si>
  <si>
    <t xml:space="preserve">Units (in totals)</t>
  </si>
  <si>
    <t xml:space="preserve">Bedspaces</t>
  </si>
  <si>
    <t xml:space="preserve">Est. start</t>
  </si>
  <si>
    <t xml:space="preserve">Est. last completions</t>
  </si>
  <si>
    <t xml:space="preserve">€87m - Student Accommodation, Castletroy</t>
  </si>
  <si>
    <t xml:space="preserve">2560113</t>
  </si>
  <si>
    <t xml:space="preserve">2027 Q2</t>
  </si>
  <si>
    <t xml:space="preserve">2029 Q2</t>
  </si>
  <si>
    <t xml:space="preserve">€42m - Large Residential Development, Castletroy</t>
  </si>
  <si>
    <t xml:space="preserve">2660089</t>
  </si>
  <si>
    <t xml:space="preserve">2028 Q2</t>
  </si>
  <si>
    <t xml:space="preserve">2037 Q3</t>
  </si>
  <si>
    <t xml:space="preserve">€14m - Old Dublin Road Student Village LRD, Limerick City</t>
  </si>
  <si>
    <t xml:space="preserve">221216</t>
  </si>
  <si>
    <t xml:space="preserve">2024 Q4</t>
  </si>
  <si>
    <t xml:space="preserve">€5.9m - Student Accommodation Development </t>
  </si>
  <si>
    <t xml:space="preserve">221172</t>
  </si>
  <si>
    <t xml:space="preserve">2027 Q3</t>
  </si>
  <si>
    <t xml:space="preserve">2028 Q4</t>
  </si>
  <si>
    <t xml:space="preserve">€9.4m - Student Accommodation Development, Limerick</t>
  </si>
  <si>
    <t xml:space="preserve">2561232</t>
  </si>
  <si>
    <t xml:space="preserve">2027 Q4</t>
  </si>
  <si>
    <t xml:space="preserve">2029 Q3</t>
  </si>
  <si>
    <t xml:space="preserve">€8.5m - Student Accommodation Development, Former Hassett’s Bar</t>
  </si>
  <si>
    <t xml:space="preserve">19710</t>
  </si>
  <si>
    <t xml:space="preserve">Not projected</t>
  </si>
  <si>
    <t xml:space="preserve">€919k - Student Accommodation Development, Saint Gerard Street</t>
  </si>
  <si>
    <t xml:space="preserve">201142</t>
  </si>
  <si>
    <t xml:space="preserve">Total (consented, excl. expired)</t>
  </si>
  <si>
    <t xml:space="preserve">Units are as recorded by CIS (usually cluster apartments). Bedspaces from the PBSA schedule or the planning register. Whitebox (25/60113): 196 units, 1,400 bedspaces. Existing PBSA stock is not pipeline and is not included.</t>
  </si>
  <si>
    <t xml:space="preserve">Site id</t>
  </si>
  <si>
    <t xml:space="preserve">Rsca</t>
  </si>
  <si>
    <t xml:space="preserve">Local name</t>
  </si>
  <si>
    <t xml:space="preserve">Zoning</t>
  </si>
  <si>
    <t xml:space="preserve">Site type</t>
  </si>
  <si>
    <t xml:space="preserve">Register status</t>
  </si>
  <si>
    <t xml:space="preserve">Area ha</t>
  </si>
  <si>
    <t xml:space="preserve">Capacity units</t>
  </si>
  <si>
    <t xml:space="preserve">Complete units</t>
  </si>
  <si>
    <t xml:space="preserve">Under construction units</t>
  </si>
  <si>
    <t xml:space="preserve">Permitted not started units</t>
  </si>
  <si>
    <t xml:space="preserve">Consented units</t>
  </si>
  <si>
    <t xml:space="preserve">Residual capacity</t>
  </si>
  <si>
    <t xml:space="preserve">Expired not started units</t>
  </si>
  <si>
    <t xml:space="preserve">In planning units</t>
  </si>
  <si>
    <t xml:space="preserve">Edge match units</t>
  </si>
  <si>
    <t xml:space="preserve">Permissions on site</t>
  </si>
  <si>
    <t xml:space="preserve">Flag</t>
  </si>
  <si>
    <t xml:space="preserve">Reconcile action</t>
  </si>
  <si>
    <t xml:space="preserve">CITY-129</t>
  </si>
  <si>
    <t xml:space="preserve">New Resi</t>
  </si>
  <si>
    <t xml:space="preserve">Brownfield</t>
  </si>
  <si>
    <t xml:space="preserve">Undeveloped/Permission Sought</t>
  </si>
  <si>
    <t xml:space="preserve">Unchanged</t>
  </si>
  <si>
    <t xml:space="preserve">CITY-130</t>
  </si>
  <si>
    <t xml:space="preserve">Exist Resi</t>
  </si>
  <si>
    <t xml:space="preserve">Infill</t>
  </si>
  <si>
    <t xml:space="preserve">CITY-131</t>
  </si>
  <si>
    <t xml:space="preserve">CITY-132</t>
  </si>
  <si>
    <t xml:space="preserve">Dock Rd</t>
  </si>
  <si>
    <t xml:space="preserve">CITY-133</t>
  </si>
  <si>
    <t xml:space="preserve">Complete/Commenced</t>
  </si>
  <si>
    <t xml:space="preserve">Consented above capacity</t>
  </si>
  <si>
    <t xml:space="preserve">Reduced Area</t>
  </si>
  <si>
    <t xml:space="preserve">CITY-1</t>
  </si>
  <si>
    <t xml:space="preserve">Northside</t>
  </si>
  <si>
    <t xml:space="preserve">Greenfield</t>
  </si>
  <si>
    <t xml:space="preserve">Permission Granted</t>
  </si>
  <si>
    <t xml:space="preserve">CITY-2</t>
  </si>
  <si>
    <t xml:space="preserve">Reinstated: removed in council review with no reason recorded; adjoining land built under 17/470, this remainder undeveloped</t>
  </si>
  <si>
    <t xml:space="preserve">CITY-3</t>
  </si>
  <si>
    <t xml:space="preserve">CITY-5</t>
  </si>
  <si>
    <t xml:space="preserve">CITY-6</t>
  </si>
  <si>
    <t xml:space="preserve">Local Centre</t>
  </si>
  <si>
    <t xml:space="preserve">CITY-7</t>
  </si>
  <si>
    <t xml:space="preserve">CITY-8</t>
  </si>
  <si>
    <t xml:space="preserve">CITY-9</t>
  </si>
  <si>
    <t xml:space="preserve">CITY-10</t>
  </si>
  <si>
    <t xml:space="preserve">CITY-12</t>
  </si>
  <si>
    <t xml:space="preserve">Mixed Use</t>
  </si>
  <si>
    <t xml:space="preserve">Unchanged (council file landowner "EOI", owner not stated: shown as Unknown)</t>
  </si>
  <si>
    <t xml:space="preserve">CITY-13</t>
  </si>
  <si>
    <t xml:space="preserve">Edge match – check boundary</t>
  </si>
  <si>
    <t xml:space="preserve">CITY-14</t>
  </si>
  <si>
    <t xml:space="preserve">Register says permitted/complete but no permission linked</t>
  </si>
  <si>
    <t xml:space="preserve">CITY-15</t>
  </si>
  <si>
    <t xml:space="preserve">CITY-16</t>
  </si>
  <si>
    <t xml:space="preserve">CITY-20</t>
  </si>
  <si>
    <t xml:space="preserve">CITY-21</t>
  </si>
  <si>
    <t xml:space="preserve">CITY-24</t>
  </si>
  <si>
    <t xml:space="preserve">CITY-25</t>
  </si>
  <si>
    <t xml:space="preserve">CITY-164</t>
  </si>
  <si>
    <t xml:space="preserve">Addition</t>
  </si>
  <si>
    <t xml:space="preserve">CITY-53</t>
  </si>
  <si>
    <t xml:space="preserve">Castletroy</t>
  </si>
  <si>
    <t xml:space="preserve">CITY-54</t>
  </si>
  <si>
    <t xml:space="preserve">CITY-56</t>
  </si>
  <si>
    <t xml:space="preserve">CITY-57</t>
  </si>
  <si>
    <t xml:space="preserve">CITY-60</t>
  </si>
  <si>
    <t xml:space="preserve">CITY-61</t>
  </si>
  <si>
    <t xml:space="preserve">CITY-62</t>
  </si>
  <si>
    <t xml:space="preserve">CITY-63</t>
  </si>
  <si>
    <t xml:space="preserve">CITY-65</t>
  </si>
  <si>
    <t xml:space="preserve">CITY-66</t>
  </si>
  <si>
    <t xml:space="preserve">CITY-67</t>
  </si>
  <si>
    <t xml:space="preserve">CITY-69</t>
  </si>
  <si>
    <t xml:space="preserve">CITY-70</t>
  </si>
  <si>
    <t xml:space="preserve">CITY-71</t>
  </si>
  <si>
    <t xml:space="preserve">CITY-72</t>
  </si>
  <si>
    <t xml:space="preserve">CITY-159</t>
  </si>
  <si>
    <t xml:space="preserve">CITY-22</t>
  </si>
  <si>
    <t xml:space="preserve">City C</t>
  </si>
  <si>
    <t xml:space="preserve">CITY-23</t>
  </si>
  <si>
    <t xml:space="preserve">CITY-86</t>
  </si>
  <si>
    <t xml:space="preserve">CITY-87</t>
  </si>
  <si>
    <t xml:space="preserve">CITY-88</t>
  </si>
  <si>
    <t xml:space="preserve">CITY-89</t>
  </si>
  <si>
    <t xml:space="preserve">CITY-91</t>
  </si>
  <si>
    <t xml:space="preserve">CITY-92</t>
  </si>
  <si>
    <t xml:space="preserve">CITY-93</t>
  </si>
  <si>
    <t xml:space="preserve">CITY-95</t>
  </si>
  <si>
    <t xml:space="preserve">CITY-97</t>
  </si>
  <si>
    <t xml:space="preserve">CITY-99</t>
  </si>
  <si>
    <t xml:space="preserve">CITY-101</t>
  </si>
  <si>
    <t xml:space="preserve">CITY-102</t>
  </si>
  <si>
    <t xml:space="preserve">CITY-104</t>
  </si>
  <si>
    <t xml:space="preserve">CITY-105</t>
  </si>
  <si>
    <t xml:space="preserve">CITY-106</t>
  </si>
  <si>
    <t xml:space="preserve">CITY-107</t>
  </si>
  <si>
    <t xml:space="preserve">CITY-108</t>
  </si>
  <si>
    <t xml:space="preserve">CITY-162</t>
  </si>
  <si>
    <t xml:space="preserve">CITY-163</t>
  </si>
  <si>
    <t xml:space="preserve">CITY-26</t>
  </si>
  <si>
    <t xml:space="preserve">Corbally</t>
  </si>
  <si>
    <t xml:space="preserve">CITY-27</t>
  </si>
  <si>
    <t xml:space="preserve">CITY-28</t>
  </si>
  <si>
    <t xml:space="preserve">CITY-29</t>
  </si>
  <si>
    <t xml:space="preserve">CITY-30</t>
  </si>
  <si>
    <t xml:space="preserve">CITY-31</t>
  </si>
  <si>
    <t xml:space="preserve">CITY-32</t>
  </si>
  <si>
    <t xml:space="preserve">CITY-33</t>
  </si>
  <si>
    <t xml:space="preserve">CITY-34</t>
  </si>
  <si>
    <t xml:space="preserve">CITY-134</t>
  </si>
  <si>
    <t xml:space="preserve">CITY-135</t>
  </si>
  <si>
    <t xml:space="preserve">CITY-136</t>
  </si>
  <si>
    <t xml:space="preserve">CITY-137</t>
  </si>
  <si>
    <t xml:space="preserve">CITY-139</t>
  </si>
  <si>
    <t xml:space="preserve">CITY-141</t>
  </si>
  <si>
    <t xml:space="preserve">CITY-142</t>
  </si>
  <si>
    <t xml:space="preserve">CITY-143</t>
  </si>
  <si>
    <t xml:space="preserve">CITY-144</t>
  </si>
  <si>
    <t xml:space="preserve">CITY-145</t>
  </si>
  <si>
    <t xml:space="preserve">CITY-146</t>
  </si>
  <si>
    <t xml:space="preserve">CITY-147</t>
  </si>
  <si>
    <t xml:space="preserve">CITY-148</t>
  </si>
  <si>
    <t xml:space="preserve">CITY-149</t>
  </si>
  <si>
    <t xml:space="preserve">CITY-151</t>
  </si>
  <si>
    <t xml:space="preserve">CITY-152</t>
  </si>
  <si>
    <t xml:space="preserve">CITY-153</t>
  </si>
  <si>
    <t xml:space="preserve">CITY-154</t>
  </si>
  <si>
    <t xml:space="preserve">CITY-155</t>
  </si>
  <si>
    <t xml:space="preserve">CITY-156</t>
  </si>
  <si>
    <t xml:space="preserve">CITY-160</t>
  </si>
  <si>
    <t xml:space="preserve">CITY-35</t>
  </si>
  <si>
    <t xml:space="preserve">Reinstated: removed because it already had approval (Part 8 19/8004, 27 older persons homes, not started), unlike the 28 permitted sites the council kept</t>
  </si>
  <si>
    <t xml:space="preserve">CITY-40</t>
  </si>
  <si>
    <t xml:space="preserve">CITY-41</t>
  </si>
  <si>
    <t xml:space="preserve">CITY-168</t>
  </si>
  <si>
    <t xml:space="preserve">CITY-43</t>
  </si>
  <si>
    <t xml:space="preserve">Garryowen</t>
  </si>
  <si>
    <t xml:space="preserve">CITY-45</t>
  </si>
  <si>
    <t xml:space="preserve">CITY-46</t>
  </si>
  <si>
    <t xml:space="preserve">CITY-47</t>
  </si>
  <si>
    <t xml:space="preserve">CITY-49</t>
  </si>
  <si>
    <t xml:space="preserve">CITY-50</t>
  </si>
  <si>
    <t xml:space="preserve">CITY-51</t>
  </si>
  <si>
    <t xml:space="preserve">CITY-52</t>
  </si>
  <si>
    <t xml:space="preserve">CITY-75</t>
  </si>
  <si>
    <t xml:space="preserve">CITY-77</t>
  </si>
  <si>
    <t xml:space="preserve">CITY-78</t>
  </si>
  <si>
    <t xml:space="preserve">CITY-79</t>
  </si>
  <si>
    <t xml:space="preserve">CITY-80</t>
  </si>
  <si>
    <t xml:space="preserve">CITY-81</t>
  </si>
  <si>
    <t xml:space="preserve">CITY-82</t>
  </si>
  <si>
    <t xml:space="preserve">CITY-83</t>
  </si>
  <si>
    <t xml:space="preserve">CITY-84</t>
  </si>
  <si>
    <t xml:space="preserve">CITY-109</t>
  </si>
  <si>
    <t xml:space="preserve">CITY-169</t>
  </si>
  <si>
    <t xml:space="preserve">CITY-74</t>
  </si>
  <si>
    <t xml:space="preserve">CITY-76</t>
  </si>
  <si>
    <t xml:space="preserve">CITY-110</t>
  </si>
  <si>
    <t xml:space="preserve">CITY-111</t>
  </si>
  <si>
    <t xml:space="preserve">CITY-112</t>
  </si>
  <si>
    <t xml:space="preserve">Reinstated: removed in council review with no reason recorded; council-owned, undeveloped, no permission. Irregular narrow shape, so the density-based capacity may overstate what fits</t>
  </si>
  <si>
    <t xml:space="preserve">CITY-113</t>
  </si>
  <si>
    <t xml:space="preserve">CITY-114</t>
  </si>
  <si>
    <t xml:space="preserve">CITY-115</t>
  </si>
  <si>
    <t xml:space="preserve">Southill</t>
  </si>
  <si>
    <t xml:space="preserve">CITY-116</t>
  </si>
  <si>
    <t xml:space="preserve">CITY-117</t>
  </si>
  <si>
    <t xml:space="preserve">CITY-118</t>
  </si>
  <si>
    <t xml:space="preserve">CITY-119</t>
  </si>
  <si>
    <t xml:space="preserve">CITY-120</t>
  </si>
  <si>
    <t xml:space="preserve">CITY-121</t>
  </si>
  <si>
    <t xml:space="preserve">CITY-123</t>
  </si>
  <si>
    <t xml:space="preserve">CITY-124</t>
  </si>
  <si>
    <t xml:space="preserve">CITY-125</t>
  </si>
  <si>
    <t xml:space="preserve">CITY-127</t>
  </si>
  <si>
    <t xml:space="preserve">CITY-128</t>
  </si>
  <si>
    <t xml:space="preserve">CITY-158</t>
  </si>
  <si>
    <t xml:space="preserve">Perm id</t>
  </si>
  <si>
    <t xml:space="preserve">Settlement</t>
  </si>
  <si>
    <t xml:space="preserve">Route</t>
  </si>
  <si>
    <t xml:space="preserve">CIS stage</t>
  </si>
  <si>
    <t xml:space="preserve">Units</t>
  </si>
  <si>
    <t xml:space="preserve">Student bedspaces</t>
  </si>
  <si>
    <t xml:space="preserve">Final grant</t>
  </si>
  <si>
    <t xml:space="preserve">Start on site</t>
  </si>
  <si>
    <t xml:space="preserve">Expiry</t>
  </si>
  <si>
    <t xml:space="preserve">Basis for estimate</t>
  </si>
  <si>
    <t xml:space="preserve">1363929</t>
  </si>
  <si>
    <t xml:space="preserve">2460864</t>
  </si>
  <si>
    <t xml:space="preserve">€4.2m - Residential Development</t>
  </si>
  <si>
    <t xml:space="preserve">Limerick City and Suburbs</t>
  </si>
  <si>
    <t xml:space="preserve">Standard planning application</t>
  </si>
  <si>
    <t xml:space="preserve">2025-09-18</t>
  </si>
  <si>
    <t xml:space="preserve">2030-09-17</t>
  </si>
  <si>
    <t xml:space="preserve">2027 Q1</t>
  </si>
  <si>
    <t xml:space="preserve">2029 Q1</t>
  </si>
  <si>
    <t xml:space="preserve">Permitted 2025-09; typical start 1.4 yrs after grant</t>
  </si>
  <si>
    <t xml:space="preserve">1347165</t>
  </si>
  <si>
    <t xml:space="preserve">2460468</t>
  </si>
  <si>
    <t xml:space="preserve">€3.6m - Housing/Creche Development, Crossagalla</t>
  </si>
  <si>
    <t xml:space="preserve">Kilmallock</t>
  </si>
  <si>
    <t xml:space="preserve">On Site</t>
  </si>
  <si>
    <t xml:space="preserve">2024-10-24</t>
  </si>
  <si>
    <t xml:space="preserve">2025-01-08</t>
  </si>
  <si>
    <t xml:space="preserve">2029-10-23</t>
  </si>
  <si>
    <t xml:space="preserve">2025 Q1</t>
  </si>
  <si>
    <t xml:space="preserve">On site: started 2025-01</t>
  </si>
  <si>
    <t xml:space="preserve">1292276</t>
  </si>
  <si>
    <t xml:space="preserve">23283</t>
  </si>
  <si>
    <t xml:space="preserve">€907k - Change of Use to 4 Apartments </t>
  </si>
  <si>
    <t xml:space="preserve">Other County Limerick</t>
  </si>
  <si>
    <t xml:space="preserve">2023-08-16</t>
  </si>
  <si>
    <t xml:space="preserve">2028-08-15</t>
  </si>
  <si>
    <t xml:space="preserve">Permitted 2023-08, past typical start date with no commencement: start assumed in 9 months</t>
  </si>
  <si>
    <t xml:space="preserve">1063948</t>
  </si>
  <si>
    <t xml:space="preserve">Part 8 - 1063948</t>
  </si>
  <si>
    <t xml:space="preserve">€9m - Rapid Housing Delivery</t>
  </si>
  <si>
    <t xml:space="preserve">Part 8 / council</t>
  </si>
  <si>
    <t xml:space="preserve">2019-12-06</t>
  </si>
  <si>
    <t xml:space="preserve">2021-04-22</t>
  </si>
  <si>
    <t xml:space="preserve">2021 Q2</t>
  </si>
  <si>
    <t xml:space="preserve">On site: started 2021-04</t>
  </si>
  <si>
    <t xml:space="preserve">1422145</t>
  </si>
  <si>
    <t xml:space="preserve">€719k - Architect Led Integrated Design Team Services for 23 Residential Units, Limerick</t>
  </si>
  <si>
    <t xml:space="preserve">Contract Awarded</t>
  </si>
  <si>
    <t xml:space="preserve">2030 Q1</t>
  </si>
  <si>
    <t xml:space="preserve">Contract Awarded (CIS): start assumed within 6 months</t>
  </si>
  <si>
    <t xml:space="preserve">1264155</t>
  </si>
  <si>
    <t xml:space="preserve">Part 8 - 1264155</t>
  </si>
  <si>
    <t xml:space="preserve">€590k - Residential Development / Living Georgian Project, 58 O’Connell Street</t>
  </si>
  <si>
    <t xml:space="preserve">2022-04-08</t>
  </si>
  <si>
    <t xml:space="preserve">Permitted 2022-04, past typical start date with no commencement: start assumed in 9 months</t>
  </si>
  <si>
    <t xml:space="preserve">1412368</t>
  </si>
  <si>
    <t xml:space="preserve">PT8LL277</t>
  </si>
  <si>
    <t xml:space="preserve">€1.5m - 5 Residential Units, Limerick</t>
  </si>
  <si>
    <t xml:space="preserve">Tender</t>
  </si>
  <si>
    <t xml:space="preserve">2025-12-15</t>
  </si>
  <si>
    <t xml:space="preserve">At tender (CIS): start assumed in 6–12 months</t>
  </si>
  <si>
    <t xml:space="preserve">1378081</t>
  </si>
  <si>
    <t xml:space="preserve">Part 8 - 1378081</t>
  </si>
  <si>
    <t xml:space="preserve">€879k - 4 Houses</t>
  </si>
  <si>
    <t xml:space="preserve">Plans Submitted</t>
  </si>
  <si>
    <t xml:space="preserve">Not yet decided – not projected</t>
  </si>
  <si>
    <t xml:space="preserve">1417205</t>
  </si>
  <si>
    <t xml:space="preserve">€1.4m - Architect Led Integrated Design Team for College Avenue Infill Housing Scheme,  Moyross</t>
  </si>
  <si>
    <t xml:space="preserve">No units</t>
  </si>
  <si>
    <t xml:space="preserve">1446288</t>
  </si>
  <si>
    <t xml:space="preserve">2660241</t>
  </si>
  <si>
    <t xml:space="preserve">€125.6m - Large Residential Development, Castletroy</t>
  </si>
  <si>
    <t xml:space="preserve">LRD</t>
  </si>
  <si>
    <t xml:space="preserve">2026-04-28</t>
  </si>
  <si>
    <t xml:space="preserve">2031-09-01</t>
  </si>
  <si>
    <t xml:space="preserve">2028 Q1</t>
  </si>
  <si>
    <t xml:space="preserve">2038 Q2</t>
  </si>
  <si>
    <t xml:space="preserve">Permitted 2026-04; typical start 1.7 yrs after grant</t>
  </si>
  <si>
    <t xml:space="preserve">1423228</t>
  </si>
  <si>
    <t xml:space="preserve">2026-07-22</t>
  </si>
  <si>
    <t xml:space="preserve">2031-07-21</t>
  </si>
  <si>
    <t xml:space="preserve">Permitted 2026-07; typical start 1.7 yrs after grant</t>
  </si>
  <si>
    <t xml:space="preserve">1437215</t>
  </si>
  <si>
    <t xml:space="preserve">2660603</t>
  </si>
  <si>
    <t xml:space="preserve">€84m - Parkway Valley LRD, Singland</t>
  </si>
  <si>
    <t xml:space="preserve">2031-07-22</t>
  </si>
  <si>
    <t xml:space="preserve">2036 Q2</t>
  </si>
  <si>
    <t xml:space="preserve">1221693</t>
  </si>
  <si>
    <t xml:space="preserve">ABPREF313124</t>
  </si>
  <si>
    <t xml:space="preserve">€76m - Residential Development, Raheen</t>
  </si>
  <si>
    <t xml:space="preserve">SHD (An Bord Pleanála)</t>
  </si>
  <si>
    <t xml:space="preserve">Commencement Expected</t>
  </si>
  <si>
    <t xml:space="preserve">2022-06-30</t>
  </si>
  <si>
    <t xml:space="preserve">2024-04-24</t>
  </si>
  <si>
    <t xml:space="preserve">2032-06-29</t>
  </si>
  <si>
    <t xml:space="preserve">2024 Q2</t>
  </si>
  <si>
    <t xml:space="preserve">2031 Q4</t>
  </si>
  <si>
    <t xml:space="preserve">On site: started 2024-04</t>
  </si>
  <si>
    <t xml:space="preserve">1194302</t>
  </si>
  <si>
    <t xml:space="preserve">ABPREF311588</t>
  </si>
  <si>
    <t xml:space="preserve">€66m - Greenpark SHD Residential Development, Dock Road, Limerick </t>
  </si>
  <si>
    <t xml:space="preserve">2022-03-30</t>
  </si>
  <si>
    <t xml:space="preserve">2023-07-31</t>
  </si>
  <si>
    <t xml:space="preserve">2027-03-29</t>
  </si>
  <si>
    <t xml:space="preserve">2023 Q3</t>
  </si>
  <si>
    <t xml:space="preserve">2030 Q4</t>
  </si>
  <si>
    <t xml:space="preserve">On site: started 2023-07</t>
  </si>
  <si>
    <t xml:space="preserve">1428325</t>
  </si>
  <si>
    <t xml:space="preserve">2660275</t>
  </si>
  <si>
    <t xml:space="preserve">€42m - Large Residential Development,Limerick</t>
  </si>
  <si>
    <t xml:space="preserve">2026-09-23</t>
  </si>
  <si>
    <t xml:space="preserve">2031-09-22</t>
  </si>
  <si>
    <t xml:space="preserve">2032 Q3</t>
  </si>
  <si>
    <t xml:space="preserve">Permitted 2026-09; typical start 1.7 yrs after grant</t>
  </si>
  <si>
    <t xml:space="preserve">1389800</t>
  </si>
  <si>
    <t xml:space="preserve">2025-10-29</t>
  </si>
  <si>
    <t xml:space="preserve">2030-10-28</t>
  </si>
  <si>
    <t xml:space="preserve">Commencement Expected (CIS): start assumed within 6 months; student block completes in one go</t>
  </si>
  <si>
    <t xml:space="preserve">1432711</t>
  </si>
  <si>
    <t xml:space="preserve">2660396</t>
  </si>
  <si>
    <t xml:space="preserve">€39m - Large Residential Development, Mungret</t>
  </si>
  <si>
    <t xml:space="preserve">Mungret</t>
  </si>
  <si>
    <t xml:space="preserve">2026-09-15</t>
  </si>
  <si>
    <t xml:space="preserve">2031-09-15</t>
  </si>
  <si>
    <t xml:space="preserve">2032 Q1</t>
  </si>
  <si>
    <t xml:space="preserve">1417769</t>
  </si>
  <si>
    <t xml:space="preserve">2561231</t>
  </si>
  <si>
    <t xml:space="preserve">€32.5m - Large Residential Development, Mungret</t>
  </si>
  <si>
    <t xml:space="preserve">2026-07-30</t>
  </si>
  <si>
    <t xml:space="preserve">2031-07-30</t>
  </si>
  <si>
    <t xml:space="preserve">2031 Q3</t>
  </si>
  <si>
    <t xml:space="preserve">1319462</t>
  </si>
  <si>
    <t xml:space="preserve">23557</t>
  </si>
  <si>
    <t xml:space="preserve">€33m - LRD Development, Limerick</t>
  </si>
  <si>
    <t xml:space="preserve">2024-08-23</t>
  </si>
  <si>
    <t xml:space="preserve">2025-09-04</t>
  </si>
  <si>
    <t xml:space="preserve">2029-08-22</t>
  </si>
  <si>
    <t xml:space="preserve">2025 Q3</t>
  </si>
  <si>
    <t xml:space="preserve">On site: started 2025-09</t>
  </si>
  <si>
    <t xml:space="preserve">1214059</t>
  </si>
  <si>
    <t xml:space="preserve">ABPREF312683</t>
  </si>
  <si>
    <t xml:space="preserve">€27.5m - Clonmacken Gardens Housing Development, Limerick</t>
  </si>
  <si>
    <t xml:space="preserve">2022-05-26</t>
  </si>
  <si>
    <t xml:space="preserve">2027-05-25</t>
  </si>
  <si>
    <t xml:space="preserve">Permitted 2022-05, past typical start date with no commencement: start assumed in 9 months; expiry falls before assumed start</t>
  </si>
  <si>
    <t xml:space="preserve">1382991</t>
  </si>
  <si>
    <t xml:space="preserve">2461282</t>
  </si>
  <si>
    <t xml:space="preserve">€32m - LRD, Mungret</t>
  </si>
  <si>
    <t xml:space="preserve">2025-09-24</t>
  </si>
  <si>
    <t xml:space="preserve">2030-09-23</t>
  </si>
  <si>
    <t xml:space="preserve">Permitted 2025-09; typical start 1.7 yrs after grant</t>
  </si>
  <si>
    <t xml:space="preserve">1163033</t>
  </si>
  <si>
    <t xml:space="preserve">ABPREF309999</t>
  </si>
  <si>
    <t xml:space="preserve">€30m - Residential Development, Annacotty</t>
  </si>
  <si>
    <t xml:space="preserve">Annacotty</t>
  </si>
  <si>
    <t xml:space="preserve">2021-08-05</t>
  </si>
  <si>
    <t xml:space="preserve">2026-08-04</t>
  </si>
  <si>
    <t xml:space="preserve">Permission expired – not projected</t>
  </si>
  <si>
    <t xml:space="preserve">1397299</t>
  </si>
  <si>
    <t xml:space="preserve">2560271</t>
  </si>
  <si>
    <t xml:space="preserve">€21m - Residential Development, Castletroy</t>
  </si>
  <si>
    <t xml:space="preserve">2026-04-15</t>
  </si>
  <si>
    <t xml:space="preserve">2031-04-14</t>
  </si>
  <si>
    <t xml:space="preserve">2030 Q2</t>
  </si>
  <si>
    <t xml:space="preserve">1207014</t>
  </si>
  <si>
    <t xml:space="preserve">211800</t>
  </si>
  <si>
    <t xml:space="preserve">€21m - Residential Development, Old Cratloe Road</t>
  </si>
  <si>
    <t xml:space="preserve">2024-04-08</t>
  </si>
  <si>
    <t xml:space="preserve">2029-04-07</t>
  </si>
  <si>
    <t xml:space="preserve">Permitted 2024-04, past typical start date with no commencement: start assumed in 9 months</t>
  </si>
  <si>
    <t xml:space="preserve">1327848</t>
  </si>
  <si>
    <t xml:space="preserve">2460032</t>
  </si>
  <si>
    <t xml:space="preserve">€18.9m - Residential Development, Old Cratloe Road</t>
  </si>
  <si>
    <t xml:space="preserve">2024-08-20</t>
  </si>
  <si>
    <t xml:space="preserve">2025-08-20</t>
  </si>
  <si>
    <t xml:space="preserve">2029-08-19</t>
  </si>
  <si>
    <t xml:space="preserve">2028 Q3</t>
  </si>
  <si>
    <t xml:space="preserve">On site: started 2025-08</t>
  </si>
  <si>
    <t xml:space="preserve">1248019</t>
  </si>
  <si>
    <t xml:space="preserve">22959</t>
  </si>
  <si>
    <t xml:space="preserve">€20m - Residential Development, Limerick.</t>
  </si>
  <si>
    <t xml:space="preserve">2024-11-21</t>
  </si>
  <si>
    <t xml:space="preserve">2029-11-20</t>
  </si>
  <si>
    <t xml:space="preserve">Permitted 2024-11, past typical start date with no commencement: start assumed in 9 months</t>
  </si>
  <si>
    <t xml:space="preserve">1242233</t>
  </si>
  <si>
    <t xml:space="preserve">22817</t>
  </si>
  <si>
    <t xml:space="preserve">€11m - Residential Development, Limerick</t>
  </si>
  <si>
    <t xml:space="preserve">2023-07-04</t>
  </si>
  <si>
    <t xml:space="preserve">2028-07-03</t>
  </si>
  <si>
    <t xml:space="preserve">Permitted 2023-07, past typical start date with no commencement: start assumed in 9 months</t>
  </si>
  <si>
    <t xml:space="preserve">1402906</t>
  </si>
  <si>
    <t xml:space="preserve">2560399</t>
  </si>
  <si>
    <t xml:space="preserve">€16.4m - Residential Development </t>
  </si>
  <si>
    <t xml:space="preserve">2026-07-13</t>
  </si>
  <si>
    <t xml:space="preserve">2031-07-12</t>
  </si>
  <si>
    <t xml:space="preserve">2029 Q4</t>
  </si>
  <si>
    <t xml:space="preserve">Permitted 2026-07; typical start 1.1 yrs after grant</t>
  </si>
  <si>
    <t xml:space="preserve">1172151</t>
  </si>
  <si>
    <t xml:space="preserve">217025</t>
  </si>
  <si>
    <t xml:space="preserve">€3.7m - Ardhú Apartments Refurbishment, Ennis Road</t>
  </si>
  <si>
    <t xml:space="preserve">2021-07-14</t>
  </si>
  <si>
    <t xml:space="preserve">2022-08-29</t>
  </si>
  <si>
    <t xml:space="preserve">2026-11-19</t>
  </si>
  <si>
    <t xml:space="preserve">Delivered</t>
  </si>
  <si>
    <t xml:space="preserve">Complete (CIS)</t>
  </si>
  <si>
    <t xml:space="preserve">1164424</t>
  </si>
  <si>
    <t xml:space="preserve">21580</t>
  </si>
  <si>
    <t xml:space="preserve">€9.6m - Residential Development </t>
  </si>
  <si>
    <t xml:space="preserve">2025-05-13</t>
  </si>
  <si>
    <t xml:space="preserve">2030-05-12</t>
  </si>
  <si>
    <t xml:space="preserve">1254544</t>
  </si>
  <si>
    <t xml:space="preserve">221114</t>
  </si>
  <si>
    <t xml:space="preserve">€12.2m - Residential Development, Limerick</t>
  </si>
  <si>
    <t xml:space="preserve">2024-10-18</t>
  </si>
  <si>
    <t xml:space="preserve">2029-10-17</t>
  </si>
  <si>
    <t xml:space="preserve">Permitted 2024-10, past typical start date with no commencement: start assumed in 9 months</t>
  </si>
  <si>
    <t xml:space="preserve">1247398</t>
  </si>
  <si>
    <t xml:space="preserve">22950</t>
  </si>
  <si>
    <t xml:space="preserve">€13.9m - Lidl Mixed Use Development , Ballysimon</t>
  </si>
  <si>
    <t xml:space="preserve">2023-09-05</t>
  </si>
  <si>
    <t xml:space="preserve">2024-07-15</t>
  </si>
  <si>
    <t xml:space="preserve">2028-09-04</t>
  </si>
  <si>
    <t xml:space="preserve">2024 Q3</t>
  </si>
  <si>
    <t xml:space="preserve">On site: started 2024-07</t>
  </si>
  <si>
    <t xml:space="preserve">1265188</t>
  </si>
  <si>
    <t xml:space="preserve">221400</t>
  </si>
  <si>
    <t xml:space="preserve">€10.4m - Residential Development, Thomondgate</t>
  </si>
  <si>
    <t xml:space="preserve">2024-07-26</t>
  </si>
  <si>
    <t xml:space="preserve">2029-07-25</t>
  </si>
  <si>
    <t xml:space="preserve">Permitted 2024-07, past typical start date with no commencement: start assumed in 9 months</t>
  </si>
  <si>
    <t xml:space="preserve">973082</t>
  </si>
  <si>
    <t xml:space="preserve">1855</t>
  </si>
  <si>
    <t xml:space="preserve">€4.8m - Residential Development, Castletroy</t>
  </si>
  <si>
    <t xml:space="preserve">2018-07-04</t>
  </si>
  <si>
    <t xml:space="preserve">2018-08-08</t>
  </si>
  <si>
    <t xml:space="preserve">2023-07-03</t>
  </si>
  <si>
    <t xml:space="preserve">2018 Q3</t>
  </si>
  <si>
    <t xml:space="preserve">On site: started 2018-08</t>
  </si>
  <si>
    <t xml:space="preserve">1058796</t>
  </si>
  <si>
    <t xml:space="preserve">Stalled or Suspended</t>
  </si>
  <si>
    <t xml:space="preserve">2021-03-15</t>
  </si>
  <si>
    <t xml:space="preserve">2029-03-13</t>
  </si>
  <si>
    <t xml:space="preserve">Stalled – not projected</t>
  </si>
  <si>
    <t xml:space="preserve">1391659</t>
  </si>
  <si>
    <t xml:space="preserve">2560151</t>
  </si>
  <si>
    <t xml:space="preserve">€6.2m - Residential Development, Limerick</t>
  </si>
  <si>
    <t xml:space="preserve">2025-11-27</t>
  </si>
  <si>
    <t xml:space="preserve">2026-05-12</t>
  </si>
  <si>
    <t xml:space="preserve">2030-11-26</t>
  </si>
  <si>
    <t xml:space="preserve">2026 Q2</t>
  </si>
  <si>
    <t xml:space="preserve">On site: started 2026-05</t>
  </si>
  <si>
    <t xml:space="preserve">1393371</t>
  </si>
  <si>
    <t xml:space="preserve">2560169</t>
  </si>
  <si>
    <t xml:space="preserve">€4.8m - Mixed Use Development, Limerick</t>
  </si>
  <si>
    <t xml:space="preserve">2025-08-13</t>
  </si>
  <si>
    <t xml:space="preserve">2030-08-12</t>
  </si>
  <si>
    <t xml:space="preserve">Permitted 2025-08; typical start 1.6 yrs after grant</t>
  </si>
  <si>
    <t xml:space="preserve">1162677</t>
  </si>
  <si>
    <t xml:space="preserve">21520</t>
  </si>
  <si>
    <t xml:space="preserve">€6.5m - Housing Development Limerick</t>
  </si>
  <si>
    <t xml:space="preserve">2023-12-04</t>
  </si>
  <si>
    <t xml:space="preserve">2024-07-17</t>
  </si>
  <si>
    <t xml:space="preserve">2028-12-03</t>
  </si>
  <si>
    <t xml:space="preserve">1259753</t>
  </si>
  <si>
    <t xml:space="preserve">2023-05-17</t>
  </si>
  <si>
    <t xml:space="preserve">2024-12-27</t>
  </si>
  <si>
    <t xml:space="preserve">2028-05-16</t>
  </si>
  <si>
    <t xml:space="preserve">On site: started 2024-12; student block completes in one go</t>
  </si>
  <si>
    <t xml:space="preserve">1357447</t>
  </si>
  <si>
    <t xml:space="preserve">2460713</t>
  </si>
  <si>
    <t xml:space="preserve">€4.2m - Apartment Development, Limerick City</t>
  </si>
  <si>
    <t xml:space="preserve">2025-10-31</t>
  </si>
  <si>
    <t xml:space="preserve">2030-10-30</t>
  </si>
  <si>
    <t xml:space="preserve">Permitted 2025-10; typical start 1.6 yrs after grant</t>
  </si>
  <si>
    <t xml:space="preserve">1414128</t>
  </si>
  <si>
    <t xml:space="preserve">2560953</t>
  </si>
  <si>
    <t xml:space="preserve">€4.8m - Residential Development, Limerick</t>
  </si>
  <si>
    <t xml:space="preserve">2026-04-29</t>
  </si>
  <si>
    <t xml:space="preserve">2031-04-28</t>
  </si>
  <si>
    <t xml:space="preserve">Permitted 2026-04; typical start 1.6 yrs after grant</t>
  </si>
  <si>
    <t xml:space="preserve">1241529</t>
  </si>
  <si>
    <t xml:space="preserve">22793</t>
  </si>
  <si>
    <t xml:space="preserve">€4.5m - Housing Development, Limerick City</t>
  </si>
  <si>
    <t xml:space="preserve">2024-02-01</t>
  </si>
  <si>
    <t xml:space="preserve">2024-12-31</t>
  </si>
  <si>
    <t xml:space="preserve">2029-01-31</t>
  </si>
  <si>
    <t xml:space="preserve">On site: started 2024-12</t>
  </si>
  <si>
    <t xml:space="preserve">1173364</t>
  </si>
  <si>
    <t xml:space="preserve">21835</t>
  </si>
  <si>
    <t xml:space="preserve">€3.5m - Apartment Development, Limerick</t>
  </si>
  <si>
    <t xml:space="preserve">2022-02-17</t>
  </si>
  <si>
    <t xml:space="preserve">2027-02-16</t>
  </si>
  <si>
    <t xml:space="preserve">Permitted 2022-02, past typical start date with no commencement: start assumed in 9 months; expiry falls before assumed start</t>
  </si>
  <si>
    <t xml:space="preserve">1245941</t>
  </si>
  <si>
    <t xml:space="preserve">22917</t>
  </si>
  <si>
    <t xml:space="preserve">€3.6m - Mixed Use Development, Limerick</t>
  </si>
  <si>
    <t xml:space="preserve">2023-10-03</t>
  </si>
  <si>
    <t xml:space="preserve">2028-10-02</t>
  </si>
  <si>
    <t xml:space="preserve">Permitted 2023-10, past typical start date with no commencement: start assumed in 9 months</t>
  </si>
  <si>
    <t xml:space="preserve">1412257</t>
  </si>
  <si>
    <t xml:space="preserve">2560778</t>
  </si>
  <si>
    <t xml:space="preserve">€1.2m - 10 Houses, Crossagalla</t>
  </si>
  <si>
    <t xml:space="preserve">2026-02-24</t>
  </si>
  <si>
    <t xml:space="preserve">2031-02-23</t>
  </si>
  <si>
    <t xml:space="preserve">978022</t>
  </si>
  <si>
    <t xml:space="preserve">18168</t>
  </si>
  <si>
    <t xml:space="preserve">€3m - Mixed Use Development</t>
  </si>
  <si>
    <t xml:space="preserve">2018-07-19</t>
  </si>
  <si>
    <t xml:space="preserve">2023-07-18</t>
  </si>
  <si>
    <t xml:space="preserve">1120093</t>
  </si>
  <si>
    <t xml:space="preserve">20827</t>
  </si>
  <si>
    <t xml:space="preserve">€864k - 4 Houses </t>
  </si>
  <si>
    <t xml:space="preserve">2021-08-26</t>
  </si>
  <si>
    <t xml:space="preserve">2026-08-25</t>
  </si>
  <si>
    <t xml:space="preserve">1442414</t>
  </si>
  <si>
    <t xml:space="preserve">2660652</t>
  </si>
  <si>
    <t xml:space="preserve">€540k - 4 Apartments, Limerick</t>
  </si>
  <si>
    <t xml:space="preserve">1325143</t>
  </si>
  <si>
    <t xml:space="preserve">2360951</t>
  </si>
  <si>
    <t xml:space="preserve">€28m - Mixed Use Development, Moyross</t>
  </si>
  <si>
    <t xml:space="preserve">2024-03-27</t>
  </si>
  <si>
    <t xml:space="preserve">2026-06-04</t>
  </si>
  <si>
    <t xml:space="preserve">2029-03-26</t>
  </si>
  <si>
    <t xml:space="preserve">On site: started 2026-06</t>
  </si>
  <si>
    <t xml:space="preserve">1202244</t>
  </si>
  <si>
    <t xml:space="preserve">211640</t>
  </si>
  <si>
    <t xml:space="preserve">€3.8m - Residential Development, Curry Lane</t>
  </si>
  <si>
    <t xml:space="preserve">2022-03-08</t>
  </si>
  <si>
    <t xml:space="preserve">2024-07-11</t>
  </si>
  <si>
    <t xml:space="preserve">2027-03-07</t>
  </si>
  <si>
    <t xml:space="preserve">1412002</t>
  </si>
  <si>
    <t xml:space="preserve">2560780</t>
  </si>
  <si>
    <t xml:space="preserve">€95m - Dock Road LRD, Limerick</t>
  </si>
  <si>
    <t xml:space="preserve">2026-02-11</t>
  </si>
  <si>
    <t xml:space="preserve">2031-02-10</t>
  </si>
  <si>
    <t xml:space="preserve">2033 Q3</t>
  </si>
  <si>
    <t xml:space="preserve">1147240</t>
  </si>
  <si>
    <t xml:space="preserve">218000</t>
  </si>
  <si>
    <t xml:space="preserve">€47m - The Mungret Project</t>
  </si>
  <si>
    <t xml:space="preserve">2021-07-13</t>
  </si>
  <si>
    <t xml:space="preserve">2026-07-29</t>
  </si>
  <si>
    <t xml:space="preserve">2026 Q3</t>
  </si>
  <si>
    <t xml:space="preserve">On site: started 2026-07</t>
  </si>
  <si>
    <t xml:space="preserve">1425841</t>
  </si>
  <si>
    <t xml:space="preserve">258328</t>
  </si>
  <si>
    <t xml:space="preserve">€14m - Residential Development, Limerick</t>
  </si>
  <si>
    <t xml:space="preserve">1245933</t>
  </si>
  <si>
    <t xml:space="preserve">228016</t>
  </si>
  <si>
    <t xml:space="preserve">€6m - Apartment Development, Limerick</t>
  </si>
  <si>
    <t xml:space="preserve">2022-11-21</t>
  </si>
  <si>
    <t xml:space="preserve">2024-09-25</t>
  </si>
  <si>
    <t xml:space="preserve">On site: started 2024-09</t>
  </si>
  <si>
    <t xml:space="preserve">1419614</t>
  </si>
  <si>
    <t xml:space="preserve">258327</t>
  </si>
  <si>
    <t xml:space="preserve">€4.8m - Apartment Development, Limerick</t>
  </si>
  <si>
    <t xml:space="preserve">1054214</t>
  </si>
  <si>
    <t xml:space="preserve">198004</t>
  </si>
  <si>
    <t xml:space="preserve">€6m - Residential Development, King's Island</t>
  </si>
  <si>
    <t xml:space="preserve">2019-10-02</t>
  </si>
  <si>
    <t xml:space="preserve">Permitted 2019-10, past typical start date with no commencement: start assumed in 9 months</t>
  </si>
  <si>
    <t xml:space="preserve">999958</t>
  </si>
  <si>
    <t xml:space="preserve">188010</t>
  </si>
  <si>
    <t xml:space="preserve">€2.2m - Residential Development </t>
  </si>
  <si>
    <t xml:space="preserve">2018-08-31</t>
  </si>
  <si>
    <t xml:space="preserve">2020-02-13</t>
  </si>
  <si>
    <t xml:space="preserve">1447625</t>
  </si>
  <si>
    <t xml:space="preserve">248153</t>
  </si>
  <si>
    <t xml:space="preserve">€1.4m - Part 8 - 2 Houses &amp; 4 Apartments, Thomondghate</t>
  </si>
  <si>
    <t xml:space="preserve">1114461</t>
  </si>
  <si>
    <t xml:space="preserve">ABPREF307631</t>
  </si>
  <si>
    <t xml:space="preserve">€44m - Residential Development, Castletroy</t>
  </si>
  <si>
    <t xml:space="preserve">2020-11-02</t>
  </si>
  <si>
    <t xml:space="preserve">2022-08-30</t>
  </si>
  <si>
    <t xml:space="preserve">2025-11-01</t>
  </si>
  <si>
    <t xml:space="preserve">990309</t>
  </si>
  <si>
    <t xml:space="preserve">18434</t>
  </si>
  <si>
    <t xml:space="preserve">€10m - Residential Development, Singland</t>
  </si>
  <si>
    <t xml:space="preserve">2018-11-06</t>
  </si>
  <si>
    <t xml:space="preserve">2020-06-22</t>
  </si>
  <si>
    <t xml:space="preserve">2023-11-05</t>
  </si>
  <si>
    <t xml:space="preserve">1319159</t>
  </si>
  <si>
    <t xml:space="preserve">2360842</t>
  </si>
  <si>
    <t xml:space="preserve">€22m - Golf Links Road LRD, Monaleen</t>
  </si>
  <si>
    <t xml:space="preserve">2024-05-23</t>
  </si>
  <si>
    <t xml:space="preserve">2024-12-20</t>
  </si>
  <si>
    <t xml:space="preserve">2029-05-22</t>
  </si>
  <si>
    <t xml:space="preserve">1184347</t>
  </si>
  <si>
    <t xml:space="preserve">211152</t>
  </si>
  <si>
    <t xml:space="preserve">€16.6m - Residential Development, Castletroy</t>
  </si>
  <si>
    <t xml:space="preserve">2022-04-20</t>
  </si>
  <si>
    <t xml:space="preserve">2024-04-11</t>
  </si>
  <si>
    <t xml:space="preserve">2027-04-19</t>
  </si>
  <si>
    <t xml:space="preserve">1310780</t>
  </si>
  <si>
    <t xml:space="preserve">2360703</t>
  </si>
  <si>
    <t xml:space="preserve">€27m - Mixed Use Development, Dooradoyle</t>
  </si>
  <si>
    <t xml:space="preserve">2025-04-14</t>
  </si>
  <si>
    <t xml:space="preserve">2030-04-13</t>
  </si>
  <si>
    <t xml:space="preserve">1186980</t>
  </si>
  <si>
    <t xml:space="preserve">211217</t>
  </si>
  <si>
    <t xml:space="preserve">€15.2m - Residential Development Mungret</t>
  </si>
  <si>
    <t xml:space="preserve">2023-07-28</t>
  </si>
  <si>
    <t xml:space="preserve">2024-02-13</t>
  </si>
  <si>
    <t xml:space="preserve">2028-07-27</t>
  </si>
  <si>
    <t xml:space="preserve">2024 Q1</t>
  </si>
  <si>
    <t xml:space="preserve">On site: started 2024-02</t>
  </si>
  <si>
    <t xml:space="preserve">1019118</t>
  </si>
  <si>
    <t xml:space="preserve">181104</t>
  </si>
  <si>
    <t xml:space="preserve">€11.8m - Residential Development, Castletroy</t>
  </si>
  <si>
    <t xml:space="preserve">Part Complete</t>
  </si>
  <si>
    <t xml:space="preserve">2019-06-04</t>
  </si>
  <si>
    <t xml:space="preserve">2023-07-07</t>
  </si>
  <si>
    <t xml:space="preserve">2027-06-02</t>
  </si>
  <si>
    <t xml:space="preserve">1187172</t>
  </si>
  <si>
    <t xml:space="preserve">211216</t>
  </si>
  <si>
    <t xml:space="preserve">€21m - Residential Development, Mungret</t>
  </si>
  <si>
    <t xml:space="preserve">2024-04-20</t>
  </si>
  <si>
    <t xml:space="preserve">1193936</t>
  </si>
  <si>
    <t xml:space="preserve">211400</t>
  </si>
  <si>
    <t xml:space="preserve">€21m - Newtow Meadows Development, Phase 4, Castletroy</t>
  </si>
  <si>
    <t xml:space="preserve">2022-06-09</t>
  </si>
  <si>
    <t xml:space="preserve">2024-07-01</t>
  </si>
  <si>
    <t xml:space="preserve">2027-06-08</t>
  </si>
  <si>
    <t xml:space="preserve">1131237</t>
  </si>
  <si>
    <t xml:space="preserve">201115</t>
  </si>
  <si>
    <t xml:space="preserve">€16.5m - Residential Development, Mungret</t>
  </si>
  <si>
    <t xml:space="preserve">2021-05-27</t>
  </si>
  <si>
    <t xml:space="preserve">2026-04-07</t>
  </si>
  <si>
    <t xml:space="preserve">2029-07-09</t>
  </si>
  <si>
    <t xml:space="preserve">On site: started 2026-04</t>
  </si>
  <si>
    <t xml:space="preserve">1136132</t>
  </si>
  <si>
    <t xml:space="preserve">201114</t>
  </si>
  <si>
    <t xml:space="preserve">€19.4m - Residential Development, Mungret</t>
  </si>
  <si>
    <t xml:space="preserve">2022-02-21</t>
  </si>
  <si>
    <t xml:space="preserve">2026-05-26</t>
  </si>
  <si>
    <t xml:space="preserve">2022 Q1</t>
  </si>
  <si>
    <t xml:space="preserve">On site: started 2022-02</t>
  </si>
  <si>
    <t xml:space="preserve">1081200</t>
  </si>
  <si>
    <t xml:space="preserve">191236</t>
  </si>
  <si>
    <t xml:space="preserve">€16m - Housing Development</t>
  </si>
  <si>
    <t xml:space="preserve">2021-03-04</t>
  </si>
  <si>
    <t xml:space="preserve">2022-11-01</t>
  </si>
  <si>
    <t xml:space="preserve">2026-03-03</t>
  </si>
  <si>
    <t xml:space="preserve">1069596</t>
  </si>
  <si>
    <t xml:space="preserve">19970</t>
  </si>
  <si>
    <t xml:space="preserve">€16m - Residential Development, Ennis Road</t>
  </si>
  <si>
    <t xml:space="preserve">2020-11-16</t>
  </si>
  <si>
    <t xml:space="preserve">2023-04-10</t>
  </si>
  <si>
    <t xml:space="preserve">2028-11-14</t>
  </si>
  <si>
    <t xml:space="preserve">2023 Q2</t>
  </si>
  <si>
    <t xml:space="preserve">On site: started 2023-04</t>
  </si>
  <si>
    <t xml:space="preserve">1051816</t>
  </si>
  <si>
    <t xml:space="preserve">19547</t>
  </si>
  <si>
    <t xml:space="preserve">€18m - Residential Development, Castletroy</t>
  </si>
  <si>
    <t xml:space="preserve">2020-05-28</t>
  </si>
  <si>
    <t xml:space="preserve">2025-05-27</t>
  </si>
  <si>
    <t xml:space="preserve">2022 Q2</t>
  </si>
  <si>
    <t xml:space="preserve">On site: started 2022-05</t>
  </si>
  <si>
    <t xml:space="preserve">1417885</t>
  </si>
  <si>
    <t xml:space="preserve">2561242</t>
  </si>
  <si>
    <t xml:space="preserve">€14.5m - Residential Development, Limerick</t>
  </si>
  <si>
    <t xml:space="preserve">2026-06-10</t>
  </si>
  <si>
    <t xml:space="preserve">2031-06-09</t>
  </si>
  <si>
    <t xml:space="preserve">Permitted 2026-06; typical start 1.1 yrs after grant</t>
  </si>
  <si>
    <t xml:space="preserve">1306162</t>
  </si>
  <si>
    <t xml:space="preserve">2360615</t>
  </si>
  <si>
    <t xml:space="preserve">€11.3m - Housing Development, Mungret</t>
  </si>
  <si>
    <t xml:space="preserve">2024-01-15</t>
  </si>
  <si>
    <t xml:space="preserve">2024-04-22</t>
  </si>
  <si>
    <t xml:space="preserve">2029-01-14</t>
  </si>
  <si>
    <t xml:space="preserve">1134847</t>
  </si>
  <si>
    <t xml:space="preserve">201195</t>
  </si>
  <si>
    <t xml:space="preserve">€9m - Residential Development, Mungret</t>
  </si>
  <si>
    <t xml:space="preserve">2021-06-23</t>
  </si>
  <si>
    <t xml:space="preserve">2026-06-22</t>
  </si>
  <si>
    <t xml:space="preserve">1129627</t>
  </si>
  <si>
    <t xml:space="preserve">201074</t>
  </si>
  <si>
    <t xml:space="preserve">€13m - Residential Development, Castletroy</t>
  </si>
  <si>
    <t xml:space="preserve">2021-05-06</t>
  </si>
  <si>
    <t xml:space="preserve">2023-06-01</t>
  </si>
  <si>
    <t xml:space="preserve">2026-05-05</t>
  </si>
  <si>
    <t xml:space="preserve">On site: started 2023-06</t>
  </si>
  <si>
    <t xml:space="preserve">1157003</t>
  </si>
  <si>
    <t xml:space="preserve">21350</t>
  </si>
  <si>
    <t xml:space="preserve">€14m - Residential Development,Castletroy</t>
  </si>
  <si>
    <t xml:space="preserve">2021-12-03</t>
  </si>
  <si>
    <t xml:space="preserve">2022-03-25</t>
  </si>
  <si>
    <t xml:space="preserve">2026-12-02</t>
  </si>
  <si>
    <t xml:space="preserve">On site: started 2022-03</t>
  </si>
  <si>
    <t xml:space="preserve">1010675</t>
  </si>
  <si>
    <t xml:space="preserve">187031</t>
  </si>
  <si>
    <t xml:space="preserve">€11m - Residential Development, Castletroy</t>
  </si>
  <si>
    <t xml:space="preserve">2018-10-23</t>
  </si>
  <si>
    <t xml:space="preserve">2021-04-12</t>
  </si>
  <si>
    <t xml:space="preserve">2021-12-31</t>
  </si>
  <si>
    <t xml:space="preserve">1024750</t>
  </si>
  <si>
    <t xml:space="preserve">181243</t>
  </si>
  <si>
    <t xml:space="preserve">€6.4m - Residential Development, Crossagalla</t>
  </si>
  <si>
    <t xml:space="preserve">2019-09-04</t>
  </si>
  <si>
    <t xml:space="preserve">2021-04-28</t>
  </si>
  <si>
    <t xml:space="preserve">2024-09-03</t>
  </si>
  <si>
    <t xml:space="preserve">1408292</t>
  </si>
  <si>
    <t xml:space="preserve">2560540</t>
  </si>
  <si>
    <t xml:space="preserve">€7m - Apartment Development, Limerick City</t>
  </si>
  <si>
    <t xml:space="preserve">2025-11-10</t>
  </si>
  <si>
    <t xml:space="preserve">2030-11-09</t>
  </si>
  <si>
    <t xml:space="preserve">Permitted 2025-11; typical start 1.6 yrs after grant</t>
  </si>
  <si>
    <t xml:space="preserve">1350852</t>
  </si>
  <si>
    <t xml:space="preserve">2460570</t>
  </si>
  <si>
    <t xml:space="preserve">€4.5m - Apartment Development, Limerick City</t>
  </si>
  <si>
    <t xml:space="preserve">2025-02-06</t>
  </si>
  <si>
    <t xml:space="preserve">2030-02-05</t>
  </si>
  <si>
    <t xml:space="preserve">Permitted 2025-02, past typical start date with no commencement: start assumed in 9 months</t>
  </si>
  <si>
    <t xml:space="preserve">999946</t>
  </si>
  <si>
    <t xml:space="preserve">18698</t>
  </si>
  <si>
    <t xml:space="preserve">€4.6m - Residential Development </t>
  </si>
  <si>
    <t xml:space="preserve">2018-11-21</t>
  </si>
  <si>
    <t xml:space="preserve">2019-09-18</t>
  </si>
  <si>
    <t xml:space="preserve">2029-01-23</t>
  </si>
  <si>
    <t xml:space="preserve">1201033</t>
  </si>
  <si>
    <t xml:space="preserve">211598</t>
  </si>
  <si>
    <t xml:space="preserve">€5.8m - Apartment/Retail Development, Limerick </t>
  </si>
  <si>
    <t xml:space="preserve">2022-05-25</t>
  </si>
  <si>
    <t xml:space="preserve">2027-05-24</t>
  </si>
  <si>
    <t xml:space="preserve">1408496</t>
  </si>
  <si>
    <t xml:space="preserve">2560546</t>
  </si>
  <si>
    <t xml:space="preserve">€7m - Residential/Commercial Development, Limerick</t>
  </si>
  <si>
    <t xml:space="preserve">2030-09-03</t>
  </si>
  <si>
    <t xml:space="preserve">Permitted 2025-09; typical start 1.6 yrs after grant</t>
  </si>
  <si>
    <t xml:space="preserve">895586</t>
  </si>
  <si>
    <t xml:space="preserve">191060</t>
  </si>
  <si>
    <t xml:space="preserve">€50m - 1 BQ Development, Limerick City</t>
  </si>
  <si>
    <t xml:space="preserve">2020-03-04</t>
  </si>
  <si>
    <t xml:space="preserve">2022-06-20</t>
  </si>
  <si>
    <t xml:space="preserve">2022-06-18</t>
  </si>
  <si>
    <t xml:space="preserve">1254537</t>
  </si>
  <si>
    <t xml:space="preserve">221107</t>
  </si>
  <si>
    <t xml:space="preserve">€5m - Apartment/Retail Development, Dooradoyle</t>
  </si>
  <si>
    <t xml:space="preserve">2023-06-14</t>
  </si>
  <si>
    <t xml:space="preserve">2028-06-13</t>
  </si>
  <si>
    <t xml:space="preserve">Permitted 2023-06, past typical start date with no commencement: start assumed in 9 months</t>
  </si>
  <si>
    <t xml:space="preserve">1103803</t>
  </si>
  <si>
    <t xml:space="preserve">20467</t>
  </si>
  <si>
    <t xml:space="preserve">€5.4m - Patricks Well Housing Development, Mungret</t>
  </si>
  <si>
    <t xml:space="preserve">2021-01-29</t>
  </si>
  <si>
    <t xml:space="preserve">2021-10-11</t>
  </si>
  <si>
    <t xml:space="preserve">2029-03-12</t>
  </si>
  <si>
    <t xml:space="preserve">2021 Q4</t>
  </si>
  <si>
    <t xml:space="preserve">On site: started 2021-10</t>
  </si>
  <si>
    <t xml:space="preserve">1250272</t>
  </si>
  <si>
    <t xml:space="preserve">221003</t>
  </si>
  <si>
    <t xml:space="preserve">€6.5m - Apartment Development, Limerick</t>
  </si>
  <si>
    <t xml:space="preserve">2023-07-12</t>
  </si>
  <si>
    <t xml:space="preserve">2028-07-11</t>
  </si>
  <si>
    <t xml:space="preserve">1258052</t>
  </si>
  <si>
    <t xml:space="preserve">221189</t>
  </si>
  <si>
    <t xml:space="preserve">€6.3m - Apartment Development, Limerick</t>
  </si>
  <si>
    <t xml:space="preserve">2024-12-19</t>
  </si>
  <si>
    <t xml:space="preserve">2026-02-20</t>
  </si>
  <si>
    <t xml:space="preserve">2029-12-18</t>
  </si>
  <si>
    <t xml:space="preserve">2026 Q1</t>
  </si>
  <si>
    <t xml:space="preserve">On site: started 2026-02</t>
  </si>
  <si>
    <t xml:space="preserve">1022341</t>
  </si>
  <si>
    <t xml:space="preserve">187040</t>
  </si>
  <si>
    <t xml:space="preserve">€5.7m - Residential Development, Rhebogue</t>
  </si>
  <si>
    <t xml:space="preserve">2018-12-14</t>
  </si>
  <si>
    <t xml:space="preserve">2020-10-21</t>
  </si>
  <si>
    <t xml:space="preserve">2023-12-30</t>
  </si>
  <si>
    <t xml:space="preserve">2020 Q4</t>
  </si>
  <si>
    <t xml:space="preserve">On site: started 2020-10</t>
  </si>
  <si>
    <t xml:space="preserve">1256924</t>
  </si>
  <si>
    <t xml:space="preserve">2024-05-30</t>
  </si>
  <si>
    <t xml:space="preserve">2029-05-29</t>
  </si>
  <si>
    <t xml:space="preserve">Permitted 2024-05, past typical start date with no commencement: start assumed in 9 months; student block completes in one go</t>
  </si>
  <si>
    <t xml:space="preserve">990340</t>
  </si>
  <si>
    <t xml:space="preserve">18465</t>
  </si>
  <si>
    <t xml:space="preserve">€3.4m - Residential Development, Mungret</t>
  </si>
  <si>
    <t xml:space="preserve">2018-09-18</t>
  </si>
  <si>
    <t xml:space="preserve">2020-07-16</t>
  </si>
  <si>
    <t xml:space="preserve">2023-09-17</t>
  </si>
  <si>
    <t xml:space="preserve">1005377</t>
  </si>
  <si>
    <t xml:space="preserve">187029</t>
  </si>
  <si>
    <t xml:space="preserve">€1.9m - Housing Development </t>
  </si>
  <si>
    <t xml:space="preserve">2018-10-04</t>
  </si>
  <si>
    <t xml:space="preserve">2018-03-13</t>
  </si>
  <si>
    <t xml:space="preserve">1094519</t>
  </si>
  <si>
    <t xml:space="preserve">20222</t>
  </si>
  <si>
    <t xml:space="preserve">€8.9m - Mixed Use Development, 34-41 Catherine Street</t>
  </si>
  <si>
    <t xml:space="preserve">2021-01-06</t>
  </si>
  <si>
    <t xml:space="preserve">2026-01-05</t>
  </si>
  <si>
    <t xml:space="preserve">1263713</t>
  </si>
  <si>
    <t xml:space="preserve">221367</t>
  </si>
  <si>
    <t xml:space="preserve">€5.2m - Residential Development, Limerick</t>
  </si>
  <si>
    <t xml:space="preserve">2023-09-13</t>
  </si>
  <si>
    <t xml:space="preserve">2028-09-12</t>
  </si>
  <si>
    <t xml:space="preserve">Permitted 2023-09, past typical start date with no commencement: start assumed in 9 months</t>
  </si>
  <si>
    <t xml:space="preserve">1403973</t>
  </si>
  <si>
    <t xml:space="preserve">2560425</t>
  </si>
  <si>
    <t xml:space="preserve">€4.4m - Apartment Development </t>
  </si>
  <si>
    <t xml:space="preserve">2026-04-14</t>
  </si>
  <si>
    <t xml:space="preserve">2031-04-13</t>
  </si>
  <si>
    <t xml:space="preserve">2030 Q3</t>
  </si>
  <si>
    <t xml:space="preserve">Permitted 2026-04; typical start 1.4 yrs after grant</t>
  </si>
  <si>
    <t xml:space="preserve">1278374</t>
  </si>
  <si>
    <t xml:space="preserve">2360150</t>
  </si>
  <si>
    <t xml:space="preserve">€3m - Apartment Development, Limerick</t>
  </si>
  <si>
    <t xml:space="preserve">2023-08-22</t>
  </si>
  <si>
    <t xml:space="preserve">2025-12-01</t>
  </si>
  <si>
    <t xml:space="preserve">2028-08-21</t>
  </si>
  <si>
    <t xml:space="preserve">2025 Q4</t>
  </si>
  <si>
    <t xml:space="preserve">On site: started 2025-12</t>
  </si>
  <si>
    <t xml:space="preserve">1019119</t>
  </si>
  <si>
    <t xml:space="preserve">181105</t>
  </si>
  <si>
    <t xml:space="preserve">€2.3m - Housing Development</t>
  </si>
  <si>
    <t xml:space="preserve">2019-09-19</t>
  </si>
  <si>
    <t xml:space="preserve">2023-07-06</t>
  </si>
  <si>
    <t xml:space="preserve">2024-09-18</t>
  </si>
  <si>
    <t xml:space="preserve">1196488</t>
  </si>
  <si>
    <t xml:space="preserve">211475</t>
  </si>
  <si>
    <t xml:space="preserve">€4.9m - Residential Development, Castletroy</t>
  </si>
  <si>
    <t xml:space="preserve">2022-05-03</t>
  </si>
  <si>
    <t xml:space="preserve">2022-08-15</t>
  </si>
  <si>
    <t xml:space="preserve">2027-05-02</t>
  </si>
  <si>
    <t xml:space="preserve">2022 Q3</t>
  </si>
  <si>
    <t xml:space="preserve">On site: started 2022-08</t>
  </si>
  <si>
    <t xml:space="preserve">1411773</t>
  </si>
  <si>
    <t xml:space="preserve">2560771</t>
  </si>
  <si>
    <t xml:space="preserve">€4.5m - Mixed Use Development</t>
  </si>
  <si>
    <t xml:space="preserve">2026-06-08</t>
  </si>
  <si>
    <t xml:space="preserve">2031-06-07</t>
  </si>
  <si>
    <t xml:space="preserve">Permitted 2026-06; typical start 1.4 yrs after grant</t>
  </si>
  <si>
    <t xml:space="preserve">1290708</t>
  </si>
  <si>
    <t xml:space="preserve">2360345</t>
  </si>
  <si>
    <t xml:space="preserve">€3.7m - Residential Development, Limerick City</t>
  </si>
  <si>
    <t xml:space="preserve">2024-07-09</t>
  </si>
  <si>
    <t xml:space="preserve">2029-07-08</t>
  </si>
  <si>
    <t xml:space="preserve">1139440</t>
  </si>
  <si>
    <t xml:space="preserve">201320</t>
  </si>
  <si>
    <t xml:space="preserve">€3.7m - Residential Development, Newcastle</t>
  </si>
  <si>
    <t xml:space="preserve">2021-04-27</t>
  </si>
  <si>
    <t xml:space="preserve">2022-01-26</t>
  </si>
  <si>
    <t xml:space="preserve">2026-04-26</t>
  </si>
  <si>
    <t xml:space="preserve">1227182</t>
  </si>
  <si>
    <t xml:space="preserve">22471</t>
  </si>
  <si>
    <t xml:space="preserve">€4.5m - Housing Development, Mungret</t>
  </si>
  <si>
    <t xml:space="preserve">2024-01-22</t>
  </si>
  <si>
    <t xml:space="preserve">2029-01-21</t>
  </si>
  <si>
    <t xml:space="preserve">Permitted 2024-01, past typical start date with no commencement: start assumed in 9 months</t>
  </si>
  <si>
    <t xml:space="preserve">1401743</t>
  </si>
  <si>
    <t xml:space="preserve">2560365</t>
  </si>
  <si>
    <t xml:space="preserve">€2.4m - Apartment Development</t>
  </si>
  <si>
    <t xml:space="preserve">2026-06-16</t>
  </si>
  <si>
    <t xml:space="preserve">2031-06-15</t>
  </si>
  <si>
    <t xml:space="preserve">1112715</t>
  </si>
  <si>
    <t xml:space="preserve">20622</t>
  </si>
  <si>
    <t xml:space="preserve">€3.2m - Change of Use to Apartment Development </t>
  </si>
  <si>
    <t xml:space="preserve">2020-10-07</t>
  </si>
  <si>
    <t xml:space="preserve">2025-10-06</t>
  </si>
  <si>
    <t xml:space="preserve">1353358</t>
  </si>
  <si>
    <t xml:space="preserve">2460633</t>
  </si>
  <si>
    <t xml:space="preserve">€2.7m - Residential Development, Limerick</t>
  </si>
  <si>
    <t xml:space="preserve">2025-04-24</t>
  </si>
  <si>
    <t xml:space="preserve">2030-04-23</t>
  </si>
  <si>
    <t xml:space="preserve">Permitted 2025-04, past typical start date with no commencement: start assumed in 9 months</t>
  </si>
  <si>
    <t xml:space="preserve">1195465</t>
  </si>
  <si>
    <t xml:space="preserve">211454</t>
  </si>
  <si>
    <t xml:space="preserve">€2.1m - Apartment Development </t>
  </si>
  <si>
    <t xml:space="preserve">2022-09-21</t>
  </si>
  <si>
    <t xml:space="preserve">2027-09-20</t>
  </si>
  <si>
    <t xml:space="preserve">Permitted 2022-09, past typical start date with no commencement: start assumed in 9 months</t>
  </si>
  <si>
    <t xml:space="preserve">1286254</t>
  </si>
  <si>
    <t xml:space="preserve">2360263</t>
  </si>
  <si>
    <t xml:space="preserve">€3.8m - Housing Development, Castletroy</t>
  </si>
  <si>
    <t xml:space="preserve">2023-10-24</t>
  </si>
  <si>
    <t xml:space="preserve">2024-02-26</t>
  </si>
  <si>
    <t xml:space="preserve">2028-10-23</t>
  </si>
  <si>
    <t xml:space="preserve">980328</t>
  </si>
  <si>
    <t xml:space="preserve">18219</t>
  </si>
  <si>
    <t xml:space="preserve">€2m - Apartment Development </t>
  </si>
  <si>
    <t xml:space="preserve">2018-09-11</t>
  </si>
  <si>
    <t xml:space="preserve">2019-05-28</t>
  </si>
  <si>
    <t xml:space="preserve">2023-09-10</t>
  </si>
  <si>
    <t xml:space="preserve">991834</t>
  </si>
  <si>
    <t xml:space="preserve">18496</t>
  </si>
  <si>
    <t xml:space="preserve">€1.3m - Housing Development</t>
  </si>
  <si>
    <t xml:space="preserve">2019-01-22</t>
  </si>
  <si>
    <t xml:space="preserve">2019-08-12</t>
  </si>
  <si>
    <t xml:space="preserve">2024-01-21</t>
  </si>
  <si>
    <t xml:space="preserve">1075116</t>
  </si>
  <si>
    <t xml:space="preserve">197025</t>
  </si>
  <si>
    <t xml:space="preserve">Housing Development </t>
  </si>
  <si>
    <t xml:space="preserve">2020-02-07</t>
  </si>
  <si>
    <t xml:space="preserve">2024-12-01</t>
  </si>
  <si>
    <t xml:space="preserve">1157017</t>
  </si>
  <si>
    <t xml:space="preserve">21364</t>
  </si>
  <si>
    <t xml:space="preserve">€2.5m - Residential Development, Mungret</t>
  </si>
  <si>
    <t xml:space="preserve">2023-06-22</t>
  </si>
  <si>
    <t xml:space="preserve">2028-06-21</t>
  </si>
  <si>
    <t xml:space="preserve">1148944</t>
  </si>
  <si>
    <t xml:space="preserve">21147</t>
  </si>
  <si>
    <t xml:space="preserve">€1.4m - Housing Development </t>
  </si>
  <si>
    <t xml:space="preserve">2022-02-07</t>
  </si>
  <si>
    <t xml:space="preserve">2027-02-06</t>
  </si>
  <si>
    <t xml:space="preserve">1264538</t>
  </si>
  <si>
    <t xml:space="preserve">221381</t>
  </si>
  <si>
    <t xml:space="preserve">€2m - 9 Apartments</t>
  </si>
  <si>
    <t xml:space="preserve">2023-08-29</t>
  </si>
  <si>
    <t xml:space="preserve">2024-04-15</t>
  </si>
  <si>
    <t xml:space="preserve">2028-08-28</t>
  </si>
  <si>
    <t xml:space="preserve">1329797</t>
  </si>
  <si>
    <t xml:space="preserve">2460075</t>
  </si>
  <si>
    <t xml:space="preserve">€816k - 8 Apartment </t>
  </si>
  <si>
    <t xml:space="preserve">2029-07-16</t>
  </si>
  <si>
    <t xml:space="preserve">1072840</t>
  </si>
  <si>
    <t xml:space="preserve">191037</t>
  </si>
  <si>
    <t xml:space="preserve">€2.3m - 8 Residential Units </t>
  </si>
  <si>
    <t xml:space="preserve">2020-10-13</t>
  </si>
  <si>
    <t xml:space="preserve">2024-04-18</t>
  </si>
  <si>
    <t xml:space="preserve">2025-10-12</t>
  </si>
  <si>
    <t xml:space="preserve">1103802</t>
  </si>
  <si>
    <t xml:space="preserve">20466</t>
  </si>
  <si>
    <t xml:space="preserve">€1.7m - 8 Apartments</t>
  </si>
  <si>
    <t xml:space="preserve">2021-04-20</t>
  </si>
  <si>
    <t xml:space="preserve">2026-04-19</t>
  </si>
  <si>
    <t xml:space="preserve">1314456</t>
  </si>
  <si>
    <t xml:space="preserve">2360759</t>
  </si>
  <si>
    <t xml:space="preserve">€1.4m - Retail Units/Apartments</t>
  </si>
  <si>
    <t xml:space="preserve">1327311</t>
  </si>
  <si>
    <t xml:space="preserve">2460020</t>
  </si>
  <si>
    <t xml:space="preserve">€200k - Change of Use to 8 Apartments </t>
  </si>
  <si>
    <t xml:space="preserve">2024-04-04</t>
  </si>
  <si>
    <t xml:space="preserve">2025-05-07</t>
  </si>
  <si>
    <t xml:space="preserve">2029-04-03</t>
  </si>
  <si>
    <t xml:space="preserve">2025 Q2</t>
  </si>
  <si>
    <t xml:space="preserve">On site: started 2025-05</t>
  </si>
  <si>
    <t xml:space="preserve">1333345</t>
  </si>
  <si>
    <t xml:space="preserve">2460151</t>
  </si>
  <si>
    <t xml:space="preserve">€1.6m - Change of Use to 7 Apartments, Limerick</t>
  </si>
  <si>
    <t xml:space="preserve">2026-04-24</t>
  </si>
  <si>
    <t xml:space="preserve">1384661</t>
  </si>
  <si>
    <t xml:space="preserve">2560001</t>
  </si>
  <si>
    <t xml:space="preserve">€1.3m - 6 Apartments, Thomondgate</t>
  </si>
  <si>
    <t xml:space="preserve">2025-12-03</t>
  </si>
  <si>
    <t xml:space="preserve">2026-03-16</t>
  </si>
  <si>
    <t xml:space="preserve">2030-12-02</t>
  </si>
  <si>
    <t xml:space="preserve">On site: started 2026-03</t>
  </si>
  <si>
    <t xml:space="preserve">1163125</t>
  </si>
  <si>
    <t xml:space="preserve">21532</t>
  </si>
  <si>
    <t xml:space="preserve">€858k - Residential Development, Mungret</t>
  </si>
  <si>
    <t xml:space="preserve">2022-01-13</t>
  </si>
  <si>
    <t xml:space="preserve">2027-01-12</t>
  </si>
  <si>
    <t xml:space="preserve">1009370</t>
  </si>
  <si>
    <t xml:space="preserve">18892</t>
  </si>
  <si>
    <t xml:space="preserve">€870k - Apartments  </t>
  </si>
  <si>
    <t xml:space="preserve">2019-02-26</t>
  </si>
  <si>
    <t xml:space="preserve">2019-08-30</t>
  </si>
  <si>
    <t xml:space="preserve">2024-02-25</t>
  </si>
  <si>
    <t xml:space="preserve">2019 Q3</t>
  </si>
  <si>
    <t xml:space="preserve">On site: started 2019-08</t>
  </si>
  <si>
    <t xml:space="preserve">1156999</t>
  </si>
  <si>
    <t xml:space="preserve">21342</t>
  </si>
  <si>
    <t xml:space="preserve">€864k - 6 Dwellings</t>
  </si>
  <si>
    <t xml:space="preserve">2022-04-13</t>
  </si>
  <si>
    <t xml:space="preserve">2023-03-20</t>
  </si>
  <si>
    <t xml:space="preserve">2027-04-12</t>
  </si>
  <si>
    <t xml:space="preserve">1193931</t>
  </si>
  <si>
    <t xml:space="preserve">211395</t>
  </si>
  <si>
    <t xml:space="preserve">€1.3m - 6 Houses </t>
  </si>
  <si>
    <t xml:space="preserve">2022-06-21</t>
  </si>
  <si>
    <t xml:space="preserve">2026-02-13</t>
  </si>
  <si>
    <t xml:space="preserve">2027-06-20</t>
  </si>
  <si>
    <t xml:space="preserve">1383405</t>
  </si>
  <si>
    <t xml:space="preserve">2461298</t>
  </si>
  <si>
    <t xml:space="preserve">€975k - Change of Use to Restaurant/Apartments</t>
  </si>
  <si>
    <t xml:space="preserve">2025-06-24</t>
  </si>
  <si>
    <t xml:space="preserve">2026-02-23</t>
  </si>
  <si>
    <t xml:space="preserve">2030-06-23</t>
  </si>
  <si>
    <t xml:space="preserve">997576</t>
  </si>
  <si>
    <t xml:space="preserve">187020</t>
  </si>
  <si>
    <t xml:space="preserve">€1m - Residential Development</t>
  </si>
  <si>
    <t xml:space="preserve">2019-04-05</t>
  </si>
  <si>
    <t xml:space="preserve">2023-05-13</t>
  </si>
  <si>
    <t xml:space="preserve">1409292</t>
  </si>
  <si>
    <t xml:space="preserve">2560595</t>
  </si>
  <si>
    <t xml:space="preserve">€819k - 6 Apartments</t>
  </si>
  <si>
    <t xml:space="preserve">Permitted 2026-02; typical start 1.3 yrs after grant</t>
  </si>
  <si>
    <t xml:space="preserve">974045</t>
  </si>
  <si>
    <t xml:space="preserve">1872</t>
  </si>
  <si>
    <t xml:space="preserve">€554k - 4 Houses </t>
  </si>
  <si>
    <t xml:space="preserve">2019-01-18</t>
  </si>
  <si>
    <t xml:space="preserve">2020-08-07</t>
  </si>
  <si>
    <t xml:space="preserve">2024-01-17</t>
  </si>
  <si>
    <t xml:space="preserve">997554</t>
  </si>
  <si>
    <t xml:space="preserve">18618</t>
  </si>
  <si>
    <t xml:space="preserve">€529k - 4 Houses </t>
  </si>
  <si>
    <t xml:space="preserve">2018-11-27</t>
  </si>
  <si>
    <t xml:space="preserve">2019-07-19</t>
  </si>
  <si>
    <t xml:space="preserve">2023-11-26</t>
  </si>
  <si>
    <t xml:space="preserve">On site: started 2019-07</t>
  </si>
  <si>
    <t xml:space="preserve">1419374</t>
  </si>
  <si>
    <t xml:space="preserve">2561323</t>
  </si>
  <si>
    <t xml:space="preserve">€757k - 4 Apartments, Castletroy</t>
  </si>
  <si>
    <t xml:space="preserve">Permitted 2026-07; typical start 1.3 yrs after grant</t>
  </si>
  <si>
    <t xml:space="preserve">1100331</t>
  </si>
  <si>
    <t xml:space="preserve">20361</t>
  </si>
  <si>
    <t xml:space="preserve">€648k - 3 Houses </t>
  </si>
  <si>
    <t xml:space="preserve">2021-06-15</t>
  </si>
  <si>
    <t xml:space="preserve">2022-09-26</t>
  </si>
  <si>
    <t xml:space="preserve">2026-06-14</t>
  </si>
  <si>
    <t xml:space="preserve">On site: started 2022-09</t>
  </si>
  <si>
    <t xml:space="preserve">1326040</t>
  </si>
  <si>
    <t xml:space="preserve">2460004</t>
  </si>
  <si>
    <t xml:space="preserve">€755k - Change of Use to 3 Apartments </t>
  </si>
  <si>
    <t xml:space="preserve">2024-12-30</t>
  </si>
  <si>
    <t xml:space="preserve">1064271</t>
  </si>
  <si>
    <t xml:space="preserve">19841</t>
  </si>
  <si>
    <t xml:space="preserve">€618k - 2 Apartments </t>
  </si>
  <si>
    <t xml:space="preserve">2020-09-16</t>
  </si>
  <si>
    <t xml:space="preserve">2025-09-15</t>
  </si>
  <si>
    <t xml:space="preserve">On site: started 2023-09</t>
  </si>
  <si>
    <t xml:space="preserve">1174250</t>
  </si>
  <si>
    <t xml:space="preserve">21853</t>
  </si>
  <si>
    <t xml:space="preserve">€622k - 2 Houses</t>
  </si>
  <si>
    <t xml:space="preserve">2021-12-15</t>
  </si>
  <si>
    <t xml:space="preserve">2023-09-25</t>
  </si>
  <si>
    <t xml:space="preserve">2026-12-14</t>
  </si>
  <si>
    <t xml:space="preserve">1132789</t>
  </si>
  <si>
    <t xml:space="preserve">2021-09-21</t>
  </si>
  <si>
    <t xml:space="preserve">2026-09-20</t>
  </si>
  <si>
    <t xml:space="preserve">1417746</t>
  </si>
  <si>
    <t xml:space="preserve">2026-07-28</t>
  </si>
  <si>
    <t xml:space="preserve">2031-07-27</t>
  </si>
  <si>
    <t xml:space="preserve">Permitted 2026-07; typical start 1.3 yrs after grant; student block completes in one go</t>
  </si>
  <si>
    <t xml:space="preserve">971158</t>
  </si>
  <si>
    <t xml:space="preserve">187001</t>
  </si>
  <si>
    <t xml:space="preserve">€18.9m - Housing Development </t>
  </si>
  <si>
    <t xml:space="preserve">2018-04-10</t>
  </si>
  <si>
    <t xml:space="preserve">1070656</t>
  </si>
  <si>
    <t xml:space="preserve">19990</t>
  </si>
  <si>
    <t xml:space="preserve">€521k - 8 Houses </t>
  </si>
  <si>
    <t xml:space="preserve">2020-01-10</t>
  </si>
  <si>
    <t xml:space="preserve">2020-12-04</t>
  </si>
  <si>
    <t xml:space="preserve">2023-02-26</t>
  </si>
  <si>
    <t xml:space="preserve">1025215</t>
  </si>
  <si>
    <t xml:space="preserve">181270</t>
  </si>
  <si>
    <t xml:space="preserve">€5.8m - Housing Development</t>
  </si>
  <si>
    <t xml:space="preserve">2019-05-29</t>
  </si>
  <si>
    <t xml:space="preserve">2021-05-25</t>
  </si>
  <si>
    <t xml:space="preserve">2024-05-28</t>
  </si>
  <si>
    <t xml:space="preserve">1270045</t>
  </si>
  <si>
    <t xml:space="preserve">2360025</t>
  </si>
  <si>
    <t xml:space="preserve">€3.8m - Apartment Development, Limerick</t>
  </si>
  <si>
    <t xml:space="preserve">2024-08-28</t>
  </si>
  <si>
    <t xml:space="preserve">2025-10-23</t>
  </si>
  <si>
    <t xml:space="preserve">2029-08-27</t>
  </si>
  <si>
    <t xml:space="preserve">On site: started 2025-10</t>
  </si>
  <si>
    <t xml:space="preserve">1188558</t>
  </si>
  <si>
    <t xml:space="preserve">211257</t>
  </si>
  <si>
    <t xml:space="preserve">€1.8m - Social Housing Development, Limerick</t>
  </si>
  <si>
    <t xml:space="preserve">2024-02-21</t>
  </si>
  <si>
    <t xml:space="preserve">2028-09-24</t>
  </si>
  <si>
    <t xml:space="preserve">1040199</t>
  </si>
  <si>
    <t xml:space="preserve">19302</t>
  </si>
  <si>
    <t xml:space="preserve">€2.6m - Apartments</t>
  </si>
  <si>
    <t xml:space="preserve">2019-06-19</t>
  </si>
  <si>
    <t xml:space="preserve">2024-06-18</t>
  </si>
  <si>
    <t xml:space="preserve">1061120</t>
  </si>
  <si>
    <t xml:space="preserve">19769</t>
  </si>
  <si>
    <t xml:space="preserve">€782k - Apartment Change of Use, Henry Street</t>
  </si>
  <si>
    <t xml:space="preserve">2019-10-30</t>
  </si>
  <si>
    <t xml:space="preserve">2021-03-22</t>
  </si>
  <si>
    <t xml:space="preserve">2025-10-28</t>
  </si>
  <si>
    <t xml:space="preserve">2021 Q1</t>
  </si>
  <si>
    <t xml:space="preserve">On site: started 2021-03</t>
  </si>
  <si>
    <t xml:space="preserve">998747</t>
  </si>
  <si>
    <t xml:space="preserve">188007</t>
  </si>
  <si>
    <t xml:space="preserve">€8.9m - Residential Development </t>
  </si>
  <si>
    <t xml:space="preserve">2018-09-12</t>
  </si>
  <si>
    <t xml:space="preserve">2020-04-30</t>
  </si>
  <si>
    <t xml:space="preserve">999956</t>
  </si>
  <si>
    <t xml:space="preserve">188008</t>
  </si>
  <si>
    <t xml:space="preserve">€7m - Residential Development, Condell Road</t>
  </si>
  <si>
    <t xml:space="preserve">2019-09-24</t>
  </si>
  <si>
    <t xml:space="preserve">1050624</t>
  </si>
  <si>
    <t xml:space="preserve">198003</t>
  </si>
  <si>
    <t xml:space="preserve">€3.9m - Residential Development, Moyross</t>
  </si>
  <si>
    <t xml:space="preserve">2019-09-10</t>
  </si>
  <si>
    <t xml:space="preserve">2022-07-18</t>
  </si>
  <si>
    <t xml:space="preserve">On site: started 2022-07</t>
  </si>
  <si>
    <t xml:space="preserve">1412942</t>
  </si>
  <si>
    <t xml:space="preserve">PT8LL283</t>
  </si>
  <si>
    <t xml:space="preserve">€5.4m - Cosgrave Park Phase 2, Moyross</t>
  </si>
  <si>
    <t xml:space="preserve">1371977</t>
  </si>
  <si>
    <t xml:space="preserve">Part 8 - 1371977</t>
  </si>
  <si>
    <t xml:space="preserve">€3.4m - Residential Development</t>
  </si>
  <si>
    <t xml:space="preserve">2025-01-20</t>
  </si>
  <si>
    <t xml:space="preserve">Permitted 2025-01, past typical start date with no commencement: start assumed in 9 months</t>
  </si>
  <si>
    <t xml:space="preserve">1015932</t>
  </si>
  <si>
    <t xml:space="preserve">188014</t>
  </si>
  <si>
    <t xml:space="preserve">€1.7m - Residential Development, Rosbrien Road</t>
  </si>
  <si>
    <t xml:space="preserve">2018-12-11</t>
  </si>
  <si>
    <t xml:space="preserve">2020-11-06</t>
  </si>
  <si>
    <t xml:space="preserve">1045472</t>
  </si>
  <si>
    <t xml:space="preserve">188001</t>
  </si>
  <si>
    <t xml:space="preserve">€3m - Residential Development, Mulgrave Street</t>
  </si>
  <si>
    <t xml:space="preserve">2018-05-16</t>
  </si>
  <si>
    <t xml:space="preserve">2020-02-10</t>
  </si>
  <si>
    <t xml:space="preserve">1363543</t>
  </si>
  <si>
    <t xml:space="preserve">Part 8 - 1363543</t>
  </si>
  <si>
    <t xml:space="preserve">€4m - Housing Development</t>
  </si>
  <si>
    <t xml:space="preserve">2024-05-01</t>
  </si>
  <si>
    <t xml:space="preserve">1265040</t>
  </si>
  <si>
    <t xml:space="preserve">228023</t>
  </si>
  <si>
    <t xml:space="preserve">€5.45m - Apartment Development, Limerick</t>
  </si>
  <si>
    <t xml:space="preserve">2026-02-09</t>
  </si>
  <si>
    <t xml:space="preserve">1431510</t>
  </si>
  <si>
    <t xml:space="preserve">268371</t>
  </si>
  <si>
    <t xml:space="preserve">€3.2m - Residential Development, Thomondgate</t>
  </si>
  <si>
    <t xml:space="preserve">REG-178017</t>
  </si>
  <si>
    <t xml:space="preserve">178017</t>
  </si>
  <si>
    <t xml:space="preserve">Part 8: (a) Provision of 13 no. residential terraced units (11 no. two storey </t>
  </si>
  <si>
    <t xml:space="preserve">Commenced (building control)</t>
  </si>
  <si>
    <t xml:space="preserve">2019-05-15</t>
  </si>
  <si>
    <t xml:space="preserve">2019 Q2</t>
  </si>
  <si>
    <t xml:space="preserve">On site: started 2019-05</t>
  </si>
  <si>
    <t xml:space="preserve">1419395</t>
  </si>
  <si>
    <t xml:space="preserve">€2.1m - Part 8 Residential Development, Limerick</t>
  </si>
  <si>
    <t xml:space="preserve">REG-178001</t>
  </si>
  <si>
    <t xml:space="preserve">178001</t>
  </si>
  <si>
    <t xml:space="preserve">Part 8: (1)Provision of 7no. residential units, 2no. two storey and 5no. singl</t>
  </si>
  <si>
    <t xml:space="preserve">2018-09-24</t>
  </si>
  <si>
    <t xml:space="preserve">On site: started 2018-09</t>
  </si>
  <si>
    <t xml:space="preserve">REG-178012</t>
  </si>
  <si>
    <t xml:space="preserve">178012</t>
  </si>
  <si>
    <t xml:space="preserve">Part 8: (i) provision of 7 no. residential units (2 no. three-storey, 3 bedroo</t>
  </si>
  <si>
    <t xml:space="preserve">1360553</t>
  </si>
  <si>
    <t xml:space="preserve">248132</t>
  </si>
  <si>
    <t xml:space="preserve">€1.4m - 6 Houses, Annacotty</t>
  </si>
  <si>
    <t xml:space="preserve">2024-12-04</t>
  </si>
  <si>
    <t xml:space="preserve">2026-05-13</t>
  </si>
  <si>
    <t xml:space="preserve">1363541</t>
  </si>
  <si>
    <t xml:space="preserve">CE/2019/087</t>
  </si>
  <si>
    <t xml:space="preserve">€1.5m - Housing Development</t>
  </si>
  <si>
    <t xml:space="preserve">2024-05-04</t>
  </si>
  <si>
    <t xml:space="preserve">2024-08-19</t>
  </si>
  <si>
    <t xml:space="preserve">1438136</t>
  </si>
  <si>
    <t xml:space="preserve">268364</t>
  </si>
  <si>
    <t xml:space="preserve">€883k - Part 8 - 6 Apartments, Corbally</t>
  </si>
  <si>
    <t xml:space="preserve">1439022</t>
  </si>
  <si>
    <t xml:space="preserve">268363</t>
  </si>
  <si>
    <t xml:space="preserve">€1.4m - 6 Houses, Caherdavin</t>
  </si>
  <si>
    <t xml:space="preserve">999957</t>
  </si>
  <si>
    <t xml:space="preserve">188009</t>
  </si>
  <si>
    <t xml:space="preserve">€1.1m - Residential Units </t>
  </si>
  <si>
    <t xml:space="preserve">2020-07-20</t>
  </si>
  <si>
    <t xml:space="preserve">REG-178015</t>
  </si>
  <si>
    <t xml:space="preserve">178015</t>
  </si>
  <si>
    <t xml:space="preserve">Part 8: provision of 5 no. residential terraced units (all two storey) and all</t>
  </si>
  <si>
    <t xml:space="preserve">2019-01-07</t>
  </si>
  <si>
    <t xml:space="preserve">2019 Q1</t>
  </si>
  <si>
    <t xml:space="preserve">On site: started 2019-01</t>
  </si>
  <si>
    <t xml:space="preserve">REG-188004</t>
  </si>
  <si>
    <t xml:space="preserve">188004</t>
  </si>
  <si>
    <t xml:space="preserve">Part 8: (i) provision of 5 no. residential units (3 no. 2 bedroom houses and 2</t>
  </si>
  <si>
    <t xml:space="preserve">2018-06-13</t>
  </si>
  <si>
    <t xml:space="preserve">Permitted 2018-06, past typical start date with no commencement: start assumed in 9 months</t>
  </si>
  <si>
    <t xml:space="preserve">REG-198008</t>
  </si>
  <si>
    <t xml:space="preserve">198008</t>
  </si>
  <si>
    <t xml:space="preserve">Part 8: (a) provision of 3 no. residential two-storey terraced units comprisin</t>
  </si>
  <si>
    <t xml:space="preserve">2019-12-12</t>
  </si>
  <si>
    <t xml:space="preserve">2020-04-21</t>
  </si>
  <si>
    <t xml:space="preserve">2020 Q2</t>
  </si>
  <si>
    <t xml:space="preserve">On site: started 2020-04</t>
  </si>
  <si>
    <t xml:space="preserve">1250091</t>
  </si>
  <si>
    <t xml:space="preserve">22990</t>
  </si>
  <si>
    <t xml:space="preserve">€22m - Residential Development, Adare</t>
  </si>
  <si>
    <t xml:space="preserve">Outside city neighbourhoods</t>
  </si>
  <si>
    <t xml:space="preserve">Rathkeale</t>
  </si>
  <si>
    <t xml:space="preserve">2025-02-25</t>
  </si>
  <si>
    <t xml:space="preserve">2030-02-24</t>
  </si>
  <si>
    <t xml:space="preserve">1243349</t>
  </si>
  <si>
    <t xml:space="preserve">22840</t>
  </si>
  <si>
    <t xml:space="preserve">€21m - Residential Development, Newcastle West</t>
  </si>
  <si>
    <t xml:space="preserve">Newcastle West</t>
  </si>
  <si>
    <t xml:space="preserve">2023-06-26</t>
  </si>
  <si>
    <t xml:space="preserve">2024-01-31</t>
  </si>
  <si>
    <t xml:space="preserve">2028-06-25</t>
  </si>
  <si>
    <t xml:space="preserve">On site: started 2024-01</t>
  </si>
  <si>
    <t xml:space="preserve">1316492</t>
  </si>
  <si>
    <t xml:space="preserve">2360794</t>
  </si>
  <si>
    <t xml:space="preserve">€15.3m - Residential Development, Bruff</t>
  </si>
  <si>
    <t xml:space="preserve">Bruff</t>
  </si>
  <si>
    <t xml:space="preserve">2024-05-07</t>
  </si>
  <si>
    <t xml:space="preserve">2029-05-06</t>
  </si>
  <si>
    <t xml:space="preserve">Permitted 2024-05, past typical start date with no commencement: start assumed in 9 months</t>
  </si>
  <si>
    <t xml:space="preserve">1320420</t>
  </si>
  <si>
    <t xml:space="preserve">2360866</t>
  </si>
  <si>
    <t xml:space="preserve">€16.8m - Residential Development, Castleconnell</t>
  </si>
  <si>
    <t xml:space="preserve">Castleconnell</t>
  </si>
  <si>
    <t xml:space="preserve">2024-06-12</t>
  </si>
  <si>
    <t xml:space="preserve">2029-06-11</t>
  </si>
  <si>
    <t xml:space="preserve">1165485</t>
  </si>
  <si>
    <t xml:space="preserve">21594</t>
  </si>
  <si>
    <t xml:space="preserve">€11.3m - Residential Development </t>
  </si>
  <si>
    <t xml:space="preserve">Abbeyfeale</t>
  </si>
  <si>
    <t xml:space="preserve">2022-09-06</t>
  </si>
  <si>
    <t xml:space="preserve">2027-09-05</t>
  </si>
  <si>
    <t xml:space="preserve">1391914</t>
  </si>
  <si>
    <t xml:space="preserve">2560156</t>
  </si>
  <si>
    <t xml:space="preserve">€15.9m - Residential Development, Patrickswell</t>
  </si>
  <si>
    <t xml:space="preserve">Patrickswell</t>
  </si>
  <si>
    <t xml:space="preserve">2025-11-11</t>
  </si>
  <si>
    <t xml:space="preserve">2030-11-10</t>
  </si>
  <si>
    <t xml:space="preserve">Permitted 2025-11, past typical start date with no commencement: start assumed in 9 months</t>
  </si>
  <si>
    <t xml:space="preserve">1163124</t>
  </si>
  <si>
    <t xml:space="preserve">21531</t>
  </si>
  <si>
    <t xml:space="preserve">€9.7m - Housing Development, Newcastle West</t>
  </si>
  <si>
    <t xml:space="preserve">2022-09-16</t>
  </si>
  <si>
    <t xml:space="preserve">1023413</t>
  </si>
  <si>
    <t xml:space="preserve">181193</t>
  </si>
  <si>
    <t xml:space="preserve">€9m - Housing Development</t>
  </si>
  <si>
    <t xml:space="preserve">2027-05-26</t>
  </si>
  <si>
    <t xml:space="preserve">1417511</t>
  </si>
  <si>
    <t xml:space="preserve">2561228</t>
  </si>
  <si>
    <t xml:space="preserve">€18.4m - Residential Development, Patrickswell</t>
  </si>
  <si>
    <t xml:space="preserve">2026-05-06</t>
  </si>
  <si>
    <t xml:space="preserve">2026-07-14</t>
  </si>
  <si>
    <t xml:space="preserve">2031-05-05</t>
  </si>
  <si>
    <t xml:space="preserve">1310783</t>
  </si>
  <si>
    <t xml:space="preserve">2360706</t>
  </si>
  <si>
    <t xml:space="preserve">€8.9m - Housing Development, Newcastle West</t>
  </si>
  <si>
    <t xml:space="preserve">1262614</t>
  </si>
  <si>
    <t xml:space="preserve">221318</t>
  </si>
  <si>
    <t xml:space="preserve">€10.9m - Residential Development, Patrickswell</t>
  </si>
  <si>
    <t xml:space="preserve">2025-02-05</t>
  </si>
  <si>
    <t xml:space="preserve">On site: started 2025-02</t>
  </si>
  <si>
    <t xml:space="preserve">1049430</t>
  </si>
  <si>
    <t xml:space="preserve">19518</t>
  </si>
  <si>
    <t xml:space="preserve">€11m - Mixed Use Development, Castleconnell</t>
  </si>
  <si>
    <t xml:space="preserve">2020-12-21</t>
  </si>
  <si>
    <t xml:space="preserve">2022-01-14</t>
  </si>
  <si>
    <t xml:space="preserve">2025-12-20</t>
  </si>
  <si>
    <t xml:space="preserve">On site: started 2022-01</t>
  </si>
  <si>
    <t xml:space="preserve">1166991</t>
  </si>
  <si>
    <t xml:space="preserve">21630</t>
  </si>
  <si>
    <t xml:space="preserve">€10.8m - Residential Development, Croom</t>
  </si>
  <si>
    <t xml:space="preserve">2022-05-12</t>
  </si>
  <si>
    <t xml:space="preserve">2027-05-11</t>
  </si>
  <si>
    <t xml:space="preserve">979081</t>
  </si>
  <si>
    <t xml:space="preserve">18200</t>
  </si>
  <si>
    <t xml:space="preserve">€5.9m - Residential Development, Patrickswell</t>
  </si>
  <si>
    <t xml:space="preserve">2022-12-09</t>
  </si>
  <si>
    <t xml:space="preserve">2026-12-08</t>
  </si>
  <si>
    <t xml:space="preserve">2022 Q4</t>
  </si>
  <si>
    <t xml:space="preserve">On site: started 2022-12</t>
  </si>
  <si>
    <t xml:space="preserve">985986</t>
  </si>
  <si>
    <t xml:space="preserve">18346</t>
  </si>
  <si>
    <t xml:space="preserve">€6.3m - Residential Development, Patrickswell</t>
  </si>
  <si>
    <t xml:space="preserve">2023-10-22</t>
  </si>
  <si>
    <t xml:space="preserve">1446285</t>
  </si>
  <si>
    <t xml:space="preserve">2660232</t>
  </si>
  <si>
    <t xml:space="preserve">€7.8m - Residential Development, Abbeyfeale</t>
  </si>
  <si>
    <t xml:space="preserve">1360674</t>
  </si>
  <si>
    <t xml:space="preserve">2460788</t>
  </si>
  <si>
    <t xml:space="preserve">€7.4m - Residential Development, Kilmallock</t>
  </si>
  <si>
    <t xml:space="preserve">2025-07-15</t>
  </si>
  <si>
    <t xml:space="preserve">2026-04-06</t>
  </si>
  <si>
    <t xml:space="preserve">2030-07-14</t>
  </si>
  <si>
    <t xml:space="preserve">1277663</t>
  </si>
  <si>
    <t xml:space="preserve">2360144</t>
  </si>
  <si>
    <t xml:space="preserve">€9m - Housing Development, Patrickswell</t>
  </si>
  <si>
    <t xml:space="preserve">2023-11-15</t>
  </si>
  <si>
    <t xml:space="preserve">1409934</t>
  </si>
  <si>
    <t xml:space="preserve">2560653</t>
  </si>
  <si>
    <t xml:space="preserve">€9.4m - Residential Development</t>
  </si>
  <si>
    <t xml:space="preserve">2026-01-20</t>
  </si>
  <si>
    <t xml:space="preserve">2031-01-19</t>
  </si>
  <si>
    <t xml:space="preserve">1097151</t>
  </si>
  <si>
    <t xml:space="preserve">20281</t>
  </si>
  <si>
    <t xml:space="preserve">€12m - Residential Development, Patrickswell</t>
  </si>
  <si>
    <t xml:space="preserve">2021-01-15</t>
  </si>
  <si>
    <t xml:space="preserve">2023-06-09</t>
  </si>
  <si>
    <t xml:space="preserve">1084266</t>
  </si>
  <si>
    <t xml:space="preserve">191298</t>
  </si>
  <si>
    <t xml:space="preserve">€5.6m - Housing Development</t>
  </si>
  <si>
    <t xml:space="preserve">2020-11-26</t>
  </si>
  <si>
    <t xml:space="preserve">2028-11-25</t>
  </si>
  <si>
    <t xml:space="preserve">1225380</t>
  </si>
  <si>
    <t xml:space="preserve">22410</t>
  </si>
  <si>
    <t xml:space="preserve">€18.8m - Nursing Home Development, Croom</t>
  </si>
  <si>
    <t xml:space="preserve">2023-02-20</t>
  </si>
  <si>
    <t xml:space="preserve">2028-02-19</t>
  </si>
  <si>
    <t xml:space="preserve">Permitted 2023-02, past typical start date with no commencement: start assumed in 9 months</t>
  </si>
  <si>
    <t xml:space="preserve">1366163</t>
  </si>
  <si>
    <t xml:space="preserve">24352</t>
  </si>
  <si>
    <t xml:space="preserve">€7.3m - Residential Development</t>
  </si>
  <si>
    <t xml:space="preserve">2025-09-17</t>
  </si>
  <si>
    <t xml:space="preserve">2025-12-22</t>
  </si>
  <si>
    <t xml:space="preserve">2030-09-16</t>
  </si>
  <si>
    <t xml:space="preserve">1360912</t>
  </si>
  <si>
    <t xml:space="preserve">2660575</t>
  </si>
  <si>
    <t xml:space="preserve">€4.3m - Apartment Development, Newcastle West</t>
  </si>
  <si>
    <t xml:space="preserve">1266613</t>
  </si>
  <si>
    <t xml:space="preserve">2326</t>
  </si>
  <si>
    <t xml:space="preserve">€6.3m - Housing Development, Kilmallock</t>
  </si>
  <si>
    <t xml:space="preserve">2024-01-29</t>
  </si>
  <si>
    <t xml:space="preserve">2026-03-28</t>
  </si>
  <si>
    <t xml:space="preserve">2029-01-28</t>
  </si>
  <si>
    <t xml:space="preserve">1444384</t>
  </si>
  <si>
    <t xml:space="preserve">2660779</t>
  </si>
  <si>
    <t xml:space="preserve">€8.6m - Staff Accommodation/8Apartments, Adare</t>
  </si>
  <si>
    <t xml:space="preserve">Adare</t>
  </si>
  <si>
    <t xml:space="preserve">2026-09-02</t>
  </si>
  <si>
    <t xml:space="preserve">2031-09-02</t>
  </si>
  <si>
    <t xml:space="preserve">Permitted 2026-09; typical start 1.6 yrs after grant</t>
  </si>
  <si>
    <t xml:space="preserve">1316491</t>
  </si>
  <si>
    <t xml:space="preserve">2360793</t>
  </si>
  <si>
    <t xml:space="preserve">€6.1m - Residential Development, Adare</t>
  </si>
  <si>
    <t xml:space="preserve">2025-03-21</t>
  </si>
  <si>
    <t xml:space="preserve">2030-03-20</t>
  </si>
  <si>
    <t xml:space="preserve">Permitted 2025-03, past typical start date with no commencement: start assumed in 9 months</t>
  </si>
  <si>
    <t xml:space="preserve">1379266</t>
  </si>
  <si>
    <t xml:space="preserve">2461182</t>
  </si>
  <si>
    <t xml:space="preserve">€5.4m - Residential Development </t>
  </si>
  <si>
    <t xml:space="preserve">2026-03-30</t>
  </si>
  <si>
    <t xml:space="preserve">2031-03-29</t>
  </si>
  <si>
    <t xml:space="preserve">Permitted 2026-03; typical start 1.6 yrs after grant</t>
  </si>
  <si>
    <t xml:space="preserve">1340202</t>
  </si>
  <si>
    <t xml:space="preserve">2460304</t>
  </si>
  <si>
    <t xml:space="preserve">€6.2m - Residential Development,  Adare</t>
  </si>
  <si>
    <t xml:space="preserve">1317302</t>
  </si>
  <si>
    <t xml:space="preserve">23529</t>
  </si>
  <si>
    <t xml:space="preserve">€4.4m - Housing Development</t>
  </si>
  <si>
    <t xml:space="preserve">Cappamore</t>
  </si>
  <si>
    <t xml:space="preserve">2025-10-09</t>
  </si>
  <si>
    <t xml:space="preserve">2029-09-02</t>
  </si>
  <si>
    <t xml:space="preserve">1350850</t>
  </si>
  <si>
    <t xml:space="preserve">2460568</t>
  </si>
  <si>
    <t xml:space="preserve">€3.9m - Residential Development, Castlemahon</t>
  </si>
  <si>
    <t xml:space="preserve">2025-03-07</t>
  </si>
  <si>
    <t xml:space="preserve">2030-03-06</t>
  </si>
  <si>
    <t xml:space="preserve">1015929</t>
  </si>
  <si>
    <t xml:space="preserve">€2m - Housing Development </t>
  </si>
  <si>
    <t xml:space="preserve">2019-09-27</t>
  </si>
  <si>
    <t xml:space="preserve">2024-09-27</t>
  </si>
  <si>
    <t xml:space="preserve">1051821</t>
  </si>
  <si>
    <t xml:space="preserve">19552</t>
  </si>
  <si>
    <t xml:space="preserve">2020-11-13</t>
  </si>
  <si>
    <t xml:space="preserve">2028-11-13</t>
  </si>
  <si>
    <t xml:space="preserve">Permitted 2020-11, past typical start date with no commencement: start assumed in 9 months</t>
  </si>
  <si>
    <t xml:space="preserve">1318536</t>
  </si>
  <si>
    <t xml:space="preserve">2360826</t>
  </si>
  <si>
    <t xml:space="preserve">€2.2m - Residential Development, Newcastle West</t>
  </si>
  <si>
    <t xml:space="preserve">2024-05-15</t>
  </si>
  <si>
    <t xml:space="preserve">2029-05-14</t>
  </si>
  <si>
    <t xml:space="preserve">1327846</t>
  </si>
  <si>
    <t xml:space="preserve">2460030</t>
  </si>
  <si>
    <t xml:space="preserve">€2.9m - Residential Development</t>
  </si>
  <si>
    <t xml:space="preserve">2025-03-12</t>
  </si>
  <si>
    <t xml:space="preserve">2030-03-11</t>
  </si>
  <si>
    <t xml:space="preserve">REG-20525</t>
  </si>
  <si>
    <t xml:space="preserve">20525</t>
  </si>
  <si>
    <t xml:space="preserve">Register: the construction of 14 dwelling houses, including 2 no semi-detached 2</t>
  </si>
  <si>
    <t xml:space="preserve">Croom</t>
  </si>
  <si>
    <t xml:space="preserve">2021-12-02</t>
  </si>
  <si>
    <t xml:space="preserve">2026-12-01</t>
  </si>
  <si>
    <t xml:space="preserve">Permitted 2021-12, past typical start date with no commencement: start assumed in 9 months; expiry falls before assumed start</t>
  </si>
  <si>
    <t xml:space="preserve">1223809</t>
  </si>
  <si>
    <t xml:space="preserve">22394</t>
  </si>
  <si>
    <t xml:space="preserve">€2.9m - Housing Development, Castleconnell</t>
  </si>
  <si>
    <t xml:space="preserve">2022-10-27</t>
  </si>
  <si>
    <t xml:space="preserve">2022-12-07</t>
  </si>
  <si>
    <t xml:space="preserve">2027-10-26</t>
  </si>
  <si>
    <t xml:space="preserve">1330186</t>
  </si>
  <si>
    <t xml:space="preserve">2460082</t>
  </si>
  <si>
    <t xml:space="preserve">€1.9m - Apartment Development </t>
  </si>
  <si>
    <t xml:space="preserve">2024-09-30</t>
  </si>
  <si>
    <t xml:space="preserve">1065293</t>
  </si>
  <si>
    <t xml:space="preserve">19872</t>
  </si>
  <si>
    <t xml:space="preserve">€1.3m - Care Residential Units </t>
  </si>
  <si>
    <t xml:space="preserve">2020-02-25</t>
  </si>
  <si>
    <t xml:space="preserve">2024-05-08</t>
  </si>
  <si>
    <t xml:space="preserve">2025-02-24</t>
  </si>
  <si>
    <t xml:space="preserve">On site: started 2024-05</t>
  </si>
  <si>
    <t xml:space="preserve">1424781</t>
  </si>
  <si>
    <t xml:space="preserve">2560977</t>
  </si>
  <si>
    <t xml:space="preserve">€2.7m - Self Catering Accommodation Lodges, Adare</t>
  </si>
  <si>
    <t xml:space="preserve">2026-03-23</t>
  </si>
  <si>
    <t xml:space="preserve">2026-06-01</t>
  </si>
  <si>
    <t xml:space="preserve">2031-03-22</t>
  </si>
  <si>
    <t xml:space="preserve">1417331</t>
  </si>
  <si>
    <t xml:space="preserve">2561211</t>
  </si>
  <si>
    <t xml:space="preserve">€1.8m - Residential Development, Newcastle West</t>
  </si>
  <si>
    <t xml:space="preserve">2026-02-26</t>
  </si>
  <si>
    <t xml:space="preserve">2031-02-25</t>
  </si>
  <si>
    <t xml:space="preserve">REG-24151</t>
  </si>
  <si>
    <t xml:space="preserve">24151</t>
  </si>
  <si>
    <t xml:space="preserve">Register: the construction of 10 dwelling units to include 2 no. detached 5 bedr</t>
  </si>
  <si>
    <t xml:space="preserve">2025-01-15</t>
  </si>
  <si>
    <t xml:space="preserve">2030-01-14</t>
  </si>
  <si>
    <t xml:space="preserve">1164066</t>
  </si>
  <si>
    <t xml:space="preserve">21550</t>
  </si>
  <si>
    <t xml:space="preserve">€1.9m - 9 Houses </t>
  </si>
  <si>
    <t xml:space="preserve">Caherconlish</t>
  </si>
  <si>
    <t xml:space="preserve">2022-02-23</t>
  </si>
  <si>
    <t xml:space="preserve">2027-02-22</t>
  </si>
  <si>
    <t xml:space="preserve">1057729</t>
  </si>
  <si>
    <t xml:space="preserve">19689</t>
  </si>
  <si>
    <t xml:space="preserve">€2.2m - 9 Houses </t>
  </si>
  <si>
    <t xml:space="preserve">2020-02-27</t>
  </si>
  <si>
    <t xml:space="preserve">2024-03-21</t>
  </si>
  <si>
    <t xml:space="preserve">2026-09-05</t>
  </si>
  <si>
    <t xml:space="preserve">On site: started 2024-03</t>
  </si>
  <si>
    <t xml:space="preserve">1174682</t>
  </si>
  <si>
    <t xml:space="preserve">21873</t>
  </si>
  <si>
    <t xml:space="preserve">€1.7 - 9 Houses, Patrickswell</t>
  </si>
  <si>
    <t xml:space="preserve">2022-07-14</t>
  </si>
  <si>
    <t xml:space="preserve">2024-03-18</t>
  </si>
  <si>
    <t xml:space="preserve">2027-07-13</t>
  </si>
  <si>
    <t xml:space="preserve">1414007</t>
  </si>
  <si>
    <t xml:space="preserve">2560947</t>
  </si>
  <si>
    <t xml:space="preserve">€1m - 8 Houses, Bruff</t>
  </si>
  <si>
    <t xml:space="preserve">Permitted 2026-09; typical start 1.3 yrs after grant</t>
  </si>
  <si>
    <t xml:space="preserve">1293390</t>
  </si>
  <si>
    <t xml:space="preserve">2360393</t>
  </si>
  <si>
    <t xml:space="preserve">€604k - 8 Residential Units </t>
  </si>
  <si>
    <t xml:space="preserve">2023-12-05</t>
  </si>
  <si>
    <t xml:space="preserve">2028-12-04</t>
  </si>
  <si>
    <t xml:space="preserve">1375398</t>
  </si>
  <si>
    <t xml:space="preserve">2461101</t>
  </si>
  <si>
    <t xml:space="preserve">€1.4m - 7 Houses</t>
  </si>
  <si>
    <t xml:space="preserve">2025-07-30</t>
  </si>
  <si>
    <t xml:space="preserve">2028-10-16</t>
  </si>
  <si>
    <t xml:space="preserve">Permitted 2025-07, past typical start date with no commencement: start assumed in 9 months</t>
  </si>
  <si>
    <t xml:space="preserve">1014706</t>
  </si>
  <si>
    <t xml:space="preserve">18994</t>
  </si>
  <si>
    <t xml:space="preserve">€553k - 6 Houses</t>
  </si>
  <si>
    <t xml:space="preserve">2019-11-13</t>
  </si>
  <si>
    <t xml:space="preserve">2024-11-12</t>
  </si>
  <si>
    <t xml:space="preserve">1098119</t>
  </si>
  <si>
    <t xml:space="preserve">20314</t>
  </si>
  <si>
    <t xml:space="preserve">€1.1m - 6 Houses </t>
  </si>
  <si>
    <t xml:space="preserve">2020-08-11</t>
  </si>
  <si>
    <t xml:space="preserve">2021-12-09</t>
  </si>
  <si>
    <t xml:space="preserve">2025-08-10</t>
  </si>
  <si>
    <t xml:space="preserve">On site: started 2021-12</t>
  </si>
  <si>
    <t xml:space="preserve">1409727</t>
  </si>
  <si>
    <t xml:space="preserve">2560633</t>
  </si>
  <si>
    <t xml:space="preserve">€2.4m - 6 Houses</t>
  </si>
  <si>
    <t xml:space="preserve">2026-04-01</t>
  </si>
  <si>
    <t xml:space="preserve">2031-03-31</t>
  </si>
  <si>
    <t xml:space="preserve">Permitted 2026-04; typical start 1.3 yrs after grant</t>
  </si>
  <si>
    <t xml:space="preserve">1316698</t>
  </si>
  <si>
    <t xml:space="preserve">2360798</t>
  </si>
  <si>
    <t xml:space="preserve">€1.2m - 6 Houses </t>
  </si>
  <si>
    <t xml:space="preserve">2024-10-31</t>
  </si>
  <si>
    <t xml:space="preserve">2025-07-07</t>
  </si>
  <si>
    <t xml:space="preserve">2029-10-30</t>
  </si>
  <si>
    <t xml:space="preserve">On site: started 2025-07</t>
  </si>
  <si>
    <t xml:space="preserve">1036712</t>
  </si>
  <si>
    <t xml:space="preserve">19233</t>
  </si>
  <si>
    <t xml:space="preserve">€931k - 5 Houses </t>
  </si>
  <si>
    <t xml:space="preserve">2020-03-02</t>
  </si>
  <si>
    <t xml:space="preserve">2024-04-19</t>
  </si>
  <si>
    <t xml:space="preserve">2025-03-01</t>
  </si>
  <si>
    <t xml:space="preserve">1130829</t>
  </si>
  <si>
    <t xml:space="preserve">201101</t>
  </si>
  <si>
    <t xml:space="preserve">€1m - 5 Houses </t>
  </si>
  <si>
    <t xml:space="preserve">2021-05-17</t>
  </si>
  <si>
    <t xml:space="preserve">2024-09-19</t>
  </si>
  <si>
    <t xml:space="preserve">2024-05-16</t>
  </si>
  <si>
    <t xml:space="preserve">1045778</t>
  </si>
  <si>
    <t xml:space="preserve">19444</t>
  </si>
  <si>
    <t xml:space="preserve">€2.2m - Housing Development </t>
  </si>
  <si>
    <t xml:space="preserve">2019-11-05</t>
  </si>
  <si>
    <t xml:space="preserve">2024-11-04</t>
  </si>
  <si>
    <t xml:space="preserve">1079275</t>
  </si>
  <si>
    <t xml:space="preserve">191184</t>
  </si>
  <si>
    <t xml:space="preserve">€790k -  5 Houses </t>
  </si>
  <si>
    <t xml:space="preserve">2020-07-28</t>
  </si>
  <si>
    <t xml:space="preserve">2021-05-05</t>
  </si>
  <si>
    <t xml:space="preserve">2025-07-27</t>
  </si>
  <si>
    <t xml:space="preserve">On site: started 2021-05</t>
  </si>
  <si>
    <t xml:space="preserve">1053166</t>
  </si>
  <si>
    <t xml:space="preserve">197016</t>
  </si>
  <si>
    <t xml:space="preserve">€800k - Residential Development, Ballingarry</t>
  </si>
  <si>
    <t xml:space="preserve">2019-09-03</t>
  </si>
  <si>
    <t xml:space="preserve">2021-08-19</t>
  </si>
  <si>
    <t xml:space="preserve">2024-07-28</t>
  </si>
  <si>
    <t xml:space="preserve">2021 Q3</t>
  </si>
  <si>
    <t xml:space="preserve">On site: started 2021-08</t>
  </si>
  <si>
    <t xml:space="preserve">1114096</t>
  </si>
  <si>
    <t xml:space="preserve">20678</t>
  </si>
  <si>
    <t xml:space="preserve">€864k - Residential Development, Tournafulla</t>
  </si>
  <si>
    <t xml:space="preserve">2021-07-22</t>
  </si>
  <si>
    <t xml:space="preserve">2021-11-06</t>
  </si>
  <si>
    <t xml:space="preserve">2026-07-21</t>
  </si>
  <si>
    <t xml:space="preserve">On site: started 2021-11</t>
  </si>
  <si>
    <t xml:space="preserve">1395070</t>
  </si>
  <si>
    <t xml:space="preserve">2560211</t>
  </si>
  <si>
    <t xml:space="preserve">€800k - 4 Apartments </t>
  </si>
  <si>
    <t xml:space="preserve">2025-06-10</t>
  </si>
  <si>
    <t xml:space="preserve">2026-03-21</t>
  </si>
  <si>
    <t xml:space="preserve">2030-06-09</t>
  </si>
  <si>
    <t xml:space="preserve">1302251</t>
  </si>
  <si>
    <t xml:space="preserve">2360546</t>
  </si>
  <si>
    <t xml:space="preserve">€686k - 4 Dwellings</t>
  </si>
  <si>
    <t xml:space="preserve">2024-01-24</t>
  </si>
  <si>
    <t xml:space="preserve">1278179</t>
  </si>
  <si>
    <t xml:space="preserve">2360148</t>
  </si>
  <si>
    <t xml:space="preserve">€1.5m - 3 Community Houses</t>
  </si>
  <si>
    <t xml:space="preserve">2023-11-02</t>
  </si>
  <si>
    <t xml:space="preserve">2024-08-26</t>
  </si>
  <si>
    <t xml:space="preserve">2028-11-01</t>
  </si>
  <si>
    <t xml:space="preserve">1283723</t>
  </si>
  <si>
    <t xml:space="preserve">2360207</t>
  </si>
  <si>
    <t xml:space="preserve">€680k - 3 Houses </t>
  </si>
  <si>
    <t xml:space="preserve">2023-09-18</t>
  </si>
  <si>
    <t xml:space="preserve">2026-09-17</t>
  </si>
  <si>
    <t xml:space="preserve">1299520</t>
  </si>
  <si>
    <t xml:space="preserve">2360493</t>
  </si>
  <si>
    <t xml:space="preserve">€1.4m - 3 Houses </t>
  </si>
  <si>
    <t xml:space="preserve">2024-01-02</t>
  </si>
  <si>
    <t xml:space="preserve">2024-04-01</t>
  </si>
  <si>
    <t xml:space="preserve">2029-01-01</t>
  </si>
  <si>
    <t xml:space="preserve">1339954</t>
  </si>
  <si>
    <t xml:space="preserve">2460299</t>
  </si>
  <si>
    <t xml:space="preserve">€884k - 3 Houses</t>
  </si>
  <si>
    <t xml:space="preserve">2024-07-02</t>
  </si>
  <si>
    <t xml:space="preserve">2029-07-01</t>
  </si>
  <si>
    <t xml:space="preserve">1081912</t>
  </si>
  <si>
    <t xml:space="preserve">191255</t>
  </si>
  <si>
    <t xml:space="preserve">€572k - Residential Development, Kilmallock</t>
  </si>
  <si>
    <t xml:space="preserve">2020-03-18</t>
  </si>
  <si>
    <t xml:space="preserve">2022-04-27</t>
  </si>
  <si>
    <t xml:space="preserve">2025-03-17</t>
  </si>
  <si>
    <t xml:space="preserve">1121263</t>
  </si>
  <si>
    <t xml:space="preserve">20857</t>
  </si>
  <si>
    <t xml:space="preserve">€543k - 2 Houses </t>
  </si>
  <si>
    <t xml:space="preserve">2020-11-25</t>
  </si>
  <si>
    <t xml:space="preserve">2022-11-04</t>
  </si>
  <si>
    <t xml:space="preserve">2025-11-24</t>
  </si>
  <si>
    <t xml:space="preserve">On site: started 2022-11</t>
  </si>
  <si>
    <t xml:space="preserve">1099323</t>
  </si>
  <si>
    <t xml:space="preserve">20341</t>
  </si>
  <si>
    <t xml:space="preserve">€574k - Extension to Pub </t>
  </si>
  <si>
    <t xml:space="preserve">2020-09-24</t>
  </si>
  <si>
    <t xml:space="preserve">2025-09-23</t>
  </si>
  <si>
    <t xml:space="preserve">1034286</t>
  </si>
  <si>
    <t xml:space="preserve">19149</t>
  </si>
  <si>
    <t xml:space="preserve">€567k - Change of Use to Care Residential Units </t>
  </si>
  <si>
    <t xml:space="preserve">2019-09-11</t>
  </si>
  <si>
    <t xml:space="preserve">2024-09-10</t>
  </si>
  <si>
    <t xml:space="preserve">1263448</t>
  </si>
  <si>
    <t xml:space="preserve">221352</t>
  </si>
  <si>
    <t xml:space="preserve">€5.5m - Housing Development, Cappamore</t>
  </si>
  <si>
    <t xml:space="preserve">2023-07-11</t>
  </si>
  <si>
    <t xml:space="preserve">2025-03-18</t>
  </si>
  <si>
    <t xml:space="preserve">2028-07-10</t>
  </si>
  <si>
    <t xml:space="preserve">1058813</t>
  </si>
  <si>
    <t xml:space="preserve">198005</t>
  </si>
  <si>
    <t xml:space="preserve">€1.7m - Residential Development </t>
  </si>
  <si>
    <t xml:space="preserve">2021-10-29</t>
  </si>
  <si>
    <t xml:space="preserve">1414882</t>
  </si>
  <si>
    <t xml:space="preserve">258297</t>
  </si>
  <si>
    <t xml:space="preserve">€4.5m - Residential Development, Abbeyfeale</t>
  </si>
  <si>
    <t xml:space="preserve">1327665</t>
  </si>
  <si>
    <t xml:space="preserve">2460028</t>
  </si>
  <si>
    <t xml:space="preserve">€2.5m - Assisted Living Dwelling Units, Glin</t>
  </si>
  <si>
    <t xml:space="preserve">2024-09-02</t>
  </si>
  <si>
    <t xml:space="preserve">2029-09-01</t>
  </si>
  <si>
    <t xml:space="preserve">1144674</t>
  </si>
  <si>
    <t xml:space="preserve">2148</t>
  </si>
  <si>
    <t xml:space="preserve">€1.9m - Change of Use to 9 Apartments, St. Paul's Convent</t>
  </si>
  <si>
    <t xml:space="preserve">2021-10-06</t>
  </si>
  <si>
    <t xml:space="preserve">2023-11-20</t>
  </si>
  <si>
    <t xml:space="preserve">2026-10-05</t>
  </si>
  <si>
    <t xml:space="preserve">1422361</t>
  </si>
  <si>
    <t xml:space="preserve">2660063</t>
  </si>
  <si>
    <t xml:space="preserve">€1.8m - 7 House/Apartment/Community Office, Feenagh</t>
  </si>
  <si>
    <t xml:space="preserve">1328561</t>
  </si>
  <si>
    <t xml:space="preserve">2460046</t>
  </si>
  <si>
    <t xml:space="preserve">€2m - 7 Houses, Broadford</t>
  </si>
  <si>
    <t xml:space="preserve">2024-08-16</t>
  </si>
  <si>
    <t xml:space="preserve">2029-08-15</t>
  </si>
  <si>
    <t xml:space="preserve">1258895</t>
  </si>
  <si>
    <t xml:space="preserve">228020</t>
  </si>
  <si>
    <t xml:space="preserve">€4.9m - Residential Development, Newcastle West</t>
  </si>
  <si>
    <t xml:space="preserve">2023-02-10</t>
  </si>
  <si>
    <t xml:space="preserve">1073938</t>
  </si>
  <si>
    <t xml:space="preserve">198010</t>
  </si>
  <si>
    <t xml:space="preserve">€5m - Housing Development </t>
  </si>
  <si>
    <t xml:space="preserve">2020-01-27</t>
  </si>
  <si>
    <t xml:space="preserve">Permitted 2020-01, past typical start date with no commencement: start assumed in 9 months</t>
  </si>
  <si>
    <t xml:space="preserve">1248017</t>
  </si>
  <si>
    <t xml:space="preserve">228017</t>
  </si>
  <si>
    <t xml:space="preserve">€4.4m - Residential Development, Patrickswell</t>
  </si>
  <si>
    <t xml:space="preserve">2022-12-12</t>
  </si>
  <si>
    <t xml:space="preserve">2026-07-17</t>
  </si>
  <si>
    <t xml:space="preserve">1248404</t>
  </si>
  <si>
    <t xml:space="preserve">Part 8 - 1248404</t>
  </si>
  <si>
    <t xml:space="preserve">€4.6m - Residential Development, Patrickswell</t>
  </si>
  <si>
    <t xml:space="preserve">2023-01-24</t>
  </si>
  <si>
    <t xml:space="preserve">Permitted 2023-01, past typical start date with no commencement: start assumed in 9 months</t>
  </si>
  <si>
    <t xml:space="preserve">REG-188012</t>
  </si>
  <si>
    <t xml:space="preserve">188012</t>
  </si>
  <si>
    <t xml:space="preserve">Part 8: (a) provision of 24 no. two storey residential housing units. The unit</t>
  </si>
  <si>
    <t xml:space="preserve">2018-10-11</t>
  </si>
  <si>
    <t xml:space="preserve">2026 Q4</t>
  </si>
  <si>
    <t xml:space="preserve">On site: started date unknown</t>
  </si>
  <si>
    <t xml:space="preserve">981494</t>
  </si>
  <si>
    <t xml:space="preserve">188002</t>
  </si>
  <si>
    <t xml:space="preserve">€1.9m - Residential Development </t>
  </si>
  <si>
    <t xml:space="preserve">2018-05-14</t>
  </si>
  <si>
    <t xml:space="preserve">1392454</t>
  </si>
  <si>
    <t xml:space="preserve">Part 8 - 1392454</t>
  </si>
  <si>
    <t xml:space="preserve">€5.9m - Residential Development, Bruff</t>
  </si>
  <si>
    <t xml:space="preserve">2024-10-04</t>
  </si>
  <si>
    <t xml:space="preserve">2026-05-08</t>
  </si>
  <si>
    <t xml:space="preserve">1203836</t>
  </si>
  <si>
    <t xml:space="preserve">218012</t>
  </si>
  <si>
    <t xml:space="preserve">€2.4m - Residential Development</t>
  </si>
  <si>
    <t xml:space="preserve">2022-02-25</t>
  </si>
  <si>
    <t xml:space="preserve">2025-06-26</t>
  </si>
  <si>
    <t xml:space="preserve">On site: started 2025-06</t>
  </si>
  <si>
    <t xml:space="preserve">REG-178013</t>
  </si>
  <si>
    <t xml:space="preserve">178013</t>
  </si>
  <si>
    <t xml:space="preserve">Part 8: (i) Provision of 16no. residential terraced units (15no. two storey an</t>
  </si>
  <si>
    <t xml:space="preserve">2017-12-13</t>
  </si>
  <si>
    <t xml:space="preserve">2019-04-12</t>
  </si>
  <si>
    <t xml:space="preserve">On site: started 2019-04</t>
  </si>
  <si>
    <t xml:space="preserve">1184979</t>
  </si>
  <si>
    <t xml:space="preserve">211170</t>
  </si>
  <si>
    <t xml:space="preserve">€3m - Modifications to Housing Development, Kilfinane</t>
  </si>
  <si>
    <t xml:space="preserve">2027-09-15</t>
  </si>
  <si>
    <t xml:space="preserve">1065269</t>
  </si>
  <si>
    <t xml:space="preserve">198007</t>
  </si>
  <si>
    <t xml:space="preserve">2019-11-15</t>
  </si>
  <si>
    <t xml:space="preserve">2021-08-13</t>
  </si>
  <si>
    <t xml:space="preserve">1071780</t>
  </si>
  <si>
    <t xml:space="preserve">198009</t>
  </si>
  <si>
    <t xml:space="preserve">€1.8m - Housing Development </t>
  </si>
  <si>
    <t xml:space="preserve">Permitted 2019-12, past typical start date with no commencement: start assumed in 9 months</t>
  </si>
  <si>
    <t xml:space="preserve">1345677</t>
  </si>
  <si>
    <t xml:space="preserve">Part 8 - 1345677</t>
  </si>
  <si>
    <t xml:space="preserve">€1.5m - New Traveller Welfare Units, Hillview Park</t>
  </si>
  <si>
    <t xml:space="preserve">2024-11-18</t>
  </si>
  <si>
    <t xml:space="preserve">On site: started 2024-11</t>
  </si>
  <si>
    <t xml:space="preserve">1205019</t>
  </si>
  <si>
    <t xml:space="preserve">218013</t>
  </si>
  <si>
    <t xml:space="preserve">€3m - Housing Development</t>
  </si>
  <si>
    <t xml:space="preserve">2022-03-09</t>
  </si>
  <si>
    <t xml:space="preserve">2024-03-19</t>
  </si>
  <si>
    <t xml:space="preserve">1237333</t>
  </si>
  <si>
    <t xml:space="preserve">228013</t>
  </si>
  <si>
    <t xml:space="preserve">€2.2m - Housing Development, Ardagh</t>
  </si>
  <si>
    <t xml:space="preserve">2025-10-13</t>
  </si>
  <si>
    <t xml:space="preserve">1213266</t>
  </si>
  <si>
    <t xml:space="preserve">228000</t>
  </si>
  <si>
    <t xml:space="preserve">€2.5m - 9 Houses</t>
  </si>
  <si>
    <t xml:space="preserve">2022-04-07</t>
  </si>
  <si>
    <t xml:space="preserve">2025-04-22</t>
  </si>
  <si>
    <t xml:space="preserve">On site: started 2025-04</t>
  </si>
  <si>
    <t xml:space="preserve">1007351</t>
  </si>
  <si>
    <t xml:space="preserve">188013</t>
  </si>
  <si>
    <t xml:space="preserve">€701k - 7 Houses </t>
  </si>
  <si>
    <t xml:space="preserve">2018-09-25</t>
  </si>
  <si>
    <t xml:space="preserve">Permitted 2018-09, past typical start date with no commencement: start assumed in 9 months</t>
  </si>
  <si>
    <t xml:space="preserve">1152091</t>
  </si>
  <si>
    <t xml:space="preserve">21240</t>
  </si>
  <si>
    <t xml:space="preserve">€561k - Main Street Housing Development, Ballylanders </t>
  </si>
  <si>
    <t xml:space="preserve">2022-05-17</t>
  </si>
  <si>
    <t xml:space="preserve">2023-07-21</t>
  </si>
  <si>
    <t xml:space="preserve">2027-05-16</t>
  </si>
  <si>
    <t xml:space="preserve">1033981</t>
  </si>
  <si>
    <t xml:space="preserve">Part 8 / 1033981</t>
  </si>
  <si>
    <t xml:space="preserve">€960k - Residential Development</t>
  </si>
  <si>
    <t xml:space="preserve">2019-08-27</t>
  </si>
  <si>
    <t xml:space="preserve">1316160</t>
  </si>
  <si>
    <t xml:space="preserve">Part 8 - 1316160</t>
  </si>
  <si>
    <t xml:space="preserve">€705k - Radharc an Ghleanna Residential Development, Mountcollins</t>
  </si>
  <si>
    <t xml:space="preserve">1378805</t>
  </si>
  <si>
    <t xml:space="preserve">Part 8 - 1378805</t>
  </si>
  <si>
    <t xml:space="preserve">€800k - Housing Development</t>
  </si>
  <si>
    <t xml:space="preserve">837963</t>
  </si>
  <si>
    <t xml:space="preserve">15577</t>
  </si>
  <si>
    <t xml:space="preserve">€588k - 3 Houses</t>
  </si>
  <si>
    <t xml:space="preserve">2015-09-09</t>
  </si>
  <si>
    <t xml:space="preserve">CSO planning permissions vs the planning register and the tracker</t>
  </si>
  <si>
    <t xml:space="preserve">CSO: BHQ17, units for which permission granted, Limerick City &amp; County Council (downloaded 08/10/2026). Register: National Planning Applications dataset, Limerick, granted permissions with residential units, by decision date. 2026 covers 2026Q1, 2026Q2 only.</t>
  </si>
  <si>
    <t xml:space="preserve">Year</t>
  </si>
  <si>
    <t xml:space="preserve">CSO one-off houses</t>
  </si>
  <si>
    <t xml:space="preserve">CSO scheme houses</t>
  </si>
  <si>
    <t xml:space="preserve">CSO apartments</t>
  </si>
  <si>
    <t xml:space="preserve">CSO total</t>
  </si>
  <si>
    <t xml:space="preserve">Register: single dwellings, not in tracker</t>
  </si>
  <si>
    <t xml:space="preserve">Register: 2–9 unit schemes, not in tracker</t>
  </si>
  <si>
    <t xml:space="preserve">Register: 10+ amendments to earlier permissions</t>
  </si>
  <si>
    <t xml:space="preserve">Register: other 10+ not in tracker</t>
  </si>
  <si>
    <t xml:space="preserve">Register: schemes in tracker</t>
  </si>
  <si>
    <t xml:space="preserve">Register total</t>
  </si>
  <si>
    <t xml:space="preserve">CSO minus register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</si>
  <si>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</si>
  <si>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</si>
  <si>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</si>
  <si>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</si>
  <si>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</si>
  <si>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</si>
  <si>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</si>
  <si>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</si>
  <si>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 (Q1–Q2)</t>
  </si>
  <si>
    <t xml:space="preserve">Total 2018–2025 (full years)</t>
  </si>
  <si>
    <t xml:space="preserve">Year-to-year differences are likely due to timing (decision date vs grant), appeals decided by An Bord Pleanála / An Coimisiún Pleanála, and amendments that re-permit units already counted. Over the full years the two sources are close.</t>
  </si>
  <si>
    <t xml:space="preserve">Small-scheme and one-off allowance (supply the tracker does not hold)</t>
  </si>
  <si>
    <t xml:space="preserve">Averaging period</t>
  </si>
  <si>
    <t xml:space="preserve">2023–2025 (latest three full years)</t>
  </si>
  <si>
    <t xml:space="preserve">One-off houses permitted per year (CSO average)</t>
  </si>
  <si>
    <t xml:space="preserve">2–9 unit schemes not in tracker, units per year (register average)</t>
  </si>
  <si>
    <t xml:space="preserve">Share of permitted units built (input)</t>
  </si>
  <si>
    <t xml:space="preserve">Annual allowance (completions per year)</t>
  </si>
  <si>
    <t xml:space="preserve">Share of 2026 remaining after 08/10/2026</t>
  </si>
  <si>
    <t xml:space="preserve">Share built: 73% of units in 1–9 unit schemes permitted two or more years before the report date had started (delivery study, implementation by size). It comes from CIS small schemes, not one-off houses, so treat it as an assumption; change the blue cell to test others. Steady state assumed: recent permissions run at the same rate as past ones, and each year’s completions come from permissions granted about three years earlier.</t>
  </si>
  <si>
    <t xml:space="preserve">Allowance by year</t>
  </si>
  <si>
    <t xml:space="preserve">Q4 2026–2030</t>
  </si>
  <si>
    <t xml:space="preserve">Small schemes and one-off houses</t>
  </si>
  <si>
    <t xml:space="preserve">2031+ left at zero: the allowance is a yearly rate, and the tracker’s 2031+ column is the tail of known schemes.</t>
  </si>
  <si>
    <t xml:space="preserve">Register grants of 10+ units since 2021 not in CIS: checked 08/10/2026</t>
  </si>
  <si>
    <t xml:space="preserve">Description</t>
  </si>
  <si>
    <t xml:space="preserve">Register ref</t>
  </si>
  <si>
    <t xml:space="preserve">Decided</t>
  </si>
  <si>
    <t xml:space="preserve">Units (register)</t>
  </si>
  <si>
    <t xml:space="preserve">Address</t>
  </si>
  <si>
    <t xml:space="preserve">Finding</t>
  </si>
  <si>
    <t xml:space="preserve">a residential development comprising 96 no. residential units, (2 no. detached houses; 16 no. semi-detached houses; 40 no. terrace units and 38 no. in 2 no. fou</t>
  </si>
  <si>
    <t xml:space="preserve">22841</t>
  </si>
  <si>
    <t xml:space="preserve">02/05/2023</t>
  </si>
  <si>
    <t xml:space="preserve">Baunacloka , Raheen , Co. Limerick</t>
  </si>
  <si>
    <t xml:space="preserve">Refused on appeal, PL91.317106 (20/10/2025). Not live.</t>
  </si>
  <si>
    <t xml:space="preserve">the construction of 40 No. residential units comprising of 20 No. Houses and 20 No. Apartments, all two-storey in height. The units proposed are a mix of 1 and </t>
  </si>
  <si>
    <t xml:space="preserve">2460606</t>
  </si>
  <si>
    <t xml:space="preserve">03/04/2025</t>
  </si>
  <si>
    <t xml:space="preserve">Saint Ita's Road , Abbeyfeale West , Abbeyfeale</t>
  </si>
  <si>
    <t xml:space="preserve">Refused on appeal, PL91.322380 (20/08/2025). Not live.</t>
  </si>
  <si>
    <t xml:space="preserve">change of use from Medical Centre previously granted under permission ref. 19/710 to 19no. student spaces of 507.6sqm on ground floor.  Provision of 12no. car p</t>
  </si>
  <si>
    <t xml:space="preserve">211820</t>
  </si>
  <si>
    <t xml:space="preserve">25/02/2022</t>
  </si>
  <si>
    <t xml:space="preserve">Hassett's Cross , Limerick.</t>
  </si>
  <si>
    <t xml:space="preserve">Change of use within 19/710 (Hassett’s Cross, already tracked); expired 14/03/2026. Not new supply.</t>
  </si>
  <si>
    <t xml:space="preserve">the construction of 14 dwelling houses, including 2 no semi-detached 2 bedroom bungalows, 12 no 2 storey semi-detached 3 bedroom houses, of which 4 will have an</t>
  </si>
  <si>
    <t xml:space="preserve">16/03/2021</t>
  </si>
  <si>
    <t xml:space="preserve">Skagh , Croom , Co. Limerick</t>
  </si>
  <si>
    <t xml:space="preserve">Added to tracker. Granted on appeal PL91.309917 (02/12/2021); expires 01/12/2026; no commencement notice.</t>
  </si>
  <si>
    <t xml:space="preserve">the construction of 10 dwelling units to include 2 no. detached 5 bedroom bungalow dwellings &amp; 8 no. 3 bed semi-detached dwellings, all necessary ancillary site</t>
  </si>
  <si>
    <t xml:space="preserve">04/12/2024</t>
  </si>
  <si>
    <t xml:space="preserve">Cois Sruthain , Croom , Co. Limerick</t>
  </si>
  <si>
    <t xml:space="preserve">Added to tracker. Granted 15/01/2025; expires 14/01/2030; no commencement notice.</t>
  </si>
  <si>
    <t xml:space="preserve">Two live schemes (Croom, 24 homes) added to the tracker as register-only records. The others are refused or not new supply.</t>
  </si>
  <si>
    <t xml:space="preserve">Method and assumptions</t>
  </si>
  <si>
    <t xml:space="preserve">Audit land</t>
  </si>
  <si>
    <t xml:space="preserve">Council city sites audit (in_sca/sca.gpkg): sites drawn twice under one reference merged; rsca 2 and 112 reinstated (removed in the council’s 04/12/25 review with no reason recorded; checked as still developable); rsca 35 reinstated (removed because it already had Part 8 approval 19/8004, unlike the 28 permitted sites the council kept). County audit not yet supplied.</t>
  </si>
  <si>
    <t xml:space="preserve">The council’s estimate per site (area × density band). Not a design-led figure. rsca 112 has a narrow, irregular shape, so its capacity is likely an upper figure.</t>
  </si>
  <si>
    <t xml:space="preserve">Permissions</t>
  </si>
  <si>
    <t xml:space="preserve">Counted residential schemes from the pipeline tracker after primacy rules (no double counting of amendments, repeats or superseded applications), plus register-only Part 8s, KPMG additions and granted PBSA. PBSA counted in the units recorded for the scheme (cluster apartments); bedspaces are shown separately and are not added to unit totals.</t>
  </si>
  <si>
    <t xml:space="preserve">Matched on the planning application boundary (national Planning Application Sites layer, joined by planning reference; SHDs via the council’s yy + case number copy) for 240 of 265 schemes. Within site = at least half the boundary on an audit site, or the boundary covers at least half the site (red lines often take in access roads). Partly on = 10–50% overlap; check. Schemes with no boundary (mostly CIS Part 8s without a council file number) use the scheme point: inside a site, within 50 m (edge, check) or further. City – outside audit land = no meaningful overlap with any audit site. County = outside the city audit area; cannot be assessed until the county audit is supplied.</t>
  </si>
  <si>
    <t xml:space="preserve">Complete + under construction + permitted not started (live) + stalled. Expired permissions and applications still in planning are shown separately and not counted as consent.</t>
  </si>
  <si>
    <t xml:space="preserve">Private; Public – local authority (incl. Part 8 and council own-build); Public – AHB; Public – LDA. From the tracker’s owner classification.</t>
  </si>
  <si>
    <t xml:space="preserve">Delivery year: on site</t>
  </si>
  <si>
    <t xml:space="preserve">Build period = the larger of (a) the median start-to-completion time for the scheme’s size band and (b) units ÷ median build rate for the band. First homes complete a year after start, or halfway through the build if shorter. Units are spread evenly from then until the end of the build, counting only time after 08/10/2026. Schemes past their estimated finish, or within a year of it, have their units spread over the next 12 months.</t>
  </si>
  <si>
    <t xml:space="preserve">Delivery year: student (PBSA)</t>
  </si>
  <si>
    <t xml:space="preserve">Purpose-built student schemes finish as one block: all units placed in the year the build ends (start + median build period for the size band). The Castletroy mixed scheme (26/60089) is phased like housing.</t>
  </si>
  <si>
    <t xml:space="preserve">Delivery year: permitted</t>
  </si>
  <si>
    <t xml:space="preserve">Start = final grant + median grant-to-start time for the size band. Contract awarded / commencement expected (CIS): start within 6 months. At tender: start in 6–12 months. Past the usual start date with no commencement notice: start assumed in 9 months, low confidence. Then the same build profile as above.</t>
  </si>
  <si>
    <t xml:space="preserve">Stalled (CIS), expired and in-planning units are not placed in a year.</t>
  </si>
  <si>
    <t xml:space="preserve">No probability weighting</t>
  </si>
  <si>
    <t xml:space="preserve">Every permitted unit is assumed to be built. In practice some live permissions will lapse; the study found a share of permissions never start. Read Medium and Low rows as upper figures.</t>
  </si>
  <si>
    <t xml:space="preserve">Timings used</t>
  </si>
  <si>
    <t xml:space="preserve">Medians from Limerick schemes with recorded dates (building control commencements and CIS completions):</t>
  </si>
  <si>
    <t xml:space="preserve">Size band</t>
  </si>
  <si>
    <t xml:space="preserve">Grant to start (yrs)</t>
  </si>
  <si>
    <t xml:space="preserve">Schemes</t>
  </si>
  <si>
    <t xml:space="preserve">Start to completion (yrs)</t>
  </si>
  <si>
    <t xml:space="preserve">Build rate (homes / yr)</t>
  </si>
  <si>
    <t xml:space="preserve">1–9</t>
  </si>
  <si>
    <t xml:space="preserve">10–24</t>
  </si>
  <si>
    <t xml:space="preserve">25–49</t>
  </si>
  <si>
    <t xml:space="preserve">50–99</t>
  </si>
  <si>
    <t xml:space="preserve">100+</t>
  </si>
  <si>
    <t xml:space="preserve">Start-to-completion medians for 50–99 and 100+ rest on few schemes, so the build-rate rule usually sets the build period for large schemes.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</si>
</sst>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#,##0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5F9"/>
        <bgColor rgb="FFFFFFFF"/>
      </patternFill>
    </fill>
    <fill>
      <patternFill patternType="solid">
        <fgColor rgb="FFDCE4E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78787"/>
      <rgbColor rgb="FF9999FF"/>
      <rgbColor rgb="FF993366"/>
      <rgbColor rgb="FFF2F5F9"/>
      <rgbColor rgb="FFDCE4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2A541"/>
      <rgbColor rgb="FFFF6600"/>
      <rgbColor rgb="FF4F81BD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Expected completions by year and sector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Dashboard!A46</c:f>
              <c:strCache>
                <c:ptCount val="1"/>
                <c:pt idx="0">
                  <c:v>Private</c:v>
                </c:pt>
              </c:strCache>
            </c:strRef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Dashboard!$B$45:$G$45</c:f>
              <c:strCache>
                <c:ptCount val="6"/>
                <c:pt idx="0">
                  <c:v>Q4 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2031+</c:v>
                </c:pt>
              </c:strCache>
            </c:strRef>
          </c:cat>
          <c:val>
            <c:numRef>
              <c:f>Dashboard!$B$46:$G$46</c:f>
              <c:numCache>
                <c:formatCode>#,##0</c:formatCode>
                <c:ptCount val="6"/>
                <c:pt idx="0">
                  <c:v>528.4</c:v>
                </c:pt>
                <c:pt idx="1">
                  <c:v>2037.6</c:v>
                </c:pt>
                <c:pt idx="2">
                  <c:v>1415.7</c:v>
                </c:pt>
                <c:pt idx="3">
                  <c:v>1727.2</c:v>
                </c:pt>
                <c:pt idx="4">
                  <c:v>721.1</c:v>
                </c:pt>
                <c:pt idx="5">
                  <c:v>1386</c:v>
                </c:pt>
              </c:numCache>
            </c:numRef>
          </c:val>
        </c:ser>
        <c:ser>
          <c:idx val="1"/>
          <c:order val="1"/>
          <c:tx>
            <c:strRef>
              <c:f>Dashboard!A47</c:f>
              <c:strCache>
                <c:ptCount val="1"/>
                <c:pt idx="0">
                  <c:v>Public – local authority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4f81b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Dashboard!$B$45:$G$45</c:f>
              <c:strCache>
                <c:ptCount val="6"/>
                <c:pt idx="0">
                  <c:v>Q4 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2031+</c:v>
                </c:pt>
              </c:strCache>
            </c:strRef>
          </c:cat>
          <c:val>
            <c:numRef>
              <c:f>Dashboard!$B$47:$G$47</c:f>
              <c:numCache>
                <c:formatCode>#,##0</c:formatCode>
                <c:ptCount val="6"/>
                <c:pt idx="0">
                  <c:v>49.1</c:v>
                </c:pt>
                <c:pt idx="1">
                  <c:v>225.6</c:v>
                </c:pt>
                <c:pt idx="2">
                  <c:v>217.1</c:v>
                </c:pt>
                <c:pt idx="3">
                  <c:v>151.6</c:v>
                </c:pt>
                <c:pt idx="4">
                  <c:v>68.2</c:v>
                </c:pt>
                <c:pt idx="5">
                  <c:v>34.4</c:v>
                </c:pt>
              </c:numCache>
            </c:numRef>
          </c:val>
        </c:ser>
        <c:ser>
          <c:idx val="2"/>
          <c:order val="2"/>
          <c:tx>
            <c:strRef>
              <c:f>Dashboard!A48</c:f>
              <c:strCache>
                <c:ptCount val="1"/>
                <c:pt idx="0">
                  <c:v>Public – AHB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9bbb59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Dashboard!$B$45:$G$45</c:f>
              <c:strCache>
                <c:ptCount val="6"/>
                <c:pt idx="0">
                  <c:v>Q4 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2031+</c:v>
                </c:pt>
              </c:strCache>
            </c:strRef>
          </c:cat>
          <c:val>
            <c:numRef>
              <c:f>Dashboard!$B$48:$G$48</c:f>
              <c:numCache>
                <c:formatCode>#,##0</c:formatCode>
                <c:ptCount val="6"/>
                <c:pt idx="0">
                  <c:v>10.9</c:v>
                </c:pt>
                <c:pt idx="1">
                  <c:v>92.3</c:v>
                </c:pt>
                <c:pt idx="2">
                  <c:v>84.9</c:v>
                </c:pt>
                <c:pt idx="3">
                  <c:v>15.3</c:v>
                </c:pt>
                <c:pt idx="4">
                  <c:v>0.7</c:v>
                </c:pt>
                <c:pt idx="5">
                  <c:v>-0.1</c:v>
                </c:pt>
              </c:numCache>
            </c:numRef>
          </c:val>
        </c:ser>
        <c:ser>
          <c:idx val="3"/>
          <c:order val="3"/>
          <c:tx>
            <c:strRef>
              <c:f>Dashboard!A49</c:f>
              <c:strCache>
                <c:ptCount val="1"/>
                <c:pt idx="0">
                  <c:v>Public – LDA</c:v>
                </c:pt>
              </c:strCache>
            </c:strRef>
          </c:tx>
          <c:spPr>
            <a:solidFill>
              <a:srgbClr val="f2a541"/>
            </a:solidFill>
            <a:ln w="0">
              <a:solidFill>
                <a:srgbClr val="f2a54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Dashboard!$B$45:$G$45</c:f>
              <c:strCache>
                <c:ptCount val="6"/>
                <c:pt idx="0">
                  <c:v>Q4 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2031+</c:v>
                </c:pt>
              </c:strCache>
            </c:strRef>
          </c:cat>
          <c:val>
            <c:numRef>
              <c:f>Dashboard!$B$49:$G$49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10.1</c:v>
                </c:pt>
                <c:pt idx="3">
                  <c:v>61</c:v>
                </c:pt>
                <c:pt idx="4">
                  <c:v>61</c:v>
                </c:pt>
                <c:pt idx="5">
                  <c:v>152.9</c:v>
                </c:pt>
              </c:numCache>
            </c:numRef>
          </c:val>
        </c:ser>
        <c:ser>
          <c:idx val="4"/>
          <c:order val="4"/>
          <c:tx>
            <c:strRef>
              <c:f>Dashboard!A50</c:f>
              <c:strCache>
                <c:ptCount val="1"/>
                <c:pt idx="0">
                  <c:v>Small schemes and one-off houses (allowance)</c:v>
                </c:pt>
              </c:strCache>
            </c:strRef>
          </c:tx>
          <c:spPr>
            <a:solidFill>
              <a:srgbClr val="a6a6a6"/>
            </a:solidFill>
            <a:ln w="0">
              <a:solidFill>
                <a:srgbClr val="a6a6a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Dashboard!$B$45:$G$45</c:f>
              <c:strCache>
                <c:ptCount val="6"/>
                <c:pt idx="0">
                  <c:v>Q4 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2031+</c:v>
                </c:pt>
              </c:strCache>
            </c:strRef>
          </c:cat>
          <c:val>
            <c:numRef>
              <c:f>Dashboard!$B$50:$G$50</c:f>
              <c:numCache>
                <c:formatCode>#,##0</c:formatCode>
                <c:ptCount val="6"/>
                <c:pt idx="0">
                  <c:v>44.4833333333333</c:v>
                </c:pt>
                <c:pt idx="1">
                  <c:v>191.016666666667</c:v>
                </c:pt>
                <c:pt idx="2">
                  <c:v>191.016666666667</c:v>
                </c:pt>
                <c:pt idx="3">
                  <c:v>191.016666666667</c:v>
                </c:pt>
                <c:pt idx="4">
                  <c:v>191.016666666667</c:v>
                </c:pt>
                <c:pt idx="5">
                  <c:v>0</c:v>
                </c:pt>
              </c:numCache>
            </c:numRef>
          </c:val>
        </c:ser>
        <c:gapWidth val="150"/>
        <c:overlap val="100"/>
        <c:axId val="73915838"/>
        <c:axId val="79947473"/>
      </c:barChart>
      <c:catAx>
        <c:axId val="739158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47473"/>
        <c:crosses val="autoZero"/>
        <c:auto val="1"/>
        <c:lblAlgn val="ctr"/>
        <c:lblOffset val="100"/>
        <c:noMultiLvlLbl val="0"/>
      </c:catAx>
      <c:valAx>
        <c:axId val="79947473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158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160920</xdr:rowOff>
    </xdr:from>
    <xdr:to>
      <xdr:col>7</xdr:col>
      <xdr:colOff>961560</xdr:colOff>
      <xdr:row>15</xdr:row>
      <xdr:rowOff>60120</xdr:rowOff>
    </xdr:to>
    <xdr:graphicFrame>
      <xdr:nvGraphicFramePr>
        <xdr:cNvPr id="0" name="Chart 1"/>
        <xdr:cNvGraphicFramePr/>
      </xdr:nvGraphicFramePr>
      <xdr:xfrm>
        <a:off x="5511960" y="571680"/>
        <a:ext cx="593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n">
        <f aca="false">SUM(Sites!$I$2:$I$135)</f>
        <v>316.212</v>
      </c>
    </row>
    <row r="6" customFormat="false" ht="15" hidden="false" customHeight="false" outlineLevel="0" collapsed="false">
      <c r="A6" s="5" t="s">
        <v>5</v>
      </c>
      <c r="B6" s="7" t="n">
        <f aca="false">COUNTA(Sites!$A$2:$A$135)</f>
        <v>134</v>
      </c>
    </row>
    <row r="7" customFormat="false" ht="15" hidden="false" customHeight="false" outlineLevel="0" collapsed="false">
      <c r="A7" s="5" t="s">
        <v>6</v>
      </c>
      <c r="B7" s="7" t="n">
        <f aca="false">SUM(Sites!$J$2:$J$135)</f>
        <v>14092</v>
      </c>
    </row>
    <row r="8" customFormat="false" ht="15" hidden="false" customHeight="false" outlineLevel="0" collapsed="false">
      <c r="A8" s="5" t="s">
        <v>7</v>
      </c>
      <c r="B8" s="7" t="n">
        <f aca="false">SUMIFS(Schemes!$M$2:$M$264,Schemes!$F$2:$F$264,"Audit land – within site",Schemes!$K$2:$K$264,"&lt;&gt;Not started – past expiry",Schemes!$K$2:$K$264,"&lt;&gt;In planning")</f>
        <v>5252</v>
      </c>
    </row>
    <row r="9" customFormat="false" ht="15" hidden="false" customHeight="false" outlineLevel="0" collapsed="false">
      <c r="A9" s="5" t="s">
        <v>8</v>
      </c>
      <c r="B9" s="8" t="n">
        <f aca="false">B8/B7</f>
        <v>0.372693726937269</v>
      </c>
    </row>
    <row r="10" customFormat="false" ht="15" hidden="false" customHeight="false" outlineLevel="0" collapsed="false">
      <c r="A10" s="5" t="s">
        <v>9</v>
      </c>
      <c r="B10" s="7" t="n">
        <f aca="false">SUM(Sites!$O$2:$O$135)</f>
        <v>10143</v>
      </c>
    </row>
    <row r="11" customFormat="false" ht="15" hidden="false" customHeight="false" outlineLevel="0" collapsed="false">
      <c r="A11" s="5" t="s">
        <v>10</v>
      </c>
      <c r="B11" s="7" t="n">
        <f aca="false">SUMIFS(Schemes!$M$2:$M$264,Schemes!$F$2:$F$264,"Audit land – partly on / edge (check)",Schemes!$K$2:$K$264,"&lt;&gt;Not started – past expiry",Schemes!$K$2:$K$264,"&lt;&gt;In planning")</f>
        <v>105</v>
      </c>
    </row>
    <row r="12" customFormat="false" ht="15" hidden="false" customHeight="false" outlineLevel="0" collapsed="false">
      <c r="A12" s="5" t="s">
        <v>11</v>
      </c>
      <c r="B12" s="7" t="n">
        <f aca="false">SUMIFS(Schemes!$M$2:$M$264,Schemes!$F$2:$F$264,"City – outside audit land",Schemes!$K$2:$K$264,"&lt;&gt;Not started – past expiry",Schemes!$K$2:$K$264,"&lt;&gt;In planning")</f>
        <v>3174</v>
      </c>
    </row>
    <row r="13" customFormat="false" ht="15" hidden="false" customHeight="false" outlineLevel="0" collapsed="false">
      <c r="A13" s="5" t="s">
        <v>12</v>
      </c>
      <c r="B13" s="7" t="n">
        <f aca="false">SUMIFS(Schemes!$M$2:$M$264,Schemes!$F$2:$F$264,"County – audit not yet supplied",Schemes!$K$2:$K$264,"&lt;&gt;Not started – past expiry",Schemes!$K$2:$K$264,"&lt;&gt;In planning")</f>
        <v>1951</v>
      </c>
    </row>
    <row r="14" customFormat="false" ht="15" hidden="false" customHeight="false" outlineLevel="0" collapsed="false">
      <c r="A14" s="5" t="s">
        <v>13</v>
      </c>
      <c r="B14" s="7" t="n">
        <f aca="false">B8+B11+B12+B13</f>
        <v>10482</v>
      </c>
    </row>
    <row r="15" customFormat="false" ht="15" hidden="false" customHeight="false" outlineLevel="0" collapsed="false">
      <c r="A15" s="5" t="s">
        <v>14</v>
      </c>
      <c r="B15" s="7" t="n">
        <f aca="false">SUMIFS(Schemes!$N$2:$N$264,Schemes!$I$2:$I$264,"Student (PBSA)",Schemes!$K$2:$K$264,"&lt;&gt;Not started – past expiry",Schemes!$K$2:$K$264,"&lt;&gt;In planning")</f>
        <v>2142</v>
      </c>
    </row>
    <row r="16" customFormat="false" ht="15" hidden="false" customHeight="false" outlineLevel="0" collapsed="false">
      <c r="A16" s="5" t="s">
        <v>15</v>
      </c>
      <c r="B16" s="7" t="n">
        <f aca="false">SUM(Schemes!$W$2:$W$264)+SUM(Schemes!$X$2:$X$264)+SUM(Schemes!$Y$2:$Y$264)+SUM(Schemes!$Z$2:$Z$264)+SUM(Schemes!$AA$2:$AA$264)</f>
        <v>7477.8</v>
      </c>
    </row>
    <row r="17" customFormat="false" ht="15" hidden="false" customHeight="false" outlineLevel="0" collapsed="false">
      <c r="A17" s="5" t="s">
        <v>16</v>
      </c>
      <c r="B17" s="7" t="n">
        <f aca="false">'CSO reconciliation'!H$27</f>
        <v>808.55</v>
      </c>
    </row>
    <row r="18" customFormat="false" ht="15" hidden="false" customHeight="false" outlineLevel="0" collapsed="false">
      <c r="A18" s="9" t="s">
        <v>17</v>
      </c>
    </row>
    <row r="20" customFormat="false" ht="15" hidden="false" customHeight="false" outlineLevel="0" collapsed="false">
      <c r="A20" s="10" t="s">
        <v>18</v>
      </c>
    </row>
    <row r="21" customFormat="false" ht="23.85" hidden="false" customHeight="false" outlineLevel="0" collapsed="false">
      <c r="A21" s="3" t="s">
        <v>19</v>
      </c>
      <c r="B21" s="4" t="s">
        <v>20</v>
      </c>
      <c r="C21" s="4" t="s">
        <v>21</v>
      </c>
      <c r="D21" s="4" t="s">
        <v>22</v>
      </c>
      <c r="E21" s="4" t="s">
        <v>23</v>
      </c>
      <c r="F21" s="4" t="s">
        <v>24</v>
      </c>
      <c r="G21" s="4" t="s">
        <v>25</v>
      </c>
      <c r="H21" s="4" t="s">
        <v>26</v>
      </c>
      <c r="I21" s="4" t="s">
        <v>27</v>
      </c>
    </row>
    <row r="22" customFormat="false" ht="15" hidden="false" customHeight="false" outlineLevel="0" collapsed="false">
      <c r="A22" s="11" t="s">
        <v>28</v>
      </c>
      <c r="B22" s="12" t="n">
        <f aca="false">COUNTIFS(Sites!$E$2:$E$135,$A22)</f>
        <v>39</v>
      </c>
      <c r="C22" s="13" t="n">
        <f aca="false">SUMIFS(Sites!$I$2:$I$135,Sites!$E$2:$E$135,$A22)</f>
        <v>134.265</v>
      </c>
      <c r="D22" s="12" t="n">
        <f aca="false">SUMIFS(Sites!$J$2:$J$135,Sites!$E$2:$E$135,$A22)</f>
        <v>6390</v>
      </c>
      <c r="E22" s="12" t="n">
        <f aca="false">SUMIFS(Sites!$K$2:$K$135,Sites!$E$2:$E$135,$A22)</f>
        <v>11</v>
      </c>
      <c r="F22" s="12" t="n">
        <f aca="false">SUMIFS(Sites!$L$2:$L$135,Sites!$E$2:$E$135,$A22)</f>
        <v>36</v>
      </c>
      <c r="G22" s="12" t="n">
        <f aca="false">SUMIFS(Sites!$M$2:$M$135,Sites!$E$2:$E$135,$A22)</f>
        <v>663</v>
      </c>
      <c r="H22" s="12" t="n">
        <f aca="false">SUMIFS(Sites!$N$2:$N$135,Sites!$E$2:$E$135,$A22)</f>
        <v>710</v>
      </c>
      <c r="I22" s="12" t="n">
        <f aca="false">SUMIFS(Sites!$O$2:$O$135,Sites!$E$2:$E$135,$A22)</f>
        <v>5680</v>
      </c>
    </row>
    <row r="23" customFormat="false" ht="15" hidden="false" customHeight="false" outlineLevel="0" collapsed="false">
      <c r="A23" s="11" t="s">
        <v>29</v>
      </c>
      <c r="B23" s="12" t="n">
        <f aca="false">COUNTIFS(Sites!$E$2:$E$135,$A23)</f>
        <v>77</v>
      </c>
      <c r="C23" s="13" t="n">
        <f aca="false">SUMIFS(Sites!$I$2:$I$135,Sites!$E$2:$E$135,$A23)</f>
        <v>138.829</v>
      </c>
      <c r="D23" s="12" t="n">
        <f aca="false">SUMIFS(Sites!$J$2:$J$135,Sites!$E$2:$E$135,$A23)</f>
        <v>6227</v>
      </c>
      <c r="E23" s="12" t="n">
        <f aca="false">SUMIFS(Sites!$K$2:$K$135,Sites!$E$2:$E$135,$A23)</f>
        <v>65</v>
      </c>
      <c r="F23" s="12" t="n">
        <f aca="false">SUMIFS(Sites!$L$2:$L$135,Sites!$E$2:$E$135,$A23)</f>
        <v>1359</v>
      </c>
      <c r="G23" s="12" t="n">
        <f aca="false">SUMIFS(Sites!$M$2:$M$135,Sites!$E$2:$E$135,$A23)</f>
        <v>2458</v>
      </c>
      <c r="H23" s="12" t="n">
        <f aca="false">SUMIFS(Sites!$N$2:$N$135,Sites!$E$2:$E$135,$A23)</f>
        <v>3882</v>
      </c>
      <c r="I23" s="12" t="n">
        <f aca="false">SUMIFS(Sites!$O$2:$O$135,Sites!$E$2:$E$135,$A23)</f>
        <v>3602</v>
      </c>
    </row>
    <row r="24" customFormat="false" ht="15" hidden="false" customHeight="false" outlineLevel="0" collapsed="false">
      <c r="A24" s="11" t="s">
        <v>30</v>
      </c>
      <c r="B24" s="12" t="n">
        <f aca="false">COUNTIFS(Sites!$E$2:$E$135,$A24)</f>
        <v>18</v>
      </c>
      <c r="C24" s="13" t="n">
        <f aca="false">SUMIFS(Sites!$I$2:$I$135,Sites!$E$2:$E$135,$A24)</f>
        <v>43.118</v>
      </c>
      <c r="D24" s="12" t="n">
        <f aca="false">SUMIFS(Sites!$J$2:$J$135,Sites!$E$2:$E$135,$A24)</f>
        <v>1475</v>
      </c>
      <c r="E24" s="12" t="n">
        <f aca="false">SUMIFS(Sites!$K$2:$K$135,Sites!$E$2:$E$135,$A24)</f>
        <v>0</v>
      </c>
      <c r="F24" s="12" t="n">
        <f aca="false">SUMIFS(Sites!$L$2:$L$135,Sites!$E$2:$E$135,$A24)</f>
        <v>240</v>
      </c>
      <c r="G24" s="12" t="n">
        <f aca="false">SUMIFS(Sites!$M$2:$M$135,Sites!$E$2:$E$135,$A24)</f>
        <v>420</v>
      </c>
      <c r="H24" s="12" t="n">
        <f aca="false">SUMIFS(Sites!$N$2:$N$135,Sites!$E$2:$E$135,$A24)</f>
        <v>660</v>
      </c>
      <c r="I24" s="12" t="n">
        <f aca="false">SUMIFS(Sites!$O$2:$O$135,Sites!$E$2:$E$135,$A24)</f>
        <v>861</v>
      </c>
    </row>
    <row r="25" customFormat="false" ht="15" hidden="false" customHeight="false" outlineLevel="0" collapsed="false">
      <c r="A25" s="14" t="s">
        <v>31</v>
      </c>
      <c r="B25" s="15" t="n">
        <f aca="false">SUM(B22:B24)</f>
        <v>134</v>
      </c>
      <c r="C25" s="16" t="n">
        <f aca="false">SUM(C22:C24)</f>
        <v>316.212</v>
      </c>
      <c r="D25" s="15" t="n">
        <f aca="false">SUM(D22:D24)</f>
        <v>14092</v>
      </c>
      <c r="E25" s="15" t="n">
        <f aca="false">SUM(E22:E24)</f>
        <v>76</v>
      </c>
      <c r="F25" s="15" t="n">
        <f aca="false">SUM(F22:F24)</f>
        <v>1635</v>
      </c>
      <c r="G25" s="15" t="n">
        <f aca="false">SUM(G22:G24)</f>
        <v>3541</v>
      </c>
      <c r="H25" s="15" t="n">
        <f aca="false">SUM(H22:H24)</f>
        <v>5252</v>
      </c>
      <c r="I25" s="15" t="n">
        <f aca="false">SUM(I22:I24)</f>
        <v>10143</v>
      </c>
    </row>
    <row r="27" customFormat="false" ht="15" hidden="false" customHeight="false" outlineLevel="0" collapsed="false">
      <c r="A27" s="10" t="s">
        <v>32</v>
      </c>
    </row>
    <row r="28" customFormat="false" ht="23.85" hidden="false" customHeight="false" outlineLevel="0" collapsed="false">
      <c r="A28" s="3" t="s">
        <v>33</v>
      </c>
      <c r="B28" s="4" t="s">
        <v>23</v>
      </c>
      <c r="C28" s="4" t="s">
        <v>34</v>
      </c>
      <c r="D28" s="4" t="s">
        <v>35</v>
      </c>
      <c r="E28" s="4" t="s">
        <v>36</v>
      </c>
      <c r="F28" s="4" t="s">
        <v>37</v>
      </c>
      <c r="G28" s="4" t="s">
        <v>38</v>
      </c>
      <c r="H28" s="4" t="s">
        <v>39</v>
      </c>
    </row>
    <row r="29" customFormat="false" ht="15" hidden="false" customHeight="false" outlineLevel="0" collapsed="false">
      <c r="A29" s="11" t="s">
        <v>40</v>
      </c>
      <c r="B29" s="12" t="n">
        <f aca="false">SUMIFS(Schemes!$M$2:$M$264,Schemes!$F$2:$F$264,$A29,Schemes!$K$2:$K$264,"Complete")</f>
        <v>76</v>
      </c>
      <c r="C29" s="12" t="n">
        <f aca="false">SUMIFS(Schemes!$M$2:$M$264,Schemes!$F$2:$F$264,$A29,Schemes!$K$2:$K$264,"Under construction")</f>
        <v>1635</v>
      </c>
      <c r="D29" s="12" t="n">
        <f aca="false">SUMIFS(Schemes!$M$2:$M$264,Schemes!$F$2:$F$264,$A29,Schemes!$K$2:$K$264,"Not started – permission live")</f>
        <v>3510</v>
      </c>
      <c r="E29" s="12" t="n">
        <f aca="false">SUMIFS(Schemes!$M$2:$M$264,Schemes!$F$2:$F$264,$A29,Schemes!$K$2:$K$264,"Stalled (CIS)")</f>
        <v>31</v>
      </c>
      <c r="F29" s="17" t="n">
        <f aca="false">SUM(B29:E29)</f>
        <v>5252</v>
      </c>
      <c r="G29" s="12" t="n">
        <f aca="false">SUMIFS(Schemes!$M$2:$M$264,Schemes!$F$2:$F$264,$A29,Schemes!$K$2:$K$264,"Not started – past expiry")</f>
        <v>149</v>
      </c>
      <c r="H29" s="12" t="n">
        <f aca="false">SUMIFS(Schemes!$M$2:$M$264,Schemes!$F$2:$F$264,$A29,Schemes!$K$2:$K$264,"In planning")</f>
        <v>97</v>
      </c>
    </row>
    <row r="30" customFormat="false" ht="15" hidden="false" customHeight="false" outlineLevel="0" collapsed="false">
      <c r="A30" s="11" t="s">
        <v>41</v>
      </c>
      <c r="B30" s="12" t="n">
        <f aca="false">SUMIFS(Schemes!$M$2:$M$264,Schemes!$F$2:$F$264,$A30,Schemes!$K$2:$K$264,"Complete")</f>
        <v>0</v>
      </c>
      <c r="C30" s="12" t="n">
        <f aca="false">SUMIFS(Schemes!$M$2:$M$264,Schemes!$F$2:$F$264,$A30,Schemes!$K$2:$K$264,"Under construction")</f>
        <v>50</v>
      </c>
      <c r="D30" s="12" t="n">
        <f aca="false">SUMIFS(Schemes!$M$2:$M$264,Schemes!$F$2:$F$264,$A30,Schemes!$K$2:$K$264,"Not started – permission live")</f>
        <v>55</v>
      </c>
      <c r="E30" s="12" t="n">
        <f aca="false">SUMIFS(Schemes!$M$2:$M$264,Schemes!$F$2:$F$264,$A30,Schemes!$K$2:$K$264,"Stalled (CIS)")</f>
        <v>0</v>
      </c>
      <c r="F30" s="17" t="n">
        <f aca="false">SUM(B30:E30)</f>
        <v>105</v>
      </c>
      <c r="G30" s="12" t="n">
        <f aca="false">SUMIFS(Schemes!$M$2:$M$264,Schemes!$F$2:$F$264,$A30,Schemes!$K$2:$K$264,"Not started – past expiry")</f>
        <v>0</v>
      </c>
      <c r="H30" s="12" t="n">
        <f aca="false">SUMIFS(Schemes!$M$2:$M$264,Schemes!$F$2:$F$264,$A30,Schemes!$K$2:$K$264,"In planning")</f>
        <v>4</v>
      </c>
    </row>
    <row r="31" customFormat="false" ht="15" hidden="false" customHeight="false" outlineLevel="0" collapsed="false">
      <c r="A31" s="11" t="s">
        <v>42</v>
      </c>
      <c r="B31" s="12" t="n">
        <f aca="false">SUMIFS(Schemes!$M$2:$M$264,Schemes!$F$2:$F$264,$A31,Schemes!$K$2:$K$264,"Complete")</f>
        <v>1051</v>
      </c>
      <c r="C31" s="12" t="n">
        <f aca="false">SUMIFS(Schemes!$M$2:$M$264,Schemes!$F$2:$F$264,$A31,Schemes!$K$2:$K$264,"Under construction")</f>
        <v>1478</v>
      </c>
      <c r="D31" s="12" t="n">
        <f aca="false">SUMIFS(Schemes!$M$2:$M$264,Schemes!$F$2:$F$264,$A31,Schemes!$K$2:$K$264,"Not started – permission live")</f>
        <v>645</v>
      </c>
      <c r="E31" s="12" t="n">
        <f aca="false">SUMIFS(Schemes!$M$2:$M$264,Schemes!$F$2:$F$264,$A31,Schemes!$K$2:$K$264,"Stalled (CIS)")</f>
        <v>0</v>
      </c>
      <c r="F31" s="17" t="n">
        <f aca="false">SUM(B31:E31)</f>
        <v>3174</v>
      </c>
      <c r="G31" s="12" t="n">
        <f aca="false">SUMIFS(Schemes!$M$2:$M$264,Schemes!$F$2:$F$264,$A31,Schemes!$K$2:$K$264,"Not started – past expiry")</f>
        <v>71</v>
      </c>
      <c r="H31" s="12" t="n">
        <f aca="false">SUMIFS(Schemes!$M$2:$M$264,Schemes!$F$2:$F$264,$A31,Schemes!$K$2:$K$264,"In planning")</f>
        <v>59</v>
      </c>
    </row>
    <row r="32" customFormat="false" ht="15" hidden="false" customHeight="false" outlineLevel="0" collapsed="false">
      <c r="A32" s="11" t="s">
        <v>43</v>
      </c>
      <c r="B32" s="12" t="n">
        <f aca="false">SUMIFS(Schemes!$M$2:$M$264,Schemes!$F$2:$F$264,$A32,Schemes!$K$2:$K$264,"Complete")</f>
        <v>148</v>
      </c>
      <c r="C32" s="12" t="n">
        <f aca="false">SUMIFS(Schemes!$M$2:$M$264,Schemes!$F$2:$F$264,$A32,Schemes!$K$2:$K$264,"Under construction")</f>
        <v>901</v>
      </c>
      <c r="D32" s="12" t="n">
        <f aca="false">SUMIFS(Schemes!$M$2:$M$264,Schemes!$F$2:$F$264,$A32,Schemes!$K$2:$K$264,"Not started – permission live")</f>
        <v>777</v>
      </c>
      <c r="E32" s="12" t="n">
        <f aca="false">SUMIFS(Schemes!$M$2:$M$264,Schemes!$F$2:$F$264,$A32,Schemes!$K$2:$K$264,"Stalled (CIS)")</f>
        <v>125</v>
      </c>
      <c r="F32" s="17" t="n">
        <f aca="false">SUM(B32:E32)</f>
        <v>1951</v>
      </c>
      <c r="G32" s="12" t="n">
        <f aca="false">SUMIFS(Schemes!$M$2:$M$264,Schemes!$F$2:$F$264,$A32,Schemes!$K$2:$K$264,"Not started – past expiry")</f>
        <v>91</v>
      </c>
      <c r="H32" s="12" t="n">
        <f aca="false">SUMIFS(Schemes!$M$2:$M$264,Schemes!$F$2:$F$264,$A32,Schemes!$K$2:$K$264,"In planning")</f>
        <v>90</v>
      </c>
    </row>
    <row r="33" customFormat="false" ht="15" hidden="false" customHeight="false" outlineLevel="0" collapsed="false">
      <c r="A33" s="14" t="s">
        <v>31</v>
      </c>
      <c r="B33" s="15" t="n">
        <f aca="false">SUM(B29:B32)</f>
        <v>1275</v>
      </c>
      <c r="C33" s="15" t="n">
        <f aca="false">SUM(C29:C32)</f>
        <v>4064</v>
      </c>
      <c r="D33" s="15" t="n">
        <f aca="false">SUM(D29:D32)</f>
        <v>4987</v>
      </c>
      <c r="E33" s="15" t="n">
        <f aca="false">SUM(E29:E32)</f>
        <v>156</v>
      </c>
      <c r="F33" s="15" t="n">
        <f aca="false">SUM(F29:F32)</f>
        <v>10482</v>
      </c>
      <c r="G33" s="15" t="n">
        <f aca="false">SUM(G29:G32)</f>
        <v>311</v>
      </c>
      <c r="H33" s="15" t="n">
        <f aca="false">SUM(H29:H32)</f>
        <v>250</v>
      </c>
    </row>
    <row r="35" customFormat="false" ht="15" hidden="false" customHeight="false" outlineLevel="0" collapsed="false">
      <c r="A35" s="10" t="s">
        <v>44</v>
      </c>
    </row>
    <row r="36" customFormat="false" ht="23.85" hidden="false" customHeight="false" outlineLevel="0" collapsed="false">
      <c r="A36" s="3" t="s">
        <v>45</v>
      </c>
      <c r="B36" s="4" t="s">
        <v>40</v>
      </c>
      <c r="C36" s="4" t="s">
        <v>46</v>
      </c>
      <c r="D36" s="4" t="s">
        <v>42</v>
      </c>
      <c r="E36" s="4" t="s">
        <v>47</v>
      </c>
      <c r="F36" s="4" t="s">
        <v>31</v>
      </c>
      <c r="G36" s="4" t="s">
        <v>48</v>
      </c>
    </row>
    <row r="37" customFormat="false" ht="15" hidden="false" customHeight="false" outlineLevel="0" collapsed="false">
      <c r="A37" s="11" t="s">
        <v>29</v>
      </c>
      <c r="B37" s="12" t="n">
        <f aca="false">SUMIFS(Schemes!$M$2:$M$264,Schemes!$H$2:$H$264,$A37,Schemes!$F$2:$F$264,"Audit land – within site",Schemes!$K$2:$K$264,"&lt;&gt;Not started – past expiry",Schemes!$K$2:$K$264,"&lt;&gt;In planning")</f>
        <v>4498</v>
      </c>
      <c r="C37" s="12" t="n">
        <f aca="false">SUMIFS(Schemes!$M$2:$M$264,Schemes!$H$2:$H$264,$A37,Schemes!$F$2:$F$264,"Audit land – partly on / edge (check)",Schemes!$K$2:$K$264,"&lt;&gt;Not started – past expiry",Schemes!$K$2:$K$264,"&lt;&gt;In planning")</f>
        <v>27</v>
      </c>
      <c r="D37" s="12" t="n">
        <f aca="false">SUMIFS(Schemes!$M$2:$M$264,Schemes!$H$2:$H$264,$A37,Schemes!$F$2:$F$264,"City – outside audit land",Schemes!$K$2:$K$264,"&lt;&gt;Not started – past expiry",Schemes!$K$2:$K$264,"&lt;&gt;In planning")</f>
        <v>2848</v>
      </c>
      <c r="E37" s="12" t="n">
        <f aca="false">SUMIFS(Schemes!$M$2:$M$264,Schemes!$H$2:$H$264,$A37,Schemes!$F$2:$F$264,"County – audit not yet supplied",Schemes!$K$2:$K$264,"&lt;&gt;Not started – past expiry",Schemes!$K$2:$K$264,"&lt;&gt;In planning")</f>
        <v>1573</v>
      </c>
      <c r="F37" s="17" t="n">
        <f aca="false">SUM(B37:E37)</f>
        <v>8946</v>
      </c>
      <c r="G37" s="18" t="n">
        <f aca="false">IF($F$41=0,0,F37/$F$41)</f>
        <v>0.853463079564969</v>
      </c>
    </row>
    <row r="38" customFormat="false" ht="15" hidden="false" customHeight="false" outlineLevel="0" collapsed="false">
      <c r="A38" s="11" t="s">
        <v>49</v>
      </c>
      <c r="B38" s="12" t="n">
        <f aca="false">SUMIFS(Schemes!$M$2:$M$264,Schemes!$H$2:$H$264,$A38,Schemes!$F$2:$F$264,"Audit land – within site",Schemes!$K$2:$K$264,"&lt;&gt;Not started – past expiry",Schemes!$K$2:$K$264,"&lt;&gt;In planning")</f>
        <v>324</v>
      </c>
      <c r="C38" s="12" t="n">
        <f aca="false">SUMIFS(Schemes!$M$2:$M$264,Schemes!$H$2:$H$264,$A38,Schemes!$F$2:$F$264,"Audit land – partly on / edge (check)",Schemes!$K$2:$K$264,"&lt;&gt;Not started – past expiry",Schemes!$K$2:$K$264,"&lt;&gt;In planning")</f>
        <v>74</v>
      </c>
      <c r="D38" s="12" t="n">
        <f aca="false">SUMIFS(Schemes!$M$2:$M$264,Schemes!$H$2:$H$264,$A38,Schemes!$F$2:$F$264,"City – outside audit land",Schemes!$K$2:$K$264,"&lt;&gt;Not started – past expiry",Schemes!$K$2:$K$264,"&lt;&gt;In planning")</f>
        <v>248</v>
      </c>
      <c r="E38" s="12" t="n">
        <f aca="false">SUMIFS(Schemes!$M$2:$M$264,Schemes!$H$2:$H$264,$A38,Schemes!$F$2:$F$264,"County – audit not yet supplied",Schemes!$K$2:$K$264,"&lt;&gt;Not started – past expiry",Schemes!$K$2:$K$264,"&lt;&gt;In planning")</f>
        <v>307</v>
      </c>
      <c r="F38" s="17" t="n">
        <f aca="false">SUM(B38:E38)</f>
        <v>953</v>
      </c>
      <c r="G38" s="18" t="n">
        <f aca="false">IF($F$41=0,0,F38/$F$41)</f>
        <v>0.0909177637855371</v>
      </c>
    </row>
    <row r="39" customFormat="false" ht="15" hidden="false" customHeight="false" outlineLevel="0" collapsed="false">
      <c r="A39" s="11" t="s">
        <v>50</v>
      </c>
      <c r="B39" s="12" t="n">
        <f aca="false">SUMIFS(Schemes!$M$2:$M$264,Schemes!$H$2:$H$264,$A39,Schemes!$F$2:$F$264,"Audit land – within site",Schemes!$K$2:$K$264,"&lt;&gt;Not started – past expiry",Schemes!$K$2:$K$264,"&lt;&gt;In planning")</f>
        <v>145</v>
      </c>
      <c r="C39" s="12" t="n">
        <f aca="false">SUMIFS(Schemes!$M$2:$M$264,Schemes!$H$2:$H$264,$A39,Schemes!$F$2:$F$264,"Audit land – partly on / edge (check)",Schemes!$K$2:$K$264,"&lt;&gt;Not started – past expiry",Schemes!$K$2:$K$264,"&lt;&gt;In planning")</f>
        <v>4</v>
      </c>
      <c r="D39" s="12" t="n">
        <f aca="false">SUMIFS(Schemes!$M$2:$M$264,Schemes!$H$2:$H$264,$A39,Schemes!$F$2:$F$264,"City – outside audit land",Schemes!$K$2:$K$264,"&lt;&gt;Not started – past expiry",Schemes!$K$2:$K$264,"&lt;&gt;In planning")</f>
        <v>78</v>
      </c>
      <c r="E39" s="12" t="n">
        <f aca="false">SUMIFS(Schemes!$M$2:$M$264,Schemes!$H$2:$H$264,$A39,Schemes!$F$2:$F$264,"County – audit not yet supplied",Schemes!$K$2:$K$264,"&lt;&gt;Not started – past expiry",Schemes!$K$2:$K$264,"&lt;&gt;In planning")</f>
        <v>71</v>
      </c>
      <c r="F39" s="17" t="n">
        <f aca="false">SUM(B39:E39)</f>
        <v>298</v>
      </c>
      <c r="G39" s="18" t="n">
        <f aca="false">IF($F$41=0,0,F39/$F$41)</f>
        <v>0.0284296889906506</v>
      </c>
    </row>
    <row r="40" customFormat="false" ht="15" hidden="false" customHeight="false" outlineLevel="0" collapsed="false">
      <c r="A40" s="11" t="s">
        <v>51</v>
      </c>
      <c r="B40" s="12" t="n">
        <f aca="false">SUMIFS(Schemes!$M$2:$M$264,Schemes!$H$2:$H$264,$A40,Schemes!$F$2:$F$264,"Audit land – within site",Schemes!$K$2:$K$264,"&lt;&gt;Not started – past expiry",Schemes!$K$2:$K$264,"&lt;&gt;In planning")</f>
        <v>285</v>
      </c>
      <c r="C40" s="12" t="n">
        <f aca="false">SUMIFS(Schemes!$M$2:$M$264,Schemes!$H$2:$H$264,$A40,Schemes!$F$2:$F$264,"Audit land – partly on / edge (check)",Schemes!$K$2:$K$264,"&lt;&gt;Not started – past expiry",Schemes!$K$2:$K$264,"&lt;&gt;In planning")</f>
        <v>0</v>
      </c>
      <c r="D40" s="12" t="n">
        <f aca="false">SUMIFS(Schemes!$M$2:$M$264,Schemes!$H$2:$H$264,$A40,Schemes!$F$2:$F$264,"City – outside audit land",Schemes!$K$2:$K$264,"&lt;&gt;Not started – past expiry",Schemes!$K$2:$K$264,"&lt;&gt;In planning")</f>
        <v>0</v>
      </c>
      <c r="E40" s="12" t="n">
        <f aca="false">SUMIFS(Schemes!$M$2:$M$264,Schemes!$H$2:$H$264,$A40,Schemes!$F$2:$F$264,"County – audit not yet supplied",Schemes!$K$2:$K$264,"&lt;&gt;Not started – past expiry",Schemes!$K$2:$K$264,"&lt;&gt;In planning")</f>
        <v>0</v>
      </c>
      <c r="F40" s="17" t="n">
        <f aca="false">SUM(B40:E40)</f>
        <v>285</v>
      </c>
      <c r="G40" s="18" t="n">
        <f aca="false">IF($F$41=0,0,F40/$F$41)</f>
        <v>0.0271894676588437</v>
      </c>
    </row>
    <row r="41" customFormat="false" ht="15" hidden="false" customHeight="false" outlineLevel="0" collapsed="false">
      <c r="A41" s="14" t="s">
        <v>31</v>
      </c>
      <c r="B41" s="15" t="n">
        <f aca="false">SUM(B37:B40)</f>
        <v>5252</v>
      </c>
      <c r="C41" s="15" t="n">
        <f aca="false">SUM(C37:C40)</f>
        <v>105</v>
      </c>
      <c r="D41" s="15" t="n">
        <f aca="false">SUM(D37:D40)</f>
        <v>3174</v>
      </c>
      <c r="E41" s="15" t="n">
        <f aca="false">SUM(E37:E40)</f>
        <v>1951</v>
      </c>
      <c r="F41" s="15" t="n">
        <f aca="false">SUM(F37:F40)</f>
        <v>10482</v>
      </c>
      <c r="G41" s="19" t="n">
        <f aca="false">IF($F$41=0,0,F41/$F$41)</f>
        <v>1</v>
      </c>
    </row>
    <row r="42" customFormat="false" ht="15" hidden="false" customHeight="false" outlineLevel="0" collapsed="false">
      <c r="A42" s="20" t="s">
        <v>52</v>
      </c>
      <c r="B42" s="17" t="n">
        <f aca="false">SUM(B38:B40)</f>
        <v>754</v>
      </c>
      <c r="C42" s="17" t="n">
        <f aca="false">SUM(C38:C40)</f>
        <v>78</v>
      </c>
      <c r="D42" s="17" t="n">
        <f aca="false">SUM(D38:D40)</f>
        <v>326</v>
      </c>
      <c r="E42" s="17" t="n">
        <f aca="false">SUM(E38:E40)</f>
        <v>378</v>
      </c>
      <c r="F42" s="17" t="n">
        <f aca="false">SUM(F38:F40)</f>
        <v>1536</v>
      </c>
      <c r="G42" s="21" t="n">
        <f aca="false">IF($F$41=0,0,F42/$F$41)</f>
        <v>0.146536920435031</v>
      </c>
    </row>
    <row r="44" customFormat="false" ht="15" hidden="false" customHeight="false" outlineLevel="0" collapsed="false">
      <c r="A44" s="10" t="s">
        <v>53</v>
      </c>
    </row>
    <row r="45" customFormat="false" ht="15" hidden="false" customHeight="false" outlineLevel="0" collapsed="false">
      <c r="A45" s="3" t="s">
        <v>45</v>
      </c>
      <c r="B45" s="4" t="s">
        <v>54</v>
      </c>
      <c r="C45" s="4" t="s">
        <v>55</v>
      </c>
      <c r="D45" s="4" t="s">
        <v>56</v>
      </c>
      <c r="E45" s="4" t="s">
        <v>57</v>
      </c>
      <c r="F45" s="4" t="s">
        <v>58</v>
      </c>
      <c r="G45" s="4" t="s">
        <v>59</v>
      </c>
      <c r="H45" s="4" t="s">
        <v>60</v>
      </c>
      <c r="I45" s="4" t="s">
        <v>61</v>
      </c>
    </row>
    <row r="46" customFormat="false" ht="15" hidden="false" customHeight="false" outlineLevel="0" collapsed="false">
      <c r="A46" s="11" t="s">
        <v>29</v>
      </c>
      <c r="B46" s="12" t="n">
        <f aca="false">SUMIFS(Schemes!$W$2:$W$264,Schemes!$H$2:$H$264,$A46)</f>
        <v>528.4</v>
      </c>
      <c r="C46" s="12" t="n">
        <f aca="false">SUMIFS(Schemes!$X$2:$X$264,Schemes!$H$2:$H$264,$A46)</f>
        <v>2037.6</v>
      </c>
      <c r="D46" s="12" t="n">
        <f aca="false">SUMIFS(Schemes!$Y$2:$Y$264,Schemes!$H$2:$H$264,$A46)</f>
        <v>1415.7</v>
      </c>
      <c r="E46" s="12" t="n">
        <f aca="false">SUMIFS(Schemes!$Z$2:$Z$264,Schemes!$H$2:$H$264,$A46)</f>
        <v>1727.2</v>
      </c>
      <c r="F46" s="12" t="n">
        <f aca="false">SUMIFS(Schemes!$AA$2:$AA$264,Schemes!$H$2:$H$264,$A46)</f>
        <v>721.1</v>
      </c>
      <c r="G46" s="12" t="n">
        <f aca="false">SUMIFS(Schemes!$AB$2:$AB$264,Schemes!$H$2:$H$264,$A46)</f>
        <v>1386</v>
      </c>
      <c r="H46" s="17" t="n">
        <f aca="false">SUM(B46:G46)</f>
        <v>7816</v>
      </c>
      <c r="I46" s="12" t="n">
        <f aca="false">SUMIFS(Schemes!$AC$2:$AC$264,Schemes!$H$2:$H$264,$A46)</f>
        <v>516</v>
      </c>
    </row>
    <row r="47" customFormat="false" ht="15" hidden="false" customHeight="false" outlineLevel="0" collapsed="false">
      <c r="A47" s="11" t="s">
        <v>49</v>
      </c>
      <c r="B47" s="12" t="n">
        <f aca="false">SUMIFS(Schemes!$W$2:$W$264,Schemes!$H$2:$H$264,$A47)</f>
        <v>49.1</v>
      </c>
      <c r="C47" s="12" t="n">
        <f aca="false">SUMIFS(Schemes!$X$2:$X$264,Schemes!$H$2:$H$264,$A47)</f>
        <v>225.6</v>
      </c>
      <c r="D47" s="12" t="n">
        <f aca="false">SUMIFS(Schemes!$Y$2:$Y$264,Schemes!$H$2:$H$264,$A47)</f>
        <v>217.1</v>
      </c>
      <c r="E47" s="12" t="n">
        <f aca="false">SUMIFS(Schemes!$Z$2:$Z$264,Schemes!$H$2:$H$264,$A47)</f>
        <v>151.6</v>
      </c>
      <c r="F47" s="12" t="n">
        <f aca="false">SUMIFS(Schemes!$AA$2:$AA$264,Schemes!$H$2:$H$264,$A47)</f>
        <v>68.2</v>
      </c>
      <c r="G47" s="12" t="n">
        <f aca="false">SUMIFS(Schemes!$AB$2:$AB$264,Schemes!$H$2:$H$264,$A47)</f>
        <v>34.4</v>
      </c>
      <c r="H47" s="17" t="n">
        <f aca="false">SUM(B47:G47)</f>
        <v>746</v>
      </c>
      <c r="I47" s="12" t="n">
        <f aca="false">SUMIFS(Schemes!$AC$2:$AC$264,Schemes!$H$2:$H$264,$A47)</f>
        <v>160</v>
      </c>
    </row>
    <row r="48" customFormat="false" ht="15" hidden="false" customHeight="false" outlineLevel="0" collapsed="false">
      <c r="A48" s="11" t="s">
        <v>50</v>
      </c>
      <c r="B48" s="12" t="n">
        <f aca="false">SUMIFS(Schemes!$W$2:$W$264,Schemes!$H$2:$H$264,$A48)</f>
        <v>10.9</v>
      </c>
      <c r="C48" s="12" t="n">
        <f aca="false">SUMIFS(Schemes!$X$2:$X$264,Schemes!$H$2:$H$264,$A48)</f>
        <v>92.3</v>
      </c>
      <c r="D48" s="12" t="n">
        <f aca="false">SUMIFS(Schemes!$Y$2:$Y$264,Schemes!$H$2:$H$264,$A48)</f>
        <v>84.9</v>
      </c>
      <c r="E48" s="12" t="n">
        <f aca="false">SUMIFS(Schemes!$Z$2:$Z$264,Schemes!$H$2:$H$264,$A48)</f>
        <v>15.3</v>
      </c>
      <c r="F48" s="12" t="n">
        <f aca="false">SUMIFS(Schemes!$AA$2:$AA$264,Schemes!$H$2:$H$264,$A48)</f>
        <v>0.7</v>
      </c>
      <c r="G48" s="12" t="n">
        <f aca="false">SUMIFS(Schemes!$AB$2:$AB$264,Schemes!$H$2:$H$264,$A48)</f>
        <v>-0.1</v>
      </c>
      <c r="H48" s="17" t="n">
        <f aca="false">SUM(B48:G48)</f>
        <v>204</v>
      </c>
      <c r="I48" s="12" t="n">
        <f aca="false">SUMIFS(Schemes!$AC$2:$AC$264,Schemes!$H$2:$H$264,$A48)</f>
        <v>41</v>
      </c>
    </row>
    <row r="49" customFormat="false" ht="15" hidden="false" customHeight="false" outlineLevel="0" collapsed="false">
      <c r="A49" s="11" t="s">
        <v>51</v>
      </c>
      <c r="B49" s="12" t="n">
        <f aca="false">SUMIFS(Schemes!$W$2:$W$264,Schemes!$H$2:$H$264,$A49)</f>
        <v>0</v>
      </c>
      <c r="C49" s="12" t="n">
        <f aca="false">SUMIFS(Schemes!$X$2:$X$264,Schemes!$H$2:$H$264,$A49)</f>
        <v>0</v>
      </c>
      <c r="D49" s="12" t="n">
        <f aca="false">SUMIFS(Schemes!$Y$2:$Y$264,Schemes!$H$2:$H$264,$A49)</f>
        <v>10.1</v>
      </c>
      <c r="E49" s="12" t="n">
        <f aca="false">SUMIFS(Schemes!$Z$2:$Z$264,Schemes!$H$2:$H$264,$A49)</f>
        <v>61</v>
      </c>
      <c r="F49" s="12" t="n">
        <f aca="false">SUMIFS(Schemes!$AA$2:$AA$264,Schemes!$H$2:$H$264,$A49)</f>
        <v>61</v>
      </c>
      <c r="G49" s="12" t="n">
        <f aca="false">SUMIFS(Schemes!$AB$2:$AB$264,Schemes!$H$2:$H$264,$A49)</f>
        <v>152.9</v>
      </c>
      <c r="H49" s="17" t="n">
        <f aca="false">SUM(B49:G49)</f>
        <v>285</v>
      </c>
      <c r="I49" s="12" t="n">
        <f aca="false">SUMIFS(Schemes!$AC$2:$AC$264,Schemes!$H$2:$H$264,$A49)</f>
        <v>0</v>
      </c>
    </row>
    <row r="50" customFormat="false" ht="15" hidden="false" customHeight="false" outlineLevel="0" collapsed="false">
      <c r="A50" s="11" t="s">
        <v>62</v>
      </c>
      <c r="B50" s="12" t="n">
        <f aca="false">'CSO reconciliation'!B$27</f>
        <v>44.4833333333333</v>
      </c>
      <c r="C50" s="12" t="n">
        <f aca="false">'CSO reconciliation'!C$27</f>
        <v>191.016666666667</v>
      </c>
      <c r="D50" s="12" t="n">
        <f aca="false">'CSO reconciliation'!D$27</f>
        <v>191.016666666667</v>
      </c>
      <c r="E50" s="12" t="n">
        <f aca="false">'CSO reconciliation'!E$27</f>
        <v>191.016666666667</v>
      </c>
      <c r="F50" s="12" t="n">
        <f aca="false">'CSO reconciliation'!F$27</f>
        <v>191.016666666667</v>
      </c>
      <c r="G50" s="12" t="n">
        <f aca="false">'CSO reconciliation'!G$27</f>
        <v>0</v>
      </c>
      <c r="H50" s="17" t="n">
        <f aca="false">SUM(B50:G50)</f>
        <v>808.55</v>
      </c>
    </row>
    <row r="51" customFormat="false" ht="15" hidden="false" customHeight="false" outlineLevel="0" collapsed="false">
      <c r="A51" s="14" t="s">
        <v>31</v>
      </c>
      <c r="B51" s="15" t="n">
        <f aca="false">SUM(B46:B50)</f>
        <v>632.883333333333</v>
      </c>
      <c r="C51" s="15" t="n">
        <f aca="false">SUM(C46:C50)</f>
        <v>2546.51666666667</v>
      </c>
      <c r="D51" s="15" t="n">
        <f aca="false">SUM(D46:D50)</f>
        <v>1918.81666666667</v>
      </c>
      <c r="E51" s="15" t="n">
        <f aca="false">SUM(E46:E50)</f>
        <v>2146.11666666667</v>
      </c>
      <c r="F51" s="15" t="n">
        <f aca="false">SUM(F46:F50)</f>
        <v>1042.01666666667</v>
      </c>
      <c r="G51" s="15" t="n">
        <f aca="false">SUM(G46:G50)</f>
        <v>1573.2</v>
      </c>
      <c r="H51" s="15" t="n">
        <f aca="false">SUM(H46:H50)</f>
        <v>9859.55</v>
      </c>
      <c r="I51" s="15" t="n">
        <f aca="false">SUM(I46:I50)</f>
        <v>717</v>
      </c>
    </row>
    <row r="52" customFormat="false" ht="15" hidden="false" customHeight="false" outlineLevel="0" collapsed="false">
      <c r="A52" s="9" t="s">
        <v>63</v>
      </c>
    </row>
    <row r="54" customFormat="false" ht="15" hidden="false" customHeight="false" outlineLevel="0" collapsed="false">
      <c r="A54" s="10" t="s">
        <v>64</v>
      </c>
    </row>
    <row r="55" customFormat="false" ht="15" hidden="false" customHeight="false" outlineLevel="0" collapsed="false">
      <c r="A55" s="3" t="s">
        <v>33</v>
      </c>
      <c r="B55" s="4" t="s">
        <v>54</v>
      </c>
      <c r="C55" s="4" t="s">
        <v>55</v>
      </c>
      <c r="D55" s="4" t="s">
        <v>56</v>
      </c>
      <c r="E55" s="4" t="s">
        <v>57</v>
      </c>
      <c r="F55" s="4" t="s">
        <v>58</v>
      </c>
      <c r="G55" s="4" t="s">
        <v>59</v>
      </c>
      <c r="H55" s="4" t="s">
        <v>60</v>
      </c>
    </row>
    <row r="56" customFormat="false" ht="15" hidden="false" customHeight="false" outlineLevel="0" collapsed="false">
      <c r="A56" s="11" t="s">
        <v>40</v>
      </c>
      <c r="B56" s="12" t="n">
        <f aca="false">SUMIFS(Schemes!$W$2:$W$264,Schemes!$F$2:$F$264,$A56)</f>
        <v>113.1</v>
      </c>
      <c r="C56" s="12" t="n">
        <f aca="false">SUMIFS(Schemes!$X$2:$X$264,Schemes!$F$2:$F$264,$A56)</f>
        <v>574.8</v>
      </c>
      <c r="D56" s="12" t="n">
        <f aca="false">SUMIFS(Schemes!$Y$2:$Y$264,Schemes!$F$2:$F$264,$A56)</f>
        <v>767.8</v>
      </c>
      <c r="E56" s="12" t="n">
        <f aca="false">SUMIFS(Schemes!$Z$2:$Z$264,Schemes!$F$2:$F$264,$A56)</f>
        <v>1312.1</v>
      </c>
      <c r="F56" s="12" t="n">
        <f aca="false">SUMIFS(Schemes!$AA$2:$AA$264,Schemes!$F$2:$F$264,$A56)</f>
        <v>803.6</v>
      </c>
      <c r="G56" s="12" t="n">
        <f aca="false">SUMIFS(Schemes!$AB$2:$AB$264,Schemes!$F$2:$F$264,$A56)</f>
        <v>1573.6</v>
      </c>
      <c r="H56" s="17" t="n">
        <f aca="false">SUM(B56:G56)</f>
        <v>5145</v>
      </c>
    </row>
    <row r="57" customFormat="false" ht="15" hidden="false" customHeight="false" outlineLevel="0" collapsed="false">
      <c r="A57" s="11" t="s">
        <v>41</v>
      </c>
      <c r="B57" s="12" t="n">
        <f aca="false">SUMIFS(Schemes!$W$2:$W$264,Schemes!$F$2:$F$264,$A57)</f>
        <v>11.6</v>
      </c>
      <c r="C57" s="12" t="n">
        <f aca="false">SUMIFS(Schemes!$X$2:$X$264,Schemes!$F$2:$F$264,$A57)</f>
        <v>38.4</v>
      </c>
      <c r="D57" s="12" t="n">
        <f aca="false">SUMIFS(Schemes!$Y$2:$Y$264,Schemes!$F$2:$F$264,$A57)</f>
        <v>35.5</v>
      </c>
      <c r="E57" s="12" t="n">
        <f aca="false">SUMIFS(Schemes!$Z$2:$Z$264,Schemes!$F$2:$F$264,$A57)</f>
        <v>19.2</v>
      </c>
      <c r="F57" s="12" t="n">
        <f aca="false">SUMIFS(Schemes!$AA$2:$AA$264,Schemes!$F$2:$F$264,$A57)</f>
        <v>0.3</v>
      </c>
      <c r="G57" s="12" t="n">
        <f aca="false">SUMIFS(Schemes!$AB$2:$AB$264,Schemes!$F$2:$F$264,$A57)</f>
        <v>0</v>
      </c>
      <c r="H57" s="17" t="n">
        <f aca="false">SUM(B57:G57)</f>
        <v>105</v>
      </c>
    </row>
    <row r="58" customFormat="false" ht="15" hidden="false" customHeight="false" outlineLevel="0" collapsed="false">
      <c r="A58" s="11" t="s">
        <v>42</v>
      </c>
      <c r="B58" s="12" t="n">
        <f aca="false">SUMIFS(Schemes!$W$2:$W$264,Schemes!$F$2:$F$264,$A58)</f>
        <v>302.7</v>
      </c>
      <c r="C58" s="12" t="n">
        <f aca="false">SUMIFS(Schemes!$X$2:$X$264,Schemes!$F$2:$F$264,$A58)</f>
        <v>1100.8</v>
      </c>
      <c r="D58" s="12" t="n">
        <f aca="false">SUMIFS(Schemes!$Y$2:$Y$264,Schemes!$F$2:$F$264,$A58)</f>
        <v>409.8</v>
      </c>
      <c r="E58" s="12" t="n">
        <f aca="false">SUMIFS(Schemes!$Z$2:$Z$264,Schemes!$F$2:$F$264,$A58)</f>
        <v>290.9</v>
      </c>
      <c r="F58" s="12" t="n">
        <f aca="false">SUMIFS(Schemes!$AA$2:$AA$264,Schemes!$F$2:$F$264,$A58)</f>
        <v>19.2</v>
      </c>
      <c r="G58" s="12" t="n">
        <f aca="false">SUMIFS(Schemes!$AB$2:$AB$264,Schemes!$F$2:$F$264,$A58)</f>
        <v>-0.4</v>
      </c>
      <c r="H58" s="17" t="n">
        <f aca="false">SUM(B58:G58)</f>
        <v>2123</v>
      </c>
    </row>
    <row r="59" customFormat="false" ht="15" hidden="false" customHeight="false" outlineLevel="0" collapsed="false">
      <c r="A59" s="11" t="s">
        <v>43</v>
      </c>
      <c r="B59" s="12" t="n">
        <f aca="false">SUMIFS(Schemes!$W$2:$W$264,Schemes!$F$2:$F$264,$A59)</f>
        <v>161</v>
      </c>
      <c r="C59" s="12" t="n">
        <f aca="false">SUMIFS(Schemes!$X$2:$X$264,Schemes!$F$2:$F$264,$A59)</f>
        <v>641.5</v>
      </c>
      <c r="D59" s="12" t="n">
        <f aca="false">SUMIFS(Schemes!$Y$2:$Y$264,Schemes!$F$2:$F$264,$A59)</f>
        <v>514.7</v>
      </c>
      <c r="E59" s="12" t="n">
        <f aca="false">SUMIFS(Schemes!$Z$2:$Z$264,Schemes!$F$2:$F$264,$A59)</f>
        <v>332.9</v>
      </c>
      <c r="F59" s="12" t="n">
        <f aca="false">SUMIFS(Schemes!$AA$2:$AA$264,Schemes!$F$2:$F$264,$A59)</f>
        <v>27.9</v>
      </c>
      <c r="G59" s="12" t="n">
        <f aca="false">SUMIFS(Schemes!$AB$2:$AB$264,Schemes!$F$2:$F$264,$A59)</f>
        <v>0</v>
      </c>
      <c r="H59" s="17" t="n">
        <f aca="false">SUM(B59:G59)</f>
        <v>1678</v>
      </c>
    </row>
    <row r="60" customFormat="false" ht="15" hidden="false" customHeight="false" outlineLevel="0" collapsed="false">
      <c r="A60" s="11" t="s">
        <v>62</v>
      </c>
      <c r="B60" s="12" t="n">
        <f aca="false">'CSO reconciliation'!B$27</f>
        <v>44.4833333333333</v>
      </c>
      <c r="C60" s="12" t="n">
        <f aca="false">'CSO reconciliation'!C$27</f>
        <v>191.016666666667</v>
      </c>
      <c r="D60" s="12" t="n">
        <f aca="false">'CSO reconciliation'!D$27</f>
        <v>191.016666666667</v>
      </c>
      <c r="E60" s="12" t="n">
        <f aca="false">'CSO reconciliation'!E$27</f>
        <v>191.016666666667</v>
      </c>
      <c r="F60" s="12" t="n">
        <f aca="false">'CSO reconciliation'!F$27</f>
        <v>191.016666666667</v>
      </c>
      <c r="G60" s="12" t="n">
        <f aca="false">'CSO reconciliation'!G$27</f>
        <v>0</v>
      </c>
      <c r="H60" s="17" t="n">
        <f aca="false">SUM(B60:G60)</f>
        <v>808.55</v>
      </c>
    </row>
    <row r="61" customFormat="false" ht="15" hidden="false" customHeight="false" outlineLevel="0" collapsed="false">
      <c r="A61" s="14" t="s">
        <v>31</v>
      </c>
      <c r="B61" s="15" t="n">
        <f aca="false">SUM(B56:B60)</f>
        <v>632.883333333333</v>
      </c>
      <c r="C61" s="15" t="n">
        <f aca="false">SUM(C56:C60)</f>
        <v>2546.51666666667</v>
      </c>
      <c r="D61" s="15" t="n">
        <f aca="false">SUM(D56:D60)</f>
        <v>1918.81666666667</v>
      </c>
      <c r="E61" s="15" t="n">
        <f aca="false">SUM(E56:E60)</f>
        <v>2146.11666666667</v>
      </c>
      <c r="F61" s="15" t="n">
        <f aca="false">SUM(F56:F60)</f>
        <v>1042.01666666667</v>
      </c>
      <c r="G61" s="15" t="n">
        <f aca="false">SUM(G56:G60)</f>
        <v>1573.2</v>
      </c>
      <c r="H61" s="15" t="n">
        <f aca="false">SUM(H56:H60)</f>
        <v>9859.55</v>
      </c>
    </row>
    <row r="63" customFormat="false" ht="15" hidden="false" customHeight="false" outlineLevel="0" collapsed="false">
      <c r="A63" s="10" t="s">
        <v>65</v>
      </c>
    </row>
    <row r="64" customFormat="false" ht="15" hidden="false" customHeight="false" outlineLevel="0" collapsed="false">
      <c r="A64" s="3" t="s">
        <v>66</v>
      </c>
      <c r="B64" s="4" t="s">
        <v>54</v>
      </c>
      <c r="C64" s="4" t="s">
        <v>55</v>
      </c>
      <c r="D64" s="4" t="s">
        <v>56</v>
      </c>
      <c r="E64" s="4" t="s">
        <v>57</v>
      </c>
      <c r="F64" s="4" t="s">
        <v>58</v>
      </c>
      <c r="G64" s="4" t="s">
        <v>59</v>
      </c>
      <c r="H64" s="4" t="s">
        <v>60</v>
      </c>
    </row>
    <row r="65" customFormat="false" ht="15" hidden="false" customHeight="false" outlineLevel="0" collapsed="false">
      <c r="A65" s="11" t="s">
        <v>67</v>
      </c>
      <c r="B65" s="12" t="n">
        <f aca="false">SUMIFS(Schemes!$W$2:$W$264,Schemes!$T$2:$T$264,$A65)</f>
        <v>588.4</v>
      </c>
      <c r="C65" s="12" t="n">
        <f aca="false">SUMIFS(Schemes!$X$2:$X$264,Schemes!$T$2:$T$264,$A65)</f>
        <v>2353</v>
      </c>
      <c r="D65" s="12" t="n">
        <f aca="false">SUMIFS(Schemes!$Y$2:$Y$264,Schemes!$T$2:$T$264,$A65)</f>
        <v>552.6</v>
      </c>
      <c r="E65" s="12" t="n">
        <f aca="false">SUMIFS(Schemes!$Z$2:$Z$264,Schemes!$T$2:$T$264,$A65)</f>
        <v>243.3</v>
      </c>
      <c r="F65" s="12" t="n">
        <f aca="false">SUMIFS(Schemes!$AA$2:$AA$264,Schemes!$T$2:$T$264,$A65)</f>
        <v>221.9</v>
      </c>
      <c r="G65" s="12" t="n">
        <f aca="false">SUMIFS(Schemes!$AB$2:$AB$264,Schemes!$T$2:$T$264,$A65)</f>
        <v>104.8</v>
      </c>
      <c r="H65" s="17" t="n">
        <f aca="false">SUM(B65:G65)</f>
        <v>4064</v>
      </c>
    </row>
    <row r="66" customFormat="false" ht="15" hidden="false" customHeight="false" outlineLevel="0" collapsed="false">
      <c r="A66" s="11" t="s">
        <v>68</v>
      </c>
      <c r="B66" s="12" t="n">
        <f aca="false">SUMIFS(Schemes!$W$2:$W$264,Schemes!$T$2:$T$264,$A66)</f>
        <v>0</v>
      </c>
      <c r="C66" s="12" t="n">
        <f aca="false">SUMIFS(Schemes!$X$2:$X$264,Schemes!$T$2:$T$264,$A66)</f>
        <v>2.5</v>
      </c>
      <c r="D66" s="12" t="n">
        <f aca="false">SUMIFS(Schemes!$Y$2:$Y$264,Schemes!$T$2:$T$264,$A66)</f>
        <v>553.3</v>
      </c>
      <c r="E66" s="12" t="n">
        <f aca="false">SUMIFS(Schemes!$Z$2:$Z$264,Schemes!$T$2:$T$264,$A66)</f>
        <v>1046.3</v>
      </c>
      <c r="F66" s="12" t="n">
        <f aca="false">SUMIFS(Schemes!$AA$2:$AA$264,Schemes!$T$2:$T$264,$A66)</f>
        <v>493.3</v>
      </c>
      <c r="G66" s="12" t="n">
        <f aca="false">SUMIFS(Schemes!$AB$2:$AB$264,Schemes!$T$2:$T$264,$A66)</f>
        <v>1468.6</v>
      </c>
      <c r="H66" s="17" t="n">
        <f aca="false">SUM(B66:G66)</f>
        <v>3564</v>
      </c>
    </row>
    <row r="67" customFormat="false" ht="15" hidden="false" customHeight="false" outlineLevel="0" collapsed="false">
      <c r="A67" s="11" t="s">
        <v>69</v>
      </c>
      <c r="B67" s="12" t="n">
        <f aca="false">SUMIFS(Schemes!$W$2:$W$264,Schemes!$T$2:$T$264,$A67)</f>
        <v>0</v>
      </c>
      <c r="C67" s="12" t="n">
        <f aca="false">SUMIFS(Schemes!$X$2:$X$264,Schemes!$T$2:$T$264,$A67)</f>
        <v>0</v>
      </c>
      <c r="D67" s="12" t="n">
        <f aca="false">SUMIFS(Schemes!$Y$2:$Y$264,Schemes!$T$2:$T$264,$A67)</f>
        <v>621.9</v>
      </c>
      <c r="E67" s="12" t="n">
        <f aca="false">SUMIFS(Schemes!$Z$2:$Z$264,Schemes!$T$2:$T$264,$A67)</f>
        <v>665.5</v>
      </c>
      <c r="F67" s="12" t="n">
        <f aca="false">SUMIFS(Schemes!$AA$2:$AA$264,Schemes!$T$2:$T$264,$A67)</f>
        <v>135.8</v>
      </c>
      <c r="G67" s="12" t="n">
        <f aca="false">SUMIFS(Schemes!$AB$2:$AB$264,Schemes!$T$2:$T$264,$A67)</f>
        <v>-0.2</v>
      </c>
      <c r="H67" s="17" t="n">
        <f aca="false">SUM(B67:G67)</f>
        <v>1423</v>
      </c>
    </row>
    <row r="68" customFormat="false" ht="15" hidden="false" customHeight="false" outlineLevel="0" collapsed="false">
      <c r="A68" s="11" t="s">
        <v>62</v>
      </c>
      <c r="B68" s="12" t="n">
        <f aca="false">'CSO reconciliation'!B$27</f>
        <v>44.4833333333333</v>
      </c>
      <c r="C68" s="12" t="n">
        <f aca="false">'CSO reconciliation'!C$27</f>
        <v>191.016666666667</v>
      </c>
      <c r="D68" s="12" t="n">
        <f aca="false">'CSO reconciliation'!D$27</f>
        <v>191.016666666667</v>
      </c>
      <c r="E68" s="12" t="n">
        <f aca="false">'CSO reconciliation'!E$27</f>
        <v>191.016666666667</v>
      </c>
      <c r="F68" s="12" t="n">
        <f aca="false">'CSO reconciliation'!F$27</f>
        <v>191.016666666667</v>
      </c>
      <c r="G68" s="12" t="n">
        <f aca="false">'CSO reconciliation'!G$27</f>
        <v>0</v>
      </c>
      <c r="H68" s="17" t="n">
        <f aca="false">SUM(B68:G68)</f>
        <v>808.55</v>
      </c>
    </row>
    <row r="69" customFormat="false" ht="15" hidden="false" customHeight="false" outlineLevel="0" collapsed="false">
      <c r="A69" s="14" t="s">
        <v>31</v>
      </c>
      <c r="B69" s="15" t="n">
        <f aca="false">SUM(B65:B68)</f>
        <v>632.883333333333</v>
      </c>
      <c r="C69" s="15" t="n">
        <f aca="false">SUM(C65:C68)</f>
        <v>2546.51666666667</v>
      </c>
      <c r="D69" s="15" t="n">
        <f aca="false">SUM(D65:D68)</f>
        <v>1918.81666666667</v>
      </c>
      <c r="E69" s="15" t="n">
        <f aca="false">SUM(E65:E68)</f>
        <v>2146.11666666667</v>
      </c>
      <c r="F69" s="15" t="n">
        <f aca="false">SUM(F65:F68)</f>
        <v>1042.01666666667</v>
      </c>
      <c r="G69" s="15" t="n">
        <f aca="false">SUM(G65:G68)</f>
        <v>1573.2</v>
      </c>
      <c r="H69" s="15" t="n">
        <f aca="false">SUM(H65:H68)</f>
        <v>9859.55</v>
      </c>
    </row>
    <row r="70" customFormat="false" ht="15" hidden="false" customHeight="false" outlineLevel="0" collapsed="false">
      <c r="A70" s="9" t="s">
        <v>70</v>
      </c>
    </row>
    <row r="72" customFormat="false" ht="15" hidden="false" customHeight="false" outlineLevel="0" collapsed="false">
      <c r="A72" s="10" t="s">
        <v>71</v>
      </c>
    </row>
    <row r="73" customFormat="false" ht="27" hidden="false" customHeight="true" outlineLevel="0" collapsed="false">
      <c r="A73" s="22" t="s">
        <v>72</v>
      </c>
      <c r="B73" s="22"/>
      <c r="C73" s="22"/>
      <c r="D73" s="22"/>
      <c r="E73" s="22"/>
      <c r="F73" s="22"/>
      <c r="G73" s="22"/>
      <c r="H73" s="22"/>
      <c r="I73" s="22"/>
    </row>
    <row r="74" customFormat="false" ht="27" hidden="false" customHeight="true" outlineLevel="0" collapsed="false">
      <c r="A74" s="22" t="s">
        <v>73</v>
      </c>
      <c r="B74" s="22"/>
      <c r="C74" s="22"/>
      <c r="D74" s="22"/>
      <c r="E74" s="22"/>
      <c r="F74" s="22"/>
      <c r="G74" s="22"/>
      <c r="H74" s="22"/>
      <c r="I74" s="22"/>
    </row>
    <row r="75" customFormat="false" ht="27" hidden="false" customHeight="true" outlineLevel="0" collapsed="false">
      <c r="A75" s="22" t="s">
        <v>74</v>
      </c>
      <c r="B75" s="22"/>
      <c r="C75" s="22"/>
      <c r="D75" s="22"/>
      <c r="E75" s="22"/>
      <c r="F75" s="22"/>
      <c r="G75" s="22"/>
      <c r="H75" s="22"/>
      <c r="I75" s="22"/>
    </row>
    <row r="76" customFormat="false" ht="27" hidden="false" customHeight="true" outlineLevel="0" collapsed="false">
      <c r="A76" s="22" t="s">
        <v>75</v>
      </c>
      <c r="B76" s="22"/>
      <c r="C76" s="22"/>
      <c r="D76" s="22"/>
      <c r="E76" s="22"/>
      <c r="F76" s="22"/>
      <c r="G76" s="22"/>
      <c r="H76" s="22"/>
      <c r="I76" s="22"/>
    </row>
    <row r="77" customFormat="false" ht="27" hidden="false" customHeight="true" outlineLevel="0" collapsed="false">
      <c r="A77" s="22" t="s">
        <v>76</v>
      </c>
      <c r="B77" s="22"/>
      <c r="C77" s="22"/>
      <c r="D77" s="22"/>
      <c r="E77" s="22"/>
      <c r="F77" s="22"/>
      <c r="G77" s="22"/>
      <c r="H77" s="22"/>
      <c r="I77" s="22"/>
    </row>
    <row r="78" customFormat="false" ht="27" hidden="false" customHeight="true" outlineLevel="0" collapsed="false">
      <c r="A78" s="22" t="s">
        <v>77</v>
      </c>
      <c r="B78" s="22"/>
      <c r="C78" s="22"/>
      <c r="D78" s="22"/>
      <c r="E78" s="22"/>
      <c r="F78" s="22"/>
      <c r="G78" s="22"/>
      <c r="H78" s="22"/>
      <c r="I78" s="22"/>
    </row>
    <row r="79" customFormat="false" ht="27" hidden="false" customHeight="true" outlineLevel="0" collapsed="false">
      <c r="A79" s="22" t="s">
        <v>78</v>
      </c>
      <c r="B79" s="22"/>
      <c r="C79" s="22"/>
      <c r="D79" s="22"/>
      <c r="E79" s="22"/>
      <c r="F79" s="22"/>
      <c r="G79" s="22"/>
      <c r="H79" s="22"/>
      <c r="I79" s="22"/>
    </row>
    <row r="80" customFormat="false" ht="27" hidden="false" customHeight="true" outlineLevel="0" collapsed="false">
      <c r="A80" s="22" t="s">
        <v>79</v>
      </c>
      <c r="B80" s="22"/>
      <c r="C80" s="22"/>
      <c r="D80" s="22"/>
      <c r="E80" s="22"/>
      <c r="F80" s="22"/>
      <c r="G80" s="22"/>
      <c r="H80" s="22"/>
      <c r="I80" s="22"/>
    </row>
  </sheetData>
  <mergeCells count="8">
    <mergeCell ref="A73:I73"/>
    <mergeCell ref="A74:I74"/>
    <mergeCell ref="A75:I75"/>
    <mergeCell ref="A76:I76"/>
    <mergeCell ref="A77:I77"/>
    <mergeCell ref="A78:I78"/>
    <mergeCell ref="A79:I79"/>
    <mergeCell ref="A80:I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4"/>
  </cols>
  <sheetData>
    <row r="1" customFormat="false" ht="17.35" hidden="false" customHeight="false" outlineLevel="0" collapsed="false">
      <c r="A1" s="1" t="s">
        <v>80</v>
      </c>
    </row>
    <row r="3" customFormat="false" ht="15" hidden="false" customHeight="false" outlineLevel="0" collapsed="false">
      <c r="A3" s="10" t="s">
        <v>81</v>
      </c>
    </row>
    <row r="4" customFormat="false" ht="23.85" hidden="false" customHeight="false" outlineLevel="0" collapsed="false">
      <c r="A4" s="3" t="s">
        <v>82</v>
      </c>
      <c r="B4" s="4" t="s">
        <v>5</v>
      </c>
      <c r="C4" s="4" t="s">
        <v>21</v>
      </c>
      <c r="D4" s="4" t="s">
        <v>22</v>
      </c>
      <c r="E4" s="4" t="s">
        <v>83</v>
      </c>
      <c r="F4" s="4" t="s">
        <v>27</v>
      </c>
      <c r="G4" s="4" t="s">
        <v>84</v>
      </c>
      <c r="H4" s="4" t="s">
        <v>85</v>
      </c>
      <c r="I4" s="4" t="s">
        <v>86</v>
      </c>
    </row>
    <row r="5" customFormat="false" ht="15" hidden="false" customHeight="false" outlineLevel="0" collapsed="false">
      <c r="A5" s="11" t="s">
        <v>87</v>
      </c>
      <c r="B5" s="12" t="n">
        <f aca="false">COUNTIFS(Sites!$C$2:$C$135,$A5)</f>
        <v>5</v>
      </c>
      <c r="C5" s="13" t="n">
        <f aca="false">SUMIFS(Sites!$I$2:$I$135,Sites!$C$2:$C$135,$A5)</f>
        <v>4.53</v>
      </c>
      <c r="D5" s="12" t="n">
        <f aca="false">SUMIFS(Sites!$J$2:$J$135,Sites!$C$2:$C$135,$A5)</f>
        <v>203</v>
      </c>
      <c r="E5" s="12" t="n">
        <f aca="false">SUMIFS(Schemes!$M$2:$M$264,Schemes!$D$2:$D$264,$A5,Schemes!$F$2:$F$264,"Audit land – within site",Schemes!$K$2:$K$264,"&lt;&gt;Not started – past expiry",Schemes!$K$2:$K$264,"&lt;&gt;In planning")</f>
        <v>371</v>
      </c>
      <c r="F5" s="12" t="n">
        <f aca="false">SUMIFS(Sites!$O$2:$O$135,Sites!$C$2:$C$135,$A5)</f>
        <v>148</v>
      </c>
      <c r="G5" s="12" t="n">
        <f aca="false">SUMIFS(Schemes!$M$2:$M$264,Schemes!$D$2:$D$264,$A5,Schemes!$F$2:$F$264,"Audit land – partly on / edge (check)",Schemes!$K$2:$K$264,"&lt;&gt;Not started – past expiry",Schemes!$K$2:$K$264,"&lt;&gt;In planning")</f>
        <v>0</v>
      </c>
      <c r="H5" s="12" t="n">
        <f aca="false">SUMIFS(Schemes!$M$2:$M$264,Schemes!$D$2:$D$264,$A5,Schemes!$F$2:$F$264,"City – outside audit land",Schemes!$K$2:$K$264,"&lt;&gt;Not started – past expiry",Schemes!$K$2:$K$264,"&lt;&gt;In planning")</f>
        <v>44</v>
      </c>
      <c r="I5" s="17" t="n">
        <f aca="false">E5+G5+H5</f>
        <v>415</v>
      </c>
    </row>
    <row r="6" customFormat="false" ht="15" hidden="false" customHeight="false" outlineLevel="0" collapsed="false">
      <c r="A6" s="11" t="s">
        <v>88</v>
      </c>
      <c r="B6" s="12" t="n">
        <f aca="false">COUNTIFS(Sites!$C$2:$C$135,$A6)</f>
        <v>19</v>
      </c>
      <c r="C6" s="13" t="n">
        <f aca="false">SUMIFS(Sites!$I$2:$I$135,Sites!$C$2:$C$135,$A6)</f>
        <v>47.86</v>
      </c>
      <c r="D6" s="12" t="n">
        <f aca="false">SUMIFS(Sites!$J$2:$J$135,Sites!$C$2:$C$135,$A6)</f>
        <v>1933</v>
      </c>
      <c r="E6" s="12" t="n">
        <f aca="false">SUMIFS(Schemes!$M$2:$M$264,Schemes!$D$2:$D$264,$A6,Schemes!$F$2:$F$264,"Audit land – within site",Schemes!$K$2:$K$264,"&lt;&gt;Not started – past expiry",Schemes!$K$2:$K$264,"&lt;&gt;In planning")</f>
        <v>1037</v>
      </c>
      <c r="F6" s="12" t="n">
        <f aca="false">SUMIFS(Sites!$O$2:$O$135,Sites!$C$2:$C$135,$A6)</f>
        <v>938</v>
      </c>
      <c r="G6" s="12" t="n">
        <f aca="false">SUMIFS(Schemes!$M$2:$M$264,Schemes!$D$2:$D$264,$A6,Schemes!$F$2:$F$264,"Audit land – partly on / edge (check)",Schemes!$K$2:$K$264,"&lt;&gt;Not started – past expiry",Schemes!$K$2:$K$264,"&lt;&gt;In planning")</f>
        <v>38</v>
      </c>
      <c r="H6" s="12" t="n">
        <f aca="false">SUMIFS(Schemes!$M$2:$M$264,Schemes!$D$2:$D$264,$A6,Schemes!$F$2:$F$264,"City – outside audit land",Schemes!$K$2:$K$264,"&lt;&gt;Not started – past expiry",Schemes!$K$2:$K$264,"&lt;&gt;In planning")</f>
        <v>223</v>
      </c>
      <c r="I6" s="17" t="n">
        <f aca="false">E6+G6+H6</f>
        <v>1298</v>
      </c>
    </row>
    <row r="7" customFormat="false" ht="15" hidden="false" customHeight="false" outlineLevel="0" collapsed="false">
      <c r="A7" s="11" t="s">
        <v>89</v>
      </c>
      <c r="B7" s="12" t="n">
        <f aca="false">COUNTIFS(Sites!$C$2:$C$135,$A7)</f>
        <v>16</v>
      </c>
      <c r="C7" s="13" t="n">
        <f aca="false">SUMIFS(Sites!$I$2:$I$135,Sites!$C$2:$C$135,$A7)</f>
        <v>56.808</v>
      </c>
      <c r="D7" s="12" t="n">
        <f aca="false">SUMIFS(Sites!$J$2:$J$135,Sites!$C$2:$C$135,$A7)</f>
        <v>2355</v>
      </c>
      <c r="E7" s="12" t="n">
        <f aca="false">SUMIFS(Schemes!$M$2:$M$264,Schemes!$D$2:$D$264,$A7,Schemes!$F$2:$F$264,"Audit land – within site",Schemes!$K$2:$K$264,"&lt;&gt;Not started – past expiry",Schemes!$K$2:$K$264,"&lt;&gt;In planning")</f>
        <v>1666</v>
      </c>
      <c r="F7" s="12" t="n">
        <f aca="false">SUMIFS(Sites!$O$2:$O$135,Sites!$C$2:$C$135,$A7)</f>
        <v>1188</v>
      </c>
      <c r="G7" s="12" t="n">
        <f aca="false">SUMIFS(Schemes!$M$2:$M$264,Schemes!$D$2:$D$264,$A7,Schemes!$F$2:$F$264,"Audit land – partly on / edge (check)",Schemes!$K$2:$K$264,"&lt;&gt;Not started – past expiry",Schemes!$K$2:$K$264,"&lt;&gt;In planning")</f>
        <v>0</v>
      </c>
      <c r="H7" s="12" t="n">
        <f aca="false">SUMIFS(Schemes!$M$2:$M$264,Schemes!$D$2:$D$264,$A7,Schemes!$F$2:$F$264,"City – outside audit land",Schemes!$K$2:$K$264,"&lt;&gt;Not started – past expiry",Schemes!$K$2:$K$264,"&lt;&gt;In planning")</f>
        <v>1144</v>
      </c>
      <c r="I7" s="17" t="n">
        <f aca="false">E7+G7+H7</f>
        <v>2810</v>
      </c>
    </row>
    <row r="8" customFormat="false" ht="15" hidden="false" customHeight="false" outlineLevel="0" collapsed="false">
      <c r="A8" s="11" t="s">
        <v>90</v>
      </c>
      <c r="B8" s="12" t="n">
        <f aca="false">COUNTIFS(Sites!$C$2:$C$135,$A8)</f>
        <v>21</v>
      </c>
      <c r="C8" s="13" t="n">
        <f aca="false">SUMIFS(Sites!$I$2:$I$135,Sites!$C$2:$C$135,$A8)</f>
        <v>77.639</v>
      </c>
      <c r="D8" s="12" t="n">
        <f aca="false">SUMIFS(Sites!$J$2:$J$135,Sites!$C$2:$C$135,$A8)</f>
        <v>3633</v>
      </c>
      <c r="E8" s="12" t="n">
        <f aca="false">SUMIFS(Schemes!$M$2:$M$264,Schemes!$D$2:$D$264,$A8,Schemes!$F$2:$F$264,"Audit land – within site",Schemes!$K$2:$K$264,"&lt;&gt;Not started – past expiry",Schemes!$K$2:$K$264,"&lt;&gt;In planning")</f>
        <v>332</v>
      </c>
      <c r="F8" s="12" t="n">
        <f aca="false">SUMIFS(Sites!$O$2:$O$135,Sites!$C$2:$C$135,$A8)</f>
        <v>3301</v>
      </c>
      <c r="G8" s="12" t="n">
        <f aca="false">SUMIFS(Schemes!$M$2:$M$264,Schemes!$D$2:$D$264,$A8,Schemes!$F$2:$F$264,"Audit land – partly on / edge (check)",Schemes!$K$2:$K$264,"&lt;&gt;Not started – past expiry",Schemes!$K$2:$K$264,"&lt;&gt;In planning")</f>
        <v>12</v>
      </c>
      <c r="H8" s="12" t="n">
        <f aca="false">SUMIFS(Schemes!$M$2:$M$264,Schemes!$D$2:$D$264,$A8,Schemes!$F$2:$F$264,"City – outside audit land",Schemes!$K$2:$K$264,"&lt;&gt;Not started – past expiry",Schemes!$K$2:$K$264,"&lt;&gt;In planning")</f>
        <v>581</v>
      </c>
      <c r="I8" s="17" t="n">
        <f aca="false">E8+G8+H8</f>
        <v>925</v>
      </c>
    </row>
    <row r="9" customFormat="false" ht="15" hidden="false" customHeight="false" outlineLevel="0" collapsed="false">
      <c r="A9" s="11" t="s">
        <v>91</v>
      </c>
      <c r="B9" s="12" t="n">
        <f aca="false">COUNTIFS(Sites!$C$2:$C$135,$A9)</f>
        <v>9</v>
      </c>
      <c r="C9" s="13" t="n">
        <f aca="false">SUMIFS(Sites!$I$2:$I$135,Sites!$C$2:$C$135,$A9)</f>
        <v>16.707</v>
      </c>
      <c r="D9" s="12" t="n">
        <f aca="false">SUMIFS(Sites!$J$2:$J$135,Sites!$C$2:$C$135,$A9)</f>
        <v>646</v>
      </c>
      <c r="E9" s="12" t="n">
        <f aca="false">SUMIFS(Schemes!$M$2:$M$264,Schemes!$D$2:$D$264,$A9,Schemes!$F$2:$F$264,"Audit land – within site",Schemes!$K$2:$K$264,"&lt;&gt;Not started – past expiry",Schemes!$K$2:$K$264,"&lt;&gt;In planning")</f>
        <v>51</v>
      </c>
      <c r="F9" s="12" t="n">
        <f aca="false">SUMIFS(Sites!$O$2:$O$135,Sites!$C$2:$C$135,$A9)</f>
        <v>599</v>
      </c>
      <c r="G9" s="12" t="n">
        <f aca="false">SUMIFS(Schemes!$M$2:$M$264,Schemes!$D$2:$D$264,$A9,Schemes!$F$2:$F$264,"Audit land – partly on / edge (check)",Schemes!$K$2:$K$264,"&lt;&gt;Not started – past expiry",Schemes!$K$2:$K$264,"&lt;&gt;In planning")</f>
        <v>15</v>
      </c>
      <c r="H9" s="12" t="n">
        <f aca="false">SUMIFS(Schemes!$M$2:$M$264,Schemes!$D$2:$D$264,$A9,Schemes!$F$2:$F$264,"City – outside audit land",Schemes!$K$2:$K$264,"&lt;&gt;Not started – past expiry",Schemes!$K$2:$K$264,"&lt;&gt;In planning")</f>
        <v>24</v>
      </c>
      <c r="I9" s="17" t="n">
        <f aca="false">E9+G9+H9</f>
        <v>90</v>
      </c>
    </row>
    <row r="10" customFormat="false" ht="15" hidden="false" customHeight="false" outlineLevel="0" collapsed="false">
      <c r="A10" s="11" t="s">
        <v>92</v>
      </c>
      <c r="B10" s="12" t="n">
        <f aca="false">COUNTIFS(Sites!$C$2:$C$135,$A10)</f>
        <v>21</v>
      </c>
      <c r="C10" s="13" t="n">
        <f aca="false">SUMIFS(Sites!$I$2:$I$135,Sites!$C$2:$C$135,$A10)</f>
        <v>80.257</v>
      </c>
      <c r="D10" s="12" t="n">
        <f aca="false">SUMIFS(Sites!$J$2:$J$135,Sites!$C$2:$C$135,$A10)</f>
        <v>3699</v>
      </c>
      <c r="E10" s="12" t="n">
        <f aca="false">SUMIFS(Schemes!$M$2:$M$264,Schemes!$D$2:$D$264,$A10,Schemes!$F$2:$F$264,"Audit land – within site",Schemes!$K$2:$K$264,"&lt;&gt;Not started – past expiry",Schemes!$K$2:$K$264,"&lt;&gt;In planning")</f>
        <v>1124</v>
      </c>
      <c r="F10" s="12" t="n">
        <f aca="false">SUMIFS(Sites!$O$2:$O$135,Sites!$C$2:$C$135,$A10)</f>
        <v>2792</v>
      </c>
      <c r="G10" s="12" t="n">
        <f aca="false">SUMIFS(Schemes!$M$2:$M$264,Schemes!$D$2:$D$264,$A10,Schemes!$F$2:$F$264,"Audit land – partly on / edge (check)",Schemes!$K$2:$K$264,"&lt;&gt;Not started – past expiry",Schemes!$K$2:$K$264,"&lt;&gt;In planning")</f>
        <v>0</v>
      </c>
      <c r="H10" s="12" t="n">
        <f aca="false">SUMIFS(Schemes!$M$2:$M$264,Schemes!$D$2:$D$264,$A10,Schemes!$F$2:$F$264,"City – outside audit land",Schemes!$K$2:$K$264,"&lt;&gt;Not started – past expiry",Schemes!$K$2:$K$264,"&lt;&gt;In planning")</f>
        <v>796</v>
      </c>
      <c r="I10" s="17" t="n">
        <f aca="false">E10+G10+H10</f>
        <v>1920</v>
      </c>
    </row>
    <row r="11" customFormat="false" ht="15" hidden="false" customHeight="false" outlineLevel="0" collapsed="false">
      <c r="A11" s="11" t="s">
        <v>93</v>
      </c>
      <c r="B11" s="12" t="n">
        <f aca="false">COUNTIFS(Sites!$C$2:$C$135,$A11)</f>
        <v>4</v>
      </c>
      <c r="C11" s="13" t="n">
        <f aca="false">SUMIFS(Sites!$I$2:$I$135,Sites!$C$2:$C$135,$A11)</f>
        <v>0.734</v>
      </c>
      <c r="D11" s="12" t="n">
        <f aca="false">SUMIFS(Sites!$J$2:$J$135,Sites!$C$2:$C$135,$A11)</f>
        <v>52</v>
      </c>
      <c r="E11" s="12" t="n">
        <f aca="false">SUMIFS(Schemes!$M$2:$M$264,Schemes!$D$2:$D$264,$A11,Schemes!$F$2:$F$264,"Audit land – within site",Schemes!$K$2:$K$264,"&lt;&gt;Not started – past expiry",Schemes!$K$2:$K$264,"&lt;&gt;In planning")</f>
        <v>27</v>
      </c>
      <c r="F11" s="12" t="n">
        <f aca="false">SUMIFS(Sites!$O$2:$O$135,Sites!$C$2:$C$135,$A11)</f>
        <v>25</v>
      </c>
      <c r="G11" s="12" t="n">
        <f aca="false">SUMIFS(Schemes!$M$2:$M$264,Schemes!$D$2:$D$264,$A11,Schemes!$F$2:$F$264,"Audit land – partly on / edge (check)",Schemes!$K$2:$K$264,"&lt;&gt;Not started – past expiry",Schemes!$K$2:$K$264,"&lt;&gt;In planning")</f>
        <v>23</v>
      </c>
      <c r="H11" s="12" t="n">
        <f aca="false">SUMIFS(Schemes!$M$2:$M$264,Schemes!$D$2:$D$264,$A11,Schemes!$F$2:$F$264,"City – outside audit land",Schemes!$K$2:$K$264,"&lt;&gt;Not started – past expiry",Schemes!$K$2:$K$264,"&lt;&gt;In planning")</f>
        <v>0</v>
      </c>
      <c r="I11" s="17" t="n">
        <f aca="false">E11+G11+H11</f>
        <v>50</v>
      </c>
    </row>
    <row r="12" customFormat="false" ht="15" hidden="false" customHeight="false" outlineLevel="0" collapsed="false">
      <c r="A12" s="11" t="s">
        <v>94</v>
      </c>
      <c r="B12" s="12" t="n">
        <f aca="false">COUNTIFS(Sites!$C$2:$C$135,$A12)</f>
        <v>19</v>
      </c>
      <c r="C12" s="13" t="n">
        <f aca="false">SUMIFS(Sites!$I$2:$I$135,Sites!$C$2:$C$135,$A12)</f>
        <v>13.036</v>
      </c>
      <c r="D12" s="12" t="n">
        <f aca="false">SUMIFS(Sites!$J$2:$J$135,Sites!$C$2:$C$135,$A12)</f>
        <v>615</v>
      </c>
      <c r="E12" s="12" t="n">
        <f aca="false">SUMIFS(Schemes!$M$2:$M$264,Schemes!$D$2:$D$264,$A12,Schemes!$F$2:$F$264,"Audit land – within site",Schemes!$K$2:$K$264,"&lt;&gt;Not started – past expiry",Schemes!$K$2:$K$264,"&lt;&gt;In planning")</f>
        <v>231</v>
      </c>
      <c r="F12" s="12" t="n">
        <f aca="false">SUMIFS(Sites!$O$2:$O$135,Sites!$C$2:$C$135,$A12)</f>
        <v>469</v>
      </c>
      <c r="G12" s="12" t="n">
        <f aca="false">SUMIFS(Schemes!$M$2:$M$264,Schemes!$D$2:$D$264,$A12,Schemes!$F$2:$F$264,"Audit land – partly on / edge (check)",Schemes!$K$2:$K$264,"&lt;&gt;Not started – past expiry",Schemes!$K$2:$K$264,"&lt;&gt;In planning")</f>
        <v>0</v>
      </c>
      <c r="H12" s="12" t="n">
        <f aca="false">SUMIFS(Schemes!$M$2:$M$264,Schemes!$D$2:$D$264,$A12,Schemes!$F$2:$F$264,"City – outside audit land",Schemes!$K$2:$K$264,"&lt;&gt;Not started – past expiry",Schemes!$K$2:$K$264,"&lt;&gt;In planning")</f>
        <v>69</v>
      </c>
      <c r="I12" s="17" t="n">
        <f aca="false">E12+G12+H12</f>
        <v>300</v>
      </c>
    </row>
    <row r="13" customFormat="false" ht="15" hidden="false" customHeight="false" outlineLevel="0" collapsed="false">
      <c r="A13" s="11" t="s">
        <v>95</v>
      </c>
      <c r="B13" s="12" t="n">
        <f aca="false">COUNTIFS(Sites!$C$2:$C$135,$A13)</f>
        <v>20</v>
      </c>
      <c r="C13" s="13" t="n">
        <f aca="false">SUMIFS(Sites!$I$2:$I$135,Sites!$C$2:$C$135,$A13)</f>
        <v>18.641</v>
      </c>
      <c r="D13" s="12" t="n">
        <f aca="false">SUMIFS(Sites!$J$2:$J$135,Sites!$C$2:$C$135,$A13)</f>
        <v>956</v>
      </c>
      <c r="E13" s="12" t="n">
        <f aca="false">SUMIFS(Schemes!$M$2:$M$264,Schemes!$D$2:$D$264,$A13,Schemes!$F$2:$F$264,"Audit land – within site",Schemes!$K$2:$K$264,"&lt;&gt;Not started – past expiry",Schemes!$K$2:$K$264,"&lt;&gt;In planning")</f>
        <v>413</v>
      </c>
      <c r="F13" s="12" t="n">
        <f aca="false">SUMIFS(Sites!$O$2:$O$135,Sites!$C$2:$C$135,$A13)</f>
        <v>683</v>
      </c>
      <c r="G13" s="12" t="n">
        <f aca="false">SUMIFS(Schemes!$M$2:$M$264,Schemes!$D$2:$D$264,$A13,Schemes!$F$2:$F$264,"Audit land – partly on / edge (check)",Schemes!$K$2:$K$264,"&lt;&gt;Not started – past expiry",Schemes!$K$2:$K$264,"&lt;&gt;In planning")</f>
        <v>17</v>
      </c>
      <c r="H13" s="12" t="n">
        <f aca="false">SUMIFS(Schemes!$M$2:$M$264,Schemes!$D$2:$D$264,$A13,Schemes!$F$2:$F$264,"City – outside audit land",Schemes!$K$2:$K$264,"&lt;&gt;Not started – past expiry",Schemes!$K$2:$K$264,"&lt;&gt;In planning")</f>
        <v>293</v>
      </c>
      <c r="I13" s="17" t="n">
        <f aca="false">E13+G13+H13</f>
        <v>723</v>
      </c>
    </row>
    <row r="14" customFormat="false" ht="15" hidden="false" customHeight="false" outlineLevel="0" collapsed="false">
      <c r="A14" s="14" t="s">
        <v>31</v>
      </c>
      <c r="B14" s="15" t="n">
        <f aca="false">SUM(B5:B13)</f>
        <v>134</v>
      </c>
      <c r="C14" s="16" t="n">
        <f aca="false">SUM(C5:C13)</f>
        <v>316.212</v>
      </c>
      <c r="D14" s="15" t="n">
        <f aca="false">SUM(D5:D13)</f>
        <v>14092</v>
      </c>
      <c r="E14" s="15" t="n">
        <f aca="false">SUM(E5:E13)</f>
        <v>5252</v>
      </c>
      <c r="F14" s="15" t="n">
        <f aca="false">SUM(F5:F13)</f>
        <v>10143</v>
      </c>
      <c r="G14" s="15" t="n">
        <f aca="false">SUM(G5:G13)</f>
        <v>105</v>
      </c>
      <c r="H14" s="15" t="n">
        <f aca="false">SUM(H5:H13)</f>
        <v>3174</v>
      </c>
      <c r="I14" s="15" t="n">
        <f aca="false">SUM(I5:I13)</f>
        <v>8531</v>
      </c>
    </row>
    <row r="15" customFormat="false" ht="15" hidden="false" customHeight="false" outlineLevel="0" collapsed="false">
      <c r="A15" s="9" t="s">
        <v>96</v>
      </c>
    </row>
    <row r="17" customFormat="false" ht="15" hidden="false" customHeight="false" outlineLevel="0" collapsed="false">
      <c r="A17" s="10" t="s">
        <v>97</v>
      </c>
    </row>
    <row r="18" customFormat="false" ht="23.85" hidden="false" customHeight="false" outlineLevel="0" collapsed="false">
      <c r="A18" s="3" t="s">
        <v>98</v>
      </c>
      <c r="B18" s="4" t="s">
        <v>40</v>
      </c>
      <c r="C18" s="4" t="s">
        <v>46</v>
      </c>
      <c r="D18" s="4" t="s">
        <v>42</v>
      </c>
      <c r="E18" s="4" t="s">
        <v>47</v>
      </c>
      <c r="F18" s="4" t="s">
        <v>31</v>
      </c>
    </row>
    <row r="19" customFormat="false" ht="15" hidden="false" customHeight="false" outlineLevel="0" collapsed="false">
      <c r="A19" s="11" t="s">
        <v>99</v>
      </c>
      <c r="B19" s="12" t="n">
        <f aca="false">SUMIFS(Schemes!$M$2:$M$264,Schemes!$I$2:$I$264,$A19,Schemes!$F$2:$F$264,"Audit land – within site",Schemes!$K$2:$K$264,"&lt;&gt;Not started – past expiry",Schemes!$K$2:$K$264,"&lt;&gt;In planning")</f>
        <v>3780</v>
      </c>
      <c r="C19" s="12" t="n">
        <f aca="false">SUMIFS(Schemes!$M$2:$M$264,Schemes!$I$2:$I$264,$A19,Schemes!$F$2:$F$264,"Audit land – partly on / edge (check)",Schemes!$K$2:$K$264,"&lt;&gt;Not started – past expiry",Schemes!$K$2:$K$264,"&lt;&gt;In planning")</f>
        <v>27</v>
      </c>
      <c r="D19" s="12" t="n">
        <f aca="false">SUMIFS(Schemes!$M$2:$M$264,Schemes!$I$2:$I$264,$A19,Schemes!$F$2:$F$264,"City – outside audit land",Schemes!$K$2:$K$264,"&lt;&gt;Not started – past expiry",Schemes!$K$2:$K$264,"&lt;&gt;In planning")</f>
        <v>2823</v>
      </c>
      <c r="E19" s="12" t="n">
        <f aca="false">SUMIFS(Schemes!$M$2:$M$264,Schemes!$I$2:$I$264,$A19,Schemes!$F$2:$F$264,"County – audit not yet supplied",Schemes!$K$2:$K$264,"&lt;&gt;Not started – past expiry",Schemes!$K$2:$K$264,"&lt;&gt;In planning")</f>
        <v>1573</v>
      </c>
      <c r="F19" s="17" t="n">
        <f aca="false">SUM(B19:E19)</f>
        <v>8203</v>
      </c>
    </row>
    <row r="20" customFormat="false" ht="15" hidden="false" customHeight="false" outlineLevel="0" collapsed="false">
      <c r="A20" s="11" t="s">
        <v>100</v>
      </c>
      <c r="B20" s="12" t="n">
        <f aca="false">SUMIFS(Schemes!$M$2:$M$264,Schemes!$I$2:$I$264,$A20,Schemes!$F$2:$F$264,"Audit land – within site",Schemes!$K$2:$K$264,"&lt;&gt;Not started – past expiry",Schemes!$K$2:$K$264,"&lt;&gt;In planning")</f>
        <v>469</v>
      </c>
      <c r="C20" s="12" t="n">
        <f aca="false">SUMIFS(Schemes!$M$2:$M$264,Schemes!$I$2:$I$264,$A20,Schemes!$F$2:$F$264,"Audit land – partly on / edge (check)",Schemes!$K$2:$K$264,"&lt;&gt;Not started – past expiry",Schemes!$K$2:$K$264,"&lt;&gt;In planning")</f>
        <v>78</v>
      </c>
      <c r="D20" s="12" t="n">
        <f aca="false">SUMIFS(Schemes!$M$2:$M$264,Schemes!$I$2:$I$264,$A20,Schemes!$F$2:$F$264,"City – outside audit land",Schemes!$K$2:$K$264,"&lt;&gt;Not started – past expiry",Schemes!$K$2:$K$264,"&lt;&gt;In planning")</f>
        <v>326</v>
      </c>
      <c r="E20" s="12" t="n">
        <f aca="false">SUMIFS(Schemes!$M$2:$M$264,Schemes!$I$2:$I$264,$A20,Schemes!$F$2:$F$264,"County – audit not yet supplied",Schemes!$K$2:$K$264,"&lt;&gt;Not started – past expiry",Schemes!$K$2:$K$264,"&lt;&gt;In planning")</f>
        <v>347</v>
      </c>
      <c r="F20" s="17" t="n">
        <f aca="false">SUM(B20:E20)</f>
        <v>1220</v>
      </c>
    </row>
    <row r="21" customFormat="false" ht="15" hidden="false" customHeight="false" outlineLevel="0" collapsed="false">
      <c r="A21" s="11" t="s">
        <v>101</v>
      </c>
      <c r="B21" s="12" t="n">
        <f aca="false">SUMIFS(Schemes!$M$2:$M$264,Schemes!$I$2:$I$264,$A21,Schemes!$F$2:$F$264,"Audit land – within site",Schemes!$K$2:$K$264,"&lt;&gt;Not started – past expiry",Schemes!$K$2:$K$264,"&lt;&gt;In planning")</f>
        <v>285</v>
      </c>
      <c r="C21" s="12" t="n">
        <f aca="false">SUMIFS(Schemes!$M$2:$M$264,Schemes!$I$2:$I$264,$A21,Schemes!$F$2:$F$264,"Audit land – partly on / edge (check)",Schemes!$K$2:$K$264,"&lt;&gt;Not started – past expiry",Schemes!$K$2:$K$264,"&lt;&gt;In planning")</f>
        <v>0</v>
      </c>
      <c r="D21" s="12" t="n">
        <f aca="false">SUMIFS(Schemes!$M$2:$M$264,Schemes!$I$2:$I$264,$A21,Schemes!$F$2:$F$264,"City – outside audit land",Schemes!$K$2:$K$264,"&lt;&gt;Not started – past expiry",Schemes!$K$2:$K$264,"&lt;&gt;In planning")</f>
        <v>0</v>
      </c>
      <c r="E21" s="12" t="n">
        <f aca="false">SUMIFS(Schemes!$M$2:$M$264,Schemes!$I$2:$I$264,$A21,Schemes!$F$2:$F$264,"County – audit not yet supplied",Schemes!$K$2:$K$264,"&lt;&gt;Not started – past expiry",Schemes!$K$2:$K$264,"&lt;&gt;In planning")</f>
        <v>31</v>
      </c>
      <c r="F21" s="17" t="n">
        <f aca="false">SUM(B21:E21)</f>
        <v>316</v>
      </c>
    </row>
    <row r="22" customFormat="false" ht="15" hidden="false" customHeight="false" outlineLevel="0" collapsed="false">
      <c r="A22" s="11" t="s">
        <v>102</v>
      </c>
      <c r="B22" s="12" t="n">
        <f aca="false">SUMIFS(Schemes!$M$2:$M$264,Schemes!$I$2:$I$264,$A22,Schemes!$F$2:$F$264,"Audit land – within site",Schemes!$K$2:$K$264,"&lt;&gt;Not started – past expiry",Schemes!$K$2:$K$264,"&lt;&gt;In planning")</f>
        <v>718</v>
      </c>
      <c r="C22" s="12" t="n">
        <f aca="false">SUMIFS(Schemes!$M$2:$M$264,Schemes!$I$2:$I$264,$A22,Schemes!$F$2:$F$264,"Audit land – partly on / edge (check)",Schemes!$K$2:$K$264,"&lt;&gt;Not started – past expiry",Schemes!$K$2:$K$264,"&lt;&gt;In planning")</f>
        <v>0</v>
      </c>
      <c r="D22" s="12" t="n">
        <f aca="false">SUMIFS(Schemes!$M$2:$M$264,Schemes!$I$2:$I$264,$A22,Schemes!$F$2:$F$264,"City – outside audit land",Schemes!$K$2:$K$264,"&lt;&gt;Not started – past expiry",Schemes!$K$2:$K$264,"&lt;&gt;In planning")</f>
        <v>25</v>
      </c>
      <c r="E22" s="12" t="n">
        <f aca="false">SUMIFS(Schemes!$M$2:$M$264,Schemes!$I$2:$I$264,$A22,Schemes!$F$2:$F$264,"County – audit not yet supplied",Schemes!$K$2:$K$264,"&lt;&gt;Not started – past expiry",Schemes!$K$2:$K$264,"&lt;&gt;In planning")</f>
        <v>0</v>
      </c>
      <c r="F22" s="17" t="n">
        <f aca="false">SUM(B22:E22)</f>
        <v>743</v>
      </c>
    </row>
    <row r="23" customFormat="false" ht="15" hidden="false" customHeight="false" outlineLevel="0" collapsed="false">
      <c r="A23" s="14" t="s">
        <v>31</v>
      </c>
      <c r="B23" s="15" t="n">
        <f aca="false">SUM(B19:B22)</f>
        <v>5252</v>
      </c>
      <c r="C23" s="15" t="n">
        <f aca="false">SUM(C19:C22)</f>
        <v>105</v>
      </c>
      <c r="D23" s="15" t="n">
        <f aca="false">SUM(D19:D22)</f>
        <v>3174</v>
      </c>
      <c r="E23" s="15" t="n">
        <f aca="false">SUM(E19:E22)</f>
        <v>1951</v>
      </c>
      <c r="F23" s="15" t="n">
        <f aca="false">SUM(F19:F22)</f>
        <v>10482</v>
      </c>
    </row>
    <row r="25" customFormat="false" ht="15" hidden="false" customHeight="false" outlineLevel="0" collapsed="false">
      <c r="A25" s="10" t="s">
        <v>103</v>
      </c>
    </row>
    <row r="26" customFormat="false" ht="23.85" hidden="false" customHeight="false" outlineLevel="0" collapsed="false">
      <c r="A26" s="3" t="s">
        <v>45</v>
      </c>
      <c r="B26" s="4" t="s">
        <v>23</v>
      </c>
      <c r="C26" s="4" t="s">
        <v>34</v>
      </c>
      <c r="D26" s="4" t="s">
        <v>35</v>
      </c>
      <c r="E26" s="4" t="s">
        <v>36</v>
      </c>
      <c r="F26" s="4" t="s">
        <v>104</v>
      </c>
      <c r="G26" s="4" t="s">
        <v>39</v>
      </c>
    </row>
    <row r="27" customFormat="false" ht="15" hidden="false" customHeight="false" outlineLevel="0" collapsed="false">
      <c r="A27" s="11" t="s">
        <v>29</v>
      </c>
      <c r="B27" s="12" t="n">
        <f aca="false">SUMIFS(Schemes!$M$2:$M$264,Schemes!$H$2:$H$264,$A27,Schemes!$K$2:$K$264,"Complete")</f>
        <v>974</v>
      </c>
      <c r="C27" s="12" t="n">
        <f aca="false">SUMIFS(Schemes!$M$2:$M$264,Schemes!$H$2:$H$264,$A27,Schemes!$K$2:$K$264,"Under construction")</f>
        <v>3347</v>
      </c>
      <c r="D27" s="12" t="n">
        <f aca="false">SUMIFS(Schemes!$M$2:$M$264,Schemes!$H$2:$H$264,$A27,Schemes!$K$2:$K$264,"Not started – permission live")</f>
        <v>4469</v>
      </c>
      <c r="E27" s="12" t="n">
        <f aca="false">SUMIFS(Schemes!$M$2:$M$264,Schemes!$H$2:$H$264,$A27,Schemes!$K$2:$K$264,"Stalled (CIS)")</f>
        <v>156</v>
      </c>
      <c r="F27" s="12" t="n">
        <f aca="false">SUMIFS(Schemes!$M$2:$M$264,Schemes!$H$2:$H$264,$A27,Schemes!$K$2:$K$264,"Not started – past expiry")</f>
        <v>278</v>
      </c>
      <c r="G27" s="12" t="n">
        <f aca="false">SUMIFS(Schemes!$M$2:$M$264,Schemes!$H$2:$H$264,$A27,Schemes!$K$2:$K$264,"In planning")</f>
        <v>82</v>
      </c>
    </row>
    <row r="28" customFormat="false" ht="15" hidden="false" customHeight="false" outlineLevel="0" collapsed="false">
      <c r="A28" s="11" t="s">
        <v>49</v>
      </c>
      <c r="B28" s="12" t="n">
        <f aca="false">SUMIFS(Schemes!$M$2:$M$264,Schemes!$H$2:$H$264,$A28,Schemes!$K$2:$K$264,"Complete")</f>
        <v>207</v>
      </c>
      <c r="C28" s="12" t="n">
        <f aca="false">SUMIFS(Schemes!$M$2:$M$264,Schemes!$H$2:$H$264,$A28,Schemes!$K$2:$K$264,"Under construction")</f>
        <v>546</v>
      </c>
      <c r="D28" s="12" t="n">
        <f aca="false">SUMIFS(Schemes!$M$2:$M$264,Schemes!$H$2:$H$264,$A28,Schemes!$K$2:$K$264,"Not started – permission live")</f>
        <v>200</v>
      </c>
      <c r="E28" s="12" t="n">
        <f aca="false">SUMIFS(Schemes!$M$2:$M$264,Schemes!$H$2:$H$264,$A28,Schemes!$K$2:$K$264,"Stalled (CIS)")</f>
        <v>0</v>
      </c>
      <c r="F28" s="12" t="n">
        <f aca="false">SUMIFS(Schemes!$M$2:$M$264,Schemes!$H$2:$H$264,$A28,Schemes!$K$2:$K$264,"Not started – past expiry")</f>
        <v>0</v>
      </c>
      <c r="G28" s="12" t="n">
        <f aca="false">SUMIFS(Schemes!$M$2:$M$264,Schemes!$H$2:$H$264,$A28,Schemes!$K$2:$K$264,"In planning")</f>
        <v>160</v>
      </c>
    </row>
    <row r="29" customFormat="false" ht="15" hidden="false" customHeight="false" outlineLevel="0" collapsed="false">
      <c r="A29" s="11" t="s">
        <v>50</v>
      </c>
      <c r="B29" s="12" t="n">
        <f aca="false">SUMIFS(Schemes!$M$2:$M$264,Schemes!$H$2:$H$264,$A29,Schemes!$K$2:$K$264,"Complete")</f>
        <v>94</v>
      </c>
      <c r="C29" s="12" t="n">
        <f aca="false">SUMIFS(Schemes!$M$2:$M$264,Schemes!$H$2:$H$264,$A29,Schemes!$K$2:$K$264,"Under construction")</f>
        <v>171</v>
      </c>
      <c r="D29" s="12" t="n">
        <f aca="false">SUMIFS(Schemes!$M$2:$M$264,Schemes!$H$2:$H$264,$A29,Schemes!$K$2:$K$264,"Not started – permission live")</f>
        <v>33</v>
      </c>
      <c r="E29" s="12" t="n">
        <f aca="false">SUMIFS(Schemes!$M$2:$M$264,Schemes!$H$2:$H$264,$A29,Schemes!$K$2:$K$264,"Stalled (CIS)")</f>
        <v>0</v>
      </c>
      <c r="F29" s="12" t="n">
        <f aca="false">SUMIFS(Schemes!$M$2:$M$264,Schemes!$H$2:$H$264,$A29,Schemes!$K$2:$K$264,"Not started – past expiry")</f>
        <v>33</v>
      </c>
      <c r="G29" s="12" t="n">
        <f aca="false">SUMIFS(Schemes!$M$2:$M$264,Schemes!$H$2:$H$264,$A29,Schemes!$K$2:$K$264,"In planning")</f>
        <v>8</v>
      </c>
    </row>
    <row r="30" customFormat="false" ht="15" hidden="false" customHeight="false" outlineLevel="0" collapsed="false">
      <c r="A30" s="11" t="s">
        <v>51</v>
      </c>
      <c r="B30" s="12" t="n">
        <f aca="false">SUMIFS(Schemes!$M$2:$M$264,Schemes!$H$2:$H$264,$A30,Schemes!$K$2:$K$264,"Complete")</f>
        <v>0</v>
      </c>
      <c r="C30" s="12" t="n">
        <f aca="false">SUMIFS(Schemes!$M$2:$M$264,Schemes!$H$2:$H$264,$A30,Schemes!$K$2:$K$264,"Under construction")</f>
        <v>0</v>
      </c>
      <c r="D30" s="12" t="n">
        <f aca="false">SUMIFS(Schemes!$M$2:$M$264,Schemes!$H$2:$H$264,$A30,Schemes!$K$2:$K$264,"Not started – permission live")</f>
        <v>285</v>
      </c>
      <c r="E30" s="12" t="n">
        <f aca="false">SUMIFS(Schemes!$M$2:$M$264,Schemes!$H$2:$H$264,$A30,Schemes!$K$2:$K$264,"Stalled (CIS)")</f>
        <v>0</v>
      </c>
      <c r="F30" s="12" t="n">
        <f aca="false">SUMIFS(Schemes!$M$2:$M$264,Schemes!$H$2:$H$264,$A30,Schemes!$K$2:$K$264,"Not started – past expiry")</f>
        <v>0</v>
      </c>
      <c r="G30" s="12" t="n">
        <f aca="false">SUMIFS(Schemes!$M$2:$M$264,Schemes!$H$2:$H$264,$A30,Schemes!$K$2:$K$264,"In planning")</f>
        <v>0</v>
      </c>
    </row>
    <row r="31" customFormat="false" ht="15" hidden="false" customHeight="false" outlineLevel="0" collapsed="false">
      <c r="A31" s="14" t="s">
        <v>31</v>
      </c>
      <c r="B31" s="15" t="n">
        <f aca="false">SUM(B27:B30)</f>
        <v>1275</v>
      </c>
      <c r="C31" s="15" t="n">
        <f aca="false">SUM(C27:C30)</f>
        <v>4064</v>
      </c>
      <c r="D31" s="15" t="n">
        <f aca="false">SUM(D27:D30)</f>
        <v>4987</v>
      </c>
      <c r="E31" s="15" t="n">
        <f aca="false">SUM(E27:E30)</f>
        <v>156</v>
      </c>
      <c r="F31" s="15" t="n">
        <f aca="false">SUM(F27:F30)</f>
        <v>311</v>
      </c>
      <c r="G31" s="15" t="n">
        <f aca="false">SUM(G27:G30)</f>
        <v>250</v>
      </c>
    </row>
    <row r="33" customFormat="false" ht="15" hidden="false" customHeight="false" outlineLevel="0" collapsed="false">
      <c r="A33" s="10" t="s">
        <v>105</v>
      </c>
    </row>
    <row r="34" customFormat="false" ht="23.85" hidden="false" customHeight="false" outlineLevel="0" collapsed="false">
      <c r="A34" s="3" t="s">
        <v>106</v>
      </c>
      <c r="B34" s="4" t="s">
        <v>107</v>
      </c>
      <c r="C34" s="4" t="s">
        <v>33</v>
      </c>
      <c r="D34" s="4" t="s">
        <v>108</v>
      </c>
      <c r="E34" s="4" t="s">
        <v>109</v>
      </c>
      <c r="F34" s="4" t="s">
        <v>110</v>
      </c>
      <c r="G34" s="4" t="s">
        <v>111</v>
      </c>
      <c r="H34" s="4" t="s">
        <v>112</v>
      </c>
      <c r="I34" s="4" t="s">
        <v>66</v>
      </c>
    </row>
    <row r="35" customFormat="false" ht="15" hidden="false" customHeight="false" outlineLevel="0" collapsed="false">
      <c r="A35" s="11" t="s">
        <v>113</v>
      </c>
      <c r="B35" s="11" t="s">
        <v>114</v>
      </c>
      <c r="C35" s="11" t="s">
        <v>40</v>
      </c>
      <c r="D35" s="11" t="s">
        <v>35</v>
      </c>
      <c r="E35" s="12" t="n">
        <v>196</v>
      </c>
      <c r="F35" s="12" t="n">
        <v>1400</v>
      </c>
      <c r="G35" s="11" t="s">
        <v>115</v>
      </c>
      <c r="H35" s="11" t="s">
        <v>116</v>
      </c>
      <c r="I35" s="11" t="s">
        <v>68</v>
      </c>
    </row>
    <row r="36" customFormat="false" ht="15" hidden="false" customHeight="false" outlineLevel="0" collapsed="false">
      <c r="A36" s="11" t="s">
        <v>117</v>
      </c>
      <c r="B36" s="11" t="s">
        <v>118</v>
      </c>
      <c r="C36" s="11" t="s">
        <v>40</v>
      </c>
      <c r="D36" s="11" t="s">
        <v>35</v>
      </c>
      <c r="E36" s="12" t="n">
        <v>465</v>
      </c>
      <c r="F36" s="12" t="n">
        <v>309</v>
      </c>
      <c r="G36" s="11" t="s">
        <v>119</v>
      </c>
      <c r="H36" s="11" t="s">
        <v>120</v>
      </c>
      <c r="I36" s="11" t="s">
        <v>68</v>
      </c>
    </row>
    <row r="37" customFormat="false" ht="15" hidden="false" customHeight="false" outlineLevel="0" collapsed="false">
      <c r="A37" s="11" t="s">
        <v>121</v>
      </c>
      <c r="B37" s="11" t="s">
        <v>122</v>
      </c>
      <c r="C37" s="11" t="s">
        <v>40</v>
      </c>
      <c r="D37" s="11" t="s">
        <v>34</v>
      </c>
      <c r="E37" s="12" t="n">
        <v>26</v>
      </c>
      <c r="F37" s="12" t="n">
        <v>202</v>
      </c>
      <c r="G37" s="11" t="s">
        <v>123</v>
      </c>
      <c r="H37" s="11" t="s">
        <v>115</v>
      </c>
      <c r="I37" s="11" t="s">
        <v>67</v>
      </c>
    </row>
    <row r="38" customFormat="false" ht="15" hidden="false" customHeight="false" outlineLevel="0" collapsed="false">
      <c r="A38" s="11" t="s">
        <v>124</v>
      </c>
      <c r="B38" s="11" t="s">
        <v>125</v>
      </c>
      <c r="C38" s="11" t="s">
        <v>42</v>
      </c>
      <c r="D38" s="11" t="s">
        <v>35</v>
      </c>
      <c r="E38" s="12" t="n">
        <v>25</v>
      </c>
      <c r="F38" s="12" t="n">
        <v>116</v>
      </c>
      <c r="G38" s="11" t="s">
        <v>126</v>
      </c>
      <c r="H38" s="11" t="s">
        <v>127</v>
      </c>
      <c r="I38" s="11" t="s">
        <v>69</v>
      </c>
    </row>
    <row r="39" customFormat="false" ht="15" hidden="false" customHeight="false" outlineLevel="0" collapsed="false">
      <c r="A39" s="11" t="s">
        <v>128</v>
      </c>
      <c r="B39" s="11" t="s">
        <v>129</v>
      </c>
      <c r="C39" s="11" t="s">
        <v>42</v>
      </c>
      <c r="D39" s="11" t="s">
        <v>35</v>
      </c>
      <c r="E39" s="12" t="n">
        <v>0</v>
      </c>
      <c r="F39" s="12" t="n">
        <v>115</v>
      </c>
      <c r="G39" s="11" t="s">
        <v>130</v>
      </c>
      <c r="H39" s="11" t="s">
        <v>131</v>
      </c>
      <c r="I39" s="11" t="s">
        <v>68</v>
      </c>
    </row>
    <row r="40" customFormat="false" ht="15" hidden="false" customHeight="false" outlineLevel="0" collapsed="false">
      <c r="A40" s="11" t="s">
        <v>132</v>
      </c>
      <c r="B40" s="11" t="s">
        <v>133</v>
      </c>
      <c r="C40" s="11" t="s">
        <v>40</v>
      </c>
      <c r="D40" s="11" t="s">
        <v>36</v>
      </c>
      <c r="E40" s="12" t="n">
        <v>31</v>
      </c>
      <c r="F40" s="12"/>
      <c r="G40" s="11"/>
      <c r="H40" s="11"/>
      <c r="I40" s="11" t="s">
        <v>134</v>
      </c>
    </row>
    <row r="41" customFormat="false" ht="15" hidden="false" customHeight="false" outlineLevel="0" collapsed="false">
      <c r="A41" s="11" t="s">
        <v>135</v>
      </c>
      <c r="B41" s="11" t="s">
        <v>136</v>
      </c>
      <c r="C41" s="11" t="s">
        <v>42</v>
      </c>
      <c r="D41" s="11" t="s">
        <v>104</v>
      </c>
      <c r="E41" s="12" t="n">
        <v>0</v>
      </c>
      <c r="F41" s="12"/>
      <c r="G41" s="11"/>
      <c r="H41" s="11"/>
      <c r="I41" s="11" t="s">
        <v>134</v>
      </c>
    </row>
    <row r="42" customFormat="false" ht="15" hidden="false" customHeight="false" outlineLevel="0" collapsed="false">
      <c r="A42" s="14" t="s">
        <v>137</v>
      </c>
      <c r="E42" s="15" t="n">
        <f aca="false">SUMIFS(Schemes!$M$2:$M$264,Schemes!$I$2:$I$264,"Student (PBSA)",Schemes!$K$2:$K$264,"&lt;&gt;Not started – past expiry",Schemes!$K$2:$K$264,"&lt;&gt;In planning")</f>
        <v>743</v>
      </c>
      <c r="F42" s="15" t="n">
        <f aca="false">SUMIFS(Schemes!$N$2:$N$264,Schemes!$I$2:$I$264,"Student (PBSA)",Schemes!$K$2:$K$264,"&lt;&gt;Not started – past expiry",Schemes!$K$2:$K$264,"&lt;&gt;In planning")</f>
        <v>2142</v>
      </c>
    </row>
    <row r="43" customFormat="false" ht="15" hidden="false" customHeight="false" outlineLevel="0" collapsed="false">
      <c r="A43" s="9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7" min="6" style="0" width="11"/>
    <col collapsed="false" customWidth="true" hidden="false" outlineLevel="0" max="8" min="8" style="0" width="26"/>
    <col collapsed="false" customWidth="true" hidden="false" outlineLevel="0" max="9" min="9" style="0" width="9"/>
    <col collapsed="false" customWidth="true" hidden="false" outlineLevel="0" max="11" min="10" style="0" width="10"/>
    <col collapsed="false" customWidth="true" hidden="false" outlineLevel="0" max="14" min="12" style="0" width="11"/>
    <col collapsed="false" customWidth="true" hidden="false" outlineLevel="0" max="18" min="15" style="0" width="10"/>
    <col collapsed="false" customWidth="true" hidden="false" outlineLevel="0" max="19" min="19" style="0" width="9"/>
    <col collapsed="false" customWidth="true" hidden="false" outlineLevel="0" max="20" min="20" style="0" width="34"/>
    <col collapsed="false" customWidth="true" hidden="false" outlineLevel="0" max="21" min="21" style="0" width="50"/>
  </cols>
  <sheetData>
    <row r="1" customFormat="false" ht="46.25" hidden="false" customHeight="false" outlineLevel="0" collapsed="false">
      <c r="A1" s="3" t="s">
        <v>139</v>
      </c>
      <c r="B1" s="4" t="s">
        <v>140</v>
      </c>
      <c r="C1" s="4" t="s">
        <v>82</v>
      </c>
      <c r="D1" s="4" t="s">
        <v>141</v>
      </c>
      <c r="E1" s="4" t="s">
        <v>19</v>
      </c>
      <c r="F1" s="4" t="s">
        <v>142</v>
      </c>
      <c r="G1" s="4" t="s">
        <v>143</v>
      </c>
      <c r="H1" s="4" t="s">
        <v>144</v>
      </c>
      <c r="I1" s="4" t="s">
        <v>145</v>
      </c>
      <c r="J1" s="4" t="s">
        <v>146</v>
      </c>
      <c r="K1" s="4" t="s">
        <v>147</v>
      </c>
      <c r="L1" s="4" t="s">
        <v>148</v>
      </c>
      <c r="M1" s="4" t="s">
        <v>149</v>
      </c>
      <c r="N1" s="4" t="s">
        <v>150</v>
      </c>
      <c r="O1" s="4" t="s">
        <v>151</v>
      </c>
      <c r="P1" s="4" t="s">
        <v>152</v>
      </c>
      <c r="Q1" s="4" t="s">
        <v>153</v>
      </c>
      <c r="R1" s="4" t="s">
        <v>154</v>
      </c>
      <c r="S1" s="4" t="s">
        <v>155</v>
      </c>
      <c r="T1" s="4" t="s">
        <v>156</v>
      </c>
      <c r="U1" s="4" t="s">
        <v>157</v>
      </c>
    </row>
    <row r="2" customFormat="false" ht="15" hidden="false" customHeight="false" outlineLevel="0" collapsed="false">
      <c r="A2" s="23" t="s">
        <v>158</v>
      </c>
      <c r="B2" s="23" t="n">
        <v>129</v>
      </c>
      <c r="C2" s="23" t="s">
        <v>87</v>
      </c>
      <c r="D2" s="23" t="s">
        <v>90</v>
      </c>
      <c r="E2" s="23" t="s">
        <v>28</v>
      </c>
      <c r="F2" s="23" t="s">
        <v>159</v>
      </c>
      <c r="G2" s="23" t="s">
        <v>160</v>
      </c>
      <c r="H2" s="23" t="s">
        <v>161</v>
      </c>
      <c r="I2" s="23" t="n">
        <v>2.208</v>
      </c>
      <c r="J2" s="23" t="n">
        <v>99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99</v>
      </c>
      <c r="P2" s="23" t="n">
        <v>0</v>
      </c>
      <c r="Q2" s="23" t="n">
        <v>0</v>
      </c>
      <c r="R2" s="23" t="n">
        <v>0</v>
      </c>
      <c r="S2" s="23" t="n">
        <v>0</v>
      </c>
      <c r="T2" s="23"/>
      <c r="U2" s="23" t="s">
        <v>162</v>
      </c>
    </row>
    <row r="3" customFormat="false" ht="15" hidden="false" customHeight="false" outlineLevel="0" collapsed="false">
      <c r="A3" s="23" t="s">
        <v>163</v>
      </c>
      <c r="B3" s="23" t="n">
        <v>130</v>
      </c>
      <c r="C3" s="23" t="s">
        <v>87</v>
      </c>
      <c r="D3" s="23" t="s">
        <v>90</v>
      </c>
      <c r="E3" s="23" t="s">
        <v>28</v>
      </c>
      <c r="F3" s="23" t="s">
        <v>164</v>
      </c>
      <c r="G3" s="23" t="s">
        <v>165</v>
      </c>
      <c r="H3" s="23" t="s">
        <v>161</v>
      </c>
      <c r="I3" s="23" t="n">
        <v>0.144</v>
      </c>
      <c r="J3" s="23" t="n">
        <v>6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6</v>
      </c>
      <c r="P3" s="23" t="n">
        <v>0</v>
      </c>
      <c r="Q3" s="23" t="n">
        <v>0</v>
      </c>
      <c r="R3" s="23" t="n">
        <v>0</v>
      </c>
      <c r="S3" s="23" t="n">
        <v>0</v>
      </c>
      <c r="T3" s="23"/>
      <c r="U3" s="23" t="s">
        <v>162</v>
      </c>
    </row>
    <row r="4" customFormat="false" ht="15" hidden="false" customHeight="false" outlineLevel="0" collapsed="false">
      <c r="A4" s="23" t="s">
        <v>166</v>
      </c>
      <c r="B4" s="23" t="n">
        <v>131</v>
      </c>
      <c r="C4" s="23" t="s">
        <v>87</v>
      </c>
      <c r="D4" s="23" t="s">
        <v>90</v>
      </c>
      <c r="E4" s="23" t="s">
        <v>28</v>
      </c>
      <c r="F4" s="23" t="s">
        <v>159</v>
      </c>
      <c r="G4" s="23" t="s">
        <v>165</v>
      </c>
      <c r="H4" s="23" t="s">
        <v>161</v>
      </c>
      <c r="I4" s="23" t="n">
        <v>0.252</v>
      </c>
      <c r="J4" s="23" t="n">
        <v>11</v>
      </c>
      <c r="K4" s="23" t="n">
        <v>0</v>
      </c>
      <c r="L4" s="23" t="n">
        <v>0</v>
      </c>
      <c r="M4" s="23" t="n">
        <v>0</v>
      </c>
      <c r="N4" s="23" t="n">
        <v>0</v>
      </c>
      <c r="O4" s="23" t="n">
        <v>11</v>
      </c>
      <c r="P4" s="23" t="n">
        <v>0</v>
      </c>
      <c r="Q4" s="23" t="n">
        <v>0</v>
      </c>
      <c r="R4" s="23" t="n">
        <v>0</v>
      </c>
      <c r="S4" s="23" t="n">
        <v>0</v>
      </c>
      <c r="T4" s="23"/>
      <c r="U4" s="23" t="s">
        <v>162</v>
      </c>
    </row>
    <row r="5" customFormat="false" ht="15" hidden="false" customHeight="false" outlineLevel="0" collapsed="false">
      <c r="A5" s="23" t="s">
        <v>167</v>
      </c>
      <c r="B5" s="23" t="n">
        <v>132</v>
      </c>
      <c r="C5" s="23" t="s">
        <v>87</v>
      </c>
      <c r="D5" s="23" t="s">
        <v>168</v>
      </c>
      <c r="E5" s="23" t="s">
        <v>29</v>
      </c>
      <c r="F5" s="23" t="s">
        <v>164</v>
      </c>
      <c r="G5" s="23" t="s">
        <v>160</v>
      </c>
      <c r="H5" s="23" t="s">
        <v>161</v>
      </c>
      <c r="I5" s="23" t="n">
        <v>0.706</v>
      </c>
      <c r="J5" s="23" t="n">
        <v>32</v>
      </c>
      <c r="K5" s="23" t="n">
        <v>0</v>
      </c>
      <c r="L5" s="23" t="n">
        <v>0</v>
      </c>
      <c r="M5" s="23" t="n">
        <v>0</v>
      </c>
      <c r="N5" s="23" t="n">
        <v>0</v>
      </c>
      <c r="O5" s="23" t="n">
        <v>32</v>
      </c>
      <c r="P5" s="23" t="n">
        <v>0</v>
      </c>
      <c r="Q5" s="23" t="n">
        <v>0</v>
      </c>
      <c r="R5" s="23" t="n">
        <v>0</v>
      </c>
      <c r="S5" s="23" t="n">
        <v>0</v>
      </c>
      <c r="T5" s="23"/>
      <c r="U5" s="23" t="s">
        <v>162</v>
      </c>
    </row>
    <row r="6" customFormat="false" ht="15" hidden="false" customHeight="false" outlineLevel="0" collapsed="false">
      <c r="A6" s="23" t="s">
        <v>169</v>
      </c>
      <c r="B6" s="23" t="n">
        <v>133</v>
      </c>
      <c r="C6" s="23" t="s">
        <v>87</v>
      </c>
      <c r="D6" s="23" t="s">
        <v>168</v>
      </c>
      <c r="E6" s="23" t="s">
        <v>29</v>
      </c>
      <c r="F6" s="23" t="s">
        <v>159</v>
      </c>
      <c r="G6" s="23" t="s">
        <v>165</v>
      </c>
      <c r="H6" s="23" t="s">
        <v>170</v>
      </c>
      <c r="I6" s="23" t="n">
        <v>1.22</v>
      </c>
      <c r="J6" s="23" t="n">
        <v>55</v>
      </c>
      <c r="K6" s="23" t="n">
        <v>0</v>
      </c>
      <c r="L6" s="23" t="n">
        <v>371</v>
      </c>
      <c r="M6" s="23" t="n">
        <v>0</v>
      </c>
      <c r="N6" s="23" t="n">
        <v>371</v>
      </c>
      <c r="O6" s="23" t="n">
        <v>0</v>
      </c>
      <c r="P6" s="23" t="n">
        <v>0</v>
      </c>
      <c r="Q6" s="23" t="n">
        <v>0</v>
      </c>
      <c r="R6" s="23" t="n">
        <v>0</v>
      </c>
      <c r="S6" s="23" t="n">
        <v>1</v>
      </c>
      <c r="T6" s="23" t="s">
        <v>171</v>
      </c>
      <c r="U6" s="23" t="s">
        <v>172</v>
      </c>
    </row>
    <row r="7" customFormat="false" ht="15" hidden="false" customHeight="false" outlineLevel="0" collapsed="false">
      <c r="A7" s="23" t="s">
        <v>173</v>
      </c>
      <c r="B7" s="23" t="n">
        <v>1</v>
      </c>
      <c r="C7" s="23" t="s">
        <v>88</v>
      </c>
      <c r="D7" s="23" t="s">
        <v>174</v>
      </c>
      <c r="E7" s="23" t="s">
        <v>29</v>
      </c>
      <c r="F7" s="23" t="s">
        <v>159</v>
      </c>
      <c r="G7" s="23" t="s">
        <v>175</v>
      </c>
      <c r="H7" s="23" t="s">
        <v>176</v>
      </c>
      <c r="I7" s="23" t="n">
        <v>2.408</v>
      </c>
      <c r="J7" s="23" t="n">
        <v>165</v>
      </c>
      <c r="K7" s="23" t="n">
        <v>0</v>
      </c>
      <c r="L7" s="23" t="n">
        <v>0</v>
      </c>
      <c r="M7" s="23" t="n">
        <v>165</v>
      </c>
      <c r="N7" s="23" t="n">
        <v>165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1</v>
      </c>
      <c r="T7" s="23"/>
      <c r="U7" s="23" t="s">
        <v>162</v>
      </c>
    </row>
    <row r="8" customFormat="false" ht="15" hidden="false" customHeight="false" outlineLevel="0" collapsed="false">
      <c r="A8" s="23" t="s">
        <v>177</v>
      </c>
      <c r="B8" s="23" t="n">
        <v>2</v>
      </c>
      <c r="C8" s="23" t="s">
        <v>88</v>
      </c>
      <c r="D8" s="23" t="s">
        <v>174</v>
      </c>
      <c r="E8" s="23" t="s">
        <v>29</v>
      </c>
      <c r="F8" s="23" t="s">
        <v>159</v>
      </c>
      <c r="G8" s="23" t="s">
        <v>175</v>
      </c>
      <c r="H8" s="23" t="s">
        <v>161</v>
      </c>
      <c r="I8" s="23" t="n">
        <v>2.193</v>
      </c>
      <c r="J8" s="23" t="n">
        <v>77</v>
      </c>
      <c r="K8" s="23" t="n">
        <v>0</v>
      </c>
      <c r="L8" s="23" t="n">
        <v>0</v>
      </c>
      <c r="M8" s="23" t="n">
        <v>0</v>
      </c>
      <c r="N8" s="23" t="n">
        <v>0</v>
      </c>
      <c r="O8" s="23" t="n">
        <v>77</v>
      </c>
      <c r="P8" s="23" t="n">
        <v>0</v>
      </c>
      <c r="Q8" s="23" t="n">
        <v>0</v>
      </c>
      <c r="R8" s="23" t="n">
        <v>0</v>
      </c>
      <c r="S8" s="23" t="n">
        <v>0</v>
      </c>
      <c r="T8" s="23"/>
      <c r="U8" s="23" t="s">
        <v>178</v>
      </c>
    </row>
    <row r="9" customFormat="false" ht="15" hidden="false" customHeight="false" outlineLevel="0" collapsed="false">
      <c r="A9" s="23" t="s">
        <v>179</v>
      </c>
      <c r="B9" s="23" t="n">
        <v>3</v>
      </c>
      <c r="C9" s="23" t="s">
        <v>88</v>
      </c>
      <c r="D9" s="23" t="s">
        <v>174</v>
      </c>
      <c r="E9" s="23" t="s">
        <v>29</v>
      </c>
      <c r="F9" s="23" t="s">
        <v>159</v>
      </c>
      <c r="G9" s="23" t="s">
        <v>160</v>
      </c>
      <c r="H9" s="23" t="s">
        <v>176</v>
      </c>
      <c r="I9" s="23" t="n">
        <v>2.013</v>
      </c>
      <c r="J9" s="23" t="n">
        <v>343</v>
      </c>
      <c r="K9" s="23" t="n">
        <v>65</v>
      </c>
      <c r="L9" s="23" t="n">
        <v>167</v>
      </c>
      <c r="M9" s="23" t="n">
        <v>0</v>
      </c>
      <c r="N9" s="23" t="n">
        <v>232</v>
      </c>
      <c r="O9" s="23" t="n">
        <v>111</v>
      </c>
      <c r="P9" s="23" t="n">
        <v>0</v>
      </c>
      <c r="Q9" s="23" t="n">
        <v>0</v>
      </c>
      <c r="R9" s="23" t="n">
        <v>0</v>
      </c>
      <c r="S9" s="23" t="n">
        <v>2</v>
      </c>
      <c r="T9" s="23"/>
      <c r="U9" s="23" t="s">
        <v>162</v>
      </c>
    </row>
    <row r="10" customFormat="false" ht="15" hidden="false" customHeight="false" outlineLevel="0" collapsed="false">
      <c r="A10" s="23" t="s">
        <v>180</v>
      </c>
      <c r="B10" s="23" t="n">
        <v>5</v>
      </c>
      <c r="C10" s="23" t="s">
        <v>88</v>
      </c>
      <c r="D10" s="23" t="s">
        <v>174</v>
      </c>
      <c r="E10" s="23" t="s">
        <v>30</v>
      </c>
      <c r="F10" s="23" t="s">
        <v>159</v>
      </c>
      <c r="G10" s="23" t="s">
        <v>175</v>
      </c>
      <c r="H10" s="23" t="s">
        <v>176</v>
      </c>
      <c r="I10" s="23" t="n">
        <v>2.729</v>
      </c>
      <c r="J10" s="23" t="n">
        <v>99</v>
      </c>
      <c r="K10" s="23" t="n">
        <v>0</v>
      </c>
      <c r="L10" s="23" t="n">
        <v>99</v>
      </c>
      <c r="M10" s="23" t="n">
        <v>0</v>
      </c>
      <c r="N10" s="23" t="n">
        <v>99</v>
      </c>
      <c r="O10" s="23" t="n">
        <v>0</v>
      </c>
      <c r="P10" s="23" t="n">
        <v>0</v>
      </c>
      <c r="Q10" s="23" t="n">
        <v>0</v>
      </c>
      <c r="R10" s="23" t="n">
        <v>0</v>
      </c>
      <c r="S10" s="23" t="n">
        <v>1</v>
      </c>
      <c r="T10" s="23"/>
      <c r="U10" s="23" t="s">
        <v>162</v>
      </c>
    </row>
    <row r="11" customFormat="false" ht="15" hidden="false" customHeight="false" outlineLevel="0" collapsed="false">
      <c r="A11" s="23" t="s">
        <v>181</v>
      </c>
      <c r="B11" s="23" t="n">
        <v>6</v>
      </c>
      <c r="C11" s="23" t="s">
        <v>88</v>
      </c>
      <c r="D11" s="23" t="s">
        <v>174</v>
      </c>
      <c r="E11" s="23" t="s">
        <v>30</v>
      </c>
      <c r="F11" s="23" t="s">
        <v>182</v>
      </c>
      <c r="G11" s="23" t="s">
        <v>175</v>
      </c>
      <c r="H11" s="23" t="s">
        <v>176</v>
      </c>
      <c r="I11" s="23" t="n">
        <v>0.162</v>
      </c>
      <c r="J11" s="23" t="n">
        <v>12</v>
      </c>
      <c r="K11" s="23" t="n">
        <v>0</v>
      </c>
      <c r="L11" s="23" t="n">
        <v>0</v>
      </c>
      <c r="M11" s="23" t="n">
        <v>12</v>
      </c>
      <c r="N11" s="23" t="n">
        <v>12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1</v>
      </c>
      <c r="T11" s="23"/>
      <c r="U11" s="23" t="s">
        <v>162</v>
      </c>
    </row>
    <row r="12" customFormat="false" ht="15" hidden="false" customHeight="false" outlineLevel="0" collapsed="false">
      <c r="A12" s="23" t="s">
        <v>183</v>
      </c>
      <c r="B12" s="23" t="n">
        <v>7</v>
      </c>
      <c r="C12" s="23" t="s">
        <v>88</v>
      </c>
      <c r="D12" s="23" t="s">
        <v>174</v>
      </c>
      <c r="E12" s="23" t="s">
        <v>30</v>
      </c>
      <c r="F12" s="23" t="s">
        <v>159</v>
      </c>
      <c r="G12" s="23" t="s">
        <v>175</v>
      </c>
      <c r="H12" s="23" t="s">
        <v>176</v>
      </c>
      <c r="I12" s="23" t="n">
        <v>11.8</v>
      </c>
      <c r="J12" s="23" t="n">
        <v>413</v>
      </c>
      <c r="K12" s="23" t="n">
        <v>0</v>
      </c>
      <c r="L12" s="23" t="n">
        <v>0</v>
      </c>
      <c r="M12" s="23" t="n">
        <v>251</v>
      </c>
      <c r="N12" s="23" t="n">
        <v>251</v>
      </c>
      <c r="O12" s="23" t="n">
        <v>162</v>
      </c>
      <c r="P12" s="23" t="n">
        <v>0</v>
      </c>
      <c r="Q12" s="23" t="n">
        <v>0</v>
      </c>
      <c r="R12" s="23" t="n">
        <v>0</v>
      </c>
      <c r="S12" s="23" t="n">
        <v>3</v>
      </c>
      <c r="T12" s="23"/>
      <c r="U12" s="23" t="s">
        <v>162</v>
      </c>
    </row>
    <row r="13" customFormat="false" ht="15" hidden="false" customHeight="false" outlineLevel="0" collapsed="false">
      <c r="A13" s="23" t="s">
        <v>184</v>
      </c>
      <c r="B13" s="23" t="n">
        <v>8</v>
      </c>
      <c r="C13" s="23" t="s">
        <v>88</v>
      </c>
      <c r="D13" s="23" t="s">
        <v>174</v>
      </c>
      <c r="E13" s="23" t="s">
        <v>30</v>
      </c>
      <c r="F13" s="23" t="s">
        <v>159</v>
      </c>
      <c r="G13" s="23" t="s">
        <v>175</v>
      </c>
      <c r="H13" s="23" t="s">
        <v>176</v>
      </c>
      <c r="I13" s="23" t="n">
        <v>2.772</v>
      </c>
      <c r="J13" s="23" t="n">
        <v>97</v>
      </c>
      <c r="K13" s="23" t="n">
        <v>0</v>
      </c>
      <c r="L13" s="23" t="n">
        <v>0</v>
      </c>
      <c r="M13" s="23" t="n">
        <v>86</v>
      </c>
      <c r="N13" s="23" t="n">
        <v>86</v>
      </c>
      <c r="O13" s="23" t="n">
        <v>11</v>
      </c>
      <c r="P13" s="23" t="n">
        <v>0</v>
      </c>
      <c r="Q13" s="23" t="n">
        <v>0</v>
      </c>
      <c r="R13" s="23" t="n">
        <v>0</v>
      </c>
      <c r="S13" s="23" t="n">
        <v>1</v>
      </c>
      <c r="T13" s="23"/>
      <c r="U13" s="23" t="s">
        <v>162</v>
      </c>
    </row>
    <row r="14" customFormat="false" ht="15" hidden="false" customHeight="false" outlineLevel="0" collapsed="false">
      <c r="A14" s="23" t="s">
        <v>185</v>
      </c>
      <c r="B14" s="23" t="n">
        <v>9</v>
      </c>
      <c r="C14" s="23" t="s">
        <v>88</v>
      </c>
      <c r="D14" s="23" t="s">
        <v>174</v>
      </c>
      <c r="E14" s="23" t="s">
        <v>28</v>
      </c>
      <c r="F14" s="23" t="s">
        <v>164</v>
      </c>
      <c r="G14" s="23" t="s">
        <v>165</v>
      </c>
      <c r="H14" s="23" t="s">
        <v>161</v>
      </c>
      <c r="I14" s="23" t="n">
        <v>1.07</v>
      </c>
      <c r="J14" s="23" t="n">
        <v>48</v>
      </c>
      <c r="K14" s="23" t="n">
        <v>0</v>
      </c>
      <c r="L14" s="23" t="n">
        <v>0</v>
      </c>
      <c r="M14" s="23" t="n">
        <v>0</v>
      </c>
      <c r="N14" s="23" t="n">
        <v>0</v>
      </c>
      <c r="O14" s="23" t="n">
        <v>48</v>
      </c>
      <c r="P14" s="23" t="n">
        <v>0</v>
      </c>
      <c r="Q14" s="23" t="n">
        <v>0</v>
      </c>
      <c r="R14" s="23" t="n">
        <v>0</v>
      </c>
      <c r="S14" s="23" t="n">
        <v>0</v>
      </c>
      <c r="T14" s="23"/>
      <c r="U14" s="23" t="s">
        <v>162</v>
      </c>
    </row>
    <row r="15" customFormat="false" ht="15" hidden="false" customHeight="false" outlineLevel="0" collapsed="false">
      <c r="A15" s="23" t="s">
        <v>186</v>
      </c>
      <c r="B15" s="23" t="n">
        <v>10</v>
      </c>
      <c r="C15" s="23" t="s">
        <v>88</v>
      </c>
      <c r="D15" s="23" t="s">
        <v>174</v>
      </c>
      <c r="E15" s="23" t="s">
        <v>28</v>
      </c>
      <c r="F15" s="23" t="s">
        <v>164</v>
      </c>
      <c r="G15" s="23" t="s">
        <v>165</v>
      </c>
      <c r="H15" s="23" t="s">
        <v>161</v>
      </c>
      <c r="I15" s="23" t="n">
        <v>1.991</v>
      </c>
      <c r="J15" s="23" t="n">
        <v>90</v>
      </c>
      <c r="K15" s="23" t="n">
        <v>0</v>
      </c>
      <c r="L15" s="23" t="n">
        <v>0</v>
      </c>
      <c r="M15" s="23" t="n">
        <v>0</v>
      </c>
      <c r="N15" s="23" t="n">
        <v>0</v>
      </c>
      <c r="O15" s="23" t="n">
        <v>90</v>
      </c>
      <c r="P15" s="23" t="n">
        <v>0</v>
      </c>
      <c r="Q15" s="23" t="n">
        <v>0</v>
      </c>
      <c r="R15" s="23" t="n">
        <v>0</v>
      </c>
      <c r="S15" s="23" t="n">
        <v>0</v>
      </c>
      <c r="T15" s="23"/>
      <c r="U15" s="23" t="s">
        <v>162</v>
      </c>
    </row>
    <row r="16" customFormat="false" ht="15" hidden="false" customHeight="false" outlineLevel="0" collapsed="false">
      <c r="A16" s="23" t="s">
        <v>187</v>
      </c>
      <c r="B16" s="23" t="n">
        <v>12</v>
      </c>
      <c r="C16" s="23" t="s">
        <v>88</v>
      </c>
      <c r="D16" s="23" t="s">
        <v>174</v>
      </c>
      <c r="E16" s="23" t="s">
        <v>30</v>
      </c>
      <c r="F16" s="23" t="s">
        <v>188</v>
      </c>
      <c r="G16" s="23" t="s">
        <v>175</v>
      </c>
      <c r="H16" s="23" t="s">
        <v>176</v>
      </c>
      <c r="I16" s="23" t="n">
        <v>9.431</v>
      </c>
      <c r="J16" s="23" t="n">
        <v>73</v>
      </c>
      <c r="K16" s="23" t="n">
        <v>0</v>
      </c>
      <c r="L16" s="23" t="n">
        <v>115</v>
      </c>
      <c r="M16" s="23" t="n">
        <v>0</v>
      </c>
      <c r="N16" s="23" t="n">
        <v>115</v>
      </c>
      <c r="O16" s="23" t="n">
        <v>0</v>
      </c>
      <c r="P16" s="23" t="n">
        <v>0</v>
      </c>
      <c r="Q16" s="23" t="n">
        <v>0</v>
      </c>
      <c r="R16" s="23" t="n">
        <v>0</v>
      </c>
      <c r="S16" s="23" t="n">
        <v>1</v>
      </c>
      <c r="T16" s="23" t="s">
        <v>171</v>
      </c>
      <c r="U16" s="23" t="s">
        <v>189</v>
      </c>
    </row>
    <row r="17" customFormat="false" ht="15" hidden="false" customHeight="false" outlineLevel="0" collapsed="false">
      <c r="A17" s="23" t="s">
        <v>190</v>
      </c>
      <c r="B17" s="23" t="n">
        <v>13</v>
      </c>
      <c r="C17" s="23" t="s">
        <v>88</v>
      </c>
      <c r="D17" s="23" t="s">
        <v>174</v>
      </c>
      <c r="E17" s="23" t="s">
        <v>28</v>
      </c>
      <c r="F17" s="23" t="s">
        <v>164</v>
      </c>
      <c r="G17" s="23" t="s">
        <v>165</v>
      </c>
      <c r="H17" s="23" t="s">
        <v>161</v>
      </c>
      <c r="I17" s="23" t="n">
        <v>0.899</v>
      </c>
      <c r="J17" s="23" t="n">
        <v>40</v>
      </c>
      <c r="K17" s="23" t="n">
        <v>0</v>
      </c>
      <c r="L17" s="23" t="n">
        <v>0</v>
      </c>
      <c r="M17" s="23" t="n">
        <v>0</v>
      </c>
      <c r="N17" s="23" t="n">
        <v>0</v>
      </c>
      <c r="O17" s="23" t="n">
        <v>40</v>
      </c>
      <c r="P17" s="23" t="n">
        <v>0</v>
      </c>
      <c r="Q17" s="23" t="n">
        <v>0</v>
      </c>
      <c r="R17" s="23" t="n">
        <v>38</v>
      </c>
      <c r="S17" s="23" t="n">
        <v>0</v>
      </c>
      <c r="T17" s="23" t="s">
        <v>191</v>
      </c>
      <c r="U17" s="23" t="s">
        <v>162</v>
      </c>
    </row>
    <row r="18" customFormat="false" ht="15" hidden="false" customHeight="false" outlineLevel="0" collapsed="false">
      <c r="A18" s="23" t="s">
        <v>192</v>
      </c>
      <c r="B18" s="23" t="n">
        <v>14</v>
      </c>
      <c r="C18" s="23" t="s">
        <v>88</v>
      </c>
      <c r="D18" s="23" t="s">
        <v>174</v>
      </c>
      <c r="E18" s="23" t="s">
        <v>28</v>
      </c>
      <c r="F18" s="23" t="s">
        <v>164</v>
      </c>
      <c r="G18" s="23" t="s">
        <v>165</v>
      </c>
      <c r="H18" s="23" t="s">
        <v>170</v>
      </c>
      <c r="I18" s="23" t="n">
        <v>0.654</v>
      </c>
      <c r="J18" s="23" t="n">
        <v>30</v>
      </c>
      <c r="K18" s="23" t="n">
        <v>0</v>
      </c>
      <c r="L18" s="23" t="n">
        <v>0</v>
      </c>
      <c r="M18" s="23" t="n">
        <v>0</v>
      </c>
      <c r="N18" s="23" t="n">
        <v>0</v>
      </c>
      <c r="O18" s="23" t="n">
        <v>30</v>
      </c>
      <c r="P18" s="23" t="n">
        <v>0</v>
      </c>
      <c r="Q18" s="23" t="n">
        <v>0</v>
      </c>
      <c r="R18" s="23" t="n">
        <v>0</v>
      </c>
      <c r="S18" s="23" t="n">
        <v>0</v>
      </c>
      <c r="T18" s="23" t="s">
        <v>193</v>
      </c>
      <c r="U18" s="23" t="s">
        <v>172</v>
      </c>
    </row>
    <row r="19" customFormat="false" ht="15" hidden="false" customHeight="false" outlineLevel="0" collapsed="false">
      <c r="A19" s="23" t="s">
        <v>194</v>
      </c>
      <c r="B19" s="23" t="n">
        <v>15</v>
      </c>
      <c r="C19" s="23" t="s">
        <v>88</v>
      </c>
      <c r="D19" s="23" t="s">
        <v>174</v>
      </c>
      <c r="E19" s="23" t="s">
        <v>28</v>
      </c>
      <c r="F19" s="23" t="s">
        <v>159</v>
      </c>
      <c r="G19" s="23" t="s">
        <v>165</v>
      </c>
      <c r="H19" s="23" t="s">
        <v>161</v>
      </c>
      <c r="I19" s="23" t="n">
        <v>3.003</v>
      </c>
      <c r="J19" s="23" t="n">
        <v>135</v>
      </c>
      <c r="K19" s="23" t="n">
        <v>0</v>
      </c>
      <c r="L19" s="23" t="n">
        <v>0</v>
      </c>
      <c r="M19" s="23" t="n">
        <v>0</v>
      </c>
      <c r="N19" s="23" t="n">
        <v>0</v>
      </c>
      <c r="O19" s="23" t="n">
        <v>135</v>
      </c>
      <c r="P19" s="23" t="n">
        <v>0</v>
      </c>
      <c r="Q19" s="23" t="n">
        <v>0</v>
      </c>
      <c r="R19" s="23" t="n">
        <v>0</v>
      </c>
      <c r="S19" s="23" t="n">
        <v>0</v>
      </c>
      <c r="T19" s="23"/>
      <c r="U19" s="23" t="s">
        <v>162</v>
      </c>
    </row>
    <row r="20" customFormat="false" ht="15" hidden="false" customHeight="false" outlineLevel="0" collapsed="false">
      <c r="A20" s="23" t="s">
        <v>195</v>
      </c>
      <c r="B20" s="23" t="n">
        <v>16</v>
      </c>
      <c r="C20" s="23" t="s">
        <v>88</v>
      </c>
      <c r="D20" s="23" t="s">
        <v>174</v>
      </c>
      <c r="E20" s="23" t="s">
        <v>28</v>
      </c>
      <c r="F20" s="23" t="s">
        <v>164</v>
      </c>
      <c r="G20" s="23" t="s">
        <v>165</v>
      </c>
      <c r="H20" s="23" t="s">
        <v>161</v>
      </c>
      <c r="I20" s="23" t="n">
        <v>0.436</v>
      </c>
      <c r="J20" s="23" t="n">
        <v>20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20</v>
      </c>
      <c r="P20" s="23" t="n">
        <v>0</v>
      </c>
      <c r="Q20" s="23" t="n">
        <v>0</v>
      </c>
      <c r="R20" s="23" t="n">
        <v>0</v>
      </c>
      <c r="S20" s="23" t="n">
        <v>0</v>
      </c>
      <c r="T20" s="23"/>
      <c r="U20" s="23" t="s">
        <v>162</v>
      </c>
    </row>
    <row r="21" customFormat="false" ht="15" hidden="false" customHeight="false" outlineLevel="0" collapsed="false">
      <c r="A21" s="23" t="s">
        <v>196</v>
      </c>
      <c r="B21" s="23" t="n">
        <v>20</v>
      </c>
      <c r="C21" s="23" t="s">
        <v>88</v>
      </c>
      <c r="D21" s="23" t="s">
        <v>174</v>
      </c>
      <c r="E21" s="23" t="s">
        <v>29</v>
      </c>
      <c r="F21" s="23" t="s">
        <v>188</v>
      </c>
      <c r="G21" s="23" t="s">
        <v>165</v>
      </c>
      <c r="H21" s="23" t="s">
        <v>161</v>
      </c>
      <c r="I21" s="23" t="n">
        <v>0.641</v>
      </c>
      <c r="J21" s="23" t="n">
        <v>29</v>
      </c>
      <c r="K21" s="23" t="n">
        <v>0</v>
      </c>
      <c r="L21" s="23" t="n">
        <v>0</v>
      </c>
      <c r="M21" s="23" t="n">
        <v>0</v>
      </c>
      <c r="N21" s="23" t="n">
        <v>0</v>
      </c>
      <c r="O21" s="23" t="n">
        <v>29</v>
      </c>
      <c r="P21" s="23" t="n">
        <v>0</v>
      </c>
      <c r="Q21" s="23" t="n">
        <v>0</v>
      </c>
      <c r="R21" s="23" t="n">
        <v>0</v>
      </c>
      <c r="S21" s="23" t="n">
        <v>0</v>
      </c>
      <c r="T21" s="23"/>
      <c r="U21" s="23" t="s">
        <v>162</v>
      </c>
    </row>
    <row r="22" customFormat="false" ht="15" hidden="false" customHeight="false" outlineLevel="0" collapsed="false">
      <c r="A22" s="23" t="s">
        <v>197</v>
      </c>
      <c r="B22" s="23" t="n">
        <v>21</v>
      </c>
      <c r="C22" s="23" t="s">
        <v>88</v>
      </c>
      <c r="D22" s="23" t="s">
        <v>174</v>
      </c>
      <c r="E22" s="23" t="s">
        <v>29</v>
      </c>
      <c r="F22" s="23" t="s">
        <v>159</v>
      </c>
      <c r="G22" s="23" t="s">
        <v>160</v>
      </c>
      <c r="H22" s="23" t="s">
        <v>176</v>
      </c>
      <c r="I22" s="23" t="n">
        <v>0.172</v>
      </c>
      <c r="J22" s="23" t="n">
        <v>31</v>
      </c>
      <c r="K22" s="23" t="n">
        <v>0</v>
      </c>
      <c r="L22" s="23" t="n">
        <v>0</v>
      </c>
      <c r="M22" s="23" t="n">
        <v>31</v>
      </c>
      <c r="N22" s="23" t="n">
        <v>31</v>
      </c>
      <c r="O22" s="23" t="n">
        <v>0</v>
      </c>
      <c r="P22" s="23" t="n">
        <v>0</v>
      </c>
      <c r="Q22" s="23" t="n">
        <v>0</v>
      </c>
      <c r="R22" s="23" t="n">
        <v>0</v>
      </c>
      <c r="S22" s="23" t="n">
        <v>1</v>
      </c>
      <c r="T22" s="23"/>
      <c r="U22" s="23" t="s">
        <v>162</v>
      </c>
    </row>
    <row r="23" customFormat="false" ht="15" hidden="false" customHeight="false" outlineLevel="0" collapsed="false">
      <c r="A23" s="23" t="s">
        <v>198</v>
      </c>
      <c r="B23" s="23" t="n">
        <v>24</v>
      </c>
      <c r="C23" s="23" t="s">
        <v>88</v>
      </c>
      <c r="D23" s="23" t="s">
        <v>174</v>
      </c>
      <c r="E23" s="23" t="s">
        <v>30</v>
      </c>
      <c r="F23" s="23" t="s">
        <v>159</v>
      </c>
      <c r="G23" s="23" t="s">
        <v>165</v>
      </c>
      <c r="H23" s="23" t="s">
        <v>176</v>
      </c>
      <c r="I23" s="23" t="n">
        <v>0.249</v>
      </c>
      <c r="J23" s="23" t="n">
        <v>46</v>
      </c>
      <c r="K23" s="23" t="n">
        <v>0</v>
      </c>
      <c r="L23" s="23" t="n">
        <v>0</v>
      </c>
      <c r="M23" s="23" t="n">
        <v>46</v>
      </c>
      <c r="N23" s="23" t="n">
        <v>46</v>
      </c>
      <c r="O23" s="23" t="n">
        <v>0</v>
      </c>
      <c r="P23" s="23" t="n">
        <v>0</v>
      </c>
      <c r="Q23" s="23" t="n">
        <v>0</v>
      </c>
      <c r="R23" s="23" t="n">
        <v>0</v>
      </c>
      <c r="S23" s="23" t="n">
        <v>1</v>
      </c>
      <c r="T23" s="23"/>
      <c r="U23" s="23" t="s">
        <v>162</v>
      </c>
    </row>
    <row r="24" customFormat="false" ht="15" hidden="false" customHeight="false" outlineLevel="0" collapsed="false">
      <c r="A24" s="23" t="s">
        <v>199</v>
      </c>
      <c r="B24" s="23" t="n">
        <v>25</v>
      </c>
      <c r="C24" s="23" t="s">
        <v>88</v>
      </c>
      <c r="D24" s="23" t="s">
        <v>174</v>
      </c>
      <c r="E24" s="23" t="s">
        <v>28</v>
      </c>
      <c r="F24" s="23" t="s">
        <v>164</v>
      </c>
      <c r="G24" s="23" t="s">
        <v>165</v>
      </c>
      <c r="H24" s="23" t="s">
        <v>161</v>
      </c>
      <c r="I24" s="23" t="n">
        <v>0.125</v>
      </c>
      <c r="J24" s="23" t="n">
        <v>6</v>
      </c>
      <c r="K24" s="23" t="n">
        <v>0</v>
      </c>
      <c r="L24" s="23" t="n">
        <v>0</v>
      </c>
      <c r="M24" s="23" t="n">
        <v>0</v>
      </c>
      <c r="N24" s="23" t="n">
        <v>0</v>
      </c>
      <c r="O24" s="23" t="n">
        <v>6</v>
      </c>
      <c r="P24" s="23" t="n">
        <v>0</v>
      </c>
      <c r="Q24" s="23" t="n">
        <v>6</v>
      </c>
      <c r="R24" s="23" t="n">
        <v>0</v>
      </c>
      <c r="S24" s="23" t="n">
        <v>1</v>
      </c>
      <c r="T24" s="23"/>
      <c r="U24" s="23" t="s">
        <v>162</v>
      </c>
    </row>
    <row r="25" customFormat="false" ht="15" hidden="false" customHeight="false" outlineLevel="0" collapsed="false">
      <c r="A25" s="23" t="s">
        <v>200</v>
      </c>
      <c r="B25" s="23" t="n">
        <v>164</v>
      </c>
      <c r="C25" s="23" t="s">
        <v>88</v>
      </c>
      <c r="D25" s="23"/>
      <c r="E25" s="23" t="s">
        <v>30</v>
      </c>
      <c r="F25" s="23"/>
      <c r="G25" s="23"/>
      <c r="H25" s="23"/>
      <c r="I25" s="23" t="n">
        <v>5.112</v>
      </c>
      <c r="J25" s="23" t="n">
        <v>179</v>
      </c>
      <c r="K25" s="23" t="n">
        <v>0</v>
      </c>
      <c r="L25" s="23" t="n">
        <v>0</v>
      </c>
      <c r="M25" s="23" t="n">
        <v>0</v>
      </c>
      <c r="N25" s="23" t="n">
        <v>0</v>
      </c>
      <c r="O25" s="23" t="n">
        <v>179</v>
      </c>
      <c r="P25" s="23" t="n">
        <v>0</v>
      </c>
      <c r="Q25" s="23" t="n">
        <v>0</v>
      </c>
      <c r="R25" s="23" t="n">
        <v>0</v>
      </c>
      <c r="S25" s="23" t="n">
        <v>0</v>
      </c>
      <c r="T25" s="23"/>
      <c r="U25" s="23" t="s">
        <v>201</v>
      </c>
    </row>
    <row r="26" customFormat="false" ht="15" hidden="false" customHeight="false" outlineLevel="0" collapsed="false">
      <c r="A26" s="23" t="s">
        <v>202</v>
      </c>
      <c r="B26" s="23" t="n">
        <v>53</v>
      </c>
      <c r="C26" s="23" t="s">
        <v>89</v>
      </c>
      <c r="D26" s="23" t="s">
        <v>203</v>
      </c>
      <c r="E26" s="23" t="s">
        <v>29</v>
      </c>
      <c r="F26" s="23" t="s">
        <v>159</v>
      </c>
      <c r="G26" s="23" t="s">
        <v>165</v>
      </c>
      <c r="H26" s="23" t="s">
        <v>176</v>
      </c>
      <c r="I26" s="23" t="n">
        <v>2.401</v>
      </c>
      <c r="J26" s="23" t="n">
        <v>108</v>
      </c>
      <c r="K26" s="23" t="n">
        <v>0</v>
      </c>
      <c r="L26" s="23" t="n">
        <v>0</v>
      </c>
      <c r="M26" s="23" t="n">
        <v>196</v>
      </c>
      <c r="N26" s="23" t="n">
        <v>196</v>
      </c>
      <c r="O26" s="23" t="n">
        <v>0</v>
      </c>
      <c r="P26" s="23" t="n">
        <v>0</v>
      </c>
      <c r="Q26" s="23" t="n">
        <v>0</v>
      </c>
      <c r="R26" s="23" t="n">
        <v>0</v>
      </c>
      <c r="S26" s="23" t="n">
        <v>1</v>
      </c>
      <c r="T26" s="23" t="s">
        <v>171</v>
      </c>
      <c r="U26" s="23" t="s">
        <v>162</v>
      </c>
    </row>
    <row r="27" customFormat="false" ht="15" hidden="false" customHeight="false" outlineLevel="0" collapsed="false">
      <c r="A27" s="23" t="s">
        <v>204</v>
      </c>
      <c r="B27" s="23" t="n">
        <v>54</v>
      </c>
      <c r="C27" s="23" t="s">
        <v>89</v>
      </c>
      <c r="D27" s="23" t="s">
        <v>203</v>
      </c>
      <c r="E27" s="23" t="s">
        <v>29</v>
      </c>
      <c r="F27" s="23" t="s">
        <v>159</v>
      </c>
      <c r="G27" s="23" t="s">
        <v>165</v>
      </c>
      <c r="H27" s="23" t="s">
        <v>161</v>
      </c>
      <c r="I27" s="23" t="n">
        <v>1.435</v>
      </c>
      <c r="J27" s="23" t="n">
        <v>65</v>
      </c>
      <c r="K27" s="23" t="n">
        <v>0</v>
      </c>
      <c r="L27" s="23" t="n">
        <v>0</v>
      </c>
      <c r="M27" s="23" t="n">
        <v>0</v>
      </c>
      <c r="N27" s="23" t="n">
        <v>0</v>
      </c>
      <c r="O27" s="23" t="n">
        <v>65</v>
      </c>
      <c r="P27" s="23" t="n">
        <v>0</v>
      </c>
      <c r="Q27" s="23" t="n">
        <v>0</v>
      </c>
      <c r="R27" s="23" t="n">
        <v>0</v>
      </c>
      <c r="S27" s="23" t="n">
        <v>0</v>
      </c>
      <c r="T27" s="23"/>
      <c r="U27" s="23" t="s">
        <v>162</v>
      </c>
    </row>
    <row r="28" customFormat="false" ht="15" hidden="false" customHeight="false" outlineLevel="0" collapsed="false">
      <c r="A28" s="23" t="s">
        <v>205</v>
      </c>
      <c r="B28" s="23" t="n">
        <v>56</v>
      </c>
      <c r="C28" s="23" t="s">
        <v>89</v>
      </c>
      <c r="D28" s="23" t="s">
        <v>203</v>
      </c>
      <c r="E28" s="23" t="s">
        <v>29</v>
      </c>
      <c r="F28" s="23" t="s">
        <v>159</v>
      </c>
      <c r="G28" s="23" t="s">
        <v>165</v>
      </c>
      <c r="H28" s="23" t="s">
        <v>170</v>
      </c>
      <c r="I28" s="23" t="n">
        <v>3.528</v>
      </c>
      <c r="J28" s="23" t="n">
        <v>123</v>
      </c>
      <c r="K28" s="23" t="n">
        <v>0</v>
      </c>
      <c r="L28" s="23" t="n">
        <v>32</v>
      </c>
      <c r="M28" s="23" t="n">
        <v>114</v>
      </c>
      <c r="N28" s="23" t="n">
        <v>146</v>
      </c>
      <c r="O28" s="23" t="n">
        <v>0</v>
      </c>
      <c r="P28" s="23" t="n">
        <v>0</v>
      </c>
      <c r="Q28" s="23" t="n">
        <v>0</v>
      </c>
      <c r="R28" s="23" t="n">
        <v>0</v>
      </c>
      <c r="S28" s="23" t="n">
        <v>2</v>
      </c>
      <c r="T28" s="23" t="s">
        <v>171</v>
      </c>
      <c r="U28" s="23" t="s">
        <v>172</v>
      </c>
    </row>
    <row r="29" customFormat="false" ht="15" hidden="false" customHeight="false" outlineLevel="0" collapsed="false">
      <c r="A29" s="23" t="s">
        <v>206</v>
      </c>
      <c r="B29" s="23" t="n">
        <v>57</v>
      </c>
      <c r="C29" s="23" t="s">
        <v>89</v>
      </c>
      <c r="D29" s="23" t="s">
        <v>203</v>
      </c>
      <c r="E29" s="23" t="s">
        <v>29</v>
      </c>
      <c r="F29" s="23" t="s">
        <v>159</v>
      </c>
      <c r="G29" s="23" t="s">
        <v>165</v>
      </c>
      <c r="H29" s="23" t="s">
        <v>161</v>
      </c>
      <c r="I29" s="23" t="n">
        <v>12.36</v>
      </c>
      <c r="J29" s="23" t="n">
        <v>508</v>
      </c>
      <c r="K29" s="23" t="n">
        <v>0</v>
      </c>
      <c r="L29" s="23" t="n">
        <v>0</v>
      </c>
      <c r="M29" s="23" t="n">
        <v>523</v>
      </c>
      <c r="N29" s="23" t="n">
        <v>523</v>
      </c>
      <c r="O29" s="23" t="n">
        <v>0</v>
      </c>
      <c r="P29" s="23" t="n">
        <v>0</v>
      </c>
      <c r="Q29" s="23" t="n">
        <v>0</v>
      </c>
      <c r="R29" s="23" t="n">
        <v>0</v>
      </c>
      <c r="S29" s="23" t="n">
        <v>1</v>
      </c>
      <c r="T29" s="23"/>
      <c r="U29" s="23" t="s">
        <v>162</v>
      </c>
    </row>
    <row r="30" customFormat="false" ht="15" hidden="false" customHeight="false" outlineLevel="0" collapsed="false">
      <c r="A30" s="23" t="s">
        <v>207</v>
      </c>
      <c r="B30" s="23" t="n">
        <v>60</v>
      </c>
      <c r="C30" s="23" t="s">
        <v>89</v>
      </c>
      <c r="D30" s="23" t="s">
        <v>203</v>
      </c>
      <c r="E30" s="23" t="s">
        <v>29</v>
      </c>
      <c r="F30" s="23" t="s">
        <v>159</v>
      </c>
      <c r="G30" s="23" t="s">
        <v>165</v>
      </c>
      <c r="H30" s="23" t="s">
        <v>161</v>
      </c>
      <c r="I30" s="23" t="n">
        <v>1.133</v>
      </c>
      <c r="J30" s="23" t="n">
        <v>51</v>
      </c>
      <c r="K30" s="23" t="n">
        <v>0</v>
      </c>
      <c r="L30" s="23" t="n">
        <v>0</v>
      </c>
      <c r="M30" s="23" t="n">
        <v>0</v>
      </c>
      <c r="N30" s="23" t="n">
        <v>0</v>
      </c>
      <c r="O30" s="23" t="n">
        <v>51</v>
      </c>
      <c r="P30" s="23" t="n">
        <v>0</v>
      </c>
      <c r="Q30" s="23" t="n">
        <v>0</v>
      </c>
      <c r="R30" s="23" t="n">
        <v>0</v>
      </c>
      <c r="S30" s="23" t="n">
        <v>0</v>
      </c>
      <c r="T30" s="23"/>
      <c r="U30" s="23" t="s">
        <v>162</v>
      </c>
    </row>
    <row r="31" customFormat="false" ht="15" hidden="false" customHeight="false" outlineLevel="0" collapsed="false">
      <c r="A31" s="23" t="s">
        <v>208</v>
      </c>
      <c r="B31" s="23" t="n">
        <v>61</v>
      </c>
      <c r="C31" s="23" t="s">
        <v>89</v>
      </c>
      <c r="D31" s="23" t="s">
        <v>203</v>
      </c>
      <c r="E31" s="23" t="s">
        <v>29</v>
      </c>
      <c r="F31" s="23" t="s">
        <v>159</v>
      </c>
      <c r="G31" s="23" t="s">
        <v>165</v>
      </c>
      <c r="H31" s="23" t="s">
        <v>176</v>
      </c>
      <c r="I31" s="23" t="n">
        <v>2.467</v>
      </c>
      <c r="J31" s="23" t="n">
        <v>137</v>
      </c>
      <c r="K31" s="23" t="n">
        <v>0</v>
      </c>
      <c r="L31" s="23" t="n">
        <v>0</v>
      </c>
      <c r="M31" s="23" t="n">
        <v>0</v>
      </c>
      <c r="N31" s="23" t="n">
        <v>0</v>
      </c>
      <c r="O31" s="23" t="n">
        <v>137</v>
      </c>
      <c r="P31" s="23" t="n">
        <v>137</v>
      </c>
      <c r="Q31" s="23" t="n">
        <v>0</v>
      </c>
      <c r="R31" s="23" t="n">
        <v>0</v>
      </c>
      <c r="S31" s="23" t="n">
        <v>1</v>
      </c>
      <c r="T31" s="23" t="s">
        <v>193</v>
      </c>
      <c r="U31" s="23" t="s">
        <v>162</v>
      </c>
    </row>
    <row r="32" customFormat="false" ht="15" hidden="false" customHeight="false" outlineLevel="0" collapsed="false">
      <c r="A32" s="23" t="s">
        <v>209</v>
      </c>
      <c r="B32" s="23" t="n">
        <v>62</v>
      </c>
      <c r="C32" s="23" t="s">
        <v>89</v>
      </c>
      <c r="D32" s="23" t="s">
        <v>203</v>
      </c>
      <c r="E32" s="23" t="s">
        <v>29</v>
      </c>
      <c r="F32" s="23" t="s">
        <v>164</v>
      </c>
      <c r="G32" s="23" t="s">
        <v>165</v>
      </c>
      <c r="H32" s="23" t="s">
        <v>161</v>
      </c>
      <c r="I32" s="23" t="n">
        <v>1.582</v>
      </c>
      <c r="J32" s="23" t="n">
        <v>71</v>
      </c>
      <c r="K32" s="23" t="n">
        <v>0</v>
      </c>
      <c r="L32" s="23" t="n">
        <v>0</v>
      </c>
      <c r="M32" s="23" t="n">
        <v>76</v>
      </c>
      <c r="N32" s="23" t="n">
        <v>76</v>
      </c>
      <c r="O32" s="23" t="n">
        <v>0</v>
      </c>
      <c r="P32" s="23" t="n">
        <v>0</v>
      </c>
      <c r="Q32" s="23" t="n">
        <v>0</v>
      </c>
      <c r="R32" s="23" t="n">
        <v>0</v>
      </c>
      <c r="S32" s="23" t="n">
        <v>1</v>
      </c>
      <c r="T32" s="23"/>
      <c r="U32" s="23" t="s">
        <v>162</v>
      </c>
    </row>
    <row r="33" customFormat="false" ht="15" hidden="false" customHeight="false" outlineLevel="0" collapsed="false">
      <c r="A33" s="23" t="s">
        <v>210</v>
      </c>
      <c r="B33" s="23" t="n">
        <v>63</v>
      </c>
      <c r="C33" s="23" t="s">
        <v>89</v>
      </c>
      <c r="D33" s="23" t="s">
        <v>203</v>
      </c>
      <c r="E33" s="23" t="s">
        <v>28</v>
      </c>
      <c r="F33" s="23" t="s">
        <v>159</v>
      </c>
      <c r="G33" s="23" t="s">
        <v>160</v>
      </c>
      <c r="H33" s="23" t="s">
        <v>161</v>
      </c>
      <c r="I33" s="23" t="n">
        <v>0.467</v>
      </c>
      <c r="J33" s="23" t="n">
        <v>21</v>
      </c>
      <c r="K33" s="23" t="n">
        <v>0</v>
      </c>
      <c r="L33" s="23" t="n">
        <v>0</v>
      </c>
      <c r="M33" s="23" t="n">
        <v>0</v>
      </c>
      <c r="N33" s="23" t="n">
        <v>0</v>
      </c>
      <c r="O33" s="23" t="n">
        <v>21</v>
      </c>
      <c r="P33" s="23" t="n">
        <v>0</v>
      </c>
      <c r="Q33" s="23" t="n">
        <v>0</v>
      </c>
      <c r="R33" s="23" t="n">
        <v>0</v>
      </c>
      <c r="S33" s="23" t="n">
        <v>0</v>
      </c>
      <c r="T33" s="23"/>
      <c r="U33" s="23" t="s">
        <v>162</v>
      </c>
    </row>
    <row r="34" customFormat="false" ht="15" hidden="false" customHeight="false" outlineLevel="0" collapsed="false">
      <c r="A34" s="23" t="s">
        <v>211</v>
      </c>
      <c r="B34" s="23" t="n">
        <v>65</v>
      </c>
      <c r="C34" s="23" t="s">
        <v>89</v>
      </c>
      <c r="D34" s="23" t="s">
        <v>203</v>
      </c>
      <c r="E34" s="23" t="s">
        <v>29</v>
      </c>
      <c r="F34" s="23" t="s">
        <v>159</v>
      </c>
      <c r="G34" s="23" t="s">
        <v>165</v>
      </c>
      <c r="H34" s="23" t="s">
        <v>161</v>
      </c>
      <c r="I34" s="23" t="n">
        <v>1.181</v>
      </c>
      <c r="J34" s="23" t="n">
        <v>53</v>
      </c>
      <c r="K34" s="23" t="n">
        <v>0</v>
      </c>
      <c r="L34" s="23" t="n">
        <v>0</v>
      </c>
      <c r="M34" s="23" t="n">
        <v>0</v>
      </c>
      <c r="N34" s="23" t="n">
        <v>0</v>
      </c>
      <c r="O34" s="23" t="n">
        <v>53</v>
      </c>
      <c r="P34" s="23" t="n">
        <v>0</v>
      </c>
      <c r="Q34" s="23" t="n">
        <v>0</v>
      </c>
      <c r="R34" s="23" t="n">
        <v>0</v>
      </c>
      <c r="S34" s="23" t="n">
        <v>0</v>
      </c>
      <c r="T34" s="23"/>
      <c r="U34" s="23" t="s">
        <v>162</v>
      </c>
    </row>
    <row r="35" customFormat="false" ht="15" hidden="false" customHeight="false" outlineLevel="0" collapsed="false">
      <c r="A35" s="23" t="s">
        <v>212</v>
      </c>
      <c r="B35" s="23" t="n">
        <v>66</v>
      </c>
      <c r="C35" s="23" t="s">
        <v>89</v>
      </c>
      <c r="D35" s="23" t="s">
        <v>203</v>
      </c>
      <c r="E35" s="23" t="s">
        <v>29</v>
      </c>
      <c r="F35" s="23" t="s">
        <v>159</v>
      </c>
      <c r="G35" s="23" t="s">
        <v>165</v>
      </c>
      <c r="H35" s="23" t="s">
        <v>161</v>
      </c>
      <c r="I35" s="23" t="n">
        <v>0.191</v>
      </c>
      <c r="J35" s="23" t="n">
        <v>7</v>
      </c>
      <c r="K35" s="23" t="n">
        <v>0</v>
      </c>
      <c r="L35" s="23" t="n">
        <v>0</v>
      </c>
      <c r="M35" s="23" t="n">
        <v>0</v>
      </c>
      <c r="N35" s="23" t="n">
        <v>0</v>
      </c>
      <c r="O35" s="23" t="n">
        <v>7</v>
      </c>
      <c r="P35" s="23" t="n">
        <v>0</v>
      </c>
      <c r="Q35" s="23" t="n">
        <v>0</v>
      </c>
      <c r="R35" s="23" t="n">
        <v>0</v>
      </c>
      <c r="S35" s="23" t="n">
        <v>0</v>
      </c>
      <c r="T35" s="23"/>
      <c r="U35" s="23" t="s">
        <v>162</v>
      </c>
    </row>
    <row r="36" customFormat="false" ht="15" hidden="false" customHeight="false" outlineLevel="0" collapsed="false">
      <c r="A36" s="23" t="s">
        <v>213</v>
      </c>
      <c r="B36" s="23" t="n">
        <v>67</v>
      </c>
      <c r="C36" s="23" t="s">
        <v>89</v>
      </c>
      <c r="D36" s="23" t="s">
        <v>203</v>
      </c>
      <c r="E36" s="23" t="s">
        <v>29</v>
      </c>
      <c r="F36" s="23" t="s">
        <v>159</v>
      </c>
      <c r="G36" s="23" t="s">
        <v>165</v>
      </c>
      <c r="H36" s="23" t="s">
        <v>161</v>
      </c>
      <c r="I36" s="23" t="n">
        <v>2.056</v>
      </c>
      <c r="J36" s="23" t="n">
        <v>72</v>
      </c>
      <c r="K36" s="23" t="n">
        <v>0</v>
      </c>
      <c r="L36" s="23" t="n">
        <v>0</v>
      </c>
      <c r="M36" s="23" t="n">
        <v>0</v>
      </c>
      <c r="N36" s="23" t="n">
        <v>0</v>
      </c>
      <c r="O36" s="23" t="n">
        <v>72</v>
      </c>
      <c r="P36" s="23" t="n">
        <v>0</v>
      </c>
      <c r="Q36" s="23" t="n">
        <v>0</v>
      </c>
      <c r="R36" s="23" t="n">
        <v>0</v>
      </c>
      <c r="S36" s="23" t="n">
        <v>0</v>
      </c>
      <c r="T36" s="23"/>
      <c r="U36" s="23" t="s">
        <v>162</v>
      </c>
    </row>
    <row r="37" customFormat="false" ht="15" hidden="false" customHeight="false" outlineLevel="0" collapsed="false">
      <c r="A37" s="23" t="s">
        <v>214</v>
      </c>
      <c r="B37" s="23" t="n">
        <v>69</v>
      </c>
      <c r="C37" s="23" t="s">
        <v>89</v>
      </c>
      <c r="D37" s="23" t="s">
        <v>203</v>
      </c>
      <c r="E37" s="23" t="s">
        <v>29</v>
      </c>
      <c r="F37" s="23" t="s">
        <v>159</v>
      </c>
      <c r="G37" s="23" t="s">
        <v>175</v>
      </c>
      <c r="H37" s="23" t="s">
        <v>161</v>
      </c>
      <c r="I37" s="23" t="n">
        <v>8.746</v>
      </c>
      <c r="J37" s="23" t="n">
        <v>310</v>
      </c>
      <c r="K37" s="23" t="n">
        <v>0</v>
      </c>
      <c r="L37" s="23" t="n">
        <v>0</v>
      </c>
      <c r="M37" s="23" t="n">
        <v>0</v>
      </c>
      <c r="N37" s="23" t="n">
        <v>0</v>
      </c>
      <c r="O37" s="23" t="n">
        <v>310</v>
      </c>
      <c r="P37" s="23" t="n">
        <v>0</v>
      </c>
      <c r="Q37" s="23" t="n">
        <v>0</v>
      </c>
      <c r="R37" s="23" t="n">
        <v>0</v>
      </c>
      <c r="S37" s="23" t="n">
        <v>0</v>
      </c>
      <c r="T37" s="23"/>
      <c r="U37" s="23" t="s">
        <v>162</v>
      </c>
    </row>
    <row r="38" customFormat="false" ht="15" hidden="false" customHeight="false" outlineLevel="0" collapsed="false">
      <c r="A38" s="23" t="s">
        <v>215</v>
      </c>
      <c r="B38" s="23" t="n">
        <v>70</v>
      </c>
      <c r="C38" s="23" t="s">
        <v>89</v>
      </c>
      <c r="D38" s="23" t="s">
        <v>203</v>
      </c>
      <c r="E38" s="23" t="s">
        <v>29</v>
      </c>
      <c r="F38" s="23" t="s">
        <v>159</v>
      </c>
      <c r="G38" s="23" t="s">
        <v>175</v>
      </c>
      <c r="H38" s="23" t="s">
        <v>161</v>
      </c>
      <c r="I38" s="23" t="n">
        <v>8.56</v>
      </c>
      <c r="J38" s="23" t="n">
        <v>375</v>
      </c>
      <c r="K38" s="23" t="n">
        <v>0</v>
      </c>
      <c r="L38" s="23" t="n">
        <v>0</v>
      </c>
      <c r="M38" s="23" t="n">
        <v>0</v>
      </c>
      <c r="N38" s="23" t="n">
        <v>0</v>
      </c>
      <c r="O38" s="23" t="n">
        <v>375</v>
      </c>
      <c r="P38" s="23" t="n">
        <v>0</v>
      </c>
      <c r="Q38" s="23" t="n">
        <v>0</v>
      </c>
      <c r="R38" s="23" t="n">
        <v>0</v>
      </c>
      <c r="S38" s="23" t="n">
        <v>0</v>
      </c>
      <c r="T38" s="23"/>
      <c r="U38" s="23" t="s">
        <v>162</v>
      </c>
    </row>
    <row r="39" customFormat="false" ht="15" hidden="false" customHeight="false" outlineLevel="0" collapsed="false">
      <c r="A39" s="23" t="s">
        <v>216</v>
      </c>
      <c r="B39" s="23" t="n">
        <v>71</v>
      </c>
      <c r="C39" s="23" t="s">
        <v>89</v>
      </c>
      <c r="D39" s="23" t="s">
        <v>203</v>
      </c>
      <c r="E39" s="23" t="s">
        <v>29</v>
      </c>
      <c r="F39" s="23" t="s">
        <v>159</v>
      </c>
      <c r="G39" s="23" t="s">
        <v>165</v>
      </c>
      <c r="H39" s="23" t="s">
        <v>161</v>
      </c>
      <c r="I39" s="23" t="n">
        <v>3.167</v>
      </c>
      <c r="J39" s="23" t="n">
        <v>141</v>
      </c>
      <c r="K39" s="23" t="n">
        <v>0</v>
      </c>
      <c r="L39" s="23" t="n">
        <v>0</v>
      </c>
      <c r="M39" s="23" t="n">
        <v>465</v>
      </c>
      <c r="N39" s="23" t="n">
        <v>465</v>
      </c>
      <c r="O39" s="23" t="n">
        <v>0</v>
      </c>
      <c r="P39" s="23" t="n">
        <v>0</v>
      </c>
      <c r="Q39" s="23" t="n">
        <v>0</v>
      </c>
      <c r="R39" s="23" t="n">
        <v>0</v>
      </c>
      <c r="S39" s="23" t="n">
        <v>1</v>
      </c>
      <c r="T39" s="23" t="s">
        <v>171</v>
      </c>
      <c r="U39" s="23" t="s">
        <v>162</v>
      </c>
    </row>
    <row r="40" customFormat="false" ht="15" hidden="false" customHeight="false" outlineLevel="0" collapsed="false">
      <c r="A40" s="23" t="s">
        <v>217</v>
      </c>
      <c r="B40" s="23" t="n">
        <v>72</v>
      </c>
      <c r="C40" s="23" t="s">
        <v>89</v>
      </c>
      <c r="D40" s="23" t="s">
        <v>203</v>
      </c>
      <c r="E40" s="23" t="s">
        <v>29</v>
      </c>
      <c r="F40" s="23" t="s">
        <v>188</v>
      </c>
      <c r="G40" s="23" t="s">
        <v>175</v>
      </c>
      <c r="H40" s="23" t="s">
        <v>176</v>
      </c>
      <c r="I40" s="23" t="n">
        <v>4.8</v>
      </c>
      <c r="J40" s="23" t="n">
        <v>216</v>
      </c>
      <c r="K40" s="23" t="n">
        <v>0</v>
      </c>
      <c r="L40" s="23" t="n">
        <v>48</v>
      </c>
      <c r="M40" s="23" t="n">
        <v>212</v>
      </c>
      <c r="N40" s="23" t="n">
        <v>260</v>
      </c>
      <c r="O40" s="23" t="n">
        <v>0</v>
      </c>
      <c r="P40" s="23" t="n">
        <v>0</v>
      </c>
      <c r="Q40" s="23" t="n">
        <v>0</v>
      </c>
      <c r="R40" s="23" t="n">
        <v>0</v>
      </c>
      <c r="S40" s="23" t="n">
        <v>2</v>
      </c>
      <c r="T40" s="23" t="s">
        <v>171</v>
      </c>
      <c r="U40" s="23" t="s">
        <v>172</v>
      </c>
    </row>
    <row r="41" customFormat="false" ht="15" hidden="false" customHeight="false" outlineLevel="0" collapsed="false">
      <c r="A41" s="23" t="s">
        <v>218</v>
      </c>
      <c r="B41" s="23" t="n">
        <v>159</v>
      </c>
      <c r="C41" s="23" t="s">
        <v>89</v>
      </c>
      <c r="D41" s="23" t="s">
        <v>203</v>
      </c>
      <c r="E41" s="23" t="s">
        <v>29</v>
      </c>
      <c r="F41" s="23" t="s">
        <v>159</v>
      </c>
      <c r="G41" s="23" t="s">
        <v>175</v>
      </c>
      <c r="H41" s="23" t="s">
        <v>161</v>
      </c>
      <c r="I41" s="23" t="n">
        <v>2.734</v>
      </c>
      <c r="J41" s="23" t="n">
        <v>97</v>
      </c>
      <c r="K41" s="23" t="n">
        <v>0</v>
      </c>
      <c r="L41" s="23" t="n">
        <v>0</v>
      </c>
      <c r="M41" s="23" t="n">
        <v>0</v>
      </c>
      <c r="N41" s="23" t="n">
        <v>0</v>
      </c>
      <c r="O41" s="23" t="n">
        <v>97</v>
      </c>
      <c r="P41" s="23" t="n">
        <v>0</v>
      </c>
      <c r="Q41" s="23" t="n">
        <v>0</v>
      </c>
      <c r="R41" s="23" t="n">
        <v>0</v>
      </c>
      <c r="S41" s="23" t="n">
        <v>0</v>
      </c>
      <c r="T41" s="23"/>
      <c r="U41" s="23" t="s">
        <v>162</v>
      </c>
    </row>
    <row r="42" customFormat="false" ht="15" hidden="false" customHeight="false" outlineLevel="0" collapsed="false">
      <c r="A42" s="23" t="s">
        <v>219</v>
      </c>
      <c r="B42" s="23" t="n">
        <v>22</v>
      </c>
      <c r="C42" s="23" t="s">
        <v>90</v>
      </c>
      <c r="D42" s="23" t="s">
        <v>174</v>
      </c>
      <c r="E42" s="23" t="s">
        <v>28</v>
      </c>
      <c r="F42" s="23" t="s">
        <v>220</v>
      </c>
      <c r="G42" s="23" t="s">
        <v>160</v>
      </c>
      <c r="H42" s="23" t="s">
        <v>161</v>
      </c>
      <c r="I42" s="23" t="n">
        <v>3.919</v>
      </c>
      <c r="J42" s="23" t="n">
        <v>500</v>
      </c>
      <c r="K42" s="23" t="n">
        <v>0</v>
      </c>
      <c r="L42" s="23" t="n">
        <v>0</v>
      </c>
      <c r="M42" s="23" t="n">
        <v>0</v>
      </c>
      <c r="N42" s="23" t="n">
        <v>0</v>
      </c>
      <c r="O42" s="23" t="n">
        <v>500</v>
      </c>
      <c r="P42" s="23" t="n">
        <v>0</v>
      </c>
      <c r="Q42" s="23" t="n">
        <v>0</v>
      </c>
      <c r="R42" s="23" t="n">
        <v>0</v>
      </c>
      <c r="S42" s="23" t="n">
        <v>0</v>
      </c>
      <c r="T42" s="23"/>
      <c r="U42" s="23" t="s">
        <v>162</v>
      </c>
    </row>
    <row r="43" customFormat="false" ht="15" hidden="false" customHeight="false" outlineLevel="0" collapsed="false">
      <c r="A43" s="23" t="s">
        <v>221</v>
      </c>
      <c r="B43" s="23" t="n">
        <v>23</v>
      </c>
      <c r="C43" s="23" t="s">
        <v>90</v>
      </c>
      <c r="D43" s="23" t="s">
        <v>174</v>
      </c>
      <c r="E43" s="23" t="s">
        <v>28</v>
      </c>
      <c r="F43" s="23" t="s">
        <v>159</v>
      </c>
      <c r="G43" s="23" t="s">
        <v>165</v>
      </c>
      <c r="H43" s="23" t="s">
        <v>161</v>
      </c>
      <c r="I43" s="23" t="n">
        <v>0.148</v>
      </c>
      <c r="J43" s="23" t="n">
        <v>7</v>
      </c>
      <c r="K43" s="23" t="n">
        <v>0</v>
      </c>
      <c r="L43" s="23" t="n">
        <v>0</v>
      </c>
      <c r="M43" s="23" t="n">
        <v>0</v>
      </c>
      <c r="N43" s="23" t="n">
        <v>0</v>
      </c>
      <c r="O43" s="23" t="n">
        <v>7</v>
      </c>
      <c r="P43" s="23" t="n">
        <v>0</v>
      </c>
      <c r="Q43" s="23" t="n">
        <v>0</v>
      </c>
      <c r="R43" s="23" t="n">
        <v>0</v>
      </c>
      <c r="S43" s="23" t="n">
        <v>0</v>
      </c>
      <c r="T43" s="23"/>
      <c r="U43" s="23" t="s">
        <v>162</v>
      </c>
    </row>
    <row r="44" customFormat="false" ht="15" hidden="false" customHeight="false" outlineLevel="0" collapsed="false">
      <c r="A44" s="23" t="s">
        <v>222</v>
      </c>
      <c r="B44" s="23" t="n">
        <v>86</v>
      </c>
      <c r="C44" s="23" t="s">
        <v>90</v>
      </c>
      <c r="D44" s="23" t="s">
        <v>90</v>
      </c>
      <c r="E44" s="23" t="s">
        <v>29</v>
      </c>
      <c r="F44" s="23" t="s">
        <v>220</v>
      </c>
      <c r="G44" s="23" t="s">
        <v>160</v>
      </c>
      <c r="H44" s="23" t="s">
        <v>161</v>
      </c>
      <c r="I44" s="23" t="n">
        <v>0.676</v>
      </c>
      <c r="J44" s="23" t="n">
        <v>68</v>
      </c>
      <c r="K44" s="23" t="n">
        <v>0</v>
      </c>
      <c r="L44" s="23" t="n">
        <v>0</v>
      </c>
      <c r="M44" s="23" t="n">
        <v>0</v>
      </c>
      <c r="N44" s="23" t="n">
        <v>0</v>
      </c>
      <c r="O44" s="23" t="n">
        <v>68</v>
      </c>
      <c r="P44" s="23" t="n">
        <v>0</v>
      </c>
      <c r="Q44" s="23" t="n">
        <v>0</v>
      </c>
      <c r="R44" s="23" t="n">
        <v>0</v>
      </c>
      <c r="S44" s="23" t="n">
        <v>0</v>
      </c>
      <c r="T44" s="23"/>
      <c r="U44" s="23" t="s">
        <v>162</v>
      </c>
    </row>
    <row r="45" customFormat="false" ht="15" hidden="false" customHeight="false" outlineLevel="0" collapsed="false">
      <c r="A45" s="23" t="s">
        <v>223</v>
      </c>
      <c r="B45" s="23" t="n">
        <v>87</v>
      </c>
      <c r="C45" s="23" t="s">
        <v>90</v>
      </c>
      <c r="D45" s="23" t="s">
        <v>90</v>
      </c>
      <c r="E45" s="23" t="s">
        <v>29</v>
      </c>
      <c r="F45" s="23" t="s">
        <v>220</v>
      </c>
      <c r="G45" s="23" t="s">
        <v>160</v>
      </c>
      <c r="H45" s="23" t="s">
        <v>161</v>
      </c>
      <c r="I45" s="23" t="n">
        <v>0.136</v>
      </c>
      <c r="J45" s="23" t="n">
        <v>14</v>
      </c>
      <c r="K45" s="23" t="n">
        <v>0</v>
      </c>
      <c r="L45" s="23" t="n">
        <v>0</v>
      </c>
      <c r="M45" s="23" t="n">
        <v>0</v>
      </c>
      <c r="N45" s="23" t="n">
        <v>0</v>
      </c>
      <c r="O45" s="23" t="n">
        <v>14</v>
      </c>
      <c r="P45" s="23" t="n">
        <v>0</v>
      </c>
      <c r="Q45" s="23" t="n">
        <v>0</v>
      </c>
      <c r="R45" s="23" t="n">
        <v>0</v>
      </c>
      <c r="S45" s="23" t="n">
        <v>0</v>
      </c>
      <c r="T45" s="23"/>
      <c r="U45" s="23" t="s">
        <v>162</v>
      </c>
    </row>
    <row r="46" customFormat="false" ht="15" hidden="false" customHeight="false" outlineLevel="0" collapsed="false">
      <c r="A46" s="23" t="s">
        <v>224</v>
      </c>
      <c r="B46" s="23" t="n">
        <v>88</v>
      </c>
      <c r="C46" s="23" t="s">
        <v>90</v>
      </c>
      <c r="D46" s="23" t="s">
        <v>90</v>
      </c>
      <c r="E46" s="23" t="s">
        <v>30</v>
      </c>
      <c r="F46" s="23" t="s">
        <v>90</v>
      </c>
      <c r="G46" s="23" t="s">
        <v>160</v>
      </c>
      <c r="H46" s="23" t="s">
        <v>161</v>
      </c>
      <c r="I46" s="23" t="n">
        <v>0.348</v>
      </c>
      <c r="J46" s="23" t="n">
        <v>35</v>
      </c>
      <c r="K46" s="23" t="n">
        <v>0</v>
      </c>
      <c r="L46" s="23" t="n">
        <v>0</v>
      </c>
      <c r="M46" s="23" t="n">
        <v>0</v>
      </c>
      <c r="N46" s="23" t="n">
        <v>0</v>
      </c>
      <c r="O46" s="23" t="n">
        <v>35</v>
      </c>
      <c r="P46" s="23" t="n">
        <v>0</v>
      </c>
      <c r="Q46" s="23" t="n">
        <v>0</v>
      </c>
      <c r="R46" s="23" t="n">
        <v>0</v>
      </c>
      <c r="S46" s="23" t="n">
        <v>0</v>
      </c>
      <c r="T46" s="23"/>
      <c r="U46" s="23" t="s">
        <v>162</v>
      </c>
    </row>
    <row r="47" customFormat="false" ht="15" hidden="false" customHeight="false" outlineLevel="0" collapsed="false">
      <c r="A47" s="23" t="s">
        <v>225</v>
      </c>
      <c r="B47" s="23" t="n">
        <v>89</v>
      </c>
      <c r="C47" s="23" t="s">
        <v>90</v>
      </c>
      <c r="D47" s="23" t="s">
        <v>90</v>
      </c>
      <c r="E47" s="23" t="s">
        <v>29</v>
      </c>
      <c r="F47" s="23" t="s">
        <v>220</v>
      </c>
      <c r="G47" s="23" t="s">
        <v>165</v>
      </c>
      <c r="H47" s="23" t="s">
        <v>161</v>
      </c>
      <c r="I47" s="23" t="n">
        <v>0</v>
      </c>
      <c r="J47" s="23" t="n">
        <v>0</v>
      </c>
      <c r="K47" s="23" t="n">
        <v>0</v>
      </c>
      <c r="L47" s="23" t="n">
        <v>0</v>
      </c>
      <c r="M47" s="23" t="n">
        <v>0</v>
      </c>
      <c r="N47" s="23" t="n">
        <v>0</v>
      </c>
      <c r="O47" s="23" t="n">
        <v>0</v>
      </c>
      <c r="P47" s="23" t="n">
        <v>0</v>
      </c>
      <c r="Q47" s="23" t="n">
        <v>0</v>
      </c>
      <c r="R47" s="23" t="n">
        <v>0</v>
      </c>
      <c r="S47" s="23" t="n">
        <v>0</v>
      </c>
      <c r="T47" s="23"/>
      <c r="U47" s="23" t="s">
        <v>162</v>
      </c>
    </row>
    <row r="48" customFormat="false" ht="15" hidden="false" customHeight="false" outlineLevel="0" collapsed="false">
      <c r="A48" s="23" t="s">
        <v>226</v>
      </c>
      <c r="B48" s="23" t="n">
        <v>91</v>
      </c>
      <c r="C48" s="23" t="s">
        <v>90</v>
      </c>
      <c r="D48" s="23" t="s">
        <v>168</v>
      </c>
      <c r="E48" s="23" t="s">
        <v>28</v>
      </c>
      <c r="F48" s="23" t="s">
        <v>220</v>
      </c>
      <c r="G48" s="23" t="s">
        <v>160</v>
      </c>
      <c r="H48" s="23" t="s">
        <v>161</v>
      </c>
      <c r="I48" s="23" t="n">
        <v>1.38</v>
      </c>
      <c r="J48" s="23" t="n">
        <v>285</v>
      </c>
      <c r="K48" s="23" t="n">
        <v>0</v>
      </c>
      <c r="L48" s="23" t="n">
        <v>0</v>
      </c>
      <c r="M48" s="23" t="n">
        <v>285</v>
      </c>
      <c r="N48" s="23" t="n">
        <v>285</v>
      </c>
      <c r="O48" s="23" t="n">
        <v>0</v>
      </c>
      <c r="P48" s="23" t="n">
        <v>0</v>
      </c>
      <c r="Q48" s="23" t="n">
        <v>0</v>
      </c>
      <c r="R48" s="23" t="n">
        <v>0</v>
      </c>
      <c r="S48" s="23" t="n">
        <v>1</v>
      </c>
      <c r="T48" s="23"/>
      <c r="U48" s="23" t="s">
        <v>162</v>
      </c>
    </row>
    <row r="49" customFormat="false" ht="15" hidden="false" customHeight="false" outlineLevel="0" collapsed="false">
      <c r="A49" s="23" t="s">
        <v>227</v>
      </c>
      <c r="B49" s="23" t="n">
        <v>92</v>
      </c>
      <c r="C49" s="23" t="s">
        <v>90</v>
      </c>
      <c r="D49" s="23" t="s">
        <v>90</v>
      </c>
      <c r="E49" s="23" t="s">
        <v>29</v>
      </c>
      <c r="F49" s="23" t="s">
        <v>220</v>
      </c>
      <c r="G49" s="23" t="s">
        <v>165</v>
      </c>
      <c r="H49" s="23" t="s">
        <v>161</v>
      </c>
      <c r="I49" s="23" t="n">
        <v>0</v>
      </c>
      <c r="J49" s="23" t="n">
        <v>0</v>
      </c>
      <c r="K49" s="23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3" t="n">
        <v>0</v>
      </c>
      <c r="R49" s="23" t="n">
        <v>0</v>
      </c>
      <c r="S49" s="23" t="n">
        <v>0</v>
      </c>
      <c r="T49" s="23"/>
      <c r="U49" s="23" t="s">
        <v>162</v>
      </c>
    </row>
    <row r="50" customFormat="false" ht="15" hidden="false" customHeight="false" outlineLevel="0" collapsed="false">
      <c r="A50" s="23" t="s">
        <v>228</v>
      </c>
      <c r="B50" s="23" t="n">
        <v>93</v>
      </c>
      <c r="C50" s="23" t="s">
        <v>90</v>
      </c>
      <c r="D50" s="23" t="s">
        <v>90</v>
      </c>
      <c r="E50" s="23" t="s">
        <v>29</v>
      </c>
      <c r="F50" s="23" t="s">
        <v>220</v>
      </c>
      <c r="G50" s="23" t="s">
        <v>165</v>
      </c>
      <c r="H50" s="23" t="s">
        <v>161</v>
      </c>
      <c r="I50" s="23" t="n">
        <v>0</v>
      </c>
      <c r="J50" s="23" t="n">
        <v>0</v>
      </c>
      <c r="K50" s="23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3" t="n">
        <v>0</v>
      </c>
      <c r="R50" s="23" t="n">
        <v>8</v>
      </c>
      <c r="S50" s="23" t="n">
        <v>0</v>
      </c>
      <c r="T50" s="23" t="s">
        <v>191</v>
      </c>
      <c r="U50" s="23" t="s">
        <v>162</v>
      </c>
    </row>
    <row r="51" customFormat="false" ht="15" hidden="false" customHeight="false" outlineLevel="0" collapsed="false">
      <c r="A51" s="23" t="s">
        <v>229</v>
      </c>
      <c r="B51" s="23" t="n">
        <v>95</v>
      </c>
      <c r="C51" s="23" t="s">
        <v>90</v>
      </c>
      <c r="D51" s="23" t="s">
        <v>90</v>
      </c>
      <c r="E51" s="23" t="s">
        <v>29</v>
      </c>
      <c r="F51" s="23" t="s">
        <v>220</v>
      </c>
      <c r="G51" s="23" t="s">
        <v>165</v>
      </c>
      <c r="H51" s="23" t="s">
        <v>161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3" t="n">
        <v>0</v>
      </c>
      <c r="R51" s="23" t="n">
        <v>0</v>
      </c>
      <c r="S51" s="23" t="n">
        <v>0</v>
      </c>
      <c r="T51" s="23"/>
      <c r="U51" s="23" t="s">
        <v>162</v>
      </c>
    </row>
    <row r="52" customFormat="false" ht="15" hidden="false" customHeight="false" outlineLevel="0" collapsed="false">
      <c r="A52" s="23" t="s">
        <v>230</v>
      </c>
      <c r="B52" s="23" t="n">
        <v>97</v>
      </c>
      <c r="C52" s="23" t="s">
        <v>90</v>
      </c>
      <c r="D52" s="23" t="s">
        <v>90</v>
      </c>
      <c r="E52" s="23" t="s">
        <v>29</v>
      </c>
      <c r="F52" s="23" t="s">
        <v>220</v>
      </c>
      <c r="G52" s="23" t="s">
        <v>165</v>
      </c>
      <c r="H52" s="23" t="s">
        <v>161</v>
      </c>
      <c r="I52" s="23" t="n">
        <v>0</v>
      </c>
      <c r="J52" s="23" t="n">
        <v>0</v>
      </c>
      <c r="K52" s="23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3" t="n">
        <v>0</v>
      </c>
      <c r="R52" s="23" t="n">
        <v>0</v>
      </c>
      <c r="S52" s="23" t="n">
        <v>0</v>
      </c>
      <c r="T52" s="23"/>
      <c r="U52" s="23" t="s">
        <v>162</v>
      </c>
    </row>
    <row r="53" customFormat="false" ht="15" hidden="false" customHeight="false" outlineLevel="0" collapsed="false">
      <c r="A53" s="23" t="s">
        <v>231</v>
      </c>
      <c r="B53" s="23" t="n">
        <v>99</v>
      </c>
      <c r="C53" s="23" t="s">
        <v>90</v>
      </c>
      <c r="D53" s="23" t="s">
        <v>90</v>
      </c>
      <c r="E53" s="23" t="s">
        <v>29</v>
      </c>
      <c r="F53" s="23" t="s">
        <v>220</v>
      </c>
      <c r="G53" s="23" t="s">
        <v>165</v>
      </c>
      <c r="H53" s="23" t="s">
        <v>161</v>
      </c>
      <c r="I53" s="23" t="n">
        <v>0</v>
      </c>
      <c r="J53" s="23" t="n">
        <v>0</v>
      </c>
      <c r="K53" s="23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3" t="n">
        <v>0</v>
      </c>
      <c r="R53" s="23" t="n">
        <v>0</v>
      </c>
      <c r="S53" s="23" t="n">
        <v>0</v>
      </c>
      <c r="T53" s="23"/>
      <c r="U53" s="23" t="s">
        <v>162</v>
      </c>
    </row>
    <row r="54" customFormat="false" ht="15" hidden="false" customHeight="false" outlineLevel="0" collapsed="false">
      <c r="A54" s="23" t="s">
        <v>232</v>
      </c>
      <c r="B54" s="23" t="n">
        <v>101</v>
      </c>
      <c r="C54" s="23" t="s">
        <v>90</v>
      </c>
      <c r="D54" s="23" t="s">
        <v>90</v>
      </c>
      <c r="E54" s="23" t="s">
        <v>29</v>
      </c>
      <c r="F54" s="23" t="s">
        <v>220</v>
      </c>
      <c r="G54" s="23" t="s">
        <v>160</v>
      </c>
      <c r="H54" s="23"/>
      <c r="I54" s="23" t="n">
        <v>0.157</v>
      </c>
      <c r="J54" s="23" t="n">
        <v>16</v>
      </c>
      <c r="K54" s="23" t="n">
        <v>0</v>
      </c>
      <c r="L54" s="23" t="n">
        <v>0</v>
      </c>
      <c r="M54" s="23" t="n">
        <v>0</v>
      </c>
      <c r="N54" s="23" t="n">
        <v>0</v>
      </c>
      <c r="O54" s="23" t="n">
        <v>16</v>
      </c>
      <c r="P54" s="23" t="n">
        <v>8</v>
      </c>
      <c r="Q54" s="23" t="n">
        <v>0</v>
      </c>
      <c r="R54" s="23" t="n">
        <v>0</v>
      </c>
      <c r="S54" s="23" t="n">
        <v>1</v>
      </c>
      <c r="T54" s="23"/>
      <c r="U54" s="23" t="s">
        <v>162</v>
      </c>
    </row>
    <row r="55" customFormat="false" ht="15" hidden="false" customHeight="false" outlineLevel="0" collapsed="false">
      <c r="A55" s="23" t="s">
        <v>233</v>
      </c>
      <c r="B55" s="23" t="n">
        <v>102</v>
      </c>
      <c r="C55" s="23" t="s">
        <v>90</v>
      </c>
      <c r="D55" s="23" t="s">
        <v>90</v>
      </c>
      <c r="E55" s="23" t="s">
        <v>29</v>
      </c>
      <c r="F55" s="23" t="s">
        <v>220</v>
      </c>
      <c r="G55" s="23" t="s">
        <v>165</v>
      </c>
      <c r="H55" s="23" t="s">
        <v>161</v>
      </c>
      <c r="I55" s="23" t="n">
        <v>0</v>
      </c>
      <c r="J55" s="23" t="n">
        <v>0</v>
      </c>
      <c r="K55" s="23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3" t="n">
        <v>0</v>
      </c>
      <c r="R55" s="23" t="n">
        <v>0</v>
      </c>
      <c r="S55" s="23" t="n">
        <v>0</v>
      </c>
      <c r="T55" s="23"/>
      <c r="U55" s="23" t="s">
        <v>162</v>
      </c>
    </row>
    <row r="56" customFormat="false" ht="15" hidden="false" customHeight="false" outlineLevel="0" collapsed="false">
      <c r="A56" s="23" t="s">
        <v>234</v>
      </c>
      <c r="B56" s="23" t="n">
        <v>104</v>
      </c>
      <c r="C56" s="23" t="s">
        <v>90</v>
      </c>
      <c r="D56" s="23" t="s">
        <v>90</v>
      </c>
      <c r="E56" s="23" t="s">
        <v>29</v>
      </c>
      <c r="F56" s="23" t="s">
        <v>220</v>
      </c>
      <c r="G56" s="23" t="s">
        <v>165</v>
      </c>
      <c r="H56" s="23" t="s">
        <v>161</v>
      </c>
      <c r="I56" s="23" t="n">
        <v>0</v>
      </c>
      <c r="J56" s="23" t="n">
        <v>0</v>
      </c>
      <c r="K56" s="23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3" t="n">
        <v>0</v>
      </c>
      <c r="R56" s="23" t="n">
        <v>4</v>
      </c>
      <c r="S56" s="23" t="n">
        <v>0</v>
      </c>
      <c r="T56" s="23" t="s">
        <v>191</v>
      </c>
      <c r="U56" s="23" t="s">
        <v>162</v>
      </c>
    </row>
    <row r="57" customFormat="false" ht="15" hidden="false" customHeight="false" outlineLevel="0" collapsed="false">
      <c r="A57" s="23" t="s">
        <v>235</v>
      </c>
      <c r="B57" s="23" t="n">
        <v>105</v>
      </c>
      <c r="C57" s="23" t="s">
        <v>90</v>
      </c>
      <c r="D57" s="23" t="s">
        <v>90</v>
      </c>
      <c r="E57" s="23" t="s">
        <v>29</v>
      </c>
      <c r="F57" s="23" t="s">
        <v>220</v>
      </c>
      <c r="G57" s="23" t="s">
        <v>165</v>
      </c>
      <c r="H57" s="23" t="s">
        <v>161</v>
      </c>
      <c r="I57" s="23" t="n">
        <v>0</v>
      </c>
      <c r="J57" s="23" t="n">
        <v>0</v>
      </c>
      <c r="K57" s="23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3" t="n">
        <v>0</v>
      </c>
      <c r="R57" s="23" t="n">
        <v>0</v>
      </c>
      <c r="S57" s="23" t="n">
        <v>0</v>
      </c>
      <c r="T57" s="23"/>
      <c r="U57" s="23" t="s">
        <v>162</v>
      </c>
    </row>
    <row r="58" customFormat="false" ht="15" hidden="false" customHeight="false" outlineLevel="0" collapsed="false">
      <c r="A58" s="23" t="s">
        <v>236</v>
      </c>
      <c r="B58" s="23" t="n">
        <v>106</v>
      </c>
      <c r="C58" s="23" t="s">
        <v>90</v>
      </c>
      <c r="D58" s="23" t="s">
        <v>90</v>
      </c>
      <c r="E58" s="23" t="s">
        <v>28</v>
      </c>
      <c r="F58" s="23" t="s">
        <v>164</v>
      </c>
      <c r="G58" s="23" t="s">
        <v>160</v>
      </c>
      <c r="H58" s="23" t="s">
        <v>176</v>
      </c>
      <c r="I58" s="23" t="n">
        <v>0.14</v>
      </c>
      <c r="J58" s="23" t="n">
        <v>36</v>
      </c>
      <c r="K58" s="23" t="n">
        <v>0</v>
      </c>
      <c r="L58" s="23" t="n">
        <v>36</v>
      </c>
      <c r="M58" s="23" t="n">
        <v>0</v>
      </c>
      <c r="N58" s="23" t="n">
        <v>36</v>
      </c>
      <c r="O58" s="23" t="n">
        <v>0</v>
      </c>
      <c r="P58" s="23" t="n">
        <v>0</v>
      </c>
      <c r="Q58" s="23" t="n">
        <v>0</v>
      </c>
      <c r="R58" s="23" t="n">
        <v>0</v>
      </c>
      <c r="S58" s="23" t="n">
        <v>1</v>
      </c>
      <c r="T58" s="23"/>
      <c r="U58" s="23" t="s">
        <v>162</v>
      </c>
    </row>
    <row r="59" customFormat="false" ht="15" hidden="false" customHeight="false" outlineLevel="0" collapsed="false">
      <c r="A59" s="23" t="s">
        <v>237</v>
      </c>
      <c r="B59" s="23" t="n">
        <v>107</v>
      </c>
      <c r="C59" s="23" t="s">
        <v>90</v>
      </c>
      <c r="D59" s="23" t="s">
        <v>90</v>
      </c>
      <c r="E59" s="23" t="s">
        <v>28</v>
      </c>
      <c r="F59" s="23" t="s">
        <v>220</v>
      </c>
      <c r="G59" s="23" t="s">
        <v>160</v>
      </c>
      <c r="H59" s="23" t="s">
        <v>161</v>
      </c>
      <c r="I59" s="23" t="n">
        <v>68.48</v>
      </c>
      <c r="J59" s="23" t="n">
        <v>2500</v>
      </c>
      <c r="K59" s="23" t="n">
        <v>11</v>
      </c>
      <c r="L59" s="23" t="n">
        <v>0</v>
      </c>
      <c r="M59" s="23" t="n">
        <v>0</v>
      </c>
      <c r="N59" s="23" t="n">
        <v>11</v>
      </c>
      <c r="O59" s="23" t="n">
        <v>2489</v>
      </c>
      <c r="P59" s="23" t="n">
        <v>0</v>
      </c>
      <c r="Q59" s="23" t="n">
        <v>4</v>
      </c>
      <c r="R59" s="23" t="n">
        <v>0</v>
      </c>
      <c r="S59" s="23" t="n">
        <v>2</v>
      </c>
      <c r="T59" s="23"/>
      <c r="U59" s="23" t="s">
        <v>162</v>
      </c>
    </row>
    <row r="60" customFormat="false" ht="15" hidden="false" customHeight="false" outlineLevel="0" collapsed="false">
      <c r="A60" s="23" t="s">
        <v>238</v>
      </c>
      <c r="B60" s="23" t="n">
        <v>108</v>
      </c>
      <c r="C60" s="23" t="s">
        <v>90</v>
      </c>
      <c r="D60" s="23" t="s">
        <v>90</v>
      </c>
      <c r="E60" s="23" t="s">
        <v>29</v>
      </c>
      <c r="F60" s="23" t="s">
        <v>159</v>
      </c>
      <c r="G60" s="23" t="s">
        <v>165</v>
      </c>
      <c r="H60" s="23" t="s">
        <v>161</v>
      </c>
      <c r="I60" s="23" t="n">
        <v>0.297</v>
      </c>
      <c r="J60" s="23" t="n">
        <v>13</v>
      </c>
      <c r="K60" s="23" t="n">
        <v>0</v>
      </c>
      <c r="L60" s="23" t="n">
        <v>0</v>
      </c>
      <c r="M60" s="23" t="n">
        <v>0</v>
      </c>
      <c r="N60" s="23" t="n">
        <v>0</v>
      </c>
      <c r="O60" s="23" t="n">
        <v>13</v>
      </c>
      <c r="P60" s="23" t="n">
        <v>0</v>
      </c>
      <c r="Q60" s="23" t="n">
        <v>0</v>
      </c>
      <c r="R60" s="23" t="n">
        <v>0</v>
      </c>
      <c r="S60" s="23" t="n">
        <v>0</v>
      </c>
      <c r="T60" s="23"/>
      <c r="U60" s="23" t="s">
        <v>162</v>
      </c>
    </row>
    <row r="61" customFormat="false" ht="15" hidden="false" customHeight="false" outlineLevel="0" collapsed="false">
      <c r="A61" s="23" t="s">
        <v>239</v>
      </c>
      <c r="B61" s="23" t="n">
        <v>162</v>
      </c>
      <c r="C61" s="23" t="s">
        <v>90</v>
      </c>
      <c r="D61" s="23"/>
      <c r="E61" s="23" t="s">
        <v>30</v>
      </c>
      <c r="F61" s="23"/>
      <c r="G61" s="23"/>
      <c r="H61" s="23"/>
      <c r="I61" s="23" t="n">
        <v>1.391</v>
      </c>
      <c r="J61" s="23" t="n">
        <v>139</v>
      </c>
      <c r="K61" s="23" t="n">
        <v>0</v>
      </c>
      <c r="L61" s="23" t="n">
        <v>0</v>
      </c>
      <c r="M61" s="23" t="n">
        <v>0</v>
      </c>
      <c r="N61" s="23" t="n">
        <v>0</v>
      </c>
      <c r="O61" s="23" t="n">
        <v>139</v>
      </c>
      <c r="P61" s="23" t="n">
        <v>0</v>
      </c>
      <c r="Q61" s="23" t="n">
        <v>0</v>
      </c>
      <c r="R61" s="23" t="n">
        <v>0</v>
      </c>
      <c r="S61" s="23" t="n">
        <v>0</v>
      </c>
      <c r="T61" s="23"/>
      <c r="U61" s="23" t="s">
        <v>201</v>
      </c>
    </row>
    <row r="62" customFormat="false" ht="15" hidden="false" customHeight="false" outlineLevel="0" collapsed="false">
      <c r="A62" s="23" t="s">
        <v>240</v>
      </c>
      <c r="B62" s="23" t="n">
        <v>163</v>
      </c>
      <c r="C62" s="23" t="s">
        <v>90</v>
      </c>
      <c r="D62" s="23"/>
      <c r="E62" s="23" t="s">
        <v>30</v>
      </c>
      <c r="F62" s="23"/>
      <c r="G62" s="23"/>
      <c r="H62" s="23"/>
      <c r="I62" s="23" t="n">
        <v>0.567</v>
      </c>
      <c r="J62" s="23" t="n">
        <v>20</v>
      </c>
      <c r="K62" s="23" t="n">
        <v>0</v>
      </c>
      <c r="L62" s="23" t="n">
        <v>0</v>
      </c>
      <c r="M62" s="23" t="n">
        <v>0</v>
      </c>
      <c r="N62" s="23" t="n">
        <v>0</v>
      </c>
      <c r="O62" s="23" t="n">
        <v>20</v>
      </c>
      <c r="P62" s="23" t="n">
        <v>0</v>
      </c>
      <c r="Q62" s="23" t="n">
        <v>0</v>
      </c>
      <c r="R62" s="23" t="n">
        <v>0</v>
      </c>
      <c r="S62" s="23" t="n">
        <v>0</v>
      </c>
      <c r="T62" s="23"/>
      <c r="U62" s="23" t="s">
        <v>201</v>
      </c>
    </row>
    <row r="63" customFormat="false" ht="15" hidden="false" customHeight="false" outlineLevel="0" collapsed="false">
      <c r="A63" s="23" t="s">
        <v>241</v>
      </c>
      <c r="B63" s="23" t="n">
        <v>26</v>
      </c>
      <c r="C63" s="23" t="s">
        <v>91</v>
      </c>
      <c r="D63" s="23" t="s">
        <v>242</v>
      </c>
      <c r="E63" s="23" t="s">
        <v>29</v>
      </c>
      <c r="F63" s="23" t="s">
        <v>159</v>
      </c>
      <c r="G63" s="23" t="s">
        <v>165</v>
      </c>
      <c r="H63" s="23" t="s">
        <v>161</v>
      </c>
      <c r="I63" s="23" t="n">
        <v>2.196</v>
      </c>
      <c r="J63" s="23" t="n">
        <v>77</v>
      </c>
      <c r="K63" s="23" t="n">
        <v>0</v>
      </c>
      <c r="L63" s="23" t="n">
        <v>0</v>
      </c>
      <c r="M63" s="23" t="n">
        <v>0</v>
      </c>
      <c r="N63" s="23" t="n">
        <v>0</v>
      </c>
      <c r="O63" s="23" t="n">
        <v>77</v>
      </c>
      <c r="P63" s="23" t="n">
        <v>0</v>
      </c>
      <c r="Q63" s="23" t="n">
        <v>0</v>
      </c>
      <c r="R63" s="23" t="n">
        <v>0</v>
      </c>
      <c r="S63" s="23" t="n">
        <v>0</v>
      </c>
      <c r="T63" s="23"/>
      <c r="U63" s="23" t="s">
        <v>162</v>
      </c>
    </row>
    <row r="64" customFormat="false" ht="15" hidden="false" customHeight="false" outlineLevel="0" collapsed="false">
      <c r="A64" s="23" t="s">
        <v>243</v>
      </c>
      <c r="B64" s="23" t="n">
        <v>27</v>
      </c>
      <c r="C64" s="23" t="s">
        <v>91</v>
      </c>
      <c r="D64" s="23" t="s">
        <v>242</v>
      </c>
      <c r="E64" s="23" t="s">
        <v>29</v>
      </c>
      <c r="F64" s="23" t="s">
        <v>159</v>
      </c>
      <c r="G64" s="23" t="s">
        <v>165</v>
      </c>
      <c r="H64" s="23" t="s">
        <v>161</v>
      </c>
      <c r="I64" s="23" t="n">
        <v>2.326</v>
      </c>
      <c r="J64" s="23" t="n">
        <v>86</v>
      </c>
      <c r="K64" s="23" t="n">
        <v>0</v>
      </c>
      <c r="L64" s="23" t="n">
        <v>0</v>
      </c>
      <c r="M64" s="23" t="n">
        <v>0</v>
      </c>
      <c r="N64" s="23" t="n">
        <v>0</v>
      </c>
      <c r="O64" s="23" t="n">
        <v>86</v>
      </c>
      <c r="P64" s="23" t="n">
        <v>0</v>
      </c>
      <c r="Q64" s="23" t="n">
        <v>0</v>
      </c>
      <c r="R64" s="23" t="n">
        <v>0</v>
      </c>
      <c r="S64" s="23" t="n">
        <v>0</v>
      </c>
      <c r="T64" s="23"/>
      <c r="U64" s="23" t="s">
        <v>162</v>
      </c>
    </row>
    <row r="65" customFormat="false" ht="15" hidden="false" customHeight="false" outlineLevel="0" collapsed="false">
      <c r="A65" s="23" t="s">
        <v>244</v>
      </c>
      <c r="B65" s="23" t="n">
        <v>28</v>
      </c>
      <c r="C65" s="23" t="s">
        <v>91</v>
      </c>
      <c r="D65" s="23" t="s">
        <v>242</v>
      </c>
      <c r="E65" s="23" t="s">
        <v>29</v>
      </c>
      <c r="F65" s="23" t="s">
        <v>159</v>
      </c>
      <c r="G65" s="23" t="s">
        <v>165</v>
      </c>
      <c r="H65" s="23" t="s">
        <v>161</v>
      </c>
      <c r="I65" s="23" t="n">
        <v>0.586</v>
      </c>
      <c r="J65" s="23" t="n">
        <v>25</v>
      </c>
      <c r="K65" s="23" t="n">
        <v>0</v>
      </c>
      <c r="L65" s="23" t="n">
        <v>0</v>
      </c>
      <c r="M65" s="23" t="n">
        <v>0</v>
      </c>
      <c r="N65" s="23" t="n">
        <v>0</v>
      </c>
      <c r="O65" s="23" t="n">
        <v>25</v>
      </c>
      <c r="P65" s="23" t="n">
        <v>0</v>
      </c>
      <c r="Q65" s="23" t="n">
        <v>0</v>
      </c>
      <c r="R65" s="23" t="n">
        <v>0</v>
      </c>
      <c r="S65" s="23" t="n">
        <v>0</v>
      </c>
      <c r="T65" s="23"/>
      <c r="U65" s="23" t="s">
        <v>162</v>
      </c>
    </row>
    <row r="66" customFormat="false" ht="15" hidden="false" customHeight="false" outlineLevel="0" collapsed="false">
      <c r="A66" s="23" t="s">
        <v>245</v>
      </c>
      <c r="B66" s="23" t="n">
        <v>29</v>
      </c>
      <c r="C66" s="23" t="s">
        <v>91</v>
      </c>
      <c r="D66" s="23" t="s">
        <v>242</v>
      </c>
      <c r="E66" s="23" t="s">
        <v>30</v>
      </c>
      <c r="F66" s="23" t="s">
        <v>159</v>
      </c>
      <c r="G66" s="23" t="s">
        <v>165</v>
      </c>
      <c r="H66" s="23" t="s">
        <v>161</v>
      </c>
      <c r="I66" s="23" t="n">
        <v>1.889</v>
      </c>
      <c r="J66" s="23" t="n">
        <v>85</v>
      </c>
      <c r="K66" s="23" t="n">
        <v>0</v>
      </c>
      <c r="L66" s="23" t="n">
        <v>0</v>
      </c>
      <c r="M66" s="23" t="n">
        <v>0</v>
      </c>
      <c r="N66" s="23" t="n">
        <v>0</v>
      </c>
      <c r="O66" s="23" t="n">
        <v>85</v>
      </c>
      <c r="P66" s="23" t="n">
        <v>0</v>
      </c>
      <c r="Q66" s="23" t="n">
        <v>0</v>
      </c>
      <c r="R66" s="23" t="n">
        <v>0</v>
      </c>
      <c r="S66" s="23" t="n">
        <v>0</v>
      </c>
      <c r="T66" s="23"/>
      <c r="U66" s="23" t="s">
        <v>162</v>
      </c>
    </row>
    <row r="67" customFormat="false" ht="15" hidden="false" customHeight="false" outlineLevel="0" collapsed="false">
      <c r="A67" s="23" t="s">
        <v>246</v>
      </c>
      <c r="B67" s="23" t="n">
        <v>30</v>
      </c>
      <c r="C67" s="23" t="s">
        <v>91</v>
      </c>
      <c r="D67" s="23" t="s">
        <v>242</v>
      </c>
      <c r="E67" s="23" t="s">
        <v>30</v>
      </c>
      <c r="F67" s="23" t="s">
        <v>159</v>
      </c>
      <c r="G67" s="23" t="s">
        <v>165</v>
      </c>
      <c r="H67" s="23" t="s">
        <v>161</v>
      </c>
      <c r="I67" s="23" t="n">
        <v>0.476</v>
      </c>
      <c r="J67" s="23" t="n">
        <v>21</v>
      </c>
      <c r="K67" s="23" t="n">
        <v>0</v>
      </c>
      <c r="L67" s="23" t="n">
        <v>0</v>
      </c>
      <c r="M67" s="23" t="n">
        <v>25</v>
      </c>
      <c r="N67" s="23" t="n">
        <v>25</v>
      </c>
      <c r="O67" s="23" t="n">
        <v>0</v>
      </c>
      <c r="P67" s="23" t="n">
        <v>0</v>
      </c>
      <c r="Q67" s="23" t="n">
        <v>0</v>
      </c>
      <c r="R67" s="23" t="n">
        <v>0</v>
      </c>
      <c r="S67" s="23" t="n">
        <v>1</v>
      </c>
      <c r="T67" s="23" t="s">
        <v>171</v>
      </c>
      <c r="U67" s="23" t="s">
        <v>162</v>
      </c>
    </row>
    <row r="68" customFormat="false" ht="15" hidden="false" customHeight="false" outlineLevel="0" collapsed="false">
      <c r="A68" s="23" t="s">
        <v>247</v>
      </c>
      <c r="B68" s="23" t="n">
        <v>31</v>
      </c>
      <c r="C68" s="23" t="s">
        <v>91</v>
      </c>
      <c r="D68" s="23" t="s">
        <v>242</v>
      </c>
      <c r="E68" s="23" t="s">
        <v>29</v>
      </c>
      <c r="F68" s="23" t="s">
        <v>159</v>
      </c>
      <c r="G68" s="23" t="s">
        <v>165</v>
      </c>
      <c r="H68" s="23" t="s">
        <v>176</v>
      </c>
      <c r="I68" s="23" t="n">
        <v>1.061</v>
      </c>
      <c r="J68" s="23" t="n">
        <v>37</v>
      </c>
      <c r="K68" s="23" t="n">
        <v>0</v>
      </c>
      <c r="L68" s="23" t="n">
        <v>26</v>
      </c>
      <c r="M68" s="23" t="n">
        <v>0</v>
      </c>
      <c r="N68" s="23" t="n">
        <v>26</v>
      </c>
      <c r="O68" s="23" t="n">
        <v>11</v>
      </c>
      <c r="P68" s="23" t="n">
        <v>0</v>
      </c>
      <c r="Q68" s="23" t="n">
        <v>0</v>
      </c>
      <c r="R68" s="23" t="n">
        <v>0</v>
      </c>
      <c r="S68" s="23" t="n">
        <v>1</v>
      </c>
      <c r="T68" s="23"/>
      <c r="U68" s="23" t="s">
        <v>162</v>
      </c>
    </row>
    <row r="69" customFormat="false" ht="15" hidden="false" customHeight="false" outlineLevel="0" collapsed="false">
      <c r="A69" s="23" t="s">
        <v>248</v>
      </c>
      <c r="B69" s="23" t="n">
        <v>32</v>
      </c>
      <c r="C69" s="23" t="s">
        <v>91</v>
      </c>
      <c r="D69" s="23" t="s">
        <v>242</v>
      </c>
      <c r="E69" s="23" t="s">
        <v>29</v>
      </c>
      <c r="F69" s="23" t="s">
        <v>159</v>
      </c>
      <c r="G69" s="23" t="s">
        <v>165</v>
      </c>
      <c r="H69" s="23" t="s">
        <v>161</v>
      </c>
      <c r="I69" s="23" t="n">
        <v>4.273</v>
      </c>
      <c r="J69" s="23" t="n">
        <v>178</v>
      </c>
      <c r="K69" s="23" t="n">
        <v>0</v>
      </c>
      <c r="L69" s="23" t="n">
        <v>0</v>
      </c>
      <c r="M69" s="23" t="n">
        <v>0</v>
      </c>
      <c r="N69" s="23" t="n">
        <v>0</v>
      </c>
      <c r="O69" s="23" t="n">
        <v>178</v>
      </c>
      <c r="P69" s="23" t="n">
        <v>0</v>
      </c>
      <c r="Q69" s="23" t="n">
        <v>0</v>
      </c>
      <c r="R69" s="23" t="n">
        <v>0</v>
      </c>
      <c r="S69" s="23" t="n">
        <v>0</v>
      </c>
      <c r="T69" s="23"/>
      <c r="U69" s="23" t="s">
        <v>162</v>
      </c>
    </row>
    <row r="70" customFormat="false" ht="15" hidden="false" customHeight="false" outlineLevel="0" collapsed="false">
      <c r="A70" s="23" t="s">
        <v>249</v>
      </c>
      <c r="B70" s="23" t="n">
        <v>33</v>
      </c>
      <c r="C70" s="23" t="s">
        <v>91</v>
      </c>
      <c r="D70" s="23" t="s">
        <v>242</v>
      </c>
      <c r="E70" s="23" t="s">
        <v>29</v>
      </c>
      <c r="F70" s="23" t="s">
        <v>159</v>
      </c>
      <c r="G70" s="23" t="s">
        <v>165</v>
      </c>
      <c r="H70" s="23" t="s">
        <v>161</v>
      </c>
      <c r="I70" s="23" t="n">
        <v>2.57</v>
      </c>
      <c r="J70" s="23" t="n">
        <v>90</v>
      </c>
      <c r="K70" s="23" t="n">
        <v>0</v>
      </c>
      <c r="L70" s="23" t="n">
        <v>0</v>
      </c>
      <c r="M70" s="23" t="n">
        <v>0</v>
      </c>
      <c r="N70" s="23" t="n">
        <v>0</v>
      </c>
      <c r="O70" s="23" t="n">
        <v>90</v>
      </c>
      <c r="P70" s="23" t="n">
        <v>0</v>
      </c>
      <c r="Q70" s="23" t="n">
        <v>0</v>
      </c>
      <c r="R70" s="23" t="n">
        <v>0</v>
      </c>
      <c r="S70" s="23" t="n">
        <v>0</v>
      </c>
      <c r="T70" s="23"/>
      <c r="U70" s="23" t="s">
        <v>162</v>
      </c>
    </row>
    <row r="71" customFormat="false" ht="15" hidden="false" customHeight="false" outlineLevel="0" collapsed="false">
      <c r="A71" s="23" t="s">
        <v>250</v>
      </c>
      <c r="B71" s="23" t="n">
        <v>34</v>
      </c>
      <c r="C71" s="23" t="s">
        <v>91</v>
      </c>
      <c r="D71" s="23" t="s">
        <v>242</v>
      </c>
      <c r="E71" s="23" t="s">
        <v>29</v>
      </c>
      <c r="F71" s="23" t="s">
        <v>159</v>
      </c>
      <c r="G71" s="23" t="s">
        <v>165</v>
      </c>
      <c r="H71" s="23" t="s">
        <v>176</v>
      </c>
      <c r="I71" s="23" t="n">
        <v>1.33</v>
      </c>
      <c r="J71" s="23" t="n">
        <v>47</v>
      </c>
      <c r="K71" s="23" t="n">
        <v>0</v>
      </c>
      <c r="L71" s="23" t="n">
        <v>0</v>
      </c>
      <c r="M71" s="23" t="n">
        <v>0</v>
      </c>
      <c r="N71" s="23" t="n">
        <v>0</v>
      </c>
      <c r="O71" s="23" t="n">
        <v>47</v>
      </c>
      <c r="P71" s="23" t="n">
        <v>0</v>
      </c>
      <c r="Q71" s="23" t="n">
        <v>0</v>
      </c>
      <c r="R71" s="23" t="n">
        <v>15</v>
      </c>
      <c r="S71" s="23" t="n">
        <v>0</v>
      </c>
      <c r="T71" s="23" t="s">
        <v>191</v>
      </c>
      <c r="U71" s="23" t="s">
        <v>162</v>
      </c>
    </row>
    <row r="72" customFormat="false" ht="15" hidden="false" customHeight="false" outlineLevel="0" collapsed="false">
      <c r="A72" s="23" t="s">
        <v>251</v>
      </c>
      <c r="B72" s="23" t="n">
        <v>134</v>
      </c>
      <c r="C72" s="23" t="s">
        <v>92</v>
      </c>
      <c r="D72" s="23" t="s">
        <v>92</v>
      </c>
      <c r="E72" s="23" t="s">
        <v>29</v>
      </c>
      <c r="F72" s="23" t="s">
        <v>164</v>
      </c>
      <c r="G72" s="23" t="s">
        <v>165</v>
      </c>
      <c r="H72" s="23" t="s">
        <v>161</v>
      </c>
      <c r="I72" s="23" t="n">
        <v>0.606</v>
      </c>
      <c r="J72" s="23" t="n">
        <v>23</v>
      </c>
      <c r="K72" s="23" t="n">
        <v>0</v>
      </c>
      <c r="L72" s="23" t="n">
        <v>0</v>
      </c>
      <c r="M72" s="23" t="n">
        <v>0</v>
      </c>
      <c r="N72" s="23" t="n">
        <v>0</v>
      </c>
      <c r="O72" s="23" t="n">
        <v>23</v>
      </c>
      <c r="P72" s="23" t="n">
        <v>0</v>
      </c>
      <c r="Q72" s="23" t="n">
        <v>0</v>
      </c>
      <c r="R72" s="23" t="n">
        <v>0</v>
      </c>
      <c r="S72" s="23" t="n">
        <v>0</v>
      </c>
      <c r="T72" s="23"/>
      <c r="U72" s="23" t="s">
        <v>162</v>
      </c>
    </row>
    <row r="73" customFormat="false" ht="15" hidden="false" customHeight="false" outlineLevel="0" collapsed="false">
      <c r="A73" s="23" t="s">
        <v>252</v>
      </c>
      <c r="B73" s="23" t="n">
        <v>135</v>
      </c>
      <c r="C73" s="23" t="s">
        <v>92</v>
      </c>
      <c r="D73" s="23" t="s">
        <v>92</v>
      </c>
      <c r="E73" s="23" t="s">
        <v>29</v>
      </c>
      <c r="F73" s="23" t="s">
        <v>164</v>
      </c>
      <c r="G73" s="23" t="s">
        <v>165</v>
      </c>
      <c r="H73" s="23" t="s">
        <v>161</v>
      </c>
      <c r="I73" s="23" t="n">
        <v>0.182</v>
      </c>
      <c r="J73" s="23" t="n">
        <v>6</v>
      </c>
      <c r="K73" s="23" t="n">
        <v>0</v>
      </c>
      <c r="L73" s="23" t="n">
        <v>0</v>
      </c>
      <c r="M73" s="23" t="n">
        <v>0</v>
      </c>
      <c r="N73" s="23" t="n">
        <v>0</v>
      </c>
      <c r="O73" s="23" t="n">
        <v>6</v>
      </c>
      <c r="P73" s="23" t="n">
        <v>0</v>
      </c>
      <c r="Q73" s="23" t="n">
        <v>0</v>
      </c>
      <c r="R73" s="23" t="n">
        <v>0</v>
      </c>
      <c r="S73" s="23" t="n">
        <v>0</v>
      </c>
      <c r="T73" s="23"/>
      <c r="U73" s="23" t="s">
        <v>162</v>
      </c>
    </row>
    <row r="74" customFormat="false" ht="15" hidden="false" customHeight="false" outlineLevel="0" collapsed="false">
      <c r="A74" s="23" t="s">
        <v>253</v>
      </c>
      <c r="B74" s="23" t="n">
        <v>136</v>
      </c>
      <c r="C74" s="23" t="s">
        <v>92</v>
      </c>
      <c r="D74" s="23" t="s">
        <v>92</v>
      </c>
      <c r="E74" s="23" t="s">
        <v>29</v>
      </c>
      <c r="F74" s="23" t="s">
        <v>159</v>
      </c>
      <c r="G74" s="23" t="s">
        <v>175</v>
      </c>
      <c r="H74" s="23" t="s">
        <v>176</v>
      </c>
      <c r="I74" s="23" t="n">
        <v>8.559</v>
      </c>
      <c r="J74" s="23" t="n">
        <v>384</v>
      </c>
      <c r="K74" s="23" t="n">
        <v>0</v>
      </c>
      <c r="L74" s="23" t="n">
        <v>384</v>
      </c>
      <c r="M74" s="23" t="n">
        <v>0</v>
      </c>
      <c r="N74" s="23" t="n">
        <v>384</v>
      </c>
      <c r="O74" s="23" t="n">
        <v>0</v>
      </c>
      <c r="P74" s="23" t="n">
        <v>0</v>
      </c>
      <c r="Q74" s="23" t="n">
        <v>0</v>
      </c>
      <c r="R74" s="23" t="n">
        <v>0</v>
      </c>
      <c r="S74" s="23" t="n">
        <v>1</v>
      </c>
      <c r="T74" s="23"/>
      <c r="U74" s="23" t="s">
        <v>162</v>
      </c>
    </row>
    <row r="75" customFormat="false" ht="15" hidden="false" customHeight="false" outlineLevel="0" collapsed="false">
      <c r="A75" s="23" t="s">
        <v>254</v>
      </c>
      <c r="B75" s="23" t="n">
        <v>137</v>
      </c>
      <c r="C75" s="23" t="s">
        <v>92</v>
      </c>
      <c r="D75" s="23" t="s">
        <v>92</v>
      </c>
      <c r="E75" s="23" t="s">
        <v>29</v>
      </c>
      <c r="F75" s="23" t="s">
        <v>159</v>
      </c>
      <c r="G75" s="23" t="s">
        <v>165</v>
      </c>
      <c r="H75" s="23" t="s">
        <v>161</v>
      </c>
      <c r="I75" s="23" t="n">
        <v>2.42</v>
      </c>
      <c r="J75" s="23" t="n">
        <v>85</v>
      </c>
      <c r="K75" s="23" t="n">
        <v>0</v>
      </c>
      <c r="L75" s="23" t="n">
        <v>0</v>
      </c>
      <c r="M75" s="23" t="n">
        <v>0</v>
      </c>
      <c r="N75" s="23" t="n">
        <v>0</v>
      </c>
      <c r="O75" s="23" t="n">
        <v>85</v>
      </c>
      <c r="P75" s="23" t="n">
        <v>0</v>
      </c>
      <c r="Q75" s="23" t="n">
        <v>0</v>
      </c>
      <c r="R75" s="23" t="n">
        <v>0</v>
      </c>
      <c r="S75" s="23" t="n">
        <v>0</v>
      </c>
      <c r="T75" s="23"/>
      <c r="U75" s="23" t="s">
        <v>162</v>
      </c>
    </row>
    <row r="76" customFormat="false" ht="15" hidden="false" customHeight="false" outlineLevel="0" collapsed="false">
      <c r="A76" s="23" t="s">
        <v>255</v>
      </c>
      <c r="B76" s="23" t="n">
        <v>139</v>
      </c>
      <c r="C76" s="23" t="s">
        <v>92</v>
      </c>
      <c r="D76" s="23" t="s">
        <v>92</v>
      </c>
      <c r="E76" s="23" t="s">
        <v>28</v>
      </c>
      <c r="F76" s="23" t="s">
        <v>159</v>
      </c>
      <c r="G76" s="23" t="s">
        <v>160</v>
      </c>
      <c r="H76" s="23" t="s">
        <v>161</v>
      </c>
      <c r="I76" s="23" t="n">
        <v>0.285</v>
      </c>
      <c r="J76" s="23" t="n">
        <v>10</v>
      </c>
      <c r="K76" s="23" t="n">
        <v>0</v>
      </c>
      <c r="L76" s="23" t="n">
        <v>0</v>
      </c>
      <c r="M76" s="23" t="n">
        <v>0</v>
      </c>
      <c r="N76" s="23" t="n">
        <v>0</v>
      </c>
      <c r="O76" s="23" t="n">
        <v>10</v>
      </c>
      <c r="P76" s="23" t="n">
        <v>0</v>
      </c>
      <c r="Q76" s="23" t="n">
        <v>0</v>
      </c>
      <c r="R76" s="23" t="n">
        <v>0</v>
      </c>
      <c r="S76" s="23" t="n">
        <v>0</v>
      </c>
      <c r="T76" s="23"/>
      <c r="U76" s="23" t="s">
        <v>162</v>
      </c>
    </row>
    <row r="77" customFormat="false" ht="15" hidden="false" customHeight="false" outlineLevel="0" collapsed="false">
      <c r="A77" s="23" t="s">
        <v>256</v>
      </c>
      <c r="B77" s="23" t="n">
        <v>141</v>
      </c>
      <c r="C77" s="23" t="s">
        <v>92</v>
      </c>
      <c r="D77" s="23" t="s">
        <v>92</v>
      </c>
      <c r="E77" s="23" t="s">
        <v>29</v>
      </c>
      <c r="F77" s="23" t="s">
        <v>159</v>
      </c>
      <c r="G77" s="23" t="s">
        <v>175</v>
      </c>
      <c r="H77" s="23" t="s">
        <v>161</v>
      </c>
      <c r="I77" s="23" t="n">
        <v>0.516</v>
      </c>
      <c r="J77" s="23" t="n">
        <v>18</v>
      </c>
      <c r="K77" s="23" t="n">
        <v>0</v>
      </c>
      <c r="L77" s="23" t="n">
        <v>0</v>
      </c>
      <c r="M77" s="23" t="n">
        <v>0</v>
      </c>
      <c r="N77" s="23" t="n">
        <v>0</v>
      </c>
      <c r="O77" s="23" t="n">
        <v>18</v>
      </c>
      <c r="P77" s="23" t="n">
        <v>0</v>
      </c>
      <c r="Q77" s="23" t="n">
        <v>0</v>
      </c>
      <c r="R77" s="23" t="n">
        <v>0</v>
      </c>
      <c r="S77" s="23" t="n">
        <v>0</v>
      </c>
      <c r="T77" s="23"/>
      <c r="U77" s="23" t="s">
        <v>162</v>
      </c>
    </row>
    <row r="78" customFormat="false" ht="15" hidden="false" customHeight="false" outlineLevel="0" collapsed="false">
      <c r="A78" s="23" t="s">
        <v>257</v>
      </c>
      <c r="B78" s="23" t="n">
        <v>142</v>
      </c>
      <c r="C78" s="23" t="s">
        <v>92</v>
      </c>
      <c r="D78" s="23" t="s">
        <v>92</v>
      </c>
      <c r="E78" s="23" t="s">
        <v>29</v>
      </c>
      <c r="F78" s="23" t="s">
        <v>159</v>
      </c>
      <c r="G78" s="23" t="s">
        <v>165</v>
      </c>
      <c r="H78" s="23" t="s">
        <v>161</v>
      </c>
      <c r="I78" s="23" t="n">
        <v>4.121</v>
      </c>
      <c r="J78" s="23" t="n">
        <v>144</v>
      </c>
      <c r="K78" s="23" t="n">
        <v>0</v>
      </c>
      <c r="L78" s="23" t="n">
        <v>0</v>
      </c>
      <c r="M78" s="23" t="n">
        <v>0</v>
      </c>
      <c r="N78" s="23" t="n">
        <v>0</v>
      </c>
      <c r="O78" s="23" t="n">
        <v>144</v>
      </c>
      <c r="P78" s="23" t="n">
        <v>0</v>
      </c>
      <c r="Q78" s="23" t="n">
        <v>0</v>
      </c>
      <c r="R78" s="23" t="n">
        <v>0</v>
      </c>
      <c r="S78" s="23" t="n">
        <v>0</v>
      </c>
      <c r="T78" s="23"/>
      <c r="U78" s="23" t="s">
        <v>162</v>
      </c>
    </row>
    <row r="79" customFormat="false" ht="15" hidden="false" customHeight="false" outlineLevel="0" collapsed="false">
      <c r="A79" s="23" t="s">
        <v>258</v>
      </c>
      <c r="B79" s="23" t="n">
        <v>143</v>
      </c>
      <c r="C79" s="23" t="s">
        <v>92</v>
      </c>
      <c r="D79" s="23" t="s">
        <v>92</v>
      </c>
      <c r="E79" s="23" t="s">
        <v>29</v>
      </c>
      <c r="F79" s="23" t="s">
        <v>159</v>
      </c>
      <c r="G79" s="23" t="s">
        <v>165</v>
      </c>
      <c r="H79" s="23" t="s">
        <v>176</v>
      </c>
      <c r="I79" s="23" t="n">
        <v>4.38</v>
      </c>
      <c r="J79" s="23" t="n">
        <v>153</v>
      </c>
      <c r="K79" s="23" t="n">
        <v>0</v>
      </c>
      <c r="L79" s="23" t="n">
        <v>0</v>
      </c>
      <c r="M79" s="23" t="n">
        <v>139</v>
      </c>
      <c r="N79" s="23" t="n">
        <v>139</v>
      </c>
      <c r="O79" s="23" t="n">
        <v>14</v>
      </c>
      <c r="P79" s="23" t="n">
        <v>0</v>
      </c>
      <c r="Q79" s="23" t="n">
        <v>0</v>
      </c>
      <c r="R79" s="23" t="n">
        <v>0</v>
      </c>
      <c r="S79" s="23" t="n">
        <v>1</v>
      </c>
      <c r="T79" s="23"/>
      <c r="U79" s="23" t="s">
        <v>162</v>
      </c>
    </row>
    <row r="80" customFormat="false" ht="15" hidden="false" customHeight="false" outlineLevel="0" collapsed="false">
      <c r="A80" s="23" t="s">
        <v>259</v>
      </c>
      <c r="B80" s="23" t="n">
        <v>144</v>
      </c>
      <c r="C80" s="23" t="s">
        <v>92</v>
      </c>
      <c r="D80" s="23" t="s">
        <v>92</v>
      </c>
      <c r="E80" s="23" t="s">
        <v>28</v>
      </c>
      <c r="F80" s="23" t="s">
        <v>159</v>
      </c>
      <c r="G80" s="23" t="s">
        <v>175</v>
      </c>
      <c r="H80" s="23" t="s">
        <v>161</v>
      </c>
      <c r="I80" s="23" t="n">
        <v>31.95</v>
      </c>
      <c r="J80" s="23" t="n">
        <v>1747</v>
      </c>
      <c r="K80" s="23" t="n">
        <v>0</v>
      </c>
      <c r="L80" s="23" t="n">
        <v>0</v>
      </c>
      <c r="M80" s="23" t="n">
        <v>351</v>
      </c>
      <c r="N80" s="23" t="n">
        <v>351</v>
      </c>
      <c r="O80" s="23" t="n">
        <v>1396</v>
      </c>
      <c r="P80" s="23" t="n">
        <v>0</v>
      </c>
      <c r="Q80" s="23" t="n">
        <v>0</v>
      </c>
      <c r="R80" s="23" t="n">
        <v>0</v>
      </c>
      <c r="S80" s="23" t="n">
        <v>2</v>
      </c>
      <c r="T80" s="23"/>
      <c r="U80" s="23" t="s">
        <v>162</v>
      </c>
    </row>
    <row r="81" customFormat="false" ht="15" hidden="false" customHeight="false" outlineLevel="0" collapsed="false">
      <c r="A81" s="23" t="s">
        <v>260</v>
      </c>
      <c r="B81" s="23" t="n">
        <v>145</v>
      </c>
      <c r="C81" s="23" t="s">
        <v>92</v>
      </c>
      <c r="D81" s="23" t="s">
        <v>92</v>
      </c>
      <c r="E81" s="23" t="s">
        <v>28</v>
      </c>
      <c r="F81" s="23" t="s">
        <v>159</v>
      </c>
      <c r="G81" s="23" t="s">
        <v>175</v>
      </c>
      <c r="H81" s="23" t="s">
        <v>161</v>
      </c>
      <c r="I81" s="23" t="n">
        <v>1.326</v>
      </c>
      <c r="J81" s="23" t="n">
        <v>46</v>
      </c>
      <c r="K81" s="23" t="n">
        <v>0</v>
      </c>
      <c r="L81" s="23" t="n">
        <v>0</v>
      </c>
      <c r="M81" s="23" t="n">
        <v>0</v>
      </c>
      <c r="N81" s="23" t="n">
        <v>0</v>
      </c>
      <c r="O81" s="23" t="n">
        <v>46</v>
      </c>
      <c r="P81" s="23" t="n">
        <v>0</v>
      </c>
      <c r="Q81" s="23" t="n">
        <v>0</v>
      </c>
      <c r="R81" s="23" t="n">
        <v>0</v>
      </c>
      <c r="S81" s="23" t="n">
        <v>0</v>
      </c>
      <c r="T81" s="23"/>
      <c r="U81" s="23" t="s">
        <v>162</v>
      </c>
    </row>
    <row r="82" customFormat="false" ht="15" hidden="false" customHeight="false" outlineLevel="0" collapsed="false">
      <c r="A82" s="23" t="s">
        <v>261</v>
      </c>
      <c r="B82" s="23" t="n">
        <v>146</v>
      </c>
      <c r="C82" s="23" t="s">
        <v>92</v>
      </c>
      <c r="D82" s="23" t="s">
        <v>92</v>
      </c>
      <c r="E82" s="23" t="s">
        <v>28</v>
      </c>
      <c r="F82" s="23" t="s">
        <v>159</v>
      </c>
      <c r="G82" s="23" t="s">
        <v>175</v>
      </c>
      <c r="H82" s="23" t="s">
        <v>161</v>
      </c>
      <c r="I82" s="23" t="n">
        <v>0.632</v>
      </c>
      <c r="J82" s="23" t="n">
        <v>22</v>
      </c>
      <c r="K82" s="23" t="n">
        <v>0</v>
      </c>
      <c r="L82" s="23" t="n">
        <v>0</v>
      </c>
      <c r="M82" s="23" t="n">
        <v>0</v>
      </c>
      <c r="N82" s="23" t="n">
        <v>0</v>
      </c>
      <c r="O82" s="23" t="n">
        <v>22</v>
      </c>
      <c r="P82" s="23" t="n">
        <v>0</v>
      </c>
      <c r="Q82" s="23" t="n">
        <v>0</v>
      </c>
      <c r="R82" s="23" t="n">
        <v>0</v>
      </c>
      <c r="S82" s="23" t="n">
        <v>0</v>
      </c>
      <c r="T82" s="23"/>
      <c r="U82" s="23" t="s">
        <v>162</v>
      </c>
    </row>
    <row r="83" customFormat="false" ht="15" hidden="false" customHeight="false" outlineLevel="0" collapsed="false">
      <c r="A83" s="23" t="s">
        <v>262</v>
      </c>
      <c r="B83" s="23" t="n">
        <v>147</v>
      </c>
      <c r="C83" s="23" t="s">
        <v>92</v>
      </c>
      <c r="D83" s="23" t="s">
        <v>92</v>
      </c>
      <c r="E83" s="23" t="s">
        <v>30</v>
      </c>
      <c r="F83" s="23" t="s">
        <v>182</v>
      </c>
      <c r="G83" s="23" t="s">
        <v>165</v>
      </c>
      <c r="H83" s="23" t="s">
        <v>176</v>
      </c>
      <c r="I83" s="23" t="n">
        <v>0.26</v>
      </c>
      <c r="J83" s="23" t="n">
        <v>9</v>
      </c>
      <c r="K83" s="23" t="n">
        <v>0</v>
      </c>
      <c r="L83" s="23" t="n">
        <v>0</v>
      </c>
      <c r="M83" s="23" t="n">
        <v>0</v>
      </c>
      <c r="N83" s="23" t="n">
        <v>0</v>
      </c>
      <c r="O83" s="23" t="n">
        <v>9</v>
      </c>
      <c r="P83" s="23" t="n">
        <v>0</v>
      </c>
      <c r="Q83" s="23" t="n">
        <v>0</v>
      </c>
      <c r="R83" s="23" t="n">
        <v>0</v>
      </c>
      <c r="S83" s="23" t="n">
        <v>0</v>
      </c>
      <c r="T83" s="23" t="s">
        <v>193</v>
      </c>
      <c r="U83" s="23" t="s">
        <v>162</v>
      </c>
    </row>
    <row r="84" customFormat="false" ht="15" hidden="false" customHeight="false" outlineLevel="0" collapsed="false">
      <c r="A84" s="23" t="s">
        <v>263</v>
      </c>
      <c r="B84" s="23" t="n">
        <v>148</v>
      </c>
      <c r="C84" s="23" t="s">
        <v>92</v>
      </c>
      <c r="D84" s="23" t="s">
        <v>92</v>
      </c>
      <c r="E84" s="23" t="s">
        <v>28</v>
      </c>
      <c r="F84" s="23" t="s">
        <v>159</v>
      </c>
      <c r="G84" s="23" t="s">
        <v>175</v>
      </c>
      <c r="H84" s="23" t="s">
        <v>176</v>
      </c>
      <c r="I84" s="23" t="n">
        <v>5.065</v>
      </c>
      <c r="J84" s="23" t="n">
        <v>253</v>
      </c>
      <c r="K84" s="23" t="n">
        <v>0</v>
      </c>
      <c r="L84" s="23" t="n">
        <v>0</v>
      </c>
      <c r="M84" s="23" t="n">
        <v>0</v>
      </c>
      <c r="N84" s="23" t="n">
        <v>0</v>
      </c>
      <c r="O84" s="23" t="n">
        <v>253</v>
      </c>
      <c r="P84" s="23" t="n">
        <v>0</v>
      </c>
      <c r="Q84" s="23" t="n">
        <v>0</v>
      </c>
      <c r="R84" s="23" t="n">
        <v>0</v>
      </c>
      <c r="S84" s="23" t="n">
        <v>0</v>
      </c>
      <c r="T84" s="23" t="s">
        <v>193</v>
      </c>
      <c r="U84" s="23" t="s">
        <v>162</v>
      </c>
    </row>
    <row r="85" customFormat="false" ht="15" hidden="false" customHeight="false" outlineLevel="0" collapsed="false">
      <c r="A85" s="23" t="s">
        <v>264</v>
      </c>
      <c r="B85" s="23" t="n">
        <v>149</v>
      </c>
      <c r="C85" s="23" t="s">
        <v>92</v>
      </c>
      <c r="D85" s="23" t="s">
        <v>92</v>
      </c>
      <c r="E85" s="23" t="s">
        <v>29</v>
      </c>
      <c r="F85" s="23" t="s">
        <v>164</v>
      </c>
      <c r="G85" s="23" t="s">
        <v>165</v>
      </c>
      <c r="H85" s="23" t="s">
        <v>176</v>
      </c>
      <c r="I85" s="23" t="n">
        <v>0.939</v>
      </c>
      <c r="J85" s="23" t="n">
        <v>33</v>
      </c>
      <c r="K85" s="23" t="n">
        <v>0</v>
      </c>
      <c r="L85" s="23" t="n">
        <v>250</v>
      </c>
      <c r="M85" s="23" t="n">
        <v>0</v>
      </c>
      <c r="N85" s="23" t="n">
        <v>250</v>
      </c>
      <c r="O85" s="23" t="n">
        <v>0</v>
      </c>
      <c r="P85" s="23" t="n">
        <v>0</v>
      </c>
      <c r="Q85" s="23" t="n">
        <v>0</v>
      </c>
      <c r="R85" s="23" t="n">
        <v>0</v>
      </c>
      <c r="S85" s="23" t="n">
        <v>1</v>
      </c>
      <c r="T85" s="23" t="s">
        <v>171</v>
      </c>
      <c r="U85" s="23" t="s">
        <v>162</v>
      </c>
    </row>
    <row r="86" customFormat="false" ht="15" hidden="false" customHeight="false" outlineLevel="0" collapsed="false">
      <c r="A86" s="23" t="s">
        <v>265</v>
      </c>
      <c r="B86" s="23" t="n">
        <v>151</v>
      </c>
      <c r="C86" s="23" t="s">
        <v>92</v>
      </c>
      <c r="D86" s="23" t="s">
        <v>92</v>
      </c>
      <c r="E86" s="23" t="s">
        <v>29</v>
      </c>
      <c r="F86" s="23" t="s">
        <v>159</v>
      </c>
      <c r="G86" s="23" t="s">
        <v>175</v>
      </c>
      <c r="H86" s="23" t="s">
        <v>170</v>
      </c>
      <c r="I86" s="23" t="n">
        <v>10.98</v>
      </c>
      <c r="J86" s="23" t="n">
        <v>462</v>
      </c>
      <c r="K86" s="23" t="n">
        <v>0</v>
      </c>
      <c r="L86" s="23" t="n">
        <v>0</v>
      </c>
      <c r="M86" s="23" t="n">
        <v>0</v>
      </c>
      <c r="N86" s="23" t="n">
        <v>0</v>
      </c>
      <c r="O86" s="23" t="n">
        <v>462</v>
      </c>
      <c r="P86" s="23" t="n">
        <v>0</v>
      </c>
      <c r="Q86" s="23" t="n">
        <v>0</v>
      </c>
      <c r="R86" s="23" t="n">
        <v>0</v>
      </c>
      <c r="S86" s="23" t="n">
        <v>0</v>
      </c>
      <c r="T86" s="23" t="s">
        <v>193</v>
      </c>
      <c r="U86" s="23" t="s">
        <v>172</v>
      </c>
    </row>
    <row r="87" customFormat="false" ht="15" hidden="false" customHeight="false" outlineLevel="0" collapsed="false">
      <c r="A87" s="23" t="s">
        <v>266</v>
      </c>
      <c r="B87" s="23" t="n">
        <v>152</v>
      </c>
      <c r="C87" s="23" t="s">
        <v>92</v>
      </c>
      <c r="D87" s="23" t="s">
        <v>92</v>
      </c>
      <c r="E87" s="23" t="s">
        <v>29</v>
      </c>
      <c r="F87" s="23" t="s">
        <v>159</v>
      </c>
      <c r="G87" s="23" t="s">
        <v>175</v>
      </c>
      <c r="H87" s="23" t="s">
        <v>161</v>
      </c>
      <c r="I87" s="23" t="n">
        <v>4.12</v>
      </c>
      <c r="J87" s="23" t="n">
        <v>152</v>
      </c>
      <c r="K87" s="23" t="n">
        <v>0</v>
      </c>
      <c r="L87" s="23" t="n">
        <v>0</v>
      </c>
      <c r="M87" s="23" t="n">
        <v>0</v>
      </c>
      <c r="N87" s="23" t="n">
        <v>0</v>
      </c>
      <c r="O87" s="23" t="n">
        <v>152</v>
      </c>
      <c r="P87" s="23" t="n">
        <v>0</v>
      </c>
      <c r="Q87" s="23" t="n">
        <v>0</v>
      </c>
      <c r="R87" s="23" t="n">
        <v>0</v>
      </c>
      <c r="S87" s="23" t="n">
        <v>0</v>
      </c>
      <c r="T87" s="23"/>
      <c r="U87" s="23" t="s">
        <v>172</v>
      </c>
    </row>
    <row r="88" customFormat="false" ht="15" hidden="false" customHeight="false" outlineLevel="0" collapsed="false">
      <c r="A88" s="23" t="s">
        <v>267</v>
      </c>
      <c r="B88" s="23" t="n">
        <v>153</v>
      </c>
      <c r="C88" s="23" t="s">
        <v>92</v>
      </c>
      <c r="D88" s="23" t="s">
        <v>92</v>
      </c>
      <c r="E88" s="23" t="s">
        <v>29</v>
      </c>
      <c r="F88" s="23" t="s">
        <v>159</v>
      </c>
      <c r="G88" s="23" t="s">
        <v>175</v>
      </c>
      <c r="H88" s="23" t="s">
        <v>170</v>
      </c>
      <c r="I88" s="23" t="n">
        <v>1.081</v>
      </c>
      <c r="J88" s="23" t="n">
        <v>37</v>
      </c>
      <c r="K88" s="23" t="n">
        <v>0</v>
      </c>
      <c r="L88" s="23" t="n">
        <v>0</v>
      </c>
      <c r="M88" s="23" t="n">
        <v>0</v>
      </c>
      <c r="N88" s="23" t="n">
        <v>0</v>
      </c>
      <c r="O88" s="23" t="n">
        <v>37</v>
      </c>
      <c r="P88" s="23" t="n">
        <v>0</v>
      </c>
      <c r="Q88" s="23" t="n">
        <v>0</v>
      </c>
      <c r="R88" s="23" t="n">
        <v>0</v>
      </c>
      <c r="S88" s="23" t="n">
        <v>0</v>
      </c>
      <c r="T88" s="23" t="s">
        <v>193</v>
      </c>
      <c r="U88" s="23" t="s">
        <v>172</v>
      </c>
    </row>
    <row r="89" customFormat="false" ht="15" hidden="false" customHeight="false" outlineLevel="0" collapsed="false">
      <c r="A89" s="23" t="s">
        <v>268</v>
      </c>
      <c r="B89" s="23" t="n">
        <v>154</v>
      </c>
      <c r="C89" s="23" t="s">
        <v>92</v>
      </c>
      <c r="D89" s="23" t="s">
        <v>92</v>
      </c>
      <c r="E89" s="23" t="s">
        <v>29</v>
      </c>
      <c r="F89" s="23" t="s">
        <v>164</v>
      </c>
      <c r="G89" s="23" t="s">
        <v>165</v>
      </c>
      <c r="H89" s="23" t="s">
        <v>161</v>
      </c>
      <c r="I89" s="23" t="n">
        <v>0.743</v>
      </c>
      <c r="J89" s="23" t="n">
        <v>33</v>
      </c>
      <c r="K89" s="23" t="n">
        <v>0</v>
      </c>
      <c r="L89" s="23" t="n">
        <v>0</v>
      </c>
      <c r="M89" s="23" t="n">
        <v>0</v>
      </c>
      <c r="N89" s="23" t="n">
        <v>0</v>
      </c>
      <c r="O89" s="23" t="n">
        <v>33</v>
      </c>
      <c r="P89" s="23" t="n">
        <v>0</v>
      </c>
      <c r="Q89" s="23" t="n">
        <v>0</v>
      </c>
      <c r="R89" s="23" t="n">
        <v>0</v>
      </c>
      <c r="S89" s="23" t="n">
        <v>0</v>
      </c>
      <c r="T89" s="23"/>
      <c r="U89" s="23" t="s">
        <v>162</v>
      </c>
    </row>
    <row r="90" customFormat="false" ht="15" hidden="false" customHeight="false" outlineLevel="0" collapsed="false">
      <c r="A90" s="23" t="s">
        <v>269</v>
      </c>
      <c r="B90" s="23" t="n">
        <v>155</v>
      </c>
      <c r="C90" s="23" t="s">
        <v>92</v>
      </c>
      <c r="D90" s="23" t="s">
        <v>92</v>
      </c>
      <c r="E90" s="23" t="s">
        <v>28</v>
      </c>
      <c r="F90" s="23" t="s">
        <v>159</v>
      </c>
      <c r="G90" s="23" t="s">
        <v>165</v>
      </c>
      <c r="H90" s="23" t="s">
        <v>161</v>
      </c>
      <c r="I90" s="23" t="n">
        <v>0.34</v>
      </c>
      <c r="J90" s="23" t="n">
        <v>15</v>
      </c>
      <c r="K90" s="23" t="n">
        <v>0</v>
      </c>
      <c r="L90" s="23" t="n">
        <v>0</v>
      </c>
      <c r="M90" s="23" t="n">
        <v>0</v>
      </c>
      <c r="N90" s="23" t="n">
        <v>0</v>
      </c>
      <c r="O90" s="23" t="n">
        <v>15</v>
      </c>
      <c r="P90" s="23" t="n">
        <v>0</v>
      </c>
      <c r="Q90" s="23" t="n">
        <v>0</v>
      </c>
      <c r="R90" s="23" t="n">
        <v>0</v>
      </c>
      <c r="S90" s="23" t="n">
        <v>0</v>
      </c>
      <c r="T90" s="23"/>
      <c r="U90" s="23" t="s">
        <v>162</v>
      </c>
    </row>
    <row r="91" customFormat="false" ht="15" hidden="false" customHeight="false" outlineLevel="0" collapsed="false">
      <c r="A91" s="23" t="s">
        <v>270</v>
      </c>
      <c r="B91" s="23" t="n">
        <v>156</v>
      </c>
      <c r="C91" s="23" t="s">
        <v>92</v>
      </c>
      <c r="D91" s="23" t="s">
        <v>92</v>
      </c>
      <c r="E91" s="23" t="s">
        <v>29</v>
      </c>
      <c r="F91" s="23" t="s">
        <v>164</v>
      </c>
      <c r="G91" s="23" t="s">
        <v>165</v>
      </c>
      <c r="H91" s="23" t="s">
        <v>161</v>
      </c>
      <c r="I91" s="23" t="n">
        <v>0.584</v>
      </c>
      <c r="J91" s="23" t="n">
        <v>26</v>
      </c>
      <c r="K91" s="23" t="n">
        <v>0</v>
      </c>
      <c r="L91" s="23" t="n">
        <v>0</v>
      </c>
      <c r="M91" s="23" t="n">
        <v>0</v>
      </c>
      <c r="N91" s="23" t="n">
        <v>0</v>
      </c>
      <c r="O91" s="23" t="n">
        <v>26</v>
      </c>
      <c r="P91" s="23" t="n">
        <v>0</v>
      </c>
      <c r="Q91" s="23" t="n">
        <v>0</v>
      </c>
      <c r="R91" s="23" t="n">
        <v>0</v>
      </c>
      <c r="S91" s="23" t="n">
        <v>0</v>
      </c>
      <c r="T91" s="23"/>
      <c r="U91" s="23" t="s">
        <v>162</v>
      </c>
    </row>
    <row r="92" customFormat="false" ht="15" hidden="false" customHeight="false" outlineLevel="0" collapsed="false">
      <c r="A92" s="23" t="s">
        <v>271</v>
      </c>
      <c r="B92" s="23" t="n">
        <v>160</v>
      </c>
      <c r="C92" s="23" t="s">
        <v>92</v>
      </c>
      <c r="D92" s="23" t="s">
        <v>92</v>
      </c>
      <c r="E92" s="23" t="s">
        <v>29</v>
      </c>
      <c r="F92" s="23" t="s">
        <v>159</v>
      </c>
      <c r="G92" s="23" t="s">
        <v>175</v>
      </c>
      <c r="H92" s="23" t="s">
        <v>161</v>
      </c>
      <c r="I92" s="23" t="n">
        <v>1.168</v>
      </c>
      <c r="J92" s="23" t="n">
        <v>41</v>
      </c>
      <c r="K92" s="23" t="n">
        <v>0</v>
      </c>
      <c r="L92" s="23" t="n">
        <v>0</v>
      </c>
      <c r="M92" s="23" t="n">
        <v>0</v>
      </c>
      <c r="N92" s="23" t="n">
        <v>0</v>
      </c>
      <c r="O92" s="23" t="n">
        <v>41</v>
      </c>
      <c r="P92" s="23" t="n">
        <v>0</v>
      </c>
      <c r="Q92" s="23" t="n">
        <v>0</v>
      </c>
      <c r="R92" s="23" t="n">
        <v>0</v>
      </c>
      <c r="S92" s="23" t="n">
        <v>0</v>
      </c>
      <c r="T92" s="23"/>
      <c r="U92" s="23" t="s">
        <v>162</v>
      </c>
    </row>
    <row r="93" customFormat="false" ht="15" hidden="false" customHeight="false" outlineLevel="0" collapsed="false">
      <c r="A93" s="23" t="s">
        <v>272</v>
      </c>
      <c r="B93" s="23" t="n">
        <v>35</v>
      </c>
      <c r="C93" s="23" t="s">
        <v>93</v>
      </c>
      <c r="D93" s="23" t="s">
        <v>242</v>
      </c>
      <c r="E93" s="23" t="s">
        <v>28</v>
      </c>
      <c r="F93" s="23" t="s">
        <v>159</v>
      </c>
      <c r="G93" s="23" t="s">
        <v>165</v>
      </c>
      <c r="H93" s="23" t="s">
        <v>176</v>
      </c>
      <c r="I93" s="23" t="n">
        <v>0.454</v>
      </c>
      <c r="J93" s="23" t="n">
        <v>27</v>
      </c>
      <c r="K93" s="23" t="n">
        <v>0</v>
      </c>
      <c r="L93" s="23" t="n">
        <v>0</v>
      </c>
      <c r="M93" s="23" t="n">
        <v>27</v>
      </c>
      <c r="N93" s="23" t="n">
        <v>27</v>
      </c>
      <c r="O93" s="23" t="n">
        <v>0</v>
      </c>
      <c r="P93" s="23" t="n">
        <v>0</v>
      </c>
      <c r="Q93" s="23" t="n">
        <v>0</v>
      </c>
      <c r="R93" s="23" t="n">
        <v>23</v>
      </c>
      <c r="S93" s="23" t="n">
        <v>1</v>
      </c>
      <c r="T93" s="23" t="s">
        <v>191</v>
      </c>
      <c r="U93" s="23" t="s">
        <v>273</v>
      </c>
    </row>
    <row r="94" customFormat="false" ht="15" hidden="false" customHeight="false" outlineLevel="0" collapsed="false">
      <c r="A94" s="23" t="s">
        <v>274</v>
      </c>
      <c r="B94" s="23" t="n">
        <v>40</v>
      </c>
      <c r="C94" s="23" t="s">
        <v>93</v>
      </c>
      <c r="D94" s="23" t="s">
        <v>242</v>
      </c>
      <c r="E94" s="23" t="s">
        <v>28</v>
      </c>
      <c r="F94" s="23" t="s">
        <v>220</v>
      </c>
      <c r="G94" s="23" t="s">
        <v>160</v>
      </c>
      <c r="H94" s="23" t="s">
        <v>161</v>
      </c>
      <c r="I94" s="23" t="n">
        <v>0.132</v>
      </c>
      <c r="J94" s="23" t="n">
        <v>13</v>
      </c>
      <c r="K94" s="23" t="n">
        <v>0</v>
      </c>
      <c r="L94" s="23" t="n">
        <v>0</v>
      </c>
      <c r="M94" s="23" t="n">
        <v>0</v>
      </c>
      <c r="N94" s="23" t="n">
        <v>0</v>
      </c>
      <c r="O94" s="23" t="n">
        <v>13</v>
      </c>
      <c r="P94" s="23" t="n">
        <v>0</v>
      </c>
      <c r="Q94" s="23" t="n">
        <v>0</v>
      </c>
      <c r="R94" s="23" t="n">
        <v>0</v>
      </c>
      <c r="S94" s="23" t="n">
        <v>0</v>
      </c>
      <c r="T94" s="23"/>
      <c r="U94" s="23" t="s">
        <v>162</v>
      </c>
    </row>
    <row r="95" customFormat="false" ht="15" hidden="false" customHeight="false" outlineLevel="0" collapsed="false">
      <c r="A95" s="23" t="s">
        <v>275</v>
      </c>
      <c r="B95" s="23" t="n">
        <v>41</v>
      </c>
      <c r="C95" s="23" t="s">
        <v>93</v>
      </c>
      <c r="D95" s="23" t="s">
        <v>242</v>
      </c>
      <c r="E95" s="23" t="s">
        <v>28</v>
      </c>
      <c r="F95" s="23" t="s">
        <v>220</v>
      </c>
      <c r="G95" s="23" t="s">
        <v>160</v>
      </c>
      <c r="H95" s="23" t="s">
        <v>161</v>
      </c>
      <c r="I95" s="23" t="n">
        <v>0.106</v>
      </c>
      <c r="J95" s="23" t="n">
        <v>11</v>
      </c>
      <c r="K95" s="23" t="n">
        <v>0</v>
      </c>
      <c r="L95" s="23" t="n">
        <v>0</v>
      </c>
      <c r="M95" s="23" t="n">
        <v>0</v>
      </c>
      <c r="N95" s="23" t="n">
        <v>0</v>
      </c>
      <c r="O95" s="23" t="n">
        <v>11</v>
      </c>
      <c r="P95" s="23" t="n">
        <v>0</v>
      </c>
      <c r="Q95" s="23" t="n">
        <v>30</v>
      </c>
      <c r="R95" s="23" t="n">
        <v>0</v>
      </c>
      <c r="S95" s="23" t="n">
        <v>1</v>
      </c>
      <c r="T95" s="23"/>
      <c r="U95" s="23" t="s">
        <v>162</v>
      </c>
    </row>
    <row r="96" customFormat="false" ht="15" hidden="false" customHeight="false" outlineLevel="0" collapsed="false">
      <c r="A96" s="23" t="s">
        <v>276</v>
      </c>
      <c r="B96" s="23" t="n">
        <v>168</v>
      </c>
      <c r="C96" s="23" t="s">
        <v>93</v>
      </c>
      <c r="D96" s="23"/>
      <c r="E96" s="23" t="s">
        <v>30</v>
      </c>
      <c r="F96" s="23"/>
      <c r="G96" s="23"/>
      <c r="H96" s="23"/>
      <c r="I96" s="23" t="n">
        <v>0.042</v>
      </c>
      <c r="J96" s="23" t="n">
        <v>1</v>
      </c>
      <c r="K96" s="23" t="n">
        <v>0</v>
      </c>
      <c r="L96" s="23" t="n">
        <v>0</v>
      </c>
      <c r="M96" s="23" t="n">
        <v>0</v>
      </c>
      <c r="N96" s="23" t="n">
        <v>0</v>
      </c>
      <c r="O96" s="23" t="n">
        <v>1</v>
      </c>
      <c r="P96" s="23" t="n">
        <v>0</v>
      </c>
      <c r="Q96" s="23" t="n">
        <v>0</v>
      </c>
      <c r="R96" s="23" t="n">
        <v>0</v>
      </c>
      <c r="S96" s="23" t="n">
        <v>0</v>
      </c>
      <c r="T96" s="23"/>
      <c r="U96" s="23" t="s">
        <v>201</v>
      </c>
    </row>
    <row r="97" customFormat="false" ht="15" hidden="false" customHeight="false" outlineLevel="0" collapsed="false">
      <c r="A97" s="23" t="s">
        <v>277</v>
      </c>
      <c r="B97" s="23" t="n">
        <v>43</v>
      </c>
      <c r="C97" s="23" t="s">
        <v>94</v>
      </c>
      <c r="D97" s="23" t="s">
        <v>278</v>
      </c>
      <c r="E97" s="23" t="s">
        <v>29</v>
      </c>
      <c r="F97" s="23" t="s">
        <v>159</v>
      </c>
      <c r="G97" s="23" t="s">
        <v>160</v>
      </c>
      <c r="H97" s="23" t="s">
        <v>161</v>
      </c>
      <c r="I97" s="23" t="n">
        <v>4.191</v>
      </c>
      <c r="J97" s="23" t="n">
        <v>188</v>
      </c>
      <c r="K97" s="23" t="n">
        <v>0</v>
      </c>
      <c r="L97" s="23" t="n">
        <v>0</v>
      </c>
      <c r="M97" s="23" t="n">
        <v>0</v>
      </c>
      <c r="N97" s="23" t="n">
        <v>0</v>
      </c>
      <c r="O97" s="23" t="n">
        <v>188</v>
      </c>
      <c r="P97" s="23" t="n">
        <v>0</v>
      </c>
      <c r="Q97" s="23" t="n">
        <v>0</v>
      </c>
      <c r="R97" s="23" t="n">
        <v>0</v>
      </c>
      <c r="S97" s="23" t="n">
        <v>0</v>
      </c>
      <c r="T97" s="23"/>
      <c r="U97" s="23" t="s">
        <v>162</v>
      </c>
    </row>
    <row r="98" customFormat="false" ht="15" hidden="false" customHeight="false" outlineLevel="0" collapsed="false">
      <c r="A98" s="23" t="s">
        <v>279</v>
      </c>
      <c r="B98" s="23" t="n">
        <v>45</v>
      </c>
      <c r="C98" s="23" t="s">
        <v>94</v>
      </c>
      <c r="D98" s="23" t="s">
        <v>278</v>
      </c>
      <c r="E98" s="23" t="s">
        <v>29</v>
      </c>
      <c r="F98" s="23" t="s">
        <v>159</v>
      </c>
      <c r="G98" s="23" t="s">
        <v>165</v>
      </c>
      <c r="H98" s="23" t="s">
        <v>161</v>
      </c>
      <c r="I98" s="23" t="n">
        <v>0.452</v>
      </c>
      <c r="J98" s="23" t="n">
        <v>20</v>
      </c>
      <c r="K98" s="23" t="n">
        <v>0</v>
      </c>
      <c r="L98" s="23" t="n">
        <v>0</v>
      </c>
      <c r="M98" s="23" t="n">
        <v>0</v>
      </c>
      <c r="N98" s="23" t="n">
        <v>0</v>
      </c>
      <c r="O98" s="23" t="n">
        <v>20</v>
      </c>
      <c r="P98" s="23" t="n">
        <v>0</v>
      </c>
      <c r="Q98" s="23" t="n">
        <v>0</v>
      </c>
      <c r="R98" s="23" t="n">
        <v>0</v>
      </c>
      <c r="S98" s="23" t="n">
        <v>0</v>
      </c>
      <c r="T98" s="23"/>
      <c r="U98" s="23" t="s">
        <v>162</v>
      </c>
    </row>
    <row r="99" customFormat="false" ht="15" hidden="false" customHeight="false" outlineLevel="0" collapsed="false">
      <c r="A99" s="23" t="s">
        <v>280</v>
      </c>
      <c r="B99" s="23" t="n">
        <v>46</v>
      </c>
      <c r="C99" s="23" t="s">
        <v>94</v>
      </c>
      <c r="D99" s="23" t="s">
        <v>278</v>
      </c>
      <c r="E99" s="23" t="s">
        <v>29</v>
      </c>
      <c r="F99" s="23" t="s">
        <v>159</v>
      </c>
      <c r="G99" s="23" t="s">
        <v>165</v>
      </c>
      <c r="H99" s="23" t="s">
        <v>161</v>
      </c>
      <c r="I99" s="23" t="n">
        <v>0.912</v>
      </c>
      <c r="J99" s="23" t="n">
        <v>41</v>
      </c>
      <c r="K99" s="23" t="n">
        <v>0</v>
      </c>
      <c r="L99" s="23" t="n">
        <v>0</v>
      </c>
      <c r="M99" s="23" t="n">
        <v>0</v>
      </c>
      <c r="N99" s="23" t="n">
        <v>0</v>
      </c>
      <c r="O99" s="23" t="n">
        <v>41</v>
      </c>
      <c r="P99" s="23" t="n">
        <v>0</v>
      </c>
      <c r="Q99" s="23" t="n">
        <v>0</v>
      </c>
      <c r="R99" s="23" t="n">
        <v>0</v>
      </c>
      <c r="S99" s="23" t="n">
        <v>0</v>
      </c>
      <c r="T99" s="23"/>
      <c r="U99" s="23" t="s">
        <v>162</v>
      </c>
    </row>
    <row r="100" customFormat="false" ht="15" hidden="false" customHeight="false" outlineLevel="0" collapsed="false">
      <c r="A100" s="23" t="s">
        <v>281</v>
      </c>
      <c r="B100" s="23" t="n">
        <v>47</v>
      </c>
      <c r="C100" s="23" t="s">
        <v>94</v>
      </c>
      <c r="D100" s="23" t="s">
        <v>278</v>
      </c>
      <c r="E100" s="23" t="s">
        <v>29</v>
      </c>
      <c r="F100" s="23" t="s">
        <v>159</v>
      </c>
      <c r="G100" s="23" t="s">
        <v>165</v>
      </c>
      <c r="H100" s="23" t="s">
        <v>161</v>
      </c>
      <c r="I100" s="23" t="n">
        <v>0.373</v>
      </c>
      <c r="J100" s="23" t="n">
        <v>17</v>
      </c>
      <c r="K100" s="23" t="n">
        <v>0</v>
      </c>
      <c r="L100" s="23" t="n">
        <v>0</v>
      </c>
      <c r="M100" s="23" t="n">
        <v>0</v>
      </c>
      <c r="N100" s="23" t="n">
        <v>0</v>
      </c>
      <c r="O100" s="23" t="n">
        <v>17</v>
      </c>
      <c r="P100" s="23" t="n">
        <v>0</v>
      </c>
      <c r="Q100" s="23" t="n">
        <v>0</v>
      </c>
      <c r="R100" s="23" t="n">
        <v>0</v>
      </c>
      <c r="S100" s="23" t="n">
        <v>0</v>
      </c>
      <c r="T100" s="23"/>
      <c r="U100" s="23" t="s">
        <v>162</v>
      </c>
    </row>
    <row r="101" customFormat="false" ht="15" hidden="false" customHeight="false" outlineLevel="0" collapsed="false">
      <c r="A101" s="23" t="s">
        <v>282</v>
      </c>
      <c r="B101" s="23" t="n">
        <v>49</v>
      </c>
      <c r="C101" s="23" t="s">
        <v>94</v>
      </c>
      <c r="D101" s="23" t="s">
        <v>278</v>
      </c>
      <c r="E101" s="23" t="s">
        <v>29</v>
      </c>
      <c r="F101" s="23" t="s">
        <v>159</v>
      </c>
      <c r="G101" s="23" t="s">
        <v>165</v>
      </c>
      <c r="H101" s="23" t="s">
        <v>170</v>
      </c>
      <c r="I101" s="23" t="n">
        <v>0.243</v>
      </c>
      <c r="J101" s="23" t="n">
        <v>11</v>
      </c>
      <c r="K101" s="23" t="n">
        <v>0</v>
      </c>
      <c r="L101" s="23" t="n">
        <v>0</v>
      </c>
      <c r="M101" s="23" t="n">
        <v>25</v>
      </c>
      <c r="N101" s="23" t="n">
        <v>25</v>
      </c>
      <c r="O101" s="23" t="n">
        <v>0</v>
      </c>
      <c r="P101" s="23" t="n">
        <v>0</v>
      </c>
      <c r="Q101" s="23" t="n">
        <v>0</v>
      </c>
      <c r="R101" s="23" t="n">
        <v>0</v>
      </c>
      <c r="S101" s="23" t="n">
        <v>1</v>
      </c>
      <c r="T101" s="23" t="s">
        <v>171</v>
      </c>
      <c r="U101" s="23" t="s">
        <v>172</v>
      </c>
    </row>
    <row r="102" customFormat="false" ht="15" hidden="false" customHeight="false" outlineLevel="0" collapsed="false">
      <c r="A102" s="23" t="s">
        <v>283</v>
      </c>
      <c r="B102" s="23" t="n">
        <v>50</v>
      </c>
      <c r="C102" s="23" t="s">
        <v>94</v>
      </c>
      <c r="D102" s="23" t="s">
        <v>278</v>
      </c>
      <c r="E102" s="23" t="s">
        <v>29</v>
      </c>
      <c r="F102" s="23" t="s">
        <v>159</v>
      </c>
      <c r="G102" s="23" t="s">
        <v>175</v>
      </c>
      <c r="H102" s="23" t="s">
        <v>176</v>
      </c>
      <c r="I102" s="23" t="n">
        <v>0.704</v>
      </c>
      <c r="J102" s="23" t="n">
        <v>31</v>
      </c>
      <c r="K102" s="23" t="n">
        <v>0</v>
      </c>
      <c r="L102" s="23" t="n">
        <v>0</v>
      </c>
      <c r="M102" s="23" t="n">
        <v>0</v>
      </c>
      <c r="N102" s="23" t="n">
        <v>0</v>
      </c>
      <c r="O102" s="23" t="n">
        <v>31</v>
      </c>
      <c r="P102" s="23" t="n">
        <v>4</v>
      </c>
      <c r="Q102" s="23" t="n">
        <v>0</v>
      </c>
      <c r="R102" s="23" t="n">
        <v>0</v>
      </c>
      <c r="S102" s="23" t="n">
        <v>1</v>
      </c>
      <c r="T102" s="23" t="s">
        <v>193</v>
      </c>
      <c r="U102" s="23" t="s">
        <v>162</v>
      </c>
    </row>
    <row r="103" customFormat="false" ht="15" hidden="false" customHeight="false" outlineLevel="0" collapsed="false">
      <c r="A103" s="23" t="s">
        <v>284</v>
      </c>
      <c r="B103" s="23" t="n">
        <v>51</v>
      </c>
      <c r="C103" s="23" t="s">
        <v>94</v>
      </c>
      <c r="D103" s="23" t="s">
        <v>278</v>
      </c>
      <c r="E103" s="23" t="s">
        <v>29</v>
      </c>
      <c r="F103" s="23" t="s">
        <v>164</v>
      </c>
      <c r="G103" s="23" t="s">
        <v>165</v>
      </c>
      <c r="H103" s="23" t="s">
        <v>161</v>
      </c>
      <c r="I103" s="23" t="n">
        <v>0.272</v>
      </c>
      <c r="J103" s="23" t="n">
        <v>12</v>
      </c>
      <c r="K103" s="23" t="n">
        <v>0</v>
      </c>
      <c r="L103" s="23" t="n">
        <v>0</v>
      </c>
      <c r="M103" s="23" t="n">
        <v>0</v>
      </c>
      <c r="N103" s="23" t="n">
        <v>0</v>
      </c>
      <c r="O103" s="23" t="n">
        <v>12</v>
      </c>
      <c r="P103" s="23" t="n">
        <v>0</v>
      </c>
      <c r="Q103" s="23" t="n">
        <v>0</v>
      </c>
      <c r="R103" s="23" t="n">
        <v>0</v>
      </c>
      <c r="S103" s="23" t="n">
        <v>0</v>
      </c>
      <c r="T103" s="23"/>
      <c r="U103" s="23" t="s">
        <v>162</v>
      </c>
    </row>
    <row r="104" customFormat="false" ht="15" hidden="false" customHeight="false" outlineLevel="0" collapsed="false">
      <c r="A104" s="23" t="s">
        <v>285</v>
      </c>
      <c r="B104" s="23" t="n">
        <v>52</v>
      </c>
      <c r="C104" s="23" t="s">
        <v>94</v>
      </c>
      <c r="D104" s="23" t="s">
        <v>278</v>
      </c>
      <c r="E104" s="23" t="s">
        <v>30</v>
      </c>
      <c r="F104" s="23" t="s">
        <v>159</v>
      </c>
      <c r="G104" s="23" t="s">
        <v>165</v>
      </c>
      <c r="H104" s="23" t="s">
        <v>176</v>
      </c>
      <c r="I104" s="23" t="n">
        <v>0.548</v>
      </c>
      <c r="J104" s="23" t="n">
        <v>26</v>
      </c>
      <c r="K104" s="23" t="n">
        <v>0</v>
      </c>
      <c r="L104" s="23" t="n">
        <v>26</v>
      </c>
      <c r="M104" s="23" t="n">
        <v>0</v>
      </c>
      <c r="N104" s="23" t="n">
        <v>26</v>
      </c>
      <c r="O104" s="23" t="n">
        <v>0</v>
      </c>
      <c r="P104" s="23" t="n">
        <v>0</v>
      </c>
      <c r="Q104" s="23" t="n">
        <v>0</v>
      </c>
      <c r="R104" s="23" t="n">
        <v>0</v>
      </c>
      <c r="S104" s="23" t="n">
        <v>1</v>
      </c>
      <c r="T104" s="23"/>
      <c r="U104" s="23" t="s">
        <v>162</v>
      </c>
    </row>
    <row r="105" customFormat="false" ht="15" hidden="false" customHeight="false" outlineLevel="0" collapsed="false">
      <c r="A105" s="23" t="s">
        <v>286</v>
      </c>
      <c r="B105" s="23" t="n">
        <v>75</v>
      </c>
      <c r="C105" s="23" t="s">
        <v>94</v>
      </c>
      <c r="D105" s="23" t="s">
        <v>278</v>
      </c>
      <c r="E105" s="23" t="s">
        <v>29</v>
      </c>
      <c r="F105" s="23" t="s">
        <v>159</v>
      </c>
      <c r="G105" s="23" t="s">
        <v>165</v>
      </c>
      <c r="H105" s="23" t="s">
        <v>176</v>
      </c>
      <c r="I105" s="23" t="n">
        <v>0.227</v>
      </c>
      <c r="J105" s="23" t="n">
        <v>7</v>
      </c>
      <c r="K105" s="23" t="n">
        <v>0</v>
      </c>
      <c r="L105" s="23" t="n">
        <v>0</v>
      </c>
      <c r="M105" s="23" t="n">
        <v>0</v>
      </c>
      <c r="N105" s="23" t="n">
        <v>0</v>
      </c>
      <c r="O105" s="23" t="n">
        <v>7</v>
      </c>
      <c r="P105" s="23" t="n">
        <v>0</v>
      </c>
      <c r="Q105" s="23" t="n">
        <v>0</v>
      </c>
      <c r="R105" s="23" t="n">
        <v>0</v>
      </c>
      <c r="S105" s="23" t="n">
        <v>0</v>
      </c>
      <c r="T105" s="23" t="s">
        <v>193</v>
      </c>
      <c r="U105" s="23" t="s">
        <v>162</v>
      </c>
    </row>
    <row r="106" customFormat="false" ht="15" hidden="false" customHeight="false" outlineLevel="0" collapsed="false">
      <c r="A106" s="23" t="s">
        <v>287</v>
      </c>
      <c r="B106" s="23" t="n">
        <v>77</v>
      </c>
      <c r="C106" s="23" t="s">
        <v>94</v>
      </c>
      <c r="D106" s="23" t="s">
        <v>278</v>
      </c>
      <c r="E106" s="23" t="s">
        <v>29</v>
      </c>
      <c r="F106" s="23" t="s">
        <v>159</v>
      </c>
      <c r="G106" s="23" t="s">
        <v>165</v>
      </c>
      <c r="H106" s="23" t="s">
        <v>161</v>
      </c>
      <c r="I106" s="23" t="n">
        <v>0.727</v>
      </c>
      <c r="J106" s="23" t="n">
        <v>33</v>
      </c>
      <c r="K106" s="23" t="n">
        <v>0</v>
      </c>
      <c r="L106" s="23" t="n">
        <v>0</v>
      </c>
      <c r="M106" s="23" t="n">
        <v>0</v>
      </c>
      <c r="N106" s="23" t="n">
        <v>0</v>
      </c>
      <c r="O106" s="23" t="n">
        <v>33</v>
      </c>
      <c r="P106" s="23" t="n">
        <v>0</v>
      </c>
      <c r="Q106" s="23" t="n">
        <v>0</v>
      </c>
      <c r="R106" s="23" t="n">
        <v>0</v>
      </c>
      <c r="S106" s="23" t="n">
        <v>0</v>
      </c>
      <c r="T106" s="23"/>
      <c r="U106" s="23" t="s">
        <v>162</v>
      </c>
    </row>
    <row r="107" customFormat="false" ht="15" hidden="false" customHeight="false" outlineLevel="0" collapsed="false">
      <c r="A107" s="23" t="s">
        <v>288</v>
      </c>
      <c r="B107" s="23" t="n">
        <v>78</v>
      </c>
      <c r="C107" s="23" t="s">
        <v>94</v>
      </c>
      <c r="D107" s="23" t="s">
        <v>278</v>
      </c>
      <c r="E107" s="23" t="s">
        <v>29</v>
      </c>
      <c r="F107" s="23" t="s">
        <v>159</v>
      </c>
      <c r="G107" s="23" t="s">
        <v>165</v>
      </c>
      <c r="H107" s="23" t="s">
        <v>161</v>
      </c>
      <c r="I107" s="23" t="n">
        <v>0.919</v>
      </c>
      <c r="J107" s="23" t="n">
        <v>41</v>
      </c>
      <c r="K107" s="23" t="n">
        <v>0</v>
      </c>
      <c r="L107" s="23" t="n">
        <v>0</v>
      </c>
      <c r="M107" s="23" t="n">
        <v>0</v>
      </c>
      <c r="N107" s="23" t="n">
        <v>0</v>
      </c>
      <c r="O107" s="23" t="n">
        <v>41</v>
      </c>
      <c r="P107" s="23" t="n">
        <v>0</v>
      </c>
      <c r="Q107" s="23" t="n">
        <v>0</v>
      </c>
      <c r="R107" s="23" t="n">
        <v>0</v>
      </c>
      <c r="S107" s="23" t="n">
        <v>0</v>
      </c>
      <c r="T107" s="23"/>
      <c r="U107" s="23" t="s">
        <v>162</v>
      </c>
    </row>
    <row r="108" customFormat="false" ht="15" hidden="false" customHeight="false" outlineLevel="0" collapsed="false">
      <c r="A108" s="23" t="s">
        <v>289</v>
      </c>
      <c r="B108" s="23" t="n">
        <v>79</v>
      </c>
      <c r="C108" s="23" t="s">
        <v>94</v>
      </c>
      <c r="D108" s="23" t="s">
        <v>278</v>
      </c>
      <c r="E108" s="23" t="s">
        <v>29</v>
      </c>
      <c r="F108" s="23" t="s">
        <v>159</v>
      </c>
      <c r="G108" s="23" t="s">
        <v>165</v>
      </c>
      <c r="H108" s="23" t="s">
        <v>161</v>
      </c>
      <c r="I108" s="23" t="n">
        <v>2.384</v>
      </c>
      <c r="J108" s="23" t="n">
        <v>107</v>
      </c>
      <c r="K108" s="23" t="n">
        <v>0</v>
      </c>
      <c r="L108" s="23" t="n">
        <v>0</v>
      </c>
      <c r="M108" s="23" t="n">
        <v>55</v>
      </c>
      <c r="N108" s="23" t="n">
        <v>55</v>
      </c>
      <c r="O108" s="23" t="n">
        <v>52</v>
      </c>
      <c r="P108" s="23" t="n">
        <v>0</v>
      </c>
      <c r="Q108" s="23" t="n">
        <v>0</v>
      </c>
      <c r="R108" s="23" t="n">
        <v>0</v>
      </c>
      <c r="S108" s="23" t="n">
        <v>1</v>
      </c>
      <c r="T108" s="23"/>
      <c r="U108" s="23" t="s">
        <v>162</v>
      </c>
    </row>
    <row r="109" customFormat="false" ht="15" hidden="false" customHeight="false" outlineLevel="0" collapsed="false">
      <c r="A109" s="23" t="s">
        <v>290</v>
      </c>
      <c r="B109" s="23" t="n">
        <v>80</v>
      </c>
      <c r="C109" s="23" t="s">
        <v>94</v>
      </c>
      <c r="D109" s="23" t="s">
        <v>278</v>
      </c>
      <c r="E109" s="23" t="s">
        <v>29</v>
      </c>
      <c r="F109" s="23" t="s">
        <v>164</v>
      </c>
      <c r="G109" s="23" t="s">
        <v>160</v>
      </c>
      <c r="H109" s="23" t="s">
        <v>161</v>
      </c>
      <c r="I109" s="23" t="n">
        <v>0.077</v>
      </c>
      <c r="J109" s="23" t="n">
        <v>3</v>
      </c>
      <c r="K109" s="23" t="n">
        <v>0</v>
      </c>
      <c r="L109" s="23" t="n">
        <v>0</v>
      </c>
      <c r="M109" s="23" t="n">
        <v>0</v>
      </c>
      <c r="N109" s="23" t="n">
        <v>0</v>
      </c>
      <c r="O109" s="23" t="n">
        <v>3</v>
      </c>
      <c r="P109" s="23" t="n">
        <v>0</v>
      </c>
      <c r="Q109" s="23" t="n">
        <v>0</v>
      </c>
      <c r="R109" s="23" t="n">
        <v>0</v>
      </c>
      <c r="S109" s="23" t="n">
        <v>0</v>
      </c>
      <c r="T109" s="23"/>
      <c r="U109" s="23" t="s">
        <v>162</v>
      </c>
    </row>
    <row r="110" customFormat="false" ht="15" hidden="false" customHeight="false" outlineLevel="0" collapsed="false">
      <c r="A110" s="23" t="s">
        <v>291</v>
      </c>
      <c r="B110" s="23" t="n">
        <v>81</v>
      </c>
      <c r="C110" s="23" t="s">
        <v>94</v>
      </c>
      <c r="D110" s="23" t="s">
        <v>278</v>
      </c>
      <c r="E110" s="23" t="s">
        <v>29</v>
      </c>
      <c r="F110" s="23" t="s">
        <v>159</v>
      </c>
      <c r="G110" s="23" t="s">
        <v>160</v>
      </c>
      <c r="H110" s="23" t="s">
        <v>176</v>
      </c>
      <c r="I110" s="23" t="n">
        <v>0.156</v>
      </c>
      <c r="J110" s="23" t="n">
        <v>32</v>
      </c>
      <c r="K110" s="23" t="n">
        <v>0</v>
      </c>
      <c r="L110" s="23" t="n">
        <v>20</v>
      </c>
      <c r="M110" s="23" t="n">
        <v>0</v>
      </c>
      <c r="N110" s="23" t="n">
        <v>20</v>
      </c>
      <c r="O110" s="23" t="n">
        <v>12</v>
      </c>
      <c r="P110" s="23" t="n">
        <v>0</v>
      </c>
      <c r="Q110" s="23" t="n">
        <v>0</v>
      </c>
      <c r="R110" s="23" t="n">
        <v>0</v>
      </c>
      <c r="S110" s="23" t="n">
        <v>1</v>
      </c>
      <c r="T110" s="23"/>
      <c r="U110" s="23" t="s">
        <v>162</v>
      </c>
    </row>
    <row r="111" customFormat="false" ht="15" hidden="false" customHeight="false" outlineLevel="0" collapsed="false">
      <c r="A111" s="23" t="s">
        <v>292</v>
      </c>
      <c r="B111" s="23" t="n">
        <v>82</v>
      </c>
      <c r="C111" s="23" t="s">
        <v>94</v>
      </c>
      <c r="D111" s="23" t="s">
        <v>278</v>
      </c>
      <c r="E111" s="23" t="s">
        <v>29</v>
      </c>
      <c r="F111" s="23" t="s">
        <v>220</v>
      </c>
      <c r="G111" s="23" t="s">
        <v>160</v>
      </c>
      <c r="H111" s="23" t="s">
        <v>161</v>
      </c>
      <c r="I111" s="23" t="n">
        <v>0</v>
      </c>
      <c r="J111" s="23" t="n">
        <v>0</v>
      </c>
      <c r="K111" s="23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3" t="n">
        <v>0</v>
      </c>
      <c r="R111" s="23" t="n">
        <v>0</v>
      </c>
      <c r="S111" s="23" t="n">
        <v>0</v>
      </c>
      <c r="T111" s="23"/>
      <c r="U111" s="23" t="s">
        <v>162</v>
      </c>
    </row>
    <row r="112" customFormat="false" ht="15" hidden="false" customHeight="false" outlineLevel="0" collapsed="false">
      <c r="A112" s="23" t="s">
        <v>293</v>
      </c>
      <c r="B112" s="23" t="n">
        <v>83</v>
      </c>
      <c r="C112" s="23" t="s">
        <v>94</v>
      </c>
      <c r="D112" s="23" t="s">
        <v>278</v>
      </c>
      <c r="E112" s="23" t="s">
        <v>29</v>
      </c>
      <c r="F112" s="23" t="s">
        <v>220</v>
      </c>
      <c r="G112" s="23" t="s">
        <v>160</v>
      </c>
      <c r="H112" s="23" t="s">
        <v>176</v>
      </c>
      <c r="I112" s="23" t="n">
        <v>0.124</v>
      </c>
      <c r="J112" s="23" t="n">
        <v>14</v>
      </c>
      <c r="K112" s="23" t="n">
        <v>0</v>
      </c>
      <c r="L112" s="23" t="n">
        <v>0</v>
      </c>
      <c r="M112" s="23" t="n">
        <v>44</v>
      </c>
      <c r="N112" s="23" t="n">
        <v>44</v>
      </c>
      <c r="O112" s="23" t="n">
        <v>0</v>
      </c>
      <c r="P112" s="23" t="n">
        <v>0</v>
      </c>
      <c r="Q112" s="23" t="n">
        <v>0</v>
      </c>
      <c r="R112" s="23" t="n">
        <v>0</v>
      </c>
      <c r="S112" s="23" t="n">
        <v>2</v>
      </c>
      <c r="T112" s="23" t="s">
        <v>171</v>
      </c>
      <c r="U112" s="23" t="s">
        <v>162</v>
      </c>
    </row>
    <row r="113" customFormat="false" ht="15" hidden="false" customHeight="false" outlineLevel="0" collapsed="false">
      <c r="A113" s="23" t="s">
        <v>294</v>
      </c>
      <c r="B113" s="23" t="n">
        <v>84</v>
      </c>
      <c r="C113" s="23" t="s">
        <v>94</v>
      </c>
      <c r="D113" s="23" t="s">
        <v>278</v>
      </c>
      <c r="E113" s="23" t="s">
        <v>29</v>
      </c>
      <c r="F113" s="23" t="s">
        <v>220</v>
      </c>
      <c r="G113" s="23" t="s">
        <v>160</v>
      </c>
      <c r="H113" s="23" t="s">
        <v>176</v>
      </c>
      <c r="I113" s="23" t="n">
        <v>0.043</v>
      </c>
      <c r="J113" s="23" t="n">
        <v>20</v>
      </c>
      <c r="K113" s="23" t="n">
        <v>0</v>
      </c>
      <c r="L113" s="23" t="n">
        <v>30</v>
      </c>
      <c r="M113" s="23" t="n">
        <v>0</v>
      </c>
      <c r="N113" s="23" t="n">
        <v>30</v>
      </c>
      <c r="O113" s="23" t="n">
        <v>0</v>
      </c>
      <c r="P113" s="23" t="n">
        <v>0</v>
      </c>
      <c r="Q113" s="23" t="n">
        <v>0</v>
      </c>
      <c r="R113" s="23" t="n">
        <v>0</v>
      </c>
      <c r="S113" s="23" t="n">
        <v>1</v>
      </c>
      <c r="T113" s="23" t="s">
        <v>171</v>
      </c>
      <c r="U113" s="23" t="s">
        <v>162</v>
      </c>
    </row>
    <row r="114" customFormat="false" ht="15" hidden="false" customHeight="false" outlineLevel="0" collapsed="false">
      <c r="A114" s="23" t="s">
        <v>295</v>
      </c>
      <c r="B114" s="23" t="n">
        <v>109</v>
      </c>
      <c r="C114" s="23" t="s">
        <v>94</v>
      </c>
      <c r="D114" s="23" t="s">
        <v>278</v>
      </c>
      <c r="E114" s="23" t="s">
        <v>28</v>
      </c>
      <c r="F114" s="23" t="s">
        <v>159</v>
      </c>
      <c r="G114" s="23" t="s">
        <v>165</v>
      </c>
      <c r="H114" s="23" t="s">
        <v>161</v>
      </c>
      <c r="I114" s="23" t="n">
        <v>0.26</v>
      </c>
      <c r="J114" s="23" t="n">
        <v>12</v>
      </c>
      <c r="K114" s="23" t="n">
        <v>0</v>
      </c>
      <c r="L114" s="23" t="n">
        <v>0</v>
      </c>
      <c r="M114" s="23" t="n">
        <v>0</v>
      </c>
      <c r="N114" s="23" t="n">
        <v>0</v>
      </c>
      <c r="O114" s="23" t="n">
        <v>12</v>
      </c>
      <c r="P114" s="23" t="n">
        <v>0</v>
      </c>
      <c r="Q114" s="23" t="n">
        <v>0</v>
      </c>
      <c r="R114" s="23" t="n">
        <v>0</v>
      </c>
      <c r="S114" s="23" t="n">
        <v>0</v>
      </c>
      <c r="T114" s="23"/>
      <c r="U114" s="23" t="s">
        <v>162</v>
      </c>
    </row>
    <row r="115" customFormat="false" ht="15" hidden="false" customHeight="false" outlineLevel="0" collapsed="false">
      <c r="A115" s="23" t="s">
        <v>296</v>
      </c>
      <c r="B115" s="23" t="n">
        <v>169</v>
      </c>
      <c r="C115" s="23" t="s">
        <v>94</v>
      </c>
      <c r="D115" s="23"/>
      <c r="E115" s="23" t="s">
        <v>30</v>
      </c>
      <c r="F115" s="23"/>
      <c r="G115" s="23"/>
      <c r="H115" s="23"/>
      <c r="I115" s="23" t="n">
        <v>0.424</v>
      </c>
      <c r="J115" s="23" t="n">
        <v>0</v>
      </c>
      <c r="K115" s="23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3" t="n">
        <v>0</v>
      </c>
      <c r="R115" s="23" t="n">
        <v>0</v>
      </c>
      <c r="S115" s="23" t="n">
        <v>0</v>
      </c>
      <c r="T115" s="23"/>
      <c r="U115" s="23"/>
    </row>
    <row r="116" customFormat="false" ht="15" hidden="false" customHeight="false" outlineLevel="0" collapsed="false">
      <c r="A116" s="23" t="s">
        <v>297</v>
      </c>
      <c r="B116" s="23" t="n">
        <v>74</v>
      </c>
      <c r="C116" s="23" t="s">
        <v>95</v>
      </c>
      <c r="D116" s="23" t="s">
        <v>278</v>
      </c>
      <c r="E116" s="23" t="s">
        <v>29</v>
      </c>
      <c r="F116" s="23" t="s">
        <v>159</v>
      </c>
      <c r="G116" s="23" t="s">
        <v>165</v>
      </c>
      <c r="H116" s="23" t="s">
        <v>161</v>
      </c>
      <c r="I116" s="23" t="n">
        <v>0.543</v>
      </c>
      <c r="J116" s="23" t="n">
        <v>19</v>
      </c>
      <c r="K116" s="23" t="n">
        <v>0</v>
      </c>
      <c r="L116" s="23" t="n">
        <v>31</v>
      </c>
      <c r="M116" s="23" t="n">
        <v>0</v>
      </c>
      <c r="N116" s="23" t="n">
        <v>31</v>
      </c>
      <c r="O116" s="23" t="n">
        <v>0</v>
      </c>
      <c r="P116" s="23" t="n">
        <v>0</v>
      </c>
      <c r="Q116" s="23" t="n">
        <v>0</v>
      </c>
      <c r="R116" s="23" t="n">
        <v>0</v>
      </c>
      <c r="S116" s="23" t="n">
        <v>1</v>
      </c>
      <c r="T116" s="23" t="s">
        <v>171</v>
      </c>
      <c r="U116" s="23" t="s">
        <v>162</v>
      </c>
    </row>
    <row r="117" customFormat="false" ht="15" hidden="false" customHeight="false" outlineLevel="0" collapsed="false">
      <c r="A117" s="23" t="s">
        <v>298</v>
      </c>
      <c r="B117" s="23" t="n">
        <v>76</v>
      </c>
      <c r="C117" s="23" t="s">
        <v>95</v>
      </c>
      <c r="D117" s="23" t="s">
        <v>278</v>
      </c>
      <c r="E117" s="23" t="s">
        <v>29</v>
      </c>
      <c r="F117" s="23" t="s">
        <v>188</v>
      </c>
      <c r="G117" s="23" t="s">
        <v>160</v>
      </c>
      <c r="H117" s="23" t="s">
        <v>161</v>
      </c>
      <c r="I117" s="23" t="n">
        <v>3.169</v>
      </c>
      <c r="J117" s="23" t="n">
        <v>245</v>
      </c>
      <c r="K117" s="23" t="n">
        <v>0</v>
      </c>
      <c r="L117" s="23" t="n">
        <v>0</v>
      </c>
      <c r="M117" s="23" t="n">
        <v>403</v>
      </c>
      <c r="N117" s="23" t="n">
        <v>403</v>
      </c>
      <c r="O117" s="23" t="n">
        <v>0</v>
      </c>
      <c r="P117" s="23" t="n">
        <v>0</v>
      </c>
      <c r="Q117" s="23" t="n">
        <v>0</v>
      </c>
      <c r="R117" s="23" t="n">
        <v>0</v>
      </c>
      <c r="S117" s="23" t="n">
        <v>1</v>
      </c>
      <c r="T117" s="23" t="s">
        <v>171</v>
      </c>
      <c r="U117" s="23" t="s">
        <v>162</v>
      </c>
    </row>
    <row r="118" customFormat="false" ht="15" hidden="false" customHeight="false" outlineLevel="0" collapsed="false">
      <c r="A118" s="23" t="s">
        <v>299</v>
      </c>
      <c r="B118" s="23" t="n">
        <v>110</v>
      </c>
      <c r="C118" s="23" t="s">
        <v>95</v>
      </c>
      <c r="D118" s="23" t="s">
        <v>90</v>
      </c>
      <c r="E118" s="23" t="s">
        <v>28</v>
      </c>
      <c r="F118" s="23" t="s">
        <v>159</v>
      </c>
      <c r="G118" s="23" t="s">
        <v>165</v>
      </c>
      <c r="H118" s="23" t="s">
        <v>161</v>
      </c>
      <c r="I118" s="23" t="n">
        <v>0.126</v>
      </c>
      <c r="J118" s="23" t="n">
        <v>6</v>
      </c>
      <c r="K118" s="23" t="n">
        <v>0</v>
      </c>
      <c r="L118" s="23" t="n">
        <v>0</v>
      </c>
      <c r="M118" s="23" t="n">
        <v>0</v>
      </c>
      <c r="N118" s="23" t="n">
        <v>0</v>
      </c>
      <c r="O118" s="23" t="n">
        <v>6</v>
      </c>
      <c r="P118" s="23" t="n">
        <v>0</v>
      </c>
      <c r="Q118" s="23" t="n">
        <v>0</v>
      </c>
      <c r="R118" s="23" t="n">
        <v>0</v>
      </c>
      <c r="S118" s="23" t="n">
        <v>0</v>
      </c>
      <c r="T118" s="23"/>
      <c r="U118" s="23" t="s">
        <v>162</v>
      </c>
    </row>
    <row r="119" customFormat="false" ht="15" hidden="false" customHeight="false" outlineLevel="0" collapsed="false">
      <c r="A119" s="23" t="s">
        <v>300</v>
      </c>
      <c r="B119" s="23" t="n">
        <v>111</v>
      </c>
      <c r="C119" s="23" t="s">
        <v>95</v>
      </c>
      <c r="D119" s="23" t="s">
        <v>90</v>
      </c>
      <c r="E119" s="23" t="s">
        <v>28</v>
      </c>
      <c r="F119" s="23" t="s">
        <v>159</v>
      </c>
      <c r="G119" s="23" t="s">
        <v>165</v>
      </c>
      <c r="H119" s="23" t="s">
        <v>161</v>
      </c>
      <c r="I119" s="23" t="n">
        <v>0.703</v>
      </c>
      <c r="J119" s="23" t="n">
        <v>32</v>
      </c>
      <c r="K119" s="23" t="n">
        <v>0</v>
      </c>
      <c r="L119" s="23" t="n">
        <v>0</v>
      </c>
      <c r="M119" s="23" t="n">
        <v>0</v>
      </c>
      <c r="N119" s="23" t="n">
        <v>0</v>
      </c>
      <c r="O119" s="23" t="n">
        <v>32</v>
      </c>
      <c r="P119" s="23" t="n">
        <v>0</v>
      </c>
      <c r="Q119" s="23" t="n">
        <v>0</v>
      </c>
      <c r="R119" s="23" t="n">
        <v>5</v>
      </c>
      <c r="S119" s="23" t="n">
        <v>0</v>
      </c>
      <c r="T119" s="23" t="s">
        <v>191</v>
      </c>
      <c r="U119" s="23" t="s">
        <v>162</v>
      </c>
    </row>
    <row r="120" customFormat="false" ht="15" hidden="false" customHeight="false" outlineLevel="0" collapsed="false">
      <c r="A120" s="23" t="s">
        <v>301</v>
      </c>
      <c r="B120" s="23" t="n">
        <v>112</v>
      </c>
      <c r="C120" s="23" t="s">
        <v>95</v>
      </c>
      <c r="D120" s="23" t="s">
        <v>90</v>
      </c>
      <c r="E120" s="23" t="s">
        <v>28</v>
      </c>
      <c r="F120" s="23" t="s">
        <v>159</v>
      </c>
      <c r="G120" s="23" t="s">
        <v>165</v>
      </c>
      <c r="H120" s="23" t="s">
        <v>161</v>
      </c>
      <c r="I120" s="23" t="n">
        <v>1.346</v>
      </c>
      <c r="J120" s="23" t="n">
        <v>61</v>
      </c>
      <c r="K120" s="23" t="n">
        <v>0</v>
      </c>
      <c r="L120" s="23" t="n">
        <v>0</v>
      </c>
      <c r="M120" s="23" t="n">
        <v>0</v>
      </c>
      <c r="N120" s="23" t="n">
        <v>0</v>
      </c>
      <c r="O120" s="23" t="n">
        <v>61</v>
      </c>
      <c r="P120" s="23" t="n">
        <v>0</v>
      </c>
      <c r="Q120" s="23" t="n">
        <v>0</v>
      </c>
      <c r="R120" s="23" t="n">
        <v>0</v>
      </c>
      <c r="S120" s="23" t="n">
        <v>0</v>
      </c>
      <c r="T120" s="23"/>
      <c r="U120" s="23" t="s">
        <v>302</v>
      </c>
    </row>
    <row r="121" customFormat="false" ht="15" hidden="false" customHeight="false" outlineLevel="0" collapsed="false">
      <c r="A121" s="23" t="s">
        <v>303</v>
      </c>
      <c r="B121" s="23" t="n">
        <v>113</v>
      </c>
      <c r="C121" s="23" t="s">
        <v>95</v>
      </c>
      <c r="D121" s="23"/>
      <c r="E121" s="23" t="s">
        <v>29</v>
      </c>
      <c r="F121" s="23" t="s">
        <v>164</v>
      </c>
      <c r="G121" s="23" t="s">
        <v>165</v>
      </c>
      <c r="H121" s="23" t="s">
        <v>161</v>
      </c>
      <c r="I121" s="23" t="n">
        <v>0.207</v>
      </c>
      <c r="J121" s="23" t="n">
        <v>9</v>
      </c>
      <c r="K121" s="23" t="n">
        <v>0</v>
      </c>
      <c r="L121" s="23" t="n">
        <v>0</v>
      </c>
      <c r="M121" s="23" t="n">
        <v>10</v>
      </c>
      <c r="N121" s="23" t="n">
        <v>10</v>
      </c>
      <c r="O121" s="23" t="n">
        <v>0</v>
      </c>
      <c r="P121" s="23" t="n">
        <v>0</v>
      </c>
      <c r="Q121" s="23" t="n">
        <v>0</v>
      </c>
      <c r="R121" s="23" t="n">
        <v>0</v>
      </c>
      <c r="S121" s="23" t="n">
        <v>1</v>
      </c>
      <c r="T121" s="23" t="s">
        <v>171</v>
      </c>
      <c r="U121" s="23" t="s">
        <v>162</v>
      </c>
    </row>
    <row r="122" customFormat="false" ht="15" hidden="false" customHeight="false" outlineLevel="0" collapsed="false">
      <c r="A122" s="23" t="s">
        <v>304</v>
      </c>
      <c r="B122" s="23" t="n">
        <v>114</v>
      </c>
      <c r="C122" s="23" t="s">
        <v>95</v>
      </c>
      <c r="D122" s="23" t="s">
        <v>278</v>
      </c>
      <c r="E122" s="23" t="s">
        <v>30</v>
      </c>
      <c r="F122" s="23" t="s">
        <v>182</v>
      </c>
      <c r="G122" s="23" t="s">
        <v>165</v>
      </c>
      <c r="H122" s="23" t="s">
        <v>176</v>
      </c>
      <c r="I122" s="23" t="n">
        <v>0.165</v>
      </c>
      <c r="J122" s="23" t="n">
        <v>6</v>
      </c>
      <c r="K122" s="23" t="n">
        <v>0</v>
      </c>
      <c r="L122" s="23" t="n">
        <v>0</v>
      </c>
      <c r="M122" s="23" t="n">
        <v>0</v>
      </c>
      <c r="N122" s="23" t="n">
        <v>0</v>
      </c>
      <c r="O122" s="23" t="n">
        <v>6</v>
      </c>
      <c r="P122" s="23" t="n">
        <v>0</v>
      </c>
      <c r="Q122" s="23" t="n">
        <v>0</v>
      </c>
      <c r="R122" s="23" t="n">
        <v>12</v>
      </c>
      <c r="S122" s="23" t="n">
        <v>0</v>
      </c>
      <c r="T122" s="23" t="s">
        <v>191</v>
      </c>
      <c r="U122" s="23" t="s">
        <v>162</v>
      </c>
    </row>
    <row r="123" customFormat="false" ht="15" hidden="false" customHeight="false" outlineLevel="0" collapsed="false">
      <c r="A123" s="23" t="s">
        <v>305</v>
      </c>
      <c r="B123" s="23" t="n">
        <v>115</v>
      </c>
      <c r="C123" s="23" t="s">
        <v>95</v>
      </c>
      <c r="D123" s="23" t="s">
        <v>306</v>
      </c>
      <c r="E123" s="23" t="s">
        <v>28</v>
      </c>
      <c r="F123" s="23" t="s">
        <v>164</v>
      </c>
      <c r="G123" s="23" t="s">
        <v>165</v>
      </c>
      <c r="H123" s="23" t="s">
        <v>161</v>
      </c>
      <c r="I123" s="23" t="n">
        <v>0.952</v>
      </c>
      <c r="J123" s="23" t="n">
        <v>43</v>
      </c>
      <c r="K123" s="23" t="n">
        <v>0</v>
      </c>
      <c r="L123" s="23" t="n">
        <v>0</v>
      </c>
      <c r="M123" s="23" t="n">
        <v>0</v>
      </c>
      <c r="N123" s="23" t="n">
        <v>0</v>
      </c>
      <c r="O123" s="23" t="n">
        <v>43</v>
      </c>
      <c r="P123" s="23" t="n">
        <v>0</v>
      </c>
      <c r="Q123" s="23" t="n">
        <v>0</v>
      </c>
      <c r="R123" s="23" t="n">
        <v>0</v>
      </c>
      <c r="S123" s="23" t="n">
        <v>0</v>
      </c>
      <c r="T123" s="23"/>
      <c r="U123" s="23" t="s">
        <v>162</v>
      </c>
    </row>
    <row r="124" customFormat="false" ht="15" hidden="false" customHeight="false" outlineLevel="0" collapsed="false">
      <c r="A124" s="23" t="s">
        <v>307</v>
      </c>
      <c r="B124" s="23" t="n">
        <v>116</v>
      </c>
      <c r="C124" s="23" t="s">
        <v>95</v>
      </c>
      <c r="D124" s="23" t="s">
        <v>306</v>
      </c>
      <c r="E124" s="23" t="s">
        <v>28</v>
      </c>
      <c r="F124" s="23" t="s">
        <v>164</v>
      </c>
      <c r="G124" s="23" t="s">
        <v>165</v>
      </c>
      <c r="H124" s="23" t="s">
        <v>161</v>
      </c>
      <c r="I124" s="23" t="n">
        <v>0.133</v>
      </c>
      <c r="J124" s="23" t="n">
        <v>6</v>
      </c>
      <c r="K124" s="23" t="n">
        <v>0</v>
      </c>
      <c r="L124" s="23" t="n">
        <v>0</v>
      </c>
      <c r="M124" s="23" t="n">
        <v>0</v>
      </c>
      <c r="N124" s="23" t="n">
        <v>0</v>
      </c>
      <c r="O124" s="23" t="n">
        <v>6</v>
      </c>
      <c r="P124" s="23" t="n">
        <v>0</v>
      </c>
      <c r="Q124" s="23" t="n">
        <v>0</v>
      </c>
      <c r="R124" s="23" t="n">
        <v>0</v>
      </c>
      <c r="S124" s="23" t="n">
        <v>0</v>
      </c>
      <c r="T124" s="23"/>
      <c r="U124" s="23" t="s">
        <v>162</v>
      </c>
    </row>
    <row r="125" customFormat="false" ht="15" hidden="false" customHeight="false" outlineLevel="0" collapsed="false">
      <c r="A125" s="23" t="s">
        <v>308</v>
      </c>
      <c r="B125" s="23" t="n">
        <v>117</v>
      </c>
      <c r="C125" s="23" t="s">
        <v>95</v>
      </c>
      <c r="D125" s="23" t="s">
        <v>306</v>
      </c>
      <c r="E125" s="23" t="s">
        <v>28</v>
      </c>
      <c r="F125" s="23" t="s">
        <v>164</v>
      </c>
      <c r="G125" s="23" t="s">
        <v>165</v>
      </c>
      <c r="H125" s="23" t="s">
        <v>161</v>
      </c>
      <c r="I125" s="23" t="n">
        <v>0.181</v>
      </c>
      <c r="J125" s="23" t="n">
        <v>8</v>
      </c>
      <c r="K125" s="23" t="n">
        <v>0</v>
      </c>
      <c r="L125" s="23" t="n">
        <v>0</v>
      </c>
      <c r="M125" s="23" t="n">
        <v>0</v>
      </c>
      <c r="N125" s="23" t="n">
        <v>0</v>
      </c>
      <c r="O125" s="23" t="n">
        <v>8</v>
      </c>
      <c r="P125" s="23" t="n">
        <v>0</v>
      </c>
      <c r="Q125" s="23" t="n">
        <v>0</v>
      </c>
      <c r="R125" s="23" t="n">
        <v>0</v>
      </c>
      <c r="S125" s="23" t="n">
        <v>0</v>
      </c>
      <c r="T125" s="23"/>
      <c r="U125" s="23" t="s">
        <v>162</v>
      </c>
    </row>
    <row r="126" customFormat="false" ht="15" hidden="false" customHeight="false" outlineLevel="0" collapsed="false">
      <c r="A126" s="23" t="s">
        <v>309</v>
      </c>
      <c r="B126" s="23" t="n">
        <v>118</v>
      </c>
      <c r="C126" s="23" t="s">
        <v>95</v>
      </c>
      <c r="D126" s="23" t="s">
        <v>306</v>
      </c>
      <c r="E126" s="23" t="s">
        <v>28</v>
      </c>
      <c r="F126" s="23" t="s">
        <v>164</v>
      </c>
      <c r="G126" s="23" t="s">
        <v>165</v>
      </c>
      <c r="H126" s="23" t="s">
        <v>161</v>
      </c>
      <c r="I126" s="23" t="n">
        <v>0.506</v>
      </c>
      <c r="J126" s="23" t="n">
        <v>23</v>
      </c>
      <c r="K126" s="23" t="n">
        <v>0</v>
      </c>
      <c r="L126" s="23" t="n">
        <v>0</v>
      </c>
      <c r="M126" s="23" t="n">
        <v>0</v>
      </c>
      <c r="N126" s="23" t="n">
        <v>0</v>
      </c>
      <c r="O126" s="23" t="n">
        <v>23</v>
      </c>
      <c r="P126" s="23" t="n">
        <v>0</v>
      </c>
      <c r="Q126" s="23" t="n">
        <v>0</v>
      </c>
      <c r="R126" s="23" t="n">
        <v>0</v>
      </c>
      <c r="S126" s="23" t="n">
        <v>0</v>
      </c>
      <c r="T126" s="23"/>
      <c r="U126" s="23" t="s">
        <v>162</v>
      </c>
    </row>
    <row r="127" customFormat="false" ht="15" hidden="false" customHeight="false" outlineLevel="0" collapsed="false">
      <c r="A127" s="23" t="s">
        <v>310</v>
      </c>
      <c r="B127" s="23" t="n">
        <v>119</v>
      </c>
      <c r="C127" s="23" t="s">
        <v>95</v>
      </c>
      <c r="D127" s="23" t="s">
        <v>306</v>
      </c>
      <c r="E127" s="23" t="s">
        <v>28</v>
      </c>
      <c r="F127" s="23" t="s">
        <v>164</v>
      </c>
      <c r="G127" s="23" t="s">
        <v>165</v>
      </c>
      <c r="H127" s="23" t="s">
        <v>161</v>
      </c>
      <c r="I127" s="23" t="n">
        <v>1.074</v>
      </c>
      <c r="J127" s="23" t="n">
        <v>48</v>
      </c>
      <c r="K127" s="23" t="n">
        <v>0</v>
      </c>
      <c r="L127" s="23" t="n">
        <v>0</v>
      </c>
      <c r="M127" s="23" t="n">
        <v>0</v>
      </c>
      <c r="N127" s="23" t="n">
        <v>0</v>
      </c>
      <c r="O127" s="23" t="n">
        <v>48</v>
      </c>
      <c r="P127" s="23" t="n">
        <v>0</v>
      </c>
      <c r="Q127" s="23" t="n">
        <v>0</v>
      </c>
      <c r="R127" s="23" t="n">
        <v>0</v>
      </c>
      <c r="S127" s="23" t="n">
        <v>0</v>
      </c>
      <c r="T127" s="23"/>
      <c r="U127" s="23" t="s">
        <v>162</v>
      </c>
    </row>
    <row r="128" customFormat="false" ht="15" hidden="false" customHeight="false" outlineLevel="0" collapsed="false">
      <c r="A128" s="23" t="s">
        <v>311</v>
      </c>
      <c r="B128" s="23" t="n">
        <v>120</v>
      </c>
      <c r="C128" s="23" t="s">
        <v>95</v>
      </c>
      <c r="D128" s="23" t="s">
        <v>306</v>
      </c>
      <c r="E128" s="23" t="s">
        <v>28</v>
      </c>
      <c r="F128" s="23" t="s">
        <v>164</v>
      </c>
      <c r="G128" s="23" t="s">
        <v>165</v>
      </c>
      <c r="H128" s="23" t="s">
        <v>161</v>
      </c>
      <c r="I128" s="23" t="n">
        <v>0.755</v>
      </c>
      <c r="J128" s="23" t="n">
        <v>34</v>
      </c>
      <c r="K128" s="23" t="n">
        <v>0</v>
      </c>
      <c r="L128" s="23" t="n">
        <v>0</v>
      </c>
      <c r="M128" s="23" t="n">
        <v>0</v>
      </c>
      <c r="N128" s="23" t="n">
        <v>0</v>
      </c>
      <c r="O128" s="23" t="n">
        <v>34</v>
      </c>
      <c r="P128" s="23" t="n">
        <v>0</v>
      </c>
      <c r="Q128" s="23" t="n">
        <v>0</v>
      </c>
      <c r="R128" s="23" t="n">
        <v>0</v>
      </c>
      <c r="S128" s="23" t="n">
        <v>0</v>
      </c>
      <c r="T128" s="23"/>
      <c r="U128" s="23" t="s">
        <v>162</v>
      </c>
    </row>
    <row r="129" customFormat="false" ht="15" hidden="false" customHeight="false" outlineLevel="0" collapsed="false">
      <c r="A129" s="23" t="s">
        <v>312</v>
      </c>
      <c r="B129" s="23" t="n">
        <v>121</v>
      </c>
      <c r="C129" s="23" t="s">
        <v>95</v>
      </c>
      <c r="D129" s="23" t="s">
        <v>306</v>
      </c>
      <c r="E129" s="23" t="s">
        <v>28</v>
      </c>
      <c r="F129" s="23" t="s">
        <v>164</v>
      </c>
      <c r="G129" s="23" t="s">
        <v>165</v>
      </c>
      <c r="H129" s="23" t="s">
        <v>161</v>
      </c>
      <c r="I129" s="23" t="n">
        <v>0.563</v>
      </c>
      <c r="J129" s="23" t="n">
        <v>25</v>
      </c>
      <c r="K129" s="23" t="n">
        <v>0</v>
      </c>
      <c r="L129" s="23" t="n">
        <v>0</v>
      </c>
      <c r="M129" s="23" t="n">
        <v>0</v>
      </c>
      <c r="N129" s="23" t="n">
        <v>0</v>
      </c>
      <c r="O129" s="23" t="n">
        <v>25</v>
      </c>
      <c r="P129" s="23" t="n">
        <v>0</v>
      </c>
      <c r="Q129" s="23" t="n">
        <v>0</v>
      </c>
      <c r="R129" s="23" t="n">
        <v>0</v>
      </c>
      <c r="S129" s="23" t="n">
        <v>0</v>
      </c>
      <c r="T129" s="23"/>
      <c r="U129" s="23" t="s">
        <v>162</v>
      </c>
    </row>
    <row r="130" customFormat="false" ht="15" hidden="false" customHeight="false" outlineLevel="0" collapsed="false">
      <c r="A130" s="23" t="s">
        <v>313</v>
      </c>
      <c r="B130" s="23" t="n">
        <v>123</v>
      </c>
      <c r="C130" s="23" t="s">
        <v>95</v>
      </c>
      <c r="D130" s="23" t="s">
        <v>306</v>
      </c>
      <c r="E130" s="23" t="s">
        <v>29</v>
      </c>
      <c r="F130" s="23" t="s">
        <v>159</v>
      </c>
      <c r="G130" s="23" t="s">
        <v>160</v>
      </c>
      <c r="H130" s="23" t="s">
        <v>161</v>
      </c>
      <c r="I130" s="23" t="n">
        <v>0.467</v>
      </c>
      <c r="J130" s="23" t="n">
        <v>21</v>
      </c>
      <c r="K130" s="23" t="n">
        <v>0</v>
      </c>
      <c r="L130" s="23" t="n">
        <v>0</v>
      </c>
      <c r="M130" s="23" t="n">
        <v>0</v>
      </c>
      <c r="N130" s="23" t="n">
        <v>0</v>
      </c>
      <c r="O130" s="23" t="n">
        <v>21</v>
      </c>
      <c r="P130" s="23" t="n">
        <v>0</v>
      </c>
      <c r="Q130" s="23" t="n">
        <v>0</v>
      </c>
      <c r="R130" s="23" t="n">
        <v>0</v>
      </c>
      <c r="S130" s="23" t="n">
        <v>0</v>
      </c>
      <c r="T130" s="23"/>
      <c r="U130" s="23" t="s">
        <v>162</v>
      </c>
    </row>
    <row r="131" customFormat="false" ht="15" hidden="false" customHeight="false" outlineLevel="0" collapsed="false">
      <c r="A131" s="23" t="s">
        <v>314</v>
      </c>
      <c r="B131" s="23" t="n">
        <v>124</v>
      </c>
      <c r="C131" s="23" t="s">
        <v>95</v>
      </c>
      <c r="D131" s="23" t="s">
        <v>306</v>
      </c>
      <c r="E131" s="23" t="s">
        <v>28</v>
      </c>
      <c r="F131" s="23" t="s">
        <v>164</v>
      </c>
      <c r="G131" s="23" t="s">
        <v>165</v>
      </c>
      <c r="H131" s="23" t="s">
        <v>176</v>
      </c>
      <c r="I131" s="23" t="n">
        <v>0.139</v>
      </c>
      <c r="J131" s="23" t="n">
        <v>27</v>
      </c>
      <c r="K131" s="23" t="n">
        <v>0</v>
      </c>
      <c r="L131" s="23" t="n">
        <v>0</v>
      </c>
      <c r="M131" s="23" t="n">
        <v>0</v>
      </c>
      <c r="N131" s="23" t="n">
        <v>0</v>
      </c>
      <c r="O131" s="23" t="n">
        <v>27</v>
      </c>
      <c r="P131" s="23" t="n">
        <v>0</v>
      </c>
      <c r="Q131" s="23" t="n">
        <v>0</v>
      </c>
      <c r="R131" s="23" t="n">
        <v>0</v>
      </c>
      <c r="S131" s="23" t="n">
        <v>0</v>
      </c>
      <c r="T131" s="23" t="s">
        <v>193</v>
      </c>
      <c r="U131" s="23" t="s">
        <v>162</v>
      </c>
    </row>
    <row r="132" customFormat="false" ht="15" hidden="false" customHeight="false" outlineLevel="0" collapsed="false">
      <c r="A132" s="23" t="s">
        <v>315</v>
      </c>
      <c r="B132" s="23" t="n">
        <v>125</v>
      </c>
      <c r="C132" s="23" t="s">
        <v>95</v>
      </c>
      <c r="D132" s="23" t="s">
        <v>306</v>
      </c>
      <c r="E132" s="23" t="s">
        <v>28</v>
      </c>
      <c r="F132" s="23" t="s">
        <v>164</v>
      </c>
      <c r="G132" s="23" t="s">
        <v>165</v>
      </c>
      <c r="H132" s="23" t="s">
        <v>161</v>
      </c>
      <c r="I132" s="23" t="n">
        <v>1.413</v>
      </c>
      <c r="J132" s="23" t="n">
        <v>64</v>
      </c>
      <c r="K132" s="23" t="n">
        <v>0</v>
      </c>
      <c r="L132" s="23" t="n">
        <v>0</v>
      </c>
      <c r="M132" s="23" t="n">
        <v>0</v>
      </c>
      <c r="N132" s="23" t="n">
        <v>0</v>
      </c>
      <c r="O132" s="23" t="n">
        <v>64</v>
      </c>
      <c r="P132" s="23" t="n">
        <v>0</v>
      </c>
      <c r="Q132" s="23" t="n">
        <v>0</v>
      </c>
      <c r="R132" s="23" t="n">
        <v>0</v>
      </c>
      <c r="S132" s="23" t="n">
        <v>0</v>
      </c>
      <c r="T132" s="23"/>
      <c r="U132" s="23" t="s">
        <v>162</v>
      </c>
    </row>
    <row r="133" customFormat="false" ht="15" hidden="false" customHeight="false" outlineLevel="0" collapsed="false">
      <c r="A133" s="23" t="s">
        <v>316</v>
      </c>
      <c r="B133" s="23" t="n">
        <v>127</v>
      </c>
      <c r="C133" s="23" t="s">
        <v>95</v>
      </c>
      <c r="D133" s="23" t="s">
        <v>306</v>
      </c>
      <c r="E133" s="23" t="s">
        <v>28</v>
      </c>
      <c r="F133" s="23" t="s">
        <v>164</v>
      </c>
      <c r="G133" s="23" t="s">
        <v>165</v>
      </c>
      <c r="H133" s="23" t="s">
        <v>161</v>
      </c>
      <c r="I133" s="23" t="n">
        <v>0.508</v>
      </c>
      <c r="J133" s="23" t="n">
        <v>23</v>
      </c>
      <c r="K133" s="23" t="n">
        <v>0</v>
      </c>
      <c r="L133" s="23" t="n">
        <v>0</v>
      </c>
      <c r="M133" s="23" t="n">
        <v>0</v>
      </c>
      <c r="N133" s="23" t="n">
        <v>0</v>
      </c>
      <c r="O133" s="23" t="n">
        <v>23</v>
      </c>
      <c r="P133" s="23" t="n">
        <v>0</v>
      </c>
      <c r="Q133" s="23" t="n">
        <v>0</v>
      </c>
      <c r="R133" s="23" t="n">
        <v>4</v>
      </c>
      <c r="S133" s="23" t="n">
        <v>0</v>
      </c>
      <c r="T133" s="23" t="s">
        <v>191</v>
      </c>
      <c r="U133" s="23" t="s">
        <v>162</v>
      </c>
    </row>
    <row r="134" customFormat="false" ht="15" hidden="false" customHeight="false" outlineLevel="0" collapsed="false">
      <c r="A134" s="23" t="s">
        <v>317</v>
      </c>
      <c r="B134" s="23" t="n">
        <v>128</v>
      </c>
      <c r="C134" s="23" t="s">
        <v>95</v>
      </c>
      <c r="D134" s="23" t="s">
        <v>306</v>
      </c>
      <c r="E134" s="23" t="s">
        <v>30</v>
      </c>
      <c r="F134" s="23" t="s">
        <v>159</v>
      </c>
      <c r="G134" s="23" t="s">
        <v>165</v>
      </c>
      <c r="H134" s="23" t="s">
        <v>161</v>
      </c>
      <c r="I134" s="23" t="n">
        <v>4.753</v>
      </c>
      <c r="J134" s="23" t="n">
        <v>214</v>
      </c>
      <c r="K134" s="23" t="n">
        <v>0</v>
      </c>
      <c r="L134" s="23" t="n">
        <v>0</v>
      </c>
      <c r="M134" s="23" t="n">
        <v>0</v>
      </c>
      <c r="N134" s="23" t="n">
        <v>0</v>
      </c>
      <c r="O134" s="23" t="n">
        <v>214</v>
      </c>
      <c r="P134" s="23" t="n">
        <v>0</v>
      </c>
      <c r="Q134" s="23" t="n">
        <v>57</v>
      </c>
      <c r="R134" s="23" t="n">
        <v>0</v>
      </c>
      <c r="S134" s="23" t="n">
        <v>1</v>
      </c>
      <c r="T134" s="23"/>
      <c r="U134" s="23" t="s">
        <v>162</v>
      </c>
    </row>
    <row r="135" customFormat="false" ht="15" hidden="false" customHeight="false" outlineLevel="0" collapsed="false">
      <c r="A135" s="23" t="s">
        <v>318</v>
      </c>
      <c r="B135" s="23" t="n">
        <v>158</v>
      </c>
      <c r="C135" s="23" t="s">
        <v>95</v>
      </c>
      <c r="D135" s="23" t="s">
        <v>278</v>
      </c>
      <c r="E135" s="23" t="s">
        <v>29</v>
      </c>
      <c r="F135" s="23" t="s">
        <v>159</v>
      </c>
      <c r="G135" s="23" t="s">
        <v>165</v>
      </c>
      <c r="H135" s="23" t="s">
        <v>161</v>
      </c>
      <c r="I135" s="23" t="n">
        <v>0.938</v>
      </c>
      <c r="J135" s="23" t="n">
        <v>42</v>
      </c>
      <c r="K135" s="23" t="n">
        <v>0</v>
      </c>
      <c r="L135" s="23" t="n">
        <v>0</v>
      </c>
      <c r="M135" s="23" t="n">
        <v>0</v>
      </c>
      <c r="N135" s="23" t="n">
        <v>0</v>
      </c>
      <c r="O135" s="23" t="n">
        <v>42</v>
      </c>
      <c r="P135" s="23" t="n">
        <v>0</v>
      </c>
      <c r="Q135" s="23" t="n">
        <v>0</v>
      </c>
      <c r="R135" s="23" t="n">
        <v>0</v>
      </c>
      <c r="S135" s="23" t="n">
        <v>0</v>
      </c>
      <c r="T135" s="23"/>
      <c r="U135" s="23" t="s">
        <v>162</v>
      </c>
    </row>
  </sheetData>
  <autoFilter ref="A1:U1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36"/>
    <col collapsed="false" customWidth="true" hidden="false" outlineLevel="0" max="5" min="4" style="0" width="18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9" min="8" style="0" width="20"/>
    <col collapsed="false" customWidth="true" hidden="false" outlineLevel="0" max="10" min="10" style="0" width="22"/>
    <col collapsed="false" customWidth="true" hidden="false" outlineLevel="0" max="11" min="11" style="0" width="24"/>
    <col collapsed="false" customWidth="true" hidden="false" outlineLevel="0" max="12" min="12" style="0" width="20"/>
    <col collapsed="false" customWidth="true" hidden="false" outlineLevel="0" max="13" min="13" style="0" width="7"/>
    <col collapsed="false" customWidth="true" hidden="false" outlineLevel="0" max="14" min="14" style="0" width="9"/>
    <col collapsed="false" customWidth="true" hidden="false" outlineLevel="0" max="17" min="15" style="0" width="11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50"/>
    <col collapsed="false" customWidth="true" hidden="false" outlineLevel="0" max="22" min="22" style="0" width="9"/>
    <col collapsed="false" customWidth="true" hidden="false" outlineLevel="0" max="28" min="23" style="0" width="8"/>
    <col collapsed="false" customWidth="true" hidden="false" outlineLevel="0" max="29" min="29" style="0" width="10"/>
  </cols>
  <sheetData>
    <row r="1" customFormat="false" ht="35.05" hidden="false" customHeight="false" outlineLevel="0" collapsed="false">
      <c r="A1" s="3" t="s">
        <v>319</v>
      </c>
      <c r="B1" s="4" t="s">
        <v>107</v>
      </c>
      <c r="C1" s="4" t="s">
        <v>106</v>
      </c>
      <c r="D1" s="4" t="s">
        <v>82</v>
      </c>
      <c r="E1" s="4" t="s">
        <v>320</v>
      </c>
      <c r="F1" s="4" t="s">
        <v>33</v>
      </c>
      <c r="G1" s="4" t="s">
        <v>139</v>
      </c>
      <c r="H1" s="4" t="s">
        <v>45</v>
      </c>
      <c r="I1" s="4" t="s">
        <v>98</v>
      </c>
      <c r="J1" s="4" t="s">
        <v>321</v>
      </c>
      <c r="K1" s="4" t="s">
        <v>108</v>
      </c>
      <c r="L1" s="4" t="s">
        <v>322</v>
      </c>
      <c r="M1" s="4" t="s">
        <v>323</v>
      </c>
      <c r="N1" s="4" t="s">
        <v>324</v>
      </c>
      <c r="O1" s="4" t="s">
        <v>325</v>
      </c>
      <c r="P1" s="4" t="s">
        <v>326</v>
      </c>
      <c r="Q1" s="4" t="s">
        <v>327</v>
      </c>
      <c r="R1" s="4" t="s">
        <v>111</v>
      </c>
      <c r="S1" s="4" t="s">
        <v>112</v>
      </c>
      <c r="T1" s="4" t="s">
        <v>66</v>
      </c>
      <c r="U1" s="4" t="s">
        <v>328</v>
      </c>
      <c r="V1" s="4" t="s">
        <v>23</v>
      </c>
      <c r="W1" s="4" t="s">
        <v>54</v>
      </c>
      <c r="X1" s="4" t="s">
        <v>55</v>
      </c>
      <c r="Y1" s="4" t="s">
        <v>56</v>
      </c>
      <c r="Z1" s="4" t="s">
        <v>57</v>
      </c>
      <c r="AA1" s="4" t="s">
        <v>58</v>
      </c>
      <c r="AB1" s="4" t="s">
        <v>59</v>
      </c>
      <c r="AC1" s="4" t="s">
        <v>134</v>
      </c>
    </row>
    <row r="2" customFormat="false" ht="15" hidden="false" customHeight="false" outlineLevel="0" collapsed="false">
      <c r="A2" s="23" t="s">
        <v>329</v>
      </c>
      <c r="B2" s="23" t="s">
        <v>330</v>
      </c>
      <c r="C2" s="23" t="s">
        <v>331</v>
      </c>
      <c r="D2" s="23" t="s">
        <v>91</v>
      </c>
      <c r="E2" s="23" t="s">
        <v>332</v>
      </c>
      <c r="F2" s="23" t="s">
        <v>41</v>
      </c>
      <c r="G2" s="23" t="s">
        <v>250</v>
      </c>
      <c r="H2" s="23" t="s">
        <v>29</v>
      </c>
      <c r="I2" s="23" t="s">
        <v>99</v>
      </c>
      <c r="J2" s="23" t="s">
        <v>333</v>
      </c>
      <c r="K2" s="23" t="s">
        <v>35</v>
      </c>
      <c r="L2" s="23" t="s">
        <v>176</v>
      </c>
      <c r="M2" s="23" t="n">
        <v>15</v>
      </c>
      <c r="N2" s="23"/>
      <c r="O2" s="23" t="s">
        <v>334</v>
      </c>
      <c r="P2" s="23"/>
      <c r="Q2" s="23" t="s">
        <v>335</v>
      </c>
      <c r="R2" s="23" t="s">
        <v>336</v>
      </c>
      <c r="S2" s="23" t="s">
        <v>337</v>
      </c>
      <c r="T2" s="23" t="s">
        <v>68</v>
      </c>
      <c r="U2" s="23" t="s">
        <v>338</v>
      </c>
      <c r="V2" s="23" t="n">
        <v>0</v>
      </c>
      <c r="W2" s="23" t="n">
        <v>0</v>
      </c>
      <c r="X2" s="23" t="n">
        <v>0</v>
      </c>
      <c r="Y2" s="23" t="n">
        <v>15</v>
      </c>
      <c r="Z2" s="23" t="n">
        <v>0</v>
      </c>
      <c r="AA2" s="23" t="n">
        <v>0</v>
      </c>
      <c r="AB2" s="23" t="n">
        <v>0</v>
      </c>
      <c r="AC2" s="23" t="n">
        <v>0</v>
      </c>
    </row>
    <row r="3" customFormat="false" ht="15" hidden="false" customHeight="false" outlineLevel="0" collapsed="false">
      <c r="A3" s="23" t="s">
        <v>339</v>
      </c>
      <c r="B3" s="23" t="s">
        <v>340</v>
      </c>
      <c r="C3" s="23" t="s">
        <v>341</v>
      </c>
      <c r="D3" s="23" t="s">
        <v>95</v>
      </c>
      <c r="E3" s="23" t="s">
        <v>342</v>
      </c>
      <c r="F3" s="23" t="s">
        <v>41</v>
      </c>
      <c r="G3" s="23" t="s">
        <v>304</v>
      </c>
      <c r="H3" s="23" t="s">
        <v>29</v>
      </c>
      <c r="I3" s="23" t="s">
        <v>99</v>
      </c>
      <c r="J3" s="23" t="s">
        <v>333</v>
      </c>
      <c r="K3" s="23" t="s">
        <v>34</v>
      </c>
      <c r="L3" s="23" t="s">
        <v>343</v>
      </c>
      <c r="M3" s="23" t="n">
        <v>12</v>
      </c>
      <c r="N3" s="23"/>
      <c r="O3" s="23" t="s">
        <v>344</v>
      </c>
      <c r="P3" s="23" t="s">
        <v>345</v>
      </c>
      <c r="Q3" s="23" t="s">
        <v>346</v>
      </c>
      <c r="R3" s="23" t="s">
        <v>347</v>
      </c>
      <c r="S3" s="23" t="s">
        <v>130</v>
      </c>
      <c r="T3" s="23" t="s">
        <v>67</v>
      </c>
      <c r="U3" s="23" t="s">
        <v>348</v>
      </c>
      <c r="V3" s="23" t="n">
        <v>0</v>
      </c>
      <c r="W3" s="23" t="n">
        <v>2.8</v>
      </c>
      <c r="X3" s="23" t="n">
        <v>9.2</v>
      </c>
      <c r="Y3" s="23" t="n">
        <v>0</v>
      </c>
      <c r="Z3" s="23" t="n">
        <v>0</v>
      </c>
      <c r="AA3" s="23" t="n">
        <v>0</v>
      </c>
      <c r="AB3" s="23" t="n">
        <v>0</v>
      </c>
      <c r="AC3" s="23" t="n">
        <v>0</v>
      </c>
    </row>
    <row r="4" customFormat="false" ht="15" hidden="false" customHeight="false" outlineLevel="0" collapsed="false">
      <c r="A4" s="23" t="s">
        <v>349</v>
      </c>
      <c r="B4" s="23" t="s">
        <v>350</v>
      </c>
      <c r="C4" s="23" t="s">
        <v>351</v>
      </c>
      <c r="D4" s="23" t="s">
        <v>90</v>
      </c>
      <c r="E4" s="23" t="s">
        <v>352</v>
      </c>
      <c r="F4" s="23" t="s">
        <v>41</v>
      </c>
      <c r="G4" s="23" t="s">
        <v>234</v>
      </c>
      <c r="H4" s="23" t="s">
        <v>50</v>
      </c>
      <c r="I4" s="23" t="s">
        <v>100</v>
      </c>
      <c r="J4" s="23" t="s">
        <v>333</v>
      </c>
      <c r="K4" s="23" t="s">
        <v>35</v>
      </c>
      <c r="L4" s="23" t="s">
        <v>176</v>
      </c>
      <c r="M4" s="23" t="n">
        <v>4</v>
      </c>
      <c r="N4" s="23"/>
      <c r="O4" s="23" t="s">
        <v>353</v>
      </c>
      <c r="P4" s="23"/>
      <c r="Q4" s="23" t="s">
        <v>354</v>
      </c>
      <c r="R4" s="23" t="s">
        <v>126</v>
      </c>
      <c r="S4" s="23" t="s">
        <v>116</v>
      </c>
      <c r="T4" s="23" t="s">
        <v>69</v>
      </c>
      <c r="U4" s="23" t="s">
        <v>355</v>
      </c>
      <c r="V4" s="23" t="n">
        <v>0</v>
      </c>
      <c r="W4" s="23" t="n">
        <v>0</v>
      </c>
      <c r="X4" s="23" t="n">
        <v>0</v>
      </c>
      <c r="Y4" s="23" t="n">
        <v>2.5</v>
      </c>
      <c r="Z4" s="23" t="n">
        <v>1.5</v>
      </c>
      <c r="AA4" s="23" t="n">
        <v>0</v>
      </c>
      <c r="AB4" s="23" t="n">
        <v>0</v>
      </c>
      <c r="AC4" s="23" t="n">
        <v>0</v>
      </c>
    </row>
    <row r="5" customFormat="false" ht="15" hidden="false" customHeight="false" outlineLevel="0" collapsed="false">
      <c r="A5" s="23" t="s">
        <v>356</v>
      </c>
      <c r="B5" s="23" t="s">
        <v>357</v>
      </c>
      <c r="C5" s="23" t="s">
        <v>358</v>
      </c>
      <c r="D5" s="23" t="s">
        <v>88</v>
      </c>
      <c r="E5" s="23" t="s">
        <v>352</v>
      </c>
      <c r="F5" s="23" t="s">
        <v>41</v>
      </c>
      <c r="G5" s="23" t="s">
        <v>190</v>
      </c>
      <c r="H5" s="23" t="s">
        <v>49</v>
      </c>
      <c r="I5" s="23" t="s">
        <v>100</v>
      </c>
      <c r="J5" s="23" t="s">
        <v>359</v>
      </c>
      <c r="K5" s="23" t="s">
        <v>34</v>
      </c>
      <c r="L5" s="23" t="s">
        <v>343</v>
      </c>
      <c r="M5" s="23" t="n">
        <v>38</v>
      </c>
      <c r="N5" s="23"/>
      <c r="O5" s="23" t="s">
        <v>360</v>
      </c>
      <c r="P5" s="23" t="s">
        <v>361</v>
      </c>
      <c r="Q5" s="23"/>
      <c r="R5" s="23" t="s">
        <v>362</v>
      </c>
      <c r="S5" s="23" t="s">
        <v>130</v>
      </c>
      <c r="T5" s="23" t="s">
        <v>67</v>
      </c>
      <c r="U5" s="23" t="s">
        <v>363</v>
      </c>
      <c r="V5" s="23" t="n">
        <v>0</v>
      </c>
      <c r="W5" s="23" t="n">
        <v>8.8</v>
      </c>
      <c r="X5" s="23" t="n">
        <v>29.2</v>
      </c>
      <c r="Y5" s="23" t="n">
        <v>0</v>
      </c>
      <c r="Z5" s="23" t="n">
        <v>0</v>
      </c>
      <c r="AA5" s="23" t="n">
        <v>0</v>
      </c>
      <c r="AB5" s="23" t="n">
        <v>0</v>
      </c>
      <c r="AC5" s="23" t="n">
        <v>0</v>
      </c>
    </row>
    <row r="6" customFormat="false" ht="15" hidden="false" customHeight="false" outlineLevel="0" collapsed="false">
      <c r="A6" s="23" t="s">
        <v>364</v>
      </c>
      <c r="B6" s="23"/>
      <c r="C6" s="23" t="s">
        <v>365</v>
      </c>
      <c r="D6" s="23" t="s">
        <v>93</v>
      </c>
      <c r="E6" s="23" t="s">
        <v>332</v>
      </c>
      <c r="F6" s="23" t="s">
        <v>41</v>
      </c>
      <c r="G6" s="23" t="s">
        <v>272</v>
      </c>
      <c r="H6" s="23" t="s">
        <v>49</v>
      </c>
      <c r="I6" s="23" t="s">
        <v>100</v>
      </c>
      <c r="J6" s="23" t="s">
        <v>333</v>
      </c>
      <c r="K6" s="23" t="s">
        <v>35</v>
      </c>
      <c r="L6" s="23" t="s">
        <v>366</v>
      </c>
      <c r="M6" s="23" t="n">
        <v>23</v>
      </c>
      <c r="N6" s="23"/>
      <c r="O6" s="23"/>
      <c r="P6" s="23"/>
      <c r="Q6" s="23"/>
      <c r="R6" s="23" t="s">
        <v>115</v>
      </c>
      <c r="S6" s="23" t="s">
        <v>367</v>
      </c>
      <c r="T6" s="23" t="s">
        <v>68</v>
      </c>
      <c r="U6" s="23" t="s">
        <v>368</v>
      </c>
      <c r="V6" s="23" t="n">
        <v>0</v>
      </c>
      <c r="W6" s="23" t="n">
        <v>0</v>
      </c>
      <c r="X6" s="23" t="n">
        <v>0</v>
      </c>
      <c r="Y6" s="23" t="n">
        <v>9.6</v>
      </c>
      <c r="Z6" s="23" t="n">
        <v>13.1</v>
      </c>
      <c r="AA6" s="23" t="n">
        <v>0.3</v>
      </c>
      <c r="AB6" s="23" t="n">
        <v>0</v>
      </c>
      <c r="AC6" s="23" t="n">
        <v>0</v>
      </c>
    </row>
    <row r="7" customFormat="false" ht="15" hidden="false" customHeight="false" outlineLevel="0" collapsed="false">
      <c r="A7" s="23" t="s">
        <v>369</v>
      </c>
      <c r="B7" s="23" t="s">
        <v>370</v>
      </c>
      <c r="C7" s="23" t="s">
        <v>371</v>
      </c>
      <c r="D7" s="23" t="s">
        <v>90</v>
      </c>
      <c r="E7" s="23" t="s">
        <v>352</v>
      </c>
      <c r="F7" s="23" t="s">
        <v>41</v>
      </c>
      <c r="G7" s="23" t="s">
        <v>228</v>
      </c>
      <c r="H7" s="23" t="s">
        <v>49</v>
      </c>
      <c r="I7" s="23" t="s">
        <v>100</v>
      </c>
      <c r="J7" s="23" t="s">
        <v>359</v>
      </c>
      <c r="K7" s="23" t="s">
        <v>35</v>
      </c>
      <c r="L7" s="23" t="s">
        <v>176</v>
      </c>
      <c r="M7" s="23" t="n">
        <v>8</v>
      </c>
      <c r="N7" s="23"/>
      <c r="O7" s="23" t="s">
        <v>372</v>
      </c>
      <c r="P7" s="23"/>
      <c r="Q7" s="23"/>
      <c r="R7" s="23" t="s">
        <v>126</v>
      </c>
      <c r="S7" s="23" t="s">
        <v>131</v>
      </c>
      <c r="T7" s="23" t="s">
        <v>69</v>
      </c>
      <c r="U7" s="23" t="s">
        <v>373</v>
      </c>
      <c r="V7" s="23" t="n">
        <v>0</v>
      </c>
      <c r="W7" s="23" t="n">
        <v>0</v>
      </c>
      <c r="X7" s="23" t="n">
        <v>0</v>
      </c>
      <c r="Y7" s="23" t="n">
        <v>4</v>
      </c>
      <c r="Z7" s="23" t="n">
        <v>4</v>
      </c>
      <c r="AA7" s="23" t="n">
        <v>0</v>
      </c>
      <c r="AB7" s="23" t="n">
        <v>0</v>
      </c>
      <c r="AC7" s="23" t="n">
        <v>0</v>
      </c>
    </row>
    <row r="8" customFormat="false" ht="15" hidden="false" customHeight="false" outlineLevel="0" collapsed="false">
      <c r="A8" s="23" t="s">
        <v>374</v>
      </c>
      <c r="B8" s="23" t="s">
        <v>375</v>
      </c>
      <c r="C8" s="23" t="s">
        <v>376</v>
      </c>
      <c r="D8" s="23" t="s">
        <v>95</v>
      </c>
      <c r="E8" s="23" t="s">
        <v>332</v>
      </c>
      <c r="F8" s="23" t="s">
        <v>41</v>
      </c>
      <c r="G8" s="23" t="s">
        <v>300</v>
      </c>
      <c r="H8" s="23" t="s">
        <v>49</v>
      </c>
      <c r="I8" s="23" t="s">
        <v>100</v>
      </c>
      <c r="J8" s="23" t="s">
        <v>359</v>
      </c>
      <c r="K8" s="23" t="s">
        <v>35</v>
      </c>
      <c r="L8" s="23" t="s">
        <v>377</v>
      </c>
      <c r="M8" s="23" t="n">
        <v>5</v>
      </c>
      <c r="N8" s="23"/>
      <c r="O8" s="23" t="s">
        <v>378</v>
      </c>
      <c r="P8" s="23"/>
      <c r="Q8" s="23"/>
      <c r="R8" s="23" t="s">
        <v>115</v>
      </c>
      <c r="S8" s="23" t="s">
        <v>337</v>
      </c>
      <c r="T8" s="23" t="s">
        <v>68</v>
      </c>
      <c r="U8" s="23" t="s">
        <v>379</v>
      </c>
      <c r="V8" s="23" t="n">
        <v>0</v>
      </c>
      <c r="W8" s="23" t="n">
        <v>0</v>
      </c>
      <c r="X8" s="23" t="n">
        <v>0</v>
      </c>
      <c r="Y8" s="23" t="n">
        <v>4.4</v>
      </c>
      <c r="Z8" s="23" t="n">
        <v>0.6</v>
      </c>
      <c r="AA8" s="23" t="n">
        <v>0</v>
      </c>
      <c r="AB8" s="23" t="n">
        <v>0</v>
      </c>
      <c r="AC8" s="23" t="n">
        <v>0</v>
      </c>
    </row>
    <row r="9" customFormat="false" ht="15" hidden="false" customHeight="false" outlineLevel="0" collapsed="false">
      <c r="A9" s="23" t="s">
        <v>380</v>
      </c>
      <c r="B9" s="23" t="s">
        <v>381</v>
      </c>
      <c r="C9" s="23" t="s">
        <v>382</v>
      </c>
      <c r="D9" s="23" t="s">
        <v>95</v>
      </c>
      <c r="E9" s="23" t="s">
        <v>332</v>
      </c>
      <c r="F9" s="23" t="s">
        <v>41</v>
      </c>
      <c r="G9" s="23" t="s">
        <v>316</v>
      </c>
      <c r="H9" s="23" t="s">
        <v>49</v>
      </c>
      <c r="I9" s="23" t="s">
        <v>100</v>
      </c>
      <c r="J9" s="23" t="s">
        <v>359</v>
      </c>
      <c r="K9" s="23" t="s">
        <v>39</v>
      </c>
      <c r="L9" s="23" t="s">
        <v>383</v>
      </c>
      <c r="M9" s="23" t="n">
        <v>4</v>
      </c>
      <c r="N9" s="23"/>
      <c r="O9" s="23"/>
      <c r="P9" s="23"/>
      <c r="Q9" s="23"/>
      <c r="R9" s="23"/>
      <c r="S9" s="23"/>
      <c r="T9" s="23" t="s">
        <v>134</v>
      </c>
      <c r="U9" s="23" t="s">
        <v>384</v>
      </c>
      <c r="V9" s="23" t="n">
        <v>0</v>
      </c>
      <c r="W9" s="23" t="n">
        <v>0</v>
      </c>
      <c r="X9" s="23" t="n">
        <v>0</v>
      </c>
      <c r="Y9" s="23" t="n">
        <v>0</v>
      </c>
      <c r="Z9" s="23" t="n">
        <v>0</v>
      </c>
      <c r="AA9" s="23" t="n">
        <v>0</v>
      </c>
      <c r="AB9" s="23" t="n">
        <v>0</v>
      </c>
      <c r="AC9" s="23" t="n">
        <v>4</v>
      </c>
    </row>
    <row r="10" customFormat="false" ht="15" hidden="false" customHeight="false" outlineLevel="0" collapsed="false">
      <c r="A10" s="23" t="s">
        <v>385</v>
      </c>
      <c r="B10" s="23"/>
      <c r="C10" s="23" t="s">
        <v>386</v>
      </c>
      <c r="D10" s="23" t="s">
        <v>88</v>
      </c>
      <c r="E10" s="23" t="s">
        <v>332</v>
      </c>
      <c r="F10" s="23" t="s">
        <v>41</v>
      </c>
      <c r="G10" s="23" t="s">
        <v>192</v>
      </c>
      <c r="H10" s="23" t="s">
        <v>49</v>
      </c>
      <c r="I10" s="23" t="s">
        <v>100</v>
      </c>
      <c r="J10" s="23" t="s">
        <v>333</v>
      </c>
      <c r="K10" s="23" t="s">
        <v>35</v>
      </c>
      <c r="L10" s="23" t="s">
        <v>366</v>
      </c>
      <c r="M10" s="23" t="n">
        <v>0</v>
      </c>
      <c r="N10" s="23"/>
      <c r="O10" s="23"/>
      <c r="P10" s="23"/>
      <c r="Q10" s="23"/>
      <c r="R10" s="23"/>
      <c r="S10" s="23"/>
      <c r="T10" s="23" t="s">
        <v>134</v>
      </c>
      <c r="U10" s="23" t="s">
        <v>387</v>
      </c>
      <c r="V10" s="23" t="n">
        <v>0</v>
      </c>
      <c r="W10" s="23" t="n">
        <v>0</v>
      </c>
      <c r="X10" s="23" t="n">
        <v>0</v>
      </c>
      <c r="Y10" s="23" t="n">
        <v>0</v>
      </c>
      <c r="Z10" s="23" t="n">
        <v>0</v>
      </c>
      <c r="AA10" s="23" t="n">
        <v>0</v>
      </c>
      <c r="AB10" s="23" t="n">
        <v>0</v>
      </c>
      <c r="AC10" s="23" t="n">
        <v>0</v>
      </c>
    </row>
    <row r="11" customFormat="false" ht="15" hidden="false" customHeight="false" outlineLevel="0" collapsed="false">
      <c r="A11" s="23" t="s">
        <v>388</v>
      </c>
      <c r="B11" s="23" t="s">
        <v>389</v>
      </c>
      <c r="C11" s="23" t="s">
        <v>390</v>
      </c>
      <c r="D11" s="23" t="s">
        <v>89</v>
      </c>
      <c r="E11" s="23" t="s">
        <v>332</v>
      </c>
      <c r="F11" s="23" t="s">
        <v>40</v>
      </c>
      <c r="G11" s="23" t="s">
        <v>206</v>
      </c>
      <c r="H11" s="23" t="s">
        <v>29</v>
      </c>
      <c r="I11" s="23" t="s">
        <v>99</v>
      </c>
      <c r="J11" s="23" t="s">
        <v>391</v>
      </c>
      <c r="K11" s="23" t="s">
        <v>35</v>
      </c>
      <c r="L11" s="23" t="s">
        <v>176</v>
      </c>
      <c r="M11" s="23" t="n">
        <v>523</v>
      </c>
      <c r="N11" s="23"/>
      <c r="O11" s="23" t="s">
        <v>392</v>
      </c>
      <c r="P11" s="23"/>
      <c r="Q11" s="23" t="s">
        <v>393</v>
      </c>
      <c r="R11" s="23" t="s">
        <v>394</v>
      </c>
      <c r="S11" s="23" t="s">
        <v>395</v>
      </c>
      <c r="T11" s="23" t="s">
        <v>68</v>
      </c>
      <c r="U11" s="23" t="s">
        <v>396</v>
      </c>
      <c r="V11" s="23" t="n">
        <v>0</v>
      </c>
      <c r="W11" s="23" t="n">
        <v>0</v>
      </c>
      <c r="X11" s="23" t="n">
        <v>0</v>
      </c>
      <c r="Y11" s="23" t="n">
        <v>0</v>
      </c>
      <c r="Z11" s="23" t="n">
        <v>53.2</v>
      </c>
      <c r="AA11" s="23" t="n">
        <v>55.6</v>
      </c>
      <c r="AB11" s="23" t="n">
        <v>414.2</v>
      </c>
      <c r="AC11" s="23" t="n">
        <v>0</v>
      </c>
    </row>
    <row r="12" customFormat="false" ht="15" hidden="false" customHeight="false" outlineLevel="0" collapsed="false">
      <c r="A12" s="23" t="s">
        <v>397</v>
      </c>
      <c r="B12" s="23" t="s">
        <v>118</v>
      </c>
      <c r="C12" s="23" t="s">
        <v>117</v>
      </c>
      <c r="D12" s="23" t="s">
        <v>89</v>
      </c>
      <c r="E12" s="23" t="s">
        <v>332</v>
      </c>
      <c r="F12" s="23" t="s">
        <v>40</v>
      </c>
      <c r="G12" s="23" t="s">
        <v>216</v>
      </c>
      <c r="H12" s="23" t="s">
        <v>29</v>
      </c>
      <c r="I12" s="23" t="s">
        <v>102</v>
      </c>
      <c r="J12" s="23" t="s">
        <v>391</v>
      </c>
      <c r="K12" s="23" t="s">
        <v>35</v>
      </c>
      <c r="L12" s="23" t="s">
        <v>176</v>
      </c>
      <c r="M12" s="23" t="n">
        <v>465</v>
      </c>
      <c r="N12" s="23" t="n">
        <v>309</v>
      </c>
      <c r="O12" s="23" t="s">
        <v>398</v>
      </c>
      <c r="P12" s="23"/>
      <c r="Q12" s="23" t="s">
        <v>399</v>
      </c>
      <c r="R12" s="23" t="s">
        <v>119</v>
      </c>
      <c r="S12" s="23" t="s">
        <v>120</v>
      </c>
      <c r="T12" s="23" t="s">
        <v>68</v>
      </c>
      <c r="U12" s="23" t="s">
        <v>400</v>
      </c>
      <c r="V12" s="23" t="n">
        <v>0</v>
      </c>
      <c r="W12" s="23" t="n">
        <v>0</v>
      </c>
      <c r="X12" s="23" t="n">
        <v>0</v>
      </c>
      <c r="Y12" s="23" t="n">
        <v>0</v>
      </c>
      <c r="Z12" s="23" t="n">
        <v>40.8</v>
      </c>
      <c r="AA12" s="23" t="n">
        <v>56.4</v>
      </c>
      <c r="AB12" s="23" t="n">
        <v>367.8</v>
      </c>
      <c r="AC12" s="23" t="n">
        <v>0</v>
      </c>
    </row>
    <row r="13" customFormat="false" ht="15" hidden="false" customHeight="false" outlineLevel="0" collapsed="false">
      <c r="A13" s="23" t="s">
        <v>401</v>
      </c>
      <c r="B13" s="23" t="s">
        <v>402</v>
      </c>
      <c r="C13" s="23" t="s">
        <v>403</v>
      </c>
      <c r="D13" s="23" t="s">
        <v>95</v>
      </c>
      <c r="E13" s="23" t="s">
        <v>352</v>
      </c>
      <c r="F13" s="23" t="s">
        <v>40</v>
      </c>
      <c r="G13" s="23" t="s">
        <v>298</v>
      </c>
      <c r="H13" s="23" t="s">
        <v>29</v>
      </c>
      <c r="I13" s="23" t="s">
        <v>99</v>
      </c>
      <c r="J13" s="23" t="s">
        <v>391</v>
      </c>
      <c r="K13" s="23" t="s">
        <v>35</v>
      </c>
      <c r="L13" s="23" t="s">
        <v>176</v>
      </c>
      <c r="M13" s="23" t="n">
        <v>403</v>
      </c>
      <c r="N13" s="23"/>
      <c r="O13" s="23" t="s">
        <v>398</v>
      </c>
      <c r="P13" s="23"/>
      <c r="Q13" s="23" t="s">
        <v>404</v>
      </c>
      <c r="R13" s="23" t="s">
        <v>119</v>
      </c>
      <c r="S13" s="23" t="s">
        <v>405</v>
      </c>
      <c r="T13" s="23" t="s">
        <v>68</v>
      </c>
      <c r="U13" s="23" t="s">
        <v>400</v>
      </c>
      <c r="V13" s="23" t="n">
        <v>0</v>
      </c>
      <c r="W13" s="23" t="n">
        <v>0</v>
      </c>
      <c r="X13" s="23" t="n">
        <v>0</v>
      </c>
      <c r="Y13" s="23" t="n">
        <v>0</v>
      </c>
      <c r="Z13" s="23" t="n">
        <v>41.6</v>
      </c>
      <c r="AA13" s="23" t="n">
        <v>57.4</v>
      </c>
      <c r="AB13" s="23" t="n">
        <v>304</v>
      </c>
      <c r="AC13" s="23" t="n">
        <v>0</v>
      </c>
    </row>
    <row r="14" customFormat="false" ht="15" hidden="false" customHeight="false" outlineLevel="0" collapsed="false">
      <c r="A14" s="23" t="s">
        <v>406</v>
      </c>
      <c r="B14" s="23" t="s">
        <v>407</v>
      </c>
      <c r="C14" s="23" t="s">
        <v>408</v>
      </c>
      <c r="D14" s="23" t="s">
        <v>92</v>
      </c>
      <c r="E14" s="23" t="s">
        <v>332</v>
      </c>
      <c r="F14" s="23" t="s">
        <v>40</v>
      </c>
      <c r="G14" s="23" t="s">
        <v>253</v>
      </c>
      <c r="H14" s="23" t="s">
        <v>29</v>
      </c>
      <c r="I14" s="23" t="s">
        <v>99</v>
      </c>
      <c r="J14" s="23" t="s">
        <v>409</v>
      </c>
      <c r="K14" s="23" t="s">
        <v>34</v>
      </c>
      <c r="L14" s="23" t="s">
        <v>410</v>
      </c>
      <c r="M14" s="23" t="n">
        <v>384</v>
      </c>
      <c r="N14" s="23"/>
      <c r="O14" s="23" t="s">
        <v>411</v>
      </c>
      <c r="P14" s="23" t="s">
        <v>412</v>
      </c>
      <c r="Q14" s="23" t="s">
        <v>413</v>
      </c>
      <c r="R14" s="23" t="s">
        <v>414</v>
      </c>
      <c r="S14" s="23" t="s">
        <v>415</v>
      </c>
      <c r="T14" s="23" t="s">
        <v>67</v>
      </c>
      <c r="U14" s="23" t="s">
        <v>416</v>
      </c>
      <c r="V14" s="23" t="n">
        <v>0</v>
      </c>
      <c r="W14" s="23" t="n">
        <v>17.2</v>
      </c>
      <c r="X14" s="23" t="n">
        <v>74.1</v>
      </c>
      <c r="Y14" s="23" t="n">
        <v>74.1</v>
      </c>
      <c r="Z14" s="23" t="n">
        <v>74.1</v>
      </c>
      <c r="AA14" s="23" t="n">
        <v>74.1</v>
      </c>
      <c r="AB14" s="23" t="n">
        <v>70.4</v>
      </c>
      <c r="AC14" s="23" t="n">
        <v>0</v>
      </c>
    </row>
    <row r="15" customFormat="false" ht="15" hidden="false" customHeight="false" outlineLevel="0" collapsed="false">
      <c r="A15" s="23" t="s">
        <v>417</v>
      </c>
      <c r="B15" s="23" t="s">
        <v>418</v>
      </c>
      <c r="C15" s="23" t="s">
        <v>419</v>
      </c>
      <c r="D15" s="23" t="s">
        <v>87</v>
      </c>
      <c r="E15" s="23" t="s">
        <v>352</v>
      </c>
      <c r="F15" s="23" t="s">
        <v>40</v>
      </c>
      <c r="G15" s="23" t="s">
        <v>169</v>
      </c>
      <c r="H15" s="23" t="s">
        <v>29</v>
      </c>
      <c r="I15" s="23" t="s">
        <v>99</v>
      </c>
      <c r="J15" s="23" t="s">
        <v>409</v>
      </c>
      <c r="K15" s="23" t="s">
        <v>34</v>
      </c>
      <c r="L15" s="23" t="s">
        <v>343</v>
      </c>
      <c r="M15" s="23" t="n">
        <v>371</v>
      </c>
      <c r="N15" s="23"/>
      <c r="O15" s="23" t="s">
        <v>420</v>
      </c>
      <c r="P15" s="23" t="s">
        <v>421</v>
      </c>
      <c r="Q15" s="23" t="s">
        <v>422</v>
      </c>
      <c r="R15" s="23" t="s">
        <v>423</v>
      </c>
      <c r="S15" s="23" t="s">
        <v>424</v>
      </c>
      <c r="T15" s="23" t="s">
        <v>67</v>
      </c>
      <c r="U15" s="23" t="s">
        <v>425</v>
      </c>
      <c r="V15" s="23" t="n">
        <v>0</v>
      </c>
      <c r="W15" s="23" t="n">
        <v>20.6</v>
      </c>
      <c r="X15" s="23" t="n">
        <v>88.5</v>
      </c>
      <c r="Y15" s="23" t="n">
        <v>88.5</v>
      </c>
      <c r="Z15" s="23" t="n">
        <v>88.5</v>
      </c>
      <c r="AA15" s="23" t="n">
        <v>84.9</v>
      </c>
      <c r="AB15" s="23" t="n">
        <v>0</v>
      </c>
      <c r="AC15" s="23" t="n">
        <v>0</v>
      </c>
    </row>
    <row r="16" customFormat="false" ht="15" hidden="false" customHeight="false" outlineLevel="0" collapsed="false">
      <c r="A16" s="23" t="s">
        <v>426</v>
      </c>
      <c r="B16" s="23" t="s">
        <v>427</v>
      </c>
      <c r="C16" s="23" t="s">
        <v>428</v>
      </c>
      <c r="D16" s="23" t="s">
        <v>89</v>
      </c>
      <c r="E16" s="23" t="s">
        <v>332</v>
      </c>
      <c r="F16" s="23" t="s">
        <v>40</v>
      </c>
      <c r="G16" s="23" t="s">
        <v>217</v>
      </c>
      <c r="H16" s="23" t="s">
        <v>29</v>
      </c>
      <c r="I16" s="23" t="s">
        <v>99</v>
      </c>
      <c r="J16" s="23" t="s">
        <v>391</v>
      </c>
      <c r="K16" s="23" t="s">
        <v>35</v>
      </c>
      <c r="L16" s="23" t="s">
        <v>176</v>
      </c>
      <c r="M16" s="23" t="n">
        <v>212</v>
      </c>
      <c r="N16" s="23"/>
      <c r="O16" s="23" t="s">
        <v>429</v>
      </c>
      <c r="P16" s="23"/>
      <c r="Q16" s="23" t="s">
        <v>430</v>
      </c>
      <c r="R16" s="23" t="s">
        <v>119</v>
      </c>
      <c r="S16" s="23" t="s">
        <v>431</v>
      </c>
      <c r="T16" s="23" t="s">
        <v>68</v>
      </c>
      <c r="U16" s="23" t="s">
        <v>432</v>
      </c>
      <c r="V16" s="23" t="n">
        <v>0</v>
      </c>
      <c r="W16" s="23" t="n">
        <v>0</v>
      </c>
      <c r="X16" s="23" t="n">
        <v>0</v>
      </c>
      <c r="Y16" s="23" t="n">
        <v>0</v>
      </c>
      <c r="Z16" s="23" t="n">
        <v>36.4</v>
      </c>
      <c r="AA16" s="23" t="n">
        <v>65.9</v>
      </c>
      <c r="AB16" s="23" t="n">
        <v>109.7</v>
      </c>
      <c r="AC16" s="23" t="n">
        <v>0</v>
      </c>
    </row>
    <row r="17" customFormat="false" ht="15" hidden="false" customHeight="false" outlineLevel="0" collapsed="false">
      <c r="A17" s="23" t="s">
        <v>433</v>
      </c>
      <c r="B17" s="23" t="s">
        <v>114</v>
      </c>
      <c r="C17" s="23" t="s">
        <v>113</v>
      </c>
      <c r="D17" s="23" t="s">
        <v>89</v>
      </c>
      <c r="E17" s="23" t="s">
        <v>332</v>
      </c>
      <c r="F17" s="23" t="s">
        <v>40</v>
      </c>
      <c r="G17" s="23" t="s">
        <v>202</v>
      </c>
      <c r="H17" s="23" t="s">
        <v>29</v>
      </c>
      <c r="I17" s="23" t="s">
        <v>102</v>
      </c>
      <c r="J17" s="23" t="s">
        <v>391</v>
      </c>
      <c r="K17" s="23" t="s">
        <v>35</v>
      </c>
      <c r="L17" s="23" t="s">
        <v>410</v>
      </c>
      <c r="M17" s="23" t="n">
        <v>196</v>
      </c>
      <c r="N17" s="23" t="n">
        <v>1400</v>
      </c>
      <c r="O17" s="23" t="s">
        <v>434</v>
      </c>
      <c r="P17" s="23"/>
      <c r="Q17" s="23" t="s">
        <v>435</v>
      </c>
      <c r="R17" s="23" t="s">
        <v>115</v>
      </c>
      <c r="S17" s="23" t="s">
        <v>116</v>
      </c>
      <c r="T17" s="23" t="s">
        <v>68</v>
      </c>
      <c r="U17" s="23" t="s">
        <v>436</v>
      </c>
      <c r="V17" s="23" t="n">
        <v>0</v>
      </c>
      <c r="W17" s="23" t="n">
        <v>0</v>
      </c>
      <c r="X17" s="23" t="n">
        <v>0</v>
      </c>
      <c r="Y17" s="23" t="n">
        <v>0</v>
      </c>
      <c r="Z17" s="23" t="n">
        <v>196</v>
      </c>
      <c r="AA17" s="23" t="n">
        <v>0</v>
      </c>
      <c r="AB17" s="23" t="n">
        <v>0</v>
      </c>
      <c r="AC17" s="23" t="n">
        <v>0</v>
      </c>
    </row>
    <row r="18" customFormat="false" ht="15" hidden="false" customHeight="false" outlineLevel="0" collapsed="false">
      <c r="A18" s="23" t="s">
        <v>437</v>
      </c>
      <c r="B18" s="23" t="s">
        <v>438</v>
      </c>
      <c r="C18" s="23" t="s">
        <v>439</v>
      </c>
      <c r="D18" s="23" t="s">
        <v>92</v>
      </c>
      <c r="E18" s="23" t="s">
        <v>440</v>
      </c>
      <c r="F18" s="23" t="s">
        <v>40</v>
      </c>
      <c r="G18" s="23" t="s">
        <v>259</v>
      </c>
      <c r="H18" s="23" t="s">
        <v>29</v>
      </c>
      <c r="I18" s="23" t="s">
        <v>99</v>
      </c>
      <c r="J18" s="23" t="s">
        <v>391</v>
      </c>
      <c r="K18" s="23" t="s">
        <v>35</v>
      </c>
      <c r="L18" s="23" t="s">
        <v>176</v>
      </c>
      <c r="M18" s="23" t="n">
        <v>182</v>
      </c>
      <c r="N18" s="23"/>
      <c r="O18" s="23" t="s">
        <v>441</v>
      </c>
      <c r="P18" s="23"/>
      <c r="Q18" s="23" t="s">
        <v>442</v>
      </c>
      <c r="R18" s="23" t="s">
        <v>119</v>
      </c>
      <c r="S18" s="23" t="s">
        <v>443</v>
      </c>
      <c r="T18" s="23" t="s">
        <v>68</v>
      </c>
      <c r="U18" s="23" t="s">
        <v>432</v>
      </c>
      <c r="V18" s="23" t="n">
        <v>0</v>
      </c>
      <c r="W18" s="23" t="n">
        <v>0</v>
      </c>
      <c r="X18" s="23" t="n">
        <v>0</v>
      </c>
      <c r="Y18" s="23" t="n">
        <v>0</v>
      </c>
      <c r="Z18" s="23" t="n">
        <v>39.8</v>
      </c>
      <c r="AA18" s="23" t="n">
        <v>69.4</v>
      </c>
      <c r="AB18" s="23" t="n">
        <v>72.8</v>
      </c>
      <c r="AC18" s="23" t="n">
        <v>0</v>
      </c>
    </row>
    <row r="19" customFormat="false" ht="15" hidden="false" customHeight="false" outlineLevel="0" collapsed="false">
      <c r="A19" s="23" t="s">
        <v>444</v>
      </c>
      <c r="B19" s="23" t="s">
        <v>445</v>
      </c>
      <c r="C19" s="23" t="s">
        <v>446</v>
      </c>
      <c r="D19" s="23" t="s">
        <v>92</v>
      </c>
      <c r="E19" s="23" t="s">
        <v>440</v>
      </c>
      <c r="F19" s="23" t="s">
        <v>40</v>
      </c>
      <c r="G19" s="23" t="s">
        <v>259</v>
      </c>
      <c r="H19" s="23" t="s">
        <v>29</v>
      </c>
      <c r="I19" s="23" t="s">
        <v>99</v>
      </c>
      <c r="J19" s="23" t="s">
        <v>391</v>
      </c>
      <c r="K19" s="23" t="s">
        <v>35</v>
      </c>
      <c r="L19" s="23" t="s">
        <v>176</v>
      </c>
      <c r="M19" s="23" t="n">
        <v>169</v>
      </c>
      <c r="N19" s="23"/>
      <c r="O19" s="23" t="s">
        <v>447</v>
      </c>
      <c r="P19" s="23"/>
      <c r="Q19" s="23" t="s">
        <v>448</v>
      </c>
      <c r="R19" s="23" t="s">
        <v>119</v>
      </c>
      <c r="S19" s="23" t="s">
        <v>449</v>
      </c>
      <c r="T19" s="23" t="s">
        <v>68</v>
      </c>
      <c r="U19" s="23" t="s">
        <v>400</v>
      </c>
      <c r="V19" s="23" t="n">
        <v>0</v>
      </c>
      <c r="W19" s="23" t="n">
        <v>0</v>
      </c>
      <c r="X19" s="23" t="n">
        <v>0</v>
      </c>
      <c r="Y19" s="23" t="n">
        <v>0</v>
      </c>
      <c r="Z19" s="23" t="n">
        <v>50.3</v>
      </c>
      <c r="AA19" s="23" t="n">
        <v>71.5</v>
      </c>
      <c r="AB19" s="23" t="n">
        <v>47.2</v>
      </c>
      <c r="AC19" s="23" t="n">
        <v>0</v>
      </c>
    </row>
    <row r="20" customFormat="false" ht="15" hidden="false" customHeight="false" outlineLevel="0" collapsed="false">
      <c r="A20" s="23" t="s">
        <v>450</v>
      </c>
      <c r="B20" s="23" t="s">
        <v>451</v>
      </c>
      <c r="C20" s="23" t="s">
        <v>452</v>
      </c>
      <c r="D20" s="23" t="s">
        <v>88</v>
      </c>
      <c r="E20" s="23" t="s">
        <v>352</v>
      </c>
      <c r="F20" s="23" t="s">
        <v>40</v>
      </c>
      <c r="G20" s="23" t="s">
        <v>179</v>
      </c>
      <c r="H20" s="23" t="s">
        <v>29</v>
      </c>
      <c r="I20" s="23" t="s">
        <v>99</v>
      </c>
      <c r="J20" s="23" t="s">
        <v>391</v>
      </c>
      <c r="K20" s="23" t="s">
        <v>34</v>
      </c>
      <c r="L20" s="23" t="s">
        <v>343</v>
      </c>
      <c r="M20" s="23" t="n">
        <v>167</v>
      </c>
      <c r="N20" s="23"/>
      <c r="O20" s="23" t="s">
        <v>453</v>
      </c>
      <c r="P20" s="23" t="s">
        <v>454</v>
      </c>
      <c r="Q20" s="23" t="s">
        <v>455</v>
      </c>
      <c r="R20" s="23" t="s">
        <v>456</v>
      </c>
      <c r="S20" s="23" t="s">
        <v>337</v>
      </c>
      <c r="T20" s="23" t="s">
        <v>67</v>
      </c>
      <c r="U20" s="23" t="s">
        <v>457</v>
      </c>
      <c r="V20" s="23" t="n">
        <v>0</v>
      </c>
      <c r="W20" s="23" t="n">
        <v>17.4</v>
      </c>
      <c r="X20" s="23" t="n">
        <v>74.9</v>
      </c>
      <c r="Y20" s="23" t="n">
        <v>74.6</v>
      </c>
      <c r="Z20" s="23" t="n">
        <v>0</v>
      </c>
      <c r="AA20" s="23" t="n">
        <v>0</v>
      </c>
      <c r="AB20" s="23" t="n">
        <v>0.1</v>
      </c>
      <c r="AC20" s="23" t="n">
        <v>0</v>
      </c>
    </row>
    <row r="21" customFormat="false" ht="15" hidden="false" customHeight="false" outlineLevel="0" collapsed="false">
      <c r="A21" s="23" t="s">
        <v>458</v>
      </c>
      <c r="B21" s="23" t="s">
        <v>459</v>
      </c>
      <c r="C21" s="23" t="s">
        <v>460</v>
      </c>
      <c r="D21" s="23" t="s">
        <v>88</v>
      </c>
      <c r="E21" s="23" t="s">
        <v>352</v>
      </c>
      <c r="F21" s="23" t="s">
        <v>40</v>
      </c>
      <c r="G21" s="23" t="s">
        <v>173</v>
      </c>
      <c r="H21" s="23" t="s">
        <v>29</v>
      </c>
      <c r="I21" s="23" t="s">
        <v>99</v>
      </c>
      <c r="J21" s="23" t="s">
        <v>409</v>
      </c>
      <c r="K21" s="23" t="s">
        <v>35</v>
      </c>
      <c r="L21" s="23" t="s">
        <v>176</v>
      </c>
      <c r="M21" s="23" t="n">
        <v>165</v>
      </c>
      <c r="N21" s="23"/>
      <c r="O21" s="23" t="s">
        <v>461</v>
      </c>
      <c r="P21" s="23"/>
      <c r="Q21" s="23" t="s">
        <v>462</v>
      </c>
      <c r="R21" s="23" t="s">
        <v>126</v>
      </c>
      <c r="S21" s="23" t="s">
        <v>424</v>
      </c>
      <c r="T21" s="23" t="s">
        <v>69</v>
      </c>
      <c r="U21" s="23" t="s">
        <v>463</v>
      </c>
      <c r="V21" s="23" t="n">
        <v>0</v>
      </c>
      <c r="W21" s="23" t="n">
        <v>0</v>
      </c>
      <c r="X21" s="23" t="n">
        <v>0</v>
      </c>
      <c r="Y21" s="23" t="n">
        <v>34.9</v>
      </c>
      <c r="Z21" s="23" t="n">
        <v>72.3</v>
      </c>
      <c r="AA21" s="23" t="n">
        <v>57.8</v>
      </c>
      <c r="AB21" s="23" t="n">
        <v>0</v>
      </c>
      <c r="AC21" s="23" t="n">
        <v>0</v>
      </c>
    </row>
    <row r="22" customFormat="false" ht="15" hidden="false" customHeight="false" outlineLevel="0" collapsed="false">
      <c r="A22" s="23" t="s">
        <v>464</v>
      </c>
      <c r="B22" s="23" t="s">
        <v>465</v>
      </c>
      <c r="C22" s="23" t="s">
        <v>466</v>
      </c>
      <c r="D22" s="23" t="s">
        <v>92</v>
      </c>
      <c r="E22" s="23" t="s">
        <v>440</v>
      </c>
      <c r="F22" s="23" t="s">
        <v>40</v>
      </c>
      <c r="G22" s="23" t="s">
        <v>258</v>
      </c>
      <c r="H22" s="23" t="s">
        <v>29</v>
      </c>
      <c r="I22" s="23" t="s">
        <v>99</v>
      </c>
      <c r="J22" s="23" t="s">
        <v>391</v>
      </c>
      <c r="K22" s="23" t="s">
        <v>35</v>
      </c>
      <c r="L22" s="23" t="s">
        <v>176</v>
      </c>
      <c r="M22" s="23" t="n">
        <v>139</v>
      </c>
      <c r="N22" s="23"/>
      <c r="O22" s="23" t="s">
        <v>467</v>
      </c>
      <c r="P22" s="23"/>
      <c r="Q22" s="23" t="s">
        <v>468</v>
      </c>
      <c r="R22" s="23" t="s">
        <v>115</v>
      </c>
      <c r="S22" s="23" t="s">
        <v>367</v>
      </c>
      <c r="T22" s="23" t="s">
        <v>68</v>
      </c>
      <c r="U22" s="23" t="s">
        <v>469</v>
      </c>
      <c r="V22" s="23" t="n">
        <v>0</v>
      </c>
      <c r="W22" s="23" t="n">
        <v>0</v>
      </c>
      <c r="X22" s="23" t="n">
        <v>0</v>
      </c>
      <c r="Y22" s="23" t="n">
        <v>43.2</v>
      </c>
      <c r="Z22" s="23" t="n">
        <v>78.7</v>
      </c>
      <c r="AA22" s="23" t="n">
        <v>17</v>
      </c>
      <c r="AB22" s="23" t="n">
        <v>0.1</v>
      </c>
      <c r="AC22" s="23" t="n">
        <v>0</v>
      </c>
    </row>
    <row r="23" customFormat="false" ht="15" hidden="false" customHeight="false" outlineLevel="0" collapsed="false">
      <c r="A23" s="23" t="s">
        <v>470</v>
      </c>
      <c r="B23" s="23" t="s">
        <v>471</v>
      </c>
      <c r="C23" s="23" t="s">
        <v>472</v>
      </c>
      <c r="D23" s="23" t="s">
        <v>89</v>
      </c>
      <c r="E23" s="23" t="s">
        <v>473</v>
      </c>
      <c r="F23" s="23" t="s">
        <v>40</v>
      </c>
      <c r="G23" s="23" t="s">
        <v>208</v>
      </c>
      <c r="H23" s="23" t="s">
        <v>29</v>
      </c>
      <c r="I23" s="23" t="s">
        <v>99</v>
      </c>
      <c r="J23" s="23" t="s">
        <v>409</v>
      </c>
      <c r="K23" s="23" t="s">
        <v>104</v>
      </c>
      <c r="L23" s="23" t="s">
        <v>176</v>
      </c>
      <c r="M23" s="23" t="n">
        <v>137</v>
      </c>
      <c r="N23" s="23"/>
      <c r="O23" s="23" t="s">
        <v>474</v>
      </c>
      <c r="P23" s="23"/>
      <c r="Q23" s="23" t="s">
        <v>475</v>
      </c>
      <c r="R23" s="23"/>
      <c r="S23" s="23"/>
      <c r="T23" s="23" t="s">
        <v>134</v>
      </c>
      <c r="U23" s="23" t="s">
        <v>476</v>
      </c>
      <c r="V23" s="23" t="n">
        <v>0</v>
      </c>
      <c r="W23" s="23" t="n">
        <v>0</v>
      </c>
      <c r="X23" s="23" t="n">
        <v>0</v>
      </c>
      <c r="Y23" s="23" t="n">
        <v>0</v>
      </c>
      <c r="Z23" s="23" t="n">
        <v>0</v>
      </c>
      <c r="AA23" s="23" t="n">
        <v>0</v>
      </c>
      <c r="AB23" s="23" t="n">
        <v>0</v>
      </c>
      <c r="AC23" s="23" t="n">
        <v>137</v>
      </c>
    </row>
    <row r="24" customFormat="false" ht="15" hidden="false" customHeight="false" outlineLevel="0" collapsed="false">
      <c r="A24" s="23" t="s">
        <v>477</v>
      </c>
      <c r="B24" s="23" t="s">
        <v>478</v>
      </c>
      <c r="C24" s="23" t="s">
        <v>479</v>
      </c>
      <c r="D24" s="23" t="s">
        <v>89</v>
      </c>
      <c r="E24" s="23" t="s">
        <v>332</v>
      </c>
      <c r="F24" s="23" t="s">
        <v>40</v>
      </c>
      <c r="G24" s="23" t="s">
        <v>205</v>
      </c>
      <c r="H24" s="23" t="s">
        <v>29</v>
      </c>
      <c r="I24" s="23" t="s">
        <v>99</v>
      </c>
      <c r="J24" s="23" t="s">
        <v>391</v>
      </c>
      <c r="K24" s="23" t="s">
        <v>35</v>
      </c>
      <c r="L24" s="23" t="s">
        <v>176</v>
      </c>
      <c r="M24" s="23" t="n">
        <v>114</v>
      </c>
      <c r="N24" s="23"/>
      <c r="O24" s="23" t="s">
        <v>480</v>
      </c>
      <c r="P24" s="23"/>
      <c r="Q24" s="23" t="s">
        <v>481</v>
      </c>
      <c r="R24" s="23" t="s">
        <v>394</v>
      </c>
      <c r="S24" s="23" t="s">
        <v>482</v>
      </c>
      <c r="T24" s="23" t="s">
        <v>68</v>
      </c>
      <c r="U24" s="23" t="s">
        <v>396</v>
      </c>
      <c r="V24" s="23" t="n">
        <v>0</v>
      </c>
      <c r="W24" s="23" t="n">
        <v>0</v>
      </c>
      <c r="X24" s="23" t="n">
        <v>0</v>
      </c>
      <c r="Y24" s="23" t="n">
        <v>0</v>
      </c>
      <c r="Z24" s="23" t="n">
        <v>89.3</v>
      </c>
      <c r="AA24" s="23" t="n">
        <v>24.7</v>
      </c>
      <c r="AB24" s="23" t="n">
        <v>0</v>
      </c>
      <c r="AC24" s="23" t="n">
        <v>0</v>
      </c>
    </row>
    <row r="25" customFormat="false" ht="15" hidden="false" customHeight="false" outlineLevel="0" collapsed="false">
      <c r="A25" s="23" t="s">
        <v>483</v>
      </c>
      <c r="B25" s="23" t="s">
        <v>484</v>
      </c>
      <c r="C25" s="23" t="s">
        <v>485</v>
      </c>
      <c r="D25" s="23" t="s">
        <v>88</v>
      </c>
      <c r="E25" s="23" t="s">
        <v>352</v>
      </c>
      <c r="F25" s="23" t="s">
        <v>40</v>
      </c>
      <c r="G25" s="23" t="s">
        <v>183</v>
      </c>
      <c r="H25" s="23" t="s">
        <v>29</v>
      </c>
      <c r="I25" s="23" t="s">
        <v>99</v>
      </c>
      <c r="J25" s="23" t="s">
        <v>333</v>
      </c>
      <c r="K25" s="23" t="s">
        <v>35</v>
      </c>
      <c r="L25" s="23" t="s">
        <v>176</v>
      </c>
      <c r="M25" s="23" t="n">
        <v>99</v>
      </c>
      <c r="N25" s="23"/>
      <c r="O25" s="23" t="s">
        <v>486</v>
      </c>
      <c r="P25" s="23"/>
      <c r="Q25" s="23" t="s">
        <v>487</v>
      </c>
      <c r="R25" s="23" t="s">
        <v>126</v>
      </c>
      <c r="S25" s="23" t="s">
        <v>482</v>
      </c>
      <c r="T25" s="23" t="s">
        <v>69</v>
      </c>
      <c r="U25" s="23" t="s">
        <v>488</v>
      </c>
      <c r="V25" s="23" t="n">
        <v>0</v>
      </c>
      <c r="W25" s="23" t="n">
        <v>0</v>
      </c>
      <c r="X25" s="23" t="n">
        <v>0</v>
      </c>
      <c r="Y25" s="23" t="n">
        <v>25.1</v>
      </c>
      <c r="Z25" s="23" t="n">
        <v>51.9</v>
      </c>
      <c r="AA25" s="23" t="n">
        <v>22</v>
      </c>
      <c r="AB25" s="23" t="n">
        <v>0</v>
      </c>
      <c r="AC25" s="23" t="n">
        <v>0</v>
      </c>
    </row>
    <row r="26" customFormat="false" ht="15" hidden="false" customHeight="false" outlineLevel="0" collapsed="false">
      <c r="A26" s="23" t="s">
        <v>489</v>
      </c>
      <c r="B26" s="23" t="s">
        <v>490</v>
      </c>
      <c r="C26" s="23" t="s">
        <v>491</v>
      </c>
      <c r="D26" s="23" t="s">
        <v>88</v>
      </c>
      <c r="E26" s="23" t="s">
        <v>352</v>
      </c>
      <c r="F26" s="23" t="s">
        <v>40</v>
      </c>
      <c r="G26" s="23" t="s">
        <v>180</v>
      </c>
      <c r="H26" s="23" t="s">
        <v>29</v>
      </c>
      <c r="I26" s="23" t="s">
        <v>99</v>
      </c>
      <c r="J26" s="23" t="s">
        <v>333</v>
      </c>
      <c r="K26" s="23" t="s">
        <v>34</v>
      </c>
      <c r="L26" s="23" t="s">
        <v>343</v>
      </c>
      <c r="M26" s="23" t="n">
        <v>99</v>
      </c>
      <c r="N26" s="23"/>
      <c r="O26" s="23" t="s">
        <v>492</v>
      </c>
      <c r="P26" s="23" t="s">
        <v>493</v>
      </c>
      <c r="Q26" s="23" t="s">
        <v>494</v>
      </c>
      <c r="R26" s="23" t="s">
        <v>456</v>
      </c>
      <c r="S26" s="23" t="s">
        <v>495</v>
      </c>
      <c r="T26" s="23" t="s">
        <v>67</v>
      </c>
      <c r="U26" s="23" t="s">
        <v>496</v>
      </c>
      <c r="V26" s="23" t="n">
        <v>0</v>
      </c>
      <c r="W26" s="23" t="n">
        <v>13</v>
      </c>
      <c r="X26" s="23" t="n">
        <v>55.8</v>
      </c>
      <c r="Y26" s="23" t="n">
        <v>30.2</v>
      </c>
      <c r="Z26" s="23" t="n">
        <v>0</v>
      </c>
      <c r="AA26" s="23" t="n">
        <v>0</v>
      </c>
      <c r="AB26" s="23" t="n">
        <v>0</v>
      </c>
      <c r="AC26" s="23" t="n">
        <v>0</v>
      </c>
    </row>
    <row r="27" customFormat="false" ht="15" hidden="false" customHeight="false" outlineLevel="0" collapsed="false">
      <c r="A27" s="23" t="s">
        <v>497</v>
      </c>
      <c r="B27" s="23" t="s">
        <v>498</v>
      </c>
      <c r="C27" s="23" t="s">
        <v>499</v>
      </c>
      <c r="D27" s="23" t="s">
        <v>88</v>
      </c>
      <c r="E27" s="23" t="s">
        <v>352</v>
      </c>
      <c r="F27" s="23" t="s">
        <v>40</v>
      </c>
      <c r="G27" s="23" t="s">
        <v>183</v>
      </c>
      <c r="H27" s="23" t="s">
        <v>29</v>
      </c>
      <c r="I27" s="23" t="s">
        <v>99</v>
      </c>
      <c r="J27" s="23" t="s">
        <v>333</v>
      </c>
      <c r="K27" s="23" t="s">
        <v>35</v>
      </c>
      <c r="L27" s="23" t="s">
        <v>176</v>
      </c>
      <c r="M27" s="23" t="n">
        <v>98</v>
      </c>
      <c r="N27" s="23"/>
      <c r="O27" s="23" t="s">
        <v>500</v>
      </c>
      <c r="P27" s="23"/>
      <c r="Q27" s="23" t="s">
        <v>501</v>
      </c>
      <c r="R27" s="23" t="s">
        <v>126</v>
      </c>
      <c r="S27" s="23" t="s">
        <v>482</v>
      </c>
      <c r="T27" s="23" t="s">
        <v>69</v>
      </c>
      <c r="U27" s="23" t="s">
        <v>502</v>
      </c>
      <c r="V27" s="23" t="n">
        <v>0</v>
      </c>
      <c r="W27" s="23" t="n">
        <v>0</v>
      </c>
      <c r="X27" s="23" t="n">
        <v>0</v>
      </c>
      <c r="Y27" s="23" t="n">
        <v>25.2</v>
      </c>
      <c r="Z27" s="23" t="n">
        <v>52.2</v>
      </c>
      <c r="AA27" s="23" t="n">
        <v>20.6</v>
      </c>
      <c r="AB27" s="23" t="n">
        <v>0</v>
      </c>
      <c r="AC27" s="23" t="n">
        <v>0</v>
      </c>
    </row>
    <row r="28" customFormat="false" ht="15" hidden="false" customHeight="false" outlineLevel="0" collapsed="false">
      <c r="A28" s="23" t="s">
        <v>503</v>
      </c>
      <c r="B28" s="23" t="s">
        <v>504</v>
      </c>
      <c r="C28" s="23" t="s">
        <v>505</v>
      </c>
      <c r="D28" s="23" t="s">
        <v>88</v>
      </c>
      <c r="E28" s="23" t="s">
        <v>352</v>
      </c>
      <c r="F28" s="23" t="s">
        <v>40</v>
      </c>
      <c r="G28" s="23" t="s">
        <v>184</v>
      </c>
      <c r="H28" s="23" t="s">
        <v>29</v>
      </c>
      <c r="I28" s="23" t="s">
        <v>99</v>
      </c>
      <c r="J28" s="23" t="s">
        <v>333</v>
      </c>
      <c r="K28" s="23" t="s">
        <v>35</v>
      </c>
      <c r="L28" s="23" t="s">
        <v>176</v>
      </c>
      <c r="M28" s="23" t="n">
        <v>86</v>
      </c>
      <c r="N28" s="23"/>
      <c r="O28" s="23" t="s">
        <v>506</v>
      </c>
      <c r="P28" s="23"/>
      <c r="Q28" s="23" t="s">
        <v>507</v>
      </c>
      <c r="R28" s="23" t="s">
        <v>126</v>
      </c>
      <c r="S28" s="23" t="s">
        <v>367</v>
      </c>
      <c r="T28" s="23" t="s">
        <v>69</v>
      </c>
      <c r="U28" s="23" t="s">
        <v>508</v>
      </c>
      <c r="V28" s="23" t="n">
        <v>0</v>
      </c>
      <c r="W28" s="23" t="n">
        <v>0</v>
      </c>
      <c r="X28" s="23" t="n">
        <v>0</v>
      </c>
      <c r="Y28" s="23" t="n">
        <v>27.2</v>
      </c>
      <c r="Z28" s="23" t="n">
        <v>56.4</v>
      </c>
      <c r="AA28" s="23" t="n">
        <v>2.4</v>
      </c>
      <c r="AB28" s="23" t="n">
        <v>0</v>
      </c>
      <c r="AC28" s="23" t="n">
        <v>0</v>
      </c>
    </row>
    <row r="29" customFormat="false" ht="15" hidden="false" customHeight="false" outlineLevel="0" collapsed="false">
      <c r="A29" s="23" t="s">
        <v>509</v>
      </c>
      <c r="B29" s="23" t="s">
        <v>510</v>
      </c>
      <c r="C29" s="23" t="s">
        <v>511</v>
      </c>
      <c r="D29" s="23" t="s">
        <v>89</v>
      </c>
      <c r="E29" s="23" t="s">
        <v>473</v>
      </c>
      <c r="F29" s="23" t="s">
        <v>40</v>
      </c>
      <c r="G29" s="23" t="s">
        <v>209</v>
      </c>
      <c r="H29" s="23" t="s">
        <v>29</v>
      </c>
      <c r="I29" s="23" t="s">
        <v>99</v>
      </c>
      <c r="J29" s="23" t="s">
        <v>333</v>
      </c>
      <c r="K29" s="23" t="s">
        <v>35</v>
      </c>
      <c r="L29" s="23" t="s">
        <v>176</v>
      </c>
      <c r="M29" s="23" t="n">
        <v>76</v>
      </c>
      <c r="N29" s="23"/>
      <c r="O29" s="23" t="s">
        <v>512</v>
      </c>
      <c r="P29" s="23"/>
      <c r="Q29" s="23" t="s">
        <v>513</v>
      </c>
      <c r="R29" s="23" t="s">
        <v>126</v>
      </c>
      <c r="S29" s="23" t="s">
        <v>514</v>
      </c>
      <c r="T29" s="23" t="s">
        <v>68</v>
      </c>
      <c r="U29" s="23" t="s">
        <v>515</v>
      </c>
      <c r="V29" s="23" t="n">
        <v>0</v>
      </c>
      <c r="W29" s="23" t="n">
        <v>0</v>
      </c>
      <c r="X29" s="23" t="n">
        <v>0</v>
      </c>
      <c r="Y29" s="23" t="n">
        <v>20.9</v>
      </c>
      <c r="Z29" s="23" t="n">
        <v>55.1</v>
      </c>
      <c r="AA29" s="23" t="n">
        <v>0</v>
      </c>
      <c r="AB29" s="23" t="n">
        <v>0</v>
      </c>
      <c r="AC29" s="23" t="n">
        <v>0</v>
      </c>
    </row>
    <row r="30" customFormat="false" ht="15" hidden="false" customHeight="false" outlineLevel="0" collapsed="false">
      <c r="A30" s="23" t="s">
        <v>516</v>
      </c>
      <c r="B30" s="23" t="s">
        <v>517</v>
      </c>
      <c r="C30" s="23" t="s">
        <v>518</v>
      </c>
      <c r="D30" s="23" t="s">
        <v>88</v>
      </c>
      <c r="E30" s="23" t="s">
        <v>352</v>
      </c>
      <c r="F30" s="23" t="s">
        <v>40</v>
      </c>
      <c r="G30" s="23" t="s">
        <v>179</v>
      </c>
      <c r="H30" s="23" t="s">
        <v>29</v>
      </c>
      <c r="I30" s="23" t="s">
        <v>99</v>
      </c>
      <c r="J30" s="23" t="s">
        <v>333</v>
      </c>
      <c r="K30" s="23" t="s">
        <v>23</v>
      </c>
      <c r="L30" s="23" t="s">
        <v>23</v>
      </c>
      <c r="M30" s="23" t="n">
        <v>65</v>
      </c>
      <c r="N30" s="23"/>
      <c r="O30" s="23" t="s">
        <v>519</v>
      </c>
      <c r="P30" s="23" t="s">
        <v>520</v>
      </c>
      <c r="Q30" s="23" t="s">
        <v>521</v>
      </c>
      <c r="R30" s="23"/>
      <c r="S30" s="23"/>
      <c r="T30" s="23" t="s">
        <v>522</v>
      </c>
      <c r="U30" s="23" t="s">
        <v>523</v>
      </c>
      <c r="V30" s="23" t="n">
        <v>65</v>
      </c>
      <c r="W30" s="23" t="n">
        <v>0</v>
      </c>
      <c r="X30" s="23" t="n">
        <v>0</v>
      </c>
      <c r="Y30" s="23" t="n">
        <v>0</v>
      </c>
      <c r="Z30" s="23" t="n">
        <v>0</v>
      </c>
      <c r="AA30" s="23" t="n">
        <v>0</v>
      </c>
      <c r="AB30" s="23" t="n">
        <v>0</v>
      </c>
      <c r="AC30" s="23" t="n">
        <v>0</v>
      </c>
    </row>
    <row r="31" customFormat="false" ht="15" hidden="false" customHeight="false" outlineLevel="0" collapsed="false">
      <c r="A31" s="23" t="s">
        <v>524</v>
      </c>
      <c r="B31" s="23" t="s">
        <v>525</v>
      </c>
      <c r="C31" s="23" t="s">
        <v>526</v>
      </c>
      <c r="D31" s="23" t="s">
        <v>94</v>
      </c>
      <c r="E31" s="23" t="s">
        <v>332</v>
      </c>
      <c r="F31" s="23" t="s">
        <v>40</v>
      </c>
      <c r="G31" s="23" t="s">
        <v>289</v>
      </c>
      <c r="H31" s="23" t="s">
        <v>29</v>
      </c>
      <c r="I31" s="23" t="s">
        <v>99</v>
      </c>
      <c r="J31" s="23" t="s">
        <v>333</v>
      </c>
      <c r="K31" s="23" t="s">
        <v>35</v>
      </c>
      <c r="L31" s="23" t="s">
        <v>366</v>
      </c>
      <c r="M31" s="23" t="n">
        <v>55</v>
      </c>
      <c r="N31" s="23"/>
      <c r="O31" s="23" t="s">
        <v>527</v>
      </c>
      <c r="P31" s="23"/>
      <c r="Q31" s="23" t="s">
        <v>528</v>
      </c>
      <c r="R31" s="23" t="s">
        <v>336</v>
      </c>
      <c r="S31" s="23" t="s">
        <v>116</v>
      </c>
      <c r="T31" s="23" t="s">
        <v>68</v>
      </c>
      <c r="U31" s="23" t="s">
        <v>368</v>
      </c>
      <c r="V31" s="23" t="n">
        <v>0</v>
      </c>
      <c r="W31" s="23" t="n">
        <v>0</v>
      </c>
      <c r="X31" s="23" t="n">
        <v>0</v>
      </c>
      <c r="Y31" s="23" t="n">
        <v>42.9</v>
      </c>
      <c r="Z31" s="23" t="n">
        <v>12.1</v>
      </c>
      <c r="AA31" s="23" t="n">
        <v>0</v>
      </c>
      <c r="AB31" s="23" t="n">
        <v>0</v>
      </c>
      <c r="AC31" s="23" t="n">
        <v>0</v>
      </c>
    </row>
    <row r="32" customFormat="false" ht="15" hidden="false" customHeight="false" outlineLevel="0" collapsed="false">
      <c r="A32" s="23" t="s">
        <v>529</v>
      </c>
      <c r="B32" s="23" t="s">
        <v>530</v>
      </c>
      <c r="C32" s="23" t="s">
        <v>531</v>
      </c>
      <c r="D32" s="23" t="s">
        <v>88</v>
      </c>
      <c r="E32" s="23" t="s">
        <v>352</v>
      </c>
      <c r="F32" s="23" t="s">
        <v>40</v>
      </c>
      <c r="G32" s="23" t="s">
        <v>183</v>
      </c>
      <c r="H32" s="23" t="s">
        <v>29</v>
      </c>
      <c r="I32" s="23" t="s">
        <v>99</v>
      </c>
      <c r="J32" s="23" t="s">
        <v>333</v>
      </c>
      <c r="K32" s="23" t="s">
        <v>35</v>
      </c>
      <c r="L32" s="23" t="s">
        <v>176</v>
      </c>
      <c r="M32" s="23" t="n">
        <v>54</v>
      </c>
      <c r="N32" s="23"/>
      <c r="O32" s="23" t="s">
        <v>532</v>
      </c>
      <c r="P32" s="23"/>
      <c r="Q32" s="23" t="s">
        <v>533</v>
      </c>
      <c r="R32" s="23" t="s">
        <v>126</v>
      </c>
      <c r="S32" s="23" t="s">
        <v>514</v>
      </c>
      <c r="T32" s="23" t="s">
        <v>69</v>
      </c>
      <c r="U32" s="23" t="s">
        <v>534</v>
      </c>
      <c r="V32" s="23" t="n">
        <v>0</v>
      </c>
      <c r="W32" s="23" t="n">
        <v>0</v>
      </c>
      <c r="X32" s="23" t="n">
        <v>0</v>
      </c>
      <c r="Y32" s="23" t="n">
        <v>20.7</v>
      </c>
      <c r="Z32" s="23" t="n">
        <v>33.3</v>
      </c>
      <c r="AA32" s="23" t="n">
        <v>0</v>
      </c>
      <c r="AB32" s="23" t="n">
        <v>0</v>
      </c>
      <c r="AC32" s="23" t="n">
        <v>0</v>
      </c>
    </row>
    <row r="33" customFormat="false" ht="15" hidden="false" customHeight="false" outlineLevel="0" collapsed="false">
      <c r="A33" s="23" t="s">
        <v>535</v>
      </c>
      <c r="B33" s="23" t="s">
        <v>536</v>
      </c>
      <c r="C33" s="23" t="s">
        <v>537</v>
      </c>
      <c r="D33" s="23" t="s">
        <v>89</v>
      </c>
      <c r="E33" s="23" t="s">
        <v>332</v>
      </c>
      <c r="F33" s="23" t="s">
        <v>40</v>
      </c>
      <c r="G33" s="23" t="s">
        <v>217</v>
      </c>
      <c r="H33" s="23" t="s">
        <v>29</v>
      </c>
      <c r="I33" s="23" t="s">
        <v>99</v>
      </c>
      <c r="J33" s="23" t="s">
        <v>333</v>
      </c>
      <c r="K33" s="23" t="s">
        <v>34</v>
      </c>
      <c r="L33" s="23" t="s">
        <v>343</v>
      </c>
      <c r="M33" s="23" t="n">
        <v>48</v>
      </c>
      <c r="N33" s="23"/>
      <c r="O33" s="23" t="s">
        <v>538</v>
      </c>
      <c r="P33" s="23" t="s">
        <v>539</v>
      </c>
      <c r="Q33" s="23" t="s">
        <v>540</v>
      </c>
      <c r="R33" s="23" t="s">
        <v>541</v>
      </c>
      <c r="S33" s="23" t="s">
        <v>130</v>
      </c>
      <c r="T33" s="23" t="s">
        <v>67</v>
      </c>
      <c r="U33" s="23" t="s">
        <v>542</v>
      </c>
      <c r="V33" s="23" t="n">
        <v>0</v>
      </c>
      <c r="W33" s="23" t="n">
        <v>11.2</v>
      </c>
      <c r="X33" s="23" t="n">
        <v>36.8</v>
      </c>
      <c r="Y33" s="23" t="n">
        <v>0</v>
      </c>
      <c r="Z33" s="23" t="n">
        <v>0</v>
      </c>
      <c r="AA33" s="23" t="n">
        <v>0</v>
      </c>
      <c r="AB33" s="23" t="n">
        <v>0</v>
      </c>
      <c r="AC33" s="23" t="n">
        <v>0</v>
      </c>
    </row>
    <row r="34" customFormat="false" ht="15" hidden="false" customHeight="false" outlineLevel="0" collapsed="false">
      <c r="A34" s="23" t="s">
        <v>543</v>
      </c>
      <c r="B34" s="23" t="s">
        <v>544</v>
      </c>
      <c r="C34" s="23" t="s">
        <v>545</v>
      </c>
      <c r="D34" s="23" t="s">
        <v>88</v>
      </c>
      <c r="E34" s="23" t="s">
        <v>352</v>
      </c>
      <c r="F34" s="23" t="s">
        <v>40</v>
      </c>
      <c r="G34" s="23" t="s">
        <v>198</v>
      </c>
      <c r="H34" s="23" t="s">
        <v>29</v>
      </c>
      <c r="I34" s="23" t="s">
        <v>99</v>
      </c>
      <c r="J34" s="23" t="s">
        <v>333</v>
      </c>
      <c r="K34" s="23" t="s">
        <v>35</v>
      </c>
      <c r="L34" s="23" t="s">
        <v>176</v>
      </c>
      <c r="M34" s="23" t="n">
        <v>46</v>
      </c>
      <c r="N34" s="23"/>
      <c r="O34" s="23" t="s">
        <v>546</v>
      </c>
      <c r="P34" s="23"/>
      <c r="Q34" s="23" t="s">
        <v>547</v>
      </c>
      <c r="R34" s="23" t="s">
        <v>126</v>
      </c>
      <c r="S34" s="23" t="s">
        <v>131</v>
      </c>
      <c r="T34" s="23" t="s">
        <v>69</v>
      </c>
      <c r="U34" s="23" t="s">
        <v>548</v>
      </c>
      <c r="V34" s="23" t="n">
        <v>0</v>
      </c>
      <c r="W34" s="23" t="n">
        <v>0</v>
      </c>
      <c r="X34" s="23" t="n">
        <v>0</v>
      </c>
      <c r="Y34" s="23" t="n">
        <v>19.4</v>
      </c>
      <c r="Z34" s="23" t="n">
        <v>26.6</v>
      </c>
      <c r="AA34" s="23" t="n">
        <v>0</v>
      </c>
      <c r="AB34" s="23" t="n">
        <v>0</v>
      </c>
      <c r="AC34" s="23" t="n">
        <v>0</v>
      </c>
    </row>
    <row r="35" customFormat="false" ht="15" hidden="false" customHeight="false" outlineLevel="0" collapsed="false">
      <c r="A35" s="23" t="s">
        <v>549</v>
      </c>
      <c r="B35" s="23" t="s">
        <v>550</v>
      </c>
      <c r="C35" s="23" t="s">
        <v>551</v>
      </c>
      <c r="D35" s="23" t="s">
        <v>89</v>
      </c>
      <c r="E35" s="23" t="s">
        <v>332</v>
      </c>
      <c r="F35" s="23" t="s">
        <v>40</v>
      </c>
      <c r="G35" s="23" t="s">
        <v>205</v>
      </c>
      <c r="H35" s="23" t="s">
        <v>29</v>
      </c>
      <c r="I35" s="23" t="s">
        <v>99</v>
      </c>
      <c r="J35" s="23" t="s">
        <v>333</v>
      </c>
      <c r="K35" s="23" t="s">
        <v>34</v>
      </c>
      <c r="L35" s="23" t="s">
        <v>410</v>
      </c>
      <c r="M35" s="23" t="n">
        <v>32</v>
      </c>
      <c r="N35" s="23"/>
      <c r="O35" s="23" t="s">
        <v>552</v>
      </c>
      <c r="P35" s="23" t="s">
        <v>553</v>
      </c>
      <c r="Q35" s="23" t="s">
        <v>554</v>
      </c>
      <c r="R35" s="23" t="s">
        <v>555</v>
      </c>
      <c r="S35" s="23" t="s">
        <v>130</v>
      </c>
      <c r="T35" s="23" t="s">
        <v>67</v>
      </c>
      <c r="U35" s="23" t="s">
        <v>556</v>
      </c>
      <c r="V35" s="23" t="n">
        <v>0</v>
      </c>
      <c r="W35" s="23" t="n">
        <v>7.5</v>
      </c>
      <c r="X35" s="23" t="n">
        <v>24.5</v>
      </c>
      <c r="Y35" s="23" t="n">
        <v>0</v>
      </c>
      <c r="Z35" s="23" t="n">
        <v>0</v>
      </c>
      <c r="AA35" s="23" t="n">
        <v>0</v>
      </c>
      <c r="AB35" s="23" t="n">
        <v>0</v>
      </c>
      <c r="AC35" s="23" t="n">
        <v>0</v>
      </c>
    </row>
    <row r="36" customFormat="false" ht="15" hidden="false" customHeight="false" outlineLevel="0" collapsed="false">
      <c r="A36" s="23" t="s">
        <v>557</v>
      </c>
      <c r="B36" s="23" t="s">
        <v>133</v>
      </c>
      <c r="C36" s="23" t="s">
        <v>132</v>
      </c>
      <c r="D36" s="23" t="s">
        <v>88</v>
      </c>
      <c r="E36" s="23" t="s">
        <v>352</v>
      </c>
      <c r="F36" s="23" t="s">
        <v>40</v>
      </c>
      <c r="G36" s="23" t="s">
        <v>197</v>
      </c>
      <c r="H36" s="23" t="s">
        <v>29</v>
      </c>
      <c r="I36" s="23" t="s">
        <v>102</v>
      </c>
      <c r="J36" s="23" t="s">
        <v>333</v>
      </c>
      <c r="K36" s="23" t="s">
        <v>36</v>
      </c>
      <c r="L36" s="23" t="s">
        <v>558</v>
      </c>
      <c r="M36" s="23" t="n">
        <v>31</v>
      </c>
      <c r="N36" s="23"/>
      <c r="O36" s="23" t="s">
        <v>559</v>
      </c>
      <c r="P36" s="23"/>
      <c r="Q36" s="23" t="s">
        <v>560</v>
      </c>
      <c r="R36" s="23"/>
      <c r="S36" s="23"/>
      <c r="T36" s="23" t="s">
        <v>134</v>
      </c>
      <c r="U36" s="23" t="s">
        <v>561</v>
      </c>
      <c r="V36" s="23" t="n">
        <v>0</v>
      </c>
      <c r="W36" s="23" t="n">
        <v>0</v>
      </c>
      <c r="X36" s="23" t="n">
        <v>0</v>
      </c>
      <c r="Y36" s="23" t="n">
        <v>0</v>
      </c>
      <c r="Z36" s="23" t="n">
        <v>0</v>
      </c>
      <c r="AA36" s="23" t="n">
        <v>0</v>
      </c>
      <c r="AB36" s="23" t="n">
        <v>0</v>
      </c>
      <c r="AC36" s="23" t="n">
        <v>31</v>
      </c>
    </row>
    <row r="37" customFormat="false" ht="15" hidden="false" customHeight="false" outlineLevel="0" collapsed="false">
      <c r="A37" s="23" t="s">
        <v>562</v>
      </c>
      <c r="B37" s="23" t="s">
        <v>563</v>
      </c>
      <c r="C37" s="23" t="s">
        <v>564</v>
      </c>
      <c r="D37" s="23" t="s">
        <v>94</v>
      </c>
      <c r="E37" s="23" t="s">
        <v>332</v>
      </c>
      <c r="F37" s="23" t="s">
        <v>40</v>
      </c>
      <c r="G37" s="23" t="s">
        <v>297</v>
      </c>
      <c r="H37" s="23" t="s">
        <v>29</v>
      </c>
      <c r="I37" s="23" t="s">
        <v>99</v>
      </c>
      <c r="J37" s="23" t="s">
        <v>333</v>
      </c>
      <c r="K37" s="23" t="s">
        <v>34</v>
      </c>
      <c r="L37" s="23" t="s">
        <v>366</v>
      </c>
      <c r="M37" s="23" t="n">
        <v>31</v>
      </c>
      <c r="N37" s="23"/>
      <c r="O37" s="23" t="s">
        <v>565</v>
      </c>
      <c r="P37" s="23" t="s">
        <v>566</v>
      </c>
      <c r="Q37" s="23" t="s">
        <v>567</v>
      </c>
      <c r="R37" s="23" t="s">
        <v>568</v>
      </c>
      <c r="S37" s="23" t="s">
        <v>394</v>
      </c>
      <c r="T37" s="23" t="s">
        <v>67</v>
      </c>
      <c r="U37" s="23" t="s">
        <v>569</v>
      </c>
      <c r="V37" s="23" t="n">
        <v>0</v>
      </c>
      <c r="W37" s="23" t="n">
        <v>0</v>
      </c>
      <c r="X37" s="23" t="n">
        <v>28.5</v>
      </c>
      <c r="Y37" s="23" t="n">
        <v>2.5</v>
      </c>
      <c r="Z37" s="23" t="n">
        <v>0</v>
      </c>
      <c r="AA37" s="23" t="n">
        <v>0</v>
      </c>
      <c r="AB37" s="23" t="n">
        <v>0</v>
      </c>
      <c r="AC37" s="23" t="n">
        <v>0</v>
      </c>
    </row>
    <row r="38" customFormat="false" ht="15" hidden="false" customHeight="false" outlineLevel="0" collapsed="false">
      <c r="A38" s="23" t="s">
        <v>570</v>
      </c>
      <c r="B38" s="23" t="s">
        <v>571</v>
      </c>
      <c r="C38" s="23" t="s">
        <v>572</v>
      </c>
      <c r="D38" s="23" t="s">
        <v>94</v>
      </c>
      <c r="E38" s="23" t="s">
        <v>332</v>
      </c>
      <c r="F38" s="23" t="s">
        <v>40</v>
      </c>
      <c r="G38" s="23" t="s">
        <v>293</v>
      </c>
      <c r="H38" s="23" t="s">
        <v>29</v>
      </c>
      <c r="I38" s="23" t="s">
        <v>99</v>
      </c>
      <c r="J38" s="23" t="s">
        <v>333</v>
      </c>
      <c r="K38" s="23" t="s">
        <v>35</v>
      </c>
      <c r="L38" s="23" t="s">
        <v>176</v>
      </c>
      <c r="M38" s="23" t="n">
        <v>30</v>
      </c>
      <c r="N38" s="23"/>
      <c r="O38" s="23" t="s">
        <v>573</v>
      </c>
      <c r="P38" s="23"/>
      <c r="Q38" s="23" t="s">
        <v>574</v>
      </c>
      <c r="R38" s="23" t="s">
        <v>336</v>
      </c>
      <c r="S38" s="23" t="s">
        <v>127</v>
      </c>
      <c r="T38" s="23" t="s">
        <v>68</v>
      </c>
      <c r="U38" s="23" t="s">
        <v>575</v>
      </c>
      <c r="V38" s="23" t="n">
        <v>0</v>
      </c>
      <c r="W38" s="23" t="n">
        <v>0</v>
      </c>
      <c r="X38" s="23" t="n">
        <v>1.4</v>
      </c>
      <c r="Y38" s="23" t="n">
        <v>28.6</v>
      </c>
      <c r="Z38" s="23" t="n">
        <v>0</v>
      </c>
      <c r="AA38" s="23" t="n">
        <v>0</v>
      </c>
      <c r="AB38" s="23" t="n">
        <v>0</v>
      </c>
      <c r="AC38" s="23" t="n">
        <v>0</v>
      </c>
    </row>
    <row r="39" customFormat="false" ht="15" hidden="false" customHeight="false" outlineLevel="0" collapsed="false">
      <c r="A39" s="23" t="s">
        <v>576</v>
      </c>
      <c r="B39" s="23" t="s">
        <v>577</v>
      </c>
      <c r="C39" s="23" t="s">
        <v>578</v>
      </c>
      <c r="D39" s="23" t="s">
        <v>91</v>
      </c>
      <c r="E39" s="23" t="s">
        <v>332</v>
      </c>
      <c r="F39" s="23" t="s">
        <v>40</v>
      </c>
      <c r="G39" s="23" t="s">
        <v>247</v>
      </c>
      <c r="H39" s="23" t="s">
        <v>29</v>
      </c>
      <c r="I39" s="23" t="s">
        <v>99</v>
      </c>
      <c r="J39" s="23" t="s">
        <v>333</v>
      </c>
      <c r="K39" s="23" t="s">
        <v>34</v>
      </c>
      <c r="L39" s="23" t="s">
        <v>343</v>
      </c>
      <c r="M39" s="23" t="n">
        <v>26</v>
      </c>
      <c r="N39" s="23"/>
      <c r="O39" s="23" t="s">
        <v>579</v>
      </c>
      <c r="P39" s="23" t="s">
        <v>580</v>
      </c>
      <c r="Q39" s="23" t="s">
        <v>581</v>
      </c>
      <c r="R39" s="23" t="s">
        <v>541</v>
      </c>
      <c r="S39" s="23" t="s">
        <v>130</v>
      </c>
      <c r="T39" s="23" t="s">
        <v>67</v>
      </c>
      <c r="U39" s="23" t="s">
        <v>542</v>
      </c>
      <c r="V39" s="23" t="n">
        <v>0</v>
      </c>
      <c r="W39" s="23" t="n">
        <v>6.1</v>
      </c>
      <c r="X39" s="23" t="n">
        <v>19.9</v>
      </c>
      <c r="Y39" s="23" t="n">
        <v>0</v>
      </c>
      <c r="Z39" s="23" t="n">
        <v>0</v>
      </c>
      <c r="AA39" s="23" t="n">
        <v>0</v>
      </c>
      <c r="AB39" s="23" t="n">
        <v>0</v>
      </c>
      <c r="AC39" s="23" t="n">
        <v>0</v>
      </c>
    </row>
    <row r="40" customFormat="false" ht="15" hidden="false" customHeight="false" outlineLevel="0" collapsed="false">
      <c r="A40" s="23" t="s">
        <v>582</v>
      </c>
      <c r="B40" s="23" t="s">
        <v>122</v>
      </c>
      <c r="C40" s="23" t="s">
        <v>121</v>
      </c>
      <c r="D40" s="23" t="s">
        <v>94</v>
      </c>
      <c r="E40" s="23" t="s">
        <v>332</v>
      </c>
      <c r="F40" s="23" t="s">
        <v>40</v>
      </c>
      <c r="G40" s="23" t="s">
        <v>285</v>
      </c>
      <c r="H40" s="23" t="s">
        <v>29</v>
      </c>
      <c r="I40" s="23" t="s">
        <v>102</v>
      </c>
      <c r="J40" s="23" t="s">
        <v>391</v>
      </c>
      <c r="K40" s="23" t="s">
        <v>34</v>
      </c>
      <c r="L40" s="23" t="s">
        <v>343</v>
      </c>
      <c r="M40" s="23" t="n">
        <v>26</v>
      </c>
      <c r="N40" s="23" t="n">
        <v>202</v>
      </c>
      <c r="O40" s="23" t="s">
        <v>583</v>
      </c>
      <c r="P40" s="23" t="s">
        <v>584</v>
      </c>
      <c r="Q40" s="23" t="s">
        <v>585</v>
      </c>
      <c r="R40" s="23" t="s">
        <v>123</v>
      </c>
      <c r="S40" s="23" t="s">
        <v>115</v>
      </c>
      <c r="T40" s="23" t="s">
        <v>67</v>
      </c>
      <c r="U40" s="23" t="s">
        <v>586</v>
      </c>
      <c r="V40" s="23" t="n">
        <v>0</v>
      </c>
      <c r="W40" s="23" t="n">
        <v>0</v>
      </c>
      <c r="X40" s="23" t="n">
        <v>26</v>
      </c>
      <c r="Y40" s="23" t="n">
        <v>0</v>
      </c>
      <c r="Z40" s="23" t="n">
        <v>0</v>
      </c>
      <c r="AA40" s="23" t="n">
        <v>0</v>
      </c>
      <c r="AB40" s="23" t="n">
        <v>0</v>
      </c>
      <c r="AC40" s="23" t="n">
        <v>0</v>
      </c>
    </row>
    <row r="41" customFormat="false" ht="15" hidden="false" customHeight="false" outlineLevel="0" collapsed="false">
      <c r="A41" s="23" t="s">
        <v>587</v>
      </c>
      <c r="B41" s="23" t="s">
        <v>588</v>
      </c>
      <c r="C41" s="23" t="s">
        <v>589</v>
      </c>
      <c r="D41" s="23" t="s">
        <v>94</v>
      </c>
      <c r="E41" s="23" t="s">
        <v>332</v>
      </c>
      <c r="F41" s="23" t="s">
        <v>40</v>
      </c>
      <c r="G41" s="23" t="s">
        <v>282</v>
      </c>
      <c r="H41" s="23" t="s">
        <v>29</v>
      </c>
      <c r="I41" s="23" t="s">
        <v>99</v>
      </c>
      <c r="J41" s="23" t="s">
        <v>333</v>
      </c>
      <c r="K41" s="23" t="s">
        <v>35</v>
      </c>
      <c r="L41" s="23" t="s">
        <v>176</v>
      </c>
      <c r="M41" s="23" t="n">
        <v>25</v>
      </c>
      <c r="N41" s="23"/>
      <c r="O41" s="23" t="s">
        <v>590</v>
      </c>
      <c r="P41" s="23"/>
      <c r="Q41" s="23" t="s">
        <v>591</v>
      </c>
      <c r="R41" s="23" t="s">
        <v>115</v>
      </c>
      <c r="S41" s="23" t="s">
        <v>337</v>
      </c>
      <c r="T41" s="23" t="s">
        <v>68</v>
      </c>
      <c r="U41" s="23" t="s">
        <v>592</v>
      </c>
      <c r="V41" s="23" t="n">
        <v>0</v>
      </c>
      <c r="W41" s="23" t="n">
        <v>0</v>
      </c>
      <c r="X41" s="23" t="n">
        <v>0</v>
      </c>
      <c r="Y41" s="23" t="n">
        <v>20.8</v>
      </c>
      <c r="Z41" s="23" t="n">
        <v>4.2</v>
      </c>
      <c r="AA41" s="23" t="n">
        <v>0</v>
      </c>
      <c r="AB41" s="23" t="n">
        <v>0</v>
      </c>
      <c r="AC41" s="23" t="n">
        <v>0</v>
      </c>
    </row>
    <row r="42" customFormat="false" ht="15" hidden="false" customHeight="false" outlineLevel="0" collapsed="false">
      <c r="A42" s="23" t="s">
        <v>593</v>
      </c>
      <c r="B42" s="23" t="s">
        <v>594</v>
      </c>
      <c r="C42" s="23" t="s">
        <v>595</v>
      </c>
      <c r="D42" s="23" t="s">
        <v>91</v>
      </c>
      <c r="E42" s="23" t="s">
        <v>332</v>
      </c>
      <c r="F42" s="23" t="s">
        <v>40</v>
      </c>
      <c r="G42" s="23" t="s">
        <v>246</v>
      </c>
      <c r="H42" s="23" t="s">
        <v>29</v>
      </c>
      <c r="I42" s="23" t="s">
        <v>99</v>
      </c>
      <c r="J42" s="23" t="s">
        <v>333</v>
      </c>
      <c r="K42" s="23" t="s">
        <v>35</v>
      </c>
      <c r="L42" s="23" t="s">
        <v>176</v>
      </c>
      <c r="M42" s="23" t="n">
        <v>25</v>
      </c>
      <c r="N42" s="23"/>
      <c r="O42" s="23" t="s">
        <v>596</v>
      </c>
      <c r="P42" s="23"/>
      <c r="Q42" s="23" t="s">
        <v>597</v>
      </c>
      <c r="R42" s="23" t="s">
        <v>130</v>
      </c>
      <c r="S42" s="23" t="s">
        <v>131</v>
      </c>
      <c r="T42" s="23" t="s">
        <v>68</v>
      </c>
      <c r="U42" s="23" t="s">
        <v>598</v>
      </c>
      <c r="V42" s="23" t="n">
        <v>0</v>
      </c>
      <c r="W42" s="23" t="n">
        <v>0</v>
      </c>
      <c r="X42" s="23" t="n">
        <v>0</v>
      </c>
      <c r="Y42" s="23" t="n">
        <v>8.5</v>
      </c>
      <c r="Z42" s="23" t="n">
        <v>16.5</v>
      </c>
      <c r="AA42" s="23" t="n">
        <v>0</v>
      </c>
      <c r="AB42" s="23" t="n">
        <v>0</v>
      </c>
      <c r="AC42" s="23" t="n">
        <v>0</v>
      </c>
    </row>
    <row r="43" customFormat="false" ht="15" hidden="false" customHeight="false" outlineLevel="0" collapsed="false">
      <c r="A43" s="23" t="s">
        <v>599</v>
      </c>
      <c r="B43" s="23" t="s">
        <v>600</v>
      </c>
      <c r="C43" s="23" t="s">
        <v>601</v>
      </c>
      <c r="D43" s="23" t="s">
        <v>94</v>
      </c>
      <c r="E43" s="23" t="s">
        <v>332</v>
      </c>
      <c r="F43" s="23" t="s">
        <v>40</v>
      </c>
      <c r="G43" s="23" t="s">
        <v>291</v>
      </c>
      <c r="H43" s="23" t="s">
        <v>29</v>
      </c>
      <c r="I43" s="23" t="s">
        <v>99</v>
      </c>
      <c r="J43" s="23" t="s">
        <v>333</v>
      </c>
      <c r="K43" s="23" t="s">
        <v>34</v>
      </c>
      <c r="L43" s="23" t="s">
        <v>366</v>
      </c>
      <c r="M43" s="23" t="n">
        <v>20</v>
      </c>
      <c r="N43" s="23"/>
      <c r="O43" s="23" t="s">
        <v>602</v>
      </c>
      <c r="P43" s="23" t="s">
        <v>603</v>
      </c>
      <c r="Q43" s="23" t="s">
        <v>604</v>
      </c>
      <c r="R43" s="23" t="s">
        <v>347</v>
      </c>
      <c r="S43" s="23" t="s">
        <v>130</v>
      </c>
      <c r="T43" s="23" t="s">
        <v>67</v>
      </c>
      <c r="U43" s="23" t="s">
        <v>605</v>
      </c>
      <c r="V43" s="23" t="n">
        <v>0</v>
      </c>
      <c r="W43" s="23" t="n">
        <v>4.7</v>
      </c>
      <c r="X43" s="23" t="n">
        <v>15.3</v>
      </c>
      <c r="Y43" s="23" t="n">
        <v>0</v>
      </c>
      <c r="Z43" s="23" t="n">
        <v>0</v>
      </c>
      <c r="AA43" s="23" t="n">
        <v>0</v>
      </c>
      <c r="AB43" s="23" t="n">
        <v>0</v>
      </c>
      <c r="AC43" s="23" t="n">
        <v>0</v>
      </c>
    </row>
    <row r="44" customFormat="false" ht="15" hidden="false" customHeight="false" outlineLevel="0" collapsed="false">
      <c r="A44" s="23" t="s">
        <v>606</v>
      </c>
      <c r="B44" s="23" t="s">
        <v>607</v>
      </c>
      <c r="C44" s="23" t="s">
        <v>608</v>
      </c>
      <c r="D44" s="23" t="s">
        <v>94</v>
      </c>
      <c r="E44" s="23" t="s">
        <v>352</v>
      </c>
      <c r="F44" s="23" t="s">
        <v>40</v>
      </c>
      <c r="G44" s="23" t="s">
        <v>293</v>
      </c>
      <c r="H44" s="23" t="s">
        <v>29</v>
      </c>
      <c r="I44" s="23" t="s">
        <v>99</v>
      </c>
      <c r="J44" s="23" t="s">
        <v>333</v>
      </c>
      <c r="K44" s="23" t="s">
        <v>35</v>
      </c>
      <c r="L44" s="23" t="s">
        <v>176</v>
      </c>
      <c r="M44" s="23" t="n">
        <v>14</v>
      </c>
      <c r="N44" s="23"/>
      <c r="O44" s="23" t="s">
        <v>609</v>
      </c>
      <c r="P44" s="23"/>
      <c r="Q44" s="23" t="s">
        <v>610</v>
      </c>
      <c r="R44" s="23" t="s">
        <v>126</v>
      </c>
      <c r="S44" s="23" t="s">
        <v>116</v>
      </c>
      <c r="T44" s="23" t="s">
        <v>69</v>
      </c>
      <c r="U44" s="23" t="s">
        <v>611</v>
      </c>
      <c r="V44" s="23" t="n">
        <v>0</v>
      </c>
      <c r="W44" s="23" t="n">
        <v>0</v>
      </c>
      <c r="X44" s="23" t="n">
        <v>0</v>
      </c>
      <c r="Y44" s="23" t="n">
        <v>8.2</v>
      </c>
      <c r="Z44" s="23" t="n">
        <v>5.8</v>
      </c>
      <c r="AA44" s="23" t="n">
        <v>0</v>
      </c>
      <c r="AB44" s="23" t="n">
        <v>0</v>
      </c>
      <c r="AC44" s="23" t="n">
        <v>0</v>
      </c>
    </row>
    <row r="45" customFormat="false" ht="15" hidden="false" customHeight="false" outlineLevel="0" collapsed="false">
      <c r="A45" s="23" t="s">
        <v>612</v>
      </c>
      <c r="B45" s="23" t="s">
        <v>613</v>
      </c>
      <c r="C45" s="23" t="s">
        <v>614</v>
      </c>
      <c r="D45" s="23" t="s">
        <v>88</v>
      </c>
      <c r="E45" s="23" t="s">
        <v>352</v>
      </c>
      <c r="F45" s="23" t="s">
        <v>40</v>
      </c>
      <c r="G45" s="23" t="s">
        <v>181</v>
      </c>
      <c r="H45" s="23" t="s">
        <v>29</v>
      </c>
      <c r="I45" s="23" t="s">
        <v>99</v>
      </c>
      <c r="J45" s="23" t="s">
        <v>333</v>
      </c>
      <c r="K45" s="23" t="s">
        <v>35</v>
      </c>
      <c r="L45" s="23" t="s">
        <v>176</v>
      </c>
      <c r="M45" s="23" t="n">
        <v>12</v>
      </c>
      <c r="N45" s="23"/>
      <c r="O45" s="23" t="s">
        <v>615</v>
      </c>
      <c r="P45" s="23"/>
      <c r="Q45" s="23" t="s">
        <v>616</v>
      </c>
      <c r="R45" s="23" t="s">
        <v>126</v>
      </c>
      <c r="S45" s="23" t="s">
        <v>116</v>
      </c>
      <c r="T45" s="23" t="s">
        <v>69</v>
      </c>
      <c r="U45" s="23" t="s">
        <v>617</v>
      </c>
      <c r="V45" s="23" t="n">
        <v>0</v>
      </c>
      <c r="W45" s="23" t="n">
        <v>0</v>
      </c>
      <c r="X45" s="23" t="n">
        <v>0</v>
      </c>
      <c r="Y45" s="23" t="n">
        <v>7</v>
      </c>
      <c r="Z45" s="23" t="n">
        <v>5</v>
      </c>
      <c r="AA45" s="23" t="n">
        <v>0</v>
      </c>
      <c r="AB45" s="23" t="n">
        <v>0</v>
      </c>
      <c r="AC45" s="23" t="n">
        <v>0</v>
      </c>
    </row>
    <row r="46" customFormat="false" ht="15" hidden="false" customHeight="false" outlineLevel="0" collapsed="false">
      <c r="A46" s="23" t="s">
        <v>618</v>
      </c>
      <c r="B46" s="23" t="s">
        <v>619</v>
      </c>
      <c r="C46" s="23" t="s">
        <v>620</v>
      </c>
      <c r="D46" s="23" t="s">
        <v>95</v>
      </c>
      <c r="E46" s="23" t="s">
        <v>342</v>
      </c>
      <c r="F46" s="23" t="s">
        <v>40</v>
      </c>
      <c r="G46" s="23" t="s">
        <v>303</v>
      </c>
      <c r="H46" s="23" t="s">
        <v>29</v>
      </c>
      <c r="I46" s="23" t="s">
        <v>99</v>
      </c>
      <c r="J46" s="23" t="s">
        <v>333</v>
      </c>
      <c r="K46" s="23" t="s">
        <v>35</v>
      </c>
      <c r="L46" s="23" t="s">
        <v>366</v>
      </c>
      <c r="M46" s="23" t="n">
        <v>10</v>
      </c>
      <c r="N46" s="23"/>
      <c r="O46" s="23" t="s">
        <v>621</v>
      </c>
      <c r="P46" s="23"/>
      <c r="Q46" s="23" t="s">
        <v>622</v>
      </c>
      <c r="R46" s="23" t="s">
        <v>115</v>
      </c>
      <c r="S46" s="23" t="s">
        <v>337</v>
      </c>
      <c r="T46" s="23" t="s">
        <v>68</v>
      </c>
      <c r="U46" s="23" t="s">
        <v>368</v>
      </c>
      <c r="V46" s="23" t="n">
        <v>0</v>
      </c>
      <c r="W46" s="23" t="n">
        <v>0</v>
      </c>
      <c r="X46" s="23" t="n">
        <v>0</v>
      </c>
      <c r="Y46" s="23" t="n">
        <v>8.4</v>
      </c>
      <c r="Z46" s="23" t="n">
        <v>1.6</v>
      </c>
      <c r="AA46" s="23" t="n">
        <v>0</v>
      </c>
      <c r="AB46" s="23" t="n">
        <v>0</v>
      </c>
      <c r="AC46" s="23" t="n">
        <v>0</v>
      </c>
    </row>
    <row r="47" customFormat="false" ht="15" hidden="false" customHeight="false" outlineLevel="0" collapsed="false">
      <c r="A47" s="23" t="s">
        <v>623</v>
      </c>
      <c r="B47" s="23" t="s">
        <v>624</v>
      </c>
      <c r="C47" s="23" t="s">
        <v>625</v>
      </c>
      <c r="D47" s="23" t="s">
        <v>90</v>
      </c>
      <c r="E47" s="23" t="s">
        <v>352</v>
      </c>
      <c r="F47" s="23" t="s">
        <v>40</v>
      </c>
      <c r="G47" s="23" t="s">
        <v>232</v>
      </c>
      <c r="H47" s="23" t="s">
        <v>29</v>
      </c>
      <c r="I47" s="23" t="s">
        <v>99</v>
      </c>
      <c r="J47" s="23" t="s">
        <v>333</v>
      </c>
      <c r="K47" s="23" t="s">
        <v>104</v>
      </c>
      <c r="L47" s="23" t="s">
        <v>176</v>
      </c>
      <c r="M47" s="23" t="n">
        <v>8</v>
      </c>
      <c r="N47" s="23"/>
      <c r="O47" s="23" t="s">
        <v>626</v>
      </c>
      <c r="P47" s="23"/>
      <c r="Q47" s="23" t="s">
        <v>627</v>
      </c>
      <c r="R47" s="23"/>
      <c r="S47" s="23"/>
      <c r="T47" s="23" t="s">
        <v>134</v>
      </c>
      <c r="U47" s="23" t="s">
        <v>476</v>
      </c>
      <c r="V47" s="23" t="n">
        <v>0</v>
      </c>
      <c r="W47" s="23" t="n">
        <v>0</v>
      </c>
      <c r="X47" s="23" t="n">
        <v>0</v>
      </c>
      <c r="Y47" s="23" t="n">
        <v>0</v>
      </c>
      <c r="Z47" s="23" t="n">
        <v>0</v>
      </c>
      <c r="AA47" s="23" t="n">
        <v>0</v>
      </c>
      <c r="AB47" s="23" t="n">
        <v>0</v>
      </c>
      <c r="AC47" s="23" t="n">
        <v>8</v>
      </c>
    </row>
    <row r="48" customFormat="false" ht="15" hidden="false" customHeight="false" outlineLevel="0" collapsed="false">
      <c r="A48" s="23" t="s">
        <v>628</v>
      </c>
      <c r="B48" s="23" t="s">
        <v>629</v>
      </c>
      <c r="C48" s="23" t="s">
        <v>630</v>
      </c>
      <c r="D48" s="23" t="s">
        <v>94</v>
      </c>
      <c r="E48" s="23" t="s">
        <v>352</v>
      </c>
      <c r="F48" s="23" t="s">
        <v>40</v>
      </c>
      <c r="G48" s="23" t="s">
        <v>283</v>
      </c>
      <c r="H48" s="23" t="s">
        <v>29</v>
      </c>
      <c r="I48" s="23" t="s">
        <v>99</v>
      </c>
      <c r="J48" s="23" t="s">
        <v>333</v>
      </c>
      <c r="K48" s="23" t="s">
        <v>104</v>
      </c>
      <c r="L48" s="23" t="s">
        <v>176</v>
      </c>
      <c r="M48" s="23" t="n">
        <v>4</v>
      </c>
      <c r="N48" s="23"/>
      <c r="O48" s="23" t="s">
        <v>631</v>
      </c>
      <c r="P48" s="23"/>
      <c r="Q48" s="23" t="s">
        <v>632</v>
      </c>
      <c r="R48" s="23"/>
      <c r="S48" s="23"/>
      <c r="T48" s="23" t="s">
        <v>134</v>
      </c>
      <c r="U48" s="23" t="s">
        <v>476</v>
      </c>
      <c r="V48" s="23" t="n">
        <v>0</v>
      </c>
      <c r="W48" s="23" t="n">
        <v>0</v>
      </c>
      <c r="X48" s="23" t="n">
        <v>0</v>
      </c>
      <c r="Y48" s="23" t="n">
        <v>0</v>
      </c>
      <c r="Z48" s="23" t="n">
        <v>0</v>
      </c>
      <c r="AA48" s="23" t="n">
        <v>0</v>
      </c>
      <c r="AB48" s="23" t="n">
        <v>0</v>
      </c>
      <c r="AC48" s="23" t="n">
        <v>4</v>
      </c>
    </row>
    <row r="49" customFormat="false" ht="15" hidden="false" customHeight="false" outlineLevel="0" collapsed="false">
      <c r="A49" s="23" t="s">
        <v>633</v>
      </c>
      <c r="B49" s="23" t="s">
        <v>634</v>
      </c>
      <c r="C49" s="23" t="s">
        <v>635</v>
      </c>
      <c r="D49" s="23" t="s">
        <v>90</v>
      </c>
      <c r="E49" s="23" t="s">
        <v>332</v>
      </c>
      <c r="F49" s="23" t="s">
        <v>40</v>
      </c>
      <c r="G49" s="23" t="s">
        <v>237</v>
      </c>
      <c r="H49" s="23" t="s">
        <v>29</v>
      </c>
      <c r="I49" s="23" t="s">
        <v>99</v>
      </c>
      <c r="J49" s="23" t="s">
        <v>333</v>
      </c>
      <c r="K49" s="23" t="s">
        <v>39</v>
      </c>
      <c r="L49" s="23" t="s">
        <v>383</v>
      </c>
      <c r="M49" s="23" t="n">
        <v>4</v>
      </c>
      <c r="N49" s="23"/>
      <c r="O49" s="23"/>
      <c r="P49" s="23"/>
      <c r="Q49" s="23"/>
      <c r="R49" s="23"/>
      <c r="S49" s="23"/>
      <c r="T49" s="23" t="s">
        <v>134</v>
      </c>
      <c r="U49" s="23" t="s">
        <v>384</v>
      </c>
      <c r="V49" s="23" t="n">
        <v>0</v>
      </c>
      <c r="W49" s="23" t="n">
        <v>0</v>
      </c>
      <c r="X49" s="23" t="n">
        <v>0</v>
      </c>
      <c r="Y49" s="23" t="n">
        <v>0</v>
      </c>
      <c r="Z49" s="23" t="n">
        <v>0</v>
      </c>
      <c r="AA49" s="23" t="n">
        <v>0</v>
      </c>
      <c r="AB49" s="23" t="n">
        <v>0</v>
      </c>
      <c r="AC49" s="23" t="n">
        <v>4</v>
      </c>
    </row>
    <row r="50" customFormat="false" ht="15" hidden="false" customHeight="false" outlineLevel="0" collapsed="false">
      <c r="A50" s="23" t="s">
        <v>636</v>
      </c>
      <c r="B50" s="23" t="s">
        <v>637</v>
      </c>
      <c r="C50" s="23" t="s">
        <v>638</v>
      </c>
      <c r="D50" s="23" t="s">
        <v>88</v>
      </c>
      <c r="E50" s="23" t="s">
        <v>352</v>
      </c>
      <c r="F50" s="23" t="s">
        <v>40</v>
      </c>
      <c r="G50" s="23" t="s">
        <v>187</v>
      </c>
      <c r="H50" s="23" t="s">
        <v>50</v>
      </c>
      <c r="I50" s="23" t="s">
        <v>100</v>
      </c>
      <c r="J50" s="23" t="s">
        <v>333</v>
      </c>
      <c r="K50" s="23" t="s">
        <v>34</v>
      </c>
      <c r="L50" s="23" t="s">
        <v>343</v>
      </c>
      <c r="M50" s="23" t="n">
        <v>115</v>
      </c>
      <c r="N50" s="23"/>
      <c r="O50" s="23" t="s">
        <v>639</v>
      </c>
      <c r="P50" s="23" t="s">
        <v>640</v>
      </c>
      <c r="Q50" s="23" t="s">
        <v>641</v>
      </c>
      <c r="R50" s="23" t="s">
        <v>568</v>
      </c>
      <c r="S50" s="23" t="s">
        <v>495</v>
      </c>
      <c r="T50" s="23" t="s">
        <v>67</v>
      </c>
      <c r="U50" s="23" t="s">
        <v>642</v>
      </c>
      <c r="V50" s="23" t="n">
        <v>0</v>
      </c>
      <c r="W50" s="23" t="n">
        <v>0</v>
      </c>
      <c r="X50" s="23" t="n">
        <v>51.6</v>
      </c>
      <c r="Y50" s="23" t="n">
        <v>63.4</v>
      </c>
      <c r="Z50" s="23" t="n">
        <v>0</v>
      </c>
      <c r="AA50" s="23" t="n">
        <v>0</v>
      </c>
      <c r="AB50" s="23" t="n">
        <v>0</v>
      </c>
      <c r="AC50" s="23" t="n">
        <v>0</v>
      </c>
    </row>
    <row r="51" customFormat="false" ht="15" hidden="false" customHeight="false" outlineLevel="0" collapsed="false">
      <c r="A51" s="23" t="s">
        <v>643</v>
      </c>
      <c r="B51" s="23" t="s">
        <v>644</v>
      </c>
      <c r="C51" s="23" t="s">
        <v>645</v>
      </c>
      <c r="D51" s="23" t="s">
        <v>94</v>
      </c>
      <c r="E51" s="23" t="s">
        <v>352</v>
      </c>
      <c r="F51" s="23" t="s">
        <v>40</v>
      </c>
      <c r="G51" s="23" t="s">
        <v>294</v>
      </c>
      <c r="H51" s="23" t="s">
        <v>50</v>
      </c>
      <c r="I51" s="23" t="s">
        <v>100</v>
      </c>
      <c r="J51" s="23" t="s">
        <v>333</v>
      </c>
      <c r="K51" s="23" t="s">
        <v>34</v>
      </c>
      <c r="L51" s="23" t="s">
        <v>410</v>
      </c>
      <c r="M51" s="23" t="n">
        <v>30</v>
      </c>
      <c r="N51" s="23"/>
      <c r="O51" s="23" t="s">
        <v>646</v>
      </c>
      <c r="P51" s="23" t="s">
        <v>647</v>
      </c>
      <c r="Q51" s="23" t="s">
        <v>648</v>
      </c>
      <c r="R51" s="23" t="s">
        <v>541</v>
      </c>
      <c r="S51" s="23" t="s">
        <v>130</v>
      </c>
      <c r="T51" s="23" t="s">
        <v>67</v>
      </c>
      <c r="U51" s="23" t="s">
        <v>542</v>
      </c>
      <c r="V51" s="23" t="n">
        <v>0</v>
      </c>
      <c r="W51" s="23" t="n">
        <v>7</v>
      </c>
      <c r="X51" s="23" t="n">
        <v>23</v>
      </c>
      <c r="Y51" s="23" t="n">
        <v>0</v>
      </c>
      <c r="Z51" s="23" t="n">
        <v>0</v>
      </c>
      <c r="AA51" s="23" t="n">
        <v>0</v>
      </c>
      <c r="AB51" s="23" t="n">
        <v>0</v>
      </c>
      <c r="AC51" s="23" t="n">
        <v>0</v>
      </c>
    </row>
    <row r="52" customFormat="false" ht="15" hidden="false" customHeight="false" outlineLevel="0" collapsed="false">
      <c r="A52" s="23" t="s">
        <v>649</v>
      </c>
      <c r="B52" s="23" t="s">
        <v>650</v>
      </c>
      <c r="C52" s="23" t="s">
        <v>651</v>
      </c>
      <c r="D52" s="23" t="s">
        <v>90</v>
      </c>
      <c r="E52" s="23" t="s">
        <v>332</v>
      </c>
      <c r="F52" s="23" t="s">
        <v>40</v>
      </c>
      <c r="G52" s="23" t="s">
        <v>226</v>
      </c>
      <c r="H52" s="23" t="s">
        <v>51</v>
      </c>
      <c r="I52" s="23" t="s">
        <v>101</v>
      </c>
      <c r="J52" s="23" t="s">
        <v>391</v>
      </c>
      <c r="K52" s="23" t="s">
        <v>35</v>
      </c>
      <c r="L52" s="23" t="s">
        <v>377</v>
      </c>
      <c r="M52" s="23" t="n">
        <v>285</v>
      </c>
      <c r="N52" s="23"/>
      <c r="O52" s="23" t="s">
        <v>652</v>
      </c>
      <c r="P52" s="23"/>
      <c r="Q52" s="23" t="s">
        <v>653</v>
      </c>
      <c r="R52" s="23" t="s">
        <v>130</v>
      </c>
      <c r="S52" s="23" t="s">
        <v>654</v>
      </c>
      <c r="T52" s="23" t="s">
        <v>68</v>
      </c>
      <c r="U52" s="23" t="s">
        <v>379</v>
      </c>
      <c r="V52" s="23" t="n">
        <v>0</v>
      </c>
      <c r="W52" s="23" t="n">
        <v>0</v>
      </c>
      <c r="X52" s="23" t="n">
        <v>0</v>
      </c>
      <c r="Y52" s="23" t="n">
        <v>10.1</v>
      </c>
      <c r="Z52" s="23" t="n">
        <v>61</v>
      </c>
      <c r="AA52" s="23" t="n">
        <v>61</v>
      </c>
      <c r="AB52" s="23" t="n">
        <v>152.9</v>
      </c>
      <c r="AC52" s="23" t="n">
        <v>0</v>
      </c>
    </row>
    <row r="53" customFormat="false" ht="15" hidden="false" customHeight="false" outlineLevel="0" collapsed="false">
      <c r="A53" s="23" t="s">
        <v>655</v>
      </c>
      <c r="B53" s="23" t="s">
        <v>656</v>
      </c>
      <c r="C53" s="23" t="s">
        <v>657</v>
      </c>
      <c r="D53" s="23" t="s">
        <v>92</v>
      </c>
      <c r="E53" s="23" t="s">
        <v>440</v>
      </c>
      <c r="F53" s="23" t="s">
        <v>40</v>
      </c>
      <c r="G53" s="23" t="s">
        <v>264</v>
      </c>
      <c r="H53" s="23" t="s">
        <v>49</v>
      </c>
      <c r="I53" s="23" t="s">
        <v>100</v>
      </c>
      <c r="J53" s="23" t="s">
        <v>359</v>
      </c>
      <c r="K53" s="23" t="s">
        <v>34</v>
      </c>
      <c r="L53" s="23" t="s">
        <v>343</v>
      </c>
      <c r="M53" s="23" t="n">
        <v>250</v>
      </c>
      <c r="N53" s="23"/>
      <c r="O53" s="23" t="s">
        <v>658</v>
      </c>
      <c r="P53" s="23" t="s">
        <v>659</v>
      </c>
      <c r="Q53" s="23"/>
      <c r="R53" s="23" t="s">
        <v>660</v>
      </c>
      <c r="S53" s="23" t="s">
        <v>449</v>
      </c>
      <c r="T53" s="23" t="s">
        <v>67</v>
      </c>
      <c r="U53" s="23" t="s">
        <v>661</v>
      </c>
      <c r="V53" s="23" t="n">
        <v>0</v>
      </c>
      <c r="W53" s="23" t="n">
        <v>0</v>
      </c>
      <c r="X53" s="23" t="n">
        <v>26.9</v>
      </c>
      <c r="Y53" s="23" t="n">
        <v>62.9</v>
      </c>
      <c r="Z53" s="23" t="n">
        <v>62.9</v>
      </c>
      <c r="AA53" s="23" t="n">
        <v>62.9</v>
      </c>
      <c r="AB53" s="23" t="n">
        <v>34.4</v>
      </c>
      <c r="AC53" s="23" t="n">
        <v>0</v>
      </c>
    </row>
    <row r="54" customFormat="false" ht="15" hidden="false" customHeight="false" outlineLevel="0" collapsed="false">
      <c r="A54" s="23" t="s">
        <v>662</v>
      </c>
      <c r="B54" s="23" t="s">
        <v>663</v>
      </c>
      <c r="C54" s="23" t="s">
        <v>664</v>
      </c>
      <c r="D54" s="23" t="s">
        <v>95</v>
      </c>
      <c r="E54" s="23" t="s">
        <v>332</v>
      </c>
      <c r="F54" s="23" t="s">
        <v>40</v>
      </c>
      <c r="G54" s="23" t="s">
        <v>317</v>
      </c>
      <c r="H54" s="23" t="s">
        <v>49</v>
      </c>
      <c r="I54" s="23" t="s">
        <v>100</v>
      </c>
      <c r="J54" s="23" t="s">
        <v>359</v>
      </c>
      <c r="K54" s="23" t="s">
        <v>39</v>
      </c>
      <c r="L54" s="23" t="s">
        <v>383</v>
      </c>
      <c r="M54" s="23" t="n">
        <v>57</v>
      </c>
      <c r="N54" s="23"/>
      <c r="O54" s="23"/>
      <c r="P54" s="23"/>
      <c r="Q54" s="23"/>
      <c r="R54" s="23"/>
      <c r="S54" s="23"/>
      <c r="T54" s="23" t="s">
        <v>134</v>
      </c>
      <c r="U54" s="23" t="s">
        <v>384</v>
      </c>
      <c r="V54" s="23" t="n">
        <v>0</v>
      </c>
      <c r="W54" s="23" t="n">
        <v>0</v>
      </c>
      <c r="X54" s="23" t="n">
        <v>0</v>
      </c>
      <c r="Y54" s="23" t="n">
        <v>0</v>
      </c>
      <c r="Z54" s="23" t="n">
        <v>0</v>
      </c>
      <c r="AA54" s="23" t="n">
        <v>0</v>
      </c>
      <c r="AB54" s="23" t="n">
        <v>0</v>
      </c>
      <c r="AC54" s="23" t="n">
        <v>57</v>
      </c>
    </row>
    <row r="55" customFormat="false" ht="15" hidden="false" customHeight="false" outlineLevel="0" collapsed="false">
      <c r="A55" s="23" t="s">
        <v>665</v>
      </c>
      <c r="B55" s="23" t="s">
        <v>666</v>
      </c>
      <c r="C55" s="23" t="s">
        <v>667</v>
      </c>
      <c r="D55" s="23" t="s">
        <v>90</v>
      </c>
      <c r="E55" s="23" t="s">
        <v>352</v>
      </c>
      <c r="F55" s="23" t="s">
        <v>40</v>
      </c>
      <c r="G55" s="23" t="s">
        <v>236</v>
      </c>
      <c r="H55" s="23" t="s">
        <v>49</v>
      </c>
      <c r="I55" s="23" t="s">
        <v>100</v>
      </c>
      <c r="J55" s="23" t="s">
        <v>359</v>
      </c>
      <c r="K55" s="23" t="s">
        <v>34</v>
      </c>
      <c r="L55" s="23" t="s">
        <v>343</v>
      </c>
      <c r="M55" s="23" t="n">
        <v>36</v>
      </c>
      <c r="N55" s="23"/>
      <c r="O55" s="23" t="s">
        <v>668</v>
      </c>
      <c r="P55" s="23" t="s">
        <v>669</v>
      </c>
      <c r="Q55" s="23"/>
      <c r="R55" s="23" t="s">
        <v>541</v>
      </c>
      <c r="S55" s="23" t="s">
        <v>130</v>
      </c>
      <c r="T55" s="23" t="s">
        <v>67</v>
      </c>
      <c r="U55" s="23" t="s">
        <v>670</v>
      </c>
      <c r="V55" s="23" t="n">
        <v>0</v>
      </c>
      <c r="W55" s="23" t="n">
        <v>8.4</v>
      </c>
      <c r="X55" s="23" t="n">
        <v>27.6</v>
      </c>
      <c r="Y55" s="23" t="n">
        <v>0</v>
      </c>
      <c r="Z55" s="23" t="n">
        <v>0</v>
      </c>
      <c r="AA55" s="23" t="n">
        <v>0</v>
      </c>
      <c r="AB55" s="23" t="n">
        <v>0</v>
      </c>
      <c r="AC55" s="23" t="n">
        <v>0</v>
      </c>
    </row>
    <row r="56" customFormat="false" ht="15" hidden="false" customHeight="false" outlineLevel="0" collapsed="false">
      <c r="A56" s="23" t="s">
        <v>671</v>
      </c>
      <c r="B56" s="23" t="s">
        <v>672</v>
      </c>
      <c r="C56" s="23" t="s">
        <v>673</v>
      </c>
      <c r="D56" s="23" t="s">
        <v>93</v>
      </c>
      <c r="E56" s="23" t="s">
        <v>332</v>
      </c>
      <c r="F56" s="23" t="s">
        <v>40</v>
      </c>
      <c r="G56" s="23" t="s">
        <v>275</v>
      </c>
      <c r="H56" s="23" t="s">
        <v>49</v>
      </c>
      <c r="I56" s="23" t="s">
        <v>100</v>
      </c>
      <c r="J56" s="23" t="s">
        <v>359</v>
      </c>
      <c r="K56" s="23" t="s">
        <v>39</v>
      </c>
      <c r="L56" s="23" t="s">
        <v>383</v>
      </c>
      <c r="M56" s="23" t="n">
        <v>30</v>
      </c>
      <c r="N56" s="23"/>
      <c r="O56" s="23"/>
      <c r="P56" s="23"/>
      <c r="Q56" s="23"/>
      <c r="R56" s="23"/>
      <c r="S56" s="23"/>
      <c r="T56" s="23" t="s">
        <v>134</v>
      </c>
      <c r="U56" s="23" t="s">
        <v>384</v>
      </c>
      <c r="V56" s="23" t="n">
        <v>0</v>
      </c>
      <c r="W56" s="23" t="n">
        <v>0</v>
      </c>
      <c r="X56" s="23" t="n">
        <v>0</v>
      </c>
      <c r="Y56" s="23" t="n">
        <v>0</v>
      </c>
      <c r="Z56" s="23" t="n">
        <v>0</v>
      </c>
      <c r="AA56" s="23" t="n">
        <v>0</v>
      </c>
      <c r="AB56" s="23" t="n">
        <v>0</v>
      </c>
      <c r="AC56" s="23" t="n">
        <v>30</v>
      </c>
    </row>
    <row r="57" customFormat="false" ht="15" hidden="false" customHeight="false" outlineLevel="0" collapsed="false">
      <c r="A57" s="23" t="s">
        <v>674</v>
      </c>
      <c r="B57" s="23" t="s">
        <v>675</v>
      </c>
      <c r="C57" s="23" t="s">
        <v>676</v>
      </c>
      <c r="D57" s="23" t="s">
        <v>93</v>
      </c>
      <c r="E57" s="23" t="s">
        <v>352</v>
      </c>
      <c r="F57" s="23" t="s">
        <v>40</v>
      </c>
      <c r="G57" s="23" t="s">
        <v>272</v>
      </c>
      <c r="H57" s="23" t="s">
        <v>49</v>
      </c>
      <c r="I57" s="23" t="s">
        <v>100</v>
      </c>
      <c r="J57" s="23" t="s">
        <v>359</v>
      </c>
      <c r="K57" s="23" t="s">
        <v>35</v>
      </c>
      <c r="L57" s="23" t="s">
        <v>176</v>
      </c>
      <c r="M57" s="23" t="n">
        <v>27</v>
      </c>
      <c r="N57" s="23"/>
      <c r="O57" s="23" t="s">
        <v>677</v>
      </c>
      <c r="P57" s="23"/>
      <c r="Q57" s="23"/>
      <c r="R57" s="23" t="s">
        <v>126</v>
      </c>
      <c r="S57" s="23" t="s">
        <v>337</v>
      </c>
      <c r="T57" s="23" t="s">
        <v>69</v>
      </c>
      <c r="U57" s="23" t="s">
        <v>678</v>
      </c>
      <c r="V57" s="23" t="n">
        <v>0</v>
      </c>
      <c r="W57" s="23" t="n">
        <v>0</v>
      </c>
      <c r="X57" s="23" t="n">
        <v>0</v>
      </c>
      <c r="Y57" s="23" t="n">
        <v>20.5</v>
      </c>
      <c r="Z57" s="23" t="n">
        <v>6.5</v>
      </c>
      <c r="AA57" s="23" t="n">
        <v>0</v>
      </c>
      <c r="AB57" s="23" t="n">
        <v>0</v>
      </c>
      <c r="AC57" s="23" t="n">
        <v>0</v>
      </c>
    </row>
    <row r="58" customFormat="false" ht="15" hidden="false" customHeight="false" outlineLevel="0" collapsed="false">
      <c r="A58" s="23" t="s">
        <v>679</v>
      </c>
      <c r="B58" s="23" t="s">
        <v>680</v>
      </c>
      <c r="C58" s="23" t="s">
        <v>681</v>
      </c>
      <c r="D58" s="23" t="s">
        <v>90</v>
      </c>
      <c r="E58" s="23" t="s">
        <v>352</v>
      </c>
      <c r="F58" s="23" t="s">
        <v>40</v>
      </c>
      <c r="G58" s="23" t="s">
        <v>237</v>
      </c>
      <c r="H58" s="23" t="s">
        <v>49</v>
      </c>
      <c r="I58" s="23" t="s">
        <v>100</v>
      </c>
      <c r="J58" s="23" t="s">
        <v>359</v>
      </c>
      <c r="K58" s="23" t="s">
        <v>23</v>
      </c>
      <c r="L58" s="23" t="s">
        <v>23</v>
      </c>
      <c r="M58" s="23" t="n">
        <v>11</v>
      </c>
      <c r="N58" s="23"/>
      <c r="O58" s="23" t="s">
        <v>682</v>
      </c>
      <c r="P58" s="23" t="s">
        <v>683</v>
      </c>
      <c r="Q58" s="23"/>
      <c r="R58" s="23"/>
      <c r="S58" s="23"/>
      <c r="T58" s="23" t="s">
        <v>522</v>
      </c>
      <c r="U58" s="23" t="s">
        <v>523</v>
      </c>
      <c r="V58" s="23" t="n">
        <v>11</v>
      </c>
      <c r="W58" s="23" t="n">
        <v>0</v>
      </c>
      <c r="X58" s="23" t="n">
        <v>0</v>
      </c>
      <c r="Y58" s="23" t="n">
        <v>0</v>
      </c>
      <c r="Z58" s="23" t="n">
        <v>0</v>
      </c>
      <c r="AA58" s="23" t="n">
        <v>0</v>
      </c>
      <c r="AB58" s="23" t="n">
        <v>0</v>
      </c>
      <c r="AC58" s="23" t="n">
        <v>0</v>
      </c>
    </row>
    <row r="59" customFormat="false" ht="15" hidden="false" customHeight="false" outlineLevel="0" collapsed="false">
      <c r="A59" s="23" t="s">
        <v>684</v>
      </c>
      <c r="B59" s="23" t="s">
        <v>685</v>
      </c>
      <c r="C59" s="23" t="s">
        <v>686</v>
      </c>
      <c r="D59" s="23" t="s">
        <v>88</v>
      </c>
      <c r="E59" s="23" t="s">
        <v>332</v>
      </c>
      <c r="F59" s="23" t="s">
        <v>40</v>
      </c>
      <c r="G59" s="23" t="s">
        <v>199</v>
      </c>
      <c r="H59" s="23" t="s">
        <v>49</v>
      </c>
      <c r="I59" s="23" t="s">
        <v>100</v>
      </c>
      <c r="J59" s="23" t="s">
        <v>359</v>
      </c>
      <c r="K59" s="23" t="s">
        <v>39</v>
      </c>
      <c r="L59" s="23" t="s">
        <v>383</v>
      </c>
      <c r="M59" s="23" t="n">
        <v>6</v>
      </c>
      <c r="N59" s="23"/>
      <c r="O59" s="23"/>
      <c r="P59" s="23"/>
      <c r="Q59" s="23"/>
      <c r="R59" s="23"/>
      <c r="S59" s="23"/>
      <c r="T59" s="23" t="s">
        <v>134</v>
      </c>
      <c r="U59" s="23" t="s">
        <v>384</v>
      </c>
      <c r="V59" s="23" t="n">
        <v>0</v>
      </c>
      <c r="W59" s="23" t="n">
        <v>0</v>
      </c>
      <c r="X59" s="23" t="n">
        <v>0</v>
      </c>
      <c r="Y59" s="23" t="n">
        <v>0</v>
      </c>
      <c r="Z59" s="23" t="n">
        <v>0</v>
      </c>
      <c r="AA59" s="23" t="n">
        <v>0</v>
      </c>
      <c r="AB59" s="23" t="n">
        <v>0</v>
      </c>
      <c r="AC59" s="23" t="n">
        <v>6</v>
      </c>
    </row>
    <row r="60" customFormat="false" ht="15" hidden="false" customHeight="false" outlineLevel="0" collapsed="false">
      <c r="A60" s="23" t="s">
        <v>687</v>
      </c>
      <c r="B60" s="23" t="s">
        <v>688</v>
      </c>
      <c r="C60" s="23" t="s">
        <v>689</v>
      </c>
      <c r="D60" s="23" t="s">
        <v>89</v>
      </c>
      <c r="E60" s="23" t="s">
        <v>332</v>
      </c>
      <c r="F60" s="23" t="s">
        <v>42</v>
      </c>
      <c r="G60" s="23"/>
      <c r="H60" s="23" t="s">
        <v>29</v>
      </c>
      <c r="I60" s="23" t="s">
        <v>99</v>
      </c>
      <c r="J60" s="23" t="s">
        <v>409</v>
      </c>
      <c r="K60" s="23" t="s">
        <v>23</v>
      </c>
      <c r="L60" s="23" t="s">
        <v>23</v>
      </c>
      <c r="M60" s="23" t="n">
        <v>200</v>
      </c>
      <c r="N60" s="23"/>
      <c r="O60" s="23" t="s">
        <v>690</v>
      </c>
      <c r="P60" s="23" t="s">
        <v>691</v>
      </c>
      <c r="Q60" s="23" t="s">
        <v>692</v>
      </c>
      <c r="R60" s="23"/>
      <c r="S60" s="23"/>
      <c r="T60" s="23" t="s">
        <v>522</v>
      </c>
      <c r="U60" s="23" t="s">
        <v>523</v>
      </c>
      <c r="V60" s="23" t="n">
        <v>200</v>
      </c>
      <c r="W60" s="23" t="n">
        <v>0</v>
      </c>
      <c r="X60" s="23" t="n">
        <v>0</v>
      </c>
      <c r="Y60" s="23" t="n">
        <v>0</v>
      </c>
      <c r="Z60" s="23" t="n">
        <v>0</v>
      </c>
      <c r="AA60" s="23" t="n">
        <v>0</v>
      </c>
      <c r="AB60" s="23" t="n">
        <v>0</v>
      </c>
      <c r="AC60" s="23" t="n">
        <v>0</v>
      </c>
    </row>
    <row r="61" customFormat="false" ht="15" hidden="false" customHeight="false" outlineLevel="0" collapsed="false">
      <c r="A61" s="23" t="s">
        <v>693</v>
      </c>
      <c r="B61" s="23" t="s">
        <v>694</v>
      </c>
      <c r="C61" s="23" t="s">
        <v>695</v>
      </c>
      <c r="D61" s="23" t="s">
        <v>95</v>
      </c>
      <c r="E61" s="23" t="s">
        <v>352</v>
      </c>
      <c r="F61" s="23" t="s">
        <v>42</v>
      </c>
      <c r="G61" s="23"/>
      <c r="H61" s="23" t="s">
        <v>29</v>
      </c>
      <c r="I61" s="23" t="s">
        <v>99</v>
      </c>
      <c r="J61" s="23" t="s">
        <v>333</v>
      </c>
      <c r="K61" s="23" t="s">
        <v>23</v>
      </c>
      <c r="L61" s="23" t="s">
        <v>23</v>
      </c>
      <c r="M61" s="23" t="n">
        <v>133</v>
      </c>
      <c r="N61" s="23"/>
      <c r="O61" s="23" t="s">
        <v>696</v>
      </c>
      <c r="P61" s="23" t="s">
        <v>697</v>
      </c>
      <c r="Q61" s="23" t="s">
        <v>698</v>
      </c>
      <c r="R61" s="23"/>
      <c r="S61" s="23"/>
      <c r="T61" s="23" t="s">
        <v>522</v>
      </c>
      <c r="U61" s="23" t="s">
        <v>523</v>
      </c>
      <c r="V61" s="23" t="n">
        <v>133</v>
      </c>
      <c r="W61" s="23" t="n">
        <v>0</v>
      </c>
      <c r="X61" s="23" t="n">
        <v>0</v>
      </c>
      <c r="Y61" s="23" t="n">
        <v>0</v>
      </c>
      <c r="Z61" s="23" t="n">
        <v>0</v>
      </c>
      <c r="AA61" s="23" t="n">
        <v>0</v>
      </c>
      <c r="AB61" s="23" t="n">
        <v>0</v>
      </c>
      <c r="AC61" s="23" t="n">
        <v>0</v>
      </c>
    </row>
    <row r="62" customFormat="false" ht="15" hidden="false" customHeight="false" outlineLevel="0" collapsed="false">
      <c r="A62" s="23" t="s">
        <v>699</v>
      </c>
      <c r="B62" s="23" t="s">
        <v>700</v>
      </c>
      <c r="C62" s="23" t="s">
        <v>701</v>
      </c>
      <c r="D62" s="23" t="s">
        <v>89</v>
      </c>
      <c r="E62" s="23" t="s">
        <v>332</v>
      </c>
      <c r="F62" s="23" t="s">
        <v>42</v>
      </c>
      <c r="G62" s="23"/>
      <c r="H62" s="23" t="s">
        <v>29</v>
      </c>
      <c r="I62" s="23" t="s">
        <v>99</v>
      </c>
      <c r="J62" s="23" t="s">
        <v>391</v>
      </c>
      <c r="K62" s="23" t="s">
        <v>34</v>
      </c>
      <c r="L62" s="23" t="s">
        <v>343</v>
      </c>
      <c r="M62" s="23" t="n">
        <v>122</v>
      </c>
      <c r="N62" s="23"/>
      <c r="O62" s="23" t="s">
        <v>702</v>
      </c>
      <c r="P62" s="23" t="s">
        <v>703</v>
      </c>
      <c r="Q62" s="23" t="s">
        <v>704</v>
      </c>
      <c r="R62" s="23" t="s">
        <v>123</v>
      </c>
      <c r="S62" s="23" t="s">
        <v>130</v>
      </c>
      <c r="T62" s="23" t="s">
        <v>67</v>
      </c>
      <c r="U62" s="23" t="s">
        <v>605</v>
      </c>
      <c r="V62" s="23" t="n">
        <v>0</v>
      </c>
      <c r="W62" s="23" t="n">
        <v>28.4</v>
      </c>
      <c r="X62" s="23" t="n">
        <v>93.6</v>
      </c>
      <c r="Y62" s="23" t="n">
        <v>0</v>
      </c>
      <c r="Z62" s="23" t="n">
        <v>0</v>
      </c>
      <c r="AA62" s="23" t="n">
        <v>0</v>
      </c>
      <c r="AB62" s="23" t="n">
        <v>0</v>
      </c>
      <c r="AC62" s="23" t="n">
        <v>0</v>
      </c>
    </row>
    <row r="63" customFormat="false" ht="15" hidden="false" customHeight="false" outlineLevel="0" collapsed="false">
      <c r="A63" s="23" t="s">
        <v>705</v>
      </c>
      <c r="B63" s="23" t="s">
        <v>706</v>
      </c>
      <c r="C63" s="23" t="s">
        <v>707</v>
      </c>
      <c r="D63" s="23" t="s">
        <v>89</v>
      </c>
      <c r="E63" s="23" t="s">
        <v>332</v>
      </c>
      <c r="F63" s="23" t="s">
        <v>42</v>
      </c>
      <c r="G63" s="23"/>
      <c r="H63" s="23" t="s">
        <v>29</v>
      </c>
      <c r="I63" s="23" t="s">
        <v>99</v>
      </c>
      <c r="J63" s="23" t="s">
        <v>333</v>
      </c>
      <c r="K63" s="23" t="s">
        <v>23</v>
      </c>
      <c r="L63" s="23" t="s">
        <v>23</v>
      </c>
      <c r="M63" s="23" t="n">
        <v>105</v>
      </c>
      <c r="N63" s="23"/>
      <c r="O63" s="23" t="s">
        <v>708</v>
      </c>
      <c r="P63" s="23" t="s">
        <v>709</v>
      </c>
      <c r="Q63" s="23" t="s">
        <v>710</v>
      </c>
      <c r="R63" s="23"/>
      <c r="S63" s="23"/>
      <c r="T63" s="23" t="s">
        <v>522</v>
      </c>
      <c r="U63" s="23" t="s">
        <v>523</v>
      </c>
      <c r="V63" s="23" t="n">
        <v>105</v>
      </c>
      <c r="W63" s="23" t="n">
        <v>0</v>
      </c>
      <c r="X63" s="23" t="n">
        <v>0</v>
      </c>
      <c r="Y63" s="23" t="n">
        <v>0</v>
      </c>
      <c r="Z63" s="23" t="n">
        <v>0</v>
      </c>
      <c r="AA63" s="23" t="n">
        <v>0</v>
      </c>
      <c r="AB63" s="23" t="n">
        <v>0</v>
      </c>
      <c r="AC63" s="23" t="n">
        <v>0</v>
      </c>
    </row>
    <row r="64" customFormat="false" ht="15" hidden="false" customHeight="false" outlineLevel="0" collapsed="false">
      <c r="A64" s="23" t="s">
        <v>711</v>
      </c>
      <c r="B64" s="23" t="s">
        <v>712</v>
      </c>
      <c r="C64" s="23" t="s">
        <v>713</v>
      </c>
      <c r="D64" s="23" t="s">
        <v>92</v>
      </c>
      <c r="E64" s="23" t="s">
        <v>332</v>
      </c>
      <c r="F64" s="23" t="s">
        <v>42</v>
      </c>
      <c r="G64" s="23"/>
      <c r="H64" s="23" t="s">
        <v>29</v>
      </c>
      <c r="I64" s="23" t="s">
        <v>99</v>
      </c>
      <c r="J64" s="23" t="s">
        <v>333</v>
      </c>
      <c r="K64" s="23" t="s">
        <v>35</v>
      </c>
      <c r="L64" s="23" t="s">
        <v>377</v>
      </c>
      <c r="M64" s="23" t="n">
        <v>104</v>
      </c>
      <c r="N64" s="23"/>
      <c r="O64" s="23" t="s">
        <v>714</v>
      </c>
      <c r="P64" s="23"/>
      <c r="Q64" s="23" t="s">
        <v>715</v>
      </c>
      <c r="R64" s="23" t="s">
        <v>115</v>
      </c>
      <c r="S64" s="23" t="s">
        <v>116</v>
      </c>
      <c r="T64" s="23" t="s">
        <v>68</v>
      </c>
      <c r="U64" s="23" t="s">
        <v>379</v>
      </c>
      <c r="V64" s="23" t="n">
        <v>0</v>
      </c>
      <c r="W64" s="23" t="n">
        <v>0</v>
      </c>
      <c r="X64" s="23" t="n">
        <v>0</v>
      </c>
      <c r="Y64" s="23" t="n">
        <v>70</v>
      </c>
      <c r="Z64" s="23" t="n">
        <v>34</v>
      </c>
      <c r="AA64" s="23" t="n">
        <v>0</v>
      </c>
      <c r="AB64" s="23" t="n">
        <v>0</v>
      </c>
      <c r="AC64" s="23" t="n">
        <v>0</v>
      </c>
    </row>
    <row r="65" customFormat="false" ht="15" hidden="false" customHeight="false" outlineLevel="0" collapsed="false">
      <c r="A65" s="23" t="s">
        <v>716</v>
      </c>
      <c r="B65" s="23" t="s">
        <v>717</v>
      </c>
      <c r="C65" s="23" t="s">
        <v>718</v>
      </c>
      <c r="D65" s="23" t="s">
        <v>92</v>
      </c>
      <c r="E65" s="23" t="s">
        <v>440</v>
      </c>
      <c r="F65" s="23" t="s">
        <v>42</v>
      </c>
      <c r="G65" s="23"/>
      <c r="H65" s="23" t="s">
        <v>29</v>
      </c>
      <c r="I65" s="23" t="s">
        <v>99</v>
      </c>
      <c r="J65" s="23" t="s">
        <v>333</v>
      </c>
      <c r="K65" s="23" t="s">
        <v>34</v>
      </c>
      <c r="L65" s="23" t="s">
        <v>343</v>
      </c>
      <c r="M65" s="23" t="n">
        <v>101</v>
      </c>
      <c r="N65" s="23"/>
      <c r="O65" s="23" t="s">
        <v>719</v>
      </c>
      <c r="P65" s="23" t="s">
        <v>720</v>
      </c>
      <c r="Q65" s="23" t="s">
        <v>721</v>
      </c>
      <c r="R65" s="23" t="s">
        <v>722</v>
      </c>
      <c r="S65" s="23" t="s">
        <v>130</v>
      </c>
      <c r="T65" s="23" t="s">
        <v>67</v>
      </c>
      <c r="U65" s="23" t="s">
        <v>723</v>
      </c>
      <c r="V65" s="23" t="n">
        <v>0</v>
      </c>
      <c r="W65" s="23" t="n">
        <v>23.5</v>
      </c>
      <c r="X65" s="23" t="n">
        <v>77.5</v>
      </c>
      <c r="Y65" s="23" t="n">
        <v>0</v>
      </c>
      <c r="Z65" s="23" t="n">
        <v>0</v>
      </c>
      <c r="AA65" s="23" t="n">
        <v>0</v>
      </c>
      <c r="AB65" s="23" t="n">
        <v>0</v>
      </c>
      <c r="AC65" s="23" t="n">
        <v>0</v>
      </c>
    </row>
    <row r="66" customFormat="false" ht="15" hidden="false" customHeight="false" outlineLevel="0" collapsed="false">
      <c r="A66" s="23" t="s">
        <v>724</v>
      </c>
      <c r="B66" s="23" t="s">
        <v>725</v>
      </c>
      <c r="C66" s="23" t="s">
        <v>726</v>
      </c>
      <c r="D66" s="23" t="s">
        <v>89</v>
      </c>
      <c r="E66" s="23" t="s">
        <v>332</v>
      </c>
      <c r="F66" s="23" t="s">
        <v>42</v>
      </c>
      <c r="G66" s="23"/>
      <c r="H66" s="23" t="s">
        <v>29</v>
      </c>
      <c r="I66" s="23" t="s">
        <v>99</v>
      </c>
      <c r="J66" s="23" t="s">
        <v>333</v>
      </c>
      <c r="K66" s="23" t="s">
        <v>34</v>
      </c>
      <c r="L66" s="23" t="s">
        <v>727</v>
      </c>
      <c r="M66" s="23" t="n">
        <v>99</v>
      </c>
      <c r="N66" s="23"/>
      <c r="O66" s="23" t="s">
        <v>728</v>
      </c>
      <c r="P66" s="23" t="s">
        <v>729</v>
      </c>
      <c r="Q66" s="23" t="s">
        <v>730</v>
      </c>
      <c r="R66" s="23" t="s">
        <v>423</v>
      </c>
      <c r="S66" s="23" t="s">
        <v>130</v>
      </c>
      <c r="T66" s="23" t="s">
        <v>67</v>
      </c>
      <c r="U66" s="23" t="s">
        <v>425</v>
      </c>
      <c r="V66" s="23" t="n">
        <v>0</v>
      </c>
      <c r="W66" s="23" t="n">
        <v>23.1</v>
      </c>
      <c r="X66" s="23" t="n">
        <v>75.9</v>
      </c>
      <c r="Y66" s="23" t="n">
        <v>0</v>
      </c>
      <c r="Z66" s="23" t="n">
        <v>0</v>
      </c>
      <c r="AA66" s="23" t="n">
        <v>0</v>
      </c>
      <c r="AB66" s="23" t="n">
        <v>0</v>
      </c>
      <c r="AC66" s="23" t="n">
        <v>0</v>
      </c>
    </row>
    <row r="67" customFormat="false" ht="15" hidden="false" customHeight="false" outlineLevel="0" collapsed="false">
      <c r="A67" s="23" t="s">
        <v>731</v>
      </c>
      <c r="B67" s="23" t="s">
        <v>732</v>
      </c>
      <c r="C67" s="23" t="s">
        <v>733</v>
      </c>
      <c r="D67" s="23" t="s">
        <v>92</v>
      </c>
      <c r="E67" s="23" t="s">
        <v>440</v>
      </c>
      <c r="F67" s="23" t="s">
        <v>42</v>
      </c>
      <c r="G67" s="23"/>
      <c r="H67" s="23" t="s">
        <v>29</v>
      </c>
      <c r="I67" s="23" t="s">
        <v>99</v>
      </c>
      <c r="J67" s="23" t="s">
        <v>333</v>
      </c>
      <c r="K67" s="23" t="s">
        <v>34</v>
      </c>
      <c r="L67" s="23" t="s">
        <v>727</v>
      </c>
      <c r="M67" s="23" t="n">
        <v>99</v>
      </c>
      <c r="N67" s="23"/>
      <c r="O67" s="23" t="s">
        <v>719</v>
      </c>
      <c r="P67" s="23" t="s">
        <v>734</v>
      </c>
      <c r="Q67" s="23" t="s">
        <v>721</v>
      </c>
      <c r="R67" s="23" t="s">
        <v>414</v>
      </c>
      <c r="S67" s="23" t="s">
        <v>130</v>
      </c>
      <c r="T67" s="23" t="s">
        <v>67</v>
      </c>
      <c r="U67" s="23" t="s">
        <v>416</v>
      </c>
      <c r="V67" s="23" t="n">
        <v>0</v>
      </c>
      <c r="W67" s="23" t="n">
        <v>23.1</v>
      </c>
      <c r="X67" s="23" t="n">
        <v>75.9</v>
      </c>
      <c r="Y67" s="23" t="n">
        <v>0</v>
      </c>
      <c r="Z67" s="23" t="n">
        <v>0</v>
      </c>
      <c r="AA67" s="23" t="n">
        <v>0</v>
      </c>
      <c r="AB67" s="23" t="n">
        <v>0</v>
      </c>
      <c r="AC67" s="23" t="n">
        <v>0</v>
      </c>
    </row>
    <row r="68" customFormat="false" ht="15" hidden="false" customHeight="false" outlineLevel="0" collapsed="false">
      <c r="A68" s="23" t="s">
        <v>735</v>
      </c>
      <c r="B68" s="23" t="s">
        <v>736</v>
      </c>
      <c r="C68" s="23" t="s">
        <v>737</v>
      </c>
      <c r="D68" s="23" t="s">
        <v>89</v>
      </c>
      <c r="E68" s="23" t="s">
        <v>332</v>
      </c>
      <c r="F68" s="23" t="s">
        <v>42</v>
      </c>
      <c r="G68" s="23"/>
      <c r="H68" s="23" t="s">
        <v>29</v>
      </c>
      <c r="I68" s="23" t="s">
        <v>99</v>
      </c>
      <c r="J68" s="23" t="s">
        <v>333</v>
      </c>
      <c r="K68" s="23" t="s">
        <v>34</v>
      </c>
      <c r="L68" s="23" t="s">
        <v>410</v>
      </c>
      <c r="M68" s="23" t="n">
        <v>98</v>
      </c>
      <c r="N68" s="23"/>
      <c r="O68" s="23" t="s">
        <v>738</v>
      </c>
      <c r="P68" s="23" t="s">
        <v>739</v>
      </c>
      <c r="Q68" s="23" t="s">
        <v>740</v>
      </c>
      <c r="R68" s="23" t="s">
        <v>541</v>
      </c>
      <c r="S68" s="23" t="s">
        <v>130</v>
      </c>
      <c r="T68" s="23" t="s">
        <v>67</v>
      </c>
      <c r="U68" s="23" t="s">
        <v>542</v>
      </c>
      <c r="V68" s="23" t="n">
        <v>0</v>
      </c>
      <c r="W68" s="23" t="n">
        <v>22.8</v>
      </c>
      <c r="X68" s="23" t="n">
        <v>75.2</v>
      </c>
      <c r="Y68" s="23" t="n">
        <v>0</v>
      </c>
      <c r="Z68" s="23" t="n">
        <v>0</v>
      </c>
      <c r="AA68" s="23" t="n">
        <v>0</v>
      </c>
      <c r="AB68" s="23" t="n">
        <v>0</v>
      </c>
      <c r="AC68" s="23" t="n">
        <v>0</v>
      </c>
    </row>
    <row r="69" customFormat="false" ht="15" hidden="false" customHeight="false" outlineLevel="0" collapsed="false">
      <c r="A69" s="23" t="s">
        <v>741</v>
      </c>
      <c r="B69" s="23" t="s">
        <v>742</v>
      </c>
      <c r="C69" s="23" t="s">
        <v>743</v>
      </c>
      <c r="D69" s="23" t="s">
        <v>92</v>
      </c>
      <c r="E69" s="23" t="s">
        <v>440</v>
      </c>
      <c r="F69" s="23" t="s">
        <v>42</v>
      </c>
      <c r="G69" s="23"/>
      <c r="H69" s="23" t="s">
        <v>29</v>
      </c>
      <c r="I69" s="23" t="s">
        <v>99</v>
      </c>
      <c r="J69" s="23" t="s">
        <v>333</v>
      </c>
      <c r="K69" s="23" t="s">
        <v>34</v>
      </c>
      <c r="L69" s="23" t="s">
        <v>343</v>
      </c>
      <c r="M69" s="23" t="n">
        <v>96</v>
      </c>
      <c r="N69" s="23"/>
      <c r="O69" s="23" t="s">
        <v>744</v>
      </c>
      <c r="P69" s="23" t="s">
        <v>745</v>
      </c>
      <c r="Q69" s="23" t="s">
        <v>746</v>
      </c>
      <c r="R69" s="23" t="s">
        <v>568</v>
      </c>
      <c r="S69" s="23" t="s">
        <v>337</v>
      </c>
      <c r="T69" s="23" t="s">
        <v>67</v>
      </c>
      <c r="U69" s="23" t="s">
        <v>747</v>
      </c>
      <c r="V69" s="23" t="n">
        <v>0</v>
      </c>
      <c r="W69" s="23" t="n">
        <v>0</v>
      </c>
      <c r="X69" s="23" t="n">
        <v>38.9</v>
      </c>
      <c r="Y69" s="23" t="n">
        <v>52.8</v>
      </c>
      <c r="Z69" s="23" t="n">
        <v>4.3</v>
      </c>
      <c r="AA69" s="23" t="n">
        <v>0</v>
      </c>
      <c r="AB69" s="23" t="n">
        <v>0</v>
      </c>
      <c r="AC69" s="23" t="n">
        <v>0</v>
      </c>
    </row>
    <row r="70" customFormat="false" ht="15" hidden="false" customHeight="false" outlineLevel="0" collapsed="false">
      <c r="A70" s="23" t="s">
        <v>748</v>
      </c>
      <c r="B70" s="23" t="s">
        <v>749</v>
      </c>
      <c r="C70" s="23" t="s">
        <v>750</v>
      </c>
      <c r="D70" s="23" t="s">
        <v>92</v>
      </c>
      <c r="E70" s="23" t="s">
        <v>440</v>
      </c>
      <c r="F70" s="23" t="s">
        <v>42</v>
      </c>
      <c r="G70" s="23"/>
      <c r="H70" s="23" t="s">
        <v>29</v>
      </c>
      <c r="I70" s="23" t="s">
        <v>99</v>
      </c>
      <c r="J70" s="23" t="s">
        <v>333</v>
      </c>
      <c r="K70" s="23" t="s">
        <v>34</v>
      </c>
      <c r="L70" s="23" t="s">
        <v>410</v>
      </c>
      <c r="M70" s="23" t="n">
        <v>96</v>
      </c>
      <c r="N70" s="23"/>
      <c r="O70" s="23" t="s">
        <v>744</v>
      </c>
      <c r="P70" s="23" t="s">
        <v>751</v>
      </c>
      <c r="Q70" s="23" t="s">
        <v>752</v>
      </c>
      <c r="R70" s="23" t="s">
        <v>753</v>
      </c>
      <c r="S70" s="23" t="s">
        <v>130</v>
      </c>
      <c r="T70" s="23" t="s">
        <v>67</v>
      </c>
      <c r="U70" s="23" t="s">
        <v>754</v>
      </c>
      <c r="V70" s="23" t="n">
        <v>0</v>
      </c>
      <c r="W70" s="23" t="n">
        <v>22.4</v>
      </c>
      <c r="X70" s="23" t="n">
        <v>73.6</v>
      </c>
      <c r="Y70" s="23" t="n">
        <v>0</v>
      </c>
      <c r="Z70" s="23" t="n">
        <v>0</v>
      </c>
      <c r="AA70" s="23" t="n">
        <v>0</v>
      </c>
      <c r="AB70" s="23" t="n">
        <v>0</v>
      </c>
      <c r="AC70" s="23" t="n">
        <v>0</v>
      </c>
    </row>
    <row r="71" customFormat="false" ht="15" hidden="false" customHeight="false" outlineLevel="0" collapsed="false">
      <c r="A71" s="23" t="s">
        <v>755</v>
      </c>
      <c r="B71" s="23" t="s">
        <v>756</v>
      </c>
      <c r="C71" s="23" t="s">
        <v>757</v>
      </c>
      <c r="D71" s="23" t="s">
        <v>89</v>
      </c>
      <c r="E71" s="23" t="s">
        <v>332</v>
      </c>
      <c r="F71" s="23" t="s">
        <v>42</v>
      </c>
      <c r="G71" s="23"/>
      <c r="H71" s="23" t="s">
        <v>29</v>
      </c>
      <c r="I71" s="23" t="s">
        <v>99</v>
      </c>
      <c r="J71" s="23" t="s">
        <v>333</v>
      </c>
      <c r="K71" s="23" t="s">
        <v>23</v>
      </c>
      <c r="L71" s="23" t="s">
        <v>23</v>
      </c>
      <c r="M71" s="23" t="n">
        <v>92</v>
      </c>
      <c r="N71" s="23"/>
      <c r="O71" s="23" t="s">
        <v>758</v>
      </c>
      <c r="P71" s="23" t="s">
        <v>759</v>
      </c>
      <c r="Q71" s="23" t="s">
        <v>760</v>
      </c>
      <c r="R71" s="23"/>
      <c r="S71" s="23"/>
      <c r="T71" s="23" t="s">
        <v>522</v>
      </c>
      <c r="U71" s="23" t="s">
        <v>523</v>
      </c>
      <c r="V71" s="23" t="n">
        <v>92</v>
      </c>
      <c r="W71" s="23" t="n">
        <v>0</v>
      </c>
      <c r="X71" s="23" t="n">
        <v>0</v>
      </c>
      <c r="Y71" s="23" t="n">
        <v>0</v>
      </c>
      <c r="Z71" s="23" t="n">
        <v>0</v>
      </c>
      <c r="AA71" s="23" t="n">
        <v>0</v>
      </c>
      <c r="AB71" s="23" t="n">
        <v>0</v>
      </c>
      <c r="AC71" s="23" t="n">
        <v>0</v>
      </c>
    </row>
    <row r="72" customFormat="false" ht="15" hidden="false" customHeight="false" outlineLevel="0" collapsed="false">
      <c r="A72" s="23" t="s">
        <v>761</v>
      </c>
      <c r="B72" s="23" t="s">
        <v>762</v>
      </c>
      <c r="C72" s="23" t="s">
        <v>763</v>
      </c>
      <c r="D72" s="23" t="s">
        <v>88</v>
      </c>
      <c r="E72" s="23" t="s">
        <v>352</v>
      </c>
      <c r="F72" s="23" t="s">
        <v>42</v>
      </c>
      <c r="G72" s="23"/>
      <c r="H72" s="23" t="s">
        <v>29</v>
      </c>
      <c r="I72" s="23" t="s">
        <v>99</v>
      </c>
      <c r="J72" s="23" t="s">
        <v>333</v>
      </c>
      <c r="K72" s="23" t="s">
        <v>34</v>
      </c>
      <c r="L72" s="23" t="s">
        <v>410</v>
      </c>
      <c r="M72" s="23" t="n">
        <v>92</v>
      </c>
      <c r="N72" s="23"/>
      <c r="O72" s="23" t="s">
        <v>764</v>
      </c>
      <c r="P72" s="23" t="s">
        <v>765</v>
      </c>
      <c r="Q72" s="23" t="s">
        <v>766</v>
      </c>
      <c r="R72" s="23" t="s">
        <v>767</v>
      </c>
      <c r="S72" s="23" t="s">
        <v>130</v>
      </c>
      <c r="T72" s="23" t="s">
        <v>67</v>
      </c>
      <c r="U72" s="23" t="s">
        <v>768</v>
      </c>
      <c r="V72" s="23" t="n">
        <v>0</v>
      </c>
      <c r="W72" s="23" t="n">
        <v>21.4</v>
      </c>
      <c r="X72" s="23" t="n">
        <v>70.6</v>
      </c>
      <c r="Y72" s="23" t="n">
        <v>0</v>
      </c>
      <c r="Z72" s="23" t="n">
        <v>0</v>
      </c>
      <c r="AA72" s="23" t="n">
        <v>0</v>
      </c>
      <c r="AB72" s="23" t="n">
        <v>0</v>
      </c>
      <c r="AC72" s="23" t="n">
        <v>0</v>
      </c>
    </row>
    <row r="73" customFormat="false" ht="15" hidden="false" customHeight="false" outlineLevel="0" collapsed="false">
      <c r="A73" s="23" t="s">
        <v>769</v>
      </c>
      <c r="B73" s="23" t="s">
        <v>770</v>
      </c>
      <c r="C73" s="23" t="s">
        <v>771</v>
      </c>
      <c r="D73" s="23" t="s">
        <v>89</v>
      </c>
      <c r="E73" s="23" t="s">
        <v>332</v>
      </c>
      <c r="F73" s="23" t="s">
        <v>42</v>
      </c>
      <c r="G73" s="23"/>
      <c r="H73" s="23" t="s">
        <v>29</v>
      </c>
      <c r="I73" s="23" t="s">
        <v>99</v>
      </c>
      <c r="J73" s="23" t="s">
        <v>333</v>
      </c>
      <c r="K73" s="23" t="s">
        <v>34</v>
      </c>
      <c r="L73" s="23" t="s">
        <v>410</v>
      </c>
      <c r="M73" s="23" t="n">
        <v>90</v>
      </c>
      <c r="N73" s="23"/>
      <c r="O73" s="23" t="s">
        <v>772</v>
      </c>
      <c r="P73" s="23" t="s">
        <v>461</v>
      </c>
      <c r="Q73" s="23" t="s">
        <v>773</v>
      </c>
      <c r="R73" s="23" t="s">
        <v>774</v>
      </c>
      <c r="S73" s="23" t="s">
        <v>130</v>
      </c>
      <c r="T73" s="23" t="s">
        <v>67</v>
      </c>
      <c r="U73" s="23" t="s">
        <v>775</v>
      </c>
      <c r="V73" s="23" t="n">
        <v>0</v>
      </c>
      <c r="W73" s="23" t="n">
        <v>21</v>
      </c>
      <c r="X73" s="23" t="n">
        <v>69</v>
      </c>
      <c r="Y73" s="23" t="n">
        <v>0</v>
      </c>
      <c r="Z73" s="23" t="n">
        <v>0</v>
      </c>
      <c r="AA73" s="23" t="n">
        <v>0</v>
      </c>
      <c r="AB73" s="23" t="n">
        <v>0</v>
      </c>
      <c r="AC73" s="23" t="n">
        <v>0</v>
      </c>
    </row>
    <row r="74" customFormat="false" ht="15" hidden="false" customHeight="false" outlineLevel="0" collapsed="false">
      <c r="A74" s="23" t="s">
        <v>776</v>
      </c>
      <c r="B74" s="23" t="s">
        <v>777</v>
      </c>
      <c r="C74" s="23" t="s">
        <v>778</v>
      </c>
      <c r="D74" s="23" t="s">
        <v>90</v>
      </c>
      <c r="E74" s="23" t="s">
        <v>352</v>
      </c>
      <c r="F74" s="23" t="s">
        <v>42</v>
      </c>
      <c r="G74" s="23"/>
      <c r="H74" s="23" t="s">
        <v>29</v>
      </c>
      <c r="I74" s="23" t="s">
        <v>99</v>
      </c>
      <c r="J74" s="23" t="s">
        <v>333</v>
      </c>
      <c r="K74" s="23" t="s">
        <v>35</v>
      </c>
      <c r="L74" s="23" t="s">
        <v>176</v>
      </c>
      <c r="M74" s="23" t="n">
        <v>76</v>
      </c>
      <c r="N74" s="23"/>
      <c r="O74" s="23" t="s">
        <v>779</v>
      </c>
      <c r="P74" s="23"/>
      <c r="Q74" s="23" t="s">
        <v>780</v>
      </c>
      <c r="R74" s="23" t="s">
        <v>126</v>
      </c>
      <c r="S74" s="23" t="s">
        <v>514</v>
      </c>
      <c r="T74" s="23" t="s">
        <v>68</v>
      </c>
      <c r="U74" s="23" t="s">
        <v>781</v>
      </c>
      <c r="V74" s="23" t="n">
        <v>0</v>
      </c>
      <c r="W74" s="23" t="n">
        <v>0</v>
      </c>
      <c r="X74" s="23" t="n">
        <v>0</v>
      </c>
      <c r="Y74" s="23" t="n">
        <v>26.3</v>
      </c>
      <c r="Z74" s="23" t="n">
        <v>49.7</v>
      </c>
      <c r="AA74" s="23" t="n">
        <v>0</v>
      </c>
      <c r="AB74" s="23" t="n">
        <v>0</v>
      </c>
      <c r="AC74" s="23" t="n">
        <v>0</v>
      </c>
    </row>
    <row r="75" customFormat="false" ht="15" hidden="false" customHeight="false" outlineLevel="0" collapsed="false">
      <c r="A75" s="23" t="s">
        <v>782</v>
      </c>
      <c r="B75" s="23" t="s">
        <v>783</v>
      </c>
      <c r="C75" s="23" t="s">
        <v>784</v>
      </c>
      <c r="D75" s="23" t="s">
        <v>92</v>
      </c>
      <c r="E75" s="23" t="s">
        <v>332</v>
      </c>
      <c r="F75" s="23" t="s">
        <v>42</v>
      </c>
      <c r="G75" s="23"/>
      <c r="H75" s="23" t="s">
        <v>29</v>
      </c>
      <c r="I75" s="23" t="s">
        <v>99</v>
      </c>
      <c r="J75" s="23" t="s">
        <v>333</v>
      </c>
      <c r="K75" s="23" t="s">
        <v>34</v>
      </c>
      <c r="L75" s="23" t="s">
        <v>343</v>
      </c>
      <c r="M75" s="23" t="n">
        <v>66</v>
      </c>
      <c r="N75" s="23"/>
      <c r="O75" s="23" t="s">
        <v>785</v>
      </c>
      <c r="P75" s="23" t="s">
        <v>786</v>
      </c>
      <c r="Q75" s="23" t="s">
        <v>787</v>
      </c>
      <c r="R75" s="23" t="s">
        <v>414</v>
      </c>
      <c r="S75" s="23" t="s">
        <v>130</v>
      </c>
      <c r="T75" s="23" t="s">
        <v>67</v>
      </c>
      <c r="U75" s="23" t="s">
        <v>416</v>
      </c>
      <c r="V75" s="23" t="n">
        <v>0</v>
      </c>
      <c r="W75" s="23" t="n">
        <v>15.4</v>
      </c>
      <c r="X75" s="23" t="n">
        <v>50.6</v>
      </c>
      <c r="Y75" s="23" t="n">
        <v>0</v>
      </c>
      <c r="Z75" s="23" t="n">
        <v>0</v>
      </c>
      <c r="AA75" s="23" t="n">
        <v>0</v>
      </c>
      <c r="AB75" s="23" t="n">
        <v>0</v>
      </c>
      <c r="AC75" s="23" t="n">
        <v>0</v>
      </c>
    </row>
    <row r="76" customFormat="false" ht="15" hidden="false" customHeight="false" outlineLevel="0" collapsed="false">
      <c r="A76" s="23" t="s">
        <v>788</v>
      </c>
      <c r="B76" s="23" t="s">
        <v>789</v>
      </c>
      <c r="C76" s="23" t="s">
        <v>790</v>
      </c>
      <c r="D76" s="23" t="s">
        <v>92</v>
      </c>
      <c r="E76" s="23" t="s">
        <v>440</v>
      </c>
      <c r="F76" s="23" t="s">
        <v>42</v>
      </c>
      <c r="G76" s="23"/>
      <c r="H76" s="23" t="s">
        <v>29</v>
      </c>
      <c r="I76" s="23" t="s">
        <v>99</v>
      </c>
      <c r="J76" s="23" t="s">
        <v>333</v>
      </c>
      <c r="K76" s="23" t="s">
        <v>23</v>
      </c>
      <c r="L76" s="23" t="s">
        <v>23</v>
      </c>
      <c r="M76" s="23" t="n">
        <v>66</v>
      </c>
      <c r="N76" s="23"/>
      <c r="O76" s="23" t="s">
        <v>791</v>
      </c>
      <c r="P76" s="23" t="s">
        <v>372</v>
      </c>
      <c r="Q76" s="23" t="s">
        <v>792</v>
      </c>
      <c r="R76" s="23"/>
      <c r="S76" s="23"/>
      <c r="T76" s="23" t="s">
        <v>522</v>
      </c>
      <c r="U76" s="23" t="s">
        <v>523</v>
      </c>
      <c r="V76" s="23" t="n">
        <v>66</v>
      </c>
      <c r="W76" s="23" t="n">
        <v>0</v>
      </c>
      <c r="X76" s="23" t="n">
        <v>0</v>
      </c>
      <c r="Y76" s="23" t="n">
        <v>0</v>
      </c>
      <c r="Z76" s="23" t="n">
        <v>0</v>
      </c>
      <c r="AA76" s="23" t="n">
        <v>0</v>
      </c>
      <c r="AB76" s="23" t="n">
        <v>0</v>
      </c>
      <c r="AC76" s="23" t="n">
        <v>0</v>
      </c>
    </row>
    <row r="77" customFormat="false" ht="15" hidden="false" customHeight="false" outlineLevel="0" collapsed="false">
      <c r="A77" s="23" t="s">
        <v>793</v>
      </c>
      <c r="B77" s="23" t="s">
        <v>794</v>
      </c>
      <c r="C77" s="23" t="s">
        <v>795</v>
      </c>
      <c r="D77" s="23" t="s">
        <v>89</v>
      </c>
      <c r="E77" s="23" t="s">
        <v>332</v>
      </c>
      <c r="F77" s="23" t="s">
        <v>42</v>
      </c>
      <c r="G77" s="23"/>
      <c r="H77" s="23" t="s">
        <v>29</v>
      </c>
      <c r="I77" s="23" t="s">
        <v>99</v>
      </c>
      <c r="J77" s="23" t="s">
        <v>333</v>
      </c>
      <c r="K77" s="23" t="s">
        <v>34</v>
      </c>
      <c r="L77" s="23" t="s">
        <v>343</v>
      </c>
      <c r="M77" s="23" t="n">
        <v>62</v>
      </c>
      <c r="N77" s="23"/>
      <c r="O77" s="23" t="s">
        <v>796</v>
      </c>
      <c r="P77" s="23" t="s">
        <v>797</v>
      </c>
      <c r="Q77" s="23" t="s">
        <v>798</v>
      </c>
      <c r="R77" s="23" t="s">
        <v>767</v>
      </c>
      <c r="S77" s="23" t="s">
        <v>130</v>
      </c>
      <c r="T77" s="23" t="s">
        <v>67</v>
      </c>
      <c r="U77" s="23" t="s">
        <v>799</v>
      </c>
      <c r="V77" s="23" t="n">
        <v>0</v>
      </c>
      <c r="W77" s="23" t="n">
        <v>14.4</v>
      </c>
      <c r="X77" s="23" t="n">
        <v>47.6</v>
      </c>
      <c r="Y77" s="23" t="n">
        <v>0</v>
      </c>
      <c r="Z77" s="23" t="n">
        <v>0</v>
      </c>
      <c r="AA77" s="23" t="n">
        <v>0</v>
      </c>
      <c r="AB77" s="23" t="n">
        <v>0</v>
      </c>
      <c r="AC77" s="23" t="n">
        <v>0</v>
      </c>
    </row>
    <row r="78" customFormat="false" ht="15" hidden="false" customHeight="false" outlineLevel="0" collapsed="false">
      <c r="A78" s="23" t="s">
        <v>800</v>
      </c>
      <c r="B78" s="23" t="s">
        <v>801</v>
      </c>
      <c r="C78" s="23" t="s">
        <v>802</v>
      </c>
      <c r="D78" s="23" t="s">
        <v>89</v>
      </c>
      <c r="E78" s="23" t="s">
        <v>332</v>
      </c>
      <c r="F78" s="23" t="s">
        <v>42</v>
      </c>
      <c r="G78" s="23"/>
      <c r="H78" s="23" t="s">
        <v>29</v>
      </c>
      <c r="I78" s="23" t="s">
        <v>99</v>
      </c>
      <c r="J78" s="23" t="s">
        <v>333</v>
      </c>
      <c r="K78" s="23" t="s">
        <v>34</v>
      </c>
      <c r="L78" s="23" t="s">
        <v>343</v>
      </c>
      <c r="M78" s="23" t="n">
        <v>62</v>
      </c>
      <c r="N78" s="23"/>
      <c r="O78" s="23" t="s">
        <v>803</v>
      </c>
      <c r="P78" s="23" t="s">
        <v>804</v>
      </c>
      <c r="Q78" s="23" t="s">
        <v>805</v>
      </c>
      <c r="R78" s="23" t="s">
        <v>753</v>
      </c>
      <c r="S78" s="23" t="s">
        <v>130</v>
      </c>
      <c r="T78" s="23" t="s">
        <v>67</v>
      </c>
      <c r="U78" s="23" t="s">
        <v>806</v>
      </c>
      <c r="V78" s="23" t="n">
        <v>0</v>
      </c>
      <c r="W78" s="23" t="n">
        <v>14.4</v>
      </c>
      <c r="X78" s="23" t="n">
        <v>47.6</v>
      </c>
      <c r="Y78" s="23" t="n">
        <v>0</v>
      </c>
      <c r="Z78" s="23" t="n">
        <v>0</v>
      </c>
      <c r="AA78" s="23" t="n">
        <v>0</v>
      </c>
      <c r="AB78" s="23" t="n">
        <v>0</v>
      </c>
      <c r="AC78" s="23" t="n">
        <v>0</v>
      </c>
    </row>
    <row r="79" customFormat="false" ht="15" hidden="false" customHeight="false" outlineLevel="0" collapsed="false">
      <c r="A79" s="23" t="s">
        <v>807</v>
      </c>
      <c r="B79" s="23" t="s">
        <v>808</v>
      </c>
      <c r="C79" s="23" t="s">
        <v>809</v>
      </c>
      <c r="D79" s="23" t="s">
        <v>89</v>
      </c>
      <c r="E79" s="23" t="s">
        <v>332</v>
      </c>
      <c r="F79" s="23" t="s">
        <v>42</v>
      </c>
      <c r="G79" s="23"/>
      <c r="H79" s="23" t="s">
        <v>29</v>
      </c>
      <c r="I79" s="23" t="s">
        <v>99</v>
      </c>
      <c r="J79" s="23" t="s">
        <v>333</v>
      </c>
      <c r="K79" s="23" t="s">
        <v>34</v>
      </c>
      <c r="L79" s="23" t="s">
        <v>343</v>
      </c>
      <c r="M79" s="23" t="n">
        <v>54</v>
      </c>
      <c r="N79" s="23"/>
      <c r="O79" s="23" t="s">
        <v>810</v>
      </c>
      <c r="P79" s="23" t="s">
        <v>811</v>
      </c>
      <c r="Q79" s="23" t="s">
        <v>812</v>
      </c>
      <c r="R79" s="23" t="s">
        <v>362</v>
      </c>
      <c r="S79" s="23" t="s">
        <v>130</v>
      </c>
      <c r="T79" s="23" t="s">
        <v>67</v>
      </c>
      <c r="U79" s="23" t="s">
        <v>363</v>
      </c>
      <c r="V79" s="23" t="n">
        <v>0</v>
      </c>
      <c r="W79" s="23" t="n">
        <v>12.6</v>
      </c>
      <c r="X79" s="23" t="n">
        <v>41.4</v>
      </c>
      <c r="Y79" s="23" t="n">
        <v>0</v>
      </c>
      <c r="Z79" s="23" t="n">
        <v>0</v>
      </c>
      <c r="AA79" s="23" t="n">
        <v>0</v>
      </c>
      <c r="AB79" s="23" t="n">
        <v>0</v>
      </c>
      <c r="AC79" s="23" t="n">
        <v>0</v>
      </c>
    </row>
    <row r="80" customFormat="false" ht="15" hidden="false" customHeight="false" outlineLevel="0" collapsed="false">
      <c r="A80" s="23" t="s">
        <v>813</v>
      </c>
      <c r="B80" s="23" t="s">
        <v>814</v>
      </c>
      <c r="C80" s="23" t="s">
        <v>815</v>
      </c>
      <c r="D80" s="23" t="s">
        <v>95</v>
      </c>
      <c r="E80" s="23" t="s">
        <v>342</v>
      </c>
      <c r="F80" s="23" t="s">
        <v>42</v>
      </c>
      <c r="G80" s="23"/>
      <c r="H80" s="23" t="s">
        <v>29</v>
      </c>
      <c r="I80" s="23" t="s">
        <v>99</v>
      </c>
      <c r="J80" s="23" t="s">
        <v>333</v>
      </c>
      <c r="K80" s="23" t="s">
        <v>23</v>
      </c>
      <c r="L80" s="23" t="s">
        <v>23</v>
      </c>
      <c r="M80" s="23" t="n">
        <v>53</v>
      </c>
      <c r="N80" s="23"/>
      <c r="O80" s="23" t="s">
        <v>816</v>
      </c>
      <c r="P80" s="23" t="s">
        <v>817</v>
      </c>
      <c r="Q80" s="23" t="s">
        <v>818</v>
      </c>
      <c r="R80" s="23"/>
      <c r="S80" s="23"/>
      <c r="T80" s="23" t="s">
        <v>522</v>
      </c>
      <c r="U80" s="23" t="s">
        <v>523</v>
      </c>
      <c r="V80" s="23" t="n">
        <v>53</v>
      </c>
      <c r="W80" s="23" t="n">
        <v>0</v>
      </c>
      <c r="X80" s="23" t="n">
        <v>0</v>
      </c>
      <c r="Y80" s="23" t="n">
        <v>0</v>
      </c>
      <c r="Z80" s="23" t="n">
        <v>0</v>
      </c>
      <c r="AA80" s="23" t="n">
        <v>0</v>
      </c>
      <c r="AB80" s="23" t="n">
        <v>0</v>
      </c>
      <c r="AC80" s="23" t="n">
        <v>0</v>
      </c>
    </row>
    <row r="81" customFormat="false" ht="15" hidden="false" customHeight="false" outlineLevel="0" collapsed="false">
      <c r="A81" s="23" t="s">
        <v>819</v>
      </c>
      <c r="B81" s="23" t="s">
        <v>820</v>
      </c>
      <c r="C81" s="23" t="s">
        <v>821</v>
      </c>
      <c r="D81" s="23" t="s">
        <v>90</v>
      </c>
      <c r="E81" s="23" t="s">
        <v>332</v>
      </c>
      <c r="F81" s="23" t="s">
        <v>42</v>
      </c>
      <c r="G81" s="23"/>
      <c r="H81" s="23" t="s">
        <v>29</v>
      </c>
      <c r="I81" s="23" t="s">
        <v>99</v>
      </c>
      <c r="J81" s="23" t="s">
        <v>333</v>
      </c>
      <c r="K81" s="23" t="s">
        <v>35</v>
      </c>
      <c r="L81" s="23" t="s">
        <v>176</v>
      </c>
      <c r="M81" s="23" t="n">
        <v>48</v>
      </c>
      <c r="N81" s="23"/>
      <c r="O81" s="23" t="s">
        <v>822</v>
      </c>
      <c r="P81" s="23"/>
      <c r="Q81" s="23" t="s">
        <v>823</v>
      </c>
      <c r="R81" s="23" t="s">
        <v>115</v>
      </c>
      <c r="S81" s="23" t="s">
        <v>131</v>
      </c>
      <c r="T81" s="23" t="s">
        <v>68</v>
      </c>
      <c r="U81" s="23" t="s">
        <v>824</v>
      </c>
      <c r="V81" s="23" t="n">
        <v>0</v>
      </c>
      <c r="W81" s="23" t="n">
        <v>0</v>
      </c>
      <c r="X81" s="23" t="n">
        <v>0</v>
      </c>
      <c r="Y81" s="23" t="n">
        <v>20.5</v>
      </c>
      <c r="Z81" s="23" t="n">
        <v>27.5</v>
      </c>
      <c r="AA81" s="23" t="n">
        <v>0</v>
      </c>
      <c r="AB81" s="23" t="n">
        <v>0</v>
      </c>
      <c r="AC81" s="23" t="n">
        <v>0</v>
      </c>
    </row>
    <row r="82" customFormat="false" ht="15" hidden="false" customHeight="false" outlineLevel="0" collapsed="false">
      <c r="A82" s="23" t="s">
        <v>825</v>
      </c>
      <c r="B82" s="23" t="s">
        <v>826</v>
      </c>
      <c r="C82" s="23" t="s">
        <v>827</v>
      </c>
      <c r="D82" s="23" t="s">
        <v>90</v>
      </c>
      <c r="E82" s="23" t="s">
        <v>332</v>
      </c>
      <c r="F82" s="23" t="s">
        <v>42</v>
      </c>
      <c r="G82" s="23"/>
      <c r="H82" s="23" t="s">
        <v>29</v>
      </c>
      <c r="I82" s="23" t="s">
        <v>99</v>
      </c>
      <c r="J82" s="23" t="s">
        <v>333</v>
      </c>
      <c r="K82" s="23" t="s">
        <v>35</v>
      </c>
      <c r="L82" s="23" t="s">
        <v>176</v>
      </c>
      <c r="M82" s="23" t="n">
        <v>40</v>
      </c>
      <c r="N82" s="23"/>
      <c r="O82" s="23" t="s">
        <v>828</v>
      </c>
      <c r="P82" s="23"/>
      <c r="Q82" s="23" t="s">
        <v>829</v>
      </c>
      <c r="R82" s="23" t="s">
        <v>126</v>
      </c>
      <c r="S82" s="23" t="s">
        <v>116</v>
      </c>
      <c r="T82" s="23" t="s">
        <v>69</v>
      </c>
      <c r="U82" s="23" t="s">
        <v>830</v>
      </c>
      <c r="V82" s="23" t="n">
        <v>0</v>
      </c>
      <c r="W82" s="23" t="n">
        <v>0</v>
      </c>
      <c r="X82" s="23" t="n">
        <v>0</v>
      </c>
      <c r="Y82" s="23" t="n">
        <v>22</v>
      </c>
      <c r="Z82" s="23" t="n">
        <v>18</v>
      </c>
      <c r="AA82" s="23" t="n">
        <v>0</v>
      </c>
      <c r="AB82" s="23" t="n">
        <v>0</v>
      </c>
      <c r="AC82" s="23" t="n">
        <v>0</v>
      </c>
    </row>
    <row r="83" customFormat="false" ht="15" hidden="false" customHeight="false" outlineLevel="0" collapsed="false">
      <c r="A83" s="23" t="s">
        <v>831</v>
      </c>
      <c r="B83" s="23" t="s">
        <v>832</v>
      </c>
      <c r="C83" s="23" t="s">
        <v>833</v>
      </c>
      <c r="D83" s="23" t="s">
        <v>89</v>
      </c>
      <c r="E83" s="23" t="s">
        <v>332</v>
      </c>
      <c r="F83" s="23" t="s">
        <v>42</v>
      </c>
      <c r="G83" s="23"/>
      <c r="H83" s="23" t="s">
        <v>29</v>
      </c>
      <c r="I83" s="23" t="s">
        <v>99</v>
      </c>
      <c r="J83" s="23" t="s">
        <v>333</v>
      </c>
      <c r="K83" s="23" t="s">
        <v>23</v>
      </c>
      <c r="L83" s="23" t="s">
        <v>23</v>
      </c>
      <c r="M83" s="23" t="n">
        <v>38</v>
      </c>
      <c r="N83" s="23"/>
      <c r="O83" s="23" t="s">
        <v>834</v>
      </c>
      <c r="P83" s="23" t="s">
        <v>835</v>
      </c>
      <c r="Q83" s="23" t="s">
        <v>836</v>
      </c>
      <c r="R83" s="23"/>
      <c r="S83" s="23"/>
      <c r="T83" s="23" t="s">
        <v>522</v>
      </c>
      <c r="U83" s="23" t="s">
        <v>523</v>
      </c>
      <c r="V83" s="23" t="n">
        <v>38</v>
      </c>
      <c r="W83" s="23" t="n">
        <v>0</v>
      </c>
      <c r="X83" s="23" t="n">
        <v>0</v>
      </c>
      <c r="Y83" s="23" t="n">
        <v>0</v>
      </c>
      <c r="Z83" s="23" t="n">
        <v>0</v>
      </c>
      <c r="AA83" s="23" t="n">
        <v>0</v>
      </c>
      <c r="AB83" s="23" t="n">
        <v>0</v>
      </c>
      <c r="AC83" s="23" t="n">
        <v>0</v>
      </c>
    </row>
    <row r="84" customFormat="false" ht="15" hidden="false" customHeight="false" outlineLevel="0" collapsed="false">
      <c r="A84" s="23" t="s">
        <v>837</v>
      </c>
      <c r="B84" s="23" t="s">
        <v>838</v>
      </c>
      <c r="C84" s="23" t="s">
        <v>839</v>
      </c>
      <c r="D84" s="23" t="s">
        <v>90</v>
      </c>
      <c r="E84" s="23" t="s">
        <v>352</v>
      </c>
      <c r="F84" s="23" t="s">
        <v>42</v>
      </c>
      <c r="G84" s="23"/>
      <c r="H84" s="23" t="s">
        <v>29</v>
      </c>
      <c r="I84" s="23" t="s">
        <v>99</v>
      </c>
      <c r="J84" s="23" t="s">
        <v>333</v>
      </c>
      <c r="K84" s="23" t="s">
        <v>35</v>
      </c>
      <c r="L84" s="23" t="s">
        <v>176</v>
      </c>
      <c r="M84" s="23" t="n">
        <v>37</v>
      </c>
      <c r="N84" s="23"/>
      <c r="O84" s="23" t="s">
        <v>840</v>
      </c>
      <c r="P84" s="23"/>
      <c r="Q84" s="23" t="s">
        <v>841</v>
      </c>
      <c r="R84" s="23" t="s">
        <v>126</v>
      </c>
      <c r="S84" s="23" t="s">
        <v>116</v>
      </c>
      <c r="T84" s="23" t="s">
        <v>69</v>
      </c>
      <c r="U84" s="23" t="s">
        <v>463</v>
      </c>
      <c r="V84" s="23" t="n">
        <v>0</v>
      </c>
      <c r="W84" s="23" t="n">
        <v>0</v>
      </c>
      <c r="X84" s="23" t="n">
        <v>0</v>
      </c>
      <c r="Y84" s="23" t="n">
        <v>23</v>
      </c>
      <c r="Z84" s="23" t="n">
        <v>14</v>
      </c>
      <c r="AA84" s="23" t="n">
        <v>0</v>
      </c>
      <c r="AB84" s="23" t="n">
        <v>0</v>
      </c>
      <c r="AC84" s="23" t="n">
        <v>0</v>
      </c>
    </row>
    <row r="85" customFormat="false" ht="15" hidden="false" customHeight="false" outlineLevel="0" collapsed="false">
      <c r="A85" s="23" t="s">
        <v>842</v>
      </c>
      <c r="B85" s="23" t="s">
        <v>843</v>
      </c>
      <c r="C85" s="23" t="s">
        <v>844</v>
      </c>
      <c r="D85" s="23" t="s">
        <v>90</v>
      </c>
      <c r="E85" s="23" t="s">
        <v>352</v>
      </c>
      <c r="F85" s="23" t="s">
        <v>42</v>
      </c>
      <c r="G85" s="23"/>
      <c r="H85" s="23" t="s">
        <v>29</v>
      </c>
      <c r="I85" s="23" t="s">
        <v>99</v>
      </c>
      <c r="J85" s="23" t="s">
        <v>333</v>
      </c>
      <c r="K85" s="23" t="s">
        <v>35</v>
      </c>
      <c r="L85" s="23" t="s">
        <v>176</v>
      </c>
      <c r="M85" s="23" t="n">
        <v>37</v>
      </c>
      <c r="N85" s="23"/>
      <c r="O85" s="23" t="s">
        <v>454</v>
      </c>
      <c r="P85" s="23"/>
      <c r="Q85" s="23" t="s">
        <v>845</v>
      </c>
      <c r="R85" s="23" t="s">
        <v>115</v>
      </c>
      <c r="S85" s="23" t="s">
        <v>337</v>
      </c>
      <c r="T85" s="23" t="s">
        <v>68</v>
      </c>
      <c r="U85" s="23" t="s">
        <v>846</v>
      </c>
      <c r="V85" s="23" t="n">
        <v>0</v>
      </c>
      <c r="W85" s="23" t="n">
        <v>0</v>
      </c>
      <c r="X85" s="23" t="n">
        <v>0</v>
      </c>
      <c r="Y85" s="23" t="n">
        <v>31.4</v>
      </c>
      <c r="Z85" s="23" t="n">
        <v>5.6</v>
      </c>
      <c r="AA85" s="23" t="n">
        <v>0</v>
      </c>
      <c r="AB85" s="23" t="n">
        <v>0</v>
      </c>
      <c r="AC85" s="23" t="n">
        <v>0</v>
      </c>
    </row>
    <row r="86" customFormat="false" ht="15" hidden="false" customHeight="false" outlineLevel="0" collapsed="false">
      <c r="A86" s="23" t="s">
        <v>847</v>
      </c>
      <c r="B86" s="23" t="s">
        <v>848</v>
      </c>
      <c r="C86" s="23" t="s">
        <v>849</v>
      </c>
      <c r="D86" s="23" t="s">
        <v>90</v>
      </c>
      <c r="E86" s="23" t="s">
        <v>332</v>
      </c>
      <c r="F86" s="23" t="s">
        <v>42</v>
      </c>
      <c r="G86" s="23"/>
      <c r="H86" s="23" t="s">
        <v>29</v>
      </c>
      <c r="I86" s="23" t="s">
        <v>99</v>
      </c>
      <c r="J86" s="23" t="s">
        <v>333</v>
      </c>
      <c r="K86" s="23" t="s">
        <v>23</v>
      </c>
      <c r="L86" s="23" t="s">
        <v>23</v>
      </c>
      <c r="M86" s="23" t="n">
        <v>35</v>
      </c>
      <c r="N86" s="23"/>
      <c r="O86" s="23" t="s">
        <v>850</v>
      </c>
      <c r="P86" s="23" t="s">
        <v>851</v>
      </c>
      <c r="Q86" s="23" t="s">
        <v>852</v>
      </c>
      <c r="R86" s="23"/>
      <c r="S86" s="23"/>
      <c r="T86" s="23" t="s">
        <v>522</v>
      </c>
      <c r="U86" s="23" t="s">
        <v>523</v>
      </c>
      <c r="V86" s="23" t="n">
        <v>35</v>
      </c>
      <c r="W86" s="23" t="n">
        <v>0</v>
      </c>
      <c r="X86" s="23" t="n">
        <v>0</v>
      </c>
      <c r="Y86" s="23" t="n">
        <v>0</v>
      </c>
      <c r="Z86" s="23" t="n">
        <v>0</v>
      </c>
      <c r="AA86" s="23" t="n">
        <v>0</v>
      </c>
      <c r="AB86" s="23" t="n">
        <v>0</v>
      </c>
      <c r="AC86" s="23" t="n">
        <v>0</v>
      </c>
    </row>
    <row r="87" customFormat="false" ht="15" hidden="false" customHeight="false" outlineLevel="0" collapsed="false">
      <c r="A87" s="23" t="s">
        <v>853</v>
      </c>
      <c r="B87" s="23" t="s">
        <v>854</v>
      </c>
      <c r="C87" s="23" t="s">
        <v>855</v>
      </c>
      <c r="D87" s="23" t="s">
        <v>92</v>
      </c>
      <c r="E87" s="23" t="s">
        <v>332</v>
      </c>
      <c r="F87" s="23" t="s">
        <v>42</v>
      </c>
      <c r="G87" s="23"/>
      <c r="H87" s="23" t="s">
        <v>29</v>
      </c>
      <c r="I87" s="23" t="s">
        <v>99</v>
      </c>
      <c r="J87" s="23" t="s">
        <v>333</v>
      </c>
      <c r="K87" s="23" t="s">
        <v>35</v>
      </c>
      <c r="L87" s="23" t="s">
        <v>176</v>
      </c>
      <c r="M87" s="23" t="n">
        <v>30</v>
      </c>
      <c r="N87" s="23"/>
      <c r="O87" s="23" t="s">
        <v>856</v>
      </c>
      <c r="P87" s="23"/>
      <c r="Q87" s="23" t="s">
        <v>857</v>
      </c>
      <c r="R87" s="23" t="s">
        <v>126</v>
      </c>
      <c r="S87" s="23" t="s">
        <v>337</v>
      </c>
      <c r="T87" s="23" t="s">
        <v>69</v>
      </c>
      <c r="U87" s="23" t="s">
        <v>858</v>
      </c>
      <c r="V87" s="23" t="n">
        <v>0</v>
      </c>
      <c r="W87" s="23" t="n">
        <v>0</v>
      </c>
      <c r="X87" s="23" t="n">
        <v>0</v>
      </c>
      <c r="Y87" s="23" t="n">
        <v>22.8</v>
      </c>
      <c r="Z87" s="23" t="n">
        <v>7.2</v>
      </c>
      <c r="AA87" s="23" t="n">
        <v>0</v>
      </c>
      <c r="AB87" s="23" t="n">
        <v>0</v>
      </c>
      <c r="AC87" s="23" t="n">
        <v>0</v>
      </c>
    </row>
    <row r="88" customFormat="false" ht="15" hidden="false" customHeight="false" outlineLevel="0" collapsed="false">
      <c r="A88" s="23" t="s">
        <v>859</v>
      </c>
      <c r="B88" s="23" t="s">
        <v>860</v>
      </c>
      <c r="C88" s="23" t="s">
        <v>861</v>
      </c>
      <c r="D88" s="23" t="s">
        <v>92</v>
      </c>
      <c r="E88" s="23" t="s">
        <v>440</v>
      </c>
      <c r="F88" s="23" t="s">
        <v>42</v>
      </c>
      <c r="G88" s="23"/>
      <c r="H88" s="23" t="s">
        <v>29</v>
      </c>
      <c r="I88" s="23" t="s">
        <v>99</v>
      </c>
      <c r="J88" s="23" t="s">
        <v>333</v>
      </c>
      <c r="K88" s="23" t="s">
        <v>34</v>
      </c>
      <c r="L88" s="23" t="s">
        <v>343</v>
      </c>
      <c r="M88" s="23" t="n">
        <v>29</v>
      </c>
      <c r="N88" s="23"/>
      <c r="O88" s="23" t="s">
        <v>862</v>
      </c>
      <c r="P88" s="23" t="s">
        <v>863</v>
      </c>
      <c r="Q88" s="23" t="s">
        <v>864</v>
      </c>
      <c r="R88" s="23" t="s">
        <v>865</v>
      </c>
      <c r="S88" s="23" t="s">
        <v>130</v>
      </c>
      <c r="T88" s="23" t="s">
        <v>67</v>
      </c>
      <c r="U88" s="23" t="s">
        <v>866</v>
      </c>
      <c r="V88" s="23" t="n">
        <v>0</v>
      </c>
      <c r="W88" s="23" t="n">
        <v>6.8</v>
      </c>
      <c r="X88" s="23" t="n">
        <v>22.2</v>
      </c>
      <c r="Y88" s="23" t="n">
        <v>0</v>
      </c>
      <c r="Z88" s="23" t="n">
        <v>0</v>
      </c>
      <c r="AA88" s="23" t="n">
        <v>0</v>
      </c>
      <c r="AB88" s="23" t="n">
        <v>0</v>
      </c>
      <c r="AC88" s="23" t="n">
        <v>0</v>
      </c>
    </row>
    <row r="89" customFormat="false" ht="15" hidden="false" customHeight="false" outlineLevel="0" collapsed="false">
      <c r="A89" s="23" t="s">
        <v>867</v>
      </c>
      <c r="B89" s="23" t="s">
        <v>868</v>
      </c>
      <c r="C89" s="23" t="s">
        <v>869</v>
      </c>
      <c r="D89" s="23" t="s">
        <v>90</v>
      </c>
      <c r="E89" s="23" t="s">
        <v>332</v>
      </c>
      <c r="F89" s="23" t="s">
        <v>42</v>
      </c>
      <c r="G89" s="23"/>
      <c r="H89" s="23" t="s">
        <v>29</v>
      </c>
      <c r="I89" s="23" t="s">
        <v>99</v>
      </c>
      <c r="J89" s="23" t="s">
        <v>333</v>
      </c>
      <c r="K89" s="23" t="s">
        <v>35</v>
      </c>
      <c r="L89" s="23" t="s">
        <v>176</v>
      </c>
      <c r="M89" s="23" t="n">
        <v>29</v>
      </c>
      <c r="N89" s="23"/>
      <c r="O89" s="23" t="s">
        <v>870</v>
      </c>
      <c r="P89" s="23"/>
      <c r="Q89" s="23" t="s">
        <v>871</v>
      </c>
      <c r="R89" s="23" t="s">
        <v>126</v>
      </c>
      <c r="S89" s="23" t="s">
        <v>337</v>
      </c>
      <c r="T89" s="23" t="s">
        <v>69</v>
      </c>
      <c r="U89" s="23" t="s">
        <v>508</v>
      </c>
      <c r="V89" s="23" t="n">
        <v>0</v>
      </c>
      <c r="W89" s="23" t="n">
        <v>0</v>
      </c>
      <c r="X89" s="23" t="n">
        <v>0</v>
      </c>
      <c r="Y89" s="23" t="n">
        <v>22</v>
      </c>
      <c r="Z89" s="23" t="n">
        <v>7</v>
      </c>
      <c r="AA89" s="23" t="n">
        <v>0</v>
      </c>
      <c r="AB89" s="23" t="n">
        <v>0</v>
      </c>
      <c r="AC89" s="23" t="n">
        <v>0</v>
      </c>
    </row>
    <row r="90" customFormat="false" ht="15" hidden="false" customHeight="false" outlineLevel="0" collapsed="false">
      <c r="A90" s="23" t="s">
        <v>872</v>
      </c>
      <c r="B90" s="23" t="s">
        <v>873</v>
      </c>
      <c r="C90" s="23" t="s">
        <v>874</v>
      </c>
      <c r="D90" s="23" t="s">
        <v>88</v>
      </c>
      <c r="E90" s="23" t="s">
        <v>352</v>
      </c>
      <c r="F90" s="23" t="s">
        <v>42</v>
      </c>
      <c r="G90" s="23"/>
      <c r="H90" s="23" t="s">
        <v>29</v>
      </c>
      <c r="I90" s="23" t="s">
        <v>99</v>
      </c>
      <c r="J90" s="23" t="s">
        <v>333</v>
      </c>
      <c r="K90" s="23" t="s">
        <v>34</v>
      </c>
      <c r="L90" s="23" t="s">
        <v>343</v>
      </c>
      <c r="M90" s="23" t="n">
        <v>28</v>
      </c>
      <c r="N90" s="23"/>
      <c r="O90" s="23" t="s">
        <v>875</v>
      </c>
      <c r="P90" s="23" t="s">
        <v>876</v>
      </c>
      <c r="Q90" s="23" t="s">
        <v>877</v>
      </c>
      <c r="R90" s="23" t="s">
        <v>878</v>
      </c>
      <c r="S90" s="23" t="s">
        <v>130</v>
      </c>
      <c r="T90" s="23" t="s">
        <v>67</v>
      </c>
      <c r="U90" s="23" t="s">
        <v>879</v>
      </c>
      <c r="V90" s="23" t="n">
        <v>0</v>
      </c>
      <c r="W90" s="23" t="n">
        <v>3.9</v>
      </c>
      <c r="X90" s="23" t="n">
        <v>24.1</v>
      </c>
      <c r="Y90" s="23" t="n">
        <v>0</v>
      </c>
      <c r="Z90" s="23" t="n">
        <v>0</v>
      </c>
      <c r="AA90" s="23" t="n">
        <v>0</v>
      </c>
      <c r="AB90" s="23" t="n">
        <v>0</v>
      </c>
      <c r="AC90" s="23" t="n">
        <v>0</v>
      </c>
    </row>
    <row r="91" customFormat="false" ht="15" hidden="false" customHeight="false" outlineLevel="0" collapsed="false">
      <c r="A91" s="23" t="s">
        <v>880</v>
      </c>
      <c r="B91" s="23" t="s">
        <v>881</v>
      </c>
      <c r="C91" s="23" t="s">
        <v>882</v>
      </c>
      <c r="D91" s="23" t="s">
        <v>94</v>
      </c>
      <c r="E91" s="23" t="s">
        <v>352</v>
      </c>
      <c r="F91" s="23" t="s">
        <v>42</v>
      </c>
      <c r="G91" s="23"/>
      <c r="H91" s="23" t="s">
        <v>29</v>
      </c>
      <c r="I91" s="23" t="s">
        <v>99</v>
      </c>
      <c r="J91" s="23" t="s">
        <v>333</v>
      </c>
      <c r="K91" s="23" t="s">
        <v>34</v>
      </c>
      <c r="L91" s="23" t="s">
        <v>410</v>
      </c>
      <c r="M91" s="23" t="n">
        <v>26</v>
      </c>
      <c r="N91" s="23"/>
      <c r="O91" s="23" t="s">
        <v>883</v>
      </c>
      <c r="P91" s="23" t="s">
        <v>884</v>
      </c>
      <c r="Q91" s="23" t="s">
        <v>885</v>
      </c>
      <c r="R91" s="23" t="s">
        <v>886</v>
      </c>
      <c r="S91" s="23" t="s">
        <v>130</v>
      </c>
      <c r="T91" s="23" t="s">
        <v>67</v>
      </c>
      <c r="U91" s="23" t="s">
        <v>887</v>
      </c>
      <c r="V91" s="23" t="n">
        <v>0</v>
      </c>
      <c r="W91" s="23" t="n">
        <v>6.1</v>
      </c>
      <c r="X91" s="23" t="n">
        <v>19.9</v>
      </c>
      <c r="Y91" s="23" t="n">
        <v>0</v>
      </c>
      <c r="Z91" s="23" t="n">
        <v>0</v>
      </c>
      <c r="AA91" s="23" t="n">
        <v>0</v>
      </c>
      <c r="AB91" s="23" t="n">
        <v>0</v>
      </c>
      <c r="AC91" s="23" t="n">
        <v>0</v>
      </c>
    </row>
    <row r="92" customFormat="false" ht="15" hidden="false" customHeight="false" outlineLevel="0" collapsed="false">
      <c r="A92" s="23" t="s">
        <v>888</v>
      </c>
      <c r="B92" s="23" t="s">
        <v>125</v>
      </c>
      <c r="C92" s="23" t="s">
        <v>124</v>
      </c>
      <c r="D92" s="23" t="s">
        <v>90</v>
      </c>
      <c r="E92" s="23" t="s">
        <v>352</v>
      </c>
      <c r="F92" s="23" t="s">
        <v>42</v>
      </c>
      <c r="G92" s="23"/>
      <c r="H92" s="23" t="s">
        <v>29</v>
      </c>
      <c r="I92" s="23" t="s">
        <v>102</v>
      </c>
      <c r="J92" s="23" t="s">
        <v>333</v>
      </c>
      <c r="K92" s="23" t="s">
        <v>35</v>
      </c>
      <c r="L92" s="23" t="s">
        <v>176</v>
      </c>
      <c r="M92" s="23" t="n">
        <v>25</v>
      </c>
      <c r="N92" s="23" t="n">
        <v>116</v>
      </c>
      <c r="O92" s="23" t="s">
        <v>889</v>
      </c>
      <c r="P92" s="23"/>
      <c r="Q92" s="23" t="s">
        <v>890</v>
      </c>
      <c r="R92" s="23" t="s">
        <v>126</v>
      </c>
      <c r="S92" s="23" t="s">
        <v>127</v>
      </c>
      <c r="T92" s="23" t="s">
        <v>69</v>
      </c>
      <c r="U92" s="23" t="s">
        <v>891</v>
      </c>
      <c r="V92" s="23" t="n">
        <v>0</v>
      </c>
      <c r="W92" s="23" t="n">
        <v>0</v>
      </c>
      <c r="X92" s="23" t="n">
        <v>0</v>
      </c>
      <c r="Y92" s="23" t="n">
        <v>25</v>
      </c>
      <c r="Z92" s="23" t="n">
        <v>0</v>
      </c>
      <c r="AA92" s="23" t="n">
        <v>0</v>
      </c>
      <c r="AB92" s="23" t="n">
        <v>0</v>
      </c>
      <c r="AC92" s="23" t="n">
        <v>0</v>
      </c>
    </row>
    <row r="93" customFormat="false" ht="15" hidden="false" customHeight="false" outlineLevel="0" collapsed="false">
      <c r="A93" s="23" t="s">
        <v>892</v>
      </c>
      <c r="B93" s="23" t="s">
        <v>893</v>
      </c>
      <c r="C93" s="23" t="s">
        <v>894</v>
      </c>
      <c r="D93" s="23" t="s">
        <v>92</v>
      </c>
      <c r="E93" s="23" t="s">
        <v>440</v>
      </c>
      <c r="F93" s="23" t="s">
        <v>42</v>
      </c>
      <c r="G93" s="23"/>
      <c r="H93" s="23" t="s">
        <v>29</v>
      </c>
      <c r="I93" s="23" t="s">
        <v>99</v>
      </c>
      <c r="J93" s="23" t="s">
        <v>333</v>
      </c>
      <c r="K93" s="23" t="s">
        <v>23</v>
      </c>
      <c r="L93" s="23" t="s">
        <v>23</v>
      </c>
      <c r="M93" s="23" t="n">
        <v>25</v>
      </c>
      <c r="N93" s="23"/>
      <c r="O93" s="23" t="s">
        <v>895</v>
      </c>
      <c r="P93" s="23" t="s">
        <v>896</v>
      </c>
      <c r="Q93" s="23" t="s">
        <v>897</v>
      </c>
      <c r="R93" s="23"/>
      <c r="S93" s="23"/>
      <c r="T93" s="23" t="s">
        <v>522</v>
      </c>
      <c r="U93" s="23" t="s">
        <v>523</v>
      </c>
      <c r="V93" s="23" t="n">
        <v>25</v>
      </c>
      <c r="W93" s="23" t="n">
        <v>0</v>
      </c>
      <c r="X93" s="23" t="n">
        <v>0</v>
      </c>
      <c r="Y93" s="23" t="n">
        <v>0</v>
      </c>
      <c r="Z93" s="23" t="n">
        <v>0</v>
      </c>
      <c r="AA93" s="23" t="n">
        <v>0</v>
      </c>
      <c r="AB93" s="23" t="n">
        <v>0</v>
      </c>
      <c r="AC93" s="23" t="n">
        <v>0</v>
      </c>
    </row>
    <row r="94" customFormat="false" ht="15" hidden="false" customHeight="false" outlineLevel="0" collapsed="false">
      <c r="A94" s="23" t="s">
        <v>898</v>
      </c>
      <c r="B94" s="23" t="s">
        <v>899</v>
      </c>
      <c r="C94" s="23" t="s">
        <v>900</v>
      </c>
      <c r="D94" s="23" t="s">
        <v>91</v>
      </c>
      <c r="E94" s="23" t="s">
        <v>332</v>
      </c>
      <c r="F94" s="23" t="s">
        <v>42</v>
      </c>
      <c r="G94" s="23"/>
      <c r="H94" s="23" t="s">
        <v>29</v>
      </c>
      <c r="I94" s="23" t="s">
        <v>99</v>
      </c>
      <c r="J94" s="23" t="s">
        <v>333</v>
      </c>
      <c r="K94" s="23" t="s">
        <v>23</v>
      </c>
      <c r="L94" s="23" t="s">
        <v>23</v>
      </c>
      <c r="M94" s="23" t="n">
        <v>24</v>
      </c>
      <c r="N94" s="23"/>
      <c r="O94" s="23" t="s">
        <v>901</v>
      </c>
      <c r="P94" s="23" t="s">
        <v>902</v>
      </c>
      <c r="Q94" s="23" t="s">
        <v>812</v>
      </c>
      <c r="R94" s="23"/>
      <c r="S94" s="23"/>
      <c r="T94" s="23" t="s">
        <v>522</v>
      </c>
      <c r="U94" s="23" t="s">
        <v>523</v>
      </c>
      <c r="V94" s="23" t="n">
        <v>24</v>
      </c>
      <c r="W94" s="23" t="n">
        <v>0</v>
      </c>
      <c r="X94" s="23" t="n">
        <v>0</v>
      </c>
      <c r="Y94" s="23" t="n">
        <v>0</v>
      </c>
      <c r="Z94" s="23" t="n">
        <v>0</v>
      </c>
      <c r="AA94" s="23" t="n">
        <v>0</v>
      </c>
      <c r="AB94" s="23" t="n">
        <v>0</v>
      </c>
      <c r="AC94" s="23" t="n">
        <v>0</v>
      </c>
    </row>
    <row r="95" customFormat="false" ht="15" hidden="false" customHeight="false" outlineLevel="0" collapsed="false">
      <c r="A95" s="23" t="s">
        <v>903</v>
      </c>
      <c r="B95" s="23" t="s">
        <v>904</v>
      </c>
      <c r="C95" s="23" t="s">
        <v>905</v>
      </c>
      <c r="D95" s="23" t="s">
        <v>90</v>
      </c>
      <c r="E95" s="23" t="s">
        <v>352</v>
      </c>
      <c r="F95" s="23" t="s">
        <v>42</v>
      </c>
      <c r="G95" s="23"/>
      <c r="H95" s="23" t="s">
        <v>29</v>
      </c>
      <c r="I95" s="23" t="s">
        <v>99</v>
      </c>
      <c r="J95" s="23" t="s">
        <v>333</v>
      </c>
      <c r="K95" s="23" t="s">
        <v>104</v>
      </c>
      <c r="L95" s="23" t="s">
        <v>176</v>
      </c>
      <c r="M95" s="23" t="n">
        <v>24</v>
      </c>
      <c r="N95" s="23"/>
      <c r="O95" s="23" t="s">
        <v>906</v>
      </c>
      <c r="P95" s="23"/>
      <c r="Q95" s="23" t="s">
        <v>907</v>
      </c>
      <c r="R95" s="23"/>
      <c r="S95" s="23"/>
      <c r="T95" s="23" t="s">
        <v>134</v>
      </c>
      <c r="U95" s="23" t="s">
        <v>476</v>
      </c>
      <c r="V95" s="23" t="n">
        <v>0</v>
      </c>
      <c r="W95" s="23" t="n">
        <v>0</v>
      </c>
      <c r="X95" s="23" t="n">
        <v>0</v>
      </c>
      <c r="Y95" s="23" t="n">
        <v>0</v>
      </c>
      <c r="Z95" s="23" t="n">
        <v>0</v>
      </c>
      <c r="AA95" s="23" t="n">
        <v>0</v>
      </c>
      <c r="AB95" s="23" t="n">
        <v>0</v>
      </c>
      <c r="AC95" s="23" t="n">
        <v>24</v>
      </c>
    </row>
    <row r="96" customFormat="false" ht="15" hidden="false" customHeight="false" outlineLevel="0" collapsed="false">
      <c r="A96" s="23" t="s">
        <v>908</v>
      </c>
      <c r="B96" s="23" t="s">
        <v>909</v>
      </c>
      <c r="C96" s="23" t="s">
        <v>910</v>
      </c>
      <c r="D96" s="23" t="s">
        <v>90</v>
      </c>
      <c r="E96" s="23" t="s">
        <v>352</v>
      </c>
      <c r="F96" s="23" t="s">
        <v>42</v>
      </c>
      <c r="G96" s="23"/>
      <c r="H96" s="23" t="s">
        <v>29</v>
      </c>
      <c r="I96" s="23" t="s">
        <v>99</v>
      </c>
      <c r="J96" s="23" t="s">
        <v>333</v>
      </c>
      <c r="K96" s="23" t="s">
        <v>35</v>
      </c>
      <c r="L96" s="23" t="s">
        <v>176</v>
      </c>
      <c r="M96" s="23" t="n">
        <v>24</v>
      </c>
      <c r="N96" s="23"/>
      <c r="O96" s="23" t="s">
        <v>911</v>
      </c>
      <c r="P96" s="23"/>
      <c r="Q96" s="23" t="s">
        <v>912</v>
      </c>
      <c r="R96" s="23" t="s">
        <v>126</v>
      </c>
      <c r="S96" s="23" t="s">
        <v>482</v>
      </c>
      <c r="T96" s="23" t="s">
        <v>69</v>
      </c>
      <c r="U96" s="23" t="s">
        <v>913</v>
      </c>
      <c r="V96" s="23" t="n">
        <v>0</v>
      </c>
      <c r="W96" s="23" t="n">
        <v>0</v>
      </c>
      <c r="X96" s="23" t="n">
        <v>0</v>
      </c>
      <c r="Y96" s="23" t="n">
        <v>6.2</v>
      </c>
      <c r="Z96" s="23" t="n">
        <v>12.8</v>
      </c>
      <c r="AA96" s="23" t="n">
        <v>5</v>
      </c>
      <c r="AB96" s="23" t="n">
        <v>0</v>
      </c>
      <c r="AC96" s="23" t="n">
        <v>0</v>
      </c>
    </row>
    <row r="97" customFormat="false" ht="15" hidden="false" customHeight="false" outlineLevel="0" collapsed="false">
      <c r="A97" s="23" t="s">
        <v>914</v>
      </c>
      <c r="B97" s="23" t="s">
        <v>915</v>
      </c>
      <c r="C97" s="23" t="s">
        <v>916</v>
      </c>
      <c r="D97" s="23" t="s">
        <v>92</v>
      </c>
      <c r="E97" s="23" t="s">
        <v>332</v>
      </c>
      <c r="F97" s="23" t="s">
        <v>42</v>
      </c>
      <c r="G97" s="23"/>
      <c r="H97" s="23" t="s">
        <v>29</v>
      </c>
      <c r="I97" s="23" t="s">
        <v>99</v>
      </c>
      <c r="J97" s="23" t="s">
        <v>333</v>
      </c>
      <c r="K97" s="23" t="s">
        <v>35</v>
      </c>
      <c r="L97" s="23" t="s">
        <v>176</v>
      </c>
      <c r="M97" s="23" t="n">
        <v>24</v>
      </c>
      <c r="N97" s="23"/>
      <c r="O97" s="23" t="s">
        <v>917</v>
      </c>
      <c r="P97" s="23"/>
      <c r="Q97" s="23" t="s">
        <v>918</v>
      </c>
      <c r="R97" s="23" t="s">
        <v>126</v>
      </c>
      <c r="S97" s="23" t="s">
        <v>919</v>
      </c>
      <c r="T97" s="23" t="s">
        <v>68</v>
      </c>
      <c r="U97" s="23" t="s">
        <v>920</v>
      </c>
      <c r="V97" s="23" t="n">
        <v>0</v>
      </c>
      <c r="W97" s="23" t="n">
        <v>0</v>
      </c>
      <c r="X97" s="23" t="n">
        <v>0</v>
      </c>
      <c r="Y97" s="23" t="n">
        <v>4.2</v>
      </c>
      <c r="Z97" s="23" t="n">
        <v>12.8</v>
      </c>
      <c r="AA97" s="23" t="n">
        <v>7</v>
      </c>
      <c r="AB97" s="23" t="n">
        <v>0</v>
      </c>
      <c r="AC97" s="23" t="n">
        <v>0</v>
      </c>
    </row>
    <row r="98" customFormat="false" ht="15" hidden="false" customHeight="false" outlineLevel="0" collapsed="false">
      <c r="A98" s="23" t="s">
        <v>921</v>
      </c>
      <c r="B98" s="23" t="s">
        <v>922</v>
      </c>
      <c r="C98" s="23" t="s">
        <v>923</v>
      </c>
      <c r="D98" s="23" t="s">
        <v>90</v>
      </c>
      <c r="E98" s="23" t="s">
        <v>332</v>
      </c>
      <c r="F98" s="23" t="s">
        <v>42</v>
      </c>
      <c r="G98" s="23"/>
      <c r="H98" s="23" t="s">
        <v>29</v>
      </c>
      <c r="I98" s="23" t="s">
        <v>99</v>
      </c>
      <c r="J98" s="23" t="s">
        <v>333</v>
      </c>
      <c r="K98" s="23" t="s">
        <v>34</v>
      </c>
      <c r="L98" s="23" t="s">
        <v>343</v>
      </c>
      <c r="M98" s="23" t="n">
        <v>24</v>
      </c>
      <c r="N98" s="23"/>
      <c r="O98" s="23" t="s">
        <v>924</v>
      </c>
      <c r="P98" s="23" t="s">
        <v>925</v>
      </c>
      <c r="Q98" s="23" t="s">
        <v>926</v>
      </c>
      <c r="R98" s="23" t="s">
        <v>927</v>
      </c>
      <c r="S98" s="23" t="s">
        <v>127</v>
      </c>
      <c r="T98" s="23" t="s">
        <v>67</v>
      </c>
      <c r="U98" s="23" t="s">
        <v>928</v>
      </c>
      <c r="V98" s="23" t="n">
        <v>0</v>
      </c>
      <c r="W98" s="23" t="n">
        <v>1.1</v>
      </c>
      <c r="X98" s="23" t="n">
        <v>12.8</v>
      </c>
      <c r="Y98" s="23" t="n">
        <v>10.1</v>
      </c>
      <c r="Z98" s="23" t="n">
        <v>0</v>
      </c>
      <c r="AA98" s="23" t="n">
        <v>0</v>
      </c>
      <c r="AB98" s="23" t="n">
        <v>0</v>
      </c>
      <c r="AC98" s="23" t="n">
        <v>0</v>
      </c>
    </row>
    <row r="99" customFormat="false" ht="15" hidden="false" customHeight="false" outlineLevel="0" collapsed="false">
      <c r="A99" s="23" t="s">
        <v>929</v>
      </c>
      <c r="B99" s="23" t="s">
        <v>930</v>
      </c>
      <c r="C99" s="23" t="s">
        <v>931</v>
      </c>
      <c r="D99" s="23" t="s">
        <v>89</v>
      </c>
      <c r="E99" s="23" t="s">
        <v>332</v>
      </c>
      <c r="F99" s="23" t="s">
        <v>42</v>
      </c>
      <c r="G99" s="23"/>
      <c r="H99" s="23" t="s">
        <v>29</v>
      </c>
      <c r="I99" s="23" t="s">
        <v>99</v>
      </c>
      <c r="J99" s="23" t="s">
        <v>333</v>
      </c>
      <c r="K99" s="23" t="s">
        <v>34</v>
      </c>
      <c r="L99" s="23" t="s">
        <v>727</v>
      </c>
      <c r="M99" s="23" t="n">
        <v>23</v>
      </c>
      <c r="N99" s="23"/>
      <c r="O99" s="23" t="s">
        <v>932</v>
      </c>
      <c r="P99" s="23" t="s">
        <v>933</v>
      </c>
      <c r="Q99" s="23" t="s">
        <v>934</v>
      </c>
      <c r="R99" s="23" t="s">
        <v>423</v>
      </c>
      <c r="S99" s="23" t="s">
        <v>130</v>
      </c>
      <c r="T99" s="23" t="s">
        <v>67</v>
      </c>
      <c r="U99" s="23" t="s">
        <v>425</v>
      </c>
      <c r="V99" s="23" t="n">
        <v>0</v>
      </c>
      <c r="W99" s="23" t="n">
        <v>5.4</v>
      </c>
      <c r="X99" s="23" t="n">
        <v>17.6</v>
      </c>
      <c r="Y99" s="23" t="n">
        <v>0</v>
      </c>
      <c r="Z99" s="23" t="n">
        <v>0</v>
      </c>
      <c r="AA99" s="23" t="n">
        <v>0</v>
      </c>
      <c r="AB99" s="23" t="n">
        <v>0</v>
      </c>
      <c r="AC99" s="23" t="n">
        <v>0</v>
      </c>
    </row>
    <row r="100" customFormat="false" ht="15" hidden="false" customHeight="false" outlineLevel="0" collapsed="false">
      <c r="A100" s="23" t="s">
        <v>935</v>
      </c>
      <c r="B100" s="23" t="s">
        <v>936</v>
      </c>
      <c r="C100" s="23" t="s">
        <v>937</v>
      </c>
      <c r="D100" s="23" t="s">
        <v>89</v>
      </c>
      <c r="E100" s="23" t="s">
        <v>332</v>
      </c>
      <c r="F100" s="23" t="s">
        <v>42</v>
      </c>
      <c r="G100" s="23"/>
      <c r="H100" s="23" t="s">
        <v>29</v>
      </c>
      <c r="I100" s="23" t="s">
        <v>99</v>
      </c>
      <c r="J100" s="23" t="s">
        <v>333</v>
      </c>
      <c r="K100" s="23" t="s">
        <v>34</v>
      </c>
      <c r="L100" s="23" t="s">
        <v>343</v>
      </c>
      <c r="M100" s="23" t="n">
        <v>23</v>
      </c>
      <c r="N100" s="23"/>
      <c r="O100" s="23" t="s">
        <v>938</v>
      </c>
      <c r="P100" s="23" t="s">
        <v>939</v>
      </c>
      <c r="Q100" s="23" t="s">
        <v>940</v>
      </c>
      <c r="R100" s="23" t="s">
        <v>941</v>
      </c>
      <c r="S100" s="23" t="s">
        <v>130</v>
      </c>
      <c r="T100" s="23" t="s">
        <v>67</v>
      </c>
      <c r="U100" s="23" t="s">
        <v>942</v>
      </c>
      <c r="V100" s="23" t="n">
        <v>0</v>
      </c>
      <c r="W100" s="23" t="n">
        <v>5.4</v>
      </c>
      <c r="X100" s="23" t="n">
        <v>17.6</v>
      </c>
      <c r="Y100" s="23" t="n">
        <v>0</v>
      </c>
      <c r="Z100" s="23" t="n">
        <v>0</v>
      </c>
      <c r="AA100" s="23" t="n">
        <v>0</v>
      </c>
      <c r="AB100" s="23" t="n">
        <v>0</v>
      </c>
      <c r="AC100" s="23" t="n">
        <v>0</v>
      </c>
    </row>
    <row r="101" customFormat="false" ht="15" hidden="false" customHeight="false" outlineLevel="0" collapsed="false">
      <c r="A101" s="23" t="s">
        <v>943</v>
      </c>
      <c r="B101" s="23" t="s">
        <v>944</v>
      </c>
      <c r="C101" s="23" t="s">
        <v>945</v>
      </c>
      <c r="D101" s="23" t="s">
        <v>90</v>
      </c>
      <c r="E101" s="23" t="s">
        <v>332</v>
      </c>
      <c r="F101" s="23" t="s">
        <v>42</v>
      </c>
      <c r="G101" s="23"/>
      <c r="H101" s="23" t="s">
        <v>29</v>
      </c>
      <c r="I101" s="23" t="s">
        <v>99</v>
      </c>
      <c r="J101" s="23" t="s">
        <v>333</v>
      </c>
      <c r="K101" s="23" t="s">
        <v>35</v>
      </c>
      <c r="L101" s="23" t="s">
        <v>176</v>
      </c>
      <c r="M101" s="23" t="n">
        <v>22</v>
      </c>
      <c r="N101" s="23"/>
      <c r="O101" s="23" t="s">
        <v>946</v>
      </c>
      <c r="P101" s="23"/>
      <c r="Q101" s="23" t="s">
        <v>947</v>
      </c>
      <c r="R101" s="23" t="s">
        <v>130</v>
      </c>
      <c r="S101" s="23" t="s">
        <v>482</v>
      </c>
      <c r="T101" s="23" t="s">
        <v>68</v>
      </c>
      <c r="U101" s="23" t="s">
        <v>948</v>
      </c>
      <c r="V101" s="23" t="n">
        <v>0</v>
      </c>
      <c r="W101" s="23" t="n">
        <v>0</v>
      </c>
      <c r="X101" s="23" t="n">
        <v>0</v>
      </c>
      <c r="Y101" s="23" t="n">
        <v>2.4</v>
      </c>
      <c r="Z101" s="23" t="n">
        <v>13.5</v>
      </c>
      <c r="AA101" s="23" t="n">
        <v>6.2</v>
      </c>
      <c r="AB101" s="23" t="n">
        <v>-0.1</v>
      </c>
      <c r="AC101" s="23" t="n">
        <v>0</v>
      </c>
    </row>
    <row r="102" customFormat="false" ht="15" hidden="false" customHeight="false" outlineLevel="0" collapsed="false">
      <c r="A102" s="23" t="s">
        <v>949</v>
      </c>
      <c r="B102" s="23" t="s">
        <v>950</v>
      </c>
      <c r="C102" s="23" t="s">
        <v>951</v>
      </c>
      <c r="D102" s="23" t="s">
        <v>90</v>
      </c>
      <c r="E102" s="23" t="s">
        <v>332</v>
      </c>
      <c r="F102" s="23" t="s">
        <v>42</v>
      </c>
      <c r="G102" s="23"/>
      <c r="H102" s="23" t="s">
        <v>29</v>
      </c>
      <c r="I102" s="23" t="s">
        <v>99</v>
      </c>
      <c r="J102" s="23" t="s">
        <v>333</v>
      </c>
      <c r="K102" s="23" t="s">
        <v>35</v>
      </c>
      <c r="L102" s="23" t="s">
        <v>176</v>
      </c>
      <c r="M102" s="23" t="n">
        <v>21</v>
      </c>
      <c r="N102" s="23"/>
      <c r="O102" s="23" t="s">
        <v>952</v>
      </c>
      <c r="P102" s="23"/>
      <c r="Q102" s="23" t="s">
        <v>953</v>
      </c>
      <c r="R102" s="23" t="s">
        <v>126</v>
      </c>
      <c r="S102" s="23" t="s">
        <v>367</v>
      </c>
      <c r="T102" s="23" t="s">
        <v>69</v>
      </c>
      <c r="U102" s="23" t="s">
        <v>548</v>
      </c>
      <c r="V102" s="23" t="n">
        <v>0</v>
      </c>
      <c r="W102" s="23" t="n">
        <v>0</v>
      </c>
      <c r="X102" s="23" t="n">
        <v>0</v>
      </c>
      <c r="Y102" s="23" t="n">
        <v>6.7</v>
      </c>
      <c r="Z102" s="23" t="n">
        <v>13.9</v>
      </c>
      <c r="AA102" s="23" t="n">
        <v>0.5</v>
      </c>
      <c r="AB102" s="23" t="n">
        <v>-0.1</v>
      </c>
      <c r="AC102" s="23" t="n">
        <v>0</v>
      </c>
    </row>
    <row r="103" customFormat="false" ht="15" hidden="false" customHeight="false" outlineLevel="0" collapsed="false">
      <c r="A103" s="23" t="s">
        <v>954</v>
      </c>
      <c r="B103" s="23" t="s">
        <v>955</v>
      </c>
      <c r="C103" s="23" t="s">
        <v>956</v>
      </c>
      <c r="D103" s="23" t="s">
        <v>89</v>
      </c>
      <c r="E103" s="23" t="s">
        <v>332</v>
      </c>
      <c r="F103" s="23" t="s">
        <v>42</v>
      </c>
      <c r="G103" s="23"/>
      <c r="H103" s="23" t="s">
        <v>29</v>
      </c>
      <c r="I103" s="23" t="s">
        <v>99</v>
      </c>
      <c r="J103" s="23" t="s">
        <v>333</v>
      </c>
      <c r="K103" s="23" t="s">
        <v>23</v>
      </c>
      <c r="L103" s="23" t="s">
        <v>23</v>
      </c>
      <c r="M103" s="23" t="n">
        <v>21</v>
      </c>
      <c r="N103" s="23"/>
      <c r="O103" s="23" t="s">
        <v>957</v>
      </c>
      <c r="P103" s="23" t="s">
        <v>958</v>
      </c>
      <c r="Q103" s="23" t="s">
        <v>959</v>
      </c>
      <c r="R103" s="23"/>
      <c r="S103" s="23"/>
      <c r="T103" s="23" t="s">
        <v>522</v>
      </c>
      <c r="U103" s="23" t="s">
        <v>523</v>
      </c>
      <c r="V103" s="23" t="n">
        <v>21</v>
      </c>
      <c r="W103" s="23" t="n">
        <v>0</v>
      </c>
      <c r="X103" s="23" t="n">
        <v>0</v>
      </c>
      <c r="Y103" s="23" t="n">
        <v>0</v>
      </c>
      <c r="Z103" s="23" t="n">
        <v>0</v>
      </c>
      <c r="AA103" s="23" t="n">
        <v>0</v>
      </c>
      <c r="AB103" s="23" t="n">
        <v>0</v>
      </c>
      <c r="AC103" s="23" t="n">
        <v>0</v>
      </c>
    </row>
    <row r="104" customFormat="false" ht="15" hidden="false" customHeight="false" outlineLevel="0" collapsed="false">
      <c r="A104" s="23" t="s">
        <v>960</v>
      </c>
      <c r="B104" s="23" t="s">
        <v>961</v>
      </c>
      <c r="C104" s="23" t="s">
        <v>962</v>
      </c>
      <c r="D104" s="23" t="s">
        <v>92</v>
      </c>
      <c r="E104" s="23" t="s">
        <v>440</v>
      </c>
      <c r="F104" s="23" t="s">
        <v>42</v>
      </c>
      <c r="G104" s="23"/>
      <c r="H104" s="23" t="s">
        <v>29</v>
      </c>
      <c r="I104" s="23" t="s">
        <v>99</v>
      </c>
      <c r="J104" s="23" t="s">
        <v>333</v>
      </c>
      <c r="K104" s="23" t="s">
        <v>35</v>
      </c>
      <c r="L104" s="23" t="s">
        <v>176</v>
      </c>
      <c r="M104" s="23" t="n">
        <v>21</v>
      </c>
      <c r="N104" s="23"/>
      <c r="O104" s="23" t="s">
        <v>963</v>
      </c>
      <c r="P104" s="23"/>
      <c r="Q104" s="23" t="s">
        <v>964</v>
      </c>
      <c r="R104" s="23" t="s">
        <v>126</v>
      </c>
      <c r="S104" s="23" t="s">
        <v>367</v>
      </c>
      <c r="T104" s="23" t="s">
        <v>69</v>
      </c>
      <c r="U104" s="23" t="s">
        <v>965</v>
      </c>
      <c r="V104" s="23" t="n">
        <v>0</v>
      </c>
      <c r="W104" s="23" t="n">
        <v>0</v>
      </c>
      <c r="X104" s="23" t="n">
        <v>0</v>
      </c>
      <c r="Y104" s="23" t="n">
        <v>6.7</v>
      </c>
      <c r="Z104" s="23" t="n">
        <v>13.9</v>
      </c>
      <c r="AA104" s="23" t="n">
        <v>0.5</v>
      </c>
      <c r="AB104" s="23" t="n">
        <v>-0.1</v>
      </c>
      <c r="AC104" s="23" t="n">
        <v>0</v>
      </c>
    </row>
    <row r="105" customFormat="false" ht="15" hidden="false" customHeight="false" outlineLevel="0" collapsed="false">
      <c r="A105" s="23" t="s">
        <v>966</v>
      </c>
      <c r="B105" s="23" t="s">
        <v>967</v>
      </c>
      <c r="C105" s="23" t="s">
        <v>968</v>
      </c>
      <c r="D105" s="23" t="s">
        <v>90</v>
      </c>
      <c r="E105" s="23" t="s">
        <v>352</v>
      </c>
      <c r="F105" s="23" t="s">
        <v>42</v>
      </c>
      <c r="G105" s="23"/>
      <c r="H105" s="23" t="s">
        <v>29</v>
      </c>
      <c r="I105" s="23" t="s">
        <v>99</v>
      </c>
      <c r="J105" s="23" t="s">
        <v>333</v>
      </c>
      <c r="K105" s="23" t="s">
        <v>35</v>
      </c>
      <c r="L105" s="23" t="s">
        <v>176</v>
      </c>
      <c r="M105" s="23" t="n">
        <v>16</v>
      </c>
      <c r="N105" s="23"/>
      <c r="O105" s="23" t="s">
        <v>969</v>
      </c>
      <c r="P105" s="23"/>
      <c r="Q105" s="23" t="s">
        <v>970</v>
      </c>
      <c r="R105" s="23" t="s">
        <v>130</v>
      </c>
      <c r="S105" s="23" t="s">
        <v>514</v>
      </c>
      <c r="T105" s="23" t="s">
        <v>68</v>
      </c>
      <c r="U105" s="23" t="s">
        <v>948</v>
      </c>
      <c r="V105" s="23" t="n">
        <v>0</v>
      </c>
      <c r="W105" s="23" t="n">
        <v>0</v>
      </c>
      <c r="X105" s="23" t="n">
        <v>0</v>
      </c>
      <c r="Y105" s="23" t="n">
        <v>3.1</v>
      </c>
      <c r="Z105" s="23" t="n">
        <v>12.9</v>
      </c>
      <c r="AA105" s="23" t="n">
        <v>0</v>
      </c>
      <c r="AB105" s="23" t="n">
        <v>0</v>
      </c>
      <c r="AC105" s="23" t="n">
        <v>0</v>
      </c>
    </row>
    <row r="106" customFormat="false" ht="15" hidden="false" customHeight="false" outlineLevel="0" collapsed="false">
      <c r="A106" s="23" t="s">
        <v>971</v>
      </c>
      <c r="B106" s="23" t="s">
        <v>972</v>
      </c>
      <c r="C106" s="23" t="s">
        <v>973</v>
      </c>
      <c r="D106" s="23" t="s">
        <v>90</v>
      </c>
      <c r="E106" s="23" t="s">
        <v>352</v>
      </c>
      <c r="F106" s="23" t="s">
        <v>42</v>
      </c>
      <c r="G106" s="23"/>
      <c r="H106" s="23" t="s">
        <v>29</v>
      </c>
      <c r="I106" s="23" t="s">
        <v>99</v>
      </c>
      <c r="J106" s="23" t="s">
        <v>333</v>
      </c>
      <c r="K106" s="23" t="s">
        <v>104</v>
      </c>
      <c r="L106" s="23" t="s">
        <v>176</v>
      </c>
      <c r="M106" s="23" t="n">
        <v>15</v>
      </c>
      <c r="N106" s="23"/>
      <c r="O106" s="23" t="s">
        <v>974</v>
      </c>
      <c r="P106" s="23"/>
      <c r="Q106" s="23" t="s">
        <v>975</v>
      </c>
      <c r="R106" s="23"/>
      <c r="S106" s="23"/>
      <c r="T106" s="23" t="s">
        <v>134</v>
      </c>
      <c r="U106" s="23" t="s">
        <v>476</v>
      </c>
      <c r="V106" s="23" t="n">
        <v>0</v>
      </c>
      <c r="W106" s="23" t="n">
        <v>0</v>
      </c>
      <c r="X106" s="23" t="n">
        <v>0</v>
      </c>
      <c r="Y106" s="23" t="n">
        <v>0</v>
      </c>
      <c r="Z106" s="23" t="n">
        <v>0</v>
      </c>
      <c r="AA106" s="23" t="n">
        <v>0</v>
      </c>
      <c r="AB106" s="23" t="n">
        <v>0</v>
      </c>
      <c r="AC106" s="23" t="n">
        <v>15</v>
      </c>
    </row>
    <row r="107" customFormat="false" ht="15" hidden="false" customHeight="false" outlineLevel="0" collapsed="false">
      <c r="A107" s="23" t="s">
        <v>976</v>
      </c>
      <c r="B107" s="23" t="s">
        <v>977</v>
      </c>
      <c r="C107" s="23" t="s">
        <v>978</v>
      </c>
      <c r="D107" s="23" t="s">
        <v>90</v>
      </c>
      <c r="E107" s="23" t="s">
        <v>332</v>
      </c>
      <c r="F107" s="23" t="s">
        <v>42</v>
      </c>
      <c r="G107" s="23"/>
      <c r="H107" s="23" t="s">
        <v>29</v>
      </c>
      <c r="I107" s="23" t="s">
        <v>99</v>
      </c>
      <c r="J107" s="23" t="s">
        <v>333</v>
      </c>
      <c r="K107" s="23" t="s">
        <v>35</v>
      </c>
      <c r="L107" s="23" t="s">
        <v>176</v>
      </c>
      <c r="M107" s="23" t="n">
        <v>15</v>
      </c>
      <c r="N107" s="23"/>
      <c r="O107" s="23" t="s">
        <v>979</v>
      </c>
      <c r="P107" s="23"/>
      <c r="Q107" s="23" t="s">
        <v>980</v>
      </c>
      <c r="R107" s="23" t="s">
        <v>126</v>
      </c>
      <c r="S107" s="23" t="s">
        <v>116</v>
      </c>
      <c r="T107" s="23" t="s">
        <v>69</v>
      </c>
      <c r="U107" s="23" t="s">
        <v>981</v>
      </c>
      <c r="V107" s="23" t="n">
        <v>0</v>
      </c>
      <c r="W107" s="23" t="n">
        <v>0</v>
      </c>
      <c r="X107" s="23" t="n">
        <v>0</v>
      </c>
      <c r="Y107" s="23" t="n">
        <v>8.8</v>
      </c>
      <c r="Z107" s="23" t="n">
        <v>6.2</v>
      </c>
      <c r="AA107" s="23" t="n">
        <v>0</v>
      </c>
      <c r="AB107" s="23" t="n">
        <v>0</v>
      </c>
      <c r="AC107" s="23" t="n">
        <v>0</v>
      </c>
    </row>
    <row r="108" customFormat="false" ht="15" hidden="false" customHeight="false" outlineLevel="0" collapsed="false">
      <c r="A108" s="23" t="s">
        <v>982</v>
      </c>
      <c r="B108" s="23" t="s">
        <v>983</v>
      </c>
      <c r="C108" s="23" t="s">
        <v>984</v>
      </c>
      <c r="D108" s="23" t="s">
        <v>90</v>
      </c>
      <c r="E108" s="23" t="s">
        <v>352</v>
      </c>
      <c r="F108" s="23" t="s">
        <v>42</v>
      </c>
      <c r="G108" s="23"/>
      <c r="H108" s="23" t="s">
        <v>29</v>
      </c>
      <c r="I108" s="23" t="s">
        <v>99</v>
      </c>
      <c r="J108" s="23" t="s">
        <v>333</v>
      </c>
      <c r="K108" s="23" t="s">
        <v>35</v>
      </c>
      <c r="L108" s="23" t="s">
        <v>176</v>
      </c>
      <c r="M108" s="23" t="n">
        <v>14</v>
      </c>
      <c r="N108" s="23"/>
      <c r="O108" s="23" t="s">
        <v>985</v>
      </c>
      <c r="P108" s="23"/>
      <c r="Q108" s="23" t="s">
        <v>986</v>
      </c>
      <c r="R108" s="23" t="s">
        <v>126</v>
      </c>
      <c r="S108" s="23" t="s">
        <v>116</v>
      </c>
      <c r="T108" s="23" t="s">
        <v>69</v>
      </c>
      <c r="U108" s="23" t="s">
        <v>987</v>
      </c>
      <c r="V108" s="23" t="n">
        <v>0</v>
      </c>
      <c r="W108" s="23" t="n">
        <v>0</v>
      </c>
      <c r="X108" s="23" t="n">
        <v>0</v>
      </c>
      <c r="Y108" s="23" t="n">
        <v>8.2</v>
      </c>
      <c r="Z108" s="23" t="n">
        <v>5.8</v>
      </c>
      <c r="AA108" s="23" t="n">
        <v>0</v>
      </c>
      <c r="AB108" s="23" t="n">
        <v>0</v>
      </c>
      <c r="AC108" s="23" t="n">
        <v>0</v>
      </c>
    </row>
    <row r="109" customFormat="false" ht="15" hidden="false" customHeight="false" outlineLevel="0" collapsed="false">
      <c r="A109" s="23" t="s">
        <v>988</v>
      </c>
      <c r="B109" s="23" t="s">
        <v>989</v>
      </c>
      <c r="C109" s="23" t="s">
        <v>990</v>
      </c>
      <c r="D109" s="23" t="s">
        <v>89</v>
      </c>
      <c r="E109" s="23" t="s">
        <v>332</v>
      </c>
      <c r="F109" s="23" t="s">
        <v>42</v>
      </c>
      <c r="G109" s="23"/>
      <c r="H109" s="23" t="s">
        <v>29</v>
      </c>
      <c r="I109" s="23" t="s">
        <v>99</v>
      </c>
      <c r="J109" s="23" t="s">
        <v>333</v>
      </c>
      <c r="K109" s="23" t="s">
        <v>34</v>
      </c>
      <c r="L109" s="23" t="s">
        <v>727</v>
      </c>
      <c r="M109" s="23" t="n">
        <v>14</v>
      </c>
      <c r="N109" s="23"/>
      <c r="O109" s="23" t="s">
        <v>991</v>
      </c>
      <c r="P109" s="23" t="s">
        <v>992</v>
      </c>
      <c r="Q109" s="23" t="s">
        <v>993</v>
      </c>
      <c r="R109" s="23" t="s">
        <v>722</v>
      </c>
      <c r="S109" s="23" t="s">
        <v>130</v>
      </c>
      <c r="T109" s="23" t="s">
        <v>67</v>
      </c>
      <c r="U109" s="23" t="s">
        <v>723</v>
      </c>
      <c r="V109" s="23" t="n">
        <v>0</v>
      </c>
      <c r="W109" s="23" t="n">
        <v>3.3</v>
      </c>
      <c r="X109" s="23" t="n">
        <v>10.7</v>
      </c>
      <c r="Y109" s="23" t="n">
        <v>0</v>
      </c>
      <c r="Z109" s="23" t="n">
        <v>0</v>
      </c>
      <c r="AA109" s="23" t="n">
        <v>0</v>
      </c>
      <c r="AB109" s="23" t="n">
        <v>0</v>
      </c>
      <c r="AC109" s="23" t="n">
        <v>0</v>
      </c>
    </row>
    <row r="110" customFormat="false" ht="15" hidden="false" customHeight="false" outlineLevel="0" collapsed="false">
      <c r="A110" s="23" t="s">
        <v>994</v>
      </c>
      <c r="B110" s="23" t="s">
        <v>995</v>
      </c>
      <c r="C110" s="23" t="s">
        <v>996</v>
      </c>
      <c r="D110" s="23" t="s">
        <v>90</v>
      </c>
      <c r="E110" s="23" t="s">
        <v>352</v>
      </c>
      <c r="F110" s="23" t="s">
        <v>42</v>
      </c>
      <c r="G110" s="23"/>
      <c r="H110" s="23" t="s">
        <v>29</v>
      </c>
      <c r="I110" s="23" t="s">
        <v>99</v>
      </c>
      <c r="J110" s="23" t="s">
        <v>333</v>
      </c>
      <c r="K110" s="23" t="s">
        <v>23</v>
      </c>
      <c r="L110" s="23" t="s">
        <v>23</v>
      </c>
      <c r="M110" s="23" t="n">
        <v>14</v>
      </c>
      <c r="N110" s="23"/>
      <c r="O110" s="23" t="s">
        <v>997</v>
      </c>
      <c r="P110" s="23" t="s">
        <v>998</v>
      </c>
      <c r="Q110" s="23" t="s">
        <v>999</v>
      </c>
      <c r="R110" s="23"/>
      <c r="S110" s="23"/>
      <c r="T110" s="23" t="s">
        <v>522</v>
      </c>
      <c r="U110" s="23" t="s">
        <v>523</v>
      </c>
      <c r="V110" s="23" t="n">
        <v>14</v>
      </c>
      <c r="W110" s="23" t="n">
        <v>0</v>
      </c>
      <c r="X110" s="23" t="n">
        <v>0</v>
      </c>
      <c r="Y110" s="23" t="n">
        <v>0</v>
      </c>
      <c r="Z110" s="23" t="n">
        <v>0</v>
      </c>
      <c r="AA110" s="23" t="n">
        <v>0</v>
      </c>
      <c r="AB110" s="23" t="n">
        <v>0</v>
      </c>
      <c r="AC110" s="23" t="n">
        <v>0</v>
      </c>
    </row>
    <row r="111" customFormat="false" ht="15" hidden="false" customHeight="false" outlineLevel="0" collapsed="false">
      <c r="A111" s="23" t="s">
        <v>1000</v>
      </c>
      <c r="B111" s="23" t="s">
        <v>1001</v>
      </c>
      <c r="C111" s="23" t="s">
        <v>1002</v>
      </c>
      <c r="D111" s="23" t="s">
        <v>89</v>
      </c>
      <c r="E111" s="23" t="s">
        <v>473</v>
      </c>
      <c r="F111" s="23" t="s">
        <v>42</v>
      </c>
      <c r="G111" s="23"/>
      <c r="H111" s="23" t="s">
        <v>29</v>
      </c>
      <c r="I111" s="23" t="s">
        <v>99</v>
      </c>
      <c r="J111" s="23" t="s">
        <v>333</v>
      </c>
      <c r="K111" s="23" t="s">
        <v>23</v>
      </c>
      <c r="L111" s="23" t="s">
        <v>23</v>
      </c>
      <c r="M111" s="23" t="n">
        <v>12</v>
      </c>
      <c r="N111" s="23"/>
      <c r="O111" s="23" t="s">
        <v>1003</v>
      </c>
      <c r="P111" s="23" t="s">
        <v>1004</v>
      </c>
      <c r="Q111" s="23" t="s">
        <v>1005</v>
      </c>
      <c r="R111" s="23"/>
      <c r="S111" s="23"/>
      <c r="T111" s="23" t="s">
        <v>522</v>
      </c>
      <c r="U111" s="23" t="s">
        <v>523</v>
      </c>
      <c r="V111" s="23" t="n">
        <v>12</v>
      </c>
      <c r="W111" s="23" t="n">
        <v>0</v>
      </c>
      <c r="X111" s="23" t="n">
        <v>0</v>
      </c>
      <c r="Y111" s="23" t="n">
        <v>0</v>
      </c>
      <c r="Z111" s="23" t="n">
        <v>0</v>
      </c>
      <c r="AA111" s="23" t="n">
        <v>0</v>
      </c>
      <c r="AB111" s="23" t="n">
        <v>0</v>
      </c>
      <c r="AC111" s="23" t="n">
        <v>0</v>
      </c>
    </row>
    <row r="112" customFormat="false" ht="15" hidden="false" customHeight="false" outlineLevel="0" collapsed="false">
      <c r="A112" s="23" t="s">
        <v>1006</v>
      </c>
      <c r="B112" s="23" t="s">
        <v>1007</v>
      </c>
      <c r="C112" s="23" t="s">
        <v>1008</v>
      </c>
      <c r="D112" s="23" t="s">
        <v>89</v>
      </c>
      <c r="E112" s="23" t="s">
        <v>332</v>
      </c>
      <c r="F112" s="23" t="s">
        <v>42</v>
      </c>
      <c r="G112" s="23"/>
      <c r="H112" s="23" t="s">
        <v>29</v>
      </c>
      <c r="I112" s="23" t="s">
        <v>99</v>
      </c>
      <c r="J112" s="23" t="s">
        <v>333</v>
      </c>
      <c r="K112" s="23" t="s">
        <v>104</v>
      </c>
      <c r="L112" s="23" t="s">
        <v>176</v>
      </c>
      <c r="M112" s="23" t="n">
        <v>12</v>
      </c>
      <c r="N112" s="23"/>
      <c r="O112" s="23" t="s">
        <v>1009</v>
      </c>
      <c r="P112" s="23"/>
      <c r="Q112" s="23" t="s">
        <v>1010</v>
      </c>
      <c r="R112" s="23"/>
      <c r="S112" s="23"/>
      <c r="T112" s="23" t="s">
        <v>134</v>
      </c>
      <c r="U112" s="23" t="s">
        <v>476</v>
      </c>
      <c r="V112" s="23" t="n">
        <v>0</v>
      </c>
      <c r="W112" s="23" t="n">
        <v>0</v>
      </c>
      <c r="X112" s="23" t="n">
        <v>0</v>
      </c>
      <c r="Y112" s="23" t="n">
        <v>0</v>
      </c>
      <c r="Z112" s="23" t="n">
        <v>0</v>
      </c>
      <c r="AA112" s="23" t="n">
        <v>0</v>
      </c>
      <c r="AB112" s="23" t="n">
        <v>0</v>
      </c>
      <c r="AC112" s="23" t="n">
        <v>12</v>
      </c>
    </row>
    <row r="113" customFormat="false" ht="15" hidden="false" customHeight="false" outlineLevel="0" collapsed="false">
      <c r="A113" s="23" t="s">
        <v>1011</v>
      </c>
      <c r="B113" s="23" t="s">
        <v>1012</v>
      </c>
      <c r="C113" s="23" t="s">
        <v>1013</v>
      </c>
      <c r="D113" s="23" t="s">
        <v>92</v>
      </c>
      <c r="E113" s="23" t="s">
        <v>440</v>
      </c>
      <c r="F113" s="23" t="s">
        <v>42</v>
      </c>
      <c r="G113" s="23"/>
      <c r="H113" s="23" t="s">
        <v>29</v>
      </c>
      <c r="I113" s="23" t="s">
        <v>99</v>
      </c>
      <c r="J113" s="23" t="s">
        <v>333</v>
      </c>
      <c r="K113" s="23" t="s">
        <v>34</v>
      </c>
      <c r="L113" s="23" t="s">
        <v>343</v>
      </c>
      <c r="M113" s="23" t="n">
        <v>12</v>
      </c>
      <c r="N113" s="23"/>
      <c r="O113" s="23" t="s">
        <v>1014</v>
      </c>
      <c r="P113" s="23" t="s">
        <v>412</v>
      </c>
      <c r="Q113" s="23" t="s">
        <v>1015</v>
      </c>
      <c r="R113" s="23" t="s">
        <v>414</v>
      </c>
      <c r="S113" s="23" t="s">
        <v>130</v>
      </c>
      <c r="T113" s="23" t="s">
        <v>67</v>
      </c>
      <c r="U113" s="23" t="s">
        <v>416</v>
      </c>
      <c r="V113" s="23" t="n">
        <v>0</v>
      </c>
      <c r="W113" s="23" t="n">
        <v>2.8</v>
      </c>
      <c r="X113" s="23" t="n">
        <v>9.2</v>
      </c>
      <c r="Y113" s="23" t="n">
        <v>0</v>
      </c>
      <c r="Z113" s="23" t="n">
        <v>0</v>
      </c>
      <c r="AA113" s="23" t="n">
        <v>0</v>
      </c>
      <c r="AB113" s="23" t="n">
        <v>0</v>
      </c>
      <c r="AC113" s="23" t="n">
        <v>0</v>
      </c>
    </row>
    <row r="114" customFormat="false" ht="15" hidden="false" customHeight="false" outlineLevel="0" collapsed="false">
      <c r="A114" s="23" t="s">
        <v>1016</v>
      </c>
      <c r="B114" s="23" t="s">
        <v>1017</v>
      </c>
      <c r="C114" s="23" t="s">
        <v>1018</v>
      </c>
      <c r="D114" s="23" t="s">
        <v>88</v>
      </c>
      <c r="E114" s="23" t="s">
        <v>332</v>
      </c>
      <c r="F114" s="23" t="s">
        <v>42</v>
      </c>
      <c r="G114" s="23"/>
      <c r="H114" s="23" t="s">
        <v>29</v>
      </c>
      <c r="I114" s="23" t="s">
        <v>99</v>
      </c>
      <c r="J114" s="23" t="s">
        <v>333</v>
      </c>
      <c r="K114" s="23" t="s">
        <v>35</v>
      </c>
      <c r="L114" s="23" t="s">
        <v>176</v>
      </c>
      <c r="M114" s="23" t="n">
        <v>11</v>
      </c>
      <c r="N114" s="23"/>
      <c r="O114" s="23" t="s">
        <v>1019</v>
      </c>
      <c r="P114" s="23"/>
      <c r="Q114" s="23" t="s">
        <v>1020</v>
      </c>
      <c r="R114" s="23" t="s">
        <v>126</v>
      </c>
      <c r="S114" s="23" t="s">
        <v>116</v>
      </c>
      <c r="T114" s="23" t="s">
        <v>69</v>
      </c>
      <c r="U114" s="23" t="s">
        <v>611</v>
      </c>
      <c r="V114" s="23" t="n">
        <v>0</v>
      </c>
      <c r="W114" s="23" t="n">
        <v>0</v>
      </c>
      <c r="X114" s="23" t="n">
        <v>0</v>
      </c>
      <c r="Y114" s="23" t="n">
        <v>6.4</v>
      </c>
      <c r="Z114" s="23" t="n">
        <v>4.6</v>
      </c>
      <c r="AA114" s="23" t="n">
        <v>0</v>
      </c>
      <c r="AB114" s="23" t="n">
        <v>0</v>
      </c>
      <c r="AC114" s="23" t="n">
        <v>0</v>
      </c>
    </row>
    <row r="115" customFormat="false" ht="15" hidden="false" customHeight="false" outlineLevel="0" collapsed="false">
      <c r="A115" s="23" t="s">
        <v>1021</v>
      </c>
      <c r="B115" s="23" t="s">
        <v>1022</v>
      </c>
      <c r="C115" s="23" t="s">
        <v>1023</v>
      </c>
      <c r="D115" s="23" t="s">
        <v>90</v>
      </c>
      <c r="E115" s="23" t="s">
        <v>352</v>
      </c>
      <c r="F115" s="23" t="s">
        <v>42</v>
      </c>
      <c r="G115" s="23"/>
      <c r="H115" s="23" t="s">
        <v>29</v>
      </c>
      <c r="I115" s="23" t="s">
        <v>99</v>
      </c>
      <c r="J115" s="23" t="s">
        <v>333</v>
      </c>
      <c r="K115" s="23" t="s">
        <v>23</v>
      </c>
      <c r="L115" s="23" t="s">
        <v>23</v>
      </c>
      <c r="M115" s="23" t="n">
        <v>9</v>
      </c>
      <c r="N115" s="23"/>
      <c r="O115" s="23" t="s">
        <v>1024</v>
      </c>
      <c r="P115" s="23" t="s">
        <v>1025</v>
      </c>
      <c r="Q115" s="23" t="s">
        <v>1026</v>
      </c>
      <c r="R115" s="23"/>
      <c r="S115" s="23"/>
      <c r="T115" s="23" t="s">
        <v>522</v>
      </c>
      <c r="U115" s="23" t="s">
        <v>523</v>
      </c>
      <c r="V115" s="23" t="n">
        <v>9</v>
      </c>
      <c r="W115" s="23" t="n">
        <v>0</v>
      </c>
      <c r="X115" s="23" t="n">
        <v>0</v>
      </c>
      <c r="Y115" s="23" t="n">
        <v>0</v>
      </c>
      <c r="Z115" s="23" t="n">
        <v>0</v>
      </c>
      <c r="AA115" s="23" t="n">
        <v>0</v>
      </c>
      <c r="AB115" s="23" t="n">
        <v>0</v>
      </c>
      <c r="AC115" s="23" t="n">
        <v>0</v>
      </c>
    </row>
    <row r="116" customFormat="false" ht="15" hidden="false" customHeight="false" outlineLevel="0" collapsed="false">
      <c r="A116" s="23" t="s">
        <v>1027</v>
      </c>
      <c r="B116" s="23" t="s">
        <v>1028</v>
      </c>
      <c r="C116" s="23" t="s">
        <v>1029</v>
      </c>
      <c r="D116" s="23" t="s">
        <v>90</v>
      </c>
      <c r="E116" s="23" t="s">
        <v>352</v>
      </c>
      <c r="F116" s="23" t="s">
        <v>42</v>
      </c>
      <c r="G116" s="23"/>
      <c r="H116" s="23" t="s">
        <v>29</v>
      </c>
      <c r="I116" s="23" t="s">
        <v>99</v>
      </c>
      <c r="J116" s="23" t="s">
        <v>333</v>
      </c>
      <c r="K116" s="23" t="s">
        <v>35</v>
      </c>
      <c r="L116" s="23" t="s">
        <v>176</v>
      </c>
      <c r="M116" s="23" t="n">
        <v>8</v>
      </c>
      <c r="N116" s="23"/>
      <c r="O116" s="23" t="s">
        <v>580</v>
      </c>
      <c r="P116" s="23"/>
      <c r="Q116" s="23" t="s">
        <v>1030</v>
      </c>
      <c r="R116" s="23" t="s">
        <v>126</v>
      </c>
      <c r="S116" s="23" t="s">
        <v>131</v>
      </c>
      <c r="T116" s="23" t="s">
        <v>69</v>
      </c>
      <c r="U116" s="23" t="s">
        <v>548</v>
      </c>
      <c r="V116" s="23" t="n">
        <v>0</v>
      </c>
      <c r="W116" s="23" t="n">
        <v>0</v>
      </c>
      <c r="X116" s="23" t="n">
        <v>0</v>
      </c>
      <c r="Y116" s="23" t="n">
        <v>4</v>
      </c>
      <c r="Z116" s="23" t="n">
        <v>4</v>
      </c>
      <c r="AA116" s="23" t="n">
        <v>0</v>
      </c>
      <c r="AB116" s="23" t="n">
        <v>0</v>
      </c>
      <c r="AC116" s="23" t="n">
        <v>0</v>
      </c>
    </row>
    <row r="117" customFormat="false" ht="15" hidden="false" customHeight="false" outlineLevel="0" collapsed="false">
      <c r="A117" s="23" t="s">
        <v>1031</v>
      </c>
      <c r="B117" s="23" t="s">
        <v>1032</v>
      </c>
      <c r="C117" s="23" t="s">
        <v>1033</v>
      </c>
      <c r="D117" s="23" t="s">
        <v>89</v>
      </c>
      <c r="E117" s="23" t="s">
        <v>332</v>
      </c>
      <c r="F117" s="23" t="s">
        <v>42</v>
      </c>
      <c r="G117" s="23"/>
      <c r="H117" s="23" t="s">
        <v>29</v>
      </c>
      <c r="I117" s="23" t="s">
        <v>99</v>
      </c>
      <c r="J117" s="23" t="s">
        <v>333</v>
      </c>
      <c r="K117" s="23" t="s">
        <v>34</v>
      </c>
      <c r="L117" s="23" t="s">
        <v>343</v>
      </c>
      <c r="M117" s="23" t="n">
        <v>8</v>
      </c>
      <c r="N117" s="23"/>
      <c r="O117" s="23" t="s">
        <v>1034</v>
      </c>
      <c r="P117" s="23" t="s">
        <v>1035</v>
      </c>
      <c r="Q117" s="23" t="s">
        <v>1036</v>
      </c>
      <c r="R117" s="23" t="s">
        <v>414</v>
      </c>
      <c r="S117" s="23" t="s">
        <v>130</v>
      </c>
      <c r="T117" s="23" t="s">
        <v>67</v>
      </c>
      <c r="U117" s="23" t="s">
        <v>416</v>
      </c>
      <c r="V117" s="23" t="n">
        <v>0</v>
      </c>
      <c r="W117" s="23" t="n">
        <v>1.9</v>
      </c>
      <c r="X117" s="23" t="n">
        <v>6.1</v>
      </c>
      <c r="Y117" s="23" t="n">
        <v>0</v>
      </c>
      <c r="Z117" s="23" t="n">
        <v>0</v>
      </c>
      <c r="AA117" s="23" t="n">
        <v>0</v>
      </c>
      <c r="AB117" s="23" t="n">
        <v>0</v>
      </c>
      <c r="AC117" s="23" t="n">
        <v>0</v>
      </c>
    </row>
    <row r="118" customFormat="false" ht="15" hidden="false" customHeight="false" outlineLevel="0" collapsed="false">
      <c r="A118" s="23" t="s">
        <v>1037</v>
      </c>
      <c r="B118" s="23" t="s">
        <v>1038</v>
      </c>
      <c r="C118" s="23" t="s">
        <v>1039</v>
      </c>
      <c r="D118" s="23" t="s">
        <v>90</v>
      </c>
      <c r="E118" s="23" t="s">
        <v>352</v>
      </c>
      <c r="F118" s="23" t="s">
        <v>42</v>
      </c>
      <c r="G118" s="23"/>
      <c r="H118" s="23" t="s">
        <v>29</v>
      </c>
      <c r="I118" s="23" t="s">
        <v>99</v>
      </c>
      <c r="J118" s="23" t="s">
        <v>333</v>
      </c>
      <c r="K118" s="23" t="s">
        <v>104</v>
      </c>
      <c r="L118" s="23" t="s">
        <v>176</v>
      </c>
      <c r="M118" s="23" t="n">
        <v>8</v>
      </c>
      <c r="N118" s="23"/>
      <c r="O118" s="23" t="s">
        <v>1040</v>
      </c>
      <c r="P118" s="23"/>
      <c r="Q118" s="23" t="s">
        <v>1041</v>
      </c>
      <c r="R118" s="23"/>
      <c r="S118" s="23"/>
      <c r="T118" s="23" t="s">
        <v>134</v>
      </c>
      <c r="U118" s="23" t="s">
        <v>476</v>
      </c>
      <c r="V118" s="23" t="n">
        <v>0</v>
      </c>
      <c r="W118" s="23" t="n">
        <v>0</v>
      </c>
      <c r="X118" s="23" t="n">
        <v>0</v>
      </c>
      <c r="Y118" s="23" t="n">
        <v>0</v>
      </c>
      <c r="Z118" s="23" t="n">
        <v>0</v>
      </c>
      <c r="AA118" s="23" t="n">
        <v>0</v>
      </c>
      <c r="AB118" s="23" t="n">
        <v>0</v>
      </c>
      <c r="AC118" s="23" t="n">
        <v>8</v>
      </c>
    </row>
    <row r="119" customFormat="false" ht="15" hidden="false" customHeight="false" outlineLevel="0" collapsed="false">
      <c r="A119" s="23" t="s">
        <v>1042</v>
      </c>
      <c r="B119" s="23" t="s">
        <v>1043</v>
      </c>
      <c r="C119" s="23" t="s">
        <v>1044</v>
      </c>
      <c r="D119" s="23" t="s">
        <v>94</v>
      </c>
      <c r="E119" s="23" t="s">
        <v>352</v>
      </c>
      <c r="F119" s="23" t="s">
        <v>42</v>
      </c>
      <c r="G119" s="23"/>
      <c r="H119" s="23" t="s">
        <v>29</v>
      </c>
      <c r="I119" s="23" t="s">
        <v>99</v>
      </c>
      <c r="J119" s="23" t="s">
        <v>333</v>
      </c>
      <c r="K119" s="23" t="s">
        <v>35</v>
      </c>
      <c r="L119" s="23" t="s">
        <v>176</v>
      </c>
      <c r="M119" s="23" t="n">
        <v>8</v>
      </c>
      <c r="N119" s="23"/>
      <c r="O119" s="23" t="s">
        <v>580</v>
      </c>
      <c r="P119" s="23"/>
      <c r="Q119" s="23" t="s">
        <v>1030</v>
      </c>
      <c r="R119" s="23" t="s">
        <v>126</v>
      </c>
      <c r="S119" s="23" t="s">
        <v>131</v>
      </c>
      <c r="T119" s="23" t="s">
        <v>69</v>
      </c>
      <c r="U119" s="23" t="s">
        <v>548</v>
      </c>
      <c r="V119" s="23" t="n">
        <v>0</v>
      </c>
      <c r="W119" s="23" t="n">
        <v>0</v>
      </c>
      <c r="X119" s="23" t="n">
        <v>0</v>
      </c>
      <c r="Y119" s="23" t="n">
        <v>4</v>
      </c>
      <c r="Z119" s="23" t="n">
        <v>4</v>
      </c>
      <c r="AA119" s="23" t="n">
        <v>0</v>
      </c>
      <c r="AB119" s="23" t="n">
        <v>0</v>
      </c>
      <c r="AC119" s="23" t="n">
        <v>0</v>
      </c>
    </row>
    <row r="120" customFormat="false" ht="15" hidden="false" customHeight="false" outlineLevel="0" collapsed="false">
      <c r="A120" s="23" t="s">
        <v>1045</v>
      </c>
      <c r="B120" s="23" t="s">
        <v>1046</v>
      </c>
      <c r="C120" s="23" t="s">
        <v>1047</v>
      </c>
      <c r="D120" s="23" t="s">
        <v>90</v>
      </c>
      <c r="E120" s="23" t="s">
        <v>352</v>
      </c>
      <c r="F120" s="23" t="s">
        <v>42</v>
      </c>
      <c r="G120" s="23"/>
      <c r="H120" s="23" t="s">
        <v>29</v>
      </c>
      <c r="I120" s="23" t="s">
        <v>99</v>
      </c>
      <c r="J120" s="23" t="s">
        <v>333</v>
      </c>
      <c r="K120" s="23" t="s">
        <v>34</v>
      </c>
      <c r="L120" s="23" t="s">
        <v>343</v>
      </c>
      <c r="M120" s="23" t="n">
        <v>8</v>
      </c>
      <c r="N120" s="23"/>
      <c r="O120" s="23" t="s">
        <v>1048</v>
      </c>
      <c r="P120" s="23" t="s">
        <v>1049</v>
      </c>
      <c r="Q120" s="23" t="s">
        <v>1050</v>
      </c>
      <c r="R120" s="23" t="s">
        <v>1051</v>
      </c>
      <c r="S120" s="23" t="s">
        <v>130</v>
      </c>
      <c r="T120" s="23" t="s">
        <v>67</v>
      </c>
      <c r="U120" s="23" t="s">
        <v>1052</v>
      </c>
      <c r="V120" s="23" t="n">
        <v>0</v>
      </c>
      <c r="W120" s="23" t="n">
        <v>1.9</v>
      </c>
      <c r="X120" s="23" t="n">
        <v>6.1</v>
      </c>
      <c r="Y120" s="23" t="n">
        <v>0</v>
      </c>
      <c r="Z120" s="23" t="n">
        <v>0</v>
      </c>
      <c r="AA120" s="23" t="n">
        <v>0</v>
      </c>
      <c r="AB120" s="23" t="n">
        <v>0</v>
      </c>
      <c r="AC120" s="23" t="n">
        <v>0</v>
      </c>
    </row>
    <row r="121" customFormat="false" ht="15" hidden="false" customHeight="false" outlineLevel="0" collapsed="false">
      <c r="A121" s="23" t="s">
        <v>1053</v>
      </c>
      <c r="B121" s="23" t="s">
        <v>1054</v>
      </c>
      <c r="C121" s="23" t="s">
        <v>1055</v>
      </c>
      <c r="D121" s="23" t="s">
        <v>90</v>
      </c>
      <c r="E121" s="23" t="s">
        <v>332</v>
      </c>
      <c r="F121" s="23" t="s">
        <v>42</v>
      </c>
      <c r="G121" s="23"/>
      <c r="H121" s="23" t="s">
        <v>29</v>
      </c>
      <c r="I121" s="23" t="s">
        <v>99</v>
      </c>
      <c r="J121" s="23" t="s">
        <v>333</v>
      </c>
      <c r="K121" s="23" t="s">
        <v>34</v>
      </c>
      <c r="L121" s="23" t="s">
        <v>343</v>
      </c>
      <c r="M121" s="23" t="n">
        <v>7</v>
      </c>
      <c r="N121" s="23"/>
      <c r="O121" s="23" t="s">
        <v>492</v>
      </c>
      <c r="P121" s="23" t="s">
        <v>1056</v>
      </c>
      <c r="Q121" s="23" t="s">
        <v>494</v>
      </c>
      <c r="R121" s="23" t="s">
        <v>568</v>
      </c>
      <c r="S121" s="23" t="s">
        <v>394</v>
      </c>
      <c r="T121" s="23" t="s">
        <v>67</v>
      </c>
      <c r="U121" s="23" t="s">
        <v>747</v>
      </c>
      <c r="V121" s="23" t="n">
        <v>0</v>
      </c>
      <c r="W121" s="23" t="n">
        <v>0</v>
      </c>
      <c r="X121" s="23" t="n">
        <v>5.8</v>
      </c>
      <c r="Y121" s="23" t="n">
        <v>1.2</v>
      </c>
      <c r="Z121" s="23" t="n">
        <v>0</v>
      </c>
      <c r="AA121" s="23" t="n">
        <v>0</v>
      </c>
      <c r="AB121" s="23" t="n">
        <v>0</v>
      </c>
      <c r="AC121" s="23" t="n">
        <v>0</v>
      </c>
    </row>
    <row r="122" customFormat="false" ht="15" hidden="false" customHeight="false" outlineLevel="0" collapsed="false">
      <c r="A122" s="23" t="s">
        <v>1057</v>
      </c>
      <c r="B122" s="23" t="s">
        <v>1058</v>
      </c>
      <c r="C122" s="23" t="s">
        <v>1059</v>
      </c>
      <c r="D122" s="23" t="s">
        <v>90</v>
      </c>
      <c r="E122" s="23" t="s">
        <v>352</v>
      </c>
      <c r="F122" s="23" t="s">
        <v>42</v>
      </c>
      <c r="G122" s="23"/>
      <c r="H122" s="23" t="s">
        <v>29</v>
      </c>
      <c r="I122" s="23" t="s">
        <v>99</v>
      </c>
      <c r="J122" s="23" t="s">
        <v>333</v>
      </c>
      <c r="K122" s="23" t="s">
        <v>34</v>
      </c>
      <c r="L122" s="23" t="s">
        <v>343</v>
      </c>
      <c r="M122" s="23" t="n">
        <v>7</v>
      </c>
      <c r="N122" s="23"/>
      <c r="O122" s="23" t="s">
        <v>1060</v>
      </c>
      <c r="P122" s="23" t="s">
        <v>1061</v>
      </c>
      <c r="Q122" s="23" t="s">
        <v>1062</v>
      </c>
      <c r="R122" s="23" t="s">
        <v>878</v>
      </c>
      <c r="S122" s="23" t="s">
        <v>394</v>
      </c>
      <c r="T122" s="23" t="s">
        <v>67</v>
      </c>
      <c r="U122" s="23" t="s">
        <v>1063</v>
      </c>
      <c r="V122" s="23" t="n">
        <v>0</v>
      </c>
      <c r="W122" s="23" t="n">
        <v>0</v>
      </c>
      <c r="X122" s="23" t="n">
        <v>6.6</v>
      </c>
      <c r="Y122" s="23" t="n">
        <v>0.4</v>
      </c>
      <c r="Z122" s="23" t="n">
        <v>0</v>
      </c>
      <c r="AA122" s="23" t="n">
        <v>0</v>
      </c>
      <c r="AB122" s="23" t="n">
        <v>0</v>
      </c>
      <c r="AC122" s="23" t="n">
        <v>0</v>
      </c>
    </row>
    <row r="123" customFormat="false" ht="15" hidden="false" customHeight="false" outlineLevel="0" collapsed="false">
      <c r="A123" s="23" t="s">
        <v>1064</v>
      </c>
      <c r="B123" s="23" t="s">
        <v>1065</v>
      </c>
      <c r="C123" s="23" t="s">
        <v>1066</v>
      </c>
      <c r="D123" s="23" t="s">
        <v>92</v>
      </c>
      <c r="E123" s="23" t="s">
        <v>440</v>
      </c>
      <c r="F123" s="23" t="s">
        <v>42</v>
      </c>
      <c r="G123" s="23"/>
      <c r="H123" s="23" t="s">
        <v>29</v>
      </c>
      <c r="I123" s="23" t="s">
        <v>99</v>
      </c>
      <c r="J123" s="23" t="s">
        <v>333</v>
      </c>
      <c r="K123" s="23" t="s">
        <v>23</v>
      </c>
      <c r="L123" s="23" t="s">
        <v>23</v>
      </c>
      <c r="M123" s="23" t="n">
        <v>7</v>
      </c>
      <c r="N123" s="23"/>
      <c r="O123" s="23" t="s">
        <v>1067</v>
      </c>
      <c r="P123" s="23" t="s">
        <v>420</v>
      </c>
      <c r="Q123" s="23" t="s">
        <v>1068</v>
      </c>
      <c r="R123" s="23"/>
      <c r="S123" s="23"/>
      <c r="T123" s="23" t="s">
        <v>522</v>
      </c>
      <c r="U123" s="23" t="s">
        <v>523</v>
      </c>
      <c r="V123" s="23" t="n">
        <v>7</v>
      </c>
      <c r="W123" s="23" t="n">
        <v>0</v>
      </c>
      <c r="X123" s="23" t="n">
        <v>0</v>
      </c>
      <c r="Y123" s="23" t="n">
        <v>0</v>
      </c>
      <c r="Z123" s="23" t="n">
        <v>0</v>
      </c>
      <c r="AA123" s="23" t="n">
        <v>0</v>
      </c>
      <c r="AB123" s="23" t="n">
        <v>0</v>
      </c>
      <c r="AC123" s="23" t="n">
        <v>0</v>
      </c>
    </row>
    <row r="124" customFormat="false" ht="15" hidden="false" customHeight="false" outlineLevel="0" collapsed="false">
      <c r="A124" s="23" t="s">
        <v>1069</v>
      </c>
      <c r="B124" s="23" t="s">
        <v>1070</v>
      </c>
      <c r="C124" s="23" t="s">
        <v>1071</v>
      </c>
      <c r="D124" s="23" t="s">
        <v>87</v>
      </c>
      <c r="E124" s="23" t="s">
        <v>352</v>
      </c>
      <c r="F124" s="23" t="s">
        <v>42</v>
      </c>
      <c r="G124" s="23"/>
      <c r="H124" s="23" t="s">
        <v>29</v>
      </c>
      <c r="I124" s="23" t="s">
        <v>99</v>
      </c>
      <c r="J124" s="23" t="s">
        <v>333</v>
      </c>
      <c r="K124" s="23" t="s">
        <v>34</v>
      </c>
      <c r="L124" s="23" t="s">
        <v>343</v>
      </c>
      <c r="M124" s="23" t="n">
        <v>6</v>
      </c>
      <c r="N124" s="23"/>
      <c r="O124" s="23" t="s">
        <v>1072</v>
      </c>
      <c r="P124" s="23" t="s">
        <v>1073</v>
      </c>
      <c r="Q124" s="23" t="s">
        <v>1074</v>
      </c>
      <c r="R124" s="23" t="s">
        <v>1075</v>
      </c>
      <c r="S124" s="23" t="s">
        <v>130</v>
      </c>
      <c r="T124" s="23" t="s">
        <v>67</v>
      </c>
      <c r="U124" s="23" t="s">
        <v>1076</v>
      </c>
      <c r="V124" s="23" t="n">
        <v>0</v>
      </c>
      <c r="W124" s="23" t="n">
        <v>1.4</v>
      </c>
      <c r="X124" s="23" t="n">
        <v>4.6</v>
      </c>
      <c r="Y124" s="23" t="n">
        <v>0</v>
      </c>
      <c r="Z124" s="23" t="n">
        <v>0</v>
      </c>
      <c r="AA124" s="23" t="n">
        <v>0</v>
      </c>
      <c r="AB124" s="23" t="n">
        <v>0</v>
      </c>
      <c r="AC124" s="23" t="n">
        <v>0</v>
      </c>
    </row>
    <row r="125" customFormat="false" ht="15" hidden="false" customHeight="false" outlineLevel="0" collapsed="false">
      <c r="A125" s="23" t="s">
        <v>1077</v>
      </c>
      <c r="B125" s="23" t="s">
        <v>1078</v>
      </c>
      <c r="C125" s="23" t="s">
        <v>1079</v>
      </c>
      <c r="D125" s="23" t="s">
        <v>88</v>
      </c>
      <c r="E125" s="23" t="s">
        <v>332</v>
      </c>
      <c r="F125" s="23" t="s">
        <v>42</v>
      </c>
      <c r="G125" s="23"/>
      <c r="H125" s="23" t="s">
        <v>29</v>
      </c>
      <c r="I125" s="23" t="s">
        <v>99</v>
      </c>
      <c r="J125" s="23" t="s">
        <v>333</v>
      </c>
      <c r="K125" s="23" t="s">
        <v>23</v>
      </c>
      <c r="L125" s="23" t="s">
        <v>23</v>
      </c>
      <c r="M125" s="23" t="n">
        <v>6</v>
      </c>
      <c r="N125" s="23"/>
      <c r="O125" s="23" t="s">
        <v>1080</v>
      </c>
      <c r="P125" s="23" t="s">
        <v>1081</v>
      </c>
      <c r="Q125" s="23" t="s">
        <v>1082</v>
      </c>
      <c r="R125" s="23"/>
      <c r="S125" s="23"/>
      <c r="T125" s="23" t="s">
        <v>522</v>
      </c>
      <c r="U125" s="23" t="s">
        <v>523</v>
      </c>
      <c r="V125" s="23" t="n">
        <v>6</v>
      </c>
      <c r="W125" s="23" t="n">
        <v>0</v>
      </c>
      <c r="X125" s="23" t="n">
        <v>0</v>
      </c>
      <c r="Y125" s="23" t="n">
        <v>0</v>
      </c>
      <c r="Z125" s="23" t="n">
        <v>0</v>
      </c>
      <c r="AA125" s="23" t="n">
        <v>0</v>
      </c>
      <c r="AB125" s="23" t="n">
        <v>0</v>
      </c>
      <c r="AC125" s="23" t="n">
        <v>0</v>
      </c>
    </row>
    <row r="126" customFormat="false" ht="15" hidden="false" customHeight="false" outlineLevel="0" collapsed="false">
      <c r="A126" s="23" t="s">
        <v>1083</v>
      </c>
      <c r="B126" s="23" t="s">
        <v>1084</v>
      </c>
      <c r="C126" s="23" t="s">
        <v>1085</v>
      </c>
      <c r="D126" s="23" t="s">
        <v>94</v>
      </c>
      <c r="E126" s="23" t="s">
        <v>352</v>
      </c>
      <c r="F126" s="23" t="s">
        <v>42</v>
      </c>
      <c r="G126" s="23"/>
      <c r="H126" s="23" t="s">
        <v>29</v>
      </c>
      <c r="I126" s="23" t="s">
        <v>99</v>
      </c>
      <c r="J126" s="23" t="s">
        <v>333</v>
      </c>
      <c r="K126" s="23" t="s">
        <v>34</v>
      </c>
      <c r="L126" s="23" t="s">
        <v>343</v>
      </c>
      <c r="M126" s="23" t="n">
        <v>6</v>
      </c>
      <c r="N126" s="23"/>
      <c r="O126" s="23" t="s">
        <v>1086</v>
      </c>
      <c r="P126" s="23" t="s">
        <v>1087</v>
      </c>
      <c r="Q126" s="23" t="s">
        <v>1088</v>
      </c>
      <c r="R126" s="23" t="s">
        <v>878</v>
      </c>
      <c r="S126" s="23" t="s">
        <v>130</v>
      </c>
      <c r="T126" s="23" t="s">
        <v>67</v>
      </c>
      <c r="U126" s="23" t="s">
        <v>879</v>
      </c>
      <c r="V126" s="23" t="n">
        <v>0</v>
      </c>
      <c r="W126" s="23" t="n">
        <v>0.2</v>
      </c>
      <c r="X126" s="23" t="n">
        <v>5.8</v>
      </c>
      <c r="Y126" s="23" t="n">
        <v>0</v>
      </c>
      <c r="Z126" s="23" t="n">
        <v>0</v>
      </c>
      <c r="AA126" s="23" t="n">
        <v>0</v>
      </c>
      <c r="AB126" s="23" t="n">
        <v>0</v>
      </c>
      <c r="AC126" s="23" t="n">
        <v>0</v>
      </c>
    </row>
    <row r="127" customFormat="false" ht="15" hidden="false" customHeight="false" outlineLevel="0" collapsed="false">
      <c r="A127" s="23" t="s">
        <v>1089</v>
      </c>
      <c r="B127" s="23" t="s">
        <v>1090</v>
      </c>
      <c r="C127" s="23" t="s">
        <v>1091</v>
      </c>
      <c r="D127" s="23" t="s">
        <v>90</v>
      </c>
      <c r="E127" s="23" t="s">
        <v>352</v>
      </c>
      <c r="F127" s="23" t="s">
        <v>42</v>
      </c>
      <c r="G127" s="23"/>
      <c r="H127" s="23" t="s">
        <v>29</v>
      </c>
      <c r="I127" s="23" t="s">
        <v>99</v>
      </c>
      <c r="J127" s="23" t="s">
        <v>333</v>
      </c>
      <c r="K127" s="23" t="s">
        <v>34</v>
      </c>
      <c r="L127" s="23" t="s">
        <v>343</v>
      </c>
      <c r="M127" s="23" t="n">
        <v>6</v>
      </c>
      <c r="N127" s="23"/>
      <c r="O127" s="23" t="s">
        <v>1092</v>
      </c>
      <c r="P127" s="23" t="s">
        <v>1093</v>
      </c>
      <c r="Q127" s="23" t="s">
        <v>1094</v>
      </c>
      <c r="R127" s="23" t="s">
        <v>878</v>
      </c>
      <c r="S127" s="23" t="s">
        <v>394</v>
      </c>
      <c r="T127" s="23" t="s">
        <v>67</v>
      </c>
      <c r="U127" s="23" t="s">
        <v>879</v>
      </c>
      <c r="V127" s="23" t="n">
        <v>0</v>
      </c>
      <c r="W127" s="23" t="n">
        <v>0</v>
      </c>
      <c r="X127" s="23" t="n">
        <v>6</v>
      </c>
      <c r="Y127" s="23" t="n">
        <v>0</v>
      </c>
      <c r="Z127" s="23" t="n">
        <v>0</v>
      </c>
      <c r="AA127" s="23" t="n">
        <v>0</v>
      </c>
      <c r="AB127" s="23" t="n">
        <v>0</v>
      </c>
      <c r="AC127" s="23" t="n">
        <v>0</v>
      </c>
    </row>
    <row r="128" customFormat="false" ht="15" hidden="false" customHeight="false" outlineLevel="0" collapsed="false">
      <c r="A128" s="23" t="s">
        <v>1095</v>
      </c>
      <c r="B128" s="23" t="s">
        <v>1096</v>
      </c>
      <c r="C128" s="23" t="s">
        <v>1097</v>
      </c>
      <c r="D128" s="23" t="s">
        <v>89</v>
      </c>
      <c r="E128" s="23" t="s">
        <v>332</v>
      </c>
      <c r="F128" s="23" t="s">
        <v>42</v>
      </c>
      <c r="G128" s="23"/>
      <c r="H128" s="23" t="s">
        <v>29</v>
      </c>
      <c r="I128" s="23" t="s">
        <v>99</v>
      </c>
      <c r="J128" s="23" t="s">
        <v>333</v>
      </c>
      <c r="K128" s="23" t="s">
        <v>23</v>
      </c>
      <c r="L128" s="23" t="s">
        <v>23</v>
      </c>
      <c r="M128" s="23" t="n">
        <v>6</v>
      </c>
      <c r="N128" s="23"/>
      <c r="O128" s="23" t="s">
        <v>553</v>
      </c>
      <c r="P128" s="23" t="s">
        <v>1098</v>
      </c>
      <c r="Q128" s="23" t="s">
        <v>1099</v>
      </c>
      <c r="R128" s="23"/>
      <c r="S128" s="23"/>
      <c r="T128" s="23" t="s">
        <v>522</v>
      </c>
      <c r="U128" s="23" t="s">
        <v>523</v>
      </c>
      <c r="V128" s="23" t="n">
        <v>6</v>
      </c>
      <c r="W128" s="23" t="n">
        <v>0</v>
      </c>
      <c r="X128" s="23" t="n">
        <v>0</v>
      </c>
      <c r="Y128" s="23" t="n">
        <v>0</v>
      </c>
      <c r="Z128" s="23" t="n">
        <v>0</v>
      </c>
      <c r="AA128" s="23" t="n">
        <v>0</v>
      </c>
      <c r="AB128" s="23" t="n">
        <v>0</v>
      </c>
      <c r="AC128" s="23" t="n">
        <v>0</v>
      </c>
    </row>
    <row r="129" customFormat="false" ht="15" hidden="false" customHeight="false" outlineLevel="0" collapsed="false">
      <c r="A129" s="23" t="s">
        <v>1100</v>
      </c>
      <c r="B129" s="23" t="s">
        <v>1101</v>
      </c>
      <c r="C129" s="23" t="s">
        <v>1102</v>
      </c>
      <c r="D129" s="23" t="s">
        <v>90</v>
      </c>
      <c r="E129" s="23" t="s">
        <v>352</v>
      </c>
      <c r="F129" s="23" t="s">
        <v>42</v>
      </c>
      <c r="G129" s="23"/>
      <c r="H129" s="23" t="s">
        <v>29</v>
      </c>
      <c r="I129" s="23" t="s">
        <v>99</v>
      </c>
      <c r="J129" s="23" t="s">
        <v>333</v>
      </c>
      <c r="K129" s="23" t="s">
        <v>35</v>
      </c>
      <c r="L129" s="23" t="s">
        <v>176</v>
      </c>
      <c r="M129" s="23" t="n">
        <v>6</v>
      </c>
      <c r="N129" s="23"/>
      <c r="O129" s="23" t="s">
        <v>652</v>
      </c>
      <c r="P129" s="23"/>
      <c r="Q129" s="23" t="s">
        <v>653</v>
      </c>
      <c r="R129" s="23" t="s">
        <v>115</v>
      </c>
      <c r="S129" s="23" t="s">
        <v>116</v>
      </c>
      <c r="T129" s="23" t="s">
        <v>68</v>
      </c>
      <c r="U129" s="23" t="s">
        <v>1103</v>
      </c>
      <c r="V129" s="23" t="n">
        <v>0</v>
      </c>
      <c r="W129" s="23" t="n">
        <v>0</v>
      </c>
      <c r="X129" s="23" t="n">
        <v>0</v>
      </c>
      <c r="Y129" s="23" t="n">
        <v>4.5</v>
      </c>
      <c r="Z129" s="23" t="n">
        <v>1.5</v>
      </c>
      <c r="AA129" s="23" t="n">
        <v>0</v>
      </c>
      <c r="AB129" s="23" t="n">
        <v>0</v>
      </c>
      <c r="AC129" s="23" t="n">
        <v>0</v>
      </c>
    </row>
    <row r="130" customFormat="false" ht="15" hidden="false" customHeight="false" outlineLevel="0" collapsed="false">
      <c r="A130" s="23" t="s">
        <v>1104</v>
      </c>
      <c r="B130" s="23" t="s">
        <v>1105</v>
      </c>
      <c r="C130" s="23" t="s">
        <v>1106</v>
      </c>
      <c r="D130" s="23" t="s">
        <v>95</v>
      </c>
      <c r="E130" s="23" t="s">
        <v>352</v>
      </c>
      <c r="F130" s="23" t="s">
        <v>42</v>
      </c>
      <c r="G130" s="23"/>
      <c r="H130" s="23" t="s">
        <v>29</v>
      </c>
      <c r="I130" s="23" t="s">
        <v>99</v>
      </c>
      <c r="J130" s="23" t="s">
        <v>333</v>
      </c>
      <c r="K130" s="23" t="s">
        <v>23</v>
      </c>
      <c r="L130" s="23" t="s">
        <v>23</v>
      </c>
      <c r="M130" s="23" t="n">
        <v>4</v>
      </c>
      <c r="N130" s="23"/>
      <c r="O130" s="23" t="s">
        <v>1107</v>
      </c>
      <c r="P130" s="23" t="s">
        <v>1108</v>
      </c>
      <c r="Q130" s="23" t="s">
        <v>1109</v>
      </c>
      <c r="R130" s="23"/>
      <c r="S130" s="23"/>
      <c r="T130" s="23" t="s">
        <v>522</v>
      </c>
      <c r="U130" s="23" t="s">
        <v>523</v>
      </c>
      <c r="V130" s="23" t="n">
        <v>4</v>
      </c>
      <c r="W130" s="23" t="n">
        <v>0</v>
      </c>
      <c r="X130" s="23" t="n">
        <v>0</v>
      </c>
      <c r="Y130" s="23" t="n">
        <v>0</v>
      </c>
      <c r="Z130" s="23" t="n">
        <v>0</v>
      </c>
      <c r="AA130" s="23" t="n">
        <v>0</v>
      </c>
      <c r="AB130" s="23" t="n">
        <v>0</v>
      </c>
      <c r="AC130" s="23" t="n">
        <v>0</v>
      </c>
    </row>
    <row r="131" customFormat="false" ht="15" hidden="false" customHeight="false" outlineLevel="0" collapsed="false">
      <c r="A131" s="23" t="s">
        <v>1110</v>
      </c>
      <c r="B131" s="23" t="s">
        <v>1111</v>
      </c>
      <c r="C131" s="23" t="s">
        <v>1112</v>
      </c>
      <c r="D131" s="23" t="s">
        <v>95</v>
      </c>
      <c r="E131" s="23" t="s">
        <v>342</v>
      </c>
      <c r="F131" s="23" t="s">
        <v>42</v>
      </c>
      <c r="G131" s="23"/>
      <c r="H131" s="23" t="s">
        <v>29</v>
      </c>
      <c r="I131" s="23" t="s">
        <v>99</v>
      </c>
      <c r="J131" s="23" t="s">
        <v>333</v>
      </c>
      <c r="K131" s="23" t="s">
        <v>34</v>
      </c>
      <c r="L131" s="23" t="s">
        <v>176</v>
      </c>
      <c r="M131" s="23" t="n">
        <v>4</v>
      </c>
      <c r="N131" s="23"/>
      <c r="O131" s="23" t="s">
        <v>1113</v>
      </c>
      <c r="P131" s="23" t="s">
        <v>1114</v>
      </c>
      <c r="Q131" s="23" t="s">
        <v>1115</v>
      </c>
      <c r="R131" s="23" t="s">
        <v>1075</v>
      </c>
      <c r="S131" s="23" t="s">
        <v>130</v>
      </c>
      <c r="T131" s="23" t="s">
        <v>67</v>
      </c>
      <c r="U131" s="23" t="s">
        <v>1116</v>
      </c>
      <c r="V131" s="23" t="n">
        <v>0</v>
      </c>
      <c r="W131" s="23" t="n">
        <v>0.9</v>
      </c>
      <c r="X131" s="23" t="n">
        <v>3.1</v>
      </c>
      <c r="Y131" s="23" t="n">
        <v>0</v>
      </c>
      <c r="Z131" s="23" t="n">
        <v>0</v>
      </c>
      <c r="AA131" s="23" t="n">
        <v>0</v>
      </c>
      <c r="AB131" s="23" t="n">
        <v>0</v>
      </c>
      <c r="AC131" s="23" t="n">
        <v>0</v>
      </c>
    </row>
    <row r="132" customFormat="false" ht="15" hidden="false" customHeight="false" outlineLevel="0" collapsed="false">
      <c r="A132" s="23" t="s">
        <v>1117</v>
      </c>
      <c r="B132" s="23" t="s">
        <v>1118</v>
      </c>
      <c r="C132" s="23" t="s">
        <v>1119</v>
      </c>
      <c r="D132" s="23" t="s">
        <v>89</v>
      </c>
      <c r="E132" s="23" t="s">
        <v>332</v>
      </c>
      <c r="F132" s="23" t="s">
        <v>42</v>
      </c>
      <c r="G132" s="23"/>
      <c r="H132" s="23" t="s">
        <v>29</v>
      </c>
      <c r="I132" s="23" t="s">
        <v>99</v>
      </c>
      <c r="J132" s="23" t="s">
        <v>333</v>
      </c>
      <c r="K132" s="23" t="s">
        <v>35</v>
      </c>
      <c r="L132" s="23" t="s">
        <v>176</v>
      </c>
      <c r="M132" s="23" t="n">
        <v>4</v>
      </c>
      <c r="N132" s="23"/>
      <c r="O132" s="23" t="s">
        <v>447</v>
      </c>
      <c r="P132" s="23"/>
      <c r="Q132" s="23" t="s">
        <v>448</v>
      </c>
      <c r="R132" s="23" t="s">
        <v>130</v>
      </c>
      <c r="S132" s="23" t="s">
        <v>131</v>
      </c>
      <c r="T132" s="23" t="s">
        <v>68</v>
      </c>
      <c r="U132" s="23" t="s">
        <v>1120</v>
      </c>
      <c r="V132" s="23" t="n">
        <v>0</v>
      </c>
      <c r="W132" s="23" t="n">
        <v>0</v>
      </c>
      <c r="X132" s="23" t="n">
        <v>0</v>
      </c>
      <c r="Y132" s="23" t="n">
        <v>1.2</v>
      </c>
      <c r="Z132" s="23" t="n">
        <v>2.8</v>
      </c>
      <c r="AA132" s="23" t="n">
        <v>0</v>
      </c>
      <c r="AB132" s="23" t="n">
        <v>0</v>
      </c>
      <c r="AC132" s="23" t="n">
        <v>0</v>
      </c>
    </row>
    <row r="133" customFormat="false" ht="15" hidden="false" customHeight="false" outlineLevel="0" collapsed="false">
      <c r="A133" s="23" t="s">
        <v>1121</v>
      </c>
      <c r="B133" s="23" t="s">
        <v>1122</v>
      </c>
      <c r="C133" s="23" t="s">
        <v>1123</v>
      </c>
      <c r="D133" s="23" t="s">
        <v>89</v>
      </c>
      <c r="E133" s="23" t="s">
        <v>332</v>
      </c>
      <c r="F133" s="23" t="s">
        <v>42</v>
      </c>
      <c r="G133" s="23"/>
      <c r="H133" s="23" t="s">
        <v>29</v>
      </c>
      <c r="I133" s="23" t="s">
        <v>99</v>
      </c>
      <c r="J133" s="23" t="s">
        <v>333</v>
      </c>
      <c r="K133" s="23" t="s">
        <v>34</v>
      </c>
      <c r="L133" s="23" t="s">
        <v>343</v>
      </c>
      <c r="M133" s="23" t="n">
        <v>3</v>
      </c>
      <c r="N133" s="23"/>
      <c r="O133" s="23" t="s">
        <v>1124</v>
      </c>
      <c r="P133" s="23" t="s">
        <v>1125</v>
      </c>
      <c r="Q133" s="23" t="s">
        <v>1126</v>
      </c>
      <c r="R133" s="23" t="s">
        <v>941</v>
      </c>
      <c r="S133" s="23" t="s">
        <v>130</v>
      </c>
      <c r="T133" s="23" t="s">
        <v>67</v>
      </c>
      <c r="U133" s="23" t="s">
        <v>1127</v>
      </c>
      <c r="V133" s="23" t="n">
        <v>0</v>
      </c>
      <c r="W133" s="23" t="n">
        <v>0.7</v>
      </c>
      <c r="X133" s="23" t="n">
        <v>2.3</v>
      </c>
      <c r="Y133" s="23" t="n">
        <v>0</v>
      </c>
      <c r="Z133" s="23" t="n">
        <v>0</v>
      </c>
      <c r="AA133" s="23" t="n">
        <v>0</v>
      </c>
      <c r="AB133" s="23" t="n">
        <v>0</v>
      </c>
      <c r="AC133" s="23" t="n">
        <v>0</v>
      </c>
    </row>
    <row r="134" customFormat="false" ht="15" hidden="false" customHeight="false" outlineLevel="0" collapsed="false">
      <c r="A134" s="23" t="s">
        <v>1128</v>
      </c>
      <c r="B134" s="23" t="s">
        <v>1129</v>
      </c>
      <c r="C134" s="23" t="s">
        <v>1130</v>
      </c>
      <c r="D134" s="23" t="s">
        <v>90</v>
      </c>
      <c r="E134" s="23" t="s">
        <v>352</v>
      </c>
      <c r="F134" s="23" t="s">
        <v>42</v>
      </c>
      <c r="G134" s="23"/>
      <c r="H134" s="23" t="s">
        <v>29</v>
      </c>
      <c r="I134" s="23" t="s">
        <v>99</v>
      </c>
      <c r="J134" s="23" t="s">
        <v>333</v>
      </c>
      <c r="K134" s="23" t="s">
        <v>34</v>
      </c>
      <c r="L134" s="23" t="s">
        <v>343</v>
      </c>
      <c r="M134" s="23" t="n">
        <v>3</v>
      </c>
      <c r="N134" s="23"/>
      <c r="O134" s="23" t="s">
        <v>639</v>
      </c>
      <c r="P134" s="23" t="s">
        <v>1131</v>
      </c>
      <c r="Q134" s="23" t="s">
        <v>641</v>
      </c>
      <c r="R134" s="23" t="s">
        <v>123</v>
      </c>
      <c r="S134" s="23" t="s">
        <v>130</v>
      </c>
      <c r="T134" s="23" t="s">
        <v>67</v>
      </c>
      <c r="U134" s="23" t="s">
        <v>605</v>
      </c>
      <c r="V134" s="23" t="n">
        <v>0</v>
      </c>
      <c r="W134" s="23" t="n">
        <v>0.7</v>
      </c>
      <c r="X134" s="23" t="n">
        <v>2.3</v>
      </c>
      <c r="Y134" s="23" t="n">
        <v>0</v>
      </c>
      <c r="Z134" s="23" t="n">
        <v>0</v>
      </c>
      <c r="AA134" s="23" t="n">
        <v>0</v>
      </c>
      <c r="AB134" s="23" t="n">
        <v>0</v>
      </c>
      <c r="AC134" s="23" t="n">
        <v>0</v>
      </c>
    </row>
    <row r="135" customFormat="false" ht="15" hidden="false" customHeight="false" outlineLevel="0" collapsed="false">
      <c r="A135" s="23" t="s">
        <v>1132</v>
      </c>
      <c r="B135" s="23" t="s">
        <v>1133</v>
      </c>
      <c r="C135" s="23" t="s">
        <v>1134</v>
      </c>
      <c r="D135" s="23" t="s">
        <v>90</v>
      </c>
      <c r="E135" s="23" t="s">
        <v>352</v>
      </c>
      <c r="F135" s="23" t="s">
        <v>42</v>
      </c>
      <c r="G135" s="23"/>
      <c r="H135" s="23" t="s">
        <v>29</v>
      </c>
      <c r="I135" s="23" t="s">
        <v>99</v>
      </c>
      <c r="J135" s="23" t="s">
        <v>333</v>
      </c>
      <c r="K135" s="23" t="s">
        <v>34</v>
      </c>
      <c r="L135" s="23" t="s">
        <v>343</v>
      </c>
      <c r="M135" s="23" t="n">
        <v>2</v>
      </c>
      <c r="N135" s="23"/>
      <c r="O135" s="23" t="s">
        <v>1135</v>
      </c>
      <c r="P135" s="23" t="s">
        <v>538</v>
      </c>
      <c r="Q135" s="23" t="s">
        <v>1136</v>
      </c>
      <c r="R135" s="23" t="s">
        <v>423</v>
      </c>
      <c r="S135" s="23" t="s">
        <v>130</v>
      </c>
      <c r="T135" s="23" t="s">
        <v>67</v>
      </c>
      <c r="U135" s="23" t="s">
        <v>1137</v>
      </c>
      <c r="V135" s="23" t="n">
        <v>0</v>
      </c>
      <c r="W135" s="23" t="n">
        <v>0.5</v>
      </c>
      <c r="X135" s="23" t="n">
        <v>1.5</v>
      </c>
      <c r="Y135" s="23" t="n">
        <v>0</v>
      </c>
      <c r="Z135" s="23" t="n">
        <v>0</v>
      </c>
      <c r="AA135" s="23" t="n">
        <v>0</v>
      </c>
      <c r="AB135" s="23" t="n">
        <v>0</v>
      </c>
      <c r="AC135" s="23" t="n">
        <v>0</v>
      </c>
    </row>
    <row r="136" customFormat="false" ht="15" hidden="false" customHeight="false" outlineLevel="0" collapsed="false">
      <c r="A136" s="23" t="s">
        <v>1138</v>
      </c>
      <c r="B136" s="23" t="s">
        <v>1139</v>
      </c>
      <c r="C136" s="23" t="s">
        <v>1140</v>
      </c>
      <c r="D136" s="23" t="s">
        <v>89</v>
      </c>
      <c r="E136" s="23" t="s">
        <v>332</v>
      </c>
      <c r="F136" s="23" t="s">
        <v>42</v>
      </c>
      <c r="G136" s="23"/>
      <c r="H136" s="23" t="s">
        <v>29</v>
      </c>
      <c r="I136" s="23" t="s">
        <v>99</v>
      </c>
      <c r="J136" s="23" t="s">
        <v>333</v>
      </c>
      <c r="K136" s="23" t="s">
        <v>34</v>
      </c>
      <c r="L136" s="23" t="s">
        <v>410</v>
      </c>
      <c r="M136" s="23" t="n">
        <v>2</v>
      </c>
      <c r="N136" s="23"/>
      <c r="O136" s="23" t="s">
        <v>1141</v>
      </c>
      <c r="P136" s="23" t="s">
        <v>1142</v>
      </c>
      <c r="Q136" s="23" t="s">
        <v>1143</v>
      </c>
      <c r="R136" s="23" t="s">
        <v>423</v>
      </c>
      <c r="S136" s="23" t="s">
        <v>130</v>
      </c>
      <c r="T136" s="23" t="s">
        <v>67</v>
      </c>
      <c r="U136" s="23" t="s">
        <v>1137</v>
      </c>
      <c r="V136" s="23" t="n">
        <v>0</v>
      </c>
      <c r="W136" s="23" t="n">
        <v>0.5</v>
      </c>
      <c r="X136" s="23" t="n">
        <v>1.5</v>
      </c>
      <c r="Y136" s="23" t="n">
        <v>0</v>
      </c>
      <c r="Z136" s="23" t="n">
        <v>0</v>
      </c>
      <c r="AA136" s="23" t="n">
        <v>0</v>
      </c>
      <c r="AB136" s="23" t="n">
        <v>0</v>
      </c>
      <c r="AC136" s="23" t="n">
        <v>0</v>
      </c>
    </row>
    <row r="137" customFormat="false" ht="15" hidden="false" customHeight="false" outlineLevel="0" collapsed="false">
      <c r="A137" s="23" t="s">
        <v>1144</v>
      </c>
      <c r="B137" s="23" t="s">
        <v>136</v>
      </c>
      <c r="C137" s="23" t="s">
        <v>135</v>
      </c>
      <c r="D137" s="23" t="s">
        <v>90</v>
      </c>
      <c r="E137" s="23" t="s">
        <v>352</v>
      </c>
      <c r="F137" s="23" t="s">
        <v>42</v>
      </c>
      <c r="G137" s="23"/>
      <c r="H137" s="23" t="s">
        <v>29</v>
      </c>
      <c r="I137" s="23" t="s">
        <v>102</v>
      </c>
      <c r="J137" s="23" t="s">
        <v>333</v>
      </c>
      <c r="K137" s="23" t="s">
        <v>104</v>
      </c>
      <c r="L137" s="23" t="s">
        <v>176</v>
      </c>
      <c r="M137" s="23" t="n">
        <v>0</v>
      </c>
      <c r="N137" s="23"/>
      <c r="O137" s="23" t="s">
        <v>1145</v>
      </c>
      <c r="P137" s="23"/>
      <c r="Q137" s="23" t="s">
        <v>1146</v>
      </c>
      <c r="R137" s="23"/>
      <c r="S137" s="23"/>
      <c r="T137" s="23" t="s">
        <v>134</v>
      </c>
      <c r="U137" s="23" t="s">
        <v>476</v>
      </c>
      <c r="V137" s="23" t="n">
        <v>0</v>
      </c>
      <c r="W137" s="23" t="n">
        <v>0</v>
      </c>
      <c r="X137" s="23" t="n">
        <v>0</v>
      </c>
      <c r="Y137" s="23" t="n">
        <v>0</v>
      </c>
      <c r="Z137" s="23" t="n">
        <v>0</v>
      </c>
      <c r="AA137" s="23" t="n">
        <v>0</v>
      </c>
      <c r="AB137" s="23" t="n">
        <v>0</v>
      </c>
      <c r="AC137" s="23" t="n">
        <v>0</v>
      </c>
    </row>
    <row r="138" customFormat="false" ht="15" hidden="false" customHeight="false" outlineLevel="0" collapsed="false">
      <c r="A138" s="23" t="s">
        <v>1147</v>
      </c>
      <c r="B138" s="23" t="s">
        <v>129</v>
      </c>
      <c r="C138" s="23" t="s">
        <v>128</v>
      </c>
      <c r="D138" s="23" t="s">
        <v>94</v>
      </c>
      <c r="E138" s="23" t="s">
        <v>352</v>
      </c>
      <c r="F138" s="23" t="s">
        <v>42</v>
      </c>
      <c r="G138" s="23"/>
      <c r="H138" s="23" t="s">
        <v>29</v>
      </c>
      <c r="I138" s="23" t="s">
        <v>102</v>
      </c>
      <c r="J138" s="23" t="s">
        <v>333</v>
      </c>
      <c r="K138" s="23" t="s">
        <v>35</v>
      </c>
      <c r="L138" s="23" t="s">
        <v>176</v>
      </c>
      <c r="M138" s="23" t="n">
        <v>0</v>
      </c>
      <c r="N138" s="23" t="n">
        <v>115</v>
      </c>
      <c r="O138" s="23" t="s">
        <v>1148</v>
      </c>
      <c r="P138" s="23"/>
      <c r="Q138" s="23" t="s">
        <v>1149</v>
      </c>
      <c r="R138" s="23" t="s">
        <v>130</v>
      </c>
      <c r="S138" s="23" t="s">
        <v>131</v>
      </c>
      <c r="T138" s="23" t="s">
        <v>68</v>
      </c>
      <c r="U138" s="23" t="s">
        <v>1150</v>
      </c>
      <c r="V138" s="23" t="n">
        <v>0</v>
      </c>
      <c r="W138" s="23" t="n">
        <v>0</v>
      </c>
      <c r="X138" s="23" t="n">
        <v>0</v>
      </c>
      <c r="Y138" s="23" t="n">
        <v>0</v>
      </c>
      <c r="Z138" s="23" t="n">
        <v>0</v>
      </c>
      <c r="AA138" s="23" t="n">
        <v>0</v>
      </c>
      <c r="AB138" s="23" t="n">
        <v>0</v>
      </c>
      <c r="AC138" s="23" t="n">
        <v>0</v>
      </c>
    </row>
    <row r="139" customFormat="false" ht="15" hidden="false" customHeight="false" outlineLevel="0" collapsed="false">
      <c r="A139" s="23" t="s">
        <v>1151</v>
      </c>
      <c r="B139" s="23" t="s">
        <v>1152</v>
      </c>
      <c r="C139" s="23" t="s">
        <v>1153</v>
      </c>
      <c r="D139" s="23" t="s">
        <v>92</v>
      </c>
      <c r="E139" s="23" t="s">
        <v>440</v>
      </c>
      <c r="F139" s="23" t="s">
        <v>42</v>
      </c>
      <c r="G139" s="23"/>
      <c r="H139" s="23" t="s">
        <v>29</v>
      </c>
      <c r="I139" s="23" t="s">
        <v>99</v>
      </c>
      <c r="J139" s="23" t="s">
        <v>333</v>
      </c>
      <c r="K139" s="23" t="s">
        <v>35</v>
      </c>
      <c r="L139" s="23" t="s">
        <v>176</v>
      </c>
      <c r="M139" s="23" t="n">
        <v>0</v>
      </c>
      <c r="N139" s="23"/>
      <c r="O139" s="23" t="s">
        <v>1154</v>
      </c>
      <c r="P139" s="23"/>
      <c r="Q139" s="23" t="s">
        <v>864</v>
      </c>
      <c r="R139" s="23"/>
      <c r="S139" s="23"/>
      <c r="T139" s="23" t="s">
        <v>134</v>
      </c>
      <c r="U139" s="23" t="s">
        <v>387</v>
      </c>
      <c r="V139" s="23" t="n">
        <v>0</v>
      </c>
      <c r="W139" s="23" t="n">
        <v>0</v>
      </c>
      <c r="X139" s="23" t="n">
        <v>0</v>
      </c>
      <c r="Y139" s="23" t="n">
        <v>0</v>
      </c>
      <c r="Z139" s="23" t="n">
        <v>0</v>
      </c>
      <c r="AA139" s="23" t="n">
        <v>0</v>
      </c>
      <c r="AB139" s="23" t="n">
        <v>0</v>
      </c>
      <c r="AC139" s="23" t="n">
        <v>0</v>
      </c>
    </row>
    <row r="140" customFormat="false" ht="15" hidden="false" customHeight="false" outlineLevel="0" collapsed="false">
      <c r="A140" s="23" t="s">
        <v>1155</v>
      </c>
      <c r="B140" s="23" t="s">
        <v>1156</v>
      </c>
      <c r="C140" s="23" t="s">
        <v>1157</v>
      </c>
      <c r="D140" s="23" t="s">
        <v>92</v>
      </c>
      <c r="E140" s="23" t="s">
        <v>440</v>
      </c>
      <c r="F140" s="23" t="s">
        <v>42</v>
      </c>
      <c r="G140" s="23"/>
      <c r="H140" s="23" t="s">
        <v>29</v>
      </c>
      <c r="I140" s="23" t="s">
        <v>99</v>
      </c>
      <c r="J140" s="23" t="s">
        <v>333</v>
      </c>
      <c r="K140" s="23" t="s">
        <v>23</v>
      </c>
      <c r="L140" s="23" t="s">
        <v>23</v>
      </c>
      <c r="M140" s="23" t="n">
        <v>0</v>
      </c>
      <c r="N140" s="23"/>
      <c r="O140" s="23" t="s">
        <v>1158</v>
      </c>
      <c r="P140" s="23" t="s">
        <v>1159</v>
      </c>
      <c r="Q140" s="23" t="s">
        <v>1160</v>
      </c>
      <c r="R140" s="23"/>
      <c r="S140" s="23"/>
      <c r="T140" s="23" t="s">
        <v>522</v>
      </c>
      <c r="U140" s="23" t="s">
        <v>523</v>
      </c>
      <c r="V140" s="23" t="n">
        <v>0</v>
      </c>
      <c r="W140" s="23" t="n">
        <v>0</v>
      </c>
      <c r="X140" s="23" t="n">
        <v>0</v>
      </c>
      <c r="Y140" s="23" t="n">
        <v>0</v>
      </c>
      <c r="Z140" s="23" t="n">
        <v>0</v>
      </c>
      <c r="AA140" s="23" t="n">
        <v>0</v>
      </c>
      <c r="AB140" s="23" t="n">
        <v>0</v>
      </c>
      <c r="AC140" s="23" t="n">
        <v>0</v>
      </c>
    </row>
    <row r="141" customFormat="false" ht="15" hidden="false" customHeight="false" outlineLevel="0" collapsed="false">
      <c r="A141" s="23" t="s">
        <v>1161</v>
      </c>
      <c r="B141" s="23" t="s">
        <v>1162</v>
      </c>
      <c r="C141" s="23" t="s">
        <v>1163</v>
      </c>
      <c r="D141" s="23" t="s">
        <v>95</v>
      </c>
      <c r="E141" s="23" t="s">
        <v>352</v>
      </c>
      <c r="F141" s="23" t="s">
        <v>42</v>
      </c>
      <c r="G141" s="23"/>
      <c r="H141" s="23" t="s">
        <v>50</v>
      </c>
      <c r="I141" s="23" t="s">
        <v>100</v>
      </c>
      <c r="J141" s="23" t="s">
        <v>333</v>
      </c>
      <c r="K141" s="23" t="s">
        <v>23</v>
      </c>
      <c r="L141" s="23" t="s">
        <v>23</v>
      </c>
      <c r="M141" s="23" t="n">
        <v>37</v>
      </c>
      <c r="N141" s="23"/>
      <c r="O141" s="23" t="s">
        <v>1164</v>
      </c>
      <c r="P141" s="23" t="s">
        <v>1165</v>
      </c>
      <c r="Q141" s="23" t="s">
        <v>1166</v>
      </c>
      <c r="R141" s="23"/>
      <c r="S141" s="23"/>
      <c r="T141" s="23" t="s">
        <v>522</v>
      </c>
      <c r="U141" s="23" t="s">
        <v>523</v>
      </c>
      <c r="V141" s="23" t="n">
        <v>37</v>
      </c>
      <c r="W141" s="23" t="n">
        <v>0</v>
      </c>
      <c r="X141" s="23" t="n">
        <v>0</v>
      </c>
      <c r="Y141" s="23" t="n">
        <v>0</v>
      </c>
      <c r="Z141" s="23" t="n">
        <v>0</v>
      </c>
      <c r="AA141" s="23" t="n">
        <v>0</v>
      </c>
      <c r="AB141" s="23" t="n">
        <v>0</v>
      </c>
      <c r="AC141" s="23" t="n">
        <v>0</v>
      </c>
    </row>
    <row r="142" customFormat="false" ht="15" hidden="false" customHeight="false" outlineLevel="0" collapsed="false">
      <c r="A142" s="23" t="s">
        <v>1167</v>
      </c>
      <c r="B142" s="23" t="s">
        <v>1168</v>
      </c>
      <c r="C142" s="23" t="s">
        <v>1169</v>
      </c>
      <c r="D142" s="23" t="s">
        <v>87</v>
      </c>
      <c r="E142" s="23" t="s">
        <v>352</v>
      </c>
      <c r="F142" s="23" t="s">
        <v>42</v>
      </c>
      <c r="G142" s="23"/>
      <c r="H142" s="23" t="s">
        <v>50</v>
      </c>
      <c r="I142" s="23" t="s">
        <v>100</v>
      </c>
      <c r="J142" s="23" t="s">
        <v>333</v>
      </c>
      <c r="K142" s="23" t="s">
        <v>34</v>
      </c>
      <c r="L142" s="23" t="s">
        <v>343</v>
      </c>
      <c r="M142" s="23" t="n">
        <v>21</v>
      </c>
      <c r="N142" s="23"/>
      <c r="O142" s="23" t="s">
        <v>1170</v>
      </c>
      <c r="P142" s="23" t="s">
        <v>1171</v>
      </c>
      <c r="Q142" s="23" t="s">
        <v>1172</v>
      </c>
      <c r="R142" s="23" t="s">
        <v>927</v>
      </c>
      <c r="S142" s="23" t="s">
        <v>119</v>
      </c>
      <c r="T142" s="23" t="s">
        <v>67</v>
      </c>
      <c r="U142" s="23" t="s">
        <v>1173</v>
      </c>
      <c r="V142" s="23" t="n">
        <v>0</v>
      </c>
      <c r="W142" s="23" t="n">
        <v>2.7</v>
      </c>
      <c r="X142" s="23" t="n">
        <v>13.9</v>
      </c>
      <c r="Y142" s="23" t="n">
        <v>4.5</v>
      </c>
      <c r="Z142" s="23" t="n">
        <v>0</v>
      </c>
      <c r="AA142" s="23" t="n">
        <v>0</v>
      </c>
      <c r="AB142" s="23" t="n">
        <v>-0.1</v>
      </c>
      <c r="AC142" s="23" t="n">
        <v>0</v>
      </c>
    </row>
    <row r="143" customFormat="false" ht="15" hidden="false" customHeight="false" outlineLevel="0" collapsed="false">
      <c r="A143" s="23" t="s">
        <v>1174</v>
      </c>
      <c r="B143" s="23" t="s">
        <v>1175</v>
      </c>
      <c r="C143" s="23" t="s">
        <v>1176</v>
      </c>
      <c r="D143" s="23" t="s">
        <v>94</v>
      </c>
      <c r="E143" s="23" t="s">
        <v>332</v>
      </c>
      <c r="F143" s="23" t="s">
        <v>42</v>
      </c>
      <c r="G143" s="23"/>
      <c r="H143" s="23" t="s">
        <v>50</v>
      </c>
      <c r="I143" s="23" t="s">
        <v>100</v>
      </c>
      <c r="J143" s="23" t="s">
        <v>333</v>
      </c>
      <c r="K143" s="23" t="s">
        <v>23</v>
      </c>
      <c r="L143" s="23" t="s">
        <v>23</v>
      </c>
      <c r="M143" s="23" t="n">
        <v>15</v>
      </c>
      <c r="N143" s="23"/>
      <c r="O143" s="23" t="s">
        <v>1142</v>
      </c>
      <c r="P143" s="23" t="s">
        <v>1177</v>
      </c>
      <c r="Q143" s="23" t="s">
        <v>1178</v>
      </c>
      <c r="R143" s="23"/>
      <c r="S143" s="23"/>
      <c r="T143" s="23" t="s">
        <v>522</v>
      </c>
      <c r="U143" s="23" t="s">
        <v>523</v>
      </c>
      <c r="V143" s="23" t="n">
        <v>15</v>
      </c>
      <c r="W143" s="23" t="n">
        <v>0</v>
      </c>
      <c r="X143" s="23" t="n">
        <v>0</v>
      </c>
      <c r="Y143" s="23" t="n">
        <v>0</v>
      </c>
      <c r="Z143" s="23" t="n">
        <v>0</v>
      </c>
      <c r="AA143" s="23" t="n">
        <v>0</v>
      </c>
      <c r="AB143" s="23" t="n">
        <v>0</v>
      </c>
      <c r="AC143" s="23" t="n">
        <v>0</v>
      </c>
    </row>
    <row r="144" customFormat="false" ht="15" hidden="false" customHeight="false" outlineLevel="0" collapsed="false">
      <c r="A144" s="23" t="s">
        <v>1179</v>
      </c>
      <c r="B144" s="23" t="s">
        <v>1180</v>
      </c>
      <c r="C144" s="23" t="s">
        <v>1181</v>
      </c>
      <c r="D144" s="23" t="s">
        <v>88</v>
      </c>
      <c r="E144" s="23" t="s">
        <v>332</v>
      </c>
      <c r="F144" s="23" t="s">
        <v>42</v>
      </c>
      <c r="G144" s="23"/>
      <c r="H144" s="23" t="s">
        <v>50</v>
      </c>
      <c r="I144" s="23" t="s">
        <v>100</v>
      </c>
      <c r="J144" s="23" t="s">
        <v>333</v>
      </c>
      <c r="K144" s="23" t="s">
        <v>104</v>
      </c>
      <c r="L144" s="23" t="s">
        <v>377</v>
      </c>
      <c r="M144" s="23" t="n">
        <v>12</v>
      </c>
      <c r="N144" s="23"/>
      <c r="O144" s="23" t="s">
        <v>1182</v>
      </c>
      <c r="P144" s="23"/>
      <c r="Q144" s="23" t="s">
        <v>1183</v>
      </c>
      <c r="R144" s="23"/>
      <c r="S144" s="23"/>
      <c r="T144" s="23" t="s">
        <v>134</v>
      </c>
      <c r="U144" s="23" t="s">
        <v>476</v>
      </c>
      <c r="V144" s="23" t="n">
        <v>0</v>
      </c>
      <c r="W144" s="23" t="n">
        <v>0</v>
      </c>
      <c r="X144" s="23" t="n">
        <v>0</v>
      </c>
      <c r="Y144" s="23" t="n">
        <v>0</v>
      </c>
      <c r="Z144" s="23" t="n">
        <v>0</v>
      </c>
      <c r="AA144" s="23" t="n">
        <v>0</v>
      </c>
      <c r="AB144" s="23" t="n">
        <v>0</v>
      </c>
      <c r="AC144" s="23" t="n">
        <v>12</v>
      </c>
    </row>
    <row r="145" customFormat="false" ht="15" hidden="false" customHeight="false" outlineLevel="0" collapsed="false">
      <c r="A145" s="23" t="s">
        <v>1184</v>
      </c>
      <c r="B145" s="23" t="s">
        <v>1185</v>
      </c>
      <c r="C145" s="23" t="s">
        <v>1186</v>
      </c>
      <c r="D145" s="23" t="s">
        <v>90</v>
      </c>
      <c r="E145" s="23" t="s">
        <v>352</v>
      </c>
      <c r="F145" s="23" t="s">
        <v>42</v>
      </c>
      <c r="G145" s="23"/>
      <c r="H145" s="23" t="s">
        <v>50</v>
      </c>
      <c r="I145" s="23" t="s">
        <v>100</v>
      </c>
      <c r="J145" s="23" t="s">
        <v>333</v>
      </c>
      <c r="K145" s="23" t="s">
        <v>34</v>
      </c>
      <c r="L145" s="23" t="s">
        <v>343</v>
      </c>
      <c r="M145" s="23" t="n">
        <v>5</v>
      </c>
      <c r="N145" s="23"/>
      <c r="O145" s="23" t="s">
        <v>1187</v>
      </c>
      <c r="P145" s="23" t="s">
        <v>1188</v>
      </c>
      <c r="Q145" s="23" t="s">
        <v>1189</v>
      </c>
      <c r="R145" s="23" t="s">
        <v>1190</v>
      </c>
      <c r="S145" s="23" t="s">
        <v>130</v>
      </c>
      <c r="T145" s="23" t="s">
        <v>67</v>
      </c>
      <c r="U145" s="23" t="s">
        <v>1191</v>
      </c>
      <c r="V145" s="23" t="n">
        <v>0</v>
      </c>
      <c r="W145" s="23" t="n">
        <v>1.2</v>
      </c>
      <c r="X145" s="23" t="n">
        <v>3.8</v>
      </c>
      <c r="Y145" s="23" t="n">
        <v>0</v>
      </c>
      <c r="Z145" s="23" t="n">
        <v>0</v>
      </c>
      <c r="AA145" s="23" t="n">
        <v>0</v>
      </c>
      <c r="AB145" s="23" t="n">
        <v>0</v>
      </c>
      <c r="AC145" s="23" t="n">
        <v>0</v>
      </c>
    </row>
    <row r="146" customFormat="false" ht="15" hidden="false" customHeight="false" outlineLevel="0" collapsed="false">
      <c r="A146" s="23" t="s">
        <v>1192</v>
      </c>
      <c r="B146" s="23" t="s">
        <v>1193</v>
      </c>
      <c r="C146" s="23" t="s">
        <v>1194</v>
      </c>
      <c r="D146" s="23" t="s">
        <v>95</v>
      </c>
      <c r="E146" s="23" t="s">
        <v>352</v>
      </c>
      <c r="F146" s="23" t="s">
        <v>42</v>
      </c>
      <c r="G146" s="23"/>
      <c r="H146" s="23" t="s">
        <v>49</v>
      </c>
      <c r="I146" s="23" t="s">
        <v>100</v>
      </c>
      <c r="J146" s="23" t="s">
        <v>359</v>
      </c>
      <c r="K146" s="23" t="s">
        <v>23</v>
      </c>
      <c r="L146" s="23" t="s">
        <v>23</v>
      </c>
      <c r="M146" s="23" t="n">
        <v>43</v>
      </c>
      <c r="N146" s="23"/>
      <c r="O146" s="23" t="s">
        <v>1195</v>
      </c>
      <c r="P146" s="23" t="s">
        <v>1196</v>
      </c>
      <c r="Q146" s="23"/>
      <c r="R146" s="23"/>
      <c r="S146" s="23"/>
      <c r="T146" s="23" t="s">
        <v>522</v>
      </c>
      <c r="U146" s="23" t="s">
        <v>523</v>
      </c>
      <c r="V146" s="23" t="n">
        <v>43</v>
      </c>
      <c r="W146" s="23" t="n">
        <v>0</v>
      </c>
      <c r="X146" s="23" t="n">
        <v>0</v>
      </c>
      <c r="Y146" s="23" t="n">
        <v>0</v>
      </c>
      <c r="Z146" s="23" t="n">
        <v>0</v>
      </c>
      <c r="AA146" s="23" t="n">
        <v>0</v>
      </c>
      <c r="AB146" s="23" t="n">
        <v>0</v>
      </c>
      <c r="AC146" s="23" t="n">
        <v>0</v>
      </c>
    </row>
    <row r="147" customFormat="false" ht="15" hidden="false" customHeight="false" outlineLevel="0" collapsed="false">
      <c r="A147" s="23" t="s">
        <v>1197</v>
      </c>
      <c r="B147" s="23" t="s">
        <v>1198</v>
      </c>
      <c r="C147" s="23" t="s">
        <v>1199</v>
      </c>
      <c r="D147" s="23" t="s">
        <v>88</v>
      </c>
      <c r="E147" s="23" t="s">
        <v>352</v>
      </c>
      <c r="F147" s="23" t="s">
        <v>42</v>
      </c>
      <c r="G147" s="23"/>
      <c r="H147" s="23" t="s">
        <v>49</v>
      </c>
      <c r="I147" s="23" t="s">
        <v>100</v>
      </c>
      <c r="J147" s="23" t="s">
        <v>359</v>
      </c>
      <c r="K147" s="23" t="s">
        <v>23</v>
      </c>
      <c r="L147" s="23" t="s">
        <v>23</v>
      </c>
      <c r="M147" s="23" t="n">
        <v>43</v>
      </c>
      <c r="N147" s="23"/>
      <c r="O147" s="23" t="s">
        <v>1195</v>
      </c>
      <c r="P147" s="23" t="s">
        <v>1200</v>
      </c>
      <c r="Q147" s="23"/>
      <c r="R147" s="23"/>
      <c r="S147" s="23"/>
      <c r="T147" s="23" t="s">
        <v>522</v>
      </c>
      <c r="U147" s="23" t="s">
        <v>523</v>
      </c>
      <c r="V147" s="23" t="n">
        <v>43</v>
      </c>
      <c r="W147" s="23" t="n">
        <v>0</v>
      </c>
      <c r="X147" s="23" t="n">
        <v>0</v>
      </c>
      <c r="Y147" s="23" t="n">
        <v>0</v>
      </c>
      <c r="Z147" s="23" t="n">
        <v>0</v>
      </c>
      <c r="AA147" s="23" t="n">
        <v>0</v>
      </c>
      <c r="AB147" s="23" t="n">
        <v>0</v>
      </c>
      <c r="AC147" s="23" t="n">
        <v>0</v>
      </c>
    </row>
    <row r="148" customFormat="false" ht="15" hidden="false" customHeight="false" outlineLevel="0" collapsed="false">
      <c r="A148" s="23" t="s">
        <v>1201</v>
      </c>
      <c r="B148" s="23" t="s">
        <v>1202</v>
      </c>
      <c r="C148" s="23" t="s">
        <v>1203</v>
      </c>
      <c r="D148" s="23" t="s">
        <v>88</v>
      </c>
      <c r="E148" s="23" t="s">
        <v>352</v>
      </c>
      <c r="F148" s="23" t="s">
        <v>42</v>
      </c>
      <c r="G148" s="23"/>
      <c r="H148" s="23" t="s">
        <v>49</v>
      </c>
      <c r="I148" s="23" t="s">
        <v>100</v>
      </c>
      <c r="J148" s="23" t="s">
        <v>359</v>
      </c>
      <c r="K148" s="23" t="s">
        <v>34</v>
      </c>
      <c r="L148" s="23" t="s">
        <v>343</v>
      </c>
      <c r="M148" s="23" t="n">
        <v>27</v>
      </c>
      <c r="N148" s="23"/>
      <c r="O148" s="23" t="s">
        <v>1204</v>
      </c>
      <c r="P148" s="23" t="s">
        <v>1205</v>
      </c>
      <c r="Q148" s="23"/>
      <c r="R148" s="23" t="s">
        <v>941</v>
      </c>
      <c r="S148" s="23" t="s">
        <v>130</v>
      </c>
      <c r="T148" s="23" t="s">
        <v>67</v>
      </c>
      <c r="U148" s="23" t="s">
        <v>1206</v>
      </c>
      <c r="V148" s="23" t="n">
        <v>0</v>
      </c>
      <c r="W148" s="23" t="n">
        <v>6.3</v>
      </c>
      <c r="X148" s="23" t="n">
        <v>20.7</v>
      </c>
      <c r="Y148" s="23" t="n">
        <v>0</v>
      </c>
      <c r="Z148" s="23" t="n">
        <v>0</v>
      </c>
      <c r="AA148" s="23" t="n">
        <v>0</v>
      </c>
      <c r="AB148" s="23" t="n">
        <v>0</v>
      </c>
      <c r="AC148" s="23" t="n">
        <v>0</v>
      </c>
    </row>
    <row r="149" customFormat="false" ht="15" hidden="false" customHeight="false" outlineLevel="0" collapsed="false">
      <c r="A149" s="23" t="s">
        <v>1207</v>
      </c>
      <c r="B149" s="23" t="s">
        <v>1208</v>
      </c>
      <c r="C149" s="23" t="s">
        <v>1209</v>
      </c>
      <c r="D149" s="23" t="s">
        <v>88</v>
      </c>
      <c r="E149" s="23" t="s">
        <v>332</v>
      </c>
      <c r="F149" s="23" t="s">
        <v>42</v>
      </c>
      <c r="G149" s="23"/>
      <c r="H149" s="23" t="s">
        <v>49</v>
      </c>
      <c r="I149" s="23" t="s">
        <v>100</v>
      </c>
      <c r="J149" s="23" t="s">
        <v>359</v>
      </c>
      <c r="K149" s="23" t="s">
        <v>39</v>
      </c>
      <c r="L149" s="23" t="s">
        <v>383</v>
      </c>
      <c r="M149" s="23" t="n">
        <v>22</v>
      </c>
      <c r="N149" s="23"/>
      <c r="O149" s="23"/>
      <c r="P149" s="23"/>
      <c r="Q149" s="23"/>
      <c r="R149" s="23"/>
      <c r="S149" s="23"/>
      <c r="T149" s="23" t="s">
        <v>134</v>
      </c>
      <c r="U149" s="23" t="s">
        <v>384</v>
      </c>
      <c r="V149" s="23" t="n">
        <v>0</v>
      </c>
      <c r="W149" s="23" t="n">
        <v>0</v>
      </c>
      <c r="X149" s="23" t="n">
        <v>0</v>
      </c>
      <c r="Y149" s="23" t="n">
        <v>0</v>
      </c>
      <c r="Z149" s="23" t="n">
        <v>0</v>
      </c>
      <c r="AA149" s="23" t="n">
        <v>0</v>
      </c>
      <c r="AB149" s="23" t="n">
        <v>0</v>
      </c>
      <c r="AC149" s="23" t="n">
        <v>22</v>
      </c>
    </row>
    <row r="150" customFormat="false" ht="15" hidden="false" customHeight="false" outlineLevel="0" collapsed="false">
      <c r="A150" s="23" t="s">
        <v>1210</v>
      </c>
      <c r="B150" s="23" t="s">
        <v>1211</v>
      </c>
      <c r="C150" s="23" t="s">
        <v>1212</v>
      </c>
      <c r="D150" s="23" t="s">
        <v>92</v>
      </c>
      <c r="E150" s="23" t="s">
        <v>332</v>
      </c>
      <c r="F150" s="23" t="s">
        <v>42</v>
      </c>
      <c r="G150" s="23"/>
      <c r="H150" s="23" t="s">
        <v>49</v>
      </c>
      <c r="I150" s="23" t="s">
        <v>100</v>
      </c>
      <c r="J150" s="23" t="s">
        <v>359</v>
      </c>
      <c r="K150" s="23" t="s">
        <v>35</v>
      </c>
      <c r="L150" s="23" t="s">
        <v>176</v>
      </c>
      <c r="M150" s="23" t="n">
        <v>20</v>
      </c>
      <c r="N150" s="23"/>
      <c r="O150" s="23" t="s">
        <v>1213</v>
      </c>
      <c r="P150" s="23"/>
      <c r="Q150" s="23"/>
      <c r="R150" s="23" t="s">
        <v>126</v>
      </c>
      <c r="S150" s="23" t="s">
        <v>514</v>
      </c>
      <c r="T150" s="23" t="s">
        <v>69</v>
      </c>
      <c r="U150" s="23" t="s">
        <v>1214</v>
      </c>
      <c r="V150" s="23" t="n">
        <v>0</v>
      </c>
      <c r="W150" s="23" t="n">
        <v>0</v>
      </c>
      <c r="X150" s="23" t="n">
        <v>0</v>
      </c>
      <c r="Y150" s="23" t="n">
        <v>6.9</v>
      </c>
      <c r="Z150" s="23" t="n">
        <v>13.1</v>
      </c>
      <c r="AA150" s="23" t="n">
        <v>0</v>
      </c>
      <c r="AB150" s="23" t="n">
        <v>0</v>
      </c>
      <c r="AC150" s="23" t="n">
        <v>0</v>
      </c>
    </row>
    <row r="151" customFormat="false" ht="15" hidden="false" customHeight="false" outlineLevel="0" collapsed="false">
      <c r="A151" s="23" t="s">
        <v>1215</v>
      </c>
      <c r="B151" s="23" t="s">
        <v>1216</v>
      </c>
      <c r="C151" s="23" t="s">
        <v>1217</v>
      </c>
      <c r="D151" s="23" t="s">
        <v>87</v>
      </c>
      <c r="E151" s="23" t="s">
        <v>352</v>
      </c>
      <c r="F151" s="23" t="s">
        <v>42</v>
      </c>
      <c r="G151" s="23"/>
      <c r="H151" s="23" t="s">
        <v>49</v>
      </c>
      <c r="I151" s="23" t="s">
        <v>100</v>
      </c>
      <c r="J151" s="23" t="s">
        <v>359</v>
      </c>
      <c r="K151" s="23" t="s">
        <v>23</v>
      </c>
      <c r="L151" s="23" t="s">
        <v>23</v>
      </c>
      <c r="M151" s="23" t="n">
        <v>17</v>
      </c>
      <c r="N151" s="23"/>
      <c r="O151" s="23" t="s">
        <v>1218</v>
      </c>
      <c r="P151" s="23" t="s">
        <v>1219</v>
      </c>
      <c r="Q151" s="23"/>
      <c r="R151" s="23"/>
      <c r="S151" s="23"/>
      <c r="T151" s="23" t="s">
        <v>522</v>
      </c>
      <c r="U151" s="23" t="s">
        <v>523</v>
      </c>
      <c r="V151" s="23" t="n">
        <v>17</v>
      </c>
      <c r="W151" s="23" t="n">
        <v>0</v>
      </c>
      <c r="X151" s="23" t="n">
        <v>0</v>
      </c>
      <c r="Y151" s="23" t="n">
        <v>0</v>
      </c>
      <c r="Z151" s="23" t="n">
        <v>0</v>
      </c>
      <c r="AA151" s="23" t="n">
        <v>0</v>
      </c>
      <c r="AB151" s="23" t="n">
        <v>0</v>
      </c>
      <c r="AC151" s="23" t="n">
        <v>0</v>
      </c>
    </row>
    <row r="152" customFormat="false" ht="15" hidden="false" customHeight="false" outlineLevel="0" collapsed="false">
      <c r="A152" s="23" t="s">
        <v>1220</v>
      </c>
      <c r="B152" s="23" t="s">
        <v>1221</v>
      </c>
      <c r="C152" s="23" t="s">
        <v>1222</v>
      </c>
      <c r="D152" s="23" t="s">
        <v>90</v>
      </c>
      <c r="E152" s="23" t="s">
        <v>352</v>
      </c>
      <c r="F152" s="23" t="s">
        <v>42</v>
      </c>
      <c r="G152" s="23"/>
      <c r="H152" s="23" t="s">
        <v>49</v>
      </c>
      <c r="I152" s="23" t="s">
        <v>100</v>
      </c>
      <c r="J152" s="23" t="s">
        <v>359</v>
      </c>
      <c r="K152" s="23" t="s">
        <v>23</v>
      </c>
      <c r="L152" s="23" t="s">
        <v>23</v>
      </c>
      <c r="M152" s="23" t="n">
        <v>14</v>
      </c>
      <c r="N152" s="23"/>
      <c r="O152" s="23" t="s">
        <v>1223</v>
      </c>
      <c r="P152" s="23" t="s">
        <v>1224</v>
      </c>
      <c r="Q152" s="23"/>
      <c r="R152" s="23"/>
      <c r="S152" s="23"/>
      <c r="T152" s="23" t="s">
        <v>522</v>
      </c>
      <c r="U152" s="23" t="s">
        <v>523</v>
      </c>
      <c r="V152" s="23" t="n">
        <v>14</v>
      </c>
      <c r="W152" s="23" t="n">
        <v>0</v>
      </c>
      <c r="X152" s="23" t="n">
        <v>0</v>
      </c>
      <c r="Y152" s="23" t="n">
        <v>0</v>
      </c>
      <c r="Z152" s="23" t="n">
        <v>0</v>
      </c>
      <c r="AA152" s="23" t="n">
        <v>0</v>
      </c>
      <c r="AB152" s="23" t="n">
        <v>0</v>
      </c>
      <c r="AC152" s="23" t="n">
        <v>0</v>
      </c>
    </row>
    <row r="153" customFormat="false" ht="15" hidden="false" customHeight="false" outlineLevel="0" collapsed="false">
      <c r="A153" s="23" t="s">
        <v>1225</v>
      </c>
      <c r="B153" s="23" t="s">
        <v>1226</v>
      </c>
      <c r="C153" s="23" t="s">
        <v>1227</v>
      </c>
      <c r="D153" s="23" t="s">
        <v>95</v>
      </c>
      <c r="E153" s="23" t="s">
        <v>352</v>
      </c>
      <c r="F153" s="23" t="s">
        <v>42</v>
      </c>
      <c r="G153" s="23"/>
      <c r="H153" s="23" t="s">
        <v>49</v>
      </c>
      <c r="I153" s="23" t="s">
        <v>100</v>
      </c>
      <c r="J153" s="23" t="s">
        <v>359</v>
      </c>
      <c r="K153" s="23" t="s">
        <v>23</v>
      </c>
      <c r="L153" s="23" t="s">
        <v>23</v>
      </c>
      <c r="M153" s="23" t="n">
        <v>14</v>
      </c>
      <c r="N153" s="23"/>
      <c r="O153" s="23" t="s">
        <v>1228</v>
      </c>
      <c r="P153" s="23" t="s">
        <v>453</v>
      </c>
      <c r="Q153" s="23"/>
      <c r="R153" s="23"/>
      <c r="S153" s="23"/>
      <c r="T153" s="23" t="s">
        <v>522</v>
      </c>
      <c r="U153" s="23" t="s">
        <v>523</v>
      </c>
      <c r="V153" s="23" t="n">
        <v>14</v>
      </c>
      <c r="W153" s="23" t="n">
        <v>0</v>
      </c>
      <c r="X153" s="23" t="n">
        <v>0</v>
      </c>
      <c r="Y153" s="23" t="n">
        <v>0</v>
      </c>
      <c r="Z153" s="23" t="n">
        <v>0</v>
      </c>
      <c r="AA153" s="23" t="n">
        <v>0</v>
      </c>
      <c r="AB153" s="23" t="n">
        <v>0</v>
      </c>
      <c r="AC153" s="23" t="n">
        <v>0</v>
      </c>
    </row>
    <row r="154" customFormat="false" ht="15" hidden="false" customHeight="false" outlineLevel="0" collapsed="false">
      <c r="A154" s="23" t="s">
        <v>1229</v>
      </c>
      <c r="B154" s="23" t="s">
        <v>1230</v>
      </c>
      <c r="C154" s="23" t="s">
        <v>1231</v>
      </c>
      <c r="D154" s="23" t="s">
        <v>90</v>
      </c>
      <c r="E154" s="23" t="s">
        <v>352</v>
      </c>
      <c r="F154" s="23" t="s">
        <v>42</v>
      </c>
      <c r="G154" s="23"/>
      <c r="H154" s="23" t="s">
        <v>49</v>
      </c>
      <c r="I154" s="23" t="s">
        <v>100</v>
      </c>
      <c r="J154" s="23" t="s">
        <v>359</v>
      </c>
      <c r="K154" s="23" t="s">
        <v>34</v>
      </c>
      <c r="L154" s="23" t="s">
        <v>343</v>
      </c>
      <c r="M154" s="23" t="n">
        <v>13</v>
      </c>
      <c r="N154" s="23"/>
      <c r="O154" s="23" t="s">
        <v>1081</v>
      </c>
      <c r="P154" s="23" t="s">
        <v>1232</v>
      </c>
      <c r="Q154" s="23"/>
      <c r="R154" s="23" t="s">
        <v>878</v>
      </c>
      <c r="S154" s="23" t="s">
        <v>394</v>
      </c>
      <c r="T154" s="23" t="s">
        <v>67</v>
      </c>
      <c r="U154" s="23" t="s">
        <v>879</v>
      </c>
      <c r="V154" s="23" t="n">
        <v>0</v>
      </c>
      <c r="W154" s="23" t="n">
        <v>0</v>
      </c>
      <c r="X154" s="23" t="n">
        <v>13</v>
      </c>
      <c r="Y154" s="23" t="n">
        <v>0</v>
      </c>
      <c r="Z154" s="23" t="n">
        <v>0</v>
      </c>
      <c r="AA154" s="23" t="n">
        <v>0</v>
      </c>
      <c r="AB154" s="23" t="n">
        <v>0</v>
      </c>
      <c r="AC154" s="23" t="n">
        <v>0</v>
      </c>
    </row>
    <row r="155" customFormat="false" ht="15" hidden="false" customHeight="false" outlineLevel="0" collapsed="false">
      <c r="A155" s="23" t="s">
        <v>1233</v>
      </c>
      <c r="B155" s="23" t="s">
        <v>1234</v>
      </c>
      <c r="C155" s="23" t="s">
        <v>1235</v>
      </c>
      <c r="D155" s="23" t="s">
        <v>90</v>
      </c>
      <c r="E155" s="23" t="s">
        <v>332</v>
      </c>
      <c r="F155" s="23" t="s">
        <v>42</v>
      </c>
      <c r="G155" s="23"/>
      <c r="H155" s="23" t="s">
        <v>49</v>
      </c>
      <c r="I155" s="23" t="s">
        <v>100</v>
      </c>
      <c r="J155" s="23" t="s">
        <v>359</v>
      </c>
      <c r="K155" s="23" t="s">
        <v>39</v>
      </c>
      <c r="L155" s="23" t="s">
        <v>383</v>
      </c>
      <c r="M155" s="23" t="n">
        <v>13</v>
      </c>
      <c r="N155" s="23"/>
      <c r="O155" s="23"/>
      <c r="P155" s="23"/>
      <c r="Q155" s="23"/>
      <c r="R155" s="23"/>
      <c r="S155" s="23"/>
      <c r="T155" s="23" t="s">
        <v>134</v>
      </c>
      <c r="U155" s="23" t="s">
        <v>384</v>
      </c>
      <c r="V155" s="23" t="n">
        <v>0</v>
      </c>
      <c r="W155" s="23" t="n">
        <v>0</v>
      </c>
      <c r="X155" s="23" t="n">
        <v>0</v>
      </c>
      <c r="Y155" s="23" t="n">
        <v>0</v>
      </c>
      <c r="Z155" s="23" t="n">
        <v>0</v>
      </c>
      <c r="AA155" s="23" t="n">
        <v>0</v>
      </c>
      <c r="AB155" s="23" t="n">
        <v>0</v>
      </c>
      <c r="AC155" s="23" t="n">
        <v>13</v>
      </c>
    </row>
    <row r="156" customFormat="false" ht="15" hidden="false" customHeight="false" outlineLevel="0" collapsed="false">
      <c r="A156" s="23" t="s">
        <v>1236</v>
      </c>
      <c r="B156" s="23" t="s">
        <v>1237</v>
      </c>
      <c r="C156" s="23" t="s">
        <v>1238</v>
      </c>
      <c r="D156" s="23" t="s">
        <v>90</v>
      </c>
      <c r="E156" s="23" t="s">
        <v>332</v>
      </c>
      <c r="F156" s="23" t="s">
        <v>42</v>
      </c>
      <c r="G156" s="23"/>
      <c r="H156" s="23" t="s">
        <v>49</v>
      </c>
      <c r="I156" s="23" t="s">
        <v>100</v>
      </c>
      <c r="J156" s="23" t="s">
        <v>359</v>
      </c>
      <c r="K156" s="23" t="s">
        <v>34</v>
      </c>
      <c r="L156" s="23" t="s">
        <v>1239</v>
      </c>
      <c r="M156" s="23" t="n">
        <v>13</v>
      </c>
      <c r="N156" s="23"/>
      <c r="O156" s="23"/>
      <c r="P156" s="23" t="s">
        <v>1240</v>
      </c>
      <c r="Q156" s="23"/>
      <c r="R156" s="23" t="s">
        <v>1241</v>
      </c>
      <c r="S156" s="23" t="s">
        <v>130</v>
      </c>
      <c r="T156" s="23" t="s">
        <v>67</v>
      </c>
      <c r="U156" s="23" t="s">
        <v>1242</v>
      </c>
      <c r="V156" s="23" t="n">
        <v>0</v>
      </c>
      <c r="W156" s="23" t="n">
        <v>3</v>
      </c>
      <c r="X156" s="23" t="n">
        <v>10</v>
      </c>
      <c r="Y156" s="23" t="n">
        <v>0</v>
      </c>
      <c r="Z156" s="23" t="n">
        <v>0</v>
      </c>
      <c r="AA156" s="23" t="n">
        <v>0</v>
      </c>
      <c r="AB156" s="23" t="n">
        <v>0</v>
      </c>
      <c r="AC156" s="23" t="n">
        <v>0</v>
      </c>
    </row>
    <row r="157" customFormat="false" ht="15" hidden="false" customHeight="false" outlineLevel="0" collapsed="false">
      <c r="A157" s="23" t="s">
        <v>1243</v>
      </c>
      <c r="B157" s="23"/>
      <c r="C157" s="23" t="s">
        <v>1244</v>
      </c>
      <c r="D157" s="23" t="s">
        <v>95</v>
      </c>
      <c r="E157" s="23" t="s">
        <v>342</v>
      </c>
      <c r="F157" s="23" t="s">
        <v>42</v>
      </c>
      <c r="G157" s="23"/>
      <c r="H157" s="23" t="s">
        <v>49</v>
      </c>
      <c r="I157" s="23" t="s">
        <v>100</v>
      </c>
      <c r="J157" s="23" t="s">
        <v>359</v>
      </c>
      <c r="K157" s="23" t="s">
        <v>39</v>
      </c>
      <c r="L157" s="23" t="s">
        <v>383</v>
      </c>
      <c r="M157" s="23" t="n">
        <v>12</v>
      </c>
      <c r="N157" s="23"/>
      <c r="O157" s="23"/>
      <c r="P157" s="23"/>
      <c r="Q157" s="23"/>
      <c r="R157" s="23"/>
      <c r="S157" s="23"/>
      <c r="T157" s="23" t="s">
        <v>134</v>
      </c>
      <c r="U157" s="23" t="s">
        <v>384</v>
      </c>
      <c r="V157" s="23" t="n">
        <v>0</v>
      </c>
      <c r="W157" s="23" t="n">
        <v>0</v>
      </c>
      <c r="X157" s="23" t="n">
        <v>0</v>
      </c>
      <c r="Y157" s="23" t="n">
        <v>0</v>
      </c>
      <c r="Z157" s="23" t="n">
        <v>0</v>
      </c>
      <c r="AA157" s="23" t="n">
        <v>0</v>
      </c>
      <c r="AB157" s="23" t="n">
        <v>0</v>
      </c>
      <c r="AC157" s="23" t="n">
        <v>12</v>
      </c>
    </row>
    <row r="158" customFormat="false" ht="15" hidden="false" customHeight="false" outlineLevel="0" collapsed="false">
      <c r="A158" s="23" t="s">
        <v>1245</v>
      </c>
      <c r="B158" s="23" t="s">
        <v>1246</v>
      </c>
      <c r="C158" s="23" t="s">
        <v>1247</v>
      </c>
      <c r="D158" s="23" t="s">
        <v>94</v>
      </c>
      <c r="E158" s="23" t="s">
        <v>332</v>
      </c>
      <c r="F158" s="23" t="s">
        <v>42</v>
      </c>
      <c r="G158" s="23"/>
      <c r="H158" s="23" t="s">
        <v>49</v>
      </c>
      <c r="I158" s="23" t="s">
        <v>100</v>
      </c>
      <c r="J158" s="23" t="s">
        <v>359</v>
      </c>
      <c r="K158" s="23" t="s">
        <v>34</v>
      </c>
      <c r="L158" s="23" t="s">
        <v>1239</v>
      </c>
      <c r="M158" s="23" t="n">
        <v>7</v>
      </c>
      <c r="N158" s="23"/>
      <c r="O158" s="23"/>
      <c r="P158" s="23" t="s">
        <v>1248</v>
      </c>
      <c r="Q158" s="23"/>
      <c r="R158" s="23" t="s">
        <v>555</v>
      </c>
      <c r="S158" s="23" t="s">
        <v>130</v>
      </c>
      <c r="T158" s="23" t="s">
        <v>67</v>
      </c>
      <c r="U158" s="23" t="s">
        <v>1249</v>
      </c>
      <c r="V158" s="23" t="n">
        <v>0</v>
      </c>
      <c r="W158" s="23" t="n">
        <v>1.6</v>
      </c>
      <c r="X158" s="23" t="n">
        <v>5.4</v>
      </c>
      <c r="Y158" s="23" t="n">
        <v>0</v>
      </c>
      <c r="Z158" s="23" t="n">
        <v>0</v>
      </c>
      <c r="AA158" s="23" t="n">
        <v>0</v>
      </c>
      <c r="AB158" s="23" t="n">
        <v>0</v>
      </c>
      <c r="AC158" s="23" t="n">
        <v>0</v>
      </c>
    </row>
    <row r="159" customFormat="false" ht="15" hidden="false" customHeight="false" outlineLevel="0" collapsed="false">
      <c r="A159" s="23" t="s">
        <v>1250</v>
      </c>
      <c r="B159" s="23" t="s">
        <v>1251</v>
      </c>
      <c r="C159" s="23" t="s">
        <v>1252</v>
      </c>
      <c r="D159" s="23" t="s">
        <v>94</v>
      </c>
      <c r="E159" s="23" t="s">
        <v>332</v>
      </c>
      <c r="F159" s="23" t="s">
        <v>42</v>
      </c>
      <c r="G159" s="23"/>
      <c r="H159" s="23" t="s">
        <v>49</v>
      </c>
      <c r="I159" s="23" t="s">
        <v>100</v>
      </c>
      <c r="J159" s="23" t="s">
        <v>359</v>
      </c>
      <c r="K159" s="23" t="s">
        <v>23</v>
      </c>
      <c r="L159" s="23" t="s">
        <v>23</v>
      </c>
      <c r="M159" s="23" t="n">
        <v>7</v>
      </c>
      <c r="N159" s="23"/>
      <c r="O159" s="23"/>
      <c r="P159" s="23" t="s">
        <v>603</v>
      </c>
      <c r="Q159" s="23"/>
      <c r="R159" s="23"/>
      <c r="S159" s="23"/>
      <c r="T159" s="23" t="s">
        <v>522</v>
      </c>
      <c r="U159" s="23" t="s">
        <v>523</v>
      </c>
      <c r="V159" s="23" t="n">
        <v>7</v>
      </c>
      <c r="W159" s="23" t="n">
        <v>0</v>
      </c>
      <c r="X159" s="23" t="n">
        <v>0</v>
      </c>
      <c r="Y159" s="23" t="n">
        <v>0</v>
      </c>
      <c r="Z159" s="23" t="n">
        <v>0</v>
      </c>
      <c r="AA159" s="23" t="n">
        <v>0</v>
      </c>
      <c r="AB159" s="23" t="n">
        <v>0</v>
      </c>
      <c r="AC159" s="23" t="n">
        <v>0</v>
      </c>
    </row>
    <row r="160" customFormat="false" ht="15" hidden="false" customHeight="false" outlineLevel="0" collapsed="false">
      <c r="A160" s="23" t="s">
        <v>1253</v>
      </c>
      <c r="B160" s="23" t="s">
        <v>1254</v>
      </c>
      <c r="C160" s="23" t="s">
        <v>1255</v>
      </c>
      <c r="D160" s="23" t="s">
        <v>89</v>
      </c>
      <c r="E160" s="23" t="s">
        <v>473</v>
      </c>
      <c r="F160" s="23" t="s">
        <v>42</v>
      </c>
      <c r="G160" s="23"/>
      <c r="H160" s="23" t="s">
        <v>49</v>
      </c>
      <c r="I160" s="23" t="s">
        <v>100</v>
      </c>
      <c r="J160" s="23" t="s">
        <v>359</v>
      </c>
      <c r="K160" s="23" t="s">
        <v>34</v>
      </c>
      <c r="L160" s="23" t="s">
        <v>343</v>
      </c>
      <c r="M160" s="23" t="n">
        <v>6</v>
      </c>
      <c r="N160" s="23"/>
      <c r="O160" s="23" t="s">
        <v>1256</v>
      </c>
      <c r="P160" s="23" t="s">
        <v>1257</v>
      </c>
      <c r="Q160" s="23"/>
      <c r="R160" s="23" t="s">
        <v>568</v>
      </c>
      <c r="S160" s="23" t="s">
        <v>394</v>
      </c>
      <c r="T160" s="23" t="s">
        <v>67</v>
      </c>
      <c r="U160" s="23" t="s">
        <v>569</v>
      </c>
      <c r="V160" s="23" t="n">
        <v>0</v>
      </c>
      <c r="W160" s="23" t="n">
        <v>0</v>
      </c>
      <c r="X160" s="23" t="n">
        <v>4.7</v>
      </c>
      <c r="Y160" s="23" t="n">
        <v>1.3</v>
      </c>
      <c r="Z160" s="23" t="n">
        <v>0</v>
      </c>
      <c r="AA160" s="23" t="n">
        <v>0</v>
      </c>
      <c r="AB160" s="23" t="n">
        <v>0</v>
      </c>
      <c r="AC160" s="23" t="n">
        <v>0</v>
      </c>
    </row>
    <row r="161" customFormat="false" ht="15" hidden="false" customHeight="false" outlineLevel="0" collapsed="false">
      <c r="A161" s="23" t="s">
        <v>1258</v>
      </c>
      <c r="B161" s="23" t="s">
        <v>1259</v>
      </c>
      <c r="C161" s="23" t="s">
        <v>1260</v>
      </c>
      <c r="D161" s="23" t="s">
        <v>88</v>
      </c>
      <c r="E161" s="23" t="s">
        <v>352</v>
      </c>
      <c r="F161" s="23" t="s">
        <v>42</v>
      </c>
      <c r="G161" s="23"/>
      <c r="H161" s="23" t="s">
        <v>49</v>
      </c>
      <c r="I161" s="23" t="s">
        <v>100</v>
      </c>
      <c r="J161" s="23" t="s">
        <v>359</v>
      </c>
      <c r="K161" s="23" t="s">
        <v>23</v>
      </c>
      <c r="L161" s="23" t="s">
        <v>23</v>
      </c>
      <c r="M161" s="23" t="n">
        <v>6</v>
      </c>
      <c r="N161" s="23"/>
      <c r="O161" s="23" t="s">
        <v>1261</v>
      </c>
      <c r="P161" s="23" t="s">
        <v>1262</v>
      </c>
      <c r="Q161" s="23"/>
      <c r="R161" s="23"/>
      <c r="S161" s="23"/>
      <c r="T161" s="23" t="s">
        <v>522</v>
      </c>
      <c r="U161" s="23" t="s">
        <v>523</v>
      </c>
      <c r="V161" s="23" t="n">
        <v>6</v>
      </c>
      <c r="W161" s="23" t="n">
        <v>0</v>
      </c>
      <c r="X161" s="23" t="n">
        <v>0</v>
      </c>
      <c r="Y161" s="23" t="n">
        <v>0</v>
      </c>
      <c r="Z161" s="23" t="n">
        <v>0</v>
      </c>
      <c r="AA161" s="23" t="n">
        <v>0</v>
      </c>
      <c r="AB161" s="23" t="n">
        <v>0</v>
      </c>
      <c r="AC161" s="23" t="n">
        <v>0</v>
      </c>
    </row>
    <row r="162" customFormat="false" ht="15" hidden="false" customHeight="false" outlineLevel="0" collapsed="false">
      <c r="A162" s="23" t="s">
        <v>1263</v>
      </c>
      <c r="B162" s="23" t="s">
        <v>1264</v>
      </c>
      <c r="C162" s="23" t="s">
        <v>1265</v>
      </c>
      <c r="D162" s="23" t="s">
        <v>91</v>
      </c>
      <c r="E162" s="23" t="s">
        <v>332</v>
      </c>
      <c r="F162" s="23" t="s">
        <v>42</v>
      </c>
      <c r="G162" s="23"/>
      <c r="H162" s="23" t="s">
        <v>49</v>
      </c>
      <c r="I162" s="23" t="s">
        <v>100</v>
      </c>
      <c r="J162" s="23" t="s">
        <v>359</v>
      </c>
      <c r="K162" s="23" t="s">
        <v>39</v>
      </c>
      <c r="L162" s="23" t="s">
        <v>383</v>
      </c>
      <c r="M162" s="23" t="n">
        <v>6</v>
      </c>
      <c r="N162" s="23"/>
      <c r="O162" s="23"/>
      <c r="P162" s="23"/>
      <c r="Q162" s="23"/>
      <c r="R162" s="23"/>
      <c r="S162" s="23"/>
      <c r="T162" s="23" t="s">
        <v>134</v>
      </c>
      <c r="U162" s="23" t="s">
        <v>384</v>
      </c>
      <c r="V162" s="23" t="n">
        <v>0</v>
      </c>
      <c r="W162" s="23" t="n">
        <v>0</v>
      </c>
      <c r="X162" s="23" t="n">
        <v>0</v>
      </c>
      <c r="Y162" s="23" t="n">
        <v>0</v>
      </c>
      <c r="Z162" s="23" t="n">
        <v>0</v>
      </c>
      <c r="AA162" s="23" t="n">
        <v>0</v>
      </c>
      <c r="AB162" s="23" t="n">
        <v>0</v>
      </c>
      <c r="AC162" s="23" t="n">
        <v>6</v>
      </c>
    </row>
    <row r="163" customFormat="false" ht="15" hidden="false" customHeight="false" outlineLevel="0" collapsed="false">
      <c r="A163" s="23" t="s">
        <v>1266</v>
      </c>
      <c r="B163" s="23" t="s">
        <v>1267</v>
      </c>
      <c r="C163" s="23" t="s">
        <v>1268</v>
      </c>
      <c r="D163" s="23" t="s">
        <v>88</v>
      </c>
      <c r="E163" s="23" t="s">
        <v>332</v>
      </c>
      <c r="F163" s="23" t="s">
        <v>42</v>
      </c>
      <c r="G163" s="23"/>
      <c r="H163" s="23" t="s">
        <v>49</v>
      </c>
      <c r="I163" s="23" t="s">
        <v>100</v>
      </c>
      <c r="J163" s="23" t="s">
        <v>359</v>
      </c>
      <c r="K163" s="23" t="s">
        <v>39</v>
      </c>
      <c r="L163" s="23" t="s">
        <v>383</v>
      </c>
      <c r="M163" s="23" t="n">
        <v>6</v>
      </c>
      <c r="N163" s="23"/>
      <c r="O163" s="23"/>
      <c r="P163" s="23"/>
      <c r="Q163" s="23"/>
      <c r="R163" s="23"/>
      <c r="S163" s="23"/>
      <c r="T163" s="23" t="s">
        <v>134</v>
      </c>
      <c r="U163" s="23" t="s">
        <v>384</v>
      </c>
      <c r="V163" s="23" t="n">
        <v>0</v>
      </c>
      <c r="W163" s="23" t="n">
        <v>0</v>
      </c>
      <c r="X163" s="23" t="n">
        <v>0</v>
      </c>
      <c r="Y163" s="23" t="n">
        <v>0</v>
      </c>
      <c r="Z163" s="23" t="n">
        <v>0</v>
      </c>
      <c r="AA163" s="23" t="n">
        <v>0</v>
      </c>
      <c r="AB163" s="23" t="n">
        <v>0</v>
      </c>
      <c r="AC163" s="23" t="n">
        <v>6</v>
      </c>
    </row>
    <row r="164" customFormat="false" ht="15" hidden="false" customHeight="false" outlineLevel="0" collapsed="false">
      <c r="A164" s="23" t="s">
        <v>1269</v>
      </c>
      <c r="B164" s="23" t="s">
        <v>1270</v>
      </c>
      <c r="C164" s="23" t="s">
        <v>1271</v>
      </c>
      <c r="D164" s="23" t="s">
        <v>88</v>
      </c>
      <c r="E164" s="23" t="s">
        <v>352</v>
      </c>
      <c r="F164" s="23" t="s">
        <v>42</v>
      </c>
      <c r="G164" s="23"/>
      <c r="H164" s="23" t="s">
        <v>49</v>
      </c>
      <c r="I164" s="23" t="s">
        <v>100</v>
      </c>
      <c r="J164" s="23" t="s">
        <v>359</v>
      </c>
      <c r="K164" s="23" t="s">
        <v>23</v>
      </c>
      <c r="L164" s="23" t="s">
        <v>23</v>
      </c>
      <c r="M164" s="23" t="n">
        <v>5</v>
      </c>
      <c r="N164" s="23"/>
      <c r="O164" s="23" t="s">
        <v>682</v>
      </c>
      <c r="P164" s="23" t="s">
        <v>1272</v>
      </c>
      <c r="Q164" s="23"/>
      <c r="R164" s="23"/>
      <c r="S164" s="23"/>
      <c r="T164" s="23" t="s">
        <v>522</v>
      </c>
      <c r="U164" s="23" t="s">
        <v>523</v>
      </c>
      <c r="V164" s="23" t="n">
        <v>5</v>
      </c>
      <c r="W164" s="23" t="n">
        <v>0</v>
      </c>
      <c r="X164" s="23" t="n">
        <v>0</v>
      </c>
      <c r="Y164" s="23" t="n">
        <v>0</v>
      </c>
      <c r="Z164" s="23" t="n">
        <v>0</v>
      </c>
      <c r="AA164" s="23" t="n">
        <v>0</v>
      </c>
      <c r="AB164" s="23" t="n">
        <v>0</v>
      </c>
      <c r="AC164" s="23" t="n">
        <v>0</v>
      </c>
    </row>
    <row r="165" customFormat="false" ht="15" hidden="false" customHeight="false" outlineLevel="0" collapsed="false">
      <c r="A165" s="23" t="s">
        <v>1273</v>
      </c>
      <c r="B165" s="23" t="s">
        <v>1274</v>
      </c>
      <c r="C165" s="23" t="s">
        <v>1275</v>
      </c>
      <c r="D165" s="23" t="s">
        <v>95</v>
      </c>
      <c r="E165" s="23" t="s">
        <v>332</v>
      </c>
      <c r="F165" s="23" t="s">
        <v>42</v>
      </c>
      <c r="G165" s="23"/>
      <c r="H165" s="23" t="s">
        <v>49</v>
      </c>
      <c r="I165" s="23" t="s">
        <v>100</v>
      </c>
      <c r="J165" s="23" t="s">
        <v>359</v>
      </c>
      <c r="K165" s="23" t="s">
        <v>34</v>
      </c>
      <c r="L165" s="23" t="s">
        <v>1239</v>
      </c>
      <c r="M165" s="23" t="n">
        <v>5</v>
      </c>
      <c r="N165" s="23"/>
      <c r="O165" s="23"/>
      <c r="P165" s="23" t="s">
        <v>1276</v>
      </c>
      <c r="Q165" s="23"/>
      <c r="R165" s="23" t="s">
        <v>1277</v>
      </c>
      <c r="S165" s="23" t="s">
        <v>130</v>
      </c>
      <c r="T165" s="23" t="s">
        <v>67</v>
      </c>
      <c r="U165" s="23" t="s">
        <v>1278</v>
      </c>
      <c r="V165" s="23" t="n">
        <v>0</v>
      </c>
      <c r="W165" s="23" t="n">
        <v>1.2</v>
      </c>
      <c r="X165" s="23" t="n">
        <v>3.8</v>
      </c>
      <c r="Y165" s="23" t="n">
        <v>0</v>
      </c>
      <c r="Z165" s="23" t="n">
        <v>0</v>
      </c>
      <c r="AA165" s="23" t="n">
        <v>0</v>
      </c>
      <c r="AB165" s="23" t="n">
        <v>0</v>
      </c>
      <c r="AC165" s="23" t="n">
        <v>0</v>
      </c>
    </row>
    <row r="166" customFormat="false" ht="15" hidden="false" customHeight="false" outlineLevel="0" collapsed="false">
      <c r="A166" s="23" t="s">
        <v>1279</v>
      </c>
      <c r="B166" s="23" t="s">
        <v>1280</v>
      </c>
      <c r="C166" s="23" t="s">
        <v>1281</v>
      </c>
      <c r="D166" s="23" t="s">
        <v>88</v>
      </c>
      <c r="E166" s="23" t="s">
        <v>332</v>
      </c>
      <c r="F166" s="23" t="s">
        <v>42</v>
      </c>
      <c r="G166" s="23"/>
      <c r="H166" s="23" t="s">
        <v>49</v>
      </c>
      <c r="I166" s="23" t="s">
        <v>100</v>
      </c>
      <c r="J166" s="23" t="s">
        <v>359</v>
      </c>
      <c r="K166" s="23" t="s">
        <v>35</v>
      </c>
      <c r="L166" s="23" t="s">
        <v>176</v>
      </c>
      <c r="M166" s="23" t="n">
        <v>5</v>
      </c>
      <c r="N166" s="23"/>
      <c r="O166" s="23" t="s">
        <v>1282</v>
      </c>
      <c r="P166" s="23"/>
      <c r="Q166" s="23"/>
      <c r="R166" s="23" t="s">
        <v>126</v>
      </c>
      <c r="S166" s="23" t="s">
        <v>116</v>
      </c>
      <c r="T166" s="23" t="s">
        <v>69</v>
      </c>
      <c r="U166" s="23" t="s">
        <v>1283</v>
      </c>
      <c r="V166" s="23" t="n">
        <v>0</v>
      </c>
      <c r="W166" s="23" t="n">
        <v>0</v>
      </c>
      <c r="X166" s="23" t="n">
        <v>0</v>
      </c>
      <c r="Y166" s="23" t="n">
        <v>3.2</v>
      </c>
      <c r="Z166" s="23" t="n">
        <v>1.8</v>
      </c>
      <c r="AA166" s="23" t="n">
        <v>0</v>
      </c>
      <c r="AB166" s="23" t="n">
        <v>0</v>
      </c>
      <c r="AC166" s="23" t="n">
        <v>0</v>
      </c>
    </row>
    <row r="167" customFormat="false" ht="15" hidden="false" customHeight="false" outlineLevel="0" collapsed="false">
      <c r="A167" s="23" t="s">
        <v>1284</v>
      </c>
      <c r="B167" s="23" t="s">
        <v>1285</v>
      </c>
      <c r="C167" s="23" t="s">
        <v>1286</v>
      </c>
      <c r="D167" s="23" t="s">
        <v>90</v>
      </c>
      <c r="E167" s="23" t="s">
        <v>332</v>
      </c>
      <c r="F167" s="23" t="s">
        <v>42</v>
      </c>
      <c r="G167" s="23"/>
      <c r="H167" s="23" t="s">
        <v>49</v>
      </c>
      <c r="I167" s="23" t="s">
        <v>100</v>
      </c>
      <c r="J167" s="23" t="s">
        <v>359</v>
      </c>
      <c r="K167" s="23" t="s">
        <v>34</v>
      </c>
      <c r="L167" s="23" t="s">
        <v>1239</v>
      </c>
      <c r="M167" s="23" t="n">
        <v>3</v>
      </c>
      <c r="N167" s="23"/>
      <c r="O167" s="23" t="s">
        <v>1287</v>
      </c>
      <c r="P167" s="23" t="s">
        <v>1288</v>
      </c>
      <c r="Q167" s="23"/>
      <c r="R167" s="23" t="s">
        <v>1289</v>
      </c>
      <c r="S167" s="23" t="s">
        <v>130</v>
      </c>
      <c r="T167" s="23" t="s">
        <v>67</v>
      </c>
      <c r="U167" s="23" t="s">
        <v>1290</v>
      </c>
      <c r="V167" s="23" t="n">
        <v>0</v>
      </c>
      <c r="W167" s="23" t="n">
        <v>0.7</v>
      </c>
      <c r="X167" s="23" t="n">
        <v>2.3</v>
      </c>
      <c r="Y167" s="23" t="n">
        <v>0</v>
      </c>
      <c r="Z167" s="23" t="n">
        <v>0</v>
      </c>
      <c r="AA167" s="23" t="n">
        <v>0</v>
      </c>
      <c r="AB167" s="23" t="n">
        <v>0</v>
      </c>
      <c r="AC167" s="23" t="n">
        <v>0</v>
      </c>
    </row>
    <row r="168" customFormat="false" ht="15" hidden="false" customHeight="false" outlineLevel="0" collapsed="false">
      <c r="A168" s="23" t="s">
        <v>1291</v>
      </c>
      <c r="B168" s="23" t="s">
        <v>1292</v>
      </c>
      <c r="C168" s="23" t="s">
        <v>1293</v>
      </c>
      <c r="D168" s="23" t="s">
        <v>1294</v>
      </c>
      <c r="E168" s="23" t="s">
        <v>1295</v>
      </c>
      <c r="F168" s="23" t="s">
        <v>43</v>
      </c>
      <c r="G168" s="23"/>
      <c r="H168" s="23" t="s">
        <v>29</v>
      </c>
      <c r="I168" s="23" t="s">
        <v>99</v>
      </c>
      <c r="J168" s="23" t="s">
        <v>333</v>
      </c>
      <c r="K168" s="23" t="s">
        <v>35</v>
      </c>
      <c r="L168" s="23" t="s">
        <v>176</v>
      </c>
      <c r="M168" s="23" t="n">
        <v>99</v>
      </c>
      <c r="N168" s="23"/>
      <c r="O168" s="23" t="s">
        <v>1296</v>
      </c>
      <c r="P168" s="23"/>
      <c r="Q168" s="23" t="s">
        <v>1297</v>
      </c>
      <c r="R168" s="23" t="s">
        <v>126</v>
      </c>
      <c r="S168" s="23" t="s">
        <v>482</v>
      </c>
      <c r="T168" s="23" t="s">
        <v>69</v>
      </c>
      <c r="U168" s="23" t="s">
        <v>830</v>
      </c>
      <c r="V168" s="23" t="n">
        <v>0</v>
      </c>
      <c r="W168" s="23" t="n">
        <v>0</v>
      </c>
      <c r="X168" s="23" t="n">
        <v>0</v>
      </c>
      <c r="Y168" s="23" t="n">
        <v>25.1</v>
      </c>
      <c r="Z168" s="23" t="n">
        <v>51.9</v>
      </c>
      <c r="AA168" s="23" t="n">
        <v>22</v>
      </c>
      <c r="AB168" s="23" t="n">
        <v>0</v>
      </c>
      <c r="AC168" s="23" t="n">
        <v>0</v>
      </c>
    </row>
    <row r="169" customFormat="false" ht="15" hidden="false" customHeight="false" outlineLevel="0" collapsed="false">
      <c r="A169" s="23" t="s">
        <v>1298</v>
      </c>
      <c r="B169" s="23" t="s">
        <v>1299</v>
      </c>
      <c r="C169" s="23" t="s">
        <v>1300</v>
      </c>
      <c r="D169" s="23" t="s">
        <v>1294</v>
      </c>
      <c r="E169" s="23" t="s">
        <v>1301</v>
      </c>
      <c r="F169" s="23" t="s">
        <v>43</v>
      </c>
      <c r="G169" s="23"/>
      <c r="H169" s="23" t="s">
        <v>29</v>
      </c>
      <c r="I169" s="23" t="s">
        <v>99</v>
      </c>
      <c r="J169" s="23" t="s">
        <v>333</v>
      </c>
      <c r="K169" s="23" t="s">
        <v>34</v>
      </c>
      <c r="L169" s="23" t="s">
        <v>727</v>
      </c>
      <c r="M169" s="23" t="n">
        <v>93</v>
      </c>
      <c r="N169" s="23"/>
      <c r="O169" s="23" t="s">
        <v>1302</v>
      </c>
      <c r="P169" s="23" t="s">
        <v>1303</v>
      </c>
      <c r="Q169" s="23" t="s">
        <v>1304</v>
      </c>
      <c r="R169" s="23" t="s">
        <v>722</v>
      </c>
      <c r="S169" s="23" t="s">
        <v>130</v>
      </c>
      <c r="T169" s="23" t="s">
        <v>67</v>
      </c>
      <c r="U169" s="23" t="s">
        <v>1305</v>
      </c>
      <c r="V169" s="23" t="n">
        <v>0</v>
      </c>
      <c r="W169" s="23" t="n">
        <v>21.7</v>
      </c>
      <c r="X169" s="23" t="n">
        <v>71.3</v>
      </c>
      <c r="Y169" s="23" t="n">
        <v>0</v>
      </c>
      <c r="Z169" s="23" t="n">
        <v>0</v>
      </c>
      <c r="AA169" s="23" t="n">
        <v>0</v>
      </c>
      <c r="AB169" s="23" t="n">
        <v>0</v>
      </c>
      <c r="AC169" s="23" t="n">
        <v>0</v>
      </c>
    </row>
    <row r="170" customFormat="false" ht="15" hidden="false" customHeight="false" outlineLevel="0" collapsed="false">
      <c r="A170" s="23" t="s">
        <v>1306</v>
      </c>
      <c r="B170" s="23" t="s">
        <v>1307</v>
      </c>
      <c r="C170" s="23" t="s">
        <v>1308</v>
      </c>
      <c r="D170" s="23" t="s">
        <v>1294</v>
      </c>
      <c r="E170" s="23" t="s">
        <v>1309</v>
      </c>
      <c r="F170" s="23" t="s">
        <v>43</v>
      </c>
      <c r="G170" s="23"/>
      <c r="H170" s="23" t="s">
        <v>29</v>
      </c>
      <c r="I170" s="23" t="s">
        <v>99</v>
      </c>
      <c r="J170" s="23" t="s">
        <v>333</v>
      </c>
      <c r="K170" s="23" t="s">
        <v>35</v>
      </c>
      <c r="L170" s="23" t="s">
        <v>176</v>
      </c>
      <c r="M170" s="23" t="n">
        <v>74</v>
      </c>
      <c r="N170" s="23"/>
      <c r="O170" s="23" t="s">
        <v>1310</v>
      </c>
      <c r="P170" s="23"/>
      <c r="Q170" s="23" t="s">
        <v>1311</v>
      </c>
      <c r="R170" s="23" t="s">
        <v>126</v>
      </c>
      <c r="S170" s="23" t="s">
        <v>514</v>
      </c>
      <c r="T170" s="23" t="s">
        <v>69</v>
      </c>
      <c r="U170" s="23" t="s">
        <v>1312</v>
      </c>
      <c r="V170" s="23" t="n">
        <v>0</v>
      </c>
      <c r="W170" s="23" t="n">
        <v>0</v>
      </c>
      <c r="X170" s="23" t="n">
        <v>0</v>
      </c>
      <c r="Y170" s="23" t="n">
        <v>28.4</v>
      </c>
      <c r="Z170" s="23" t="n">
        <v>45.6</v>
      </c>
      <c r="AA170" s="23" t="n">
        <v>0</v>
      </c>
      <c r="AB170" s="23" t="n">
        <v>0</v>
      </c>
      <c r="AC170" s="23" t="n">
        <v>0</v>
      </c>
    </row>
    <row r="171" customFormat="false" ht="15" hidden="false" customHeight="false" outlineLevel="0" collapsed="false">
      <c r="A171" s="23" t="s">
        <v>1313</v>
      </c>
      <c r="B171" s="23" t="s">
        <v>1314</v>
      </c>
      <c r="C171" s="23" t="s">
        <v>1315</v>
      </c>
      <c r="D171" s="23" t="s">
        <v>1294</v>
      </c>
      <c r="E171" s="23" t="s">
        <v>1316</v>
      </c>
      <c r="F171" s="23" t="s">
        <v>43</v>
      </c>
      <c r="G171" s="23"/>
      <c r="H171" s="23" t="s">
        <v>29</v>
      </c>
      <c r="I171" s="23" t="s">
        <v>99</v>
      </c>
      <c r="J171" s="23" t="s">
        <v>333</v>
      </c>
      <c r="K171" s="23" t="s">
        <v>34</v>
      </c>
      <c r="L171" s="23" t="s">
        <v>343</v>
      </c>
      <c r="M171" s="23" t="n">
        <v>74</v>
      </c>
      <c r="N171" s="23"/>
      <c r="O171" s="23" t="s">
        <v>1317</v>
      </c>
      <c r="P171" s="23" t="s">
        <v>603</v>
      </c>
      <c r="Q171" s="23" t="s">
        <v>1318</v>
      </c>
      <c r="R171" s="23" t="s">
        <v>347</v>
      </c>
      <c r="S171" s="23" t="s">
        <v>130</v>
      </c>
      <c r="T171" s="23" t="s">
        <v>67</v>
      </c>
      <c r="U171" s="23" t="s">
        <v>605</v>
      </c>
      <c r="V171" s="23" t="n">
        <v>0</v>
      </c>
      <c r="W171" s="23" t="n">
        <v>17.2</v>
      </c>
      <c r="X171" s="23" t="n">
        <v>56.8</v>
      </c>
      <c r="Y171" s="23" t="n">
        <v>0</v>
      </c>
      <c r="Z171" s="23" t="n">
        <v>0</v>
      </c>
      <c r="AA171" s="23" t="n">
        <v>0</v>
      </c>
      <c r="AB171" s="23" t="n">
        <v>0</v>
      </c>
      <c r="AC171" s="23" t="n">
        <v>0</v>
      </c>
    </row>
    <row r="172" customFormat="false" ht="15" hidden="false" customHeight="false" outlineLevel="0" collapsed="false">
      <c r="A172" s="23" t="s">
        <v>1319</v>
      </c>
      <c r="B172" s="23" t="s">
        <v>1320</v>
      </c>
      <c r="C172" s="23" t="s">
        <v>1321</v>
      </c>
      <c r="D172" s="23" t="s">
        <v>1294</v>
      </c>
      <c r="E172" s="23" t="s">
        <v>1322</v>
      </c>
      <c r="F172" s="23" t="s">
        <v>43</v>
      </c>
      <c r="G172" s="23"/>
      <c r="H172" s="23" t="s">
        <v>29</v>
      </c>
      <c r="I172" s="23" t="s">
        <v>99</v>
      </c>
      <c r="J172" s="23" t="s">
        <v>333</v>
      </c>
      <c r="K172" s="23" t="s">
        <v>35</v>
      </c>
      <c r="L172" s="23" t="s">
        <v>366</v>
      </c>
      <c r="M172" s="23" t="n">
        <v>68</v>
      </c>
      <c r="N172" s="23"/>
      <c r="O172" s="23" t="s">
        <v>1323</v>
      </c>
      <c r="P172" s="23"/>
      <c r="Q172" s="23" t="s">
        <v>1324</v>
      </c>
      <c r="R172" s="23" t="s">
        <v>336</v>
      </c>
      <c r="S172" s="23" t="s">
        <v>116</v>
      </c>
      <c r="T172" s="23" t="s">
        <v>68</v>
      </c>
      <c r="U172" s="23" t="s">
        <v>368</v>
      </c>
      <c r="V172" s="23" t="n">
        <v>0</v>
      </c>
      <c r="W172" s="23" t="n">
        <v>0</v>
      </c>
      <c r="X172" s="23" t="n">
        <v>0</v>
      </c>
      <c r="Y172" s="23" t="n">
        <v>53</v>
      </c>
      <c r="Z172" s="23" t="n">
        <v>15</v>
      </c>
      <c r="AA172" s="23" t="n">
        <v>0</v>
      </c>
      <c r="AB172" s="23" t="n">
        <v>0</v>
      </c>
      <c r="AC172" s="23" t="n">
        <v>0</v>
      </c>
    </row>
    <row r="173" customFormat="false" ht="15" hidden="false" customHeight="false" outlineLevel="0" collapsed="false">
      <c r="A173" s="23" t="s">
        <v>1325</v>
      </c>
      <c r="B173" s="23" t="s">
        <v>1326</v>
      </c>
      <c r="C173" s="23" t="s">
        <v>1327</v>
      </c>
      <c r="D173" s="23" t="s">
        <v>1294</v>
      </c>
      <c r="E173" s="23" t="s">
        <v>1328</v>
      </c>
      <c r="F173" s="23" t="s">
        <v>43</v>
      </c>
      <c r="G173" s="23"/>
      <c r="H173" s="23" t="s">
        <v>29</v>
      </c>
      <c r="I173" s="23" t="s">
        <v>99</v>
      </c>
      <c r="J173" s="23" t="s">
        <v>333</v>
      </c>
      <c r="K173" s="23" t="s">
        <v>35</v>
      </c>
      <c r="L173" s="23" t="s">
        <v>176</v>
      </c>
      <c r="M173" s="23" t="n">
        <v>63</v>
      </c>
      <c r="N173" s="23"/>
      <c r="O173" s="23" t="s">
        <v>1329</v>
      </c>
      <c r="P173" s="23"/>
      <c r="Q173" s="23" t="s">
        <v>1330</v>
      </c>
      <c r="R173" s="23" t="s">
        <v>126</v>
      </c>
      <c r="S173" s="23" t="s">
        <v>514</v>
      </c>
      <c r="T173" s="23" t="s">
        <v>69</v>
      </c>
      <c r="U173" s="23" t="s">
        <v>1331</v>
      </c>
      <c r="V173" s="23" t="n">
        <v>0</v>
      </c>
      <c r="W173" s="23" t="n">
        <v>0</v>
      </c>
      <c r="X173" s="23" t="n">
        <v>0</v>
      </c>
      <c r="Y173" s="23" t="n">
        <v>24.1</v>
      </c>
      <c r="Z173" s="23" t="n">
        <v>38.9</v>
      </c>
      <c r="AA173" s="23" t="n">
        <v>0</v>
      </c>
      <c r="AB173" s="23" t="n">
        <v>0</v>
      </c>
      <c r="AC173" s="23" t="n">
        <v>0</v>
      </c>
    </row>
    <row r="174" customFormat="false" ht="15" hidden="false" customHeight="false" outlineLevel="0" collapsed="false">
      <c r="A174" s="23" t="s">
        <v>1332</v>
      </c>
      <c r="B174" s="23" t="s">
        <v>1333</v>
      </c>
      <c r="C174" s="23" t="s">
        <v>1334</v>
      </c>
      <c r="D174" s="23" t="s">
        <v>1294</v>
      </c>
      <c r="E174" s="23" t="s">
        <v>1301</v>
      </c>
      <c r="F174" s="23" t="s">
        <v>43</v>
      </c>
      <c r="G174" s="23"/>
      <c r="H174" s="23" t="s">
        <v>29</v>
      </c>
      <c r="I174" s="23" t="s">
        <v>99</v>
      </c>
      <c r="J174" s="23" t="s">
        <v>333</v>
      </c>
      <c r="K174" s="23" t="s">
        <v>34</v>
      </c>
      <c r="L174" s="23" t="s">
        <v>410</v>
      </c>
      <c r="M174" s="23" t="n">
        <v>61</v>
      </c>
      <c r="N174" s="23"/>
      <c r="O174" s="23" t="s">
        <v>938</v>
      </c>
      <c r="P174" s="23" t="s">
        <v>1335</v>
      </c>
      <c r="Q174" s="23" t="s">
        <v>940</v>
      </c>
      <c r="R174" s="23" t="s">
        <v>941</v>
      </c>
      <c r="S174" s="23" t="s">
        <v>130</v>
      </c>
      <c r="T174" s="23" t="s">
        <v>67</v>
      </c>
      <c r="U174" s="23" t="s">
        <v>1127</v>
      </c>
      <c r="V174" s="23" t="n">
        <v>0</v>
      </c>
      <c r="W174" s="23" t="n">
        <v>14.2</v>
      </c>
      <c r="X174" s="23" t="n">
        <v>46.8</v>
      </c>
      <c r="Y174" s="23" t="n">
        <v>0</v>
      </c>
      <c r="Z174" s="23" t="n">
        <v>0</v>
      </c>
      <c r="AA174" s="23" t="n">
        <v>0</v>
      </c>
      <c r="AB174" s="23" t="n">
        <v>0</v>
      </c>
      <c r="AC174" s="23" t="n">
        <v>0</v>
      </c>
    </row>
    <row r="175" customFormat="false" ht="15" hidden="false" customHeight="false" outlineLevel="0" collapsed="false">
      <c r="A175" s="23" t="s">
        <v>1336</v>
      </c>
      <c r="B175" s="23" t="s">
        <v>1337</v>
      </c>
      <c r="C175" s="23" t="s">
        <v>1338</v>
      </c>
      <c r="D175" s="23" t="s">
        <v>1294</v>
      </c>
      <c r="E175" s="23" t="s">
        <v>1328</v>
      </c>
      <c r="F175" s="23" t="s">
        <v>43</v>
      </c>
      <c r="G175" s="23"/>
      <c r="H175" s="23" t="s">
        <v>29</v>
      </c>
      <c r="I175" s="23" t="s">
        <v>99</v>
      </c>
      <c r="J175" s="23" t="s">
        <v>333</v>
      </c>
      <c r="K175" s="23" t="s">
        <v>34</v>
      </c>
      <c r="L175" s="23" t="s">
        <v>727</v>
      </c>
      <c r="M175" s="23" t="n">
        <v>58</v>
      </c>
      <c r="N175" s="23"/>
      <c r="O175" s="23" t="s">
        <v>998</v>
      </c>
      <c r="P175" s="23" t="s">
        <v>412</v>
      </c>
      <c r="Q175" s="23" t="s">
        <v>1339</v>
      </c>
      <c r="R175" s="23" t="s">
        <v>414</v>
      </c>
      <c r="S175" s="23" t="s">
        <v>130</v>
      </c>
      <c r="T175" s="23" t="s">
        <v>67</v>
      </c>
      <c r="U175" s="23" t="s">
        <v>416</v>
      </c>
      <c r="V175" s="23" t="n">
        <v>0</v>
      </c>
      <c r="W175" s="23" t="n">
        <v>13.5</v>
      </c>
      <c r="X175" s="23" t="n">
        <v>44.5</v>
      </c>
      <c r="Y175" s="23" t="n">
        <v>0</v>
      </c>
      <c r="Z175" s="23" t="n">
        <v>0</v>
      </c>
      <c r="AA175" s="23" t="n">
        <v>0</v>
      </c>
      <c r="AB175" s="23" t="n">
        <v>0</v>
      </c>
      <c r="AC175" s="23" t="n">
        <v>0</v>
      </c>
    </row>
    <row r="176" customFormat="false" ht="15" hidden="false" customHeight="false" outlineLevel="0" collapsed="false">
      <c r="A176" s="23" t="s">
        <v>1340</v>
      </c>
      <c r="B176" s="23" t="s">
        <v>1341</v>
      </c>
      <c r="C176" s="23" t="s">
        <v>1342</v>
      </c>
      <c r="D176" s="23" t="s">
        <v>1294</v>
      </c>
      <c r="E176" s="23" t="s">
        <v>1328</v>
      </c>
      <c r="F176" s="23" t="s">
        <v>43</v>
      </c>
      <c r="G176" s="23"/>
      <c r="H176" s="23" t="s">
        <v>29</v>
      </c>
      <c r="I176" s="23" t="s">
        <v>99</v>
      </c>
      <c r="J176" s="23" t="s">
        <v>333</v>
      </c>
      <c r="K176" s="23" t="s">
        <v>34</v>
      </c>
      <c r="L176" s="23" t="s">
        <v>343</v>
      </c>
      <c r="M176" s="23" t="n">
        <v>54</v>
      </c>
      <c r="N176" s="23"/>
      <c r="O176" s="23" t="s">
        <v>1343</v>
      </c>
      <c r="P176" s="23" t="s">
        <v>1344</v>
      </c>
      <c r="Q176" s="23" t="s">
        <v>1345</v>
      </c>
      <c r="R176" s="23" t="s">
        <v>660</v>
      </c>
      <c r="S176" s="23" t="s">
        <v>127</v>
      </c>
      <c r="T176" s="23" t="s">
        <v>67</v>
      </c>
      <c r="U176" s="23" t="s">
        <v>661</v>
      </c>
      <c r="V176" s="23" t="n">
        <v>0</v>
      </c>
      <c r="W176" s="23" t="n">
        <v>0</v>
      </c>
      <c r="X176" s="23" t="n">
        <v>20.1</v>
      </c>
      <c r="Y176" s="23" t="n">
        <v>33.9</v>
      </c>
      <c r="Z176" s="23" t="n">
        <v>0</v>
      </c>
      <c r="AA176" s="23" t="n">
        <v>0</v>
      </c>
      <c r="AB176" s="23" t="n">
        <v>0</v>
      </c>
      <c r="AC176" s="23" t="n">
        <v>0</v>
      </c>
    </row>
    <row r="177" customFormat="false" ht="15" hidden="false" customHeight="false" outlineLevel="0" collapsed="false">
      <c r="A177" s="23" t="s">
        <v>1346</v>
      </c>
      <c r="B177" s="23" t="s">
        <v>1347</v>
      </c>
      <c r="C177" s="23" t="s">
        <v>1348</v>
      </c>
      <c r="D177" s="23" t="s">
        <v>1294</v>
      </c>
      <c r="E177" s="23" t="s">
        <v>1301</v>
      </c>
      <c r="F177" s="23" t="s">
        <v>43</v>
      </c>
      <c r="G177" s="23"/>
      <c r="H177" s="23" t="s">
        <v>29</v>
      </c>
      <c r="I177" s="23" t="s">
        <v>99</v>
      </c>
      <c r="J177" s="23" t="s">
        <v>333</v>
      </c>
      <c r="K177" s="23" t="s">
        <v>36</v>
      </c>
      <c r="L177" s="23" t="s">
        <v>558</v>
      </c>
      <c r="M177" s="23" t="n">
        <v>53</v>
      </c>
      <c r="N177" s="23"/>
      <c r="O177" s="23" t="s">
        <v>952</v>
      </c>
      <c r="P177" s="23"/>
      <c r="Q177" s="23" t="s">
        <v>953</v>
      </c>
      <c r="R177" s="23"/>
      <c r="S177" s="23"/>
      <c r="T177" s="23" t="s">
        <v>134</v>
      </c>
      <c r="U177" s="23" t="s">
        <v>561</v>
      </c>
      <c r="V177" s="23" t="n">
        <v>0</v>
      </c>
      <c r="W177" s="23" t="n">
        <v>0</v>
      </c>
      <c r="X177" s="23" t="n">
        <v>0</v>
      </c>
      <c r="Y177" s="23" t="n">
        <v>0</v>
      </c>
      <c r="Z177" s="23" t="n">
        <v>0</v>
      </c>
      <c r="AA177" s="23" t="n">
        <v>0</v>
      </c>
      <c r="AB177" s="23" t="n">
        <v>0</v>
      </c>
      <c r="AC177" s="23" t="n">
        <v>53</v>
      </c>
    </row>
    <row r="178" customFormat="false" ht="15" hidden="false" customHeight="false" outlineLevel="0" collapsed="false">
      <c r="A178" s="23" t="s">
        <v>1349</v>
      </c>
      <c r="B178" s="23" t="s">
        <v>1350</v>
      </c>
      <c r="C178" s="23" t="s">
        <v>1351</v>
      </c>
      <c r="D178" s="23" t="s">
        <v>1294</v>
      </c>
      <c r="E178" s="23" t="s">
        <v>1328</v>
      </c>
      <c r="F178" s="23" t="s">
        <v>43</v>
      </c>
      <c r="G178" s="23"/>
      <c r="H178" s="23" t="s">
        <v>29</v>
      </c>
      <c r="I178" s="23" t="s">
        <v>99</v>
      </c>
      <c r="J178" s="23" t="s">
        <v>333</v>
      </c>
      <c r="K178" s="23" t="s">
        <v>34</v>
      </c>
      <c r="L178" s="23" t="s">
        <v>343</v>
      </c>
      <c r="M178" s="23" t="n">
        <v>52</v>
      </c>
      <c r="N178" s="23"/>
      <c r="O178" s="23" t="s">
        <v>991</v>
      </c>
      <c r="P178" s="23" t="s">
        <v>1352</v>
      </c>
      <c r="Q178" s="23" t="s">
        <v>993</v>
      </c>
      <c r="R178" s="23" t="s">
        <v>347</v>
      </c>
      <c r="S178" s="23" t="s">
        <v>130</v>
      </c>
      <c r="T178" s="23" t="s">
        <v>67</v>
      </c>
      <c r="U178" s="23" t="s">
        <v>1353</v>
      </c>
      <c r="V178" s="23" t="n">
        <v>0</v>
      </c>
      <c r="W178" s="23" t="n">
        <v>12.1</v>
      </c>
      <c r="X178" s="23" t="n">
        <v>39.9</v>
      </c>
      <c r="Y178" s="23" t="n">
        <v>0</v>
      </c>
      <c r="Z178" s="23" t="n">
        <v>0</v>
      </c>
      <c r="AA178" s="23" t="n">
        <v>0</v>
      </c>
      <c r="AB178" s="23" t="n">
        <v>0</v>
      </c>
      <c r="AC178" s="23" t="n">
        <v>0</v>
      </c>
    </row>
    <row r="179" customFormat="false" ht="15" hidden="false" customHeight="false" outlineLevel="0" collapsed="false">
      <c r="A179" s="23" t="s">
        <v>1354</v>
      </c>
      <c r="B179" s="23" t="s">
        <v>1355</v>
      </c>
      <c r="C179" s="23" t="s">
        <v>1356</v>
      </c>
      <c r="D179" s="23" t="s">
        <v>1294</v>
      </c>
      <c r="E179" s="23" t="s">
        <v>1316</v>
      </c>
      <c r="F179" s="23" t="s">
        <v>43</v>
      </c>
      <c r="G179" s="23"/>
      <c r="H179" s="23" t="s">
        <v>29</v>
      </c>
      <c r="I179" s="23" t="s">
        <v>99</v>
      </c>
      <c r="J179" s="23" t="s">
        <v>333</v>
      </c>
      <c r="K179" s="23" t="s">
        <v>34</v>
      </c>
      <c r="L179" s="23" t="s">
        <v>343</v>
      </c>
      <c r="M179" s="23" t="n">
        <v>51</v>
      </c>
      <c r="N179" s="23"/>
      <c r="O179" s="23" t="s">
        <v>1357</v>
      </c>
      <c r="P179" s="23" t="s">
        <v>1358</v>
      </c>
      <c r="Q179" s="23" t="s">
        <v>1359</v>
      </c>
      <c r="R179" s="23" t="s">
        <v>753</v>
      </c>
      <c r="S179" s="23" t="s">
        <v>130</v>
      </c>
      <c r="T179" s="23" t="s">
        <v>67</v>
      </c>
      <c r="U179" s="23" t="s">
        <v>1360</v>
      </c>
      <c r="V179" s="23" t="n">
        <v>0</v>
      </c>
      <c r="W179" s="23" t="n">
        <v>11.9</v>
      </c>
      <c r="X179" s="23" t="n">
        <v>39.1</v>
      </c>
      <c r="Y179" s="23" t="n">
        <v>0</v>
      </c>
      <c r="Z179" s="23" t="n">
        <v>0</v>
      </c>
      <c r="AA179" s="23" t="n">
        <v>0</v>
      </c>
      <c r="AB179" s="23" t="n">
        <v>0</v>
      </c>
      <c r="AC179" s="23" t="n">
        <v>0</v>
      </c>
    </row>
    <row r="180" customFormat="false" ht="15" hidden="false" customHeight="false" outlineLevel="0" collapsed="false">
      <c r="A180" s="23" t="s">
        <v>1361</v>
      </c>
      <c r="B180" s="23" t="s">
        <v>1362</v>
      </c>
      <c r="C180" s="23" t="s">
        <v>1363</v>
      </c>
      <c r="D180" s="23" t="s">
        <v>1294</v>
      </c>
      <c r="E180" s="23" t="s">
        <v>352</v>
      </c>
      <c r="F180" s="23" t="s">
        <v>43</v>
      </c>
      <c r="G180" s="23"/>
      <c r="H180" s="23" t="s">
        <v>29</v>
      </c>
      <c r="I180" s="23" t="s">
        <v>99</v>
      </c>
      <c r="J180" s="23" t="s">
        <v>333</v>
      </c>
      <c r="K180" s="23" t="s">
        <v>35</v>
      </c>
      <c r="L180" s="23" t="s">
        <v>366</v>
      </c>
      <c r="M180" s="23" t="n">
        <v>51</v>
      </c>
      <c r="N180" s="23"/>
      <c r="O180" s="23" t="s">
        <v>1364</v>
      </c>
      <c r="P180" s="23"/>
      <c r="Q180" s="23" t="s">
        <v>1365</v>
      </c>
      <c r="R180" s="23" t="s">
        <v>336</v>
      </c>
      <c r="S180" s="23" t="s">
        <v>116</v>
      </c>
      <c r="T180" s="23" t="s">
        <v>68</v>
      </c>
      <c r="U180" s="23" t="s">
        <v>368</v>
      </c>
      <c r="V180" s="23" t="n">
        <v>0</v>
      </c>
      <c r="W180" s="23" t="n">
        <v>0</v>
      </c>
      <c r="X180" s="23" t="n">
        <v>0</v>
      </c>
      <c r="Y180" s="23" t="n">
        <v>39.8</v>
      </c>
      <c r="Z180" s="23" t="n">
        <v>11.2</v>
      </c>
      <c r="AA180" s="23" t="n">
        <v>0</v>
      </c>
      <c r="AB180" s="23" t="n">
        <v>0</v>
      </c>
      <c r="AC180" s="23" t="n">
        <v>0</v>
      </c>
    </row>
    <row r="181" customFormat="false" ht="15" hidden="false" customHeight="false" outlineLevel="0" collapsed="false">
      <c r="A181" s="23" t="s">
        <v>1366</v>
      </c>
      <c r="B181" s="23" t="s">
        <v>1367</v>
      </c>
      <c r="C181" s="23" t="s">
        <v>1368</v>
      </c>
      <c r="D181" s="23" t="s">
        <v>1294</v>
      </c>
      <c r="E181" s="23" t="s">
        <v>1328</v>
      </c>
      <c r="F181" s="23" t="s">
        <v>43</v>
      </c>
      <c r="G181" s="23"/>
      <c r="H181" s="23" t="s">
        <v>29</v>
      </c>
      <c r="I181" s="23" t="s">
        <v>99</v>
      </c>
      <c r="J181" s="23" t="s">
        <v>333</v>
      </c>
      <c r="K181" s="23" t="s">
        <v>34</v>
      </c>
      <c r="L181" s="23" t="s">
        <v>343</v>
      </c>
      <c r="M181" s="23" t="n">
        <v>49</v>
      </c>
      <c r="N181" s="23"/>
      <c r="O181" s="23" t="s">
        <v>1218</v>
      </c>
      <c r="P181" s="23" t="s">
        <v>1369</v>
      </c>
      <c r="Q181" s="23" t="s">
        <v>1370</v>
      </c>
      <c r="R181" s="23" t="s">
        <v>1371</v>
      </c>
      <c r="S181" s="23" t="s">
        <v>130</v>
      </c>
      <c r="T181" s="23" t="s">
        <v>67</v>
      </c>
      <c r="U181" s="23" t="s">
        <v>1372</v>
      </c>
      <c r="V181" s="23" t="n">
        <v>0</v>
      </c>
      <c r="W181" s="23" t="n">
        <v>11.4</v>
      </c>
      <c r="X181" s="23" t="n">
        <v>37.6</v>
      </c>
      <c r="Y181" s="23" t="n">
        <v>0</v>
      </c>
      <c r="Z181" s="23" t="n">
        <v>0</v>
      </c>
      <c r="AA181" s="23" t="n">
        <v>0</v>
      </c>
      <c r="AB181" s="23" t="n">
        <v>0</v>
      </c>
      <c r="AC181" s="23" t="n">
        <v>0</v>
      </c>
    </row>
    <row r="182" customFormat="false" ht="15" hidden="false" customHeight="false" outlineLevel="0" collapsed="false">
      <c r="A182" s="23" t="s">
        <v>1373</v>
      </c>
      <c r="B182" s="23" t="s">
        <v>1374</v>
      </c>
      <c r="C182" s="23" t="s">
        <v>1375</v>
      </c>
      <c r="D182" s="23" t="s">
        <v>1294</v>
      </c>
      <c r="E182" s="23" t="s">
        <v>1328</v>
      </c>
      <c r="F182" s="23" t="s">
        <v>43</v>
      </c>
      <c r="G182" s="23"/>
      <c r="H182" s="23" t="s">
        <v>29</v>
      </c>
      <c r="I182" s="23" t="s">
        <v>99</v>
      </c>
      <c r="J182" s="23" t="s">
        <v>333</v>
      </c>
      <c r="K182" s="23" t="s">
        <v>104</v>
      </c>
      <c r="L182" s="23" t="s">
        <v>176</v>
      </c>
      <c r="M182" s="23" t="n">
        <v>49</v>
      </c>
      <c r="N182" s="23"/>
      <c r="O182" s="23" t="s">
        <v>810</v>
      </c>
      <c r="P182" s="23"/>
      <c r="Q182" s="23" t="s">
        <v>1376</v>
      </c>
      <c r="R182" s="23"/>
      <c r="S182" s="23"/>
      <c r="T182" s="23" t="s">
        <v>134</v>
      </c>
      <c r="U182" s="23" t="s">
        <v>476</v>
      </c>
      <c r="V182" s="23" t="n">
        <v>0</v>
      </c>
      <c r="W182" s="23" t="n">
        <v>0</v>
      </c>
      <c r="X182" s="23" t="n">
        <v>0</v>
      </c>
      <c r="Y182" s="23" t="n">
        <v>0</v>
      </c>
      <c r="Z182" s="23" t="n">
        <v>0</v>
      </c>
      <c r="AA182" s="23" t="n">
        <v>0</v>
      </c>
      <c r="AB182" s="23" t="n">
        <v>0</v>
      </c>
      <c r="AC182" s="23" t="n">
        <v>49</v>
      </c>
    </row>
    <row r="183" customFormat="false" ht="15" hidden="false" customHeight="false" outlineLevel="0" collapsed="false">
      <c r="A183" s="23" t="s">
        <v>1377</v>
      </c>
      <c r="B183" s="23" t="s">
        <v>1378</v>
      </c>
      <c r="C183" s="23" t="s">
        <v>1379</v>
      </c>
      <c r="D183" s="23" t="s">
        <v>1294</v>
      </c>
      <c r="E183" s="23" t="s">
        <v>1322</v>
      </c>
      <c r="F183" s="23" t="s">
        <v>43</v>
      </c>
      <c r="G183" s="23"/>
      <c r="H183" s="23" t="s">
        <v>29</v>
      </c>
      <c r="I183" s="23" t="s">
        <v>99</v>
      </c>
      <c r="J183" s="23" t="s">
        <v>333</v>
      </c>
      <c r="K183" s="23" t="s">
        <v>39</v>
      </c>
      <c r="L183" s="23" t="s">
        <v>383</v>
      </c>
      <c r="M183" s="23" t="n">
        <v>48</v>
      </c>
      <c r="N183" s="23"/>
      <c r="O183" s="23"/>
      <c r="P183" s="23"/>
      <c r="Q183" s="23"/>
      <c r="R183" s="23"/>
      <c r="S183" s="23"/>
      <c r="T183" s="23" t="s">
        <v>134</v>
      </c>
      <c r="U183" s="23" t="s">
        <v>384</v>
      </c>
      <c r="V183" s="23" t="n">
        <v>0</v>
      </c>
      <c r="W183" s="23" t="n">
        <v>0</v>
      </c>
      <c r="X183" s="23" t="n">
        <v>0</v>
      </c>
      <c r="Y183" s="23" t="n">
        <v>0</v>
      </c>
      <c r="Z183" s="23" t="n">
        <v>0</v>
      </c>
      <c r="AA183" s="23" t="n">
        <v>0</v>
      </c>
      <c r="AB183" s="23" t="n">
        <v>0</v>
      </c>
      <c r="AC183" s="23" t="n">
        <v>48</v>
      </c>
    </row>
    <row r="184" customFormat="false" ht="15" hidden="false" customHeight="false" outlineLevel="0" collapsed="false">
      <c r="A184" s="23" t="s">
        <v>1380</v>
      </c>
      <c r="B184" s="23" t="s">
        <v>1381</v>
      </c>
      <c r="C184" s="23" t="s">
        <v>1382</v>
      </c>
      <c r="D184" s="23" t="s">
        <v>1294</v>
      </c>
      <c r="E184" s="23" t="s">
        <v>342</v>
      </c>
      <c r="F184" s="23" t="s">
        <v>43</v>
      </c>
      <c r="G184" s="23"/>
      <c r="H184" s="23" t="s">
        <v>29</v>
      </c>
      <c r="I184" s="23" t="s">
        <v>99</v>
      </c>
      <c r="J184" s="23" t="s">
        <v>333</v>
      </c>
      <c r="K184" s="23" t="s">
        <v>34</v>
      </c>
      <c r="L184" s="23" t="s">
        <v>343</v>
      </c>
      <c r="M184" s="23" t="n">
        <v>42</v>
      </c>
      <c r="N184" s="23"/>
      <c r="O184" s="23" t="s">
        <v>1383</v>
      </c>
      <c r="P184" s="23" t="s">
        <v>1384</v>
      </c>
      <c r="Q184" s="23" t="s">
        <v>1385</v>
      </c>
      <c r="R184" s="23" t="s">
        <v>568</v>
      </c>
      <c r="S184" s="23" t="s">
        <v>394</v>
      </c>
      <c r="T184" s="23" t="s">
        <v>67</v>
      </c>
      <c r="U184" s="23" t="s">
        <v>747</v>
      </c>
      <c r="V184" s="23" t="n">
        <v>0</v>
      </c>
      <c r="W184" s="23" t="n">
        <v>0</v>
      </c>
      <c r="X184" s="23" t="n">
        <v>32</v>
      </c>
      <c r="Y184" s="23" t="n">
        <v>10</v>
      </c>
      <c r="Z184" s="23" t="n">
        <v>0</v>
      </c>
      <c r="AA184" s="23" t="n">
        <v>0</v>
      </c>
      <c r="AB184" s="23" t="n">
        <v>0</v>
      </c>
      <c r="AC184" s="23" t="n">
        <v>0</v>
      </c>
    </row>
    <row r="185" customFormat="false" ht="15" hidden="false" customHeight="false" outlineLevel="0" collapsed="false">
      <c r="A185" s="23" t="s">
        <v>1386</v>
      </c>
      <c r="B185" s="23" t="s">
        <v>1387</v>
      </c>
      <c r="C185" s="23" t="s">
        <v>1388</v>
      </c>
      <c r="D185" s="23" t="s">
        <v>1294</v>
      </c>
      <c r="E185" s="23" t="s">
        <v>1328</v>
      </c>
      <c r="F185" s="23" t="s">
        <v>43</v>
      </c>
      <c r="G185" s="23"/>
      <c r="H185" s="23" t="s">
        <v>29</v>
      </c>
      <c r="I185" s="23" t="s">
        <v>99</v>
      </c>
      <c r="J185" s="23" t="s">
        <v>333</v>
      </c>
      <c r="K185" s="23" t="s">
        <v>35</v>
      </c>
      <c r="L185" s="23" t="s">
        <v>366</v>
      </c>
      <c r="M185" s="23" t="n">
        <v>41</v>
      </c>
      <c r="N185" s="23"/>
      <c r="O185" s="23" t="s">
        <v>1389</v>
      </c>
      <c r="P185" s="23"/>
      <c r="Q185" s="23" t="s">
        <v>766</v>
      </c>
      <c r="R185" s="23" t="s">
        <v>336</v>
      </c>
      <c r="S185" s="23" t="s">
        <v>127</v>
      </c>
      <c r="T185" s="23" t="s">
        <v>68</v>
      </c>
      <c r="U185" s="23" t="s">
        <v>368</v>
      </c>
      <c r="V185" s="23" t="n">
        <v>0</v>
      </c>
      <c r="W185" s="23" t="n">
        <v>0</v>
      </c>
      <c r="X185" s="23" t="n">
        <v>1.1</v>
      </c>
      <c r="Y185" s="23" t="n">
        <v>39.9</v>
      </c>
      <c r="Z185" s="23" t="n">
        <v>0</v>
      </c>
      <c r="AA185" s="23" t="n">
        <v>0</v>
      </c>
      <c r="AB185" s="23" t="n">
        <v>0</v>
      </c>
      <c r="AC185" s="23" t="n">
        <v>0</v>
      </c>
    </row>
    <row r="186" customFormat="false" ht="15" hidden="false" customHeight="false" outlineLevel="0" collapsed="false">
      <c r="A186" s="23" t="s">
        <v>1390</v>
      </c>
      <c r="B186" s="23" t="s">
        <v>1391</v>
      </c>
      <c r="C186" s="23" t="s">
        <v>1392</v>
      </c>
      <c r="D186" s="23" t="s">
        <v>1294</v>
      </c>
      <c r="E186" s="23" t="s">
        <v>1328</v>
      </c>
      <c r="F186" s="23" t="s">
        <v>43</v>
      </c>
      <c r="G186" s="23"/>
      <c r="H186" s="23" t="s">
        <v>29</v>
      </c>
      <c r="I186" s="23" t="s">
        <v>99</v>
      </c>
      <c r="J186" s="23" t="s">
        <v>333</v>
      </c>
      <c r="K186" s="23" t="s">
        <v>36</v>
      </c>
      <c r="L186" s="23" t="s">
        <v>558</v>
      </c>
      <c r="M186" s="23" t="n">
        <v>40</v>
      </c>
      <c r="N186" s="23"/>
      <c r="O186" s="23" t="s">
        <v>1393</v>
      </c>
      <c r="P186" s="23"/>
      <c r="Q186" s="23" t="s">
        <v>1394</v>
      </c>
      <c r="R186" s="23"/>
      <c r="S186" s="23"/>
      <c r="T186" s="23" t="s">
        <v>134</v>
      </c>
      <c r="U186" s="23" t="s">
        <v>561</v>
      </c>
      <c r="V186" s="23" t="n">
        <v>0</v>
      </c>
      <c r="W186" s="23" t="n">
        <v>0</v>
      </c>
      <c r="X186" s="23" t="n">
        <v>0</v>
      </c>
      <c r="Y186" s="23" t="n">
        <v>0</v>
      </c>
      <c r="Z186" s="23" t="n">
        <v>0</v>
      </c>
      <c r="AA186" s="23" t="n">
        <v>0</v>
      </c>
      <c r="AB186" s="23" t="n">
        <v>0</v>
      </c>
      <c r="AC186" s="23" t="n">
        <v>40</v>
      </c>
    </row>
    <row r="187" customFormat="false" ht="15" hidden="false" customHeight="false" outlineLevel="0" collapsed="false">
      <c r="A187" s="23" t="s">
        <v>1395</v>
      </c>
      <c r="B187" s="23" t="s">
        <v>1396</v>
      </c>
      <c r="C187" s="23" t="s">
        <v>1397</v>
      </c>
      <c r="D187" s="23" t="s">
        <v>1294</v>
      </c>
      <c r="E187" s="23" t="s">
        <v>1328</v>
      </c>
      <c r="F187" s="23" t="s">
        <v>43</v>
      </c>
      <c r="G187" s="23"/>
      <c r="H187" s="23" t="s">
        <v>29</v>
      </c>
      <c r="I187" s="23" t="s">
        <v>99</v>
      </c>
      <c r="J187" s="23" t="s">
        <v>333</v>
      </c>
      <c r="K187" s="23" t="s">
        <v>34</v>
      </c>
      <c r="L187" s="23" t="s">
        <v>410</v>
      </c>
      <c r="M187" s="23" t="n">
        <v>36</v>
      </c>
      <c r="N187" s="23"/>
      <c r="O187" s="23" t="s">
        <v>1398</v>
      </c>
      <c r="P187" s="23" t="s">
        <v>1399</v>
      </c>
      <c r="Q187" s="23" t="s">
        <v>925</v>
      </c>
      <c r="R187" s="23" t="s">
        <v>767</v>
      </c>
      <c r="S187" s="23" t="s">
        <v>130</v>
      </c>
      <c r="T187" s="23" t="s">
        <v>67</v>
      </c>
      <c r="U187" s="23" t="s">
        <v>799</v>
      </c>
      <c r="V187" s="23" t="n">
        <v>0</v>
      </c>
      <c r="W187" s="23" t="n">
        <v>8.4</v>
      </c>
      <c r="X187" s="23" t="n">
        <v>27.6</v>
      </c>
      <c r="Y187" s="23" t="n">
        <v>0</v>
      </c>
      <c r="Z187" s="23" t="n">
        <v>0</v>
      </c>
      <c r="AA187" s="23" t="n">
        <v>0</v>
      </c>
      <c r="AB187" s="23" t="n">
        <v>0</v>
      </c>
      <c r="AC187" s="23" t="n">
        <v>0</v>
      </c>
    </row>
    <row r="188" customFormat="false" ht="15" hidden="false" customHeight="false" outlineLevel="0" collapsed="false">
      <c r="A188" s="23" t="s">
        <v>1400</v>
      </c>
      <c r="B188" s="23" t="s">
        <v>1401</v>
      </c>
      <c r="C188" s="23" t="s">
        <v>1402</v>
      </c>
      <c r="D188" s="23" t="s">
        <v>1294</v>
      </c>
      <c r="E188" s="23" t="s">
        <v>352</v>
      </c>
      <c r="F188" s="23" t="s">
        <v>43</v>
      </c>
      <c r="G188" s="23"/>
      <c r="H188" s="23" t="s">
        <v>29</v>
      </c>
      <c r="I188" s="23" t="s">
        <v>99</v>
      </c>
      <c r="J188" s="23" t="s">
        <v>333</v>
      </c>
      <c r="K188" s="23" t="s">
        <v>36</v>
      </c>
      <c r="L188" s="23" t="s">
        <v>558</v>
      </c>
      <c r="M188" s="23" t="n">
        <v>32</v>
      </c>
      <c r="N188" s="23"/>
      <c r="O188" s="23" t="s">
        <v>1403</v>
      </c>
      <c r="P188" s="23"/>
      <c r="Q188" s="23" t="s">
        <v>1404</v>
      </c>
      <c r="R188" s="23"/>
      <c r="S188" s="23"/>
      <c r="T188" s="23" t="s">
        <v>134</v>
      </c>
      <c r="U188" s="23" t="s">
        <v>561</v>
      </c>
      <c r="V188" s="23" t="n">
        <v>0</v>
      </c>
      <c r="W188" s="23" t="n">
        <v>0</v>
      </c>
      <c r="X188" s="23" t="n">
        <v>0</v>
      </c>
      <c r="Y188" s="23" t="n">
        <v>0</v>
      </c>
      <c r="Z188" s="23" t="n">
        <v>0</v>
      </c>
      <c r="AA188" s="23" t="n">
        <v>0</v>
      </c>
      <c r="AB188" s="23" t="n">
        <v>0</v>
      </c>
      <c r="AC188" s="23" t="n">
        <v>32</v>
      </c>
    </row>
    <row r="189" customFormat="false" ht="15" hidden="false" customHeight="false" outlineLevel="0" collapsed="false">
      <c r="A189" s="23" t="s">
        <v>1405</v>
      </c>
      <c r="B189" s="23" t="s">
        <v>1406</v>
      </c>
      <c r="C189" s="23" t="s">
        <v>1407</v>
      </c>
      <c r="D189" s="23" t="s">
        <v>1294</v>
      </c>
      <c r="E189" s="23" t="s">
        <v>352</v>
      </c>
      <c r="F189" s="23" t="s">
        <v>43</v>
      </c>
      <c r="G189" s="23"/>
      <c r="H189" s="23" t="s">
        <v>29</v>
      </c>
      <c r="I189" s="23" t="s">
        <v>99</v>
      </c>
      <c r="J189" s="23" t="s">
        <v>333</v>
      </c>
      <c r="K189" s="23" t="s">
        <v>35</v>
      </c>
      <c r="L189" s="23" t="s">
        <v>176</v>
      </c>
      <c r="M189" s="23" t="n">
        <v>32</v>
      </c>
      <c r="N189" s="23"/>
      <c r="O189" s="23" t="s">
        <v>1408</v>
      </c>
      <c r="P189" s="23"/>
      <c r="Q189" s="23" t="s">
        <v>1409</v>
      </c>
      <c r="R189" s="23" t="s">
        <v>126</v>
      </c>
      <c r="S189" s="23" t="s">
        <v>116</v>
      </c>
      <c r="T189" s="23" t="s">
        <v>69</v>
      </c>
      <c r="U189" s="23" t="s">
        <v>1410</v>
      </c>
      <c r="V189" s="23" t="n">
        <v>0</v>
      </c>
      <c r="W189" s="23" t="n">
        <v>0</v>
      </c>
      <c r="X189" s="23" t="n">
        <v>0</v>
      </c>
      <c r="Y189" s="23" t="n">
        <v>23.6</v>
      </c>
      <c r="Z189" s="23" t="n">
        <v>8.4</v>
      </c>
      <c r="AA189" s="23" t="n">
        <v>0</v>
      </c>
      <c r="AB189" s="23" t="n">
        <v>0</v>
      </c>
      <c r="AC189" s="23" t="n">
        <v>0</v>
      </c>
    </row>
    <row r="190" customFormat="false" ht="15" hidden="false" customHeight="false" outlineLevel="0" collapsed="false">
      <c r="A190" s="23" t="s">
        <v>1411</v>
      </c>
      <c r="B190" s="23" t="s">
        <v>1412</v>
      </c>
      <c r="C190" s="23" t="s">
        <v>1413</v>
      </c>
      <c r="D190" s="23" t="s">
        <v>1294</v>
      </c>
      <c r="E190" s="23" t="s">
        <v>352</v>
      </c>
      <c r="F190" s="23" t="s">
        <v>43</v>
      </c>
      <c r="G190" s="23"/>
      <c r="H190" s="23" t="s">
        <v>29</v>
      </c>
      <c r="I190" s="23" t="s">
        <v>99</v>
      </c>
      <c r="J190" s="23" t="s">
        <v>333</v>
      </c>
      <c r="K190" s="23" t="s">
        <v>34</v>
      </c>
      <c r="L190" s="23" t="s">
        <v>343</v>
      </c>
      <c r="M190" s="23" t="n">
        <v>30</v>
      </c>
      <c r="N190" s="23"/>
      <c r="O190" s="23" t="s">
        <v>1414</v>
      </c>
      <c r="P190" s="23" t="s">
        <v>1415</v>
      </c>
      <c r="Q190" s="23" t="s">
        <v>1416</v>
      </c>
      <c r="R190" s="23" t="s">
        <v>927</v>
      </c>
      <c r="S190" s="23" t="s">
        <v>130</v>
      </c>
      <c r="T190" s="23" t="s">
        <v>67</v>
      </c>
      <c r="U190" s="23" t="s">
        <v>928</v>
      </c>
      <c r="V190" s="23" t="n">
        <v>0</v>
      </c>
      <c r="W190" s="23" t="n">
        <v>7</v>
      </c>
      <c r="X190" s="23" t="n">
        <v>23</v>
      </c>
      <c r="Y190" s="23" t="n">
        <v>0</v>
      </c>
      <c r="Z190" s="23" t="n">
        <v>0</v>
      </c>
      <c r="AA190" s="23" t="n">
        <v>0</v>
      </c>
      <c r="AB190" s="23" t="n">
        <v>0</v>
      </c>
      <c r="AC190" s="23" t="n">
        <v>0</v>
      </c>
    </row>
    <row r="191" customFormat="false" ht="15" hidden="false" customHeight="false" outlineLevel="0" collapsed="false">
      <c r="A191" s="23" t="s">
        <v>1417</v>
      </c>
      <c r="B191" s="23" t="s">
        <v>1418</v>
      </c>
      <c r="C191" s="23" t="s">
        <v>1419</v>
      </c>
      <c r="D191" s="23" t="s">
        <v>1294</v>
      </c>
      <c r="E191" s="23" t="s">
        <v>1301</v>
      </c>
      <c r="F191" s="23" t="s">
        <v>43</v>
      </c>
      <c r="G191" s="23"/>
      <c r="H191" s="23" t="s">
        <v>29</v>
      </c>
      <c r="I191" s="23" t="s">
        <v>99</v>
      </c>
      <c r="J191" s="23" t="s">
        <v>333</v>
      </c>
      <c r="K191" s="23" t="s">
        <v>39</v>
      </c>
      <c r="L191" s="23" t="s">
        <v>383</v>
      </c>
      <c r="M191" s="23" t="n">
        <v>30</v>
      </c>
      <c r="N191" s="23"/>
      <c r="O191" s="23"/>
      <c r="P191" s="23"/>
      <c r="Q191" s="23"/>
      <c r="R191" s="23"/>
      <c r="S191" s="23"/>
      <c r="T191" s="23" t="s">
        <v>134</v>
      </c>
      <c r="U191" s="23" t="s">
        <v>384</v>
      </c>
      <c r="V191" s="23" t="n">
        <v>0</v>
      </c>
      <c r="W191" s="23" t="n">
        <v>0</v>
      </c>
      <c r="X191" s="23" t="n">
        <v>0</v>
      </c>
      <c r="Y191" s="23" t="n">
        <v>0</v>
      </c>
      <c r="Z191" s="23" t="n">
        <v>0</v>
      </c>
      <c r="AA191" s="23" t="n">
        <v>0</v>
      </c>
      <c r="AB191" s="23" t="n">
        <v>0</v>
      </c>
      <c r="AC191" s="23" t="n">
        <v>30</v>
      </c>
    </row>
    <row r="192" customFormat="false" ht="15" hidden="false" customHeight="false" outlineLevel="0" collapsed="false">
      <c r="A192" s="23" t="s">
        <v>1420</v>
      </c>
      <c r="B192" s="23" t="s">
        <v>1421</v>
      </c>
      <c r="C192" s="23" t="s">
        <v>1422</v>
      </c>
      <c r="D192" s="23" t="s">
        <v>1294</v>
      </c>
      <c r="E192" s="23" t="s">
        <v>342</v>
      </c>
      <c r="F192" s="23" t="s">
        <v>43</v>
      </c>
      <c r="G192" s="23"/>
      <c r="H192" s="23" t="s">
        <v>29</v>
      </c>
      <c r="I192" s="23" t="s">
        <v>99</v>
      </c>
      <c r="J192" s="23" t="s">
        <v>333</v>
      </c>
      <c r="K192" s="23" t="s">
        <v>34</v>
      </c>
      <c r="L192" s="23" t="s">
        <v>343</v>
      </c>
      <c r="M192" s="23" t="n">
        <v>28</v>
      </c>
      <c r="N192" s="23"/>
      <c r="O192" s="23" t="s">
        <v>1423</v>
      </c>
      <c r="P192" s="23" t="s">
        <v>1424</v>
      </c>
      <c r="Q192" s="23" t="s">
        <v>1425</v>
      </c>
      <c r="R192" s="23" t="s">
        <v>878</v>
      </c>
      <c r="S192" s="23" t="s">
        <v>130</v>
      </c>
      <c r="T192" s="23" t="s">
        <v>67</v>
      </c>
      <c r="U192" s="23" t="s">
        <v>1063</v>
      </c>
      <c r="V192" s="23" t="n">
        <v>0</v>
      </c>
      <c r="W192" s="23" t="n">
        <v>1.2</v>
      </c>
      <c r="X192" s="23" t="n">
        <v>26.8</v>
      </c>
      <c r="Y192" s="23" t="n">
        <v>0</v>
      </c>
      <c r="Z192" s="23" t="n">
        <v>0</v>
      </c>
      <c r="AA192" s="23" t="n">
        <v>0</v>
      </c>
      <c r="AB192" s="23" t="n">
        <v>0</v>
      </c>
      <c r="AC192" s="23" t="n">
        <v>0</v>
      </c>
    </row>
    <row r="193" customFormat="false" ht="15" hidden="false" customHeight="false" outlineLevel="0" collapsed="false">
      <c r="A193" s="23" t="s">
        <v>1426</v>
      </c>
      <c r="B193" s="23" t="s">
        <v>1427</v>
      </c>
      <c r="C193" s="23" t="s">
        <v>1428</v>
      </c>
      <c r="D193" s="23" t="s">
        <v>1294</v>
      </c>
      <c r="E193" s="23" t="s">
        <v>1429</v>
      </c>
      <c r="F193" s="23" t="s">
        <v>43</v>
      </c>
      <c r="G193" s="23"/>
      <c r="H193" s="23" t="s">
        <v>29</v>
      </c>
      <c r="I193" s="23" t="s">
        <v>99</v>
      </c>
      <c r="J193" s="23" t="s">
        <v>333</v>
      </c>
      <c r="K193" s="23" t="s">
        <v>35</v>
      </c>
      <c r="L193" s="23" t="s">
        <v>176</v>
      </c>
      <c r="M193" s="23" t="n">
        <v>28</v>
      </c>
      <c r="N193" s="23"/>
      <c r="O193" s="23" t="s">
        <v>1430</v>
      </c>
      <c r="P193" s="23"/>
      <c r="Q193" s="23" t="s">
        <v>1431</v>
      </c>
      <c r="R193" s="23" t="s">
        <v>119</v>
      </c>
      <c r="S193" s="23" t="s">
        <v>367</v>
      </c>
      <c r="T193" s="23" t="s">
        <v>68</v>
      </c>
      <c r="U193" s="23" t="s">
        <v>1432</v>
      </c>
      <c r="V193" s="23" t="n">
        <v>0</v>
      </c>
      <c r="W193" s="23" t="n">
        <v>0</v>
      </c>
      <c r="X193" s="23" t="n">
        <v>0</v>
      </c>
      <c r="Y193" s="23" t="n">
        <v>0</v>
      </c>
      <c r="Z193" s="23" t="n">
        <v>27.8</v>
      </c>
      <c r="AA193" s="23" t="n">
        <v>0.2</v>
      </c>
      <c r="AB193" s="23" t="n">
        <v>0</v>
      </c>
      <c r="AC193" s="23" t="n">
        <v>0</v>
      </c>
    </row>
    <row r="194" customFormat="false" ht="15" hidden="false" customHeight="false" outlineLevel="0" collapsed="false">
      <c r="A194" s="23" t="s">
        <v>1433</v>
      </c>
      <c r="B194" s="23" t="s">
        <v>1434</v>
      </c>
      <c r="C194" s="23" t="s">
        <v>1435</v>
      </c>
      <c r="D194" s="23" t="s">
        <v>1294</v>
      </c>
      <c r="E194" s="23" t="s">
        <v>1295</v>
      </c>
      <c r="F194" s="23" t="s">
        <v>43</v>
      </c>
      <c r="G194" s="23"/>
      <c r="H194" s="23" t="s">
        <v>29</v>
      </c>
      <c r="I194" s="23" t="s">
        <v>99</v>
      </c>
      <c r="J194" s="23" t="s">
        <v>333</v>
      </c>
      <c r="K194" s="23" t="s">
        <v>35</v>
      </c>
      <c r="L194" s="23" t="s">
        <v>176</v>
      </c>
      <c r="M194" s="23" t="n">
        <v>28</v>
      </c>
      <c r="N194" s="23"/>
      <c r="O194" s="23" t="s">
        <v>1436</v>
      </c>
      <c r="P194" s="23"/>
      <c r="Q194" s="23" t="s">
        <v>1437</v>
      </c>
      <c r="R194" s="23" t="s">
        <v>126</v>
      </c>
      <c r="S194" s="23" t="s">
        <v>337</v>
      </c>
      <c r="T194" s="23" t="s">
        <v>69</v>
      </c>
      <c r="U194" s="23" t="s">
        <v>1438</v>
      </c>
      <c r="V194" s="23" t="n">
        <v>0</v>
      </c>
      <c r="W194" s="23" t="n">
        <v>0</v>
      </c>
      <c r="X194" s="23" t="n">
        <v>0</v>
      </c>
      <c r="Y194" s="23" t="n">
        <v>21.3</v>
      </c>
      <c r="Z194" s="23" t="n">
        <v>6.7</v>
      </c>
      <c r="AA194" s="23" t="n">
        <v>0</v>
      </c>
      <c r="AB194" s="23" t="n">
        <v>0</v>
      </c>
      <c r="AC194" s="23" t="n">
        <v>0</v>
      </c>
    </row>
    <row r="195" customFormat="false" ht="15" hidden="false" customHeight="false" outlineLevel="0" collapsed="false">
      <c r="A195" s="23" t="s">
        <v>1439</v>
      </c>
      <c r="B195" s="23" t="s">
        <v>1440</v>
      </c>
      <c r="C195" s="23" t="s">
        <v>1441</v>
      </c>
      <c r="D195" s="23" t="s">
        <v>1294</v>
      </c>
      <c r="E195" s="23" t="s">
        <v>352</v>
      </c>
      <c r="F195" s="23" t="s">
        <v>43</v>
      </c>
      <c r="G195" s="23"/>
      <c r="H195" s="23" t="s">
        <v>29</v>
      </c>
      <c r="I195" s="23" t="s">
        <v>99</v>
      </c>
      <c r="J195" s="23" t="s">
        <v>333</v>
      </c>
      <c r="K195" s="23" t="s">
        <v>35</v>
      </c>
      <c r="L195" s="23" t="s">
        <v>176</v>
      </c>
      <c r="M195" s="23" t="n">
        <v>27</v>
      </c>
      <c r="N195" s="23"/>
      <c r="O195" s="23" t="s">
        <v>1442</v>
      </c>
      <c r="P195" s="23"/>
      <c r="Q195" s="23" t="s">
        <v>1443</v>
      </c>
      <c r="R195" s="23" t="s">
        <v>130</v>
      </c>
      <c r="S195" s="23" t="s">
        <v>131</v>
      </c>
      <c r="T195" s="23" t="s">
        <v>68</v>
      </c>
      <c r="U195" s="23" t="s">
        <v>1444</v>
      </c>
      <c r="V195" s="23" t="n">
        <v>0</v>
      </c>
      <c r="W195" s="23" t="n">
        <v>0</v>
      </c>
      <c r="X195" s="23" t="n">
        <v>0</v>
      </c>
      <c r="Y195" s="23" t="n">
        <v>11.4</v>
      </c>
      <c r="Z195" s="23" t="n">
        <v>15.6</v>
      </c>
      <c r="AA195" s="23" t="n">
        <v>0</v>
      </c>
      <c r="AB195" s="23" t="n">
        <v>0</v>
      </c>
      <c r="AC195" s="23" t="n">
        <v>0</v>
      </c>
    </row>
    <row r="196" customFormat="false" ht="15" hidden="false" customHeight="false" outlineLevel="0" collapsed="false">
      <c r="A196" s="23" t="s">
        <v>1445</v>
      </c>
      <c r="B196" s="23" t="s">
        <v>1446</v>
      </c>
      <c r="C196" s="23" t="s">
        <v>1447</v>
      </c>
      <c r="D196" s="23" t="s">
        <v>1294</v>
      </c>
      <c r="E196" s="23" t="s">
        <v>1295</v>
      </c>
      <c r="F196" s="23" t="s">
        <v>43</v>
      </c>
      <c r="G196" s="23"/>
      <c r="H196" s="23" t="s">
        <v>29</v>
      </c>
      <c r="I196" s="23" t="s">
        <v>99</v>
      </c>
      <c r="J196" s="23" t="s">
        <v>333</v>
      </c>
      <c r="K196" s="23" t="s">
        <v>35</v>
      </c>
      <c r="L196" s="23" t="s">
        <v>176</v>
      </c>
      <c r="M196" s="23" t="n">
        <v>25</v>
      </c>
      <c r="N196" s="23"/>
      <c r="O196" s="23" t="s">
        <v>1436</v>
      </c>
      <c r="P196" s="23"/>
      <c r="Q196" s="23" t="s">
        <v>1437</v>
      </c>
      <c r="R196" s="23" t="s">
        <v>126</v>
      </c>
      <c r="S196" s="23" t="s">
        <v>337</v>
      </c>
      <c r="T196" s="23" t="s">
        <v>69</v>
      </c>
      <c r="U196" s="23" t="s">
        <v>1438</v>
      </c>
      <c r="V196" s="23" t="n">
        <v>0</v>
      </c>
      <c r="W196" s="23" t="n">
        <v>0</v>
      </c>
      <c r="X196" s="23" t="n">
        <v>0</v>
      </c>
      <c r="Y196" s="23" t="n">
        <v>19</v>
      </c>
      <c r="Z196" s="23" t="n">
        <v>6</v>
      </c>
      <c r="AA196" s="23" t="n">
        <v>0</v>
      </c>
      <c r="AB196" s="23" t="n">
        <v>0</v>
      </c>
      <c r="AC196" s="23" t="n">
        <v>0</v>
      </c>
    </row>
    <row r="197" customFormat="false" ht="15" hidden="false" customHeight="false" outlineLevel="0" collapsed="false">
      <c r="A197" s="23" t="s">
        <v>1448</v>
      </c>
      <c r="B197" s="23" t="s">
        <v>1449</v>
      </c>
      <c r="C197" s="23" t="s">
        <v>1450</v>
      </c>
      <c r="D197" s="23" t="s">
        <v>1294</v>
      </c>
      <c r="E197" s="23" t="s">
        <v>1451</v>
      </c>
      <c r="F197" s="23" t="s">
        <v>43</v>
      </c>
      <c r="G197" s="23"/>
      <c r="H197" s="23" t="s">
        <v>29</v>
      </c>
      <c r="I197" s="23" t="s">
        <v>99</v>
      </c>
      <c r="J197" s="23" t="s">
        <v>333</v>
      </c>
      <c r="K197" s="23" t="s">
        <v>34</v>
      </c>
      <c r="L197" s="23" t="s">
        <v>343</v>
      </c>
      <c r="M197" s="23" t="n">
        <v>22</v>
      </c>
      <c r="N197" s="23"/>
      <c r="O197" s="23" t="s">
        <v>818</v>
      </c>
      <c r="P197" s="23" t="s">
        <v>1452</v>
      </c>
      <c r="Q197" s="23" t="s">
        <v>1453</v>
      </c>
      <c r="R197" s="23" t="s">
        <v>927</v>
      </c>
      <c r="S197" s="23" t="s">
        <v>119</v>
      </c>
      <c r="T197" s="23" t="s">
        <v>67</v>
      </c>
      <c r="U197" s="23" t="s">
        <v>1173</v>
      </c>
      <c r="V197" s="23" t="n">
        <v>0</v>
      </c>
      <c r="W197" s="23" t="n">
        <v>3.1</v>
      </c>
      <c r="X197" s="23" t="n">
        <v>13.5</v>
      </c>
      <c r="Y197" s="23" t="n">
        <v>5.4</v>
      </c>
      <c r="Z197" s="23" t="n">
        <v>0</v>
      </c>
      <c r="AA197" s="23" t="n">
        <v>0</v>
      </c>
      <c r="AB197" s="23" t="n">
        <v>0</v>
      </c>
      <c r="AC197" s="23" t="n">
        <v>0</v>
      </c>
    </row>
    <row r="198" customFormat="false" ht="15" hidden="false" customHeight="false" outlineLevel="0" collapsed="false">
      <c r="A198" s="23" t="s">
        <v>1454</v>
      </c>
      <c r="B198" s="23" t="s">
        <v>1455</v>
      </c>
      <c r="C198" s="23" t="s">
        <v>1456</v>
      </c>
      <c r="D198" s="23" t="s">
        <v>1294</v>
      </c>
      <c r="E198" s="23" t="s">
        <v>352</v>
      </c>
      <c r="F198" s="23" t="s">
        <v>43</v>
      </c>
      <c r="G198" s="23"/>
      <c r="H198" s="23" t="s">
        <v>29</v>
      </c>
      <c r="I198" s="23" t="s">
        <v>99</v>
      </c>
      <c r="J198" s="23" t="s">
        <v>333</v>
      </c>
      <c r="K198" s="23" t="s">
        <v>34</v>
      </c>
      <c r="L198" s="23" t="s">
        <v>410</v>
      </c>
      <c r="M198" s="23" t="n">
        <v>18</v>
      </c>
      <c r="N198" s="23"/>
      <c r="O198" s="23" t="s">
        <v>1457</v>
      </c>
      <c r="P198" s="23" t="s">
        <v>1452</v>
      </c>
      <c r="Q198" s="23" t="s">
        <v>1458</v>
      </c>
      <c r="R198" s="23" t="s">
        <v>927</v>
      </c>
      <c r="S198" s="23" t="s">
        <v>130</v>
      </c>
      <c r="T198" s="23" t="s">
        <v>67</v>
      </c>
      <c r="U198" s="23" t="s">
        <v>1173</v>
      </c>
      <c r="V198" s="23" t="n">
        <v>0</v>
      </c>
      <c r="W198" s="23" t="n">
        <v>3.6</v>
      </c>
      <c r="X198" s="23" t="n">
        <v>14.4</v>
      </c>
      <c r="Y198" s="23" t="n">
        <v>0</v>
      </c>
      <c r="Z198" s="23" t="n">
        <v>0</v>
      </c>
      <c r="AA198" s="23" t="n">
        <v>0</v>
      </c>
      <c r="AB198" s="23" t="n">
        <v>0</v>
      </c>
      <c r="AC198" s="23" t="n">
        <v>0</v>
      </c>
    </row>
    <row r="199" customFormat="false" ht="15" hidden="false" customHeight="false" outlineLevel="0" collapsed="false">
      <c r="A199" s="23" t="s">
        <v>1459</v>
      </c>
      <c r="B199" s="23"/>
      <c r="C199" s="23" t="s">
        <v>1460</v>
      </c>
      <c r="D199" s="23" t="s">
        <v>1294</v>
      </c>
      <c r="E199" s="23" t="s">
        <v>352</v>
      </c>
      <c r="F199" s="23" t="s">
        <v>43</v>
      </c>
      <c r="G199" s="23"/>
      <c r="H199" s="23" t="s">
        <v>29</v>
      </c>
      <c r="I199" s="23" t="s">
        <v>99</v>
      </c>
      <c r="J199" s="23" t="s">
        <v>333</v>
      </c>
      <c r="K199" s="23" t="s">
        <v>104</v>
      </c>
      <c r="L199" s="23" t="s">
        <v>176</v>
      </c>
      <c r="M199" s="23" t="n">
        <v>17</v>
      </c>
      <c r="N199" s="23"/>
      <c r="O199" s="23" t="s">
        <v>1461</v>
      </c>
      <c r="P199" s="23"/>
      <c r="Q199" s="23" t="s">
        <v>1462</v>
      </c>
      <c r="R199" s="23"/>
      <c r="S199" s="23"/>
      <c r="T199" s="23" t="s">
        <v>134</v>
      </c>
      <c r="U199" s="23" t="s">
        <v>476</v>
      </c>
      <c r="V199" s="23" t="n">
        <v>0</v>
      </c>
      <c r="W199" s="23" t="n">
        <v>0</v>
      </c>
      <c r="X199" s="23" t="n">
        <v>0</v>
      </c>
      <c r="Y199" s="23" t="n">
        <v>0</v>
      </c>
      <c r="Z199" s="23" t="n">
        <v>0</v>
      </c>
      <c r="AA199" s="23" t="n">
        <v>0</v>
      </c>
      <c r="AB199" s="23" t="n">
        <v>0</v>
      </c>
      <c r="AC199" s="23" t="n">
        <v>17</v>
      </c>
    </row>
    <row r="200" customFormat="false" ht="15" hidden="false" customHeight="false" outlineLevel="0" collapsed="false">
      <c r="A200" s="23" t="s">
        <v>1463</v>
      </c>
      <c r="B200" s="23" t="s">
        <v>1464</v>
      </c>
      <c r="C200" s="23" t="s">
        <v>996</v>
      </c>
      <c r="D200" s="23" t="s">
        <v>1294</v>
      </c>
      <c r="E200" s="23" t="s">
        <v>352</v>
      </c>
      <c r="F200" s="23" t="s">
        <v>43</v>
      </c>
      <c r="G200" s="23"/>
      <c r="H200" s="23" t="s">
        <v>29</v>
      </c>
      <c r="I200" s="23" t="s">
        <v>99</v>
      </c>
      <c r="J200" s="23" t="s">
        <v>333</v>
      </c>
      <c r="K200" s="23" t="s">
        <v>35</v>
      </c>
      <c r="L200" s="23" t="s">
        <v>176</v>
      </c>
      <c r="M200" s="23" t="n">
        <v>14</v>
      </c>
      <c r="N200" s="23"/>
      <c r="O200" s="23" t="s">
        <v>1465</v>
      </c>
      <c r="P200" s="23"/>
      <c r="Q200" s="23" t="s">
        <v>1466</v>
      </c>
      <c r="R200" s="23" t="s">
        <v>126</v>
      </c>
      <c r="S200" s="23" t="s">
        <v>116</v>
      </c>
      <c r="T200" s="23" t="s">
        <v>69</v>
      </c>
      <c r="U200" s="23" t="s">
        <v>1467</v>
      </c>
      <c r="V200" s="23" t="n">
        <v>0</v>
      </c>
      <c r="W200" s="23" t="n">
        <v>0</v>
      </c>
      <c r="X200" s="23" t="n">
        <v>0</v>
      </c>
      <c r="Y200" s="23" t="n">
        <v>8.2</v>
      </c>
      <c r="Z200" s="23" t="n">
        <v>5.8</v>
      </c>
      <c r="AA200" s="23" t="n">
        <v>0</v>
      </c>
      <c r="AB200" s="23" t="n">
        <v>0</v>
      </c>
      <c r="AC200" s="23" t="n">
        <v>0</v>
      </c>
    </row>
    <row r="201" customFormat="false" ht="15" hidden="false" customHeight="false" outlineLevel="0" collapsed="false">
      <c r="A201" s="23" t="s">
        <v>1468</v>
      </c>
      <c r="B201" s="23" t="s">
        <v>1469</v>
      </c>
      <c r="C201" s="23" t="s">
        <v>1470</v>
      </c>
      <c r="D201" s="23" t="s">
        <v>1294</v>
      </c>
      <c r="E201" s="23" t="s">
        <v>1301</v>
      </c>
      <c r="F201" s="23" t="s">
        <v>43</v>
      </c>
      <c r="G201" s="23"/>
      <c r="H201" s="23" t="s">
        <v>29</v>
      </c>
      <c r="I201" s="23" t="s">
        <v>99</v>
      </c>
      <c r="J201" s="23" t="s">
        <v>333</v>
      </c>
      <c r="K201" s="23" t="s">
        <v>35</v>
      </c>
      <c r="L201" s="23" t="s">
        <v>176</v>
      </c>
      <c r="M201" s="23" t="n">
        <v>14</v>
      </c>
      <c r="N201" s="23"/>
      <c r="O201" s="23" t="s">
        <v>1471</v>
      </c>
      <c r="P201" s="23"/>
      <c r="Q201" s="23" t="s">
        <v>1472</v>
      </c>
      <c r="R201" s="23" t="s">
        <v>126</v>
      </c>
      <c r="S201" s="23" t="s">
        <v>116</v>
      </c>
      <c r="T201" s="23" t="s">
        <v>69</v>
      </c>
      <c r="U201" s="23" t="s">
        <v>1312</v>
      </c>
      <c r="V201" s="23" t="n">
        <v>0</v>
      </c>
      <c r="W201" s="23" t="n">
        <v>0</v>
      </c>
      <c r="X201" s="23" t="n">
        <v>0</v>
      </c>
      <c r="Y201" s="23" t="n">
        <v>8.2</v>
      </c>
      <c r="Z201" s="23" t="n">
        <v>5.8</v>
      </c>
      <c r="AA201" s="23" t="n">
        <v>0</v>
      </c>
      <c r="AB201" s="23" t="n">
        <v>0</v>
      </c>
      <c r="AC201" s="23" t="n">
        <v>0</v>
      </c>
    </row>
    <row r="202" customFormat="false" ht="15" hidden="false" customHeight="false" outlineLevel="0" collapsed="false">
      <c r="A202" s="23" t="s">
        <v>1473</v>
      </c>
      <c r="B202" s="23" t="s">
        <v>1474</v>
      </c>
      <c r="C202" s="23" t="s">
        <v>1475</v>
      </c>
      <c r="D202" s="23" t="s">
        <v>1294</v>
      </c>
      <c r="E202" s="23" t="s">
        <v>1316</v>
      </c>
      <c r="F202" s="23" t="s">
        <v>43</v>
      </c>
      <c r="G202" s="23"/>
      <c r="H202" s="23" t="s">
        <v>29</v>
      </c>
      <c r="I202" s="23" t="s">
        <v>99</v>
      </c>
      <c r="J202" s="23" t="s">
        <v>333</v>
      </c>
      <c r="K202" s="23" t="s">
        <v>35</v>
      </c>
      <c r="L202" s="23" t="s">
        <v>176</v>
      </c>
      <c r="M202" s="23" t="n">
        <v>14</v>
      </c>
      <c r="N202" s="23"/>
      <c r="O202" s="23" t="s">
        <v>1476</v>
      </c>
      <c r="P202" s="23"/>
      <c r="Q202" s="23" t="s">
        <v>1477</v>
      </c>
      <c r="R202" s="23" t="s">
        <v>126</v>
      </c>
      <c r="S202" s="23" t="s">
        <v>116</v>
      </c>
      <c r="T202" s="23" t="s">
        <v>69</v>
      </c>
      <c r="U202" s="23" t="s">
        <v>1438</v>
      </c>
      <c r="V202" s="23" t="n">
        <v>0</v>
      </c>
      <c r="W202" s="23" t="n">
        <v>0</v>
      </c>
      <c r="X202" s="23" t="n">
        <v>0</v>
      </c>
      <c r="Y202" s="23" t="n">
        <v>8.2</v>
      </c>
      <c r="Z202" s="23" t="n">
        <v>5.8</v>
      </c>
      <c r="AA202" s="23" t="n">
        <v>0</v>
      </c>
      <c r="AB202" s="23" t="n">
        <v>0</v>
      </c>
      <c r="AC202" s="23" t="n">
        <v>0</v>
      </c>
    </row>
    <row r="203" customFormat="false" ht="15" hidden="false" customHeight="false" outlineLevel="0" collapsed="false">
      <c r="A203" s="23" t="s">
        <v>1478</v>
      </c>
      <c r="B203" s="23" t="s">
        <v>1479</v>
      </c>
      <c r="C203" s="23" t="s">
        <v>1480</v>
      </c>
      <c r="D203" s="23" t="s">
        <v>1294</v>
      </c>
      <c r="E203" s="23" t="s">
        <v>1481</v>
      </c>
      <c r="F203" s="23" t="s">
        <v>43</v>
      </c>
      <c r="G203" s="23"/>
      <c r="H203" s="23" t="s">
        <v>29</v>
      </c>
      <c r="I203" s="23" t="s">
        <v>99</v>
      </c>
      <c r="J203" s="23" t="s">
        <v>333</v>
      </c>
      <c r="K203" s="23" t="s">
        <v>35</v>
      </c>
      <c r="L203" s="23" t="s">
        <v>176</v>
      </c>
      <c r="M203" s="23" t="n">
        <v>14</v>
      </c>
      <c r="N203" s="23"/>
      <c r="O203" s="23" t="s">
        <v>1482</v>
      </c>
      <c r="P203" s="23"/>
      <c r="Q203" s="23" t="s">
        <v>1483</v>
      </c>
      <c r="R203" s="23" t="s">
        <v>126</v>
      </c>
      <c r="S203" s="23" t="s">
        <v>116</v>
      </c>
      <c r="T203" s="23" t="s">
        <v>69</v>
      </c>
      <c r="U203" s="23" t="s">
        <v>1484</v>
      </c>
      <c r="V203" s="23" t="n">
        <v>0</v>
      </c>
      <c r="W203" s="23" t="n">
        <v>0</v>
      </c>
      <c r="X203" s="23" t="n">
        <v>0</v>
      </c>
      <c r="Y203" s="23" t="n">
        <v>8.2</v>
      </c>
      <c r="Z203" s="23" t="n">
        <v>5.8</v>
      </c>
      <c r="AA203" s="23" t="n">
        <v>0</v>
      </c>
      <c r="AB203" s="23" t="n">
        <v>0</v>
      </c>
      <c r="AC203" s="23" t="n">
        <v>0</v>
      </c>
    </row>
    <row r="204" customFormat="false" ht="15" hidden="false" customHeight="false" outlineLevel="0" collapsed="false">
      <c r="A204" s="23" t="s">
        <v>1485</v>
      </c>
      <c r="B204" s="23" t="s">
        <v>1486</v>
      </c>
      <c r="C204" s="23" t="s">
        <v>1487</v>
      </c>
      <c r="D204" s="23" t="s">
        <v>1294</v>
      </c>
      <c r="E204" s="23" t="s">
        <v>352</v>
      </c>
      <c r="F204" s="23" t="s">
        <v>43</v>
      </c>
      <c r="G204" s="23"/>
      <c r="H204" s="23" t="s">
        <v>29</v>
      </c>
      <c r="I204" s="23" t="s">
        <v>99</v>
      </c>
      <c r="J204" s="23" t="s">
        <v>333</v>
      </c>
      <c r="K204" s="23" t="s">
        <v>23</v>
      </c>
      <c r="L204" s="23" t="s">
        <v>23</v>
      </c>
      <c r="M204" s="23" t="n">
        <v>13</v>
      </c>
      <c r="N204" s="23"/>
      <c r="O204" s="23" t="s">
        <v>1488</v>
      </c>
      <c r="P204" s="23" t="s">
        <v>1489</v>
      </c>
      <c r="Q204" s="23" t="s">
        <v>1490</v>
      </c>
      <c r="R204" s="23"/>
      <c r="S204" s="23"/>
      <c r="T204" s="23" t="s">
        <v>522</v>
      </c>
      <c r="U204" s="23" t="s">
        <v>523</v>
      </c>
      <c r="V204" s="23" t="n">
        <v>13</v>
      </c>
      <c r="W204" s="23" t="n">
        <v>0</v>
      </c>
      <c r="X204" s="23" t="n">
        <v>0</v>
      </c>
      <c r="Y204" s="23" t="n">
        <v>0</v>
      </c>
      <c r="Z204" s="23" t="n">
        <v>0</v>
      </c>
      <c r="AA204" s="23" t="n">
        <v>0</v>
      </c>
      <c r="AB204" s="23" t="n">
        <v>0</v>
      </c>
      <c r="AC204" s="23" t="n">
        <v>0</v>
      </c>
    </row>
    <row r="205" customFormat="false" ht="15" hidden="false" customHeight="false" outlineLevel="0" collapsed="false">
      <c r="A205" s="23" t="s">
        <v>1491</v>
      </c>
      <c r="B205" s="23" t="s">
        <v>1492</v>
      </c>
      <c r="C205" s="23" t="s">
        <v>1493</v>
      </c>
      <c r="D205" s="23" t="s">
        <v>1294</v>
      </c>
      <c r="E205" s="23" t="s">
        <v>1301</v>
      </c>
      <c r="F205" s="23" t="s">
        <v>43</v>
      </c>
      <c r="G205" s="23"/>
      <c r="H205" s="23" t="s">
        <v>29</v>
      </c>
      <c r="I205" s="23" t="s">
        <v>99</v>
      </c>
      <c r="J205" s="23" t="s">
        <v>333</v>
      </c>
      <c r="K205" s="23" t="s">
        <v>34</v>
      </c>
      <c r="L205" s="23" t="s">
        <v>343</v>
      </c>
      <c r="M205" s="23" t="n">
        <v>12</v>
      </c>
      <c r="N205" s="23"/>
      <c r="O205" s="23" t="s">
        <v>1228</v>
      </c>
      <c r="P205" s="23" t="s">
        <v>1494</v>
      </c>
      <c r="Q205" s="23" t="s">
        <v>940</v>
      </c>
      <c r="R205" s="23" t="s">
        <v>123</v>
      </c>
      <c r="S205" s="23" t="s">
        <v>130</v>
      </c>
      <c r="T205" s="23" t="s">
        <v>67</v>
      </c>
      <c r="U205" s="23" t="s">
        <v>670</v>
      </c>
      <c r="V205" s="23" t="n">
        <v>0</v>
      </c>
      <c r="W205" s="23" t="n">
        <v>2.8</v>
      </c>
      <c r="X205" s="23" t="n">
        <v>9.2</v>
      </c>
      <c r="Y205" s="23" t="n">
        <v>0</v>
      </c>
      <c r="Z205" s="23" t="n">
        <v>0</v>
      </c>
      <c r="AA205" s="23" t="n">
        <v>0</v>
      </c>
      <c r="AB205" s="23" t="n">
        <v>0</v>
      </c>
      <c r="AC205" s="23" t="n">
        <v>0</v>
      </c>
    </row>
    <row r="206" customFormat="false" ht="15" hidden="false" customHeight="false" outlineLevel="0" collapsed="false">
      <c r="A206" s="23" t="s">
        <v>1495</v>
      </c>
      <c r="B206" s="23" t="s">
        <v>1496</v>
      </c>
      <c r="C206" s="23" t="s">
        <v>1497</v>
      </c>
      <c r="D206" s="23" t="s">
        <v>1294</v>
      </c>
      <c r="E206" s="23" t="s">
        <v>1451</v>
      </c>
      <c r="F206" s="23" t="s">
        <v>43</v>
      </c>
      <c r="G206" s="23"/>
      <c r="H206" s="23" t="s">
        <v>29</v>
      </c>
      <c r="I206" s="23" t="s">
        <v>99</v>
      </c>
      <c r="J206" s="23" t="s">
        <v>333</v>
      </c>
      <c r="K206" s="23" t="s">
        <v>34</v>
      </c>
      <c r="L206" s="23" t="s">
        <v>343</v>
      </c>
      <c r="M206" s="23" t="n">
        <v>10</v>
      </c>
      <c r="N206" s="23"/>
      <c r="O206" s="23" t="s">
        <v>1498</v>
      </c>
      <c r="P206" s="23" t="s">
        <v>1499</v>
      </c>
      <c r="Q206" s="23" t="s">
        <v>1500</v>
      </c>
      <c r="R206" s="23" t="s">
        <v>414</v>
      </c>
      <c r="S206" s="23" t="s">
        <v>130</v>
      </c>
      <c r="T206" s="23" t="s">
        <v>67</v>
      </c>
      <c r="U206" s="23" t="s">
        <v>1501</v>
      </c>
      <c r="V206" s="23" t="n">
        <v>0</v>
      </c>
      <c r="W206" s="23" t="n">
        <v>2.3</v>
      </c>
      <c r="X206" s="23" t="n">
        <v>7.7</v>
      </c>
      <c r="Y206" s="23" t="n">
        <v>0</v>
      </c>
      <c r="Z206" s="23" t="n">
        <v>0</v>
      </c>
      <c r="AA206" s="23" t="n">
        <v>0</v>
      </c>
      <c r="AB206" s="23" t="n">
        <v>0</v>
      </c>
      <c r="AC206" s="23" t="n">
        <v>0</v>
      </c>
    </row>
    <row r="207" customFormat="false" ht="15" hidden="false" customHeight="false" outlineLevel="0" collapsed="false">
      <c r="A207" s="23" t="s">
        <v>1502</v>
      </c>
      <c r="B207" s="23" t="s">
        <v>1503</v>
      </c>
      <c r="C207" s="23" t="s">
        <v>1504</v>
      </c>
      <c r="D207" s="23" t="s">
        <v>1294</v>
      </c>
      <c r="E207" s="23" t="s">
        <v>1295</v>
      </c>
      <c r="F207" s="23" t="s">
        <v>43</v>
      </c>
      <c r="G207" s="23"/>
      <c r="H207" s="23" t="s">
        <v>29</v>
      </c>
      <c r="I207" s="23" t="s">
        <v>99</v>
      </c>
      <c r="J207" s="23" t="s">
        <v>333</v>
      </c>
      <c r="K207" s="23" t="s">
        <v>34</v>
      </c>
      <c r="L207" s="23" t="s">
        <v>343</v>
      </c>
      <c r="M207" s="23" t="n">
        <v>10</v>
      </c>
      <c r="N207" s="23"/>
      <c r="O207" s="23" t="s">
        <v>1505</v>
      </c>
      <c r="P207" s="23" t="s">
        <v>1506</v>
      </c>
      <c r="Q207" s="23" t="s">
        <v>1507</v>
      </c>
      <c r="R207" s="23" t="s">
        <v>568</v>
      </c>
      <c r="S207" s="23" t="s">
        <v>119</v>
      </c>
      <c r="T207" s="23" t="s">
        <v>67</v>
      </c>
      <c r="U207" s="23" t="s">
        <v>642</v>
      </c>
      <c r="V207" s="23" t="n">
        <v>0</v>
      </c>
      <c r="W207" s="23" t="n">
        <v>0</v>
      </c>
      <c r="X207" s="23" t="n">
        <v>6.9</v>
      </c>
      <c r="Y207" s="23" t="n">
        <v>3.1</v>
      </c>
      <c r="Z207" s="23" t="n">
        <v>0</v>
      </c>
      <c r="AA207" s="23" t="n">
        <v>0</v>
      </c>
      <c r="AB207" s="23" t="n">
        <v>0</v>
      </c>
      <c r="AC207" s="23" t="n">
        <v>0</v>
      </c>
    </row>
    <row r="208" customFormat="false" ht="15" hidden="false" customHeight="false" outlineLevel="0" collapsed="false">
      <c r="A208" s="23" t="s">
        <v>1508</v>
      </c>
      <c r="B208" s="23" t="s">
        <v>1509</v>
      </c>
      <c r="C208" s="23" t="s">
        <v>1510</v>
      </c>
      <c r="D208" s="23" t="s">
        <v>1294</v>
      </c>
      <c r="E208" s="23" t="s">
        <v>1301</v>
      </c>
      <c r="F208" s="23" t="s">
        <v>43</v>
      </c>
      <c r="G208" s="23"/>
      <c r="H208" s="23" t="s">
        <v>29</v>
      </c>
      <c r="I208" s="23" t="s">
        <v>99</v>
      </c>
      <c r="J208" s="23" t="s">
        <v>333</v>
      </c>
      <c r="K208" s="23" t="s">
        <v>35</v>
      </c>
      <c r="L208" s="23" t="s">
        <v>366</v>
      </c>
      <c r="M208" s="23" t="n">
        <v>10</v>
      </c>
      <c r="N208" s="23"/>
      <c r="O208" s="23" t="s">
        <v>1511</v>
      </c>
      <c r="P208" s="23"/>
      <c r="Q208" s="23" t="s">
        <v>1512</v>
      </c>
      <c r="R208" s="23" t="s">
        <v>115</v>
      </c>
      <c r="S208" s="23" t="s">
        <v>337</v>
      </c>
      <c r="T208" s="23" t="s">
        <v>68</v>
      </c>
      <c r="U208" s="23" t="s">
        <v>368</v>
      </c>
      <c r="V208" s="23" t="n">
        <v>0</v>
      </c>
      <c r="W208" s="23" t="n">
        <v>0</v>
      </c>
      <c r="X208" s="23" t="n">
        <v>0</v>
      </c>
      <c r="Y208" s="23" t="n">
        <v>8.4</v>
      </c>
      <c r="Z208" s="23" t="n">
        <v>1.6</v>
      </c>
      <c r="AA208" s="23" t="n">
        <v>0</v>
      </c>
      <c r="AB208" s="23" t="n">
        <v>0</v>
      </c>
      <c r="AC208" s="23" t="n">
        <v>0</v>
      </c>
    </row>
    <row r="209" customFormat="false" ht="15" hidden="false" customHeight="false" outlineLevel="0" collapsed="false">
      <c r="A209" s="23" t="s">
        <v>1513</v>
      </c>
      <c r="B209" s="23" t="s">
        <v>1514</v>
      </c>
      <c r="C209" s="23" t="s">
        <v>1515</v>
      </c>
      <c r="D209" s="23" t="s">
        <v>1294</v>
      </c>
      <c r="E209" s="23" t="s">
        <v>1481</v>
      </c>
      <c r="F209" s="23" t="s">
        <v>43</v>
      </c>
      <c r="G209" s="23"/>
      <c r="H209" s="23" t="s">
        <v>29</v>
      </c>
      <c r="I209" s="23" t="s">
        <v>99</v>
      </c>
      <c r="J209" s="23" t="s">
        <v>333</v>
      </c>
      <c r="K209" s="23" t="s">
        <v>35</v>
      </c>
      <c r="L209" s="23" t="s">
        <v>176</v>
      </c>
      <c r="M209" s="23" t="n">
        <v>10</v>
      </c>
      <c r="N209" s="23"/>
      <c r="O209" s="23" t="s">
        <v>1516</v>
      </c>
      <c r="P209" s="23"/>
      <c r="Q209" s="23" t="s">
        <v>1517</v>
      </c>
      <c r="R209" s="23" t="s">
        <v>126</v>
      </c>
      <c r="S209" s="23" t="s">
        <v>116</v>
      </c>
      <c r="T209" s="23" t="s">
        <v>69</v>
      </c>
      <c r="U209" s="23" t="s">
        <v>1214</v>
      </c>
      <c r="V209" s="23" t="n">
        <v>0</v>
      </c>
      <c r="W209" s="23" t="n">
        <v>0</v>
      </c>
      <c r="X209" s="23" t="n">
        <v>0</v>
      </c>
      <c r="Y209" s="23" t="n">
        <v>5.9</v>
      </c>
      <c r="Z209" s="23" t="n">
        <v>4.1</v>
      </c>
      <c r="AA209" s="23" t="n">
        <v>0</v>
      </c>
      <c r="AB209" s="23" t="n">
        <v>0</v>
      </c>
      <c r="AC209" s="23" t="n">
        <v>0</v>
      </c>
    </row>
    <row r="210" customFormat="false" ht="15" hidden="false" customHeight="false" outlineLevel="0" collapsed="false">
      <c r="A210" s="23" t="s">
        <v>1518</v>
      </c>
      <c r="B210" s="23" t="s">
        <v>1519</v>
      </c>
      <c r="C210" s="23" t="s">
        <v>1520</v>
      </c>
      <c r="D210" s="23" t="s">
        <v>1294</v>
      </c>
      <c r="E210" s="23" t="s">
        <v>1521</v>
      </c>
      <c r="F210" s="23" t="s">
        <v>43</v>
      </c>
      <c r="G210" s="23"/>
      <c r="H210" s="23" t="s">
        <v>29</v>
      </c>
      <c r="I210" s="23" t="s">
        <v>99</v>
      </c>
      <c r="J210" s="23" t="s">
        <v>333</v>
      </c>
      <c r="K210" s="23" t="s">
        <v>23</v>
      </c>
      <c r="L210" s="23" t="s">
        <v>23</v>
      </c>
      <c r="M210" s="23" t="n">
        <v>9</v>
      </c>
      <c r="N210" s="23"/>
      <c r="O210" s="23" t="s">
        <v>1522</v>
      </c>
      <c r="P210" s="23" t="s">
        <v>709</v>
      </c>
      <c r="Q210" s="23" t="s">
        <v>1523</v>
      </c>
      <c r="R210" s="23"/>
      <c r="S210" s="23"/>
      <c r="T210" s="23" t="s">
        <v>522</v>
      </c>
      <c r="U210" s="23" t="s">
        <v>523</v>
      </c>
      <c r="V210" s="23" t="n">
        <v>9</v>
      </c>
      <c r="W210" s="23" t="n">
        <v>0</v>
      </c>
      <c r="X210" s="23" t="n">
        <v>0</v>
      </c>
      <c r="Y210" s="23" t="n">
        <v>0</v>
      </c>
      <c r="Z210" s="23" t="n">
        <v>0</v>
      </c>
      <c r="AA210" s="23" t="n">
        <v>0</v>
      </c>
      <c r="AB210" s="23" t="n">
        <v>0</v>
      </c>
      <c r="AC210" s="23" t="n">
        <v>0</v>
      </c>
    </row>
    <row r="211" customFormat="false" ht="15" hidden="false" customHeight="false" outlineLevel="0" collapsed="false">
      <c r="A211" s="23" t="s">
        <v>1524</v>
      </c>
      <c r="B211" s="23" t="s">
        <v>1525</v>
      </c>
      <c r="C211" s="23" t="s">
        <v>1526</v>
      </c>
      <c r="D211" s="23" t="s">
        <v>1294</v>
      </c>
      <c r="E211" s="23" t="s">
        <v>1328</v>
      </c>
      <c r="F211" s="23" t="s">
        <v>43</v>
      </c>
      <c r="G211" s="23"/>
      <c r="H211" s="23" t="s">
        <v>29</v>
      </c>
      <c r="I211" s="23" t="s">
        <v>99</v>
      </c>
      <c r="J211" s="23" t="s">
        <v>333</v>
      </c>
      <c r="K211" s="23" t="s">
        <v>34</v>
      </c>
      <c r="L211" s="23" t="s">
        <v>343</v>
      </c>
      <c r="M211" s="23" t="n">
        <v>9</v>
      </c>
      <c r="N211" s="23"/>
      <c r="O211" s="23" t="s">
        <v>1527</v>
      </c>
      <c r="P211" s="23" t="s">
        <v>1528</v>
      </c>
      <c r="Q211" s="23" t="s">
        <v>1529</v>
      </c>
      <c r="R211" s="23" t="s">
        <v>722</v>
      </c>
      <c r="S211" s="23" t="s">
        <v>130</v>
      </c>
      <c r="T211" s="23" t="s">
        <v>67</v>
      </c>
      <c r="U211" s="23" t="s">
        <v>1530</v>
      </c>
      <c r="V211" s="23" t="n">
        <v>0</v>
      </c>
      <c r="W211" s="23" t="n">
        <v>2.1</v>
      </c>
      <c r="X211" s="23" t="n">
        <v>6.9</v>
      </c>
      <c r="Y211" s="23" t="n">
        <v>0</v>
      </c>
      <c r="Z211" s="23" t="n">
        <v>0</v>
      </c>
      <c r="AA211" s="23" t="n">
        <v>0</v>
      </c>
      <c r="AB211" s="23" t="n">
        <v>0</v>
      </c>
      <c r="AC211" s="23" t="n">
        <v>0</v>
      </c>
    </row>
    <row r="212" customFormat="false" ht="15" hidden="false" customHeight="false" outlineLevel="0" collapsed="false">
      <c r="A212" s="23" t="s">
        <v>1531</v>
      </c>
      <c r="B212" s="23" t="s">
        <v>1532</v>
      </c>
      <c r="C212" s="23" t="s">
        <v>1533</v>
      </c>
      <c r="D212" s="23" t="s">
        <v>1294</v>
      </c>
      <c r="E212" s="23" t="s">
        <v>1328</v>
      </c>
      <c r="F212" s="23" t="s">
        <v>43</v>
      </c>
      <c r="G212" s="23"/>
      <c r="H212" s="23" t="s">
        <v>29</v>
      </c>
      <c r="I212" s="23" t="s">
        <v>99</v>
      </c>
      <c r="J212" s="23" t="s">
        <v>333</v>
      </c>
      <c r="K212" s="23" t="s">
        <v>23</v>
      </c>
      <c r="L212" s="23" t="s">
        <v>23</v>
      </c>
      <c r="M212" s="23" t="n">
        <v>9</v>
      </c>
      <c r="N212" s="23"/>
      <c r="O212" s="23" t="s">
        <v>1534</v>
      </c>
      <c r="P212" s="23" t="s">
        <v>1535</v>
      </c>
      <c r="Q212" s="23" t="s">
        <v>1536</v>
      </c>
      <c r="R212" s="23"/>
      <c r="S212" s="23"/>
      <c r="T212" s="23" t="s">
        <v>522</v>
      </c>
      <c r="U212" s="23" t="s">
        <v>523</v>
      </c>
      <c r="V212" s="23" t="n">
        <v>9</v>
      </c>
      <c r="W212" s="23" t="n">
        <v>0</v>
      </c>
      <c r="X212" s="23" t="n">
        <v>0</v>
      </c>
      <c r="Y212" s="23" t="n">
        <v>0</v>
      </c>
      <c r="Z212" s="23" t="n">
        <v>0</v>
      </c>
      <c r="AA212" s="23" t="n">
        <v>0</v>
      </c>
      <c r="AB212" s="23" t="n">
        <v>0</v>
      </c>
      <c r="AC212" s="23" t="n">
        <v>0</v>
      </c>
    </row>
    <row r="213" customFormat="false" ht="15" hidden="false" customHeight="false" outlineLevel="0" collapsed="false">
      <c r="A213" s="23" t="s">
        <v>1537</v>
      </c>
      <c r="B213" s="23" t="s">
        <v>1538</v>
      </c>
      <c r="C213" s="23" t="s">
        <v>1539</v>
      </c>
      <c r="D213" s="23" t="s">
        <v>1294</v>
      </c>
      <c r="E213" s="23" t="s">
        <v>1309</v>
      </c>
      <c r="F213" s="23" t="s">
        <v>43</v>
      </c>
      <c r="G213" s="23"/>
      <c r="H213" s="23" t="s">
        <v>29</v>
      </c>
      <c r="I213" s="23" t="s">
        <v>99</v>
      </c>
      <c r="J213" s="23" t="s">
        <v>333</v>
      </c>
      <c r="K213" s="23" t="s">
        <v>35</v>
      </c>
      <c r="L213" s="23" t="s">
        <v>176</v>
      </c>
      <c r="M213" s="23" t="n">
        <v>8</v>
      </c>
      <c r="N213" s="23"/>
      <c r="O213" s="23" t="s">
        <v>1430</v>
      </c>
      <c r="P213" s="23"/>
      <c r="Q213" s="23" t="s">
        <v>1431</v>
      </c>
      <c r="R213" s="23" t="s">
        <v>130</v>
      </c>
      <c r="S213" s="23" t="s">
        <v>514</v>
      </c>
      <c r="T213" s="23" t="s">
        <v>68</v>
      </c>
      <c r="U213" s="23" t="s">
        <v>1540</v>
      </c>
      <c r="V213" s="23" t="n">
        <v>0</v>
      </c>
      <c r="W213" s="23" t="n">
        <v>0</v>
      </c>
      <c r="X213" s="23" t="n">
        <v>0</v>
      </c>
      <c r="Y213" s="23" t="n">
        <v>0.5</v>
      </c>
      <c r="Z213" s="23" t="n">
        <v>7.5</v>
      </c>
      <c r="AA213" s="23" t="n">
        <v>0</v>
      </c>
      <c r="AB213" s="23" t="n">
        <v>0</v>
      </c>
      <c r="AC213" s="23" t="n">
        <v>0</v>
      </c>
    </row>
    <row r="214" customFormat="false" ht="15" hidden="false" customHeight="false" outlineLevel="0" collapsed="false">
      <c r="A214" s="23" t="s">
        <v>1541</v>
      </c>
      <c r="B214" s="23" t="s">
        <v>1542</v>
      </c>
      <c r="C214" s="23" t="s">
        <v>1543</v>
      </c>
      <c r="D214" s="23" t="s">
        <v>1294</v>
      </c>
      <c r="E214" s="23" t="s">
        <v>352</v>
      </c>
      <c r="F214" s="23" t="s">
        <v>43</v>
      </c>
      <c r="G214" s="23"/>
      <c r="H214" s="23" t="s">
        <v>29</v>
      </c>
      <c r="I214" s="23" t="s">
        <v>99</v>
      </c>
      <c r="J214" s="23" t="s">
        <v>333</v>
      </c>
      <c r="K214" s="23" t="s">
        <v>23</v>
      </c>
      <c r="L214" s="23" t="s">
        <v>23</v>
      </c>
      <c r="M214" s="23" t="n">
        <v>8</v>
      </c>
      <c r="N214" s="23"/>
      <c r="O214" s="23" t="s">
        <v>1544</v>
      </c>
      <c r="P214" s="23" t="s">
        <v>1494</v>
      </c>
      <c r="Q214" s="23" t="s">
        <v>1545</v>
      </c>
      <c r="R214" s="23"/>
      <c r="S214" s="23"/>
      <c r="T214" s="23" t="s">
        <v>522</v>
      </c>
      <c r="U214" s="23" t="s">
        <v>523</v>
      </c>
      <c r="V214" s="23" t="n">
        <v>8</v>
      </c>
      <c r="W214" s="23" t="n">
        <v>0</v>
      </c>
      <c r="X214" s="23" t="n">
        <v>0</v>
      </c>
      <c r="Y214" s="23" t="n">
        <v>0</v>
      </c>
      <c r="Z214" s="23" t="n">
        <v>0</v>
      </c>
      <c r="AA214" s="23" t="n">
        <v>0</v>
      </c>
      <c r="AB214" s="23" t="n">
        <v>0</v>
      </c>
      <c r="AC214" s="23" t="n">
        <v>0</v>
      </c>
    </row>
    <row r="215" customFormat="false" ht="15" hidden="false" customHeight="false" outlineLevel="0" collapsed="false">
      <c r="A215" s="23" t="s">
        <v>1546</v>
      </c>
      <c r="B215" s="23" t="s">
        <v>1547</v>
      </c>
      <c r="C215" s="23" t="s">
        <v>1548</v>
      </c>
      <c r="D215" s="23" t="s">
        <v>1294</v>
      </c>
      <c r="E215" s="23" t="s">
        <v>1451</v>
      </c>
      <c r="F215" s="23" t="s">
        <v>43</v>
      </c>
      <c r="G215" s="23"/>
      <c r="H215" s="23" t="s">
        <v>29</v>
      </c>
      <c r="I215" s="23" t="s">
        <v>99</v>
      </c>
      <c r="J215" s="23" t="s">
        <v>333</v>
      </c>
      <c r="K215" s="23" t="s">
        <v>35</v>
      </c>
      <c r="L215" s="23" t="s">
        <v>176</v>
      </c>
      <c r="M215" s="23" t="n">
        <v>7</v>
      </c>
      <c r="N215" s="23"/>
      <c r="O215" s="23" t="s">
        <v>1549</v>
      </c>
      <c r="P215" s="23"/>
      <c r="Q215" s="23" t="s">
        <v>1550</v>
      </c>
      <c r="R215" s="23" t="s">
        <v>126</v>
      </c>
      <c r="S215" s="23" t="s">
        <v>116</v>
      </c>
      <c r="T215" s="23" t="s">
        <v>69</v>
      </c>
      <c r="U215" s="23" t="s">
        <v>1551</v>
      </c>
      <c r="V215" s="23" t="n">
        <v>0</v>
      </c>
      <c r="W215" s="23" t="n">
        <v>0</v>
      </c>
      <c r="X215" s="23" t="n">
        <v>0</v>
      </c>
      <c r="Y215" s="23" t="n">
        <v>4.4</v>
      </c>
      <c r="Z215" s="23" t="n">
        <v>2.6</v>
      </c>
      <c r="AA215" s="23" t="n">
        <v>0</v>
      </c>
      <c r="AB215" s="23" t="n">
        <v>0</v>
      </c>
      <c r="AC215" s="23" t="n">
        <v>0</v>
      </c>
    </row>
    <row r="216" customFormat="false" ht="15" hidden="false" customHeight="false" outlineLevel="0" collapsed="false">
      <c r="A216" s="23" t="s">
        <v>1552</v>
      </c>
      <c r="B216" s="23" t="s">
        <v>1553</v>
      </c>
      <c r="C216" s="23" t="s">
        <v>1554</v>
      </c>
      <c r="D216" s="23" t="s">
        <v>1294</v>
      </c>
      <c r="E216" s="23" t="s">
        <v>1301</v>
      </c>
      <c r="F216" s="23" t="s">
        <v>43</v>
      </c>
      <c r="G216" s="23"/>
      <c r="H216" s="23" t="s">
        <v>29</v>
      </c>
      <c r="I216" s="23" t="s">
        <v>99</v>
      </c>
      <c r="J216" s="23" t="s">
        <v>333</v>
      </c>
      <c r="K216" s="23" t="s">
        <v>23</v>
      </c>
      <c r="L216" s="23" t="s">
        <v>23</v>
      </c>
      <c r="M216" s="23" t="n">
        <v>6</v>
      </c>
      <c r="N216" s="23"/>
      <c r="O216" s="23" t="s">
        <v>1555</v>
      </c>
      <c r="P216" s="23" t="s">
        <v>870</v>
      </c>
      <c r="Q216" s="23" t="s">
        <v>1556</v>
      </c>
      <c r="R216" s="23"/>
      <c r="S216" s="23"/>
      <c r="T216" s="23" t="s">
        <v>522</v>
      </c>
      <c r="U216" s="23" t="s">
        <v>523</v>
      </c>
      <c r="V216" s="23" t="n">
        <v>6</v>
      </c>
      <c r="W216" s="23" t="n">
        <v>0</v>
      </c>
      <c r="X216" s="23" t="n">
        <v>0</v>
      </c>
      <c r="Y216" s="23" t="n">
        <v>0</v>
      </c>
      <c r="Z216" s="23" t="n">
        <v>0</v>
      </c>
      <c r="AA216" s="23" t="n">
        <v>0</v>
      </c>
      <c r="AB216" s="23" t="n">
        <v>0</v>
      </c>
      <c r="AC216" s="23" t="n">
        <v>0</v>
      </c>
    </row>
    <row r="217" customFormat="false" ht="15" hidden="false" customHeight="false" outlineLevel="0" collapsed="false">
      <c r="A217" s="23" t="s">
        <v>1557</v>
      </c>
      <c r="B217" s="23" t="s">
        <v>1558</v>
      </c>
      <c r="C217" s="23" t="s">
        <v>1559</v>
      </c>
      <c r="D217" s="23" t="s">
        <v>1294</v>
      </c>
      <c r="E217" s="23" t="s">
        <v>1429</v>
      </c>
      <c r="F217" s="23" t="s">
        <v>43</v>
      </c>
      <c r="G217" s="23"/>
      <c r="H217" s="23" t="s">
        <v>29</v>
      </c>
      <c r="I217" s="23" t="s">
        <v>99</v>
      </c>
      <c r="J217" s="23" t="s">
        <v>333</v>
      </c>
      <c r="K217" s="23" t="s">
        <v>34</v>
      </c>
      <c r="L217" s="23" t="s">
        <v>343</v>
      </c>
      <c r="M217" s="23" t="n">
        <v>6</v>
      </c>
      <c r="N217" s="23"/>
      <c r="O217" s="23" t="s">
        <v>1560</v>
      </c>
      <c r="P217" s="23" t="s">
        <v>1561</v>
      </c>
      <c r="Q217" s="23" t="s">
        <v>1562</v>
      </c>
      <c r="R217" s="23" t="s">
        <v>865</v>
      </c>
      <c r="S217" s="23" t="s">
        <v>130</v>
      </c>
      <c r="T217" s="23" t="s">
        <v>67</v>
      </c>
      <c r="U217" s="23" t="s">
        <v>1563</v>
      </c>
      <c r="V217" s="23" t="n">
        <v>0</v>
      </c>
      <c r="W217" s="23" t="n">
        <v>1.4</v>
      </c>
      <c r="X217" s="23" t="n">
        <v>4.6</v>
      </c>
      <c r="Y217" s="23" t="n">
        <v>0</v>
      </c>
      <c r="Z217" s="23" t="n">
        <v>0</v>
      </c>
      <c r="AA217" s="23" t="n">
        <v>0</v>
      </c>
      <c r="AB217" s="23" t="n">
        <v>0</v>
      </c>
      <c r="AC217" s="23" t="n">
        <v>0</v>
      </c>
    </row>
    <row r="218" customFormat="false" ht="15" hidden="false" customHeight="false" outlineLevel="0" collapsed="false">
      <c r="A218" s="23" t="s">
        <v>1564</v>
      </c>
      <c r="B218" s="23" t="s">
        <v>1565</v>
      </c>
      <c r="C218" s="23" t="s">
        <v>1566</v>
      </c>
      <c r="D218" s="23" t="s">
        <v>1294</v>
      </c>
      <c r="E218" s="23" t="s">
        <v>1328</v>
      </c>
      <c r="F218" s="23" t="s">
        <v>43</v>
      </c>
      <c r="G218" s="23"/>
      <c r="H218" s="23" t="s">
        <v>29</v>
      </c>
      <c r="I218" s="23" t="s">
        <v>99</v>
      </c>
      <c r="J218" s="23" t="s">
        <v>333</v>
      </c>
      <c r="K218" s="23" t="s">
        <v>35</v>
      </c>
      <c r="L218" s="23" t="s">
        <v>176</v>
      </c>
      <c r="M218" s="23" t="n">
        <v>6</v>
      </c>
      <c r="N218" s="23"/>
      <c r="O218" s="23" t="s">
        <v>1567</v>
      </c>
      <c r="P218" s="23"/>
      <c r="Q218" s="23" t="s">
        <v>1568</v>
      </c>
      <c r="R218" s="23" t="s">
        <v>126</v>
      </c>
      <c r="S218" s="23" t="s">
        <v>116</v>
      </c>
      <c r="T218" s="23" t="s">
        <v>68</v>
      </c>
      <c r="U218" s="23" t="s">
        <v>1569</v>
      </c>
      <c r="V218" s="23" t="n">
        <v>0</v>
      </c>
      <c r="W218" s="23" t="n">
        <v>0</v>
      </c>
      <c r="X218" s="23" t="n">
        <v>0</v>
      </c>
      <c r="Y218" s="23" t="n">
        <v>3.7</v>
      </c>
      <c r="Z218" s="23" t="n">
        <v>2.3</v>
      </c>
      <c r="AA218" s="23" t="n">
        <v>0</v>
      </c>
      <c r="AB218" s="23" t="n">
        <v>0</v>
      </c>
      <c r="AC218" s="23" t="n">
        <v>0</v>
      </c>
    </row>
    <row r="219" customFormat="false" ht="15" hidden="false" customHeight="false" outlineLevel="0" collapsed="false">
      <c r="A219" s="23" t="s">
        <v>1570</v>
      </c>
      <c r="B219" s="23" t="s">
        <v>1571</v>
      </c>
      <c r="C219" s="23" t="s">
        <v>1572</v>
      </c>
      <c r="D219" s="23" t="s">
        <v>1294</v>
      </c>
      <c r="E219" s="23" t="s">
        <v>352</v>
      </c>
      <c r="F219" s="23" t="s">
        <v>43</v>
      </c>
      <c r="G219" s="23"/>
      <c r="H219" s="23" t="s">
        <v>29</v>
      </c>
      <c r="I219" s="23" t="s">
        <v>99</v>
      </c>
      <c r="J219" s="23" t="s">
        <v>333</v>
      </c>
      <c r="K219" s="23" t="s">
        <v>34</v>
      </c>
      <c r="L219" s="23" t="s">
        <v>343</v>
      </c>
      <c r="M219" s="23" t="n">
        <v>6</v>
      </c>
      <c r="N219" s="23"/>
      <c r="O219" s="23" t="s">
        <v>1573</v>
      </c>
      <c r="P219" s="23" t="s">
        <v>1574</v>
      </c>
      <c r="Q219" s="23" t="s">
        <v>1575</v>
      </c>
      <c r="R219" s="23" t="s">
        <v>456</v>
      </c>
      <c r="S219" s="23" t="s">
        <v>130</v>
      </c>
      <c r="T219" s="23" t="s">
        <v>67</v>
      </c>
      <c r="U219" s="23" t="s">
        <v>1576</v>
      </c>
      <c r="V219" s="23" t="n">
        <v>0</v>
      </c>
      <c r="W219" s="23" t="n">
        <v>1.4</v>
      </c>
      <c r="X219" s="23" t="n">
        <v>4.6</v>
      </c>
      <c r="Y219" s="23" t="n">
        <v>0</v>
      </c>
      <c r="Z219" s="23" t="n">
        <v>0</v>
      </c>
      <c r="AA219" s="23" t="n">
        <v>0</v>
      </c>
      <c r="AB219" s="23" t="n">
        <v>0</v>
      </c>
      <c r="AC219" s="23" t="n">
        <v>0</v>
      </c>
    </row>
    <row r="220" customFormat="false" ht="15" hidden="false" customHeight="false" outlineLevel="0" collapsed="false">
      <c r="A220" s="23" t="s">
        <v>1577</v>
      </c>
      <c r="B220" s="23" t="s">
        <v>1578</v>
      </c>
      <c r="C220" s="23" t="s">
        <v>1579</v>
      </c>
      <c r="D220" s="23" t="s">
        <v>1294</v>
      </c>
      <c r="E220" s="23" t="s">
        <v>342</v>
      </c>
      <c r="F220" s="23" t="s">
        <v>43</v>
      </c>
      <c r="G220" s="23"/>
      <c r="H220" s="23" t="s">
        <v>29</v>
      </c>
      <c r="I220" s="23" t="s">
        <v>99</v>
      </c>
      <c r="J220" s="23" t="s">
        <v>333</v>
      </c>
      <c r="K220" s="23" t="s">
        <v>23</v>
      </c>
      <c r="L220" s="23" t="s">
        <v>23</v>
      </c>
      <c r="M220" s="23" t="n">
        <v>5</v>
      </c>
      <c r="N220" s="23"/>
      <c r="O220" s="23" t="s">
        <v>1580</v>
      </c>
      <c r="P220" s="23" t="s">
        <v>1581</v>
      </c>
      <c r="Q220" s="23" t="s">
        <v>1582</v>
      </c>
      <c r="R220" s="23"/>
      <c r="S220" s="23"/>
      <c r="T220" s="23" t="s">
        <v>522</v>
      </c>
      <c r="U220" s="23" t="s">
        <v>523</v>
      </c>
      <c r="V220" s="23" t="n">
        <v>5</v>
      </c>
      <c r="W220" s="23" t="n">
        <v>0</v>
      </c>
      <c r="X220" s="23" t="n">
        <v>0</v>
      </c>
      <c r="Y220" s="23" t="n">
        <v>0</v>
      </c>
      <c r="Z220" s="23" t="n">
        <v>0</v>
      </c>
      <c r="AA220" s="23" t="n">
        <v>0</v>
      </c>
      <c r="AB220" s="23" t="n">
        <v>0</v>
      </c>
      <c r="AC220" s="23" t="n">
        <v>0</v>
      </c>
    </row>
    <row r="221" customFormat="false" ht="15" hidden="false" customHeight="false" outlineLevel="0" collapsed="false">
      <c r="A221" s="23" t="s">
        <v>1583</v>
      </c>
      <c r="B221" s="23" t="s">
        <v>1584</v>
      </c>
      <c r="C221" s="23" t="s">
        <v>1585</v>
      </c>
      <c r="D221" s="23" t="s">
        <v>1294</v>
      </c>
      <c r="E221" s="23" t="s">
        <v>1429</v>
      </c>
      <c r="F221" s="23" t="s">
        <v>43</v>
      </c>
      <c r="G221" s="23"/>
      <c r="H221" s="23" t="s">
        <v>29</v>
      </c>
      <c r="I221" s="23" t="s">
        <v>99</v>
      </c>
      <c r="J221" s="23" t="s">
        <v>333</v>
      </c>
      <c r="K221" s="23" t="s">
        <v>34</v>
      </c>
      <c r="L221" s="23" t="s">
        <v>343</v>
      </c>
      <c r="M221" s="23" t="n">
        <v>5</v>
      </c>
      <c r="N221" s="23"/>
      <c r="O221" s="23" t="s">
        <v>1586</v>
      </c>
      <c r="P221" s="23" t="s">
        <v>1587</v>
      </c>
      <c r="Q221" s="23" t="s">
        <v>1588</v>
      </c>
      <c r="R221" s="23" t="s">
        <v>541</v>
      </c>
      <c r="S221" s="23" t="s">
        <v>130</v>
      </c>
      <c r="T221" s="23" t="s">
        <v>67</v>
      </c>
      <c r="U221" s="23" t="s">
        <v>670</v>
      </c>
      <c r="V221" s="23" t="n">
        <v>0</v>
      </c>
      <c r="W221" s="23" t="n">
        <v>1.2</v>
      </c>
      <c r="X221" s="23" t="n">
        <v>3.8</v>
      </c>
      <c r="Y221" s="23" t="n">
        <v>0</v>
      </c>
      <c r="Z221" s="23" t="n">
        <v>0</v>
      </c>
      <c r="AA221" s="23" t="n">
        <v>0</v>
      </c>
      <c r="AB221" s="23" t="n">
        <v>0</v>
      </c>
      <c r="AC221" s="23" t="n">
        <v>0</v>
      </c>
    </row>
    <row r="222" customFormat="false" ht="15" hidden="false" customHeight="false" outlineLevel="0" collapsed="false">
      <c r="A222" s="23" t="s">
        <v>1589</v>
      </c>
      <c r="B222" s="23" t="s">
        <v>1590</v>
      </c>
      <c r="C222" s="23" t="s">
        <v>1591</v>
      </c>
      <c r="D222" s="23" t="s">
        <v>1294</v>
      </c>
      <c r="E222" s="23" t="s">
        <v>1328</v>
      </c>
      <c r="F222" s="23" t="s">
        <v>43</v>
      </c>
      <c r="G222" s="23"/>
      <c r="H222" s="23" t="s">
        <v>29</v>
      </c>
      <c r="I222" s="23" t="s">
        <v>99</v>
      </c>
      <c r="J222" s="23" t="s">
        <v>333</v>
      </c>
      <c r="K222" s="23" t="s">
        <v>34</v>
      </c>
      <c r="L222" s="23" t="s">
        <v>343</v>
      </c>
      <c r="M222" s="23" t="n">
        <v>5</v>
      </c>
      <c r="N222" s="23"/>
      <c r="O222" s="23" t="s">
        <v>1592</v>
      </c>
      <c r="P222" s="23" t="s">
        <v>412</v>
      </c>
      <c r="Q222" s="23" t="s">
        <v>1593</v>
      </c>
      <c r="R222" s="23" t="s">
        <v>414</v>
      </c>
      <c r="S222" s="23" t="s">
        <v>130</v>
      </c>
      <c r="T222" s="23" t="s">
        <v>67</v>
      </c>
      <c r="U222" s="23" t="s">
        <v>416</v>
      </c>
      <c r="V222" s="23" t="n">
        <v>0</v>
      </c>
      <c r="W222" s="23" t="n">
        <v>1.2</v>
      </c>
      <c r="X222" s="23" t="n">
        <v>3.8</v>
      </c>
      <c r="Y222" s="23" t="n">
        <v>0</v>
      </c>
      <c r="Z222" s="23" t="n">
        <v>0</v>
      </c>
      <c r="AA222" s="23" t="n">
        <v>0</v>
      </c>
      <c r="AB222" s="23" t="n">
        <v>0</v>
      </c>
      <c r="AC222" s="23" t="n">
        <v>0</v>
      </c>
    </row>
    <row r="223" customFormat="false" ht="15" hidden="false" customHeight="false" outlineLevel="0" collapsed="false">
      <c r="A223" s="23" t="s">
        <v>1594</v>
      </c>
      <c r="B223" s="23" t="s">
        <v>1595</v>
      </c>
      <c r="C223" s="23" t="s">
        <v>1596</v>
      </c>
      <c r="D223" s="23" t="s">
        <v>1294</v>
      </c>
      <c r="E223" s="23" t="s">
        <v>352</v>
      </c>
      <c r="F223" s="23" t="s">
        <v>43</v>
      </c>
      <c r="G223" s="23"/>
      <c r="H223" s="23" t="s">
        <v>29</v>
      </c>
      <c r="I223" s="23" t="s">
        <v>99</v>
      </c>
      <c r="J223" s="23" t="s">
        <v>333</v>
      </c>
      <c r="K223" s="23" t="s">
        <v>34</v>
      </c>
      <c r="L223" s="23" t="s">
        <v>410</v>
      </c>
      <c r="M223" s="23" t="n">
        <v>5</v>
      </c>
      <c r="N223" s="23"/>
      <c r="O223" s="23" t="s">
        <v>1597</v>
      </c>
      <c r="P223" s="23" t="s">
        <v>1598</v>
      </c>
      <c r="Q223" s="23" t="s">
        <v>1599</v>
      </c>
      <c r="R223" s="23" t="s">
        <v>362</v>
      </c>
      <c r="S223" s="23" t="s">
        <v>130</v>
      </c>
      <c r="T223" s="23" t="s">
        <v>67</v>
      </c>
      <c r="U223" s="23" t="s">
        <v>1600</v>
      </c>
      <c r="V223" s="23" t="n">
        <v>0</v>
      </c>
      <c r="W223" s="23" t="n">
        <v>1.2</v>
      </c>
      <c r="X223" s="23" t="n">
        <v>3.8</v>
      </c>
      <c r="Y223" s="23" t="n">
        <v>0</v>
      </c>
      <c r="Z223" s="23" t="n">
        <v>0</v>
      </c>
      <c r="AA223" s="23" t="n">
        <v>0</v>
      </c>
      <c r="AB223" s="23" t="n">
        <v>0</v>
      </c>
      <c r="AC223" s="23" t="n">
        <v>0</v>
      </c>
    </row>
    <row r="224" customFormat="false" ht="15" hidden="false" customHeight="false" outlineLevel="0" collapsed="false">
      <c r="A224" s="23" t="s">
        <v>1601</v>
      </c>
      <c r="B224" s="23" t="s">
        <v>1602</v>
      </c>
      <c r="C224" s="23" t="s">
        <v>1603</v>
      </c>
      <c r="D224" s="23" t="s">
        <v>1294</v>
      </c>
      <c r="E224" s="23" t="s">
        <v>352</v>
      </c>
      <c r="F224" s="23" t="s">
        <v>43</v>
      </c>
      <c r="G224" s="23"/>
      <c r="H224" s="23" t="s">
        <v>29</v>
      </c>
      <c r="I224" s="23" t="s">
        <v>99</v>
      </c>
      <c r="J224" s="23" t="s">
        <v>333</v>
      </c>
      <c r="K224" s="23" t="s">
        <v>34</v>
      </c>
      <c r="L224" s="23" t="s">
        <v>343</v>
      </c>
      <c r="M224" s="23" t="n">
        <v>4</v>
      </c>
      <c r="N224" s="23"/>
      <c r="O224" s="23" t="s">
        <v>1604</v>
      </c>
      <c r="P224" s="23" t="s">
        <v>1605</v>
      </c>
      <c r="Q224" s="23" t="s">
        <v>1606</v>
      </c>
      <c r="R224" s="23" t="s">
        <v>1607</v>
      </c>
      <c r="S224" s="23" t="s">
        <v>130</v>
      </c>
      <c r="T224" s="23" t="s">
        <v>67</v>
      </c>
      <c r="U224" s="23" t="s">
        <v>1608</v>
      </c>
      <c r="V224" s="23" t="n">
        <v>0</v>
      </c>
      <c r="W224" s="23" t="n">
        <v>0.9</v>
      </c>
      <c r="X224" s="23" t="n">
        <v>3.1</v>
      </c>
      <c r="Y224" s="23" t="n">
        <v>0</v>
      </c>
      <c r="Z224" s="23" t="n">
        <v>0</v>
      </c>
      <c r="AA224" s="23" t="n">
        <v>0</v>
      </c>
      <c r="AB224" s="23" t="n">
        <v>0</v>
      </c>
      <c r="AC224" s="23" t="n">
        <v>0</v>
      </c>
    </row>
    <row r="225" customFormat="false" ht="15" hidden="false" customHeight="false" outlineLevel="0" collapsed="false">
      <c r="A225" s="23" t="s">
        <v>1609</v>
      </c>
      <c r="B225" s="23" t="s">
        <v>1610</v>
      </c>
      <c r="C225" s="23" t="s">
        <v>1611</v>
      </c>
      <c r="D225" s="23" t="s">
        <v>1294</v>
      </c>
      <c r="E225" s="23" t="s">
        <v>352</v>
      </c>
      <c r="F225" s="23" t="s">
        <v>43</v>
      </c>
      <c r="G225" s="23"/>
      <c r="H225" s="23" t="s">
        <v>29</v>
      </c>
      <c r="I225" s="23" t="s">
        <v>99</v>
      </c>
      <c r="J225" s="23" t="s">
        <v>333</v>
      </c>
      <c r="K225" s="23" t="s">
        <v>34</v>
      </c>
      <c r="L225" s="23" t="s">
        <v>343</v>
      </c>
      <c r="M225" s="23" t="n">
        <v>4</v>
      </c>
      <c r="N225" s="23"/>
      <c r="O225" s="23" t="s">
        <v>1612</v>
      </c>
      <c r="P225" s="23" t="s">
        <v>1613</v>
      </c>
      <c r="Q225" s="23" t="s">
        <v>1614</v>
      </c>
      <c r="R225" s="23" t="s">
        <v>865</v>
      </c>
      <c r="S225" s="23" t="s">
        <v>130</v>
      </c>
      <c r="T225" s="23" t="s">
        <v>67</v>
      </c>
      <c r="U225" s="23" t="s">
        <v>1615</v>
      </c>
      <c r="V225" s="23" t="n">
        <v>0</v>
      </c>
      <c r="W225" s="23" t="n">
        <v>0.9</v>
      </c>
      <c r="X225" s="23" t="n">
        <v>3.1</v>
      </c>
      <c r="Y225" s="23" t="n">
        <v>0</v>
      </c>
      <c r="Z225" s="23" t="n">
        <v>0</v>
      </c>
      <c r="AA225" s="23" t="n">
        <v>0</v>
      </c>
      <c r="AB225" s="23" t="n">
        <v>0</v>
      </c>
      <c r="AC225" s="23" t="n">
        <v>0</v>
      </c>
    </row>
    <row r="226" customFormat="false" ht="15" hidden="false" customHeight="false" outlineLevel="0" collapsed="false">
      <c r="A226" s="23" t="s">
        <v>1616</v>
      </c>
      <c r="B226" s="23" t="s">
        <v>1617</v>
      </c>
      <c r="C226" s="23" t="s">
        <v>1618</v>
      </c>
      <c r="D226" s="23" t="s">
        <v>1294</v>
      </c>
      <c r="E226" s="23" t="s">
        <v>352</v>
      </c>
      <c r="F226" s="23" t="s">
        <v>43</v>
      </c>
      <c r="G226" s="23"/>
      <c r="H226" s="23" t="s">
        <v>29</v>
      </c>
      <c r="I226" s="23" t="s">
        <v>99</v>
      </c>
      <c r="J226" s="23" t="s">
        <v>333</v>
      </c>
      <c r="K226" s="23" t="s">
        <v>34</v>
      </c>
      <c r="L226" s="23" t="s">
        <v>343</v>
      </c>
      <c r="M226" s="23" t="n">
        <v>4</v>
      </c>
      <c r="N226" s="23"/>
      <c r="O226" s="23" t="s">
        <v>1619</v>
      </c>
      <c r="P226" s="23" t="s">
        <v>1620</v>
      </c>
      <c r="Q226" s="23" t="s">
        <v>1621</v>
      </c>
      <c r="R226" s="23" t="s">
        <v>878</v>
      </c>
      <c r="S226" s="23" t="s">
        <v>394</v>
      </c>
      <c r="T226" s="23" t="s">
        <v>67</v>
      </c>
      <c r="U226" s="23" t="s">
        <v>1063</v>
      </c>
      <c r="V226" s="23" t="n">
        <v>0</v>
      </c>
      <c r="W226" s="23" t="n">
        <v>0</v>
      </c>
      <c r="X226" s="23" t="n">
        <v>3.7</v>
      </c>
      <c r="Y226" s="23" t="n">
        <v>0.3</v>
      </c>
      <c r="Z226" s="23" t="n">
        <v>0</v>
      </c>
      <c r="AA226" s="23" t="n">
        <v>0</v>
      </c>
      <c r="AB226" s="23" t="n">
        <v>0</v>
      </c>
      <c r="AC226" s="23" t="n">
        <v>0</v>
      </c>
    </row>
    <row r="227" customFormat="false" ht="15" hidden="false" customHeight="false" outlineLevel="0" collapsed="false">
      <c r="A227" s="23" t="s">
        <v>1622</v>
      </c>
      <c r="B227" s="23" t="s">
        <v>1623</v>
      </c>
      <c r="C227" s="23" t="s">
        <v>1624</v>
      </c>
      <c r="D227" s="23" t="s">
        <v>1294</v>
      </c>
      <c r="E227" s="23" t="s">
        <v>352</v>
      </c>
      <c r="F227" s="23" t="s">
        <v>43</v>
      </c>
      <c r="G227" s="23"/>
      <c r="H227" s="23" t="s">
        <v>29</v>
      </c>
      <c r="I227" s="23" t="s">
        <v>99</v>
      </c>
      <c r="J227" s="23" t="s">
        <v>333</v>
      </c>
      <c r="K227" s="23" t="s">
        <v>23</v>
      </c>
      <c r="L227" s="23" t="s">
        <v>23</v>
      </c>
      <c r="M227" s="23" t="n">
        <v>4</v>
      </c>
      <c r="N227" s="23"/>
      <c r="O227" s="23" t="s">
        <v>991</v>
      </c>
      <c r="P227" s="23" t="s">
        <v>1625</v>
      </c>
      <c r="Q227" s="23" t="s">
        <v>993</v>
      </c>
      <c r="R227" s="23"/>
      <c r="S227" s="23"/>
      <c r="T227" s="23" t="s">
        <v>522</v>
      </c>
      <c r="U227" s="23" t="s">
        <v>523</v>
      </c>
      <c r="V227" s="23" t="n">
        <v>4</v>
      </c>
      <c r="W227" s="23" t="n">
        <v>0</v>
      </c>
      <c r="X227" s="23" t="n">
        <v>0</v>
      </c>
      <c r="Y227" s="23" t="n">
        <v>0</v>
      </c>
      <c r="Z227" s="23" t="n">
        <v>0</v>
      </c>
      <c r="AA227" s="23" t="n">
        <v>0</v>
      </c>
      <c r="AB227" s="23" t="n">
        <v>0</v>
      </c>
      <c r="AC227" s="23" t="n">
        <v>0</v>
      </c>
    </row>
    <row r="228" customFormat="false" ht="15" hidden="false" customHeight="false" outlineLevel="0" collapsed="false">
      <c r="A228" s="23" t="s">
        <v>1626</v>
      </c>
      <c r="B228" s="23" t="s">
        <v>1627</v>
      </c>
      <c r="C228" s="23" t="s">
        <v>1628</v>
      </c>
      <c r="D228" s="23" t="s">
        <v>1294</v>
      </c>
      <c r="E228" s="23" t="s">
        <v>352</v>
      </c>
      <c r="F228" s="23" t="s">
        <v>43</v>
      </c>
      <c r="G228" s="23"/>
      <c r="H228" s="23" t="s">
        <v>29</v>
      </c>
      <c r="I228" s="23" t="s">
        <v>99</v>
      </c>
      <c r="J228" s="23" t="s">
        <v>333</v>
      </c>
      <c r="K228" s="23" t="s">
        <v>23</v>
      </c>
      <c r="L228" s="23" t="s">
        <v>23</v>
      </c>
      <c r="M228" s="23" t="n">
        <v>3</v>
      </c>
      <c r="N228" s="23"/>
      <c r="O228" s="23" t="s">
        <v>1629</v>
      </c>
      <c r="P228" s="23" t="s">
        <v>1630</v>
      </c>
      <c r="Q228" s="23" t="s">
        <v>1631</v>
      </c>
      <c r="R228" s="23"/>
      <c r="S228" s="23"/>
      <c r="T228" s="23" t="s">
        <v>522</v>
      </c>
      <c r="U228" s="23" t="s">
        <v>523</v>
      </c>
      <c r="V228" s="23" t="n">
        <v>3</v>
      </c>
      <c r="W228" s="23" t="n">
        <v>0</v>
      </c>
      <c r="X228" s="23" t="n">
        <v>0</v>
      </c>
      <c r="Y228" s="23" t="n">
        <v>0</v>
      </c>
      <c r="Z228" s="23" t="n">
        <v>0</v>
      </c>
      <c r="AA228" s="23" t="n">
        <v>0</v>
      </c>
      <c r="AB228" s="23" t="n">
        <v>0</v>
      </c>
      <c r="AC228" s="23" t="n">
        <v>0</v>
      </c>
    </row>
    <row r="229" customFormat="false" ht="15" hidden="false" customHeight="false" outlineLevel="0" collapsed="false">
      <c r="A229" s="23" t="s">
        <v>1632</v>
      </c>
      <c r="B229" s="23" t="s">
        <v>1633</v>
      </c>
      <c r="C229" s="23" t="s">
        <v>1634</v>
      </c>
      <c r="D229" s="23" t="s">
        <v>1294</v>
      </c>
      <c r="E229" s="23" t="s">
        <v>352</v>
      </c>
      <c r="F229" s="23" t="s">
        <v>43</v>
      </c>
      <c r="G229" s="23"/>
      <c r="H229" s="23" t="s">
        <v>29</v>
      </c>
      <c r="I229" s="23" t="s">
        <v>99</v>
      </c>
      <c r="J229" s="23" t="s">
        <v>333</v>
      </c>
      <c r="K229" s="23" t="s">
        <v>104</v>
      </c>
      <c r="L229" s="23" t="s">
        <v>176</v>
      </c>
      <c r="M229" s="23" t="n">
        <v>3</v>
      </c>
      <c r="N229" s="23"/>
      <c r="O229" s="23" t="s">
        <v>1635</v>
      </c>
      <c r="P229" s="23"/>
      <c r="Q229" s="23" t="s">
        <v>1636</v>
      </c>
      <c r="R229" s="23"/>
      <c r="S229" s="23"/>
      <c r="T229" s="23" t="s">
        <v>134</v>
      </c>
      <c r="U229" s="23" t="s">
        <v>476</v>
      </c>
      <c r="V229" s="23" t="n">
        <v>0</v>
      </c>
      <c r="W229" s="23" t="n">
        <v>0</v>
      </c>
      <c r="X229" s="23" t="n">
        <v>0</v>
      </c>
      <c r="Y229" s="23" t="n">
        <v>0</v>
      </c>
      <c r="Z229" s="23" t="n">
        <v>0</v>
      </c>
      <c r="AA229" s="23" t="n">
        <v>0</v>
      </c>
      <c r="AB229" s="23" t="n">
        <v>0</v>
      </c>
      <c r="AC229" s="23" t="n">
        <v>3</v>
      </c>
    </row>
    <row r="230" customFormat="false" ht="15" hidden="false" customHeight="false" outlineLevel="0" collapsed="false">
      <c r="A230" s="23" t="s">
        <v>1637</v>
      </c>
      <c r="B230" s="23" t="s">
        <v>1638</v>
      </c>
      <c r="C230" s="23" t="s">
        <v>1639</v>
      </c>
      <c r="D230" s="23" t="s">
        <v>1294</v>
      </c>
      <c r="E230" s="23" t="s">
        <v>352</v>
      </c>
      <c r="F230" s="23" t="s">
        <v>43</v>
      </c>
      <c r="G230" s="23"/>
      <c r="H230" s="23" t="s">
        <v>29</v>
      </c>
      <c r="I230" s="23" t="s">
        <v>99</v>
      </c>
      <c r="J230" s="23" t="s">
        <v>333</v>
      </c>
      <c r="K230" s="23" t="s">
        <v>34</v>
      </c>
      <c r="L230" s="23" t="s">
        <v>410</v>
      </c>
      <c r="M230" s="23" t="n">
        <v>3</v>
      </c>
      <c r="N230" s="23"/>
      <c r="O230" s="23" t="s">
        <v>1640</v>
      </c>
      <c r="P230" s="23" t="s">
        <v>1641</v>
      </c>
      <c r="Q230" s="23" t="s">
        <v>1642</v>
      </c>
      <c r="R230" s="23" t="s">
        <v>414</v>
      </c>
      <c r="S230" s="23" t="s">
        <v>130</v>
      </c>
      <c r="T230" s="23" t="s">
        <v>67</v>
      </c>
      <c r="U230" s="23" t="s">
        <v>416</v>
      </c>
      <c r="V230" s="23" t="n">
        <v>0</v>
      </c>
      <c r="W230" s="23" t="n">
        <v>0.7</v>
      </c>
      <c r="X230" s="23" t="n">
        <v>2.3</v>
      </c>
      <c r="Y230" s="23" t="n">
        <v>0</v>
      </c>
      <c r="Z230" s="23" t="n">
        <v>0</v>
      </c>
      <c r="AA230" s="23" t="n">
        <v>0</v>
      </c>
      <c r="AB230" s="23" t="n">
        <v>0</v>
      </c>
      <c r="AC230" s="23" t="n">
        <v>0</v>
      </c>
    </row>
    <row r="231" customFormat="false" ht="15" hidden="false" customHeight="false" outlineLevel="0" collapsed="false">
      <c r="A231" s="23" t="s">
        <v>1643</v>
      </c>
      <c r="B231" s="23" t="s">
        <v>1644</v>
      </c>
      <c r="C231" s="23" t="s">
        <v>1645</v>
      </c>
      <c r="D231" s="23" t="s">
        <v>1294</v>
      </c>
      <c r="E231" s="23" t="s">
        <v>352</v>
      </c>
      <c r="F231" s="23" t="s">
        <v>43</v>
      </c>
      <c r="G231" s="23"/>
      <c r="H231" s="23" t="s">
        <v>29</v>
      </c>
      <c r="I231" s="23" t="s">
        <v>99</v>
      </c>
      <c r="J231" s="23" t="s">
        <v>333</v>
      </c>
      <c r="K231" s="23" t="s">
        <v>35</v>
      </c>
      <c r="L231" s="23" t="s">
        <v>176</v>
      </c>
      <c r="M231" s="23" t="n">
        <v>3</v>
      </c>
      <c r="N231" s="23"/>
      <c r="O231" s="23" t="s">
        <v>1646</v>
      </c>
      <c r="P231" s="23"/>
      <c r="Q231" s="23" t="s">
        <v>1647</v>
      </c>
      <c r="R231" s="23" t="s">
        <v>126</v>
      </c>
      <c r="S231" s="23" t="s">
        <v>116</v>
      </c>
      <c r="T231" s="23" t="s">
        <v>69</v>
      </c>
      <c r="U231" s="23" t="s">
        <v>548</v>
      </c>
      <c r="V231" s="23" t="n">
        <v>0</v>
      </c>
      <c r="W231" s="23" t="n">
        <v>0</v>
      </c>
      <c r="X231" s="23" t="n">
        <v>0</v>
      </c>
      <c r="Y231" s="23" t="n">
        <v>1.9</v>
      </c>
      <c r="Z231" s="23" t="n">
        <v>1.1</v>
      </c>
      <c r="AA231" s="23" t="n">
        <v>0</v>
      </c>
      <c r="AB231" s="23" t="n">
        <v>0</v>
      </c>
      <c r="AC231" s="23" t="n">
        <v>0</v>
      </c>
    </row>
    <row r="232" customFormat="false" ht="15" hidden="false" customHeight="false" outlineLevel="0" collapsed="false">
      <c r="A232" s="23" t="s">
        <v>1648</v>
      </c>
      <c r="B232" s="23" t="s">
        <v>1649</v>
      </c>
      <c r="C232" s="23" t="s">
        <v>1650</v>
      </c>
      <c r="D232" s="23" t="s">
        <v>1294</v>
      </c>
      <c r="E232" s="23" t="s">
        <v>342</v>
      </c>
      <c r="F232" s="23" t="s">
        <v>43</v>
      </c>
      <c r="G232" s="23"/>
      <c r="H232" s="23" t="s">
        <v>29</v>
      </c>
      <c r="I232" s="23" t="s">
        <v>99</v>
      </c>
      <c r="J232" s="23" t="s">
        <v>333</v>
      </c>
      <c r="K232" s="23" t="s">
        <v>23</v>
      </c>
      <c r="L232" s="23" t="s">
        <v>23</v>
      </c>
      <c r="M232" s="23" t="n">
        <v>2</v>
      </c>
      <c r="N232" s="23"/>
      <c r="O232" s="23" t="s">
        <v>1651</v>
      </c>
      <c r="P232" s="23" t="s">
        <v>1652</v>
      </c>
      <c r="Q232" s="23" t="s">
        <v>1653</v>
      </c>
      <c r="R232" s="23"/>
      <c r="S232" s="23"/>
      <c r="T232" s="23" t="s">
        <v>522</v>
      </c>
      <c r="U232" s="23" t="s">
        <v>523</v>
      </c>
      <c r="V232" s="23" t="n">
        <v>2</v>
      </c>
      <c r="W232" s="23" t="n">
        <v>0</v>
      </c>
      <c r="X232" s="23" t="n">
        <v>0</v>
      </c>
      <c r="Y232" s="23" t="n">
        <v>0</v>
      </c>
      <c r="Z232" s="23" t="n">
        <v>0</v>
      </c>
      <c r="AA232" s="23" t="n">
        <v>0</v>
      </c>
      <c r="AB232" s="23" t="n">
        <v>0</v>
      </c>
      <c r="AC232" s="23" t="n">
        <v>0</v>
      </c>
    </row>
    <row r="233" customFormat="false" ht="15" hidden="false" customHeight="false" outlineLevel="0" collapsed="false">
      <c r="A233" s="23" t="s">
        <v>1654</v>
      </c>
      <c r="B233" s="23" t="s">
        <v>1655</v>
      </c>
      <c r="C233" s="23" t="s">
        <v>1656</v>
      </c>
      <c r="D233" s="23" t="s">
        <v>1294</v>
      </c>
      <c r="E233" s="23" t="s">
        <v>352</v>
      </c>
      <c r="F233" s="23" t="s">
        <v>43</v>
      </c>
      <c r="G233" s="23"/>
      <c r="H233" s="23" t="s">
        <v>29</v>
      </c>
      <c r="I233" s="23" t="s">
        <v>99</v>
      </c>
      <c r="J233" s="23" t="s">
        <v>333</v>
      </c>
      <c r="K233" s="23" t="s">
        <v>34</v>
      </c>
      <c r="L233" s="23" t="s">
        <v>410</v>
      </c>
      <c r="M233" s="23" t="n">
        <v>2</v>
      </c>
      <c r="N233" s="23"/>
      <c r="O233" s="23" t="s">
        <v>1657</v>
      </c>
      <c r="P233" s="23" t="s">
        <v>1658</v>
      </c>
      <c r="Q233" s="23" t="s">
        <v>1659</v>
      </c>
      <c r="R233" s="23" t="s">
        <v>1371</v>
      </c>
      <c r="S233" s="23" t="s">
        <v>130</v>
      </c>
      <c r="T233" s="23" t="s">
        <v>67</v>
      </c>
      <c r="U233" s="23" t="s">
        <v>1660</v>
      </c>
      <c r="V233" s="23" t="n">
        <v>0</v>
      </c>
      <c r="W233" s="23" t="n">
        <v>0.5</v>
      </c>
      <c r="X233" s="23" t="n">
        <v>1.5</v>
      </c>
      <c r="Y233" s="23" t="n">
        <v>0</v>
      </c>
      <c r="Z233" s="23" t="n">
        <v>0</v>
      </c>
      <c r="AA233" s="23" t="n">
        <v>0</v>
      </c>
      <c r="AB233" s="23" t="n">
        <v>0</v>
      </c>
      <c r="AC233" s="23" t="n">
        <v>0</v>
      </c>
    </row>
    <row r="234" customFormat="false" ht="15" hidden="false" customHeight="false" outlineLevel="0" collapsed="false">
      <c r="A234" s="23" t="s">
        <v>1661</v>
      </c>
      <c r="B234" s="23" t="s">
        <v>1662</v>
      </c>
      <c r="C234" s="23" t="s">
        <v>1663</v>
      </c>
      <c r="D234" s="23" t="s">
        <v>1294</v>
      </c>
      <c r="E234" s="23" t="s">
        <v>352</v>
      </c>
      <c r="F234" s="23" t="s">
        <v>43</v>
      </c>
      <c r="G234" s="23"/>
      <c r="H234" s="23" t="s">
        <v>29</v>
      </c>
      <c r="I234" s="23" t="s">
        <v>99</v>
      </c>
      <c r="J234" s="23" t="s">
        <v>333</v>
      </c>
      <c r="K234" s="23" t="s">
        <v>104</v>
      </c>
      <c r="L234" s="23" t="s">
        <v>176</v>
      </c>
      <c r="M234" s="23" t="n">
        <v>1</v>
      </c>
      <c r="N234" s="23"/>
      <c r="O234" s="23" t="s">
        <v>1664</v>
      </c>
      <c r="P234" s="23"/>
      <c r="Q234" s="23" t="s">
        <v>1665</v>
      </c>
      <c r="R234" s="23"/>
      <c r="S234" s="23"/>
      <c r="T234" s="23" t="s">
        <v>134</v>
      </c>
      <c r="U234" s="23" t="s">
        <v>476</v>
      </c>
      <c r="V234" s="23" t="n">
        <v>0</v>
      </c>
      <c r="W234" s="23" t="n">
        <v>0</v>
      </c>
      <c r="X234" s="23" t="n">
        <v>0</v>
      </c>
      <c r="Y234" s="23" t="n">
        <v>0</v>
      </c>
      <c r="Z234" s="23" t="n">
        <v>0</v>
      </c>
      <c r="AA234" s="23" t="n">
        <v>0</v>
      </c>
      <c r="AB234" s="23" t="n">
        <v>0</v>
      </c>
      <c r="AC234" s="23" t="n">
        <v>1</v>
      </c>
    </row>
    <row r="235" customFormat="false" ht="15" hidden="false" customHeight="false" outlineLevel="0" collapsed="false">
      <c r="A235" s="23" t="s">
        <v>1666</v>
      </c>
      <c r="B235" s="23" t="s">
        <v>1667</v>
      </c>
      <c r="C235" s="23" t="s">
        <v>1668</v>
      </c>
      <c r="D235" s="23" t="s">
        <v>1294</v>
      </c>
      <c r="E235" s="23" t="s">
        <v>352</v>
      </c>
      <c r="F235" s="23" t="s">
        <v>43</v>
      </c>
      <c r="G235" s="23"/>
      <c r="H235" s="23" t="s">
        <v>50</v>
      </c>
      <c r="I235" s="23" t="s">
        <v>100</v>
      </c>
      <c r="J235" s="23" t="s">
        <v>333</v>
      </c>
      <c r="K235" s="23" t="s">
        <v>104</v>
      </c>
      <c r="L235" s="23" t="s">
        <v>377</v>
      </c>
      <c r="M235" s="23" t="n">
        <v>21</v>
      </c>
      <c r="N235" s="23"/>
      <c r="O235" s="23" t="s">
        <v>1669</v>
      </c>
      <c r="P235" s="23"/>
      <c r="Q235" s="23" t="s">
        <v>1670</v>
      </c>
      <c r="R235" s="23"/>
      <c r="S235" s="23"/>
      <c r="T235" s="23" t="s">
        <v>134</v>
      </c>
      <c r="U235" s="23" t="s">
        <v>476</v>
      </c>
      <c r="V235" s="23" t="n">
        <v>0</v>
      </c>
      <c r="W235" s="23" t="n">
        <v>0</v>
      </c>
      <c r="X235" s="23" t="n">
        <v>0</v>
      </c>
      <c r="Y235" s="23" t="n">
        <v>0</v>
      </c>
      <c r="Z235" s="23" t="n">
        <v>0</v>
      </c>
      <c r="AA235" s="23" t="n">
        <v>0</v>
      </c>
      <c r="AB235" s="23" t="n">
        <v>0</v>
      </c>
      <c r="AC235" s="23" t="n">
        <v>21</v>
      </c>
    </row>
    <row r="236" customFormat="false" ht="15" hidden="false" customHeight="false" outlineLevel="0" collapsed="false">
      <c r="A236" s="23" t="s">
        <v>1671</v>
      </c>
      <c r="B236" s="23" t="s">
        <v>1672</v>
      </c>
      <c r="C236" s="23" t="s">
        <v>1673</v>
      </c>
      <c r="D236" s="23" t="s">
        <v>1294</v>
      </c>
      <c r="E236" s="23" t="s">
        <v>1451</v>
      </c>
      <c r="F236" s="23" t="s">
        <v>43</v>
      </c>
      <c r="G236" s="23"/>
      <c r="H236" s="23" t="s">
        <v>50</v>
      </c>
      <c r="I236" s="23" t="s">
        <v>100</v>
      </c>
      <c r="J236" s="23" t="s">
        <v>333</v>
      </c>
      <c r="K236" s="23" t="s">
        <v>23</v>
      </c>
      <c r="L236" s="23" t="s">
        <v>23</v>
      </c>
      <c r="M236" s="23" t="n">
        <v>17</v>
      </c>
      <c r="N236" s="23"/>
      <c r="O236" s="23" t="s">
        <v>1674</v>
      </c>
      <c r="P236" s="23" t="s">
        <v>1675</v>
      </c>
      <c r="Q236" s="23" t="s">
        <v>1676</v>
      </c>
      <c r="R236" s="23"/>
      <c r="S236" s="23"/>
      <c r="T236" s="23" t="s">
        <v>522</v>
      </c>
      <c r="U236" s="23" t="s">
        <v>523</v>
      </c>
      <c r="V236" s="23" t="n">
        <v>17</v>
      </c>
      <c r="W236" s="23" t="n">
        <v>0</v>
      </c>
      <c r="X236" s="23" t="n">
        <v>0</v>
      </c>
      <c r="Y236" s="23" t="n">
        <v>0</v>
      </c>
      <c r="Z236" s="23" t="n">
        <v>0</v>
      </c>
      <c r="AA236" s="23" t="n">
        <v>0</v>
      </c>
      <c r="AB236" s="23" t="n">
        <v>0</v>
      </c>
      <c r="AC236" s="23" t="n">
        <v>0</v>
      </c>
    </row>
    <row r="237" customFormat="false" ht="15" hidden="false" customHeight="false" outlineLevel="0" collapsed="false">
      <c r="A237" s="23" t="s">
        <v>1677</v>
      </c>
      <c r="B237" s="23" t="s">
        <v>1678</v>
      </c>
      <c r="C237" s="23" t="s">
        <v>1679</v>
      </c>
      <c r="D237" s="23" t="s">
        <v>1294</v>
      </c>
      <c r="E237" s="23" t="s">
        <v>352</v>
      </c>
      <c r="F237" s="23" t="s">
        <v>43</v>
      </c>
      <c r="G237" s="23"/>
      <c r="H237" s="23" t="s">
        <v>50</v>
      </c>
      <c r="I237" s="23" t="s">
        <v>100</v>
      </c>
      <c r="J237" s="23" t="s">
        <v>359</v>
      </c>
      <c r="K237" s="23" t="s">
        <v>23</v>
      </c>
      <c r="L237" s="23" t="s">
        <v>23</v>
      </c>
      <c r="M237" s="23" t="n">
        <v>16</v>
      </c>
      <c r="N237" s="23"/>
      <c r="O237" s="23" t="s">
        <v>1680</v>
      </c>
      <c r="P237" s="23" t="s">
        <v>963</v>
      </c>
      <c r="Q237" s="23"/>
      <c r="R237" s="23"/>
      <c r="S237" s="23"/>
      <c r="T237" s="23" t="s">
        <v>522</v>
      </c>
      <c r="U237" s="23" t="s">
        <v>523</v>
      </c>
      <c r="V237" s="23" t="n">
        <v>16</v>
      </c>
      <c r="W237" s="23" t="n">
        <v>0</v>
      </c>
      <c r="X237" s="23" t="n">
        <v>0</v>
      </c>
      <c r="Y237" s="23" t="n">
        <v>0</v>
      </c>
      <c r="Z237" s="23" t="n">
        <v>0</v>
      </c>
      <c r="AA237" s="23" t="n">
        <v>0</v>
      </c>
      <c r="AB237" s="23" t="n">
        <v>0</v>
      </c>
      <c r="AC237" s="23" t="n">
        <v>0</v>
      </c>
    </row>
    <row r="238" customFormat="false" ht="15" hidden="false" customHeight="false" outlineLevel="0" collapsed="false">
      <c r="A238" s="23" t="s">
        <v>1681</v>
      </c>
      <c r="B238" s="23" t="s">
        <v>1682</v>
      </c>
      <c r="C238" s="23" t="s">
        <v>1683</v>
      </c>
      <c r="D238" s="23" t="s">
        <v>1294</v>
      </c>
      <c r="E238" s="23" t="s">
        <v>1322</v>
      </c>
      <c r="F238" s="23" t="s">
        <v>43</v>
      </c>
      <c r="G238" s="23"/>
      <c r="H238" s="23" t="s">
        <v>50</v>
      </c>
      <c r="I238" s="23" t="s">
        <v>100</v>
      </c>
      <c r="J238" s="23" t="s">
        <v>359</v>
      </c>
      <c r="K238" s="23" t="s">
        <v>35</v>
      </c>
      <c r="L238" s="23" t="s">
        <v>377</v>
      </c>
      <c r="M238" s="23" t="n">
        <v>12</v>
      </c>
      <c r="N238" s="23"/>
      <c r="O238" s="23"/>
      <c r="P238" s="23"/>
      <c r="Q238" s="23"/>
      <c r="R238" s="23" t="s">
        <v>394</v>
      </c>
      <c r="S238" s="23" t="s">
        <v>367</v>
      </c>
      <c r="T238" s="23" t="s">
        <v>68</v>
      </c>
      <c r="U238" s="23" t="s">
        <v>379</v>
      </c>
      <c r="V238" s="23" t="n">
        <v>0</v>
      </c>
      <c r="W238" s="23" t="n">
        <v>0</v>
      </c>
      <c r="X238" s="23" t="n">
        <v>0</v>
      </c>
      <c r="Y238" s="23" t="n">
        <v>0</v>
      </c>
      <c r="Z238" s="23" t="n">
        <v>11.3</v>
      </c>
      <c r="AA238" s="23" t="n">
        <v>0.7</v>
      </c>
      <c r="AB238" s="23" t="n">
        <v>0</v>
      </c>
      <c r="AC238" s="23" t="n">
        <v>0</v>
      </c>
    </row>
    <row r="239" customFormat="false" ht="15" hidden="false" customHeight="false" outlineLevel="0" collapsed="false">
      <c r="A239" s="23" t="s">
        <v>1684</v>
      </c>
      <c r="B239" s="23" t="s">
        <v>1685</v>
      </c>
      <c r="C239" s="23" t="s">
        <v>1686</v>
      </c>
      <c r="D239" s="23" t="s">
        <v>1294</v>
      </c>
      <c r="E239" s="23" t="s">
        <v>352</v>
      </c>
      <c r="F239" s="23" t="s">
        <v>43</v>
      </c>
      <c r="G239" s="23"/>
      <c r="H239" s="23" t="s">
        <v>50</v>
      </c>
      <c r="I239" s="23" t="s">
        <v>100</v>
      </c>
      <c r="J239" s="23" t="s">
        <v>333</v>
      </c>
      <c r="K239" s="23" t="s">
        <v>35</v>
      </c>
      <c r="L239" s="23" t="s">
        <v>377</v>
      </c>
      <c r="M239" s="23" t="n">
        <v>10</v>
      </c>
      <c r="N239" s="23"/>
      <c r="O239" s="23" t="s">
        <v>1687</v>
      </c>
      <c r="P239" s="23"/>
      <c r="Q239" s="23" t="s">
        <v>1688</v>
      </c>
      <c r="R239" s="23" t="s">
        <v>115</v>
      </c>
      <c r="S239" s="23" t="s">
        <v>337</v>
      </c>
      <c r="T239" s="23" t="s">
        <v>68</v>
      </c>
      <c r="U239" s="23" t="s">
        <v>379</v>
      </c>
      <c r="V239" s="23" t="n">
        <v>0</v>
      </c>
      <c r="W239" s="23" t="n">
        <v>0</v>
      </c>
      <c r="X239" s="23" t="n">
        <v>0</v>
      </c>
      <c r="Y239" s="23" t="n">
        <v>8.4</v>
      </c>
      <c r="Z239" s="23" t="n">
        <v>1.6</v>
      </c>
      <c r="AA239" s="23" t="n">
        <v>0</v>
      </c>
      <c r="AB239" s="23" t="n">
        <v>0</v>
      </c>
      <c r="AC239" s="23" t="n">
        <v>0</v>
      </c>
    </row>
    <row r="240" customFormat="false" ht="15" hidden="false" customHeight="false" outlineLevel="0" collapsed="false">
      <c r="A240" s="23" t="s">
        <v>1689</v>
      </c>
      <c r="B240" s="23" t="s">
        <v>1690</v>
      </c>
      <c r="C240" s="23" t="s">
        <v>1691</v>
      </c>
      <c r="D240" s="23" t="s">
        <v>1294</v>
      </c>
      <c r="E240" s="23" t="s">
        <v>352</v>
      </c>
      <c r="F240" s="23" t="s">
        <v>43</v>
      </c>
      <c r="G240" s="23"/>
      <c r="H240" s="23" t="s">
        <v>50</v>
      </c>
      <c r="I240" s="23" t="s">
        <v>100</v>
      </c>
      <c r="J240" s="23" t="s">
        <v>333</v>
      </c>
      <c r="K240" s="23" t="s">
        <v>23</v>
      </c>
      <c r="L240" s="23" t="s">
        <v>23</v>
      </c>
      <c r="M240" s="23" t="n">
        <v>9</v>
      </c>
      <c r="N240" s="23"/>
      <c r="O240" s="23" t="s">
        <v>1692</v>
      </c>
      <c r="P240" s="23" t="s">
        <v>1693</v>
      </c>
      <c r="Q240" s="23" t="s">
        <v>1694</v>
      </c>
      <c r="R240" s="23"/>
      <c r="S240" s="23"/>
      <c r="T240" s="23" t="s">
        <v>522</v>
      </c>
      <c r="U240" s="23" t="s">
        <v>523</v>
      </c>
      <c r="V240" s="23" t="n">
        <v>9</v>
      </c>
      <c r="W240" s="23" t="n">
        <v>0</v>
      </c>
      <c r="X240" s="23" t="n">
        <v>0</v>
      </c>
      <c r="Y240" s="23" t="n">
        <v>0</v>
      </c>
      <c r="Z240" s="23" t="n">
        <v>0</v>
      </c>
      <c r="AA240" s="23" t="n">
        <v>0</v>
      </c>
      <c r="AB240" s="23" t="n">
        <v>0</v>
      </c>
      <c r="AC240" s="23" t="n">
        <v>0</v>
      </c>
    </row>
    <row r="241" customFormat="false" ht="15" hidden="false" customHeight="false" outlineLevel="0" collapsed="false">
      <c r="A241" s="23" t="s">
        <v>1695</v>
      </c>
      <c r="B241" s="23" t="s">
        <v>1696</v>
      </c>
      <c r="C241" s="23" t="s">
        <v>1697</v>
      </c>
      <c r="D241" s="23" t="s">
        <v>1294</v>
      </c>
      <c r="E241" s="23" t="s">
        <v>352</v>
      </c>
      <c r="F241" s="23" t="s">
        <v>43</v>
      </c>
      <c r="G241" s="23"/>
      <c r="H241" s="23" t="s">
        <v>50</v>
      </c>
      <c r="I241" s="23" t="s">
        <v>100</v>
      </c>
      <c r="J241" s="23" t="s">
        <v>333</v>
      </c>
      <c r="K241" s="23" t="s">
        <v>39</v>
      </c>
      <c r="L241" s="23" t="s">
        <v>383</v>
      </c>
      <c r="M241" s="23" t="n">
        <v>8</v>
      </c>
      <c r="N241" s="23"/>
      <c r="O241" s="23"/>
      <c r="P241" s="23"/>
      <c r="Q241" s="23"/>
      <c r="R241" s="23"/>
      <c r="S241" s="23"/>
      <c r="T241" s="23" t="s">
        <v>134</v>
      </c>
      <c r="U241" s="23" t="s">
        <v>384</v>
      </c>
      <c r="V241" s="23" t="n">
        <v>0</v>
      </c>
      <c r="W241" s="23" t="n">
        <v>0</v>
      </c>
      <c r="X241" s="23" t="n">
        <v>0</v>
      </c>
      <c r="Y241" s="23" t="n">
        <v>0</v>
      </c>
      <c r="Z241" s="23" t="n">
        <v>0</v>
      </c>
      <c r="AA241" s="23" t="n">
        <v>0</v>
      </c>
      <c r="AB241" s="23" t="n">
        <v>0</v>
      </c>
      <c r="AC241" s="23" t="n">
        <v>8</v>
      </c>
    </row>
    <row r="242" customFormat="false" ht="15" hidden="false" customHeight="false" outlineLevel="0" collapsed="false">
      <c r="A242" s="23" t="s">
        <v>1698</v>
      </c>
      <c r="B242" s="23" t="s">
        <v>1699</v>
      </c>
      <c r="C242" s="23" t="s">
        <v>1700</v>
      </c>
      <c r="D242" s="23" t="s">
        <v>1294</v>
      </c>
      <c r="E242" s="23" t="s">
        <v>352</v>
      </c>
      <c r="F242" s="23" t="s">
        <v>43</v>
      </c>
      <c r="G242" s="23"/>
      <c r="H242" s="23" t="s">
        <v>50</v>
      </c>
      <c r="I242" s="23" t="s">
        <v>100</v>
      </c>
      <c r="J242" s="23" t="s">
        <v>333</v>
      </c>
      <c r="K242" s="23" t="s">
        <v>35</v>
      </c>
      <c r="L242" s="23" t="s">
        <v>377</v>
      </c>
      <c r="M242" s="23" t="n">
        <v>7</v>
      </c>
      <c r="N242" s="23"/>
      <c r="O242" s="23" t="s">
        <v>1701</v>
      </c>
      <c r="P242" s="23"/>
      <c r="Q242" s="23" t="s">
        <v>1702</v>
      </c>
      <c r="R242" s="23" t="s">
        <v>115</v>
      </c>
      <c r="S242" s="23" t="s">
        <v>337</v>
      </c>
      <c r="T242" s="23" t="s">
        <v>68</v>
      </c>
      <c r="U242" s="23" t="s">
        <v>379</v>
      </c>
      <c r="V242" s="23" t="n">
        <v>0</v>
      </c>
      <c r="W242" s="23" t="n">
        <v>0</v>
      </c>
      <c r="X242" s="23" t="n">
        <v>0</v>
      </c>
      <c r="Y242" s="23" t="n">
        <v>6.1</v>
      </c>
      <c r="Z242" s="23" t="n">
        <v>0.9</v>
      </c>
      <c r="AA242" s="23" t="n">
        <v>0</v>
      </c>
      <c r="AB242" s="23" t="n">
        <v>0</v>
      </c>
      <c r="AC242" s="23" t="n">
        <v>0</v>
      </c>
    </row>
    <row r="243" customFormat="false" ht="15" hidden="false" customHeight="false" outlineLevel="0" collapsed="false">
      <c r="A243" s="23" t="s">
        <v>1703</v>
      </c>
      <c r="B243" s="23" t="s">
        <v>1704</v>
      </c>
      <c r="C243" s="23" t="s">
        <v>1705</v>
      </c>
      <c r="D243" s="23" t="s">
        <v>1294</v>
      </c>
      <c r="E243" s="23" t="s">
        <v>1301</v>
      </c>
      <c r="F243" s="23" t="s">
        <v>43</v>
      </c>
      <c r="G243" s="23"/>
      <c r="H243" s="23" t="s">
        <v>49</v>
      </c>
      <c r="I243" s="23" t="s">
        <v>100</v>
      </c>
      <c r="J243" s="23" t="s">
        <v>359</v>
      </c>
      <c r="K243" s="23" t="s">
        <v>35</v>
      </c>
      <c r="L243" s="23" t="s">
        <v>176</v>
      </c>
      <c r="M243" s="23" t="n">
        <v>31</v>
      </c>
      <c r="N243" s="23"/>
      <c r="O243" s="23" t="s">
        <v>1706</v>
      </c>
      <c r="P243" s="23"/>
      <c r="Q243" s="23"/>
      <c r="R243" s="23" t="s">
        <v>126</v>
      </c>
      <c r="S243" s="23" t="s">
        <v>337</v>
      </c>
      <c r="T243" s="23" t="s">
        <v>69</v>
      </c>
      <c r="U243" s="23" t="s">
        <v>1410</v>
      </c>
      <c r="V243" s="23" t="n">
        <v>0</v>
      </c>
      <c r="W243" s="23" t="n">
        <v>0</v>
      </c>
      <c r="X243" s="23" t="n">
        <v>0</v>
      </c>
      <c r="Y243" s="23" t="n">
        <v>23.6</v>
      </c>
      <c r="Z243" s="23" t="n">
        <v>7.4</v>
      </c>
      <c r="AA243" s="23" t="n">
        <v>0</v>
      </c>
      <c r="AB243" s="23" t="n">
        <v>0</v>
      </c>
      <c r="AC243" s="23" t="n">
        <v>0</v>
      </c>
    </row>
    <row r="244" customFormat="false" ht="15" hidden="false" customHeight="false" outlineLevel="0" collapsed="false">
      <c r="A244" s="23" t="s">
        <v>1707</v>
      </c>
      <c r="B244" s="23" t="s">
        <v>1708</v>
      </c>
      <c r="C244" s="23" t="s">
        <v>1709</v>
      </c>
      <c r="D244" s="23" t="s">
        <v>1294</v>
      </c>
      <c r="E244" s="23" t="s">
        <v>1295</v>
      </c>
      <c r="F244" s="23" t="s">
        <v>43</v>
      </c>
      <c r="G244" s="23"/>
      <c r="H244" s="23" t="s">
        <v>49</v>
      </c>
      <c r="I244" s="23" t="s">
        <v>101</v>
      </c>
      <c r="J244" s="23" t="s">
        <v>359</v>
      </c>
      <c r="K244" s="23" t="s">
        <v>35</v>
      </c>
      <c r="L244" s="23" t="s">
        <v>176</v>
      </c>
      <c r="M244" s="23" t="n">
        <v>31</v>
      </c>
      <c r="N244" s="23"/>
      <c r="O244" s="23" t="s">
        <v>1710</v>
      </c>
      <c r="P244" s="23"/>
      <c r="Q244" s="23"/>
      <c r="R244" s="23" t="s">
        <v>126</v>
      </c>
      <c r="S244" s="23" t="s">
        <v>337</v>
      </c>
      <c r="T244" s="23" t="s">
        <v>69</v>
      </c>
      <c r="U244" s="23" t="s">
        <v>1711</v>
      </c>
      <c r="V244" s="23" t="n">
        <v>0</v>
      </c>
      <c r="W244" s="23" t="n">
        <v>0</v>
      </c>
      <c r="X244" s="23" t="n">
        <v>0</v>
      </c>
      <c r="Y244" s="23" t="n">
        <v>23.6</v>
      </c>
      <c r="Z244" s="23" t="n">
        <v>7.4</v>
      </c>
      <c r="AA244" s="23" t="n">
        <v>0</v>
      </c>
      <c r="AB244" s="23" t="n">
        <v>0</v>
      </c>
      <c r="AC244" s="23" t="n">
        <v>0</v>
      </c>
    </row>
    <row r="245" customFormat="false" ht="15" hidden="false" customHeight="false" outlineLevel="0" collapsed="false">
      <c r="A245" s="23" t="s">
        <v>1712</v>
      </c>
      <c r="B245" s="23" t="s">
        <v>1713</v>
      </c>
      <c r="C245" s="23" t="s">
        <v>1714</v>
      </c>
      <c r="D245" s="23" t="s">
        <v>1294</v>
      </c>
      <c r="E245" s="23" t="s">
        <v>1328</v>
      </c>
      <c r="F245" s="23" t="s">
        <v>43</v>
      </c>
      <c r="G245" s="23"/>
      <c r="H245" s="23" t="s">
        <v>49</v>
      </c>
      <c r="I245" s="23" t="s">
        <v>100</v>
      </c>
      <c r="J245" s="23" t="s">
        <v>359</v>
      </c>
      <c r="K245" s="23" t="s">
        <v>34</v>
      </c>
      <c r="L245" s="23" t="s">
        <v>343</v>
      </c>
      <c r="M245" s="23" t="n">
        <v>24</v>
      </c>
      <c r="N245" s="23"/>
      <c r="O245" s="23" t="s">
        <v>1715</v>
      </c>
      <c r="P245" s="23" t="s">
        <v>1716</v>
      </c>
      <c r="Q245" s="23"/>
      <c r="R245" s="23" t="s">
        <v>660</v>
      </c>
      <c r="S245" s="23" t="s">
        <v>116</v>
      </c>
      <c r="T245" s="23" t="s">
        <v>67</v>
      </c>
      <c r="U245" s="23" t="s">
        <v>661</v>
      </c>
      <c r="V245" s="23" t="n">
        <v>0</v>
      </c>
      <c r="W245" s="23" t="n">
        <v>0</v>
      </c>
      <c r="X245" s="23" t="n">
        <v>5.9</v>
      </c>
      <c r="Y245" s="23" t="n">
        <v>12.8</v>
      </c>
      <c r="Z245" s="23" t="n">
        <v>5.3</v>
      </c>
      <c r="AA245" s="23" t="n">
        <v>0</v>
      </c>
      <c r="AB245" s="23" t="n">
        <v>0</v>
      </c>
      <c r="AC245" s="23" t="n">
        <v>0</v>
      </c>
    </row>
    <row r="246" customFormat="false" ht="15" hidden="false" customHeight="false" outlineLevel="0" collapsed="false">
      <c r="A246" s="23" t="s">
        <v>1717</v>
      </c>
      <c r="B246" s="23" t="s">
        <v>1718</v>
      </c>
      <c r="C246" s="23" t="s">
        <v>1719</v>
      </c>
      <c r="D246" s="23" t="s">
        <v>1294</v>
      </c>
      <c r="E246" s="23" t="s">
        <v>1328</v>
      </c>
      <c r="F246" s="23" t="s">
        <v>43</v>
      </c>
      <c r="G246" s="23"/>
      <c r="H246" s="23" t="s">
        <v>49</v>
      </c>
      <c r="I246" s="23" t="s">
        <v>100</v>
      </c>
      <c r="J246" s="23" t="s">
        <v>359</v>
      </c>
      <c r="K246" s="23" t="s">
        <v>35</v>
      </c>
      <c r="L246" s="23" t="s">
        <v>176</v>
      </c>
      <c r="M246" s="23" t="n">
        <v>24</v>
      </c>
      <c r="N246" s="23"/>
      <c r="O246" s="23" t="s">
        <v>1720</v>
      </c>
      <c r="P246" s="23"/>
      <c r="Q246" s="23"/>
      <c r="R246" s="23" t="s">
        <v>126</v>
      </c>
      <c r="S246" s="23" t="s">
        <v>482</v>
      </c>
      <c r="T246" s="23" t="s">
        <v>69</v>
      </c>
      <c r="U246" s="23" t="s">
        <v>1721</v>
      </c>
      <c r="V246" s="23" t="n">
        <v>0</v>
      </c>
      <c r="W246" s="23" t="n">
        <v>0</v>
      </c>
      <c r="X246" s="23" t="n">
        <v>0</v>
      </c>
      <c r="Y246" s="23" t="n">
        <v>6.2</v>
      </c>
      <c r="Z246" s="23" t="n">
        <v>12.8</v>
      </c>
      <c r="AA246" s="23" t="n">
        <v>5</v>
      </c>
      <c r="AB246" s="23" t="n">
        <v>0</v>
      </c>
      <c r="AC246" s="23" t="n">
        <v>0</v>
      </c>
    </row>
    <row r="247" customFormat="false" ht="15" hidden="false" customHeight="false" outlineLevel="0" collapsed="false">
      <c r="A247" s="23" t="s">
        <v>1722</v>
      </c>
      <c r="B247" s="23" t="s">
        <v>1723</v>
      </c>
      <c r="C247" s="23" t="s">
        <v>1724</v>
      </c>
      <c r="D247" s="23" t="s">
        <v>1294</v>
      </c>
      <c r="E247" s="23" t="s">
        <v>1328</v>
      </c>
      <c r="F247" s="23" t="s">
        <v>43</v>
      </c>
      <c r="G247" s="23"/>
      <c r="H247" s="23" t="s">
        <v>49</v>
      </c>
      <c r="I247" s="23" t="s">
        <v>100</v>
      </c>
      <c r="J247" s="23" t="s">
        <v>359</v>
      </c>
      <c r="K247" s="23" t="s">
        <v>34</v>
      </c>
      <c r="L247" s="23" t="s">
        <v>343</v>
      </c>
      <c r="M247" s="23" t="n">
        <v>24</v>
      </c>
      <c r="N247" s="23"/>
      <c r="O247" s="23" t="s">
        <v>1725</v>
      </c>
      <c r="P247" s="23"/>
      <c r="Q247" s="23"/>
      <c r="R247" s="23" t="s">
        <v>1726</v>
      </c>
      <c r="S247" s="23" t="s">
        <v>131</v>
      </c>
      <c r="T247" s="23" t="s">
        <v>67</v>
      </c>
      <c r="U247" s="23" t="s">
        <v>1727</v>
      </c>
      <c r="V247" s="23" t="n">
        <v>0</v>
      </c>
      <c r="W247" s="23" t="n">
        <v>0</v>
      </c>
      <c r="X247" s="23" t="n">
        <v>3</v>
      </c>
      <c r="Y247" s="23" t="n">
        <v>12.8</v>
      </c>
      <c r="Z247" s="23" t="n">
        <v>8.2</v>
      </c>
      <c r="AA247" s="23" t="n">
        <v>0</v>
      </c>
      <c r="AB247" s="23" t="n">
        <v>0</v>
      </c>
      <c r="AC247" s="23" t="n">
        <v>0</v>
      </c>
    </row>
    <row r="248" customFormat="false" ht="15" hidden="false" customHeight="false" outlineLevel="0" collapsed="false">
      <c r="A248" s="23" t="s">
        <v>1728</v>
      </c>
      <c r="B248" s="23" t="s">
        <v>1729</v>
      </c>
      <c r="C248" s="23" t="s">
        <v>1730</v>
      </c>
      <c r="D248" s="23" t="s">
        <v>1294</v>
      </c>
      <c r="E248" s="23" t="s">
        <v>352</v>
      </c>
      <c r="F248" s="23" t="s">
        <v>43</v>
      </c>
      <c r="G248" s="23"/>
      <c r="H248" s="23" t="s">
        <v>49</v>
      </c>
      <c r="I248" s="23" t="s">
        <v>100</v>
      </c>
      <c r="J248" s="23" t="s">
        <v>359</v>
      </c>
      <c r="K248" s="23" t="s">
        <v>23</v>
      </c>
      <c r="L248" s="23" t="s">
        <v>23</v>
      </c>
      <c r="M248" s="23" t="n">
        <v>20</v>
      </c>
      <c r="N248" s="23"/>
      <c r="O248" s="23" t="s">
        <v>1731</v>
      </c>
      <c r="P248" s="23" t="s">
        <v>1651</v>
      </c>
      <c r="Q248" s="23"/>
      <c r="R248" s="23"/>
      <c r="S248" s="23"/>
      <c r="T248" s="23" t="s">
        <v>522</v>
      </c>
      <c r="U248" s="23" t="s">
        <v>523</v>
      </c>
      <c r="V248" s="23" t="n">
        <v>20</v>
      </c>
      <c r="W248" s="23" t="n">
        <v>0</v>
      </c>
      <c r="X248" s="23" t="n">
        <v>0</v>
      </c>
      <c r="Y248" s="23" t="n">
        <v>0</v>
      </c>
      <c r="Z248" s="23" t="n">
        <v>0</v>
      </c>
      <c r="AA248" s="23" t="n">
        <v>0</v>
      </c>
      <c r="AB248" s="23" t="n">
        <v>0</v>
      </c>
      <c r="AC248" s="23" t="n">
        <v>0</v>
      </c>
    </row>
    <row r="249" customFormat="false" ht="15" hidden="false" customHeight="false" outlineLevel="0" collapsed="false">
      <c r="A249" s="23" t="s">
        <v>1732</v>
      </c>
      <c r="B249" s="23" t="s">
        <v>1733</v>
      </c>
      <c r="C249" s="23" t="s">
        <v>1734</v>
      </c>
      <c r="D249" s="23" t="s">
        <v>1294</v>
      </c>
      <c r="E249" s="23" t="s">
        <v>1309</v>
      </c>
      <c r="F249" s="23" t="s">
        <v>43</v>
      </c>
      <c r="G249" s="23"/>
      <c r="H249" s="23" t="s">
        <v>49</v>
      </c>
      <c r="I249" s="23" t="s">
        <v>100</v>
      </c>
      <c r="J249" s="23" t="s">
        <v>359</v>
      </c>
      <c r="K249" s="23" t="s">
        <v>34</v>
      </c>
      <c r="L249" s="23" t="s">
        <v>343</v>
      </c>
      <c r="M249" s="23" t="n">
        <v>18</v>
      </c>
      <c r="N249" s="23"/>
      <c r="O249" s="23" t="s">
        <v>1735</v>
      </c>
      <c r="P249" s="23" t="s">
        <v>1736</v>
      </c>
      <c r="Q249" s="23"/>
      <c r="R249" s="23" t="s">
        <v>568</v>
      </c>
      <c r="S249" s="23" t="s">
        <v>495</v>
      </c>
      <c r="T249" s="23" t="s">
        <v>67</v>
      </c>
      <c r="U249" s="23" t="s">
        <v>569</v>
      </c>
      <c r="V249" s="23" t="n">
        <v>0</v>
      </c>
      <c r="W249" s="23" t="n">
        <v>0</v>
      </c>
      <c r="X249" s="23" t="n">
        <v>10.2</v>
      </c>
      <c r="Y249" s="23" t="n">
        <v>7.8</v>
      </c>
      <c r="Z249" s="23" t="n">
        <v>0</v>
      </c>
      <c r="AA249" s="23" t="n">
        <v>0</v>
      </c>
      <c r="AB249" s="23" t="n">
        <v>0</v>
      </c>
      <c r="AC249" s="23" t="n">
        <v>0</v>
      </c>
    </row>
    <row r="250" customFormat="false" ht="15" hidden="false" customHeight="false" outlineLevel="0" collapsed="false">
      <c r="A250" s="23" t="s">
        <v>1737</v>
      </c>
      <c r="B250" s="23" t="s">
        <v>1738</v>
      </c>
      <c r="C250" s="23" t="s">
        <v>1739</v>
      </c>
      <c r="D250" s="23" t="s">
        <v>1294</v>
      </c>
      <c r="E250" s="23" t="s">
        <v>352</v>
      </c>
      <c r="F250" s="23" t="s">
        <v>43</v>
      </c>
      <c r="G250" s="23"/>
      <c r="H250" s="23" t="s">
        <v>49</v>
      </c>
      <c r="I250" s="23" t="s">
        <v>100</v>
      </c>
      <c r="J250" s="23" t="s">
        <v>359</v>
      </c>
      <c r="K250" s="23" t="s">
        <v>34</v>
      </c>
      <c r="L250" s="23" t="s">
        <v>727</v>
      </c>
      <c r="M250" s="23" t="n">
        <v>18</v>
      </c>
      <c r="N250" s="23"/>
      <c r="O250" s="23" t="s">
        <v>1740</v>
      </c>
      <c r="P250" s="23" t="s">
        <v>1741</v>
      </c>
      <c r="Q250" s="23"/>
      <c r="R250" s="23" t="s">
        <v>1051</v>
      </c>
      <c r="S250" s="23" t="s">
        <v>130</v>
      </c>
      <c r="T250" s="23" t="s">
        <v>67</v>
      </c>
      <c r="U250" s="23" t="s">
        <v>1742</v>
      </c>
      <c r="V250" s="23" t="n">
        <v>0</v>
      </c>
      <c r="W250" s="23" t="n">
        <v>4.2</v>
      </c>
      <c r="X250" s="23" t="n">
        <v>13.8</v>
      </c>
      <c r="Y250" s="23" t="n">
        <v>0</v>
      </c>
      <c r="Z250" s="23" t="n">
        <v>0</v>
      </c>
      <c r="AA250" s="23" t="n">
        <v>0</v>
      </c>
      <c r="AB250" s="23" t="n">
        <v>0</v>
      </c>
      <c r="AC250" s="23" t="n">
        <v>0</v>
      </c>
    </row>
    <row r="251" customFormat="false" ht="15" hidden="false" customHeight="false" outlineLevel="0" collapsed="false">
      <c r="A251" s="23" t="s">
        <v>1743</v>
      </c>
      <c r="B251" s="23" t="s">
        <v>1744</v>
      </c>
      <c r="C251" s="23" t="s">
        <v>1745</v>
      </c>
      <c r="D251" s="23" t="s">
        <v>1294</v>
      </c>
      <c r="E251" s="23" t="s">
        <v>1328</v>
      </c>
      <c r="F251" s="23" t="s">
        <v>43</v>
      </c>
      <c r="G251" s="23"/>
      <c r="H251" s="23" t="s">
        <v>49</v>
      </c>
      <c r="I251" s="23" t="s">
        <v>100</v>
      </c>
      <c r="J251" s="23" t="s">
        <v>359</v>
      </c>
      <c r="K251" s="23" t="s">
        <v>34</v>
      </c>
      <c r="L251" s="23" t="s">
        <v>1239</v>
      </c>
      <c r="M251" s="23" t="n">
        <v>16</v>
      </c>
      <c r="N251" s="23"/>
      <c r="O251" s="23" t="s">
        <v>1746</v>
      </c>
      <c r="P251" s="23" t="s">
        <v>1747</v>
      </c>
      <c r="Q251" s="23"/>
      <c r="R251" s="23" t="s">
        <v>1241</v>
      </c>
      <c r="S251" s="23" t="s">
        <v>130</v>
      </c>
      <c r="T251" s="23" t="s">
        <v>67</v>
      </c>
      <c r="U251" s="23" t="s">
        <v>1748</v>
      </c>
      <c r="V251" s="23" t="n">
        <v>0</v>
      </c>
      <c r="W251" s="23" t="n">
        <v>3.7</v>
      </c>
      <c r="X251" s="23" t="n">
        <v>12.3</v>
      </c>
      <c r="Y251" s="23" t="n">
        <v>0</v>
      </c>
      <c r="Z251" s="23" t="n">
        <v>0</v>
      </c>
      <c r="AA251" s="23" t="n">
        <v>0</v>
      </c>
      <c r="AB251" s="23" t="n">
        <v>0</v>
      </c>
      <c r="AC251" s="23" t="n">
        <v>0</v>
      </c>
    </row>
    <row r="252" customFormat="false" ht="15" hidden="false" customHeight="false" outlineLevel="0" collapsed="false">
      <c r="A252" s="23" t="s">
        <v>1749</v>
      </c>
      <c r="B252" s="23" t="s">
        <v>1750</v>
      </c>
      <c r="C252" s="23" t="s">
        <v>1751</v>
      </c>
      <c r="D252" s="23" t="s">
        <v>1294</v>
      </c>
      <c r="E252" s="23" t="s">
        <v>352</v>
      </c>
      <c r="F252" s="23" t="s">
        <v>43</v>
      </c>
      <c r="G252" s="23"/>
      <c r="H252" s="23" t="s">
        <v>49</v>
      </c>
      <c r="I252" s="23" t="s">
        <v>100</v>
      </c>
      <c r="J252" s="23" t="s">
        <v>333</v>
      </c>
      <c r="K252" s="23" t="s">
        <v>34</v>
      </c>
      <c r="L252" s="23" t="s">
        <v>343</v>
      </c>
      <c r="M252" s="23" t="n">
        <v>14</v>
      </c>
      <c r="N252" s="23"/>
      <c r="O252" s="23" t="s">
        <v>1335</v>
      </c>
      <c r="P252" s="23" t="s">
        <v>786</v>
      </c>
      <c r="Q252" s="23" t="s">
        <v>1752</v>
      </c>
      <c r="R252" s="23" t="s">
        <v>414</v>
      </c>
      <c r="S252" s="23" t="s">
        <v>130</v>
      </c>
      <c r="T252" s="23" t="s">
        <v>67</v>
      </c>
      <c r="U252" s="23" t="s">
        <v>416</v>
      </c>
      <c r="V252" s="23" t="n">
        <v>0</v>
      </c>
      <c r="W252" s="23" t="n">
        <v>3.3</v>
      </c>
      <c r="X252" s="23" t="n">
        <v>10.7</v>
      </c>
      <c r="Y252" s="23" t="n">
        <v>0</v>
      </c>
      <c r="Z252" s="23" t="n">
        <v>0</v>
      </c>
      <c r="AA252" s="23" t="n">
        <v>0</v>
      </c>
      <c r="AB252" s="23" t="n">
        <v>0</v>
      </c>
      <c r="AC252" s="23" t="n">
        <v>0</v>
      </c>
    </row>
    <row r="253" customFormat="false" ht="15" hidden="false" customHeight="false" outlineLevel="0" collapsed="false">
      <c r="A253" s="23" t="s">
        <v>1753</v>
      </c>
      <c r="B253" s="23" t="s">
        <v>1754</v>
      </c>
      <c r="C253" s="23" t="s">
        <v>1018</v>
      </c>
      <c r="D253" s="23" t="s">
        <v>1294</v>
      </c>
      <c r="E253" s="23" t="s">
        <v>352</v>
      </c>
      <c r="F253" s="23" t="s">
        <v>43</v>
      </c>
      <c r="G253" s="23"/>
      <c r="H253" s="23" t="s">
        <v>49</v>
      </c>
      <c r="I253" s="23" t="s">
        <v>100</v>
      </c>
      <c r="J253" s="23" t="s">
        <v>359</v>
      </c>
      <c r="K253" s="23" t="s">
        <v>23</v>
      </c>
      <c r="L253" s="23" t="s">
        <v>23</v>
      </c>
      <c r="M253" s="23" t="n">
        <v>12</v>
      </c>
      <c r="N253" s="23"/>
      <c r="O253" s="23" t="s">
        <v>1755</v>
      </c>
      <c r="P253" s="23" t="s">
        <v>1756</v>
      </c>
      <c r="Q253" s="23"/>
      <c r="R253" s="23"/>
      <c r="S253" s="23"/>
      <c r="T253" s="23" t="s">
        <v>522</v>
      </c>
      <c r="U253" s="23" t="s">
        <v>523</v>
      </c>
      <c r="V253" s="23" t="n">
        <v>12</v>
      </c>
      <c r="W253" s="23" t="n">
        <v>0</v>
      </c>
      <c r="X253" s="23" t="n">
        <v>0</v>
      </c>
      <c r="Y253" s="23" t="n">
        <v>0</v>
      </c>
      <c r="Z253" s="23" t="n">
        <v>0</v>
      </c>
      <c r="AA253" s="23" t="n">
        <v>0</v>
      </c>
      <c r="AB253" s="23" t="n">
        <v>0</v>
      </c>
      <c r="AC253" s="23" t="n">
        <v>0</v>
      </c>
    </row>
    <row r="254" customFormat="false" ht="15" hidden="false" customHeight="false" outlineLevel="0" collapsed="false">
      <c r="A254" s="23" t="s">
        <v>1757</v>
      </c>
      <c r="B254" s="23" t="s">
        <v>1758</v>
      </c>
      <c r="C254" s="23" t="s">
        <v>1759</v>
      </c>
      <c r="D254" s="23" t="s">
        <v>1294</v>
      </c>
      <c r="E254" s="23" t="s">
        <v>352</v>
      </c>
      <c r="F254" s="23" t="s">
        <v>43</v>
      </c>
      <c r="G254" s="23"/>
      <c r="H254" s="23" t="s">
        <v>49</v>
      </c>
      <c r="I254" s="23" t="s">
        <v>100</v>
      </c>
      <c r="J254" s="23" t="s">
        <v>359</v>
      </c>
      <c r="K254" s="23" t="s">
        <v>35</v>
      </c>
      <c r="L254" s="23" t="s">
        <v>176</v>
      </c>
      <c r="M254" s="23" t="n">
        <v>12</v>
      </c>
      <c r="N254" s="23"/>
      <c r="O254" s="23" t="s">
        <v>1287</v>
      </c>
      <c r="P254" s="23"/>
      <c r="Q254" s="23"/>
      <c r="R254" s="23" t="s">
        <v>126</v>
      </c>
      <c r="S254" s="23" t="s">
        <v>116</v>
      </c>
      <c r="T254" s="23" t="s">
        <v>69</v>
      </c>
      <c r="U254" s="23" t="s">
        <v>1760</v>
      </c>
      <c r="V254" s="23" t="n">
        <v>0</v>
      </c>
      <c r="W254" s="23" t="n">
        <v>0</v>
      </c>
      <c r="X254" s="23" t="n">
        <v>0</v>
      </c>
      <c r="Y254" s="23" t="n">
        <v>7</v>
      </c>
      <c r="Z254" s="23" t="n">
        <v>5</v>
      </c>
      <c r="AA254" s="23" t="n">
        <v>0</v>
      </c>
      <c r="AB254" s="23" t="n">
        <v>0</v>
      </c>
      <c r="AC254" s="23" t="n">
        <v>0</v>
      </c>
    </row>
    <row r="255" customFormat="false" ht="15" hidden="false" customHeight="false" outlineLevel="0" collapsed="false">
      <c r="A255" s="23" t="s">
        <v>1761</v>
      </c>
      <c r="B255" s="23" t="s">
        <v>1762</v>
      </c>
      <c r="C255" s="23" t="s">
        <v>1763</v>
      </c>
      <c r="D255" s="23" t="s">
        <v>1294</v>
      </c>
      <c r="E255" s="23" t="s">
        <v>1295</v>
      </c>
      <c r="F255" s="23" t="s">
        <v>43</v>
      </c>
      <c r="G255" s="23"/>
      <c r="H255" s="23" t="s">
        <v>49</v>
      </c>
      <c r="I255" s="23" t="s">
        <v>100</v>
      </c>
      <c r="J255" s="23" t="s">
        <v>359</v>
      </c>
      <c r="K255" s="23" t="s">
        <v>34</v>
      </c>
      <c r="L255" s="23" t="s">
        <v>343</v>
      </c>
      <c r="M255" s="23" t="n">
        <v>11</v>
      </c>
      <c r="N255" s="23"/>
      <c r="O255" s="23"/>
      <c r="P255" s="23" t="s">
        <v>1764</v>
      </c>
      <c r="Q255" s="23"/>
      <c r="R255" s="23" t="s">
        <v>123</v>
      </c>
      <c r="S255" s="23" t="s">
        <v>130</v>
      </c>
      <c r="T255" s="23" t="s">
        <v>67</v>
      </c>
      <c r="U255" s="23" t="s">
        <v>1765</v>
      </c>
      <c r="V255" s="23" t="n">
        <v>0</v>
      </c>
      <c r="W255" s="23" t="n">
        <v>2.6</v>
      </c>
      <c r="X255" s="23" t="n">
        <v>8.4</v>
      </c>
      <c r="Y255" s="23" t="n">
        <v>0</v>
      </c>
      <c r="Z255" s="23" t="n">
        <v>0</v>
      </c>
      <c r="AA255" s="23" t="n">
        <v>0</v>
      </c>
      <c r="AB255" s="23" t="n">
        <v>0</v>
      </c>
      <c r="AC255" s="23" t="n">
        <v>0</v>
      </c>
    </row>
    <row r="256" customFormat="false" ht="15" hidden="false" customHeight="false" outlineLevel="0" collapsed="false">
      <c r="A256" s="23" t="s">
        <v>1766</v>
      </c>
      <c r="B256" s="23" t="s">
        <v>1767</v>
      </c>
      <c r="C256" s="23" t="s">
        <v>1768</v>
      </c>
      <c r="D256" s="23" t="s">
        <v>1294</v>
      </c>
      <c r="E256" s="23" t="s">
        <v>352</v>
      </c>
      <c r="F256" s="23" t="s">
        <v>43</v>
      </c>
      <c r="G256" s="23"/>
      <c r="H256" s="23" t="s">
        <v>49</v>
      </c>
      <c r="I256" s="23" t="s">
        <v>100</v>
      </c>
      <c r="J256" s="23" t="s">
        <v>359</v>
      </c>
      <c r="K256" s="23" t="s">
        <v>23</v>
      </c>
      <c r="L256" s="23" t="s">
        <v>23</v>
      </c>
      <c r="M256" s="23" t="n">
        <v>10</v>
      </c>
      <c r="N256" s="23"/>
      <c r="O256" s="23" t="s">
        <v>1769</v>
      </c>
      <c r="P256" s="23" t="s">
        <v>1770</v>
      </c>
      <c r="Q256" s="23"/>
      <c r="R256" s="23"/>
      <c r="S256" s="23"/>
      <c r="T256" s="23" t="s">
        <v>522</v>
      </c>
      <c r="U256" s="23" t="s">
        <v>523</v>
      </c>
      <c r="V256" s="23" t="n">
        <v>10</v>
      </c>
      <c r="W256" s="23" t="n">
        <v>0</v>
      </c>
      <c r="X256" s="23" t="n">
        <v>0</v>
      </c>
      <c r="Y256" s="23" t="n">
        <v>0</v>
      </c>
      <c r="Z256" s="23" t="n">
        <v>0</v>
      </c>
      <c r="AA256" s="23" t="n">
        <v>0</v>
      </c>
      <c r="AB256" s="23" t="n">
        <v>0</v>
      </c>
      <c r="AC256" s="23" t="n">
        <v>0</v>
      </c>
    </row>
    <row r="257" customFormat="false" ht="15" hidden="false" customHeight="false" outlineLevel="0" collapsed="false">
      <c r="A257" s="23" t="s">
        <v>1771</v>
      </c>
      <c r="B257" s="23" t="s">
        <v>1772</v>
      </c>
      <c r="C257" s="23" t="s">
        <v>1773</v>
      </c>
      <c r="D257" s="23" t="s">
        <v>1294</v>
      </c>
      <c r="E257" s="23" t="s">
        <v>352</v>
      </c>
      <c r="F257" s="23" t="s">
        <v>43</v>
      </c>
      <c r="G257" s="23"/>
      <c r="H257" s="23" t="s">
        <v>49</v>
      </c>
      <c r="I257" s="23" t="s">
        <v>100</v>
      </c>
      <c r="J257" s="23" t="s">
        <v>359</v>
      </c>
      <c r="K257" s="23" t="s">
        <v>34</v>
      </c>
      <c r="L257" s="23" t="s">
        <v>343</v>
      </c>
      <c r="M257" s="23" t="n">
        <v>10</v>
      </c>
      <c r="N257" s="23"/>
      <c r="O257" s="23" t="s">
        <v>520</v>
      </c>
      <c r="P257" s="23" t="s">
        <v>1774</v>
      </c>
      <c r="Q257" s="23"/>
      <c r="R257" s="23" t="s">
        <v>927</v>
      </c>
      <c r="S257" s="23" t="s">
        <v>130</v>
      </c>
      <c r="T257" s="23" t="s">
        <v>67</v>
      </c>
      <c r="U257" s="23" t="s">
        <v>1173</v>
      </c>
      <c r="V257" s="23" t="n">
        <v>0</v>
      </c>
      <c r="W257" s="23" t="n">
        <v>2.3</v>
      </c>
      <c r="X257" s="23" t="n">
        <v>7.7</v>
      </c>
      <c r="Y257" s="23" t="n">
        <v>0</v>
      </c>
      <c r="Z257" s="23" t="n">
        <v>0</v>
      </c>
      <c r="AA257" s="23" t="n">
        <v>0</v>
      </c>
      <c r="AB257" s="23" t="n">
        <v>0</v>
      </c>
      <c r="AC257" s="23" t="n">
        <v>0</v>
      </c>
    </row>
    <row r="258" customFormat="false" ht="15" hidden="false" customHeight="false" outlineLevel="0" collapsed="false">
      <c r="A258" s="23" t="s">
        <v>1775</v>
      </c>
      <c r="B258" s="23" t="s">
        <v>1776</v>
      </c>
      <c r="C258" s="23" t="s">
        <v>1777</v>
      </c>
      <c r="D258" s="23" t="s">
        <v>1294</v>
      </c>
      <c r="E258" s="23" t="s">
        <v>352</v>
      </c>
      <c r="F258" s="23" t="s">
        <v>43</v>
      </c>
      <c r="G258" s="23"/>
      <c r="H258" s="23" t="s">
        <v>49</v>
      </c>
      <c r="I258" s="23" t="s">
        <v>100</v>
      </c>
      <c r="J258" s="23" t="s">
        <v>359</v>
      </c>
      <c r="K258" s="23" t="s">
        <v>34</v>
      </c>
      <c r="L258" s="23" t="s">
        <v>343</v>
      </c>
      <c r="M258" s="23" t="n">
        <v>9</v>
      </c>
      <c r="N258" s="23"/>
      <c r="O258" s="23" t="s">
        <v>1778</v>
      </c>
      <c r="P258" s="23" t="s">
        <v>1779</v>
      </c>
      <c r="Q258" s="23"/>
      <c r="R258" s="23" t="s">
        <v>1051</v>
      </c>
      <c r="S258" s="23" t="s">
        <v>130</v>
      </c>
      <c r="T258" s="23" t="s">
        <v>67</v>
      </c>
      <c r="U258" s="23" t="s">
        <v>1780</v>
      </c>
      <c r="V258" s="23" t="n">
        <v>0</v>
      </c>
      <c r="W258" s="23" t="n">
        <v>2.1</v>
      </c>
      <c r="X258" s="23" t="n">
        <v>6.9</v>
      </c>
      <c r="Y258" s="23" t="n">
        <v>0</v>
      </c>
      <c r="Z258" s="23" t="n">
        <v>0</v>
      </c>
      <c r="AA258" s="23" t="n">
        <v>0</v>
      </c>
      <c r="AB258" s="23" t="n">
        <v>0</v>
      </c>
      <c r="AC258" s="23" t="n">
        <v>0</v>
      </c>
    </row>
    <row r="259" customFormat="false" ht="15" hidden="false" customHeight="false" outlineLevel="0" collapsed="false">
      <c r="A259" s="23" t="s">
        <v>1781</v>
      </c>
      <c r="B259" s="23" t="s">
        <v>1782</v>
      </c>
      <c r="C259" s="23" t="s">
        <v>1783</v>
      </c>
      <c r="D259" s="23" t="s">
        <v>1294</v>
      </c>
      <c r="E259" s="23" t="s">
        <v>1322</v>
      </c>
      <c r="F259" s="23" t="s">
        <v>43</v>
      </c>
      <c r="G259" s="23"/>
      <c r="H259" s="23" t="s">
        <v>49</v>
      </c>
      <c r="I259" s="23" t="s">
        <v>100</v>
      </c>
      <c r="J259" s="23" t="s">
        <v>359</v>
      </c>
      <c r="K259" s="23" t="s">
        <v>35</v>
      </c>
      <c r="L259" s="23" t="s">
        <v>176</v>
      </c>
      <c r="M259" s="23" t="n">
        <v>7</v>
      </c>
      <c r="N259" s="23"/>
      <c r="O259" s="23" t="s">
        <v>1784</v>
      </c>
      <c r="P259" s="23"/>
      <c r="Q259" s="23"/>
      <c r="R259" s="23" t="s">
        <v>126</v>
      </c>
      <c r="S259" s="23" t="s">
        <v>116</v>
      </c>
      <c r="T259" s="23" t="s">
        <v>69</v>
      </c>
      <c r="U259" s="23" t="s">
        <v>1785</v>
      </c>
      <c r="V259" s="23" t="n">
        <v>0</v>
      </c>
      <c r="W259" s="23" t="n">
        <v>0</v>
      </c>
      <c r="X259" s="23" t="n">
        <v>0</v>
      </c>
      <c r="Y259" s="23" t="n">
        <v>4.4</v>
      </c>
      <c r="Z259" s="23" t="n">
        <v>2.6</v>
      </c>
      <c r="AA259" s="23" t="n">
        <v>0</v>
      </c>
      <c r="AB259" s="23" t="n">
        <v>0</v>
      </c>
      <c r="AC259" s="23" t="n">
        <v>0</v>
      </c>
    </row>
    <row r="260" customFormat="false" ht="15" hidden="false" customHeight="false" outlineLevel="0" collapsed="false">
      <c r="A260" s="23" t="s">
        <v>1786</v>
      </c>
      <c r="B260" s="23" t="s">
        <v>1787</v>
      </c>
      <c r="C260" s="23" t="s">
        <v>1788</v>
      </c>
      <c r="D260" s="23" t="s">
        <v>1294</v>
      </c>
      <c r="E260" s="23" t="s">
        <v>352</v>
      </c>
      <c r="F260" s="23" t="s">
        <v>43</v>
      </c>
      <c r="G260" s="23"/>
      <c r="H260" s="23" t="s">
        <v>49</v>
      </c>
      <c r="I260" s="23" t="s">
        <v>100</v>
      </c>
      <c r="J260" s="23" t="s">
        <v>333</v>
      </c>
      <c r="K260" s="23" t="s">
        <v>23</v>
      </c>
      <c r="L260" s="23" t="s">
        <v>23</v>
      </c>
      <c r="M260" s="23" t="n">
        <v>5</v>
      </c>
      <c r="N260" s="23"/>
      <c r="O260" s="23" t="s">
        <v>1789</v>
      </c>
      <c r="P260" s="23" t="s">
        <v>1790</v>
      </c>
      <c r="Q260" s="23" t="s">
        <v>1791</v>
      </c>
      <c r="R260" s="23"/>
      <c r="S260" s="23"/>
      <c r="T260" s="23" t="s">
        <v>522</v>
      </c>
      <c r="U260" s="23" t="s">
        <v>523</v>
      </c>
      <c r="V260" s="23" t="n">
        <v>5</v>
      </c>
      <c r="W260" s="23" t="n">
        <v>0</v>
      </c>
      <c r="X260" s="23" t="n">
        <v>0</v>
      </c>
      <c r="Y260" s="23" t="n">
        <v>0</v>
      </c>
      <c r="Z260" s="23" t="n">
        <v>0</v>
      </c>
      <c r="AA260" s="23" t="n">
        <v>0</v>
      </c>
      <c r="AB260" s="23" t="n">
        <v>0</v>
      </c>
      <c r="AC260" s="23" t="n">
        <v>0</v>
      </c>
    </row>
    <row r="261" customFormat="false" ht="15" hidden="false" customHeight="false" outlineLevel="0" collapsed="false">
      <c r="A261" s="23" t="s">
        <v>1792</v>
      </c>
      <c r="B261" s="23" t="s">
        <v>1793</v>
      </c>
      <c r="C261" s="23" t="s">
        <v>1794</v>
      </c>
      <c r="D261" s="23" t="s">
        <v>1294</v>
      </c>
      <c r="E261" s="23" t="s">
        <v>1316</v>
      </c>
      <c r="F261" s="23" t="s">
        <v>43</v>
      </c>
      <c r="G261" s="23"/>
      <c r="H261" s="23" t="s">
        <v>49</v>
      </c>
      <c r="I261" s="23" t="s">
        <v>100</v>
      </c>
      <c r="J261" s="23" t="s">
        <v>359</v>
      </c>
      <c r="K261" s="23" t="s">
        <v>34</v>
      </c>
      <c r="L261" s="23" t="s">
        <v>377</v>
      </c>
      <c r="M261" s="23" t="n">
        <v>4</v>
      </c>
      <c r="N261" s="23"/>
      <c r="O261" s="23" t="s">
        <v>1282</v>
      </c>
      <c r="P261" s="23" t="s">
        <v>1795</v>
      </c>
      <c r="Q261" s="23"/>
      <c r="R261" s="23" t="s">
        <v>1075</v>
      </c>
      <c r="S261" s="23" t="s">
        <v>130</v>
      </c>
      <c r="T261" s="23" t="s">
        <v>67</v>
      </c>
      <c r="U261" s="23" t="s">
        <v>1076</v>
      </c>
      <c r="V261" s="23" t="n">
        <v>0</v>
      </c>
      <c r="W261" s="23" t="n">
        <v>0.9</v>
      </c>
      <c r="X261" s="23" t="n">
        <v>3.1</v>
      </c>
      <c r="Y261" s="23" t="n">
        <v>0</v>
      </c>
      <c r="Z261" s="23" t="n">
        <v>0</v>
      </c>
      <c r="AA261" s="23" t="n">
        <v>0</v>
      </c>
      <c r="AB261" s="23" t="n">
        <v>0</v>
      </c>
      <c r="AC261" s="23" t="n">
        <v>0</v>
      </c>
    </row>
    <row r="262" customFormat="false" ht="15" hidden="false" customHeight="false" outlineLevel="0" collapsed="false">
      <c r="A262" s="23" t="s">
        <v>1796</v>
      </c>
      <c r="B262" s="23" t="s">
        <v>1797</v>
      </c>
      <c r="C262" s="23" t="s">
        <v>1798</v>
      </c>
      <c r="D262" s="23" t="s">
        <v>1294</v>
      </c>
      <c r="E262" s="23" t="s">
        <v>352</v>
      </c>
      <c r="F262" s="23" t="s">
        <v>43</v>
      </c>
      <c r="G262" s="23"/>
      <c r="H262" s="23" t="s">
        <v>49</v>
      </c>
      <c r="I262" s="23" t="s">
        <v>100</v>
      </c>
      <c r="J262" s="23" t="s">
        <v>359</v>
      </c>
      <c r="K262" s="23" t="s">
        <v>35</v>
      </c>
      <c r="L262" s="23" t="s">
        <v>377</v>
      </c>
      <c r="M262" s="23" t="n">
        <v>4</v>
      </c>
      <c r="N262" s="23"/>
      <c r="O262" s="23" t="s">
        <v>720</v>
      </c>
      <c r="P262" s="23"/>
      <c r="Q262" s="23"/>
      <c r="R262" s="23" t="s">
        <v>115</v>
      </c>
      <c r="S262" s="23" t="s">
        <v>337</v>
      </c>
      <c r="T262" s="23" t="s">
        <v>68</v>
      </c>
      <c r="U262" s="23" t="s">
        <v>379</v>
      </c>
      <c r="V262" s="23" t="n">
        <v>0</v>
      </c>
      <c r="W262" s="23" t="n">
        <v>0</v>
      </c>
      <c r="X262" s="23" t="n">
        <v>0</v>
      </c>
      <c r="Y262" s="23" t="n">
        <v>3.5</v>
      </c>
      <c r="Z262" s="23" t="n">
        <v>0.5</v>
      </c>
      <c r="AA262" s="23" t="n">
        <v>0</v>
      </c>
      <c r="AB262" s="23" t="n">
        <v>0</v>
      </c>
      <c r="AC262" s="23" t="n">
        <v>0</v>
      </c>
    </row>
    <row r="263" customFormat="false" ht="15" hidden="false" customHeight="false" outlineLevel="0" collapsed="false">
      <c r="A263" s="23" t="s">
        <v>1799</v>
      </c>
      <c r="B263" s="23" t="s">
        <v>1800</v>
      </c>
      <c r="C263" s="23" t="s">
        <v>1801</v>
      </c>
      <c r="D263" s="23" t="s">
        <v>1294</v>
      </c>
      <c r="E263" s="23" t="s">
        <v>352</v>
      </c>
      <c r="F263" s="23" t="s">
        <v>43</v>
      </c>
      <c r="G263" s="23"/>
      <c r="H263" s="23" t="s">
        <v>49</v>
      </c>
      <c r="I263" s="23" t="s">
        <v>100</v>
      </c>
      <c r="J263" s="23" t="s">
        <v>359</v>
      </c>
      <c r="K263" s="23" t="s">
        <v>39</v>
      </c>
      <c r="L263" s="23" t="s">
        <v>383</v>
      </c>
      <c r="M263" s="23" t="n">
        <v>4</v>
      </c>
      <c r="N263" s="23"/>
      <c r="O263" s="23"/>
      <c r="P263" s="23"/>
      <c r="Q263" s="23"/>
      <c r="R263" s="23"/>
      <c r="S263" s="23"/>
      <c r="T263" s="23" t="s">
        <v>134</v>
      </c>
      <c r="U263" s="23" t="s">
        <v>384</v>
      </c>
      <c r="V263" s="23" t="n">
        <v>0</v>
      </c>
      <c r="W263" s="23" t="n">
        <v>0</v>
      </c>
      <c r="X263" s="23" t="n">
        <v>0</v>
      </c>
      <c r="Y263" s="23" t="n">
        <v>0</v>
      </c>
      <c r="Z263" s="23" t="n">
        <v>0</v>
      </c>
      <c r="AA263" s="23" t="n">
        <v>0</v>
      </c>
      <c r="AB263" s="23" t="n">
        <v>0</v>
      </c>
      <c r="AC263" s="23" t="n">
        <v>4</v>
      </c>
    </row>
    <row r="264" customFormat="false" ht="15" hidden="false" customHeight="false" outlineLevel="0" collapsed="false">
      <c r="A264" s="23" t="s">
        <v>1802</v>
      </c>
      <c r="B264" s="23" t="s">
        <v>1803</v>
      </c>
      <c r="C264" s="23" t="s">
        <v>1804</v>
      </c>
      <c r="D264" s="23" t="s">
        <v>1294</v>
      </c>
      <c r="E264" s="23" t="s">
        <v>352</v>
      </c>
      <c r="F264" s="23" t="s">
        <v>43</v>
      </c>
      <c r="G264" s="23"/>
      <c r="H264" s="23" t="s">
        <v>49</v>
      </c>
      <c r="I264" s="23" t="s">
        <v>100</v>
      </c>
      <c r="J264" s="23" t="s">
        <v>359</v>
      </c>
      <c r="K264" s="23" t="s">
        <v>35</v>
      </c>
      <c r="L264" s="23" t="s">
        <v>377</v>
      </c>
      <c r="M264" s="23" t="n">
        <v>3</v>
      </c>
      <c r="N264" s="23"/>
      <c r="O264" s="23" t="s">
        <v>1805</v>
      </c>
      <c r="P264" s="23"/>
      <c r="Q264" s="23"/>
      <c r="R264" s="23" t="s">
        <v>115</v>
      </c>
      <c r="S264" s="23" t="s">
        <v>337</v>
      </c>
      <c r="T264" s="23" t="s">
        <v>68</v>
      </c>
      <c r="U264" s="23" t="s">
        <v>379</v>
      </c>
      <c r="V264" s="23" t="n">
        <v>0</v>
      </c>
      <c r="W264" s="23" t="n">
        <v>0</v>
      </c>
      <c r="X264" s="23" t="n">
        <v>0</v>
      </c>
      <c r="Y264" s="23" t="n">
        <v>2.6</v>
      </c>
      <c r="Z264" s="23" t="n">
        <v>0.4</v>
      </c>
      <c r="AA264" s="23" t="n">
        <v>0</v>
      </c>
      <c r="AB264" s="23" t="n">
        <v>0</v>
      </c>
      <c r="AC264" s="23" t="n">
        <v>0</v>
      </c>
    </row>
  </sheetData>
  <autoFilter ref="A1:AC2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1806</v>
      </c>
    </row>
    <row r="2" customFormat="false" ht="15" hidden="false" customHeight="false" outlineLevel="0" collapsed="false">
      <c r="A2" s="2" t="s">
        <v>1807</v>
      </c>
    </row>
    <row r="4" customFormat="false" ht="54" hidden="false" customHeight="true" outlineLevel="0" collapsed="false">
      <c r="A4" s="3" t="s">
        <v>1808</v>
      </c>
      <c r="B4" s="4" t="s">
        <v>1809</v>
      </c>
      <c r="C4" s="4" t="s">
        <v>1810</v>
      </c>
      <c r="D4" s="4" t="s">
        <v>1811</v>
      </c>
      <c r="E4" s="4" t="s">
        <v>1812</v>
      </c>
      <c r="F4" s="4" t="s">
        <v>1813</v>
      </c>
      <c r="G4" s="4" t="s">
        <v>1814</v>
      </c>
      <c r="H4" s="4" t="s">
        <v>1815</v>
      </c>
      <c r="I4" s="4" t="s">
        <v>1816</v>
      </c>
      <c r="J4" s="4" t="s">
        <v>1817</v>
      </c>
      <c r="K4" s="4" t="s">
        <v>1818</v>
      </c>
      <c r="L4" s="4" t="s">
        <v>1819</v>
      </c>
    </row>
    <row r="5" customFormat="false" ht="15" hidden="false" customHeight="false" outlineLevel="0" collapsed="false">
      <c r="A5" s="11" t="s">
        <v>1820</v>
      </c>
      <c r="B5" s="12" t="n">
        <v>224</v>
      </c>
      <c r="C5" s="12" t="n">
        <v>575</v>
      </c>
      <c r="D5" s="12" t="n">
        <v>89</v>
      </c>
      <c r="E5" s="12" t="n">
        <v>888</v>
      </c>
      <c r="F5" s="12" t="n">
        <v>276</v>
      </c>
      <c r="G5" s="12" t="n">
        <v>114</v>
      </c>
      <c r="H5" s="12" t="n">
        <v>91</v>
      </c>
      <c r="I5" s="12" t="n">
        <v>372</v>
      </c>
      <c r="J5" s="12" t="n">
        <v>490</v>
      </c>
      <c r="K5" s="12" t="n">
        <v>1343</v>
      </c>
      <c r="L5" s="17" t="n">
        <f aca="false">E5-K5</f>
        <v>-455</v>
      </c>
    </row>
    <row r="6" customFormat="false" ht="15" hidden="false" customHeight="false" outlineLevel="0" collapsed="false">
      <c r="A6" s="11" t="s">
        <v>1821</v>
      </c>
      <c r="B6" s="12" t="n">
        <v>229</v>
      </c>
      <c r="C6" s="12" t="n">
        <v>452</v>
      </c>
      <c r="D6" s="12" t="n">
        <v>155</v>
      </c>
      <c r="E6" s="12" t="n">
        <v>836</v>
      </c>
      <c r="F6" s="12" t="n">
        <v>285</v>
      </c>
      <c r="G6" s="12" t="n">
        <v>111</v>
      </c>
      <c r="H6" s="12" t="n">
        <v>67</v>
      </c>
      <c r="I6" s="12" t="n">
        <v>86</v>
      </c>
      <c r="J6" s="12" t="n">
        <v>474</v>
      </c>
      <c r="K6" s="12" t="n">
        <v>1023</v>
      </c>
      <c r="L6" s="17" t="n">
        <f aca="false">E6-K6</f>
        <v>-187</v>
      </c>
    </row>
    <row r="7" customFormat="false" ht="15" hidden="false" customHeight="false" outlineLevel="0" collapsed="false">
      <c r="A7" s="11" t="s">
        <v>1822</v>
      </c>
      <c r="B7" s="12" t="n">
        <v>225</v>
      </c>
      <c r="C7" s="12" t="n">
        <v>308</v>
      </c>
      <c r="D7" s="12" t="n">
        <v>248</v>
      </c>
      <c r="E7" s="12" t="n">
        <v>781</v>
      </c>
      <c r="F7" s="12" t="n">
        <v>253</v>
      </c>
      <c r="G7" s="12" t="n">
        <v>83</v>
      </c>
      <c r="H7" s="12" t="n">
        <v>77</v>
      </c>
      <c r="I7" s="12" t="n">
        <v>219</v>
      </c>
      <c r="J7" s="12" t="n">
        <v>390</v>
      </c>
      <c r="K7" s="12" t="n">
        <v>1022</v>
      </c>
      <c r="L7" s="17" t="n">
        <f aca="false">E7-K7</f>
        <v>-241</v>
      </c>
    </row>
    <row r="8" customFormat="false" ht="15" hidden="false" customHeight="false" outlineLevel="0" collapsed="false">
      <c r="A8" s="11" t="s">
        <v>1823</v>
      </c>
      <c r="B8" s="12" t="n">
        <v>368</v>
      </c>
      <c r="C8" s="12" t="n">
        <v>288</v>
      </c>
      <c r="D8" s="12" t="n">
        <v>403</v>
      </c>
      <c r="E8" s="12" t="n">
        <v>1059</v>
      </c>
      <c r="F8" s="12" t="n">
        <v>445</v>
      </c>
      <c r="G8" s="12" t="n">
        <v>99</v>
      </c>
      <c r="H8" s="12" t="n">
        <v>41</v>
      </c>
      <c r="I8" s="12" t="n">
        <v>0</v>
      </c>
      <c r="J8" s="12" t="n">
        <v>592</v>
      </c>
      <c r="K8" s="12" t="n">
        <v>1177</v>
      </c>
      <c r="L8" s="17" t="n">
        <f aca="false">E8-K8</f>
        <v>-118</v>
      </c>
    </row>
    <row r="9" customFormat="false" ht="15" hidden="false" customHeight="false" outlineLevel="0" collapsed="false">
      <c r="A9" s="11" t="s">
        <v>1824</v>
      </c>
      <c r="B9" s="12" t="n">
        <v>402</v>
      </c>
      <c r="C9" s="12" t="n">
        <v>688</v>
      </c>
      <c r="D9" s="12" t="n">
        <v>718</v>
      </c>
      <c r="E9" s="12" t="n">
        <v>1808</v>
      </c>
      <c r="F9" s="12" t="n">
        <v>401</v>
      </c>
      <c r="G9" s="12" t="n">
        <v>173</v>
      </c>
      <c r="H9" s="12" t="n">
        <v>83</v>
      </c>
      <c r="I9" s="12" t="n">
        <v>35</v>
      </c>
      <c r="J9" s="12" t="n">
        <v>1215</v>
      </c>
      <c r="K9" s="12" t="n">
        <v>1907</v>
      </c>
      <c r="L9" s="17" t="n">
        <f aca="false">E9-K9</f>
        <v>-99</v>
      </c>
    </row>
    <row r="10" customFormat="false" ht="15" hidden="false" customHeight="false" outlineLevel="0" collapsed="false">
      <c r="A10" s="11" t="s">
        <v>1825</v>
      </c>
      <c r="B10" s="12" t="n">
        <v>182</v>
      </c>
      <c r="C10" s="12" t="n">
        <v>427</v>
      </c>
      <c r="D10" s="12" t="n">
        <v>433</v>
      </c>
      <c r="E10" s="12" t="n">
        <v>1042</v>
      </c>
      <c r="F10" s="12" t="n">
        <v>205</v>
      </c>
      <c r="G10" s="12" t="n">
        <v>69</v>
      </c>
      <c r="H10" s="12" t="n">
        <v>138</v>
      </c>
      <c r="I10" s="12" t="n">
        <v>57</v>
      </c>
      <c r="J10" s="12" t="n">
        <v>767</v>
      </c>
      <c r="K10" s="12" t="n">
        <v>1236</v>
      </c>
      <c r="L10" s="17" t="n">
        <f aca="false">E10-K10</f>
        <v>-194</v>
      </c>
    </row>
    <row r="11" customFormat="false" ht="15" hidden="false" customHeight="false" outlineLevel="0" collapsed="false">
      <c r="A11" s="11" t="s">
        <v>1826</v>
      </c>
      <c r="B11" s="12" t="n">
        <v>184</v>
      </c>
      <c r="C11" s="12" t="n">
        <v>865</v>
      </c>
      <c r="D11" s="12" t="n">
        <v>455</v>
      </c>
      <c r="E11" s="12" t="n">
        <v>1504</v>
      </c>
      <c r="F11" s="12" t="n">
        <v>213</v>
      </c>
      <c r="G11" s="12" t="n">
        <v>80</v>
      </c>
      <c r="H11" s="12" t="n">
        <v>49</v>
      </c>
      <c r="I11" s="12" t="n">
        <v>0</v>
      </c>
      <c r="J11" s="12" t="n">
        <v>586</v>
      </c>
      <c r="K11" s="12" t="n">
        <v>928</v>
      </c>
      <c r="L11" s="17" t="n">
        <f aca="false">E11-K11</f>
        <v>576</v>
      </c>
    </row>
    <row r="12" customFormat="false" ht="15" hidden="false" customHeight="false" outlineLevel="0" collapsed="false">
      <c r="A12" s="11" t="s">
        <v>1827</v>
      </c>
      <c r="B12" s="12" t="n">
        <v>183</v>
      </c>
      <c r="C12" s="12" t="n">
        <v>350</v>
      </c>
      <c r="D12" s="12" t="n">
        <v>395</v>
      </c>
      <c r="E12" s="12" t="n">
        <v>928</v>
      </c>
      <c r="F12" s="12" t="n">
        <v>233</v>
      </c>
      <c r="G12" s="12" t="n">
        <v>87</v>
      </c>
      <c r="H12" s="12" t="n">
        <v>28</v>
      </c>
      <c r="I12" s="12" t="n">
        <v>40</v>
      </c>
      <c r="J12" s="12" t="n">
        <v>392</v>
      </c>
      <c r="K12" s="12" t="n">
        <v>780</v>
      </c>
      <c r="L12" s="17" t="n">
        <f aca="false">E12-K12</f>
        <v>148</v>
      </c>
    </row>
    <row r="13" customFormat="false" ht="15" hidden="false" customHeight="false" outlineLevel="0" collapsed="false">
      <c r="A13" s="11" t="s">
        <v>1828</v>
      </c>
      <c r="B13" s="12" t="n">
        <v>106</v>
      </c>
      <c r="C13" s="12" t="n">
        <v>201</v>
      </c>
      <c r="D13" s="12" t="n">
        <v>810</v>
      </c>
      <c r="E13" s="12" t="n">
        <v>1117</v>
      </c>
      <c r="F13" s="12" t="n">
        <v>132</v>
      </c>
      <c r="G13" s="12" t="n">
        <v>17</v>
      </c>
      <c r="H13" s="12" t="n">
        <v>38</v>
      </c>
      <c r="I13" s="12" t="n">
        <v>0</v>
      </c>
      <c r="J13" s="12" t="n">
        <v>392</v>
      </c>
      <c r="K13" s="12" t="n">
        <v>579</v>
      </c>
      <c r="L13" s="17" t="n">
        <f aca="false">E13-K13</f>
        <v>538</v>
      </c>
    </row>
    <row r="14" customFormat="false" ht="15" hidden="false" customHeight="false" outlineLevel="0" collapsed="false">
      <c r="A14" s="14" t="s">
        <v>1829</v>
      </c>
      <c r="B14" s="15" t="n">
        <f aca="false">SUM(B5:B12)</f>
        <v>1997</v>
      </c>
      <c r="C14" s="15" t="n">
        <f aca="false">SUM(C5:C12)</f>
        <v>3953</v>
      </c>
      <c r="D14" s="15" t="n">
        <f aca="false">SUM(D5:D12)</f>
        <v>2896</v>
      </c>
      <c r="E14" s="15" t="n">
        <f aca="false">SUM(E5:E12)</f>
        <v>8846</v>
      </c>
      <c r="F14" s="15" t="n">
        <f aca="false">SUM(F5:F12)</f>
        <v>2311</v>
      </c>
      <c r="G14" s="15" t="n">
        <f aca="false">SUM(G5:G12)</f>
        <v>816</v>
      </c>
      <c r="H14" s="15" t="n">
        <f aca="false">SUM(H5:H12)</f>
        <v>574</v>
      </c>
      <c r="I14" s="15" t="n">
        <f aca="false">SUM(I5:I12)</f>
        <v>809</v>
      </c>
      <c r="J14" s="15" t="n">
        <f aca="false">SUM(J5:J12)</f>
        <v>4906</v>
      </c>
      <c r="K14" s="15" t="n">
        <f aca="false">SUM(K5:K12)</f>
        <v>9416</v>
      </c>
      <c r="L14" s="15" t="n">
        <f aca="false">SUM(L5:L12)</f>
        <v>-570</v>
      </c>
    </row>
    <row r="15" customFormat="false" ht="15" hidden="false" customHeight="false" outlineLevel="0" collapsed="false">
      <c r="A15" s="9" t="s">
        <v>1830</v>
      </c>
    </row>
    <row r="17" customFormat="false" ht="15" hidden="false" customHeight="false" outlineLevel="0" collapsed="false">
      <c r="A17" s="10" t="s">
        <v>1831</v>
      </c>
    </row>
    <row r="18" customFormat="false" ht="15" hidden="false" customHeight="false" outlineLevel="0" collapsed="false">
      <c r="A18" s="5" t="s">
        <v>1832</v>
      </c>
      <c r="B18" s="24" t="s">
        <v>1833</v>
      </c>
    </row>
    <row r="19" customFormat="false" ht="15" hidden="false" customHeight="false" outlineLevel="0" collapsed="false">
      <c r="A19" s="5" t="s">
        <v>1834</v>
      </c>
      <c r="B19" s="7" t="n">
        <f aca="false">AVERAGE(B10:B12)</f>
        <v>183</v>
      </c>
    </row>
    <row r="20" customFormat="false" ht="15" hidden="false" customHeight="false" outlineLevel="0" collapsed="false">
      <c r="A20" s="5" t="s">
        <v>1835</v>
      </c>
      <c r="B20" s="7" t="n">
        <f aca="false">AVERAGE(G10:G12)</f>
        <v>78.6666666666667</v>
      </c>
    </row>
    <row r="21" customFormat="false" ht="15" hidden="false" customHeight="false" outlineLevel="0" collapsed="false">
      <c r="A21" s="5" t="s">
        <v>1836</v>
      </c>
      <c r="B21" s="25" t="n">
        <v>0.73</v>
      </c>
    </row>
    <row r="22" customFormat="false" ht="15" hidden="false" customHeight="false" outlineLevel="0" collapsed="false">
      <c r="A22" s="5" t="s">
        <v>1837</v>
      </c>
      <c r="B22" s="7" t="n">
        <f aca="false">(B19+B20)*B21</f>
        <v>191.016666666667</v>
      </c>
    </row>
    <row r="23" customFormat="false" ht="15" hidden="false" customHeight="false" outlineLevel="0" collapsed="false">
      <c r="A23" s="5" t="s">
        <v>1838</v>
      </c>
      <c r="B23" s="8" t="n">
        <f aca="false">(DATE(2027,1,1)-DATE(2026,10,8))/365</f>
        <v>0.232876712328767</v>
      </c>
    </row>
    <row r="24" customFormat="false" ht="36" hidden="false" customHeight="true" outlineLevel="0" collapsed="false">
      <c r="A24" s="26" t="s">
        <v>1839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6" customFormat="false" ht="15" hidden="false" customHeight="false" outlineLevel="0" collapsed="false">
      <c r="A26" s="3" t="s">
        <v>1840</v>
      </c>
      <c r="B26" s="4" t="s">
        <v>54</v>
      </c>
      <c r="C26" s="4" t="s">
        <v>55</v>
      </c>
      <c r="D26" s="4" t="s">
        <v>56</v>
      </c>
      <c r="E26" s="4" t="s">
        <v>57</v>
      </c>
      <c r="F26" s="4" t="s">
        <v>58</v>
      </c>
      <c r="G26" s="4" t="s">
        <v>59</v>
      </c>
      <c r="H26" s="4" t="s">
        <v>1841</v>
      </c>
    </row>
    <row r="27" customFormat="false" ht="15" hidden="false" customHeight="false" outlineLevel="0" collapsed="false">
      <c r="A27" s="11" t="s">
        <v>1842</v>
      </c>
      <c r="B27" s="12" t="n">
        <f aca="false">B22*B23</f>
        <v>44.4833333333333</v>
      </c>
      <c r="C27" s="12" t="n">
        <f aca="false">$B$22</f>
        <v>191.016666666667</v>
      </c>
      <c r="D27" s="12" t="n">
        <f aca="false">$B$22</f>
        <v>191.016666666667</v>
      </c>
      <c r="E27" s="12" t="n">
        <f aca="false">$B$22</f>
        <v>191.016666666667</v>
      </c>
      <c r="F27" s="12" t="n">
        <f aca="false">$B$22</f>
        <v>191.016666666667</v>
      </c>
      <c r="G27" s="12" t="n">
        <v>0</v>
      </c>
      <c r="H27" s="17" t="n">
        <f aca="false">SUM(B27:F27)</f>
        <v>808.55</v>
      </c>
    </row>
    <row r="28" customFormat="false" ht="15" hidden="false" customHeight="false" outlineLevel="0" collapsed="false">
      <c r="A28" s="9" t="s">
        <v>1843</v>
      </c>
    </row>
    <row r="30" customFormat="false" ht="15" hidden="false" customHeight="false" outlineLevel="0" collapsed="false">
      <c r="A30" s="10" t="s">
        <v>1844</v>
      </c>
    </row>
    <row r="31" customFormat="false" ht="15" hidden="false" customHeight="false" outlineLevel="0" collapsed="false">
      <c r="A31" s="3" t="s">
        <v>1845</v>
      </c>
      <c r="B31" s="4" t="s">
        <v>1846</v>
      </c>
      <c r="C31" s="4" t="s">
        <v>1847</v>
      </c>
      <c r="D31" s="4" t="s">
        <v>1848</v>
      </c>
      <c r="E31" s="4" t="s">
        <v>1849</v>
      </c>
      <c r="F31" s="4" t="s">
        <v>1850</v>
      </c>
    </row>
    <row r="32" customFormat="false" ht="15" hidden="false" customHeight="false" outlineLevel="0" collapsed="false">
      <c r="A32" s="11" t="s">
        <v>1851</v>
      </c>
      <c r="B32" s="11" t="s">
        <v>1852</v>
      </c>
      <c r="C32" s="11" t="s">
        <v>1853</v>
      </c>
      <c r="D32" s="12" t="n">
        <v>57</v>
      </c>
      <c r="E32" s="11" t="s">
        <v>1854</v>
      </c>
      <c r="F32" s="11" t="s">
        <v>1855</v>
      </c>
    </row>
    <row r="33" customFormat="false" ht="15" hidden="false" customHeight="false" outlineLevel="0" collapsed="false">
      <c r="A33" s="11" t="s">
        <v>1856</v>
      </c>
      <c r="B33" s="11" t="s">
        <v>1857</v>
      </c>
      <c r="C33" s="11" t="s">
        <v>1858</v>
      </c>
      <c r="D33" s="12" t="n">
        <v>40</v>
      </c>
      <c r="E33" s="11" t="s">
        <v>1859</v>
      </c>
      <c r="F33" s="11" t="s">
        <v>1860</v>
      </c>
    </row>
    <row r="34" customFormat="false" ht="15" hidden="false" customHeight="false" outlineLevel="0" collapsed="false">
      <c r="A34" s="11" t="s">
        <v>1861</v>
      </c>
      <c r="B34" s="11" t="s">
        <v>1862</v>
      </c>
      <c r="C34" s="11" t="s">
        <v>1863</v>
      </c>
      <c r="D34" s="12" t="n">
        <v>35</v>
      </c>
      <c r="E34" s="11" t="s">
        <v>1864</v>
      </c>
      <c r="F34" s="11" t="s">
        <v>1865</v>
      </c>
    </row>
    <row r="35" customFormat="false" ht="15" hidden="false" customHeight="false" outlineLevel="0" collapsed="false">
      <c r="A35" s="11" t="s">
        <v>1866</v>
      </c>
      <c r="B35" s="11" t="s">
        <v>1479</v>
      </c>
      <c r="C35" s="11" t="s">
        <v>1867</v>
      </c>
      <c r="D35" s="12" t="n">
        <v>14</v>
      </c>
      <c r="E35" s="11" t="s">
        <v>1868</v>
      </c>
      <c r="F35" s="11" t="s">
        <v>1869</v>
      </c>
    </row>
    <row r="36" customFormat="false" ht="15" hidden="false" customHeight="false" outlineLevel="0" collapsed="false">
      <c r="A36" s="11" t="s">
        <v>1870</v>
      </c>
      <c r="B36" s="11" t="s">
        <v>1514</v>
      </c>
      <c r="C36" s="11" t="s">
        <v>1871</v>
      </c>
      <c r="D36" s="12" t="n">
        <v>10</v>
      </c>
      <c r="E36" s="11" t="s">
        <v>1872</v>
      </c>
      <c r="F36" s="11" t="s">
        <v>1873</v>
      </c>
    </row>
    <row r="37" customFormat="false" ht="15" hidden="false" customHeight="false" outlineLevel="0" collapsed="false">
      <c r="A37" s="9" t="s">
        <v>1874</v>
      </c>
    </row>
  </sheetData>
  <mergeCells count="1">
    <mergeCell ref="A24:L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1875</v>
      </c>
    </row>
    <row r="3" customFormat="false" ht="35.05" hidden="false" customHeight="false" outlineLevel="0" collapsed="false">
      <c r="A3" s="27" t="s">
        <v>1876</v>
      </c>
      <c r="B3" s="28" t="s">
        <v>1877</v>
      </c>
    </row>
    <row r="4" customFormat="false" ht="15" hidden="false" customHeight="false" outlineLevel="0" collapsed="false">
      <c r="A4" s="27" t="s">
        <v>22</v>
      </c>
      <c r="B4" s="28" t="s">
        <v>1878</v>
      </c>
    </row>
    <row r="5" customFormat="false" ht="35.05" hidden="false" customHeight="false" outlineLevel="0" collapsed="false">
      <c r="A5" s="27" t="s">
        <v>1879</v>
      </c>
      <c r="B5" s="28" t="s">
        <v>1880</v>
      </c>
    </row>
    <row r="6" customFormat="false" ht="46.25" hidden="false" customHeight="false" outlineLevel="0" collapsed="false">
      <c r="A6" s="27" t="s">
        <v>33</v>
      </c>
      <c r="B6" s="28" t="s">
        <v>1881</v>
      </c>
    </row>
    <row r="7" customFormat="false" ht="23.85" hidden="false" customHeight="false" outlineLevel="0" collapsed="false">
      <c r="A7" s="27" t="s">
        <v>26</v>
      </c>
      <c r="B7" s="28" t="s">
        <v>1882</v>
      </c>
    </row>
    <row r="8" customFormat="false" ht="15" hidden="false" customHeight="false" outlineLevel="0" collapsed="false">
      <c r="A8" s="27" t="s">
        <v>45</v>
      </c>
      <c r="B8" s="28" t="s">
        <v>1883</v>
      </c>
    </row>
    <row r="9" customFormat="false" ht="35.05" hidden="false" customHeight="false" outlineLevel="0" collapsed="false">
      <c r="A9" s="27" t="s">
        <v>1884</v>
      </c>
      <c r="B9" s="28" t="s">
        <v>1885</v>
      </c>
    </row>
    <row r="10" customFormat="false" ht="23.85" hidden="false" customHeight="false" outlineLevel="0" collapsed="false">
      <c r="A10" s="27" t="s">
        <v>1886</v>
      </c>
      <c r="B10" s="28" t="s">
        <v>1887</v>
      </c>
    </row>
    <row r="11" customFormat="false" ht="23.85" hidden="false" customHeight="false" outlineLevel="0" collapsed="false">
      <c r="A11" s="27" t="s">
        <v>1888</v>
      </c>
      <c r="B11" s="28" t="s">
        <v>1889</v>
      </c>
    </row>
    <row r="12" customFormat="false" ht="15" hidden="false" customHeight="false" outlineLevel="0" collapsed="false">
      <c r="A12" s="27" t="s">
        <v>134</v>
      </c>
      <c r="B12" s="28" t="s">
        <v>1890</v>
      </c>
    </row>
    <row r="13" customFormat="false" ht="23.85" hidden="false" customHeight="false" outlineLevel="0" collapsed="false">
      <c r="A13" s="27" t="s">
        <v>1891</v>
      </c>
      <c r="B13" s="28" t="s">
        <v>1892</v>
      </c>
    </row>
    <row r="14" customFormat="false" ht="15" hidden="false" customHeight="false" outlineLevel="0" collapsed="false">
      <c r="A14" s="27" t="s">
        <v>1893</v>
      </c>
      <c r="B14" s="28" t="s">
        <v>1894</v>
      </c>
    </row>
    <row r="16" customFormat="false" ht="15" hidden="false" customHeight="false" outlineLevel="0" collapsed="false">
      <c r="A16" s="3" t="s">
        <v>1895</v>
      </c>
      <c r="B16" s="4" t="s">
        <v>1896</v>
      </c>
      <c r="C16" s="4" t="s">
        <v>1897</v>
      </c>
      <c r="D16" s="4" t="s">
        <v>1898</v>
      </c>
      <c r="E16" s="4" t="s">
        <v>1897</v>
      </c>
      <c r="F16" s="4" t="s">
        <v>1899</v>
      </c>
    </row>
    <row r="17" customFormat="false" ht="15" hidden="false" customHeight="false" outlineLevel="0" collapsed="false">
      <c r="A17" s="29" t="s">
        <v>1900</v>
      </c>
      <c r="B17" s="29" t="n">
        <v>1.28</v>
      </c>
      <c r="C17" s="29" t="n">
        <v>45</v>
      </c>
      <c r="D17" s="29" t="n">
        <v>1.7</v>
      </c>
      <c r="E17" s="29" t="n">
        <v>18</v>
      </c>
      <c r="F17" s="29" t="n">
        <v>4.1</v>
      </c>
    </row>
    <row r="18" customFormat="false" ht="15" hidden="false" customHeight="false" outlineLevel="0" collapsed="false">
      <c r="A18" s="29" t="s">
        <v>1901</v>
      </c>
      <c r="B18" s="29" t="n">
        <v>1.39</v>
      </c>
      <c r="C18" s="29" t="n">
        <v>34</v>
      </c>
      <c r="D18" s="29" t="n">
        <v>1.79</v>
      </c>
      <c r="E18" s="29" t="n">
        <v>15</v>
      </c>
      <c r="F18" s="29" t="n">
        <v>8.3</v>
      </c>
    </row>
    <row r="19" customFormat="false" ht="15" hidden="false" customHeight="false" outlineLevel="0" collapsed="false">
      <c r="A19" s="29" t="s">
        <v>1902</v>
      </c>
      <c r="B19" s="29" t="n">
        <v>1.62</v>
      </c>
      <c r="C19" s="29" t="n">
        <v>23</v>
      </c>
      <c r="D19" s="29" t="n">
        <v>1.45</v>
      </c>
      <c r="E19" s="29" t="n">
        <v>6</v>
      </c>
      <c r="F19" s="29" t="n">
        <v>21.5</v>
      </c>
    </row>
    <row r="20" customFormat="false" ht="15" hidden="false" customHeight="false" outlineLevel="0" collapsed="false">
      <c r="A20" s="29" t="s">
        <v>1903</v>
      </c>
      <c r="B20" s="29" t="n">
        <v>1.13</v>
      </c>
      <c r="C20" s="29" t="n">
        <v>23</v>
      </c>
      <c r="D20" s="29" t="n">
        <v>2.26</v>
      </c>
      <c r="E20" s="29" t="n">
        <v>4</v>
      </c>
      <c r="F20" s="29" t="n">
        <v>34</v>
      </c>
    </row>
    <row r="21" customFormat="false" ht="15" hidden="false" customHeight="false" outlineLevel="0" collapsed="false">
      <c r="A21" s="29" t="s">
        <v>1904</v>
      </c>
      <c r="B21" s="29" t="n">
        <v>1.72</v>
      </c>
      <c r="C21" s="29" t="n">
        <v>10</v>
      </c>
      <c r="D21" s="29" t="n">
        <v>2.09</v>
      </c>
      <c r="E21" s="29" t="n">
        <v>3</v>
      </c>
      <c r="F21" s="29" t="n">
        <v>50.3</v>
      </c>
    </row>
    <row r="22" customFormat="false" ht="15" hidden="false" customHeight="false" outlineLevel="0" collapsed="false">
      <c r="A22" s="9" t="s">
        <v>1905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2026-10-15T16:03:39Z</dcterms:created>
  <dc:creator>openpyxl</dc:creator>
  <dc:description/>
  <dc:language>en-US</dc:language>
  <cp:lastModifiedBy/>
  <dcterms:modified xsi:type="dcterms:W3CDTF">2026-10-15T16:03:42Z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