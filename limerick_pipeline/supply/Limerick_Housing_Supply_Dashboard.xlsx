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reakdowns" sheetId="2" state="visible" r:id="rId2"/>
    <sheet name="Sites" sheetId="3" state="visible" r:id="rId3"/>
    <sheet name="Schemes" sheetId="4" state="visible" r:id="rId4"/>
    <sheet name="Assumptions" sheetId="5" state="visible" r:id="rId5"/>
  </sheets>
  <definedNames>
    <definedName name="_xlnm._FilterDatabase" localSheetId="2" hidden="1">'Sites'!$A$1:$U$134</definedName>
    <definedName name="_xlnm._FilterDatabase" localSheetId="3" hidden="1">'Schemes'!$A$1:$AC$264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A5F"/>
      <sz val="14"/>
    </font>
    <font>
      <name val="Arial"/>
      <i val="1"/>
      <sz val="9"/>
    </font>
    <font>
      <name val="Arial"/>
      <sz val="10"/>
    </font>
    <font>
      <name val="Arial"/>
      <b val="1"/>
      <sz val="10"/>
    </font>
    <font>
      <name val="Arial"/>
      <i val="1"/>
      <sz val="8"/>
    </font>
    <font>
      <name val="Arial"/>
      <b val="1"/>
      <color rgb="001F3A5F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5F9"/>
      </patternFill>
    </fill>
    <fill>
      <patternFill patternType="solid">
        <fgColor rgb="00DCE4EE"/>
      </patternFill>
    </fill>
  </fills>
  <borders count="2">
    <border>
      <left/>
      <right/>
      <top/>
      <bottom/>
      <diagonal/>
    </border>
    <border>
      <bottom style="thin">
        <color rgb="00B7C3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5" fillId="3" borderId="1" pivotButton="0" quotePrefix="0" xfId="0"/>
    <xf numFmtId="164" fontId="6" fillId="3" borderId="1" pivotButton="0" quotePrefix="0" xfId="0"/>
    <xf numFmtId="3" fontId="6" fillId="3" borderId="1" pivotButton="0" quotePrefix="0" xfId="0"/>
    <xf numFmtId="9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4" borderId="1" pivotButton="0" quotePrefix="0" xfId="0"/>
    <xf numFmtId="3" fontId="6" fillId="4" borderId="1" pivotButton="0" quotePrefix="0" xfId="0"/>
    <xf numFmtId="164" fontId="6" fillId="4" borderId="1" pivotButton="0" quotePrefix="0" xfId="0"/>
    <xf numFmtId="3" fontId="6" fillId="0" borderId="1" pivotButton="0" quotePrefix="0" xfId="0"/>
    <xf numFmtId="9" fontId="5" fillId="0" borderId="1" pivotButton="0" quotePrefix="0" xfId="0"/>
    <xf numFmtId="9" fontId="6" fillId="4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Expected completions by year and sector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'Dashboard'!A46</f>
            </strRef>
          </tx>
          <spPr>
            <a:solidFill>
              <a:srgbClr val="1F3A5F"/>
            </a:solidFill>
            <a:ln>
              <a:solidFill>
                <a:srgbClr val="1F3A5F"/>
              </a:solidFill>
              <a:prstDash val="solid"/>
            </a:ln>
          </spPr>
          <cat>
            <numRef>
              <f>'Dashboard'!$B$45:$G$45</f>
            </numRef>
          </cat>
          <val>
            <numRef>
              <f>'Dashboard'!$B$46:$G$46</f>
            </numRef>
          </val>
        </ser>
        <ser>
          <idx val="1"/>
          <order val="1"/>
          <tx>
            <strRef>
              <f>'Dashboard'!A47</f>
            </strRef>
          </tx>
          <spPr>
            <a:solidFill>
              <a:srgbClr val="4F81BD"/>
            </a:solidFill>
            <a:ln>
              <a:solidFill>
                <a:srgbClr val="4F81BD"/>
              </a:solidFill>
              <a:prstDash val="solid"/>
            </a:ln>
          </spPr>
          <cat>
            <numRef>
              <f>'Dashboard'!$B$45:$G$45</f>
            </numRef>
          </cat>
          <val>
            <numRef>
              <f>'Dashboard'!$B$47:$G$47</f>
            </numRef>
          </val>
        </ser>
        <ser>
          <idx val="2"/>
          <order val="2"/>
          <tx>
            <strRef>
              <f>'Dashboard'!A48</f>
            </strRef>
          </tx>
          <spPr>
            <a:solidFill>
              <a:srgbClr val="9BBB59"/>
            </a:solidFill>
            <a:ln>
              <a:solidFill>
                <a:srgbClr val="9BBB59"/>
              </a:solidFill>
              <a:prstDash val="solid"/>
            </a:ln>
          </spPr>
          <cat>
            <numRef>
              <f>'Dashboard'!$B$45:$G$45</f>
            </numRef>
          </cat>
          <val>
            <numRef>
              <f>'Dashboard'!$B$48:$G$48</f>
            </numRef>
          </val>
        </ser>
        <ser>
          <idx val="3"/>
          <order val="3"/>
          <tx>
            <strRef>
              <f>'Dashboard'!A49</f>
            </strRef>
          </tx>
          <spPr>
            <a:solidFill>
              <a:srgbClr val="F2A541"/>
            </a:solidFill>
            <a:ln>
              <a:solidFill>
                <a:srgbClr val="F2A541"/>
              </a:solidFill>
              <a:prstDash val="solid"/>
            </a:ln>
          </spPr>
          <cat>
            <numRef>
              <f>'Dashboard'!$B$45:$G$45</f>
            </numRef>
          </cat>
          <val>
            <numRef>
              <f>'Dashboard'!$B$49:$G$49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940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Limerick housing supply – audit land, consents and expected delivery</t>
        </is>
      </c>
    </row>
    <row r="2">
      <c r="A2" s="2" t="inlineStr">
        <is>
          <t>Council city sites audit (133 sites; county audit not yet supplied) and counted residential permissions. Planning status at 08/10/2026.</t>
        </is>
      </c>
    </row>
    <row r="4">
      <c r="A4" s="3" t="inlineStr">
        <is>
          <t>Headline</t>
        </is>
      </c>
      <c r="B4" s="4" t="inlineStr">
        <is>
          <t>Value</t>
        </is>
      </c>
    </row>
    <row r="5">
      <c r="A5" s="5" t="inlineStr">
        <is>
          <t>Audit land (ha)</t>
        </is>
      </c>
      <c r="B5" s="6">
        <f>SUM(Sites!$I$2:$I$134)</f>
        <v/>
      </c>
    </row>
    <row r="6">
      <c r="A6" s="5" t="inlineStr">
        <is>
          <t>Audit sites</t>
        </is>
      </c>
      <c r="B6" s="7">
        <f>COUNTA(Sites!$A$2:$A$134)</f>
        <v/>
      </c>
    </row>
    <row r="7">
      <c r="A7" s="5" t="inlineStr">
        <is>
          <t>Estimated unit capacity on audit land</t>
        </is>
      </c>
      <c r="B7" s="7">
        <f>SUM(Sites!$J$2:$J$134)</f>
        <v/>
      </c>
    </row>
    <row r="8">
      <c r="A8" s="5" t="inlineStr">
        <is>
          <t>Consented on audit land (within sites)</t>
        </is>
      </c>
      <c r="B8" s="7">
        <f>SUMIFS(Schemes!$M$2:$M$264,Schemes!$F$2:$F$264,"Audit land – within site",Schemes!$K$2:$K$264,"&lt;&gt;Not started – past expiry",Schemes!$K$2:$K$264,"&lt;&gt;In planning")</f>
        <v/>
      </c>
    </row>
    <row r="9">
      <c r="A9" s="5" t="inlineStr">
        <is>
          <t>Share of capacity consented</t>
        </is>
      </c>
      <c r="B9" s="8">
        <f>B8/B7</f>
        <v/>
      </c>
    </row>
    <row r="10">
      <c r="A10" s="5" t="inlineStr">
        <is>
          <t>Residual capacity (sum of sites)</t>
        </is>
      </c>
      <c r="B10" s="7">
        <f>SUM(Sites!$O$2:$O$134)</f>
        <v/>
      </c>
    </row>
    <row r="11">
      <c r="A11" s="5" t="inlineStr">
        <is>
          <t>Consented on edge of audit sites (check)</t>
        </is>
      </c>
      <c r="B11" s="7">
        <f>SUMIFS(Schemes!$M$2:$M$264,Schemes!$F$2:$F$264,"Audit land – edge (check)",Schemes!$K$2:$K$264,"&lt;&gt;Not started – past expiry",Schemes!$K$2:$K$264,"&lt;&gt;In planning")</f>
        <v/>
      </c>
    </row>
    <row r="12">
      <c r="A12" s="5" t="inlineStr">
        <is>
          <t>Consented in city outside audit land</t>
        </is>
      </c>
      <c r="B12" s="7">
        <f>SUMIFS(Schemes!$M$2:$M$264,Schemes!$F$2:$F$264,"City – outside audit land",Schemes!$K$2:$K$264,"&lt;&gt;Not started – past expiry",Schemes!$K$2:$K$264,"&lt;&gt;In planning")</f>
        <v/>
      </c>
    </row>
    <row r="13">
      <c r="A13" s="5" t="inlineStr">
        <is>
          <t>Consented in county (audit pending)</t>
        </is>
      </c>
      <c r="B13" s="7">
        <f>SUMIFS(Schemes!$M$2:$M$264,Schemes!$F$2:$F$264,"County – audit not yet supplied",Schemes!$K$2:$K$264,"&lt;&gt;Not started – past expiry",Schemes!$K$2:$K$264,"&lt;&gt;In planning")</f>
        <v/>
      </c>
    </row>
    <row r="14">
      <c r="A14" s="5" t="inlineStr">
        <is>
          <t>All consented units</t>
        </is>
      </c>
      <c r="B14" s="7">
        <f>B8+B11+B12+B13</f>
        <v/>
      </c>
    </row>
    <row r="15">
      <c r="A15" s="5" t="inlineStr">
        <is>
          <t>Student bedspaces consented (PBSA)*</t>
        </is>
      </c>
      <c r="B15" s="7">
        <f>SUMIFS(Schemes!$N$2:$N$264,Schemes!$I$2:$I$264,"Student (PBSA)",Schemes!$K$2:$K$264,"&lt;&gt;Not started – past expiry",Schemes!$K$2:$K$264,"&lt;&gt;In planning")</f>
        <v/>
      </c>
    </row>
    <row r="16">
      <c r="A16" s="5" t="inlineStr">
        <is>
          <t>Expected completions Q4 2026–2030</t>
        </is>
      </c>
      <c r="B16" s="7">
        <f>SUM(Schemes!$W$2:$W$264)+SUM(Schemes!$X$2:$X$264)+SUM(Schemes!$Y$2:$Y$264)+SUM(Schemes!$Z$2:$Z$264)+SUM(Schemes!$AA$2:$AA$264)</f>
        <v/>
      </c>
    </row>
    <row r="17">
      <c r="A17" s="9" t="inlineStr">
        <is>
          <t>* PBSA schemes are counted in the unit totals by their recorded units (cluster apartments), not bedspaces. See Breakdowns.</t>
        </is>
      </c>
    </row>
    <row r="19">
      <c r="A19" s="10" t="inlineStr">
        <is>
          <t>1. Audit land and capacity by landowner (city)</t>
        </is>
      </c>
    </row>
    <row r="20">
      <c r="A20" s="3" t="inlineStr">
        <is>
          <t>Landowner</t>
        </is>
      </c>
      <c r="B20" s="4" t="inlineStr">
        <is>
          <t>Sites</t>
        </is>
      </c>
      <c r="C20" s="4" t="inlineStr">
        <is>
          <t>Area (ha)</t>
        </is>
      </c>
      <c r="D20" s="4" t="inlineStr">
        <is>
          <t>Capacity</t>
        </is>
      </c>
      <c r="E20" s="4" t="inlineStr">
        <is>
          <t>Complete</t>
        </is>
      </c>
      <c r="F20" s="4" t="inlineStr">
        <is>
          <t>Under constr.</t>
        </is>
      </c>
      <c r="G20" s="4" t="inlineStr">
        <is>
          <t>Permitted, not started</t>
        </is>
      </c>
      <c r="H20" s="4" t="inlineStr">
        <is>
          <t>Consented</t>
        </is>
      </c>
      <c r="I20" s="4" t="inlineStr">
        <is>
          <t>Residual</t>
        </is>
      </c>
    </row>
    <row r="21">
      <c r="A21" s="11" t="inlineStr">
        <is>
          <t>Council</t>
        </is>
      </c>
      <c r="B21" s="12">
        <f>COUNTIFS(Sites!$E$2:$E$134,$A21)</f>
        <v/>
      </c>
      <c r="C21" s="13">
        <f>SUMIFS(Sites!$I$2:$I$134,Sites!$E$2:$E$134,$A21)</f>
        <v/>
      </c>
      <c r="D21" s="12">
        <f>SUMIFS(Sites!$J$2:$J$134,Sites!$E$2:$E$134,$A21)</f>
        <v/>
      </c>
      <c r="E21" s="12">
        <f>SUMIFS(Sites!$K$2:$K$134,Sites!$E$2:$E$134,$A21)</f>
        <v/>
      </c>
      <c r="F21" s="12">
        <f>SUMIFS(Sites!$L$2:$L$134,Sites!$E$2:$E$134,$A21)</f>
        <v/>
      </c>
      <c r="G21" s="12">
        <f>SUMIFS(Sites!$M$2:$M$134,Sites!$E$2:$E$134,$A21)</f>
        <v/>
      </c>
      <c r="H21" s="12">
        <f>SUMIFS(Sites!$N$2:$N$134,Sites!$E$2:$E$134,$A21)</f>
        <v/>
      </c>
      <c r="I21" s="12">
        <f>SUMIFS(Sites!$O$2:$O$134,Sites!$E$2:$E$134,$A21)</f>
        <v/>
      </c>
    </row>
    <row r="22">
      <c r="A22" s="11" t="inlineStr">
        <is>
          <t>Private</t>
        </is>
      </c>
      <c r="B22" s="12">
        <f>COUNTIFS(Sites!$E$2:$E$134,$A22)</f>
        <v/>
      </c>
      <c r="C22" s="13">
        <f>SUMIFS(Sites!$I$2:$I$134,Sites!$E$2:$E$134,$A22)</f>
        <v/>
      </c>
      <c r="D22" s="12">
        <f>SUMIFS(Sites!$J$2:$J$134,Sites!$E$2:$E$134,$A22)</f>
        <v/>
      </c>
      <c r="E22" s="12">
        <f>SUMIFS(Sites!$K$2:$K$134,Sites!$E$2:$E$134,$A22)</f>
        <v/>
      </c>
      <c r="F22" s="12">
        <f>SUMIFS(Sites!$L$2:$L$134,Sites!$E$2:$E$134,$A22)</f>
        <v/>
      </c>
      <c r="G22" s="12">
        <f>SUMIFS(Sites!$M$2:$M$134,Sites!$E$2:$E$134,$A22)</f>
        <v/>
      </c>
      <c r="H22" s="12">
        <f>SUMIFS(Sites!$N$2:$N$134,Sites!$E$2:$E$134,$A22)</f>
        <v/>
      </c>
      <c r="I22" s="12">
        <f>SUMIFS(Sites!$O$2:$O$134,Sites!$E$2:$E$134,$A22)</f>
        <v/>
      </c>
    </row>
    <row r="23">
      <c r="A23" s="11" t="inlineStr">
        <is>
          <t>EOI (expression of interest)</t>
        </is>
      </c>
      <c r="B23" s="12">
        <f>COUNTIFS(Sites!$E$2:$E$134,$A23)</f>
        <v/>
      </c>
      <c r="C23" s="13">
        <f>SUMIFS(Sites!$I$2:$I$134,Sites!$E$2:$E$134,$A23)</f>
        <v/>
      </c>
      <c r="D23" s="12">
        <f>SUMIFS(Sites!$J$2:$J$134,Sites!$E$2:$E$134,$A23)</f>
        <v/>
      </c>
      <c r="E23" s="12">
        <f>SUMIFS(Sites!$K$2:$K$134,Sites!$E$2:$E$134,$A23)</f>
        <v/>
      </c>
      <c r="F23" s="12">
        <f>SUMIFS(Sites!$L$2:$L$134,Sites!$E$2:$E$134,$A23)</f>
        <v/>
      </c>
      <c r="G23" s="12">
        <f>SUMIFS(Sites!$M$2:$M$134,Sites!$E$2:$E$134,$A23)</f>
        <v/>
      </c>
      <c r="H23" s="12">
        <f>SUMIFS(Sites!$N$2:$N$134,Sites!$E$2:$E$134,$A23)</f>
        <v/>
      </c>
      <c r="I23" s="12">
        <f>SUMIFS(Sites!$O$2:$O$134,Sites!$E$2:$E$134,$A23)</f>
        <v/>
      </c>
    </row>
    <row r="24">
      <c r="A24" s="11" t="inlineStr">
        <is>
          <t>Unknown</t>
        </is>
      </c>
      <c r="B24" s="12">
        <f>COUNTIFS(Sites!$E$2:$E$134,$A24)</f>
        <v/>
      </c>
      <c r="C24" s="13">
        <f>SUMIFS(Sites!$I$2:$I$134,Sites!$E$2:$E$134,$A24)</f>
        <v/>
      </c>
      <c r="D24" s="12">
        <f>SUMIFS(Sites!$J$2:$J$134,Sites!$E$2:$E$134,$A24)</f>
        <v/>
      </c>
      <c r="E24" s="12">
        <f>SUMIFS(Sites!$K$2:$K$134,Sites!$E$2:$E$134,$A24)</f>
        <v/>
      </c>
      <c r="F24" s="12">
        <f>SUMIFS(Sites!$L$2:$L$134,Sites!$E$2:$E$134,$A24)</f>
        <v/>
      </c>
      <c r="G24" s="12">
        <f>SUMIFS(Sites!$M$2:$M$134,Sites!$E$2:$E$134,$A24)</f>
        <v/>
      </c>
      <c r="H24" s="12">
        <f>SUMIFS(Sites!$N$2:$N$134,Sites!$E$2:$E$134,$A24)</f>
        <v/>
      </c>
      <c r="I24" s="12">
        <f>SUMIFS(Sites!$O$2:$O$134,Sites!$E$2:$E$134,$A24)</f>
        <v/>
      </c>
    </row>
    <row r="25">
      <c r="A25" s="14" t="inlineStr">
        <is>
          <t>Total</t>
        </is>
      </c>
      <c r="B25" s="15">
        <f>SUM(B21:B24)</f>
        <v/>
      </c>
      <c r="C25" s="16">
        <f>SUM(C21:C24)</f>
        <v/>
      </c>
      <c r="D25" s="15">
        <f>SUM(D21:D24)</f>
        <v/>
      </c>
      <c r="E25" s="15">
        <f>SUM(E21:E24)</f>
        <v/>
      </c>
      <c r="F25" s="15">
        <f>SUM(F21:F24)</f>
        <v/>
      </c>
      <c r="G25" s="15">
        <f>SUM(G21:G24)</f>
        <v/>
      </c>
      <c r="H25" s="15">
        <f>SUM(H21:H24)</f>
        <v/>
      </c>
      <c r="I25" s="15">
        <f>SUM(I21:I24)</f>
        <v/>
      </c>
    </row>
    <row r="27">
      <c r="A27" s="10" t="inlineStr">
        <is>
          <t>2. Residential permissions by location and status (units)</t>
        </is>
      </c>
    </row>
    <row r="28">
      <c r="A28" s="3" t="inlineStr">
        <is>
          <t>Location</t>
        </is>
      </c>
      <c r="B28" s="4" t="inlineStr">
        <is>
          <t>Complete</t>
        </is>
      </c>
      <c r="C28" s="4" t="inlineStr">
        <is>
          <t>Under construction</t>
        </is>
      </c>
      <c r="D28" s="4" t="inlineStr">
        <is>
          <t>Not started – permission live</t>
        </is>
      </c>
      <c r="E28" s="4" t="inlineStr">
        <is>
          <t>Stalled (CIS)</t>
        </is>
      </c>
      <c r="F28" s="4" t="inlineStr">
        <is>
          <t>Consented total</t>
        </is>
      </c>
      <c r="G28" s="4" t="inlineStr">
        <is>
          <t>Expired, not started</t>
        </is>
      </c>
      <c r="H28" s="4" t="inlineStr">
        <is>
          <t>In planning</t>
        </is>
      </c>
    </row>
    <row r="29">
      <c r="A29" s="11" t="inlineStr">
        <is>
          <t>Audit land – within site</t>
        </is>
      </c>
      <c r="B29" s="12">
        <f>SUMIFS(Schemes!$M$2:$M$264,Schemes!$F$2:$F$264,$A29,Schemes!$K$2:$K$264,"Complete")</f>
        <v/>
      </c>
      <c r="C29" s="12">
        <f>SUMIFS(Schemes!$M$2:$M$264,Schemes!$F$2:$F$264,$A29,Schemes!$K$2:$K$264,"Under construction")</f>
        <v/>
      </c>
      <c r="D29" s="12">
        <f>SUMIFS(Schemes!$M$2:$M$264,Schemes!$F$2:$F$264,$A29,Schemes!$K$2:$K$264,"Not started – permission live")</f>
        <v/>
      </c>
      <c r="E29" s="12">
        <f>SUMIFS(Schemes!$M$2:$M$264,Schemes!$F$2:$F$264,$A29,Schemes!$K$2:$K$264,"Stalled (CIS)")</f>
        <v/>
      </c>
      <c r="F29" s="17">
        <f>SUM(B29:E29)</f>
        <v/>
      </c>
      <c r="G29" s="12">
        <f>SUMIFS(Schemes!$M$2:$M$264,Schemes!$F$2:$F$264,$A29,Schemes!$K$2:$K$264,"Not started – past expiry")</f>
        <v/>
      </c>
      <c r="H29" s="12">
        <f>SUMIFS(Schemes!$M$2:$M$264,Schemes!$F$2:$F$264,$A29,Schemes!$K$2:$K$264,"In planning")</f>
        <v/>
      </c>
    </row>
    <row r="30">
      <c r="A30" s="11" t="inlineStr">
        <is>
          <t>Audit land – edge (check)</t>
        </is>
      </c>
      <c r="B30" s="12">
        <f>SUMIFS(Schemes!$M$2:$M$264,Schemes!$F$2:$F$264,$A30,Schemes!$K$2:$K$264,"Complete")</f>
        <v/>
      </c>
      <c r="C30" s="12">
        <f>SUMIFS(Schemes!$M$2:$M$264,Schemes!$F$2:$F$264,$A30,Schemes!$K$2:$K$264,"Under construction")</f>
        <v/>
      </c>
      <c r="D30" s="12">
        <f>SUMIFS(Schemes!$M$2:$M$264,Schemes!$F$2:$F$264,$A30,Schemes!$K$2:$K$264,"Not started – permission live")</f>
        <v/>
      </c>
      <c r="E30" s="12">
        <f>SUMIFS(Schemes!$M$2:$M$264,Schemes!$F$2:$F$264,$A30,Schemes!$K$2:$K$264,"Stalled (CIS)")</f>
        <v/>
      </c>
      <c r="F30" s="17">
        <f>SUM(B30:E30)</f>
        <v/>
      </c>
      <c r="G30" s="12">
        <f>SUMIFS(Schemes!$M$2:$M$264,Schemes!$F$2:$F$264,$A30,Schemes!$K$2:$K$264,"Not started – past expiry")</f>
        <v/>
      </c>
      <c r="H30" s="12">
        <f>SUMIFS(Schemes!$M$2:$M$264,Schemes!$F$2:$F$264,$A30,Schemes!$K$2:$K$264,"In planning")</f>
        <v/>
      </c>
    </row>
    <row r="31">
      <c r="A31" s="11" t="inlineStr">
        <is>
          <t>City – outside audit land</t>
        </is>
      </c>
      <c r="B31" s="12">
        <f>SUMIFS(Schemes!$M$2:$M$264,Schemes!$F$2:$F$264,$A31,Schemes!$K$2:$K$264,"Complete")</f>
        <v/>
      </c>
      <c r="C31" s="12">
        <f>SUMIFS(Schemes!$M$2:$M$264,Schemes!$F$2:$F$264,$A31,Schemes!$K$2:$K$264,"Under construction")</f>
        <v/>
      </c>
      <c r="D31" s="12">
        <f>SUMIFS(Schemes!$M$2:$M$264,Schemes!$F$2:$F$264,$A31,Schemes!$K$2:$K$264,"Not started – permission live")</f>
        <v/>
      </c>
      <c r="E31" s="12">
        <f>SUMIFS(Schemes!$M$2:$M$264,Schemes!$F$2:$F$264,$A31,Schemes!$K$2:$K$264,"Stalled (CIS)")</f>
        <v/>
      </c>
      <c r="F31" s="17">
        <f>SUM(B31:E31)</f>
        <v/>
      </c>
      <c r="G31" s="12">
        <f>SUMIFS(Schemes!$M$2:$M$264,Schemes!$F$2:$F$264,$A31,Schemes!$K$2:$K$264,"Not started – past expiry")</f>
        <v/>
      </c>
      <c r="H31" s="12">
        <f>SUMIFS(Schemes!$M$2:$M$264,Schemes!$F$2:$F$264,$A31,Schemes!$K$2:$K$264,"In planning")</f>
        <v/>
      </c>
    </row>
    <row r="32">
      <c r="A32" s="11" t="inlineStr">
        <is>
          <t>County – audit not yet supplied</t>
        </is>
      </c>
      <c r="B32" s="12">
        <f>SUMIFS(Schemes!$M$2:$M$264,Schemes!$F$2:$F$264,$A32,Schemes!$K$2:$K$264,"Complete")</f>
        <v/>
      </c>
      <c r="C32" s="12">
        <f>SUMIFS(Schemes!$M$2:$M$264,Schemes!$F$2:$F$264,$A32,Schemes!$K$2:$K$264,"Under construction")</f>
        <v/>
      </c>
      <c r="D32" s="12">
        <f>SUMIFS(Schemes!$M$2:$M$264,Schemes!$F$2:$F$264,$A32,Schemes!$K$2:$K$264,"Not started – permission live")</f>
        <v/>
      </c>
      <c r="E32" s="12">
        <f>SUMIFS(Schemes!$M$2:$M$264,Schemes!$F$2:$F$264,$A32,Schemes!$K$2:$K$264,"Stalled (CIS)")</f>
        <v/>
      </c>
      <c r="F32" s="17">
        <f>SUM(B32:E32)</f>
        <v/>
      </c>
      <c r="G32" s="12">
        <f>SUMIFS(Schemes!$M$2:$M$264,Schemes!$F$2:$F$264,$A32,Schemes!$K$2:$K$264,"Not started – past expiry")</f>
        <v/>
      </c>
      <c r="H32" s="12">
        <f>SUMIFS(Schemes!$M$2:$M$264,Schemes!$F$2:$F$264,$A32,Schemes!$K$2:$K$264,"In planning")</f>
        <v/>
      </c>
    </row>
    <row r="33">
      <c r="A33" s="14" t="inlineStr">
        <is>
          <t>Total</t>
        </is>
      </c>
      <c r="B33" s="15">
        <f>SUM(B29:B32)</f>
        <v/>
      </c>
      <c r="C33" s="15">
        <f>SUM(C29:C32)</f>
        <v/>
      </c>
      <c r="D33" s="15">
        <f>SUM(D29:D32)</f>
        <v/>
      </c>
      <c r="E33" s="15">
        <f>SUM(E29:E32)</f>
        <v/>
      </c>
      <c r="F33" s="15">
        <f>SUM(F29:F32)</f>
        <v/>
      </c>
      <c r="G33" s="15">
        <f>SUM(G29:G32)</f>
        <v/>
      </c>
      <c r="H33" s="15">
        <f>SUM(H29:H32)</f>
        <v/>
      </c>
    </row>
    <row r="35">
      <c r="A35" s="10" t="inlineStr">
        <is>
          <t>3. Consented units by sector and location</t>
        </is>
      </c>
    </row>
    <row r="36">
      <c r="A36" s="3" t="inlineStr">
        <is>
          <t>Sector</t>
        </is>
      </c>
      <c r="B36" s="4" t="inlineStr">
        <is>
          <t>Audit land – within site</t>
        </is>
      </c>
      <c r="C36" s="4" t="inlineStr">
        <is>
          <t>Audit land – edge</t>
        </is>
      </c>
      <c r="D36" s="4" t="inlineStr">
        <is>
          <t>City – outside audit land</t>
        </is>
      </c>
      <c r="E36" s="4" t="inlineStr">
        <is>
          <t>County</t>
        </is>
      </c>
      <c r="F36" s="4" t="inlineStr">
        <is>
          <t>Total</t>
        </is>
      </c>
      <c r="G36" s="4" t="inlineStr">
        <is>
          <t>Share</t>
        </is>
      </c>
    </row>
    <row r="37">
      <c r="A37" s="11" t="inlineStr">
        <is>
          <t>Private</t>
        </is>
      </c>
      <c r="B37" s="12">
        <f>SUMIFS(Schemes!$M$2:$M$264,Schemes!$H$2:$H$264,$A37,Schemes!$F$2:$F$264,"Audit land – within site",Schemes!$K$2:$K$264,"&lt;&gt;Not started – past expiry",Schemes!$K$2:$K$264,"&lt;&gt;In planning")</f>
        <v/>
      </c>
      <c r="C37" s="12">
        <f>SUMIFS(Schemes!$M$2:$M$264,Schemes!$H$2:$H$264,$A37,Schemes!$F$2:$F$264,"Audit land – edge (check)",Schemes!$K$2:$K$264,"&lt;&gt;Not started – past expiry",Schemes!$K$2:$K$264,"&lt;&gt;In planning")</f>
        <v/>
      </c>
      <c r="D37" s="12">
        <f>SUMIFS(Schemes!$M$2:$M$264,Schemes!$H$2:$H$264,$A37,Schemes!$F$2:$F$264,"City – outside audit land",Schemes!$K$2:$K$264,"&lt;&gt;Not started – past expiry",Schemes!$K$2:$K$264,"&lt;&gt;In planning")</f>
        <v/>
      </c>
      <c r="E37" s="12">
        <f>SUMIFS(Schemes!$M$2:$M$264,Schemes!$H$2:$H$264,$A37,Schemes!$F$2:$F$264,"County – audit not yet supplied",Schemes!$K$2:$K$264,"&lt;&gt;Not started – past expiry",Schemes!$K$2:$K$264,"&lt;&gt;In planning")</f>
        <v/>
      </c>
      <c r="F37" s="17">
        <f>SUM(B37:E37)</f>
        <v/>
      </c>
      <c r="G37" s="18">
        <f>IF($F$41=0,0,F37/$F$41)</f>
        <v/>
      </c>
    </row>
    <row r="38">
      <c r="A38" s="11" t="inlineStr">
        <is>
          <t>Public – local authority</t>
        </is>
      </c>
      <c r="B38" s="12">
        <f>SUMIFS(Schemes!$M$2:$M$264,Schemes!$H$2:$H$264,$A38,Schemes!$F$2:$F$264,"Audit land – within site",Schemes!$K$2:$K$264,"&lt;&gt;Not started – past expiry",Schemes!$K$2:$K$264,"&lt;&gt;In planning")</f>
        <v/>
      </c>
      <c r="C38" s="12">
        <f>SUMIFS(Schemes!$M$2:$M$264,Schemes!$H$2:$H$264,$A38,Schemes!$F$2:$F$264,"Audit land – edge (check)",Schemes!$K$2:$K$264,"&lt;&gt;Not started – past expiry",Schemes!$K$2:$K$264,"&lt;&gt;In planning")</f>
        <v/>
      </c>
      <c r="D38" s="12">
        <f>SUMIFS(Schemes!$M$2:$M$264,Schemes!$H$2:$H$264,$A38,Schemes!$F$2:$F$264,"City – outside audit land",Schemes!$K$2:$K$264,"&lt;&gt;Not started – past expiry",Schemes!$K$2:$K$264,"&lt;&gt;In planning")</f>
        <v/>
      </c>
      <c r="E38" s="12">
        <f>SUMIFS(Schemes!$M$2:$M$264,Schemes!$H$2:$H$264,$A38,Schemes!$F$2:$F$264,"County – audit not yet supplied",Schemes!$K$2:$K$264,"&lt;&gt;Not started – past expiry",Schemes!$K$2:$K$264,"&lt;&gt;In planning")</f>
        <v/>
      </c>
      <c r="F38" s="17">
        <f>SUM(B38:E38)</f>
        <v/>
      </c>
      <c r="G38" s="18">
        <f>IF($F$41=0,0,F38/$F$41)</f>
        <v/>
      </c>
    </row>
    <row r="39">
      <c r="A39" s="11" t="inlineStr">
        <is>
          <t>Public – AHB</t>
        </is>
      </c>
      <c r="B39" s="12">
        <f>SUMIFS(Schemes!$M$2:$M$264,Schemes!$H$2:$H$264,$A39,Schemes!$F$2:$F$264,"Audit land – within site",Schemes!$K$2:$K$264,"&lt;&gt;Not started – past expiry",Schemes!$K$2:$K$264,"&lt;&gt;In planning")</f>
        <v/>
      </c>
      <c r="C39" s="12">
        <f>SUMIFS(Schemes!$M$2:$M$264,Schemes!$H$2:$H$264,$A39,Schemes!$F$2:$F$264,"Audit land – edge (check)",Schemes!$K$2:$K$264,"&lt;&gt;Not started – past expiry",Schemes!$K$2:$K$264,"&lt;&gt;In planning")</f>
        <v/>
      </c>
      <c r="D39" s="12">
        <f>SUMIFS(Schemes!$M$2:$M$264,Schemes!$H$2:$H$264,$A39,Schemes!$F$2:$F$264,"City – outside audit land",Schemes!$K$2:$K$264,"&lt;&gt;Not started – past expiry",Schemes!$K$2:$K$264,"&lt;&gt;In planning")</f>
        <v/>
      </c>
      <c r="E39" s="12">
        <f>SUMIFS(Schemes!$M$2:$M$264,Schemes!$H$2:$H$264,$A39,Schemes!$F$2:$F$264,"County – audit not yet supplied",Schemes!$K$2:$K$264,"&lt;&gt;Not started – past expiry",Schemes!$K$2:$K$264,"&lt;&gt;In planning")</f>
        <v/>
      </c>
      <c r="F39" s="17">
        <f>SUM(B39:E39)</f>
        <v/>
      </c>
      <c r="G39" s="18">
        <f>IF($F$41=0,0,F39/$F$41)</f>
        <v/>
      </c>
    </row>
    <row r="40">
      <c r="A40" s="11" t="inlineStr">
        <is>
          <t>Public – LDA</t>
        </is>
      </c>
      <c r="B40" s="12">
        <f>SUMIFS(Schemes!$M$2:$M$264,Schemes!$H$2:$H$264,$A40,Schemes!$F$2:$F$264,"Audit land – within site",Schemes!$K$2:$K$264,"&lt;&gt;Not started – past expiry",Schemes!$K$2:$K$264,"&lt;&gt;In planning")</f>
        <v/>
      </c>
      <c r="C40" s="12">
        <f>SUMIFS(Schemes!$M$2:$M$264,Schemes!$H$2:$H$264,$A40,Schemes!$F$2:$F$264,"Audit land – edge (check)",Schemes!$K$2:$K$264,"&lt;&gt;Not started – past expiry",Schemes!$K$2:$K$264,"&lt;&gt;In planning")</f>
        <v/>
      </c>
      <c r="D40" s="12">
        <f>SUMIFS(Schemes!$M$2:$M$264,Schemes!$H$2:$H$264,$A40,Schemes!$F$2:$F$264,"City – outside audit land",Schemes!$K$2:$K$264,"&lt;&gt;Not started – past expiry",Schemes!$K$2:$K$264,"&lt;&gt;In planning")</f>
        <v/>
      </c>
      <c r="E40" s="12">
        <f>SUMIFS(Schemes!$M$2:$M$264,Schemes!$H$2:$H$264,$A40,Schemes!$F$2:$F$264,"County – audit not yet supplied",Schemes!$K$2:$K$264,"&lt;&gt;Not started – past expiry",Schemes!$K$2:$K$264,"&lt;&gt;In planning")</f>
        <v/>
      </c>
      <c r="F40" s="17">
        <f>SUM(B40:E40)</f>
        <v/>
      </c>
      <c r="G40" s="18">
        <f>IF($F$41=0,0,F40/$F$41)</f>
        <v/>
      </c>
    </row>
    <row r="41">
      <c r="A41" s="14" t="inlineStr">
        <is>
          <t>Total</t>
        </is>
      </c>
      <c r="B41" s="15">
        <f>SUM(B37:B40)</f>
        <v/>
      </c>
      <c r="C41" s="15">
        <f>SUM(C37:C40)</f>
        <v/>
      </c>
      <c r="D41" s="15">
        <f>SUM(D37:D40)</f>
        <v/>
      </c>
      <c r="E41" s="15">
        <f>SUM(E37:E40)</f>
        <v/>
      </c>
      <c r="F41" s="15">
        <f>SUM(F37:F40)</f>
        <v/>
      </c>
      <c r="G41" s="19">
        <f>IF($F$41=0,0,F41/$F$41)</f>
        <v/>
      </c>
    </row>
    <row r="42">
      <c r="A42" s="20" t="inlineStr">
        <is>
          <t>Public subtotal (LA + AHB + LDA)</t>
        </is>
      </c>
      <c r="B42" s="17">
        <f>SUM(B38:B40)</f>
        <v/>
      </c>
      <c r="C42" s="17">
        <f>SUM(C38:C40)</f>
        <v/>
      </c>
      <c r="D42" s="17">
        <f>SUM(D38:D40)</f>
        <v/>
      </c>
      <c r="E42" s="17">
        <f>SUM(E38:E40)</f>
        <v/>
      </c>
      <c r="F42" s="17">
        <f>SUM(F38:F40)</f>
        <v/>
      </c>
      <c r="G42" s="21">
        <f>IF($F$41=0,0,F42/$F$41)</f>
        <v/>
      </c>
    </row>
    <row r="44">
      <c r="A44" s="10" t="inlineStr">
        <is>
          <t>4. Expected completions by year and sector (consented, not yet complete)</t>
        </is>
      </c>
    </row>
    <row r="45">
      <c r="A45" s="3" t="inlineStr">
        <is>
          <t>Sector</t>
        </is>
      </c>
      <c r="B45" s="4" t="inlineStr">
        <is>
          <t>Q4 2026</t>
        </is>
      </c>
      <c r="C45" s="4" t="inlineStr">
        <is>
          <t>2027</t>
        </is>
      </c>
      <c r="D45" s="4" t="inlineStr">
        <is>
          <t>2028</t>
        </is>
      </c>
      <c r="E45" s="4" t="inlineStr">
        <is>
          <t>2029</t>
        </is>
      </c>
      <c r="F45" s="4" t="inlineStr">
        <is>
          <t>2030</t>
        </is>
      </c>
      <c r="G45" s="4" t="inlineStr">
        <is>
          <t>2031+</t>
        </is>
      </c>
      <c r="H45" s="4" t="inlineStr">
        <is>
          <t>Total projected</t>
        </is>
      </c>
      <c r="I45" s="4" t="inlineStr">
        <is>
          <t>Not projected*</t>
        </is>
      </c>
    </row>
    <row r="46">
      <c r="A46" s="11" t="inlineStr">
        <is>
          <t>Private</t>
        </is>
      </c>
      <c r="B46" s="12">
        <f>SUMIFS(Schemes!$W$2:$W$264,Schemes!$H$2:$H$264,$A46)</f>
        <v/>
      </c>
      <c r="C46" s="12">
        <f>SUMIFS(Schemes!$X$2:$X$264,Schemes!$H$2:$H$264,$A46)</f>
        <v/>
      </c>
      <c r="D46" s="12">
        <f>SUMIFS(Schemes!$Y$2:$Y$264,Schemes!$H$2:$H$264,$A46)</f>
        <v/>
      </c>
      <c r="E46" s="12">
        <f>SUMIFS(Schemes!$Z$2:$Z$264,Schemes!$H$2:$H$264,$A46)</f>
        <v/>
      </c>
      <c r="F46" s="12">
        <f>SUMIFS(Schemes!$AA$2:$AA$264,Schemes!$H$2:$H$264,$A46)</f>
        <v/>
      </c>
      <c r="G46" s="12">
        <f>SUMIFS(Schemes!$AB$2:$AB$264,Schemes!$H$2:$H$264,$A46)</f>
        <v/>
      </c>
      <c r="H46" s="17">
        <f>SUM(B46:G46)</f>
        <v/>
      </c>
      <c r="I46" s="12">
        <f>SUMIFS(Schemes!$AC$2:$AC$264,Schemes!$H$2:$H$264,$A46)</f>
        <v/>
      </c>
    </row>
    <row r="47">
      <c r="A47" s="11" t="inlineStr">
        <is>
          <t>Public – local authority</t>
        </is>
      </c>
      <c r="B47" s="12">
        <f>SUMIFS(Schemes!$W$2:$W$264,Schemes!$H$2:$H$264,$A47)</f>
        <v/>
      </c>
      <c r="C47" s="12">
        <f>SUMIFS(Schemes!$X$2:$X$264,Schemes!$H$2:$H$264,$A47)</f>
        <v/>
      </c>
      <c r="D47" s="12">
        <f>SUMIFS(Schemes!$Y$2:$Y$264,Schemes!$H$2:$H$264,$A47)</f>
        <v/>
      </c>
      <c r="E47" s="12">
        <f>SUMIFS(Schemes!$Z$2:$Z$264,Schemes!$H$2:$H$264,$A47)</f>
        <v/>
      </c>
      <c r="F47" s="12">
        <f>SUMIFS(Schemes!$AA$2:$AA$264,Schemes!$H$2:$H$264,$A47)</f>
        <v/>
      </c>
      <c r="G47" s="12">
        <f>SUMIFS(Schemes!$AB$2:$AB$264,Schemes!$H$2:$H$264,$A47)</f>
        <v/>
      </c>
      <c r="H47" s="17">
        <f>SUM(B47:G47)</f>
        <v/>
      </c>
      <c r="I47" s="12">
        <f>SUMIFS(Schemes!$AC$2:$AC$264,Schemes!$H$2:$H$264,$A47)</f>
        <v/>
      </c>
    </row>
    <row r="48">
      <c r="A48" s="11" t="inlineStr">
        <is>
          <t>Public – AHB</t>
        </is>
      </c>
      <c r="B48" s="12">
        <f>SUMIFS(Schemes!$W$2:$W$264,Schemes!$H$2:$H$264,$A48)</f>
        <v/>
      </c>
      <c r="C48" s="12">
        <f>SUMIFS(Schemes!$X$2:$X$264,Schemes!$H$2:$H$264,$A48)</f>
        <v/>
      </c>
      <c r="D48" s="12">
        <f>SUMIFS(Schemes!$Y$2:$Y$264,Schemes!$H$2:$H$264,$A48)</f>
        <v/>
      </c>
      <c r="E48" s="12">
        <f>SUMIFS(Schemes!$Z$2:$Z$264,Schemes!$H$2:$H$264,$A48)</f>
        <v/>
      </c>
      <c r="F48" s="12">
        <f>SUMIFS(Schemes!$AA$2:$AA$264,Schemes!$H$2:$H$264,$A48)</f>
        <v/>
      </c>
      <c r="G48" s="12">
        <f>SUMIFS(Schemes!$AB$2:$AB$264,Schemes!$H$2:$H$264,$A48)</f>
        <v/>
      </c>
      <c r="H48" s="17">
        <f>SUM(B48:G48)</f>
        <v/>
      </c>
      <c r="I48" s="12">
        <f>SUMIFS(Schemes!$AC$2:$AC$264,Schemes!$H$2:$H$264,$A48)</f>
        <v/>
      </c>
    </row>
    <row r="49">
      <c r="A49" s="11" t="inlineStr">
        <is>
          <t>Public – LDA</t>
        </is>
      </c>
      <c r="B49" s="12">
        <f>SUMIFS(Schemes!$W$2:$W$264,Schemes!$H$2:$H$264,$A49)</f>
        <v/>
      </c>
      <c r="C49" s="12">
        <f>SUMIFS(Schemes!$X$2:$X$264,Schemes!$H$2:$H$264,$A49)</f>
        <v/>
      </c>
      <c r="D49" s="12">
        <f>SUMIFS(Schemes!$Y$2:$Y$264,Schemes!$H$2:$H$264,$A49)</f>
        <v/>
      </c>
      <c r="E49" s="12">
        <f>SUMIFS(Schemes!$Z$2:$Z$264,Schemes!$H$2:$H$264,$A49)</f>
        <v/>
      </c>
      <c r="F49" s="12">
        <f>SUMIFS(Schemes!$AA$2:$AA$264,Schemes!$H$2:$H$264,$A49)</f>
        <v/>
      </c>
      <c r="G49" s="12">
        <f>SUMIFS(Schemes!$AB$2:$AB$264,Schemes!$H$2:$H$264,$A49)</f>
        <v/>
      </c>
      <c r="H49" s="17">
        <f>SUM(B49:G49)</f>
        <v/>
      </c>
      <c r="I49" s="12">
        <f>SUMIFS(Schemes!$AC$2:$AC$264,Schemes!$H$2:$H$264,$A49)</f>
        <v/>
      </c>
    </row>
    <row r="50">
      <c r="A50" s="14" t="inlineStr">
        <is>
          <t>Total</t>
        </is>
      </c>
      <c r="B50" s="15">
        <f>SUM(B46:B49)</f>
        <v/>
      </c>
      <c r="C50" s="15">
        <f>SUM(C46:C49)</f>
        <v/>
      </c>
      <c r="D50" s="15">
        <f>SUM(D46:D49)</f>
        <v/>
      </c>
      <c r="E50" s="15">
        <f>SUM(E46:E49)</f>
        <v/>
      </c>
      <c r="F50" s="15">
        <f>SUM(F46:F49)</f>
        <v/>
      </c>
      <c r="G50" s="15">
        <f>SUM(G46:G49)</f>
        <v/>
      </c>
      <c r="H50" s="15">
        <f>SUM(H46:H49)</f>
        <v/>
      </c>
      <c r="I50" s="15">
        <f>SUM(I46:I49)</f>
        <v/>
      </c>
    </row>
    <row r="51">
      <c r="A51" s="9" t="inlineStr">
        <is>
          <t>* Stalled, expired or still in planning. Shown for reference, not placed in a year.</t>
        </is>
      </c>
    </row>
    <row r="53">
      <c r="A53" s="10" t="inlineStr">
        <is>
          <t>5. Expected completions by year and location</t>
        </is>
      </c>
    </row>
    <row r="54">
      <c r="A54" s="3" t="inlineStr">
        <is>
          <t>Location</t>
        </is>
      </c>
      <c r="B54" s="4" t="inlineStr">
        <is>
          <t>Q4 2026</t>
        </is>
      </c>
      <c r="C54" s="4" t="inlineStr">
        <is>
          <t>2027</t>
        </is>
      </c>
      <c r="D54" s="4" t="inlineStr">
        <is>
          <t>2028</t>
        </is>
      </c>
      <c r="E54" s="4" t="inlineStr">
        <is>
          <t>2029</t>
        </is>
      </c>
      <c r="F54" s="4" t="inlineStr">
        <is>
          <t>2030</t>
        </is>
      </c>
      <c r="G54" s="4" t="inlineStr">
        <is>
          <t>2031+</t>
        </is>
      </c>
      <c r="H54" s="4" t="inlineStr">
        <is>
          <t>Total projected</t>
        </is>
      </c>
    </row>
    <row r="55">
      <c r="A55" s="11" t="inlineStr">
        <is>
          <t>Audit land – within site</t>
        </is>
      </c>
      <c r="B55" s="12">
        <f>SUMIFS(Schemes!$W$2:$W$264,Schemes!$F$2:$F$264,$A55)</f>
        <v/>
      </c>
      <c r="C55" s="12">
        <f>SUMIFS(Schemes!$X$2:$X$264,Schemes!$F$2:$F$264,$A55)</f>
        <v/>
      </c>
      <c r="D55" s="12">
        <f>SUMIFS(Schemes!$Y$2:$Y$264,Schemes!$F$2:$F$264,$A55)</f>
        <v/>
      </c>
      <c r="E55" s="12">
        <f>SUMIFS(Schemes!$Z$2:$Z$264,Schemes!$F$2:$F$264,$A55)</f>
        <v/>
      </c>
      <c r="F55" s="12">
        <f>SUMIFS(Schemes!$AA$2:$AA$264,Schemes!$F$2:$F$264,$A55)</f>
        <v/>
      </c>
      <c r="G55" s="12">
        <f>SUMIFS(Schemes!$AB$2:$AB$264,Schemes!$F$2:$F$264,$A55)</f>
        <v/>
      </c>
      <c r="H55" s="17">
        <f>SUM(B55:G55)</f>
        <v/>
      </c>
    </row>
    <row r="56">
      <c r="A56" s="11" t="inlineStr">
        <is>
          <t>Audit land – edge (check)</t>
        </is>
      </c>
      <c r="B56" s="12">
        <f>SUMIFS(Schemes!$W$2:$W$264,Schemes!$F$2:$F$264,$A56)</f>
        <v/>
      </c>
      <c r="C56" s="12">
        <f>SUMIFS(Schemes!$X$2:$X$264,Schemes!$F$2:$F$264,$A56)</f>
        <v/>
      </c>
      <c r="D56" s="12">
        <f>SUMIFS(Schemes!$Y$2:$Y$264,Schemes!$F$2:$F$264,$A56)</f>
        <v/>
      </c>
      <c r="E56" s="12">
        <f>SUMIFS(Schemes!$Z$2:$Z$264,Schemes!$F$2:$F$264,$A56)</f>
        <v/>
      </c>
      <c r="F56" s="12">
        <f>SUMIFS(Schemes!$AA$2:$AA$264,Schemes!$F$2:$F$264,$A56)</f>
        <v/>
      </c>
      <c r="G56" s="12">
        <f>SUMIFS(Schemes!$AB$2:$AB$264,Schemes!$F$2:$F$264,$A56)</f>
        <v/>
      </c>
      <c r="H56" s="17">
        <f>SUM(B56:G56)</f>
        <v/>
      </c>
    </row>
    <row r="57">
      <c r="A57" s="11" t="inlineStr">
        <is>
          <t>City – outside audit land</t>
        </is>
      </c>
      <c r="B57" s="12">
        <f>SUMIFS(Schemes!$W$2:$W$264,Schemes!$F$2:$F$264,$A57)</f>
        <v/>
      </c>
      <c r="C57" s="12">
        <f>SUMIFS(Schemes!$X$2:$X$264,Schemes!$F$2:$F$264,$A57)</f>
        <v/>
      </c>
      <c r="D57" s="12">
        <f>SUMIFS(Schemes!$Y$2:$Y$264,Schemes!$F$2:$F$264,$A57)</f>
        <v/>
      </c>
      <c r="E57" s="12">
        <f>SUMIFS(Schemes!$Z$2:$Z$264,Schemes!$F$2:$F$264,$A57)</f>
        <v/>
      </c>
      <c r="F57" s="12">
        <f>SUMIFS(Schemes!$AA$2:$AA$264,Schemes!$F$2:$F$264,$A57)</f>
        <v/>
      </c>
      <c r="G57" s="12">
        <f>SUMIFS(Schemes!$AB$2:$AB$264,Schemes!$F$2:$F$264,$A57)</f>
        <v/>
      </c>
      <c r="H57" s="17">
        <f>SUM(B57:G57)</f>
        <v/>
      </c>
    </row>
    <row r="58">
      <c r="A58" s="11" t="inlineStr">
        <is>
          <t>County – audit not yet supplied</t>
        </is>
      </c>
      <c r="B58" s="12">
        <f>SUMIFS(Schemes!$W$2:$W$264,Schemes!$F$2:$F$264,$A58)</f>
        <v/>
      </c>
      <c r="C58" s="12">
        <f>SUMIFS(Schemes!$X$2:$X$264,Schemes!$F$2:$F$264,$A58)</f>
        <v/>
      </c>
      <c r="D58" s="12">
        <f>SUMIFS(Schemes!$Y$2:$Y$264,Schemes!$F$2:$F$264,$A58)</f>
        <v/>
      </c>
      <c r="E58" s="12">
        <f>SUMIFS(Schemes!$Z$2:$Z$264,Schemes!$F$2:$F$264,$A58)</f>
        <v/>
      </c>
      <c r="F58" s="12">
        <f>SUMIFS(Schemes!$AA$2:$AA$264,Schemes!$F$2:$F$264,$A58)</f>
        <v/>
      </c>
      <c r="G58" s="12">
        <f>SUMIFS(Schemes!$AB$2:$AB$264,Schemes!$F$2:$F$264,$A58)</f>
        <v/>
      </c>
      <c r="H58" s="17">
        <f>SUM(B58:G58)</f>
        <v/>
      </c>
    </row>
    <row r="59">
      <c r="A59" s="14" t="inlineStr">
        <is>
          <t>Total</t>
        </is>
      </c>
      <c r="B59" s="15">
        <f>SUM(B55:B58)</f>
        <v/>
      </c>
      <c r="C59" s="15">
        <f>SUM(C55:C58)</f>
        <v/>
      </c>
      <c r="D59" s="15">
        <f>SUM(D55:D58)</f>
        <v/>
      </c>
      <c r="E59" s="15">
        <f>SUM(E55:E58)</f>
        <v/>
      </c>
      <c r="F59" s="15">
        <f>SUM(F55:F58)</f>
        <v/>
      </c>
      <c r="G59" s="15">
        <f>SUM(G55:G58)</f>
        <v/>
      </c>
      <c r="H59" s="15">
        <f>SUM(H55:H58)</f>
        <v/>
      </c>
    </row>
    <row r="61">
      <c r="A61" s="10" t="inlineStr">
        <is>
          <t>6. Expected completions by year and confidence</t>
        </is>
      </c>
    </row>
    <row r="62">
      <c r="A62" s="3" t="inlineStr">
        <is>
          <t>Confidence</t>
        </is>
      </c>
      <c r="B62" s="4" t="inlineStr">
        <is>
          <t>Q4 2026</t>
        </is>
      </c>
      <c r="C62" s="4" t="inlineStr">
        <is>
          <t>2027</t>
        </is>
      </c>
      <c r="D62" s="4" t="inlineStr">
        <is>
          <t>2028</t>
        </is>
      </c>
      <c r="E62" s="4" t="inlineStr">
        <is>
          <t>2029</t>
        </is>
      </c>
      <c r="F62" s="4" t="inlineStr">
        <is>
          <t>2030</t>
        </is>
      </c>
      <c r="G62" s="4" t="inlineStr">
        <is>
          <t>2031+</t>
        </is>
      </c>
      <c r="H62" s="4" t="inlineStr">
        <is>
          <t>Total projected</t>
        </is>
      </c>
    </row>
    <row r="63">
      <c r="A63" s="11" t="inlineStr">
        <is>
          <t>High</t>
        </is>
      </c>
      <c r="B63" s="12">
        <f>SUMIFS(Schemes!$W$2:$W$264,Schemes!$T$2:$T$264,$A63)</f>
        <v/>
      </c>
      <c r="C63" s="12">
        <f>SUMIFS(Schemes!$X$2:$X$264,Schemes!$T$2:$T$264,$A63)</f>
        <v/>
      </c>
      <c r="D63" s="12">
        <f>SUMIFS(Schemes!$Y$2:$Y$264,Schemes!$T$2:$T$264,$A63)</f>
        <v/>
      </c>
      <c r="E63" s="12">
        <f>SUMIFS(Schemes!$Z$2:$Z$264,Schemes!$T$2:$T$264,$A63)</f>
        <v/>
      </c>
      <c r="F63" s="12">
        <f>SUMIFS(Schemes!$AA$2:$AA$264,Schemes!$T$2:$T$264,$A63)</f>
        <v/>
      </c>
      <c r="G63" s="12">
        <f>SUMIFS(Schemes!$AB$2:$AB$264,Schemes!$T$2:$T$264,$A63)</f>
        <v/>
      </c>
      <c r="H63" s="17">
        <f>SUM(B63:G63)</f>
        <v/>
      </c>
    </row>
    <row r="64">
      <c r="A64" s="11" t="inlineStr">
        <is>
          <t>Medium</t>
        </is>
      </c>
      <c r="B64" s="12">
        <f>SUMIFS(Schemes!$W$2:$W$264,Schemes!$T$2:$T$264,$A64)</f>
        <v/>
      </c>
      <c r="C64" s="12">
        <f>SUMIFS(Schemes!$X$2:$X$264,Schemes!$T$2:$T$264,$A64)</f>
        <v/>
      </c>
      <c r="D64" s="12">
        <f>SUMIFS(Schemes!$Y$2:$Y$264,Schemes!$T$2:$T$264,$A64)</f>
        <v/>
      </c>
      <c r="E64" s="12">
        <f>SUMIFS(Schemes!$Z$2:$Z$264,Schemes!$T$2:$T$264,$A64)</f>
        <v/>
      </c>
      <c r="F64" s="12">
        <f>SUMIFS(Schemes!$AA$2:$AA$264,Schemes!$T$2:$T$264,$A64)</f>
        <v/>
      </c>
      <c r="G64" s="12">
        <f>SUMIFS(Schemes!$AB$2:$AB$264,Schemes!$T$2:$T$264,$A64)</f>
        <v/>
      </c>
      <c r="H64" s="17">
        <f>SUM(B64:G64)</f>
        <v/>
      </c>
    </row>
    <row r="65">
      <c r="A65" s="11" t="inlineStr">
        <is>
          <t>Low</t>
        </is>
      </c>
      <c r="B65" s="12">
        <f>SUMIFS(Schemes!$W$2:$W$264,Schemes!$T$2:$T$264,$A65)</f>
        <v/>
      </c>
      <c r="C65" s="12">
        <f>SUMIFS(Schemes!$X$2:$X$264,Schemes!$T$2:$T$264,$A65)</f>
        <v/>
      </c>
      <c r="D65" s="12">
        <f>SUMIFS(Schemes!$Y$2:$Y$264,Schemes!$T$2:$T$264,$A65)</f>
        <v/>
      </c>
      <c r="E65" s="12">
        <f>SUMIFS(Schemes!$Z$2:$Z$264,Schemes!$T$2:$T$264,$A65)</f>
        <v/>
      </c>
      <c r="F65" s="12">
        <f>SUMIFS(Schemes!$AA$2:$AA$264,Schemes!$T$2:$T$264,$A65)</f>
        <v/>
      </c>
      <c r="G65" s="12">
        <f>SUMIFS(Schemes!$AB$2:$AB$264,Schemes!$T$2:$T$264,$A65)</f>
        <v/>
      </c>
      <c r="H65" s="17">
        <f>SUM(B65:G65)</f>
        <v/>
      </c>
    </row>
    <row r="66">
      <c r="A66" s="14" t="inlineStr">
        <is>
          <t>Total</t>
        </is>
      </c>
      <c r="B66" s="15">
        <f>SUM(B63:B65)</f>
        <v/>
      </c>
      <c r="C66" s="15">
        <f>SUM(C63:C65)</f>
        <v/>
      </c>
      <c r="D66" s="15">
        <f>SUM(D63:D65)</f>
        <v/>
      </c>
      <c r="E66" s="15">
        <f>SUM(E63:E65)</f>
        <v/>
      </c>
      <c r="F66" s="15">
        <f>SUM(F63:F65)</f>
        <v/>
      </c>
      <c r="G66" s="15">
        <f>SUM(G63:G65)</f>
        <v/>
      </c>
      <c r="H66" s="15">
        <f>SUM(H63:H65)</f>
        <v/>
      </c>
    </row>
    <row r="67">
      <c r="A67" s="9" t="inlineStr">
        <is>
          <t>High = on site. Medium = permitted and within the usual time to start, or at tender / contract awarded. Low = permitted but past the usual start date with no commencement, or expiry falls before the assumed start.</t>
        </is>
      </c>
    </row>
    <row r="69">
      <c r="A69" s="10" t="inlineStr">
        <is>
          <t>Interpretation</t>
        </is>
      </c>
    </row>
    <row r="70" ht="27" customHeight="1">
      <c r="A70" s="22" t="inlineStr">
        <is>
          <t>• Consents within audit sites cover 37% of the estimated capacity on audit land. Most audit land has no permission yet.</t>
        </is>
      </c>
    </row>
    <row r="71" ht="27" customHeight="1">
      <c r="A71" s="22" t="inlineStr">
        <is>
          <t>• 33% of consented units in the city are outside the audit land. 2,313 of those are complete or under construction, so this is real supply that a site-based target would miss.</t>
        </is>
      </c>
    </row>
    <row r="72" ht="27" customHeight="1">
      <c r="A72" s="22" t="inlineStr">
        <is>
          <t>• 4,064 units are under construction. These are the most reliable part of the next two years.</t>
        </is>
      </c>
    </row>
    <row r="73" ht="27" customHeight="1">
      <c r="A73" s="22" t="inlineStr">
        <is>
          <t>• 4,981 units have a live permission but no start. 1,417 of them are past the usual time to start or close to expiry, so they are rated low confidence.</t>
        </is>
      </c>
    </row>
    <row r="74" ht="27" customHeight="1">
      <c r="A74" s="22" t="inlineStr">
        <is>
          <t>• Public bodies (council, AHBs, LDA) hold 15% of consented units.</t>
        </is>
      </c>
    </row>
    <row r="75" ht="27" customHeight="1">
      <c r="A75" s="22" t="inlineStr">
        <is>
          <t>• Projected completions peak in 2027. Figures after 2028 depend mostly on permissions that have not started, so treat them as an upper figure.</t>
        </is>
      </c>
    </row>
    <row r="76" ht="27" customHeight="1">
      <c r="A76" s="22" t="inlineStr">
        <is>
          <t>• Delivery years are our estimates from timings observed in Limerick (see Assumptions). They are not developer programmes.</t>
        </is>
      </c>
    </row>
  </sheetData>
  <mergeCells count="7">
    <mergeCell ref="A73:I73"/>
    <mergeCell ref="A71:I71"/>
    <mergeCell ref="A75:I75"/>
    <mergeCell ref="A76:I76"/>
    <mergeCell ref="A70:I70"/>
    <mergeCell ref="A74:I74"/>
    <mergeCell ref="A72:I7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Breakdowns</t>
        </is>
      </c>
    </row>
    <row r="3">
      <c r="A3" s="10" t="inlineStr">
        <is>
          <t>City neighbourhoods: audit land, capacity and consents</t>
        </is>
      </c>
    </row>
    <row r="4">
      <c r="A4" s="3" t="inlineStr">
        <is>
          <t>Neighbourhood</t>
        </is>
      </c>
      <c r="B4" s="4" t="inlineStr">
        <is>
          <t>Audit sites</t>
        </is>
      </c>
      <c r="C4" s="4" t="inlineStr">
        <is>
          <t>Area (ha)</t>
        </is>
      </c>
      <c r="D4" s="4" t="inlineStr">
        <is>
          <t>Capacity</t>
        </is>
      </c>
      <c r="E4" s="4" t="inlineStr">
        <is>
          <t>Consented within sites</t>
        </is>
      </c>
      <c r="F4" s="4" t="inlineStr">
        <is>
          <t>Residual</t>
        </is>
      </c>
      <c r="G4" s="4" t="inlineStr">
        <is>
          <t>Consented, edge</t>
        </is>
      </c>
      <c r="H4" s="4" t="inlineStr">
        <is>
          <t>Consented outside audit land</t>
        </is>
      </c>
      <c r="I4" s="4" t="inlineStr">
        <is>
          <t>All consented</t>
        </is>
      </c>
    </row>
    <row r="5">
      <c r="A5" s="11" t="inlineStr">
        <is>
          <t>Ballinacurra</t>
        </is>
      </c>
      <c r="B5" s="12">
        <f>COUNTIFS(Sites!$C$2:$C$134,$A5)</f>
        <v/>
      </c>
      <c r="C5" s="13">
        <f>SUMIFS(Sites!$I$2:$I$134,Sites!$C$2:$C$134,$A5)</f>
        <v/>
      </c>
      <c r="D5" s="12">
        <f>SUMIFS(Sites!$J$2:$J$134,Sites!$C$2:$C$134,$A5)</f>
        <v/>
      </c>
      <c r="E5" s="12">
        <f>SUMIFS(Schemes!$M$2:$M$264,Schemes!$D$2:$D$264,$A5,Schemes!$F$2:$F$264,"Audit land – within site",Schemes!$K$2:$K$264,"&lt;&gt;Not started – past expiry",Schemes!$K$2:$K$264,"&lt;&gt;In planning")</f>
        <v/>
      </c>
      <c r="F5" s="12">
        <f>SUMIFS(Sites!$O$2:$O$134,Sites!$C$2:$C$134,$A5)</f>
        <v/>
      </c>
      <c r="G5" s="12">
        <f>SUMIFS(Schemes!$M$2:$M$264,Schemes!$D$2:$D$264,$A5,Schemes!$F$2:$F$264,"Audit land – edge (check)",Schemes!$K$2:$K$264,"&lt;&gt;Not started – past expiry",Schemes!$K$2:$K$264,"&lt;&gt;In planning")</f>
        <v/>
      </c>
      <c r="H5" s="12">
        <f>SUMIFS(Schemes!$M$2:$M$264,Schemes!$D$2:$D$264,$A5,Schemes!$F$2:$F$264,"City – outside audit land",Schemes!$K$2:$K$264,"&lt;&gt;Not started – past expiry",Schemes!$K$2:$K$264,"&lt;&gt;In planning")</f>
        <v/>
      </c>
      <c r="I5" s="17">
        <f>E5+G5+H5</f>
        <v/>
      </c>
    </row>
    <row r="6">
      <c r="A6" s="11" t="inlineStr">
        <is>
          <t>Caherdavin</t>
        </is>
      </c>
      <c r="B6" s="12">
        <f>COUNTIFS(Sites!$C$2:$C$134,$A6)</f>
        <v/>
      </c>
      <c r="C6" s="13">
        <f>SUMIFS(Sites!$I$2:$I$134,Sites!$C$2:$C$134,$A6)</f>
        <v/>
      </c>
      <c r="D6" s="12">
        <f>SUMIFS(Sites!$J$2:$J$134,Sites!$C$2:$C$134,$A6)</f>
        <v/>
      </c>
      <c r="E6" s="12">
        <f>SUMIFS(Schemes!$M$2:$M$264,Schemes!$D$2:$D$264,$A6,Schemes!$F$2:$F$264,"Audit land – within site",Schemes!$K$2:$K$264,"&lt;&gt;Not started – past expiry",Schemes!$K$2:$K$264,"&lt;&gt;In planning")</f>
        <v/>
      </c>
      <c r="F6" s="12">
        <f>SUMIFS(Sites!$O$2:$O$134,Sites!$C$2:$C$134,$A6)</f>
        <v/>
      </c>
      <c r="G6" s="12">
        <f>SUMIFS(Schemes!$M$2:$M$264,Schemes!$D$2:$D$264,$A6,Schemes!$F$2:$F$264,"Audit land – edge (check)",Schemes!$K$2:$K$264,"&lt;&gt;Not started – past expiry",Schemes!$K$2:$K$264,"&lt;&gt;In planning")</f>
        <v/>
      </c>
      <c r="H6" s="12">
        <f>SUMIFS(Schemes!$M$2:$M$264,Schemes!$D$2:$D$264,$A6,Schemes!$F$2:$F$264,"City – outside audit land",Schemes!$K$2:$K$264,"&lt;&gt;Not started – past expiry",Schemes!$K$2:$K$264,"&lt;&gt;In planning")</f>
        <v/>
      </c>
      <c r="I6" s="17">
        <f>E6+G6+H6</f>
        <v/>
      </c>
    </row>
    <row r="7">
      <c r="A7" s="11" t="inlineStr">
        <is>
          <t>Castletroy/Annacotty</t>
        </is>
      </c>
      <c r="B7" s="12">
        <f>COUNTIFS(Sites!$C$2:$C$134,$A7)</f>
        <v/>
      </c>
      <c r="C7" s="13">
        <f>SUMIFS(Sites!$I$2:$I$134,Sites!$C$2:$C$134,$A7)</f>
        <v/>
      </c>
      <c r="D7" s="12">
        <f>SUMIFS(Sites!$J$2:$J$134,Sites!$C$2:$C$134,$A7)</f>
        <v/>
      </c>
      <c r="E7" s="12">
        <f>SUMIFS(Schemes!$M$2:$M$264,Schemes!$D$2:$D$264,$A7,Schemes!$F$2:$F$264,"Audit land – within site",Schemes!$K$2:$K$264,"&lt;&gt;Not started – past expiry",Schemes!$K$2:$K$264,"&lt;&gt;In planning")</f>
        <v/>
      </c>
      <c r="F7" s="12">
        <f>SUMIFS(Sites!$O$2:$O$134,Sites!$C$2:$C$134,$A7)</f>
        <v/>
      </c>
      <c r="G7" s="12">
        <f>SUMIFS(Schemes!$M$2:$M$264,Schemes!$D$2:$D$264,$A7,Schemes!$F$2:$F$264,"Audit land – edge (check)",Schemes!$K$2:$K$264,"&lt;&gt;Not started – past expiry",Schemes!$K$2:$K$264,"&lt;&gt;In planning")</f>
        <v/>
      </c>
      <c r="H7" s="12">
        <f>SUMIFS(Schemes!$M$2:$M$264,Schemes!$D$2:$D$264,$A7,Schemes!$F$2:$F$264,"City – outside audit land",Schemes!$K$2:$K$264,"&lt;&gt;Not started – past expiry",Schemes!$K$2:$K$264,"&lt;&gt;In planning")</f>
        <v/>
      </c>
      <c r="I7" s="17">
        <f>E7+G7+H7</f>
        <v/>
      </c>
    </row>
    <row r="8">
      <c r="A8" s="11" t="inlineStr">
        <is>
          <t>City Centre</t>
        </is>
      </c>
      <c r="B8" s="12">
        <f>COUNTIFS(Sites!$C$2:$C$134,$A8)</f>
        <v/>
      </c>
      <c r="C8" s="13">
        <f>SUMIFS(Sites!$I$2:$I$134,Sites!$C$2:$C$134,$A8)</f>
        <v/>
      </c>
      <c r="D8" s="12">
        <f>SUMIFS(Sites!$J$2:$J$134,Sites!$C$2:$C$134,$A8)</f>
        <v/>
      </c>
      <c r="E8" s="12">
        <f>SUMIFS(Schemes!$M$2:$M$264,Schemes!$D$2:$D$264,$A8,Schemes!$F$2:$F$264,"Audit land – within site",Schemes!$K$2:$K$264,"&lt;&gt;Not started – past expiry",Schemes!$K$2:$K$264,"&lt;&gt;In planning")</f>
        <v/>
      </c>
      <c r="F8" s="12">
        <f>SUMIFS(Sites!$O$2:$O$134,Sites!$C$2:$C$134,$A8)</f>
        <v/>
      </c>
      <c r="G8" s="12">
        <f>SUMIFS(Schemes!$M$2:$M$264,Schemes!$D$2:$D$264,$A8,Schemes!$F$2:$F$264,"Audit land – edge (check)",Schemes!$K$2:$K$264,"&lt;&gt;Not started – past expiry",Schemes!$K$2:$K$264,"&lt;&gt;In planning")</f>
        <v/>
      </c>
      <c r="H8" s="12">
        <f>SUMIFS(Schemes!$M$2:$M$264,Schemes!$D$2:$D$264,$A8,Schemes!$F$2:$F$264,"City – outside audit land",Schemes!$K$2:$K$264,"&lt;&gt;Not started – past expiry",Schemes!$K$2:$K$264,"&lt;&gt;In planning")</f>
        <v/>
      </c>
      <c r="I8" s="17">
        <f>E8+G8+H8</f>
        <v/>
      </c>
    </row>
    <row r="9">
      <c r="A9" s="11" t="inlineStr">
        <is>
          <t>Corbally/Grove Island</t>
        </is>
      </c>
      <c r="B9" s="12">
        <f>COUNTIFS(Sites!$C$2:$C$134,$A9)</f>
        <v/>
      </c>
      <c r="C9" s="13">
        <f>SUMIFS(Sites!$I$2:$I$134,Sites!$C$2:$C$134,$A9)</f>
        <v/>
      </c>
      <c r="D9" s="12">
        <f>SUMIFS(Sites!$J$2:$J$134,Sites!$C$2:$C$134,$A9)</f>
        <v/>
      </c>
      <c r="E9" s="12">
        <f>SUMIFS(Schemes!$M$2:$M$264,Schemes!$D$2:$D$264,$A9,Schemes!$F$2:$F$264,"Audit land – within site",Schemes!$K$2:$K$264,"&lt;&gt;Not started – past expiry",Schemes!$K$2:$K$264,"&lt;&gt;In planning")</f>
        <v/>
      </c>
      <c r="F9" s="12">
        <f>SUMIFS(Sites!$O$2:$O$134,Sites!$C$2:$C$134,$A9)</f>
        <v/>
      </c>
      <c r="G9" s="12">
        <f>SUMIFS(Schemes!$M$2:$M$264,Schemes!$D$2:$D$264,$A9,Schemes!$F$2:$F$264,"Audit land – edge (check)",Schemes!$K$2:$K$264,"&lt;&gt;Not started – past expiry",Schemes!$K$2:$K$264,"&lt;&gt;In planning")</f>
        <v/>
      </c>
      <c r="H9" s="12">
        <f>SUMIFS(Schemes!$M$2:$M$264,Schemes!$D$2:$D$264,$A9,Schemes!$F$2:$F$264,"City – outside audit land",Schemes!$K$2:$K$264,"&lt;&gt;Not started – past expiry",Schemes!$K$2:$K$264,"&lt;&gt;In planning")</f>
        <v/>
      </c>
      <c r="I9" s="17">
        <f>E9+G9+H9</f>
        <v/>
      </c>
    </row>
    <row r="10">
      <c r="A10" s="11" t="inlineStr">
        <is>
          <t>Dooradoyle</t>
        </is>
      </c>
      <c r="B10" s="12">
        <f>COUNTIFS(Sites!$C$2:$C$134,$A10)</f>
        <v/>
      </c>
      <c r="C10" s="13">
        <f>SUMIFS(Sites!$I$2:$I$134,Sites!$C$2:$C$134,$A10)</f>
        <v/>
      </c>
      <c r="D10" s="12">
        <f>SUMIFS(Sites!$J$2:$J$134,Sites!$C$2:$C$134,$A10)</f>
        <v/>
      </c>
      <c r="E10" s="12">
        <f>SUMIFS(Schemes!$M$2:$M$264,Schemes!$D$2:$D$264,$A10,Schemes!$F$2:$F$264,"Audit land – within site",Schemes!$K$2:$K$264,"&lt;&gt;Not started – past expiry",Schemes!$K$2:$K$264,"&lt;&gt;In planning")</f>
        <v/>
      </c>
      <c r="F10" s="12">
        <f>SUMIFS(Sites!$O$2:$O$134,Sites!$C$2:$C$134,$A10)</f>
        <v/>
      </c>
      <c r="G10" s="12">
        <f>SUMIFS(Schemes!$M$2:$M$264,Schemes!$D$2:$D$264,$A10,Schemes!$F$2:$F$264,"Audit land – edge (check)",Schemes!$K$2:$K$264,"&lt;&gt;Not started – past expiry",Schemes!$K$2:$K$264,"&lt;&gt;In planning")</f>
        <v/>
      </c>
      <c r="H10" s="12">
        <f>SUMIFS(Schemes!$M$2:$M$264,Schemes!$D$2:$D$264,$A10,Schemes!$F$2:$F$264,"City – outside audit land",Schemes!$K$2:$K$264,"&lt;&gt;Not started – past expiry",Schemes!$K$2:$K$264,"&lt;&gt;In planning")</f>
        <v/>
      </c>
      <c r="I10" s="17">
        <f>E10+G10+H10</f>
        <v/>
      </c>
    </row>
    <row r="11">
      <c r="A11" s="11" t="inlineStr">
        <is>
          <t>Kings Island</t>
        </is>
      </c>
      <c r="B11" s="12">
        <f>COUNTIFS(Sites!$C$2:$C$134,$A11)</f>
        <v/>
      </c>
      <c r="C11" s="13">
        <f>SUMIFS(Sites!$I$2:$I$134,Sites!$C$2:$C$134,$A11)</f>
        <v/>
      </c>
      <c r="D11" s="12">
        <f>SUMIFS(Sites!$J$2:$J$134,Sites!$C$2:$C$134,$A11)</f>
        <v/>
      </c>
      <c r="E11" s="12">
        <f>SUMIFS(Schemes!$M$2:$M$264,Schemes!$D$2:$D$264,$A11,Schemes!$F$2:$F$264,"Audit land – within site",Schemes!$K$2:$K$264,"&lt;&gt;Not started – past expiry",Schemes!$K$2:$K$264,"&lt;&gt;In planning")</f>
        <v/>
      </c>
      <c r="F11" s="12">
        <f>SUMIFS(Sites!$O$2:$O$134,Sites!$C$2:$C$134,$A11)</f>
        <v/>
      </c>
      <c r="G11" s="12">
        <f>SUMIFS(Schemes!$M$2:$M$264,Schemes!$D$2:$D$264,$A11,Schemes!$F$2:$F$264,"Audit land – edge (check)",Schemes!$K$2:$K$264,"&lt;&gt;Not started – past expiry",Schemes!$K$2:$K$264,"&lt;&gt;In planning")</f>
        <v/>
      </c>
      <c r="H11" s="12">
        <f>SUMIFS(Schemes!$M$2:$M$264,Schemes!$D$2:$D$264,$A11,Schemes!$F$2:$F$264,"City – outside audit land",Schemes!$K$2:$K$264,"&lt;&gt;Not started – past expiry",Schemes!$K$2:$K$264,"&lt;&gt;In planning")</f>
        <v/>
      </c>
      <c r="I11" s="17">
        <f>E11+G11+H11</f>
        <v/>
      </c>
    </row>
    <row r="12">
      <c r="A12" s="11" t="inlineStr">
        <is>
          <t>Singland/Garryowen</t>
        </is>
      </c>
      <c r="B12" s="12">
        <f>COUNTIFS(Sites!$C$2:$C$134,$A12)</f>
        <v/>
      </c>
      <c r="C12" s="13">
        <f>SUMIFS(Sites!$I$2:$I$134,Sites!$C$2:$C$134,$A12)</f>
        <v/>
      </c>
      <c r="D12" s="12">
        <f>SUMIFS(Sites!$J$2:$J$134,Sites!$C$2:$C$134,$A12)</f>
        <v/>
      </c>
      <c r="E12" s="12">
        <f>SUMIFS(Schemes!$M$2:$M$264,Schemes!$D$2:$D$264,$A12,Schemes!$F$2:$F$264,"Audit land – within site",Schemes!$K$2:$K$264,"&lt;&gt;Not started – past expiry",Schemes!$K$2:$K$264,"&lt;&gt;In planning")</f>
        <v/>
      </c>
      <c r="F12" s="12">
        <f>SUMIFS(Sites!$O$2:$O$134,Sites!$C$2:$C$134,$A12)</f>
        <v/>
      </c>
      <c r="G12" s="12">
        <f>SUMIFS(Schemes!$M$2:$M$264,Schemes!$D$2:$D$264,$A12,Schemes!$F$2:$F$264,"Audit land – edge (check)",Schemes!$K$2:$K$264,"&lt;&gt;Not started – past expiry",Schemes!$K$2:$K$264,"&lt;&gt;In planning")</f>
        <v/>
      </c>
      <c r="H12" s="12">
        <f>SUMIFS(Schemes!$M$2:$M$264,Schemes!$D$2:$D$264,$A12,Schemes!$F$2:$F$264,"City – outside audit land",Schemes!$K$2:$K$264,"&lt;&gt;Not started – past expiry",Schemes!$K$2:$K$264,"&lt;&gt;In planning")</f>
        <v/>
      </c>
      <c r="I12" s="17">
        <f>E12+G12+H12</f>
        <v/>
      </c>
    </row>
    <row r="13">
      <c r="A13" s="11" t="inlineStr">
        <is>
          <t>Southhill</t>
        </is>
      </c>
      <c r="B13" s="12">
        <f>COUNTIFS(Sites!$C$2:$C$134,$A13)</f>
        <v/>
      </c>
      <c r="C13" s="13">
        <f>SUMIFS(Sites!$I$2:$I$134,Sites!$C$2:$C$134,$A13)</f>
        <v/>
      </c>
      <c r="D13" s="12">
        <f>SUMIFS(Sites!$J$2:$J$134,Sites!$C$2:$C$134,$A13)</f>
        <v/>
      </c>
      <c r="E13" s="12">
        <f>SUMIFS(Schemes!$M$2:$M$264,Schemes!$D$2:$D$264,$A13,Schemes!$F$2:$F$264,"Audit land – within site",Schemes!$K$2:$K$264,"&lt;&gt;Not started – past expiry",Schemes!$K$2:$K$264,"&lt;&gt;In planning")</f>
        <v/>
      </c>
      <c r="F13" s="12">
        <f>SUMIFS(Sites!$O$2:$O$134,Sites!$C$2:$C$134,$A13)</f>
        <v/>
      </c>
      <c r="G13" s="12">
        <f>SUMIFS(Schemes!$M$2:$M$264,Schemes!$D$2:$D$264,$A13,Schemes!$F$2:$F$264,"Audit land – edge (check)",Schemes!$K$2:$K$264,"&lt;&gt;Not started – past expiry",Schemes!$K$2:$K$264,"&lt;&gt;In planning")</f>
        <v/>
      </c>
      <c r="H13" s="12">
        <f>SUMIFS(Schemes!$M$2:$M$264,Schemes!$D$2:$D$264,$A13,Schemes!$F$2:$F$264,"City – outside audit land",Schemes!$K$2:$K$264,"&lt;&gt;Not started – past expiry",Schemes!$K$2:$K$264,"&lt;&gt;In planning")</f>
        <v/>
      </c>
      <c r="I13" s="17">
        <f>E13+G13+H13</f>
        <v/>
      </c>
    </row>
    <row r="14">
      <c r="A14" s="14" t="inlineStr">
        <is>
          <t>Total</t>
        </is>
      </c>
      <c r="B14" s="15">
        <f>SUM(B5:B13)</f>
        <v/>
      </c>
      <c r="C14" s="16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5">
        <f>SUM(H5:H13)</f>
        <v/>
      </c>
      <c r="I14" s="15">
        <f>SUM(I5:I13)</f>
        <v/>
      </c>
    </row>
    <row r="15">
      <c r="A15" s="9" t="inlineStr">
        <is>
          <t>Consents within sites are counted by the scheme’s own neighbourhood, so a few may sit in a different row from the site they fall on near a boundary.</t>
        </is>
      </c>
    </row>
    <row r="17">
      <c r="A17" s="10" t="inlineStr">
        <is>
          <t>Consented units by tenure and location</t>
        </is>
      </c>
    </row>
    <row r="18">
      <c r="A18" s="3" t="inlineStr">
        <is>
          <t>Tenure</t>
        </is>
      </c>
      <c r="B18" s="4" t="inlineStr">
        <is>
          <t>Audit land – within site</t>
        </is>
      </c>
      <c r="C18" s="4" t="inlineStr">
        <is>
          <t>Audit land – edge</t>
        </is>
      </c>
      <c r="D18" s="4" t="inlineStr">
        <is>
          <t>City – outside audit land</t>
        </is>
      </c>
      <c r="E18" s="4" t="inlineStr">
        <is>
          <t>County</t>
        </is>
      </c>
      <c r="F18" s="4" t="inlineStr">
        <is>
          <t>Total</t>
        </is>
      </c>
    </row>
    <row r="19">
      <c r="A19" s="11" t="inlineStr">
        <is>
          <t>Market (incl. Part V)</t>
        </is>
      </c>
      <c r="B19" s="12">
        <f>SUMIFS(Schemes!$M$2:$M$264,Schemes!$I$2:$I$264,$A19,Schemes!$F$2:$F$264,"Audit land – within site",Schemes!$K$2:$K$264,"&lt;&gt;Not started – past expiry",Schemes!$K$2:$K$264,"&lt;&gt;In planning")</f>
        <v/>
      </c>
      <c r="C19" s="12">
        <f>SUMIFS(Schemes!$M$2:$M$264,Schemes!$I$2:$I$264,$A19,Schemes!$F$2:$F$264,"Audit land – edge (check)",Schemes!$K$2:$K$264,"&lt;&gt;Not started – past expiry",Schemes!$K$2:$K$264,"&lt;&gt;In planning")</f>
        <v/>
      </c>
      <c r="D19" s="12">
        <f>SUMIFS(Schemes!$M$2:$M$264,Schemes!$I$2:$I$264,$A19,Schemes!$F$2:$F$264,"City – outside audit land",Schemes!$K$2:$K$264,"&lt;&gt;Not started – past expiry",Schemes!$K$2:$K$264,"&lt;&gt;In planning")</f>
        <v/>
      </c>
      <c r="E19" s="12">
        <f>SUMIFS(Schemes!$M$2:$M$264,Schemes!$I$2:$I$264,$A19,Schemes!$F$2:$F$264,"County – audit not yet supplied",Schemes!$K$2:$K$264,"&lt;&gt;Not started – past expiry",Schemes!$K$2:$K$264,"&lt;&gt;In planning")</f>
        <v/>
      </c>
      <c r="F19" s="17">
        <f>SUM(B19:E19)</f>
        <v/>
      </c>
    </row>
    <row r="20">
      <c r="A20" s="11" t="inlineStr">
        <is>
          <t>Social</t>
        </is>
      </c>
      <c r="B20" s="12">
        <f>SUMIFS(Schemes!$M$2:$M$264,Schemes!$I$2:$I$264,$A20,Schemes!$F$2:$F$264,"Audit land – within site",Schemes!$K$2:$K$264,"&lt;&gt;Not started – past expiry",Schemes!$K$2:$K$264,"&lt;&gt;In planning")</f>
        <v/>
      </c>
      <c r="C20" s="12">
        <f>SUMIFS(Schemes!$M$2:$M$264,Schemes!$I$2:$I$264,$A20,Schemes!$F$2:$F$264,"Audit land – edge (check)",Schemes!$K$2:$K$264,"&lt;&gt;Not started – past expiry",Schemes!$K$2:$K$264,"&lt;&gt;In planning")</f>
        <v/>
      </c>
      <c r="D20" s="12">
        <f>SUMIFS(Schemes!$M$2:$M$264,Schemes!$I$2:$I$264,$A20,Schemes!$F$2:$F$264,"City – outside audit land",Schemes!$K$2:$K$264,"&lt;&gt;Not started – past expiry",Schemes!$K$2:$K$264,"&lt;&gt;In planning")</f>
        <v/>
      </c>
      <c r="E20" s="12">
        <f>SUMIFS(Schemes!$M$2:$M$264,Schemes!$I$2:$I$264,$A20,Schemes!$F$2:$F$264,"County – audit not yet supplied",Schemes!$K$2:$K$264,"&lt;&gt;Not started – past expiry",Schemes!$K$2:$K$264,"&lt;&gt;In planning")</f>
        <v/>
      </c>
      <c r="F20" s="17">
        <f>SUM(B20:E20)</f>
        <v/>
      </c>
    </row>
    <row r="21">
      <c r="A21" s="11" t="inlineStr">
        <is>
          <t>Affordable / cost rental</t>
        </is>
      </c>
      <c r="B21" s="12">
        <f>SUMIFS(Schemes!$M$2:$M$264,Schemes!$I$2:$I$264,$A21,Schemes!$F$2:$F$264,"Audit land – within site",Schemes!$K$2:$K$264,"&lt;&gt;Not started – past expiry",Schemes!$K$2:$K$264,"&lt;&gt;In planning")</f>
        <v/>
      </c>
      <c r="C21" s="12">
        <f>SUMIFS(Schemes!$M$2:$M$264,Schemes!$I$2:$I$264,$A21,Schemes!$F$2:$F$264,"Audit land – edge (check)",Schemes!$K$2:$K$264,"&lt;&gt;Not started – past expiry",Schemes!$K$2:$K$264,"&lt;&gt;In planning")</f>
        <v/>
      </c>
      <c r="D21" s="12">
        <f>SUMIFS(Schemes!$M$2:$M$264,Schemes!$I$2:$I$264,$A21,Schemes!$F$2:$F$264,"City – outside audit land",Schemes!$K$2:$K$264,"&lt;&gt;Not started – past expiry",Schemes!$K$2:$K$264,"&lt;&gt;In planning")</f>
        <v/>
      </c>
      <c r="E21" s="12">
        <f>SUMIFS(Schemes!$M$2:$M$264,Schemes!$I$2:$I$264,$A21,Schemes!$F$2:$F$264,"County – audit not yet supplied",Schemes!$K$2:$K$264,"&lt;&gt;Not started – past expiry",Schemes!$K$2:$K$264,"&lt;&gt;In planning")</f>
        <v/>
      </c>
      <c r="F21" s="17">
        <f>SUM(B21:E21)</f>
        <v/>
      </c>
    </row>
    <row r="22">
      <c r="A22" s="11" t="inlineStr">
        <is>
          <t>Student (PBSA)</t>
        </is>
      </c>
      <c r="B22" s="12">
        <f>SUMIFS(Schemes!$M$2:$M$264,Schemes!$I$2:$I$264,$A22,Schemes!$F$2:$F$264,"Audit land – within site",Schemes!$K$2:$K$264,"&lt;&gt;Not started – past expiry",Schemes!$K$2:$K$264,"&lt;&gt;In planning")</f>
        <v/>
      </c>
      <c r="C22" s="12">
        <f>SUMIFS(Schemes!$M$2:$M$264,Schemes!$I$2:$I$264,$A22,Schemes!$F$2:$F$264,"Audit land – edge (check)",Schemes!$K$2:$K$264,"&lt;&gt;Not started – past expiry",Schemes!$K$2:$K$264,"&lt;&gt;In planning")</f>
        <v/>
      </c>
      <c r="D22" s="12">
        <f>SUMIFS(Schemes!$M$2:$M$264,Schemes!$I$2:$I$264,$A22,Schemes!$F$2:$F$264,"City – outside audit land",Schemes!$K$2:$K$264,"&lt;&gt;Not started – past expiry",Schemes!$K$2:$K$264,"&lt;&gt;In planning")</f>
        <v/>
      </c>
      <c r="E22" s="12">
        <f>SUMIFS(Schemes!$M$2:$M$264,Schemes!$I$2:$I$264,$A22,Schemes!$F$2:$F$264,"County – audit not yet supplied",Schemes!$K$2:$K$264,"&lt;&gt;Not started – past expiry",Schemes!$K$2:$K$264,"&lt;&gt;In planning")</f>
        <v/>
      </c>
      <c r="F22" s="17">
        <f>SUM(B22:E22)</f>
        <v/>
      </c>
    </row>
    <row r="23">
      <c r="A23" s="14" t="inlineStr">
        <is>
          <t>Total</t>
        </is>
      </c>
      <c r="B23" s="15">
        <f>SUM(B19:B22)</f>
        <v/>
      </c>
      <c r="C23" s="15">
        <f>SUM(C19:C22)</f>
        <v/>
      </c>
      <c r="D23" s="15">
        <f>SUM(D19:D22)</f>
        <v/>
      </c>
      <c r="E23" s="15">
        <f>SUM(E19:E22)</f>
        <v/>
      </c>
      <c r="F23" s="15">
        <f>SUM(F19:F22)</f>
        <v/>
      </c>
    </row>
    <row r="25">
      <c r="A25" s="10" t="inlineStr">
        <is>
          <t>Consented units by sector and status</t>
        </is>
      </c>
    </row>
    <row r="26">
      <c r="A26" s="3" t="inlineStr">
        <is>
          <t>Sector</t>
        </is>
      </c>
      <c r="B26" s="4" t="inlineStr">
        <is>
          <t>Complete</t>
        </is>
      </c>
      <c r="C26" s="4" t="inlineStr">
        <is>
          <t>Under construction</t>
        </is>
      </c>
      <c r="D26" s="4" t="inlineStr">
        <is>
          <t>Not started – permission live</t>
        </is>
      </c>
      <c r="E26" s="4" t="inlineStr">
        <is>
          <t>Stalled (CIS)</t>
        </is>
      </c>
      <c r="F26" s="4" t="inlineStr">
        <is>
          <t>Not started – past expiry</t>
        </is>
      </c>
      <c r="G26" s="4" t="inlineStr">
        <is>
          <t>In planning</t>
        </is>
      </c>
    </row>
    <row r="27">
      <c r="A27" s="11" t="inlineStr">
        <is>
          <t>Private</t>
        </is>
      </c>
      <c r="B27" s="12">
        <f>SUMIFS(Schemes!$M$2:$M$264,Schemes!$H$2:$H$264,$A27,Schemes!$K$2:$K$264,"Complete")</f>
        <v/>
      </c>
      <c r="C27" s="12">
        <f>SUMIFS(Schemes!$M$2:$M$264,Schemes!$H$2:$H$264,$A27,Schemes!$K$2:$K$264,"Under construction")</f>
        <v/>
      </c>
      <c r="D27" s="12">
        <f>SUMIFS(Schemes!$M$2:$M$264,Schemes!$H$2:$H$264,$A27,Schemes!$K$2:$K$264,"Not started – permission live")</f>
        <v/>
      </c>
      <c r="E27" s="12">
        <f>SUMIFS(Schemes!$M$2:$M$264,Schemes!$H$2:$H$264,$A27,Schemes!$K$2:$K$264,"Stalled (CIS)")</f>
        <v/>
      </c>
      <c r="F27" s="12">
        <f>SUMIFS(Schemes!$M$2:$M$264,Schemes!$H$2:$H$264,$A27,Schemes!$K$2:$K$264,"Not started – past expiry")</f>
        <v/>
      </c>
      <c r="G27" s="12">
        <f>SUMIFS(Schemes!$M$2:$M$264,Schemes!$H$2:$H$264,$A27,Schemes!$K$2:$K$264,"In planning")</f>
        <v/>
      </c>
    </row>
    <row r="28">
      <c r="A28" s="11" t="inlineStr">
        <is>
          <t>Public – local authority</t>
        </is>
      </c>
      <c r="B28" s="12">
        <f>SUMIFS(Schemes!$M$2:$M$264,Schemes!$H$2:$H$264,$A28,Schemes!$K$2:$K$264,"Complete")</f>
        <v/>
      </c>
      <c r="C28" s="12">
        <f>SUMIFS(Schemes!$M$2:$M$264,Schemes!$H$2:$H$264,$A28,Schemes!$K$2:$K$264,"Under construction")</f>
        <v/>
      </c>
      <c r="D28" s="12">
        <f>SUMIFS(Schemes!$M$2:$M$264,Schemes!$H$2:$H$264,$A28,Schemes!$K$2:$K$264,"Not started – permission live")</f>
        <v/>
      </c>
      <c r="E28" s="12">
        <f>SUMIFS(Schemes!$M$2:$M$264,Schemes!$H$2:$H$264,$A28,Schemes!$K$2:$K$264,"Stalled (CIS)")</f>
        <v/>
      </c>
      <c r="F28" s="12">
        <f>SUMIFS(Schemes!$M$2:$M$264,Schemes!$H$2:$H$264,$A28,Schemes!$K$2:$K$264,"Not started – past expiry")</f>
        <v/>
      </c>
      <c r="G28" s="12">
        <f>SUMIFS(Schemes!$M$2:$M$264,Schemes!$H$2:$H$264,$A28,Schemes!$K$2:$K$264,"In planning")</f>
        <v/>
      </c>
    </row>
    <row r="29">
      <c r="A29" s="11" t="inlineStr">
        <is>
          <t>Public – AHB</t>
        </is>
      </c>
      <c r="B29" s="12">
        <f>SUMIFS(Schemes!$M$2:$M$264,Schemes!$H$2:$H$264,$A29,Schemes!$K$2:$K$264,"Complete")</f>
        <v/>
      </c>
      <c r="C29" s="12">
        <f>SUMIFS(Schemes!$M$2:$M$264,Schemes!$H$2:$H$264,$A29,Schemes!$K$2:$K$264,"Under construction")</f>
        <v/>
      </c>
      <c r="D29" s="12">
        <f>SUMIFS(Schemes!$M$2:$M$264,Schemes!$H$2:$H$264,$A29,Schemes!$K$2:$K$264,"Not started – permission live")</f>
        <v/>
      </c>
      <c r="E29" s="12">
        <f>SUMIFS(Schemes!$M$2:$M$264,Schemes!$H$2:$H$264,$A29,Schemes!$K$2:$K$264,"Stalled (CIS)")</f>
        <v/>
      </c>
      <c r="F29" s="12">
        <f>SUMIFS(Schemes!$M$2:$M$264,Schemes!$H$2:$H$264,$A29,Schemes!$K$2:$K$264,"Not started – past expiry")</f>
        <v/>
      </c>
      <c r="G29" s="12">
        <f>SUMIFS(Schemes!$M$2:$M$264,Schemes!$H$2:$H$264,$A29,Schemes!$K$2:$K$264,"In planning")</f>
        <v/>
      </c>
    </row>
    <row r="30">
      <c r="A30" s="11" t="inlineStr">
        <is>
          <t>Public – LDA</t>
        </is>
      </c>
      <c r="B30" s="12">
        <f>SUMIFS(Schemes!$M$2:$M$264,Schemes!$H$2:$H$264,$A30,Schemes!$K$2:$K$264,"Complete")</f>
        <v/>
      </c>
      <c r="C30" s="12">
        <f>SUMIFS(Schemes!$M$2:$M$264,Schemes!$H$2:$H$264,$A30,Schemes!$K$2:$K$264,"Under construction")</f>
        <v/>
      </c>
      <c r="D30" s="12">
        <f>SUMIFS(Schemes!$M$2:$M$264,Schemes!$H$2:$H$264,$A30,Schemes!$K$2:$K$264,"Not started – permission live")</f>
        <v/>
      </c>
      <c r="E30" s="12">
        <f>SUMIFS(Schemes!$M$2:$M$264,Schemes!$H$2:$H$264,$A30,Schemes!$K$2:$K$264,"Stalled (CIS)")</f>
        <v/>
      </c>
      <c r="F30" s="12">
        <f>SUMIFS(Schemes!$M$2:$M$264,Schemes!$H$2:$H$264,$A30,Schemes!$K$2:$K$264,"Not started – past expiry")</f>
        <v/>
      </c>
      <c r="G30" s="12">
        <f>SUMIFS(Schemes!$M$2:$M$264,Schemes!$H$2:$H$264,$A30,Schemes!$K$2:$K$264,"In planning")</f>
        <v/>
      </c>
    </row>
    <row r="31">
      <c r="A31" s="14" t="inlineStr">
        <is>
          <t>Total</t>
        </is>
      </c>
      <c r="B31" s="15">
        <f>SUM(B27:B30)</f>
        <v/>
      </c>
      <c r="C31" s="15">
        <f>SUM(C27:C30)</f>
        <v/>
      </c>
      <c r="D31" s="15">
        <f>SUM(D27:D30)</f>
        <v/>
      </c>
      <c r="E31" s="15">
        <f>SUM(E27:E30)</f>
        <v/>
      </c>
      <c r="F31" s="15">
        <f>SUM(F27:F30)</f>
        <v/>
      </c>
      <c r="G31" s="15">
        <f>SUM(G27:G30)</f>
        <v/>
      </c>
    </row>
    <row r="33">
      <c r="A33" s="10" t="inlineStr">
        <is>
          <t>Purpose-built student accommodation: units and bedspaces</t>
        </is>
      </c>
    </row>
    <row r="34">
      <c r="A34" s="3" t="inlineStr">
        <is>
          <t>Scheme</t>
        </is>
      </c>
      <c r="B34" s="4" t="inlineStr">
        <is>
          <t>Planning ref</t>
        </is>
      </c>
      <c r="C34" s="4" t="inlineStr">
        <is>
          <t>Location</t>
        </is>
      </c>
      <c r="D34" s="4" t="inlineStr">
        <is>
          <t>Status</t>
        </is>
      </c>
      <c r="E34" s="4" t="inlineStr">
        <is>
          <t>Units (in totals)</t>
        </is>
      </c>
      <c r="F34" s="4" t="inlineStr">
        <is>
          <t>Bedspaces</t>
        </is>
      </c>
      <c r="G34" s="4" t="inlineStr">
        <is>
          <t>Est. start</t>
        </is>
      </c>
      <c r="H34" s="4" t="inlineStr">
        <is>
          <t>Est. last completions</t>
        </is>
      </c>
      <c r="I34" s="4" t="inlineStr">
        <is>
          <t>Confidence</t>
        </is>
      </c>
    </row>
    <row r="35">
      <c r="A35" s="11" t="inlineStr">
        <is>
          <t>€87m - Student Accommodation, Castletroy</t>
        </is>
      </c>
      <c r="B35" s="11" t="inlineStr">
        <is>
          <t>2560113</t>
        </is>
      </c>
      <c r="C35" s="11" t="inlineStr">
        <is>
          <t>Audit land – within site</t>
        </is>
      </c>
      <c r="D35" s="11" t="inlineStr">
        <is>
          <t>Not started – permission live</t>
        </is>
      </c>
      <c r="E35" s="12" t="n">
        <v>196</v>
      </c>
      <c r="F35" s="12" t="n">
        <v>1400</v>
      </c>
      <c r="G35" s="11" t="inlineStr">
        <is>
          <t>2027 Q2</t>
        </is>
      </c>
      <c r="H35" s="11" t="inlineStr">
        <is>
          <t>2029 Q2</t>
        </is>
      </c>
      <c r="I35" s="11" t="inlineStr">
        <is>
          <t>Medium</t>
        </is>
      </c>
    </row>
    <row r="36">
      <c r="A36" s="11" t="inlineStr">
        <is>
          <t>€42m - Large Residential Development, Castletroy</t>
        </is>
      </c>
      <c r="B36" s="11" t="inlineStr">
        <is>
          <t>2660089</t>
        </is>
      </c>
      <c r="C36" s="11" t="inlineStr">
        <is>
          <t>Audit land – within site</t>
        </is>
      </c>
      <c r="D36" s="11" t="inlineStr">
        <is>
          <t>Not started – permission live</t>
        </is>
      </c>
      <c r="E36" s="12" t="n">
        <v>465</v>
      </c>
      <c r="F36" s="12" t="n">
        <v>309</v>
      </c>
      <c r="G36" s="11" t="inlineStr">
        <is>
          <t>2028 Q2</t>
        </is>
      </c>
      <c r="H36" s="11" t="inlineStr">
        <is>
          <t>2037 Q3</t>
        </is>
      </c>
      <c r="I36" s="11" t="inlineStr">
        <is>
          <t>Medium</t>
        </is>
      </c>
    </row>
    <row r="37">
      <c r="A37" s="11" t="inlineStr">
        <is>
          <t>€14m - Old Dublin Road Student Village LRD, Limerick City</t>
        </is>
      </c>
      <c r="B37" s="11" t="inlineStr">
        <is>
          <t>221216</t>
        </is>
      </c>
      <c r="C37" s="11" t="inlineStr">
        <is>
          <t>Audit land – within site</t>
        </is>
      </c>
      <c r="D37" s="11" t="inlineStr">
        <is>
          <t>Under construction</t>
        </is>
      </c>
      <c r="E37" s="12" t="n">
        <v>26</v>
      </c>
      <c r="F37" s="12" t="n">
        <v>202</v>
      </c>
      <c r="G37" s="11" t="inlineStr">
        <is>
          <t>2024 Q4</t>
        </is>
      </c>
      <c r="H37" s="11" t="inlineStr">
        <is>
          <t>2027 Q2</t>
        </is>
      </c>
      <c r="I37" s="11" t="inlineStr">
        <is>
          <t>High</t>
        </is>
      </c>
    </row>
    <row r="38">
      <c r="A38" s="11" t="inlineStr">
        <is>
          <t xml:space="preserve">€5.9m - Student Accommodation Development </t>
        </is>
      </c>
      <c r="B38" s="11" t="inlineStr">
        <is>
          <t>221172</t>
        </is>
      </c>
      <c r="C38" s="11" t="inlineStr">
        <is>
          <t>Audit land – edge (check)</t>
        </is>
      </c>
      <c r="D38" s="11" t="inlineStr">
        <is>
          <t>Not started – permission live</t>
        </is>
      </c>
      <c r="E38" s="12" t="n">
        <v>25</v>
      </c>
      <c r="F38" s="12" t="n">
        <v>116</v>
      </c>
      <c r="G38" s="11" t="inlineStr">
        <is>
          <t>2027 Q3</t>
        </is>
      </c>
      <c r="H38" s="11" t="inlineStr">
        <is>
          <t>2028 Q4</t>
        </is>
      </c>
      <c r="I38" s="11" t="inlineStr">
        <is>
          <t>Low</t>
        </is>
      </c>
    </row>
    <row r="39">
      <c r="A39" s="11" t="inlineStr">
        <is>
          <t>€9.4m - Student Accommodation Development, Limerick</t>
        </is>
      </c>
      <c r="B39" s="11" t="inlineStr">
        <is>
          <t>2561232</t>
        </is>
      </c>
      <c r="C39" s="11" t="inlineStr">
        <is>
          <t>City – outside audit land</t>
        </is>
      </c>
      <c r="D39" s="11" t="inlineStr">
        <is>
          <t>Not started – permission live</t>
        </is>
      </c>
      <c r="E39" s="12" t="n">
        <v>0</v>
      </c>
      <c r="F39" s="12" t="n">
        <v>115</v>
      </c>
      <c r="G39" s="11" t="inlineStr">
        <is>
          <t>2027 Q4</t>
        </is>
      </c>
      <c r="H39" s="11" t="inlineStr">
        <is>
          <t>2029 Q3</t>
        </is>
      </c>
      <c r="I39" s="11" t="inlineStr">
        <is>
          <t>Medium</t>
        </is>
      </c>
    </row>
    <row r="40">
      <c r="A40" s="11" t="inlineStr">
        <is>
          <t>€8.5m - Student Accommodation Development, Former Hassett’s Bar</t>
        </is>
      </c>
      <c r="B40" s="11" t="inlineStr">
        <is>
          <t>19710</t>
        </is>
      </c>
      <c r="C40" s="11" t="inlineStr">
        <is>
          <t>Audit land – within site</t>
        </is>
      </c>
      <c r="D40" s="11" t="inlineStr">
        <is>
          <t>Stalled (CIS)</t>
        </is>
      </c>
      <c r="E40" s="12" t="n">
        <v>31</v>
      </c>
      <c r="F40" s="12" t="n"/>
      <c r="G40" s="11" t="n"/>
      <c r="H40" s="11" t="n"/>
      <c r="I40" s="11" t="inlineStr">
        <is>
          <t>Not projected</t>
        </is>
      </c>
    </row>
    <row r="41">
      <c r="A41" s="11" t="inlineStr">
        <is>
          <t>€919k - Student Accommodation Development, Saint Gerard Street</t>
        </is>
      </c>
      <c r="B41" s="11" t="inlineStr">
        <is>
          <t>201142</t>
        </is>
      </c>
      <c r="C41" s="11" t="inlineStr">
        <is>
          <t>City – outside audit land</t>
        </is>
      </c>
      <c r="D41" s="11" t="inlineStr">
        <is>
          <t>Not started – past expiry</t>
        </is>
      </c>
      <c r="E41" s="12" t="n">
        <v>0</v>
      </c>
      <c r="F41" s="12" t="n"/>
      <c r="G41" s="11" t="n"/>
      <c r="H41" s="11" t="n"/>
      <c r="I41" s="11" t="inlineStr">
        <is>
          <t>Not projected</t>
        </is>
      </c>
    </row>
    <row r="42">
      <c r="A42" s="14" t="inlineStr">
        <is>
          <t>Total (consented, excl. expired)</t>
        </is>
      </c>
      <c r="E42" s="15">
        <f>SUMIFS(Schemes!$M$2:$M$264,Schemes!$I$2:$I$264,"Student (PBSA)",Schemes!$K$2:$K$264,"&lt;&gt;Not started – past expiry",Schemes!$K$2:$K$264,"&lt;&gt;In planning")</f>
        <v/>
      </c>
      <c r="F42" s="15">
        <f>SUMIFS(Schemes!$N$2:$N$264,Schemes!$I$2:$I$264,"Student (PBSA)",Schemes!$K$2:$K$264,"&lt;&gt;Not started – past expiry",Schemes!$K$2:$K$264,"&lt;&gt;In planning")</f>
        <v/>
      </c>
    </row>
    <row r="43">
      <c r="A43" s="9" t="inlineStr">
        <is>
          <t>Units are as recorded by CIS (usually cluster apartments). Bedspaces from the PBSA schedule or the planning register. Whitebox (25/60113): 196 units, 1,400 bedspaces. Existing PBSA stock is not pipeline and is not included.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8" customWidth="1" min="4" max="4"/>
    <col width="22" customWidth="1" min="5" max="5"/>
    <col width="11" customWidth="1" min="6" max="6"/>
    <col width="11" customWidth="1" min="7" max="7"/>
    <col width="26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10" customWidth="1" min="17" max="17"/>
    <col width="10" customWidth="1" min="18" max="18"/>
    <col width="9" customWidth="1" min="19" max="19"/>
    <col width="34" customWidth="1" min="20" max="20"/>
    <col width="50" customWidth="1" min="21" max="21"/>
  </cols>
  <sheetData>
    <row r="1">
      <c r="A1" s="3" t="inlineStr">
        <is>
          <t>Site id</t>
        </is>
      </c>
      <c r="B1" s="4" t="inlineStr">
        <is>
          <t>Rsca</t>
        </is>
      </c>
      <c r="C1" s="4" t="inlineStr">
        <is>
          <t>Neighbourhood</t>
        </is>
      </c>
      <c r="D1" s="4" t="inlineStr">
        <is>
          <t>Local name</t>
        </is>
      </c>
      <c r="E1" s="4" t="inlineStr">
        <is>
          <t>Landowner</t>
        </is>
      </c>
      <c r="F1" s="4" t="inlineStr">
        <is>
          <t>Zoning</t>
        </is>
      </c>
      <c r="G1" s="4" t="inlineStr">
        <is>
          <t>Site type</t>
        </is>
      </c>
      <c r="H1" s="4" t="inlineStr">
        <is>
          <t>Register status</t>
        </is>
      </c>
      <c r="I1" s="4" t="inlineStr">
        <is>
          <t>Area ha</t>
        </is>
      </c>
      <c r="J1" s="4" t="inlineStr">
        <is>
          <t>Capacity units</t>
        </is>
      </c>
      <c r="K1" s="4" t="inlineStr">
        <is>
          <t>Complete units</t>
        </is>
      </c>
      <c r="L1" s="4" t="inlineStr">
        <is>
          <t>Under construction units</t>
        </is>
      </c>
      <c r="M1" s="4" t="inlineStr">
        <is>
          <t>Permitted not started units</t>
        </is>
      </c>
      <c r="N1" s="4" t="inlineStr">
        <is>
          <t>Consented units</t>
        </is>
      </c>
      <c r="O1" s="4" t="inlineStr">
        <is>
          <t>Residual capacity</t>
        </is>
      </c>
      <c r="P1" s="4" t="inlineStr">
        <is>
          <t>Expired not started units</t>
        </is>
      </c>
      <c r="Q1" s="4" t="inlineStr">
        <is>
          <t>In planning units</t>
        </is>
      </c>
      <c r="R1" s="4" t="inlineStr">
        <is>
          <t>Edge match units</t>
        </is>
      </c>
      <c r="S1" s="4" t="inlineStr">
        <is>
          <t>Permissions on site</t>
        </is>
      </c>
      <c r="T1" s="4" t="inlineStr">
        <is>
          <t>Flag</t>
        </is>
      </c>
      <c r="U1" s="4" t="inlineStr">
        <is>
          <t>Reconcile action</t>
        </is>
      </c>
    </row>
    <row r="2">
      <c r="A2" s="23" t="inlineStr">
        <is>
          <t>CITY-129</t>
        </is>
      </c>
      <c r="B2" s="23" t="n">
        <v>129</v>
      </c>
      <c r="C2" s="23" t="inlineStr">
        <is>
          <t>Ballinacurra</t>
        </is>
      </c>
      <c r="D2" s="23" t="inlineStr">
        <is>
          <t>City Centre</t>
        </is>
      </c>
      <c r="E2" s="23" t="inlineStr">
        <is>
          <t>Council</t>
        </is>
      </c>
      <c r="F2" s="23" t="inlineStr">
        <is>
          <t>New Resi</t>
        </is>
      </c>
      <c r="G2" s="23" t="inlineStr">
        <is>
          <t>Brownfield</t>
        </is>
      </c>
      <c r="H2" s="23" t="inlineStr">
        <is>
          <t>Undeveloped/Permission Sought</t>
        </is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 t="inlineStr"/>
      <c r="U2" s="23" t="inlineStr">
        <is>
          <t>Unchanged</t>
        </is>
      </c>
    </row>
    <row r="3">
      <c r="A3" s="23" t="inlineStr">
        <is>
          <t>CITY-130</t>
        </is>
      </c>
      <c r="B3" s="23" t="n">
        <v>130</v>
      </c>
      <c r="C3" s="23" t="inlineStr">
        <is>
          <t>Ballinacurra</t>
        </is>
      </c>
      <c r="D3" s="23" t="inlineStr">
        <is>
          <t>City Centre</t>
        </is>
      </c>
      <c r="E3" s="23" t="inlineStr">
        <is>
          <t>Council</t>
        </is>
      </c>
      <c r="F3" s="23" t="inlineStr">
        <is>
          <t>Exist Resi</t>
        </is>
      </c>
      <c r="G3" s="23" t="inlineStr">
        <is>
          <t>Infill</t>
        </is>
      </c>
      <c r="H3" s="23" t="inlineStr">
        <is>
          <t>Undeveloped/Permission Sought</t>
        </is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 t="inlineStr"/>
      <c r="U3" s="23" t="inlineStr">
        <is>
          <t>Unchanged</t>
        </is>
      </c>
    </row>
    <row r="4">
      <c r="A4" s="23" t="inlineStr">
        <is>
          <t>CITY-131</t>
        </is>
      </c>
      <c r="B4" s="23" t="n">
        <v>131</v>
      </c>
      <c r="C4" s="23" t="inlineStr">
        <is>
          <t>Ballinacurra</t>
        </is>
      </c>
      <c r="D4" s="23" t="inlineStr">
        <is>
          <t>City Centre</t>
        </is>
      </c>
      <c r="E4" s="23" t="inlineStr">
        <is>
          <t>Council</t>
        </is>
      </c>
      <c r="F4" s="23" t="inlineStr">
        <is>
          <t>New Resi</t>
        </is>
      </c>
      <c r="G4" s="23" t="inlineStr">
        <is>
          <t>Infill</t>
        </is>
      </c>
      <c r="H4" s="23" t="inlineStr">
        <is>
          <t>Undeveloped/Permission Sought</t>
        </is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 t="inlineStr"/>
      <c r="U4" s="23" t="inlineStr">
        <is>
          <t>Unchanged</t>
        </is>
      </c>
    </row>
    <row r="5">
      <c r="A5" s="23" t="inlineStr">
        <is>
          <t>CITY-132</t>
        </is>
      </c>
      <c r="B5" s="23" t="n">
        <v>132</v>
      </c>
      <c r="C5" s="23" t="inlineStr">
        <is>
          <t>Ballinacurra</t>
        </is>
      </c>
      <c r="D5" s="23" t="inlineStr">
        <is>
          <t>Dock Rd</t>
        </is>
      </c>
      <c r="E5" s="23" t="inlineStr">
        <is>
          <t>Private</t>
        </is>
      </c>
      <c r="F5" s="23" t="inlineStr">
        <is>
          <t>Exist Resi</t>
        </is>
      </c>
      <c r="G5" s="23" t="inlineStr">
        <is>
          <t>Brownfield</t>
        </is>
      </c>
      <c r="H5" s="23" t="inlineStr">
        <is>
          <t>Undeveloped/Permission Sought</t>
        </is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 t="inlineStr"/>
      <c r="U5" s="23" t="inlineStr">
        <is>
          <t>Unchanged</t>
        </is>
      </c>
    </row>
    <row r="6">
      <c r="A6" s="23" t="inlineStr">
        <is>
          <t>CITY-133</t>
        </is>
      </c>
      <c r="B6" s="23" t="n">
        <v>133</v>
      </c>
      <c r="C6" s="23" t="inlineStr">
        <is>
          <t>Ballinacurra</t>
        </is>
      </c>
      <c r="D6" s="23" t="inlineStr">
        <is>
          <t>Dock Rd</t>
        </is>
      </c>
      <c r="E6" s="23" t="inlineStr">
        <is>
          <t>Private</t>
        </is>
      </c>
      <c r="F6" s="23" t="inlineStr">
        <is>
          <t>New Resi</t>
        </is>
      </c>
      <c r="G6" s="23" t="inlineStr">
        <is>
          <t>Infill</t>
        </is>
      </c>
      <c r="H6" s="23" t="inlineStr">
        <is>
          <t>Complete/Commenced</t>
        </is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inlineStr">
        <is>
          <t>Consented above capacity</t>
        </is>
      </c>
      <c r="U6" s="23" t="inlineStr">
        <is>
          <t>Reduced Area</t>
        </is>
      </c>
    </row>
    <row r="7">
      <c r="A7" s="23" t="inlineStr">
        <is>
          <t>CITY-1</t>
        </is>
      </c>
      <c r="B7" s="23" t="n">
        <v>1</v>
      </c>
      <c r="C7" s="23" t="inlineStr">
        <is>
          <t>Caherdavin</t>
        </is>
      </c>
      <c r="D7" s="23" t="inlineStr">
        <is>
          <t>Northside</t>
        </is>
      </c>
      <c r="E7" s="23" t="inlineStr">
        <is>
          <t>Private</t>
        </is>
      </c>
      <c r="F7" s="23" t="inlineStr">
        <is>
          <t>New Resi</t>
        </is>
      </c>
      <c r="G7" s="23" t="inlineStr">
        <is>
          <t>Greenfield</t>
        </is>
      </c>
      <c r="H7" s="23" t="inlineStr">
        <is>
          <t>Permission Granted</t>
        </is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 t="inlineStr"/>
      <c r="U7" s="23" t="inlineStr">
        <is>
          <t>Unchanged</t>
        </is>
      </c>
    </row>
    <row r="8">
      <c r="A8" s="23" t="inlineStr">
        <is>
          <t>CITY-2</t>
        </is>
      </c>
      <c r="B8" s="23" t="n">
        <v>2</v>
      </c>
      <c r="C8" s="23" t="inlineStr">
        <is>
          <t>Caherdavin</t>
        </is>
      </c>
      <c r="D8" s="23" t="inlineStr">
        <is>
          <t>Northside</t>
        </is>
      </c>
      <c r="E8" s="23" t="inlineStr">
        <is>
          <t>Private</t>
        </is>
      </c>
      <c r="F8" s="23" t="inlineStr">
        <is>
          <t>New Resi</t>
        </is>
      </c>
      <c r="G8" s="23" t="inlineStr">
        <is>
          <t>Greenfield</t>
        </is>
      </c>
      <c r="H8" s="23" t="inlineStr">
        <is>
          <t>Undeveloped/Permission Sought</t>
        </is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 t="inlineStr"/>
      <c r="U8" s="23" t="inlineStr">
        <is>
          <t>Reinstated: removed in council review with no reason recorded; adjoining land built under 17/470, this remainder undeveloped</t>
        </is>
      </c>
    </row>
    <row r="9">
      <c r="A9" s="23" t="inlineStr">
        <is>
          <t>CITY-3</t>
        </is>
      </c>
      <c r="B9" s="23" t="n">
        <v>3</v>
      </c>
      <c r="C9" s="23" t="inlineStr">
        <is>
          <t>Caherdavin</t>
        </is>
      </c>
      <c r="D9" s="23" t="inlineStr">
        <is>
          <t>Northside</t>
        </is>
      </c>
      <c r="E9" s="23" t="inlineStr">
        <is>
          <t>Private</t>
        </is>
      </c>
      <c r="F9" s="23" t="inlineStr">
        <is>
          <t>New Resi</t>
        </is>
      </c>
      <c r="G9" s="23" t="inlineStr">
        <is>
          <t>Brownfield</t>
        </is>
      </c>
      <c r="H9" s="23" t="inlineStr">
        <is>
          <t>Permission Granted</t>
        </is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 t="inlineStr"/>
      <c r="U9" s="23" t="inlineStr">
        <is>
          <t>Unchanged</t>
        </is>
      </c>
    </row>
    <row r="10">
      <c r="A10" s="23" t="inlineStr">
        <is>
          <t>CITY-5</t>
        </is>
      </c>
      <c r="B10" s="23" t="n">
        <v>5</v>
      </c>
      <c r="C10" s="23" t="inlineStr">
        <is>
          <t>Caherdavin</t>
        </is>
      </c>
      <c r="D10" s="23" t="inlineStr">
        <is>
          <t>Northside</t>
        </is>
      </c>
      <c r="E10" s="23" t="inlineStr">
        <is>
          <t>Unknown</t>
        </is>
      </c>
      <c r="F10" s="23" t="inlineStr">
        <is>
          <t>New Resi</t>
        </is>
      </c>
      <c r="G10" s="23" t="inlineStr">
        <is>
          <t>Greenfield</t>
        </is>
      </c>
      <c r="H10" s="23" t="inlineStr">
        <is>
          <t>Permission Granted</t>
        </is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 t="inlineStr"/>
      <c r="U10" s="23" t="inlineStr">
        <is>
          <t>Unchanged</t>
        </is>
      </c>
    </row>
    <row r="11">
      <c r="A11" s="23" t="inlineStr">
        <is>
          <t>CITY-6</t>
        </is>
      </c>
      <c r="B11" s="23" t="n">
        <v>6</v>
      </c>
      <c r="C11" s="23" t="inlineStr">
        <is>
          <t>Caherdavin</t>
        </is>
      </c>
      <c r="D11" s="23" t="inlineStr">
        <is>
          <t>Northside</t>
        </is>
      </c>
      <c r="E11" s="23" t="inlineStr">
        <is>
          <t>Unknown</t>
        </is>
      </c>
      <c r="F11" s="23" t="inlineStr">
        <is>
          <t>Local Centre</t>
        </is>
      </c>
      <c r="G11" s="23" t="inlineStr">
        <is>
          <t>Greenfield</t>
        </is>
      </c>
      <c r="H11" s="23" t="inlineStr">
        <is>
          <t>Permission Granted</t>
        </is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 t="inlineStr"/>
      <c r="U11" s="23" t="inlineStr">
        <is>
          <t>Unchanged</t>
        </is>
      </c>
    </row>
    <row r="12">
      <c r="A12" s="23" t="inlineStr">
        <is>
          <t>CITY-7</t>
        </is>
      </c>
      <c r="B12" s="23" t="n">
        <v>7</v>
      </c>
      <c r="C12" s="23" t="inlineStr">
        <is>
          <t>Caherdavin</t>
        </is>
      </c>
      <c r="D12" s="23" t="inlineStr">
        <is>
          <t>Northside</t>
        </is>
      </c>
      <c r="E12" s="23" t="inlineStr">
        <is>
          <t>Unknown</t>
        </is>
      </c>
      <c r="F12" s="23" t="inlineStr">
        <is>
          <t>New Resi</t>
        </is>
      </c>
      <c r="G12" s="23" t="inlineStr">
        <is>
          <t>Greenfield</t>
        </is>
      </c>
      <c r="H12" s="23" t="inlineStr">
        <is>
          <t>Permission Granted</t>
        </is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 t="inlineStr"/>
      <c r="U12" s="23" t="inlineStr">
        <is>
          <t>Unchanged</t>
        </is>
      </c>
    </row>
    <row r="13">
      <c r="A13" s="23" t="inlineStr">
        <is>
          <t>CITY-8</t>
        </is>
      </c>
      <c r="B13" s="23" t="n">
        <v>8</v>
      </c>
      <c r="C13" s="23" t="inlineStr">
        <is>
          <t>Caherdavin</t>
        </is>
      </c>
      <c r="D13" s="23" t="inlineStr">
        <is>
          <t>Northside</t>
        </is>
      </c>
      <c r="E13" s="23" t="inlineStr">
        <is>
          <t>Unknown</t>
        </is>
      </c>
      <c r="F13" s="23" t="inlineStr">
        <is>
          <t>New Resi</t>
        </is>
      </c>
      <c r="G13" s="23" t="inlineStr">
        <is>
          <t>Greenfield</t>
        </is>
      </c>
      <c r="H13" s="23" t="inlineStr">
        <is>
          <t>Permission Granted</t>
        </is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 t="inlineStr"/>
      <c r="U13" s="23" t="inlineStr">
        <is>
          <t>Unchanged</t>
        </is>
      </c>
    </row>
    <row r="14">
      <c r="A14" s="23" t="inlineStr">
        <is>
          <t>CITY-9</t>
        </is>
      </c>
      <c r="B14" s="23" t="n">
        <v>9</v>
      </c>
      <c r="C14" s="23" t="inlineStr">
        <is>
          <t>Caherdavin</t>
        </is>
      </c>
      <c r="D14" s="23" t="inlineStr">
        <is>
          <t>Northside</t>
        </is>
      </c>
      <c r="E14" s="23" t="inlineStr">
        <is>
          <t>Council</t>
        </is>
      </c>
      <c r="F14" s="23" t="inlineStr">
        <is>
          <t>Exist Resi</t>
        </is>
      </c>
      <c r="G14" s="23" t="inlineStr">
        <is>
          <t>Infill</t>
        </is>
      </c>
      <c r="H14" s="23" t="inlineStr">
        <is>
          <t>Undeveloped/Permission Sought</t>
        </is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 t="inlineStr"/>
      <c r="U14" s="23" t="inlineStr">
        <is>
          <t>Unchanged</t>
        </is>
      </c>
    </row>
    <row r="15">
      <c r="A15" s="23" t="inlineStr">
        <is>
          <t>CITY-10</t>
        </is>
      </c>
      <c r="B15" s="23" t="n">
        <v>10</v>
      </c>
      <c r="C15" s="23" t="inlineStr">
        <is>
          <t>Caherdavin</t>
        </is>
      </c>
      <c r="D15" s="23" t="inlineStr">
        <is>
          <t>Northside</t>
        </is>
      </c>
      <c r="E15" s="23" t="inlineStr">
        <is>
          <t>Council</t>
        </is>
      </c>
      <c r="F15" s="23" t="inlineStr">
        <is>
          <t>Exist Resi</t>
        </is>
      </c>
      <c r="G15" s="23" t="inlineStr">
        <is>
          <t>Infill</t>
        </is>
      </c>
      <c r="H15" s="23" t="inlineStr">
        <is>
          <t>Undeveloped/Permission Sought</t>
        </is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inlineStr"/>
      <c r="U15" s="23" t="inlineStr">
        <is>
          <t>Unchanged</t>
        </is>
      </c>
    </row>
    <row r="16">
      <c r="A16" s="23" t="inlineStr">
        <is>
          <t>CITY-12</t>
        </is>
      </c>
      <c r="B16" s="23" t="n">
        <v>12</v>
      </c>
      <c r="C16" s="23" t="inlineStr">
        <is>
          <t>Caherdavin</t>
        </is>
      </c>
      <c r="D16" s="23" t="inlineStr">
        <is>
          <t>Northside</t>
        </is>
      </c>
      <c r="E16" s="23" t="inlineStr">
        <is>
          <t>EOI (expression of interest)</t>
        </is>
      </c>
      <c r="F16" s="23" t="inlineStr">
        <is>
          <t>Mixed Use</t>
        </is>
      </c>
      <c r="G16" s="23" t="inlineStr">
        <is>
          <t>Greenfield</t>
        </is>
      </c>
      <c r="H16" s="23" t="inlineStr">
        <is>
          <t>Permission Granted</t>
        </is>
      </c>
      <c r="I16" s="23" t="n">
        <v>9.430999999999999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inlineStr">
        <is>
          <t>Consented above capacity</t>
        </is>
      </c>
      <c r="U16" s="23" t="inlineStr">
        <is>
          <t>Unchanged</t>
        </is>
      </c>
    </row>
    <row r="17">
      <c r="A17" s="23" t="inlineStr">
        <is>
          <t>CITY-13</t>
        </is>
      </c>
      <c r="B17" s="23" t="n">
        <v>13</v>
      </c>
      <c r="C17" s="23" t="inlineStr">
        <is>
          <t>Caherdavin</t>
        </is>
      </c>
      <c r="D17" s="23" t="inlineStr">
        <is>
          <t>Northside</t>
        </is>
      </c>
      <c r="E17" s="23" t="inlineStr">
        <is>
          <t>Council</t>
        </is>
      </c>
      <c r="F17" s="23" t="inlineStr">
        <is>
          <t>Exist Resi</t>
        </is>
      </c>
      <c r="G17" s="23" t="inlineStr">
        <is>
          <t>Infill</t>
        </is>
      </c>
      <c r="H17" s="23" t="inlineStr">
        <is>
          <t>Undeveloped/Permission Sought</t>
        </is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inlineStr">
        <is>
          <t>Edge match – check boundary</t>
        </is>
      </c>
      <c r="U17" s="23" t="inlineStr">
        <is>
          <t>Unchanged</t>
        </is>
      </c>
    </row>
    <row r="18">
      <c r="A18" s="23" t="inlineStr">
        <is>
          <t>CITY-14</t>
        </is>
      </c>
      <c r="B18" s="23" t="n">
        <v>14</v>
      </c>
      <c r="C18" s="23" t="inlineStr">
        <is>
          <t>Caherdavin</t>
        </is>
      </c>
      <c r="D18" s="23" t="inlineStr">
        <is>
          <t>Northside</t>
        </is>
      </c>
      <c r="E18" s="23" t="inlineStr">
        <is>
          <t>Council</t>
        </is>
      </c>
      <c r="F18" s="23" t="inlineStr">
        <is>
          <t>Exist Resi</t>
        </is>
      </c>
      <c r="G18" s="23" t="inlineStr">
        <is>
          <t>Infill</t>
        </is>
      </c>
      <c r="H18" s="23" t="inlineStr">
        <is>
          <t>Complete/Commenced</t>
        </is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inlineStr">
        <is>
          <t>Register says permitted/complete but no permission linked</t>
        </is>
      </c>
      <c r="U18" s="23" t="inlineStr">
        <is>
          <t>Reduced Area</t>
        </is>
      </c>
    </row>
    <row r="19">
      <c r="A19" s="23" t="inlineStr">
        <is>
          <t>CITY-15</t>
        </is>
      </c>
      <c r="B19" s="23" t="n">
        <v>15</v>
      </c>
      <c r="C19" s="23" t="inlineStr">
        <is>
          <t>Caherdavin</t>
        </is>
      </c>
      <c r="D19" s="23" t="inlineStr">
        <is>
          <t>Northside</t>
        </is>
      </c>
      <c r="E19" s="23" t="inlineStr">
        <is>
          <t>Council</t>
        </is>
      </c>
      <c r="F19" s="23" t="inlineStr">
        <is>
          <t>New Resi</t>
        </is>
      </c>
      <c r="G19" s="23" t="inlineStr">
        <is>
          <t>Infill</t>
        </is>
      </c>
      <c r="H19" s="23" t="inlineStr">
        <is>
          <t>Undeveloped/Permission Sought</t>
        </is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 t="inlineStr"/>
      <c r="U19" s="23" t="inlineStr">
        <is>
          <t>Unchanged</t>
        </is>
      </c>
    </row>
    <row r="20">
      <c r="A20" s="23" t="inlineStr">
        <is>
          <t>CITY-16</t>
        </is>
      </c>
      <c r="B20" s="23" t="n">
        <v>16</v>
      </c>
      <c r="C20" s="23" t="inlineStr">
        <is>
          <t>Caherdavin</t>
        </is>
      </c>
      <c r="D20" s="23" t="inlineStr">
        <is>
          <t>Northside</t>
        </is>
      </c>
      <c r="E20" s="23" t="inlineStr">
        <is>
          <t>Council</t>
        </is>
      </c>
      <c r="F20" s="23" t="inlineStr">
        <is>
          <t>Exist Resi</t>
        </is>
      </c>
      <c r="G20" s="23" t="inlineStr">
        <is>
          <t>Infill</t>
        </is>
      </c>
      <c r="H20" s="23" t="inlineStr">
        <is>
          <t>Undeveloped/Permission Sought</t>
        </is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inlineStr"/>
      <c r="U20" s="23" t="inlineStr">
        <is>
          <t>Unchanged</t>
        </is>
      </c>
    </row>
    <row r="21">
      <c r="A21" s="23" t="inlineStr">
        <is>
          <t>CITY-20</t>
        </is>
      </c>
      <c r="B21" s="23" t="n">
        <v>20</v>
      </c>
      <c r="C21" s="23" t="inlineStr">
        <is>
          <t>Caherdavin</t>
        </is>
      </c>
      <c r="D21" s="23" t="inlineStr">
        <is>
          <t>Northside</t>
        </is>
      </c>
      <c r="E21" s="23" t="inlineStr">
        <is>
          <t>Private</t>
        </is>
      </c>
      <c r="F21" s="23" t="inlineStr">
        <is>
          <t>Mixed Use</t>
        </is>
      </c>
      <c r="G21" s="23" t="inlineStr">
        <is>
          <t>Infill</t>
        </is>
      </c>
      <c r="H21" s="23" t="inlineStr">
        <is>
          <t>Undeveloped/Permission Sought</t>
        </is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 t="inlineStr"/>
      <c r="U21" s="23" t="inlineStr">
        <is>
          <t>Unchanged</t>
        </is>
      </c>
    </row>
    <row r="22">
      <c r="A22" s="23" t="inlineStr">
        <is>
          <t>CITY-21</t>
        </is>
      </c>
      <c r="B22" s="23" t="n">
        <v>21</v>
      </c>
      <c r="C22" s="23" t="inlineStr">
        <is>
          <t>Caherdavin</t>
        </is>
      </c>
      <c r="D22" s="23" t="inlineStr">
        <is>
          <t>Northside</t>
        </is>
      </c>
      <c r="E22" s="23" t="inlineStr">
        <is>
          <t>Private</t>
        </is>
      </c>
      <c r="F22" s="23" t="inlineStr">
        <is>
          <t>New Resi</t>
        </is>
      </c>
      <c r="G22" s="23" t="inlineStr">
        <is>
          <t>Brownfield</t>
        </is>
      </c>
      <c r="H22" s="23" t="inlineStr">
        <is>
          <t>Permission Granted</t>
        </is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 t="inlineStr"/>
      <c r="U22" s="23" t="inlineStr">
        <is>
          <t>Unchanged</t>
        </is>
      </c>
    </row>
    <row r="23">
      <c r="A23" s="23" t="inlineStr">
        <is>
          <t>CITY-24</t>
        </is>
      </c>
      <c r="B23" s="23" t="n">
        <v>24</v>
      </c>
      <c r="C23" s="23" t="inlineStr">
        <is>
          <t>Caherdavin</t>
        </is>
      </c>
      <c r="D23" s="23" t="inlineStr">
        <is>
          <t>Northside</t>
        </is>
      </c>
      <c r="E23" s="23" t="inlineStr">
        <is>
          <t>Unknown</t>
        </is>
      </c>
      <c r="F23" s="23" t="inlineStr">
        <is>
          <t>New Resi</t>
        </is>
      </c>
      <c r="G23" s="23" t="inlineStr">
        <is>
          <t>Infill</t>
        </is>
      </c>
      <c r="H23" s="23" t="inlineStr">
        <is>
          <t>Permission Granted</t>
        </is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 t="inlineStr"/>
      <c r="U23" s="23" t="inlineStr">
        <is>
          <t>Unchanged</t>
        </is>
      </c>
    </row>
    <row r="24">
      <c r="A24" s="23" t="inlineStr">
        <is>
          <t>CITY-25</t>
        </is>
      </c>
      <c r="B24" s="23" t="n">
        <v>25</v>
      </c>
      <c r="C24" s="23" t="inlineStr">
        <is>
          <t>Caherdavin</t>
        </is>
      </c>
      <c r="D24" s="23" t="inlineStr">
        <is>
          <t>Northside</t>
        </is>
      </c>
      <c r="E24" s="23" t="inlineStr">
        <is>
          <t>Council</t>
        </is>
      </c>
      <c r="F24" s="23" t="inlineStr">
        <is>
          <t>Exist Resi</t>
        </is>
      </c>
      <c r="G24" s="23" t="inlineStr">
        <is>
          <t>Infill</t>
        </is>
      </c>
      <c r="H24" s="23" t="inlineStr">
        <is>
          <t>Undeveloped/Permission Sought</t>
        </is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 t="inlineStr"/>
      <c r="U24" s="23" t="inlineStr">
        <is>
          <t>Unchanged</t>
        </is>
      </c>
    </row>
    <row r="25">
      <c r="A25" s="23" t="inlineStr">
        <is>
          <t>CITY-164</t>
        </is>
      </c>
      <c r="B25" s="23" t="n">
        <v>164</v>
      </c>
      <c r="C25" s="23" t="inlineStr">
        <is>
          <t>Caherdavin</t>
        </is>
      </c>
      <c r="D25" s="23" t="n"/>
      <c r="E25" s="23" t="inlineStr">
        <is>
          <t>Unknown</t>
        </is>
      </c>
      <c r="F25" s="23" t="n"/>
      <c r="G25" s="23" t="n"/>
      <c r="H25" s="23" t="n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 t="inlineStr"/>
      <c r="U25" s="23" t="inlineStr">
        <is>
          <t>Addition</t>
        </is>
      </c>
    </row>
    <row r="26">
      <c r="A26" s="23" t="inlineStr">
        <is>
          <t>CITY-53</t>
        </is>
      </c>
      <c r="B26" s="23" t="n">
        <v>53</v>
      </c>
      <c r="C26" s="23" t="inlineStr">
        <is>
          <t>Castletroy/Annacotty</t>
        </is>
      </c>
      <c r="D26" s="23" t="inlineStr">
        <is>
          <t>Castletroy</t>
        </is>
      </c>
      <c r="E26" s="23" t="inlineStr">
        <is>
          <t>Private</t>
        </is>
      </c>
      <c r="F26" s="23" t="inlineStr">
        <is>
          <t>New Resi</t>
        </is>
      </c>
      <c r="G26" s="23" t="inlineStr">
        <is>
          <t>Infill</t>
        </is>
      </c>
      <c r="H26" s="23" t="inlineStr">
        <is>
          <t>Permission Granted</t>
        </is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inlineStr">
        <is>
          <t>Consented above capacity</t>
        </is>
      </c>
      <c r="U26" s="23" t="inlineStr">
        <is>
          <t>Unchanged</t>
        </is>
      </c>
    </row>
    <row r="27">
      <c r="A27" s="23" t="inlineStr">
        <is>
          <t>CITY-54</t>
        </is>
      </c>
      <c r="B27" s="23" t="n">
        <v>54</v>
      </c>
      <c r="C27" s="23" t="inlineStr">
        <is>
          <t>Castletroy/Annacotty</t>
        </is>
      </c>
      <c r="D27" s="23" t="inlineStr">
        <is>
          <t>Castletroy</t>
        </is>
      </c>
      <c r="E27" s="23" t="inlineStr">
        <is>
          <t>Private</t>
        </is>
      </c>
      <c r="F27" s="23" t="inlineStr">
        <is>
          <t>New Resi</t>
        </is>
      </c>
      <c r="G27" s="23" t="inlineStr">
        <is>
          <t>Infill</t>
        </is>
      </c>
      <c r="H27" s="23" t="inlineStr">
        <is>
          <t>Undeveloped/Permission Sought</t>
        </is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 t="inlineStr"/>
      <c r="U27" s="23" t="inlineStr">
        <is>
          <t>Unchanged</t>
        </is>
      </c>
    </row>
    <row r="28">
      <c r="A28" s="23" t="inlineStr">
        <is>
          <t>CITY-56</t>
        </is>
      </c>
      <c r="B28" s="23" t="n">
        <v>56</v>
      </c>
      <c r="C28" s="23" t="inlineStr">
        <is>
          <t>Castletroy/Annacotty</t>
        </is>
      </c>
      <c r="D28" s="23" t="inlineStr">
        <is>
          <t>Castletroy</t>
        </is>
      </c>
      <c r="E28" s="23" t="inlineStr">
        <is>
          <t>Private</t>
        </is>
      </c>
      <c r="F28" s="23" t="inlineStr">
        <is>
          <t>New Resi</t>
        </is>
      </c>
      <c r="G28" s="23" t="inlineStr">
        <is>
          <t>Infill</t>
        </is>
      </c>
      <c r="H28" s="23" t="inlineStr">
        <is>
          <t>Complete/Commenced</t>
        </is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inlineStr">
        <is>
          <t>Edge match – check boundary</t>
        </is>
      </c>
      <c r="U28" s="23" t="inlineStr">
        <is>
          <t>Reduced Area</t>
        </is>
      </c>
    </row>
    <row r="29">
      <c r="A29" s="23" t="inlineStr">
        <is>
          <t>CITY-57</t>
        </is>
      </c>
      <c r="B29" s="23" t="n">
        <v>57</v>
      </c>
      <c r="C29" s="23" t="inlineStr">
        <is>
          <t>Castletroy/Annacotty</t>
        </is>
      </c>
      <c r="D29" s="23" t="inlineStr">
        <is>
          <t>Castletroy</t>
        </is>
      </c>
      <c r="E29" s="23" t="inlineStr">
        <is>
          <t>Private</t>
        </is>
      </c>
      <c r="F29" s="23" t="inlineStr">
        <is>
          <t>New Resi</t>
        </is>
      </c>
      <c r="G29" s="23" t="inlineStr">
        <is>
          <t>Infill</t>
        </is>
      </c>
      <c r="H29" s="23" t="inlineStr">
        <is>
          <t>Undeveloped/Permission Sought</t>
        </is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 t="inlineStr"/>
      <c r="U29" s="23" t="inlineStr">
        <is>
          <t>Unchanged</t>
        </is>
      </c>
    </row>
    <row r="30">
      <c r="A30" s="23" t="inlineStr">
        <is>
          <t>CITY-60</t>
        </is>
      </c>
      <c r="B30" s="23" t="n">
        <v>60</v>
      </c>
      <c r="C30" s="23" t="inlineStr">
        <is>
          <t>Castletroy/Annacotty</t>
        </is>
      </c>
      <c r="D30" s="23" t="inlineStr">
        <is>
          <t>Castletroy</t>
        </is>
      </c>
      <c r="E30" s="23" t="inlineStr">
        <is>
          <t>Private</t>
        </is>
      </c>
      <c r="F30" s="23" t="inlineStr">
        <is>
          <t>New Resi</t>
        </is>
      </c>
      <c r="G30" s="23" t="inlineStr">
        <is>
          <t>Infill</t>
        </is>
      </c>
      <c r="H30" s="23" t="inlineStr">
        <is>
          <t>Undeveloped/Permission Sought</t>
        </is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 t="inlineStr"/>
      <c r="U30" s="23" t="inlineStr">
        <is>
          <t>Unchanged</t>
        </is>
      </c>
    </row>
    <row r="31">
      <c r="A31" s="23" t="inlineStr">
        <is>
          <t>CITY-61</t>
        </is>
      </c>
      <c r="B31" s="23" t="n">
        <v>61</v>
      </c>
      <c r="C31" s="23" t="inlineStr">
        <is>
          <t>Castletroy/Annacotty</t>
        </is>
      </c>
      <c r="D31" s="23" t="inlineStr">
        <is>
          <t>Castletroy</t>
        </is>
      </c>
      <c r="E31" s="23" t="inlineStr">
        <is>
          <t>Private</t>
        </is>
      </c>
      <c r="F31" s="23" t="inlineStr">
        <is>
          <t>New Resi</t>
        </is>
      </c>
      <c r="G31" s="23" t="inlineStr">
        <is>
          <t>Infill</t>
        </is>
      </c>
      <c r="H31" s="23" t="inlineStr">
        <is>
          <t>Permission Granted</t>
        </is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inlineStr">
        <is>
          <t>Register says permitted/complete but no permission linked</t>
        </is>
      </c>
      <c r="U31" s="23" t="inlineStr">
        <is>
          <t>Unchanged</t>
        </is>
      </c>
    </row>
    <row r="32">
      <c r="A32" s="23" t="inlineStr">
        <is>
          <t>CITY-62</t>
        </is>
      </c>
      <c r="B32" s="23" t="n">
        <v>62</v>
      </c>
      <c r="C32" s="23" t="inlineStr">
        <is>
          <t>Castletroy/Annacotty</t>
        </is>
      </c>
      <c r="D32" s="23" t="inlineStr">
        <is>
          <t>Castletroy</t>
        </is>
      </c>
      <c r="E32" s="23" t="inlineStr">
        <is>
          <t>Private</t>
        </is>
      </c>
      <c r="F32" s="23" t="inlineStr">
        <is>
          <t>Exist Resi</t>
        </is>
      </c>
      <c r="G32" s="23" t="inlineStr">
        <is>
          <t>Infill</t>
        </is>
      </c>
      <c r="H32" s="23" t="inlineStr">
        <is>
          <t>Undeveloped/Permission Sought</t>
        </is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 t="inlineStr"/>
      <c r="U32" s="23" t="inlineStr">
        <is>
          <t>Unchanged</t>
        </is>
      </c>
    </row>
    <row r="33">
      <c r="A33" s="23" t="inlineStr">
        <is>
          <t>CITY-63</t>
        </is>
      </c>
      <c r="B33" s="23" t="n">
        <v>63</v>
      </c>
      <c r="C33" s="23" t="inlineStr">
        <is>
          <t>Castletroy/Annacotty</t>
        </is>
      </c>
      <c r="D33" s="23" t="inlineStr">
        <is>
          <t>Castletroy</t>
        </is>
      </c>
      <c r="E33" s="23" t="inlineStr">
        <is>
          <t>Council</t>
        </is>
      </c>
      <c r="F33" s="23" t="inlineStr">
        <is>
          <t>New Resi</t>
        </is>
      </c>
      <c r="G33" s="23" t="inlineStr">
        <is>
          <t>Brownfield</t>
        </is>
      </c>
      <c r="H33" s="23" t="inlineStr">
        <is>
          <t>Undeveloped/Permission Sought</t>
        </is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 t="inlineStr"/>
      <c r="U33" s="23" t="inlineStr">
        <is>
          <t>Unchanged</t>
        </is>
      </c>
    </row>
    <row r="34">
      <c r="A34" s="23" t="inlineStr">
        <is>
          <t>CITY-65</t>
        </is>
      </c>
      <c r="B34" s="23" t="n">
        <v>65</v>
      </c>
      <c r="C34" s="23" t="inlineStr">
        <is>
          <t>Castletroy/Annacotty</t>
        </is>
      </c>
      <c r="D34" s="23" t="inlineStr">
        <is>
          <t>Castletroy</t>
        </is>
      </c>
      <c r="E34" s="23" t="inlineStr">
        <is>
          <t>Private</t>
        </is>
      </c>
      <c r="F34" s="23" t="inlineStr">
        <is>
          <t>New Resi</t>
        </is>
      </c>
      <c r="G34" s="23" t="inlineStr">
        <is>
          <t>Infill</t>
        </is>
      </c>
      <c r="H34" s="23" t="inlineStr">
        <is>
          <t>Undeveloped/Permission Sought</t>
        </is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 t="inlineStr"/>
      <c r="U34" s="23" t="inlineStr">
        <is>
          <t>Unchanged</t>
        </is>
      </c>
    </row>
    <row r="35">
      <c r="A35" s="23" t="inlineStr">
        <is>
          <t>CITY-66</t>
        </is>
      </c>
      <c r="B35" s="23" t="n">
        <v>66</v>
      </c>
      <c r="C35" s="23" t="inlineStr">
        <is>
          <t>Castletroy/Annacotty</t>
        </is>
      </c>
      <c r="D35" s="23" t="inlineStr">
        <is>
          <t>Castletroy</t>
        </is>
      </c>
      <c r="E35" s="23" t="inlineStr">
        <is>
          <t>Private</t>
        </is>
      </c>
      <c r="F35" s="23" t="inlineStr">
        <is>
          <t>New Resi</t>
        </is>
      </c>
      <c r="G35" s="23" t="inlineStr">
        <is>
          <t>Infill</t>
        </is>
      </c>
      <c r="H35" s="23" t="inlineStr">
        <is>
          <t>Undeveloped/Permission Sought</t>
        </is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 t="inlineStr"/>
      <c r="U35" s="23" t="inlineStr">
        <is>
          <t>Unchanged</t>
        </is>
      </c>
    </row>
    <row r="36">
      <c r="A36" s="23" t="inlineStr">
        <is>
          <t>CITY-67</t>
        </is>
      </c>
      <c r="B36" s="23" t="n">
        <v>67</v>
      </c>
      <c r="C36" s="23" t="inlineStr">
        <is>
          <t>Castletroy/Annacotty</t>
        </is>
      </c>
      <c r="D36" s="23" t="inlineStr">
        <is>
          <t>Castletroy</t>
        </is>
      </c>
      <c r="E36" s="23" t="inlineStr">
        <is>
          <t>Private</t>
        </is>
      </c>
      <c r="F36" s="23" t="inlineStr">
        <is>
          <t>New Resi</t>
        </is>
      </c>
      <c r="G36" s="23" t="inlineStr">
        <is>
          <t>Infill</t>
        </is>
      </c>
      <c r="H36" s="23" t="inlineStr">
        <is>
          <t>Undeveloped/Permission Sought</t>
        </is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 t="inlineStr"/>
      <c r="U36" s="23" t="inlineStr">
        <is>
          <t>Unchanged</t>
        </is>
      </c>
    </row>
    <row r="37">
      <c r="A37" s="23" t="inlineStr">
        <is>
          <t>CITY-69</t>
        </is>
      </c>
      <c r="B37" s="23" t="n">
        <v>69</v>
      </c>
      <c r="C37" s="23" t="inlineStr">
        <is>
          <t>Castletroy/Annacotty</t>
        </is>
      </c>
      <c r="D37" s="23" t="inlineStr">
        <is>
          <t>Castletroy</t>
        </is>
      </c>
      <c r="E37" s="23" t="inlineStr">
        <is>
          <t>Private</t>
        </is>
      </c>
      <c r="F37" s="23" t="inlineStr">
        <is>
          <t>New Resi</t>
        </is>
      </c>
      <c r="G37" s="23" t="inlineStr">
        <is>
          <t>Greenfield</t>
        </is>
      </c>
      <c r="H37" s="23" t="inlineStr">
        <is>
          <t>Undeveloped/Permission Sought</t>
        </is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inlineStr"/>
      <c r="U37" s="23" t="inlineStr">
        <is>
          <t>Unchanged</t>
        </is>
      </c>
    </row>
    <row r="38">
      <c r="A38" s="23" t="inlineStr">
        <is>
          <t>CITY-70</t>
        </is>
      </c>
      <c r="B38" s="23" t="n">
        <v>70</v>
      </c>
      <c r="C38" s="23" t="inlineStr">
        <is>
          <t>Castletroy/Annacotty</t>
        </is>
      </c>
      <c r="D38" s="23" t="inlineStr">
        <is>
          <t>Castletroy</t>
        </is>
      </c>
      <c r="E38" s="23" t="inlineStr">
        <is>
          <t>Private</t>
        </is>
      </c>
      <c r="F38" s="23" t="inlineStr">
        <is>
          <t>New Resi</t>
        </is>
      </c>
      <c r="G38" s="23" t="inlineStr">
        <is>
          <t>Greenfield</t>
        </is>
      </c>
      <c r="H38" s="23" t="inlineStr">
        <is>
          <t>Undeveloped/Permission Sought</t>
        </is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inlineStr">
        <is>
          <t>Edge match – check boundary</t>
        </is>
      </c>
      <c r="U38" s="23" t="inlineStr">
        <is>
          <t>Unchanged</t>
        </is>
      </c>
    </row>
    <row r="39">
      <c r="A39" s="23" t="inlineStr">
        <is>
          <t>CITY-71</t>
        </is>
      </c>
      <c r="B39" s="23" t="n">
        <v>71</v>
      </c>
      <c r="C39" s="23" t="inlineStr">
        <is>
          <t>Castletroy/Annacotty</t>
        </is>
      </c>
      <c r="D39" s="23" t="inlineStr">
        <is>
          <t>Castletroy</t>
        </is>
      </c>
      <c r="E39" s="23" t="inlineStr">
        <is>
          <t>Private</t>
        </is>
      </c>
      <c r="F39" s="23" t="inlineStr">
        <is>
          <t>New Resi</t>
        </is>
      </c>
      <c r="G39" s="23" t="inlineStr">
        <is>
          <t>Infill</t>
        </is>
      </c>
      <c r="H39" s="23" t="inlineStr">
        <is>
          <t>Undeveloped/Permission Sought</t>
        </is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inlineStr">
        <is>
          <t>Consented above capacity</t>
        </is>
      </c>
      <c r="U39" s="23" t="inlineStr">
        <is>
          <t>Unchanged</t>
        </is>
      </c>
    </row>
    <row r="40">
      <c r="A40" s="23" t="inlineStr">
        <is>
          <t>CITY-72</t>
        </is>
      </c>
      <c r="B40" s="23" t="n">
        <v>72</v>
      </c>
      <c r="C40" s="23" t="inlineStr">
        <is>
          <t>Castletroy/Annacotty</t>
        </is>
      </c>
      <c r="D40" s="23" t="inlineStr">
        <is>
          <t>Castletroy</t>
        </is>
      </c>
      <c r="E40" s="23" t="inlineStr">
        <is>
          <t>Private</t>
        </is>
      </c>
      <c r="F40" s="23" t="inlineStr">
        <is>
          <t>Mixed Use</t>
        </is>
      </c>
      <c r="G40" s="23" t="inlineStr">
        <is>
          <t>Greenfield</t>
        </is>
      </c>
      <c r="H40" s="23" t="inlineStr">
        <is>
          <t>Permission Granted</t>
        </is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inlineStr">
        <is>
          <t>Consented above capacity</t>
        </is>
      </c>
      <c r="U40" s="23" t="inlineStr">
        <is>
          <t>Reduced Area</t>
        </is>
      </c>
    </row>
    <row r="41">
      <c r="A41" s="23" t="inlineStr">
        <is>
          <t>CITY-159</t>
        </is>
      </c>
      <c r="B41" s="23" t="n">
        <v>159</v>
      </c>
      <c r="C41" s="23" t="inlineStr">
        <is>
          <t>Castletroy/Annacotty</t>
        </is>
      </c>
      <c r="D41" s="23" t="inlineStr">
        <is>
          <t>Castletroy</t>
        </is>
      </c>
      <c r="E41" s="23" t="inlineStr">
        <is>
          <t>Private</t>
        </is>
      </c>
      <c r="F41" s="23" t="inlineStr">
        <is>
          <t>New Resi</t>
        </is>
      </c>
      <c r="G41" s="23" t="inlineStr">
        <is>
          <t>Greenfield</t>
        </is>
      </c>
      <c r="H41" s="23" t="inlineStr">
        <is>
          <t>Undeveloped/Permission Sought</t>
        </is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 t="inlineStr"/>
      <c r="U41" s="23" t="inlineStr">
        <is>
          <t>Unchanged</t>
        </is>
      </c>
    </row>
    <row r="42">
      <c r="A42" s="23" t="inlineStr">
        <is>
          <t>CITY-22</t>
        </is>
      </c>
      <c r="B42" s="23" t="n">
        <v>22</v>
      </c>
      <c r="C42" s="23" t="inlineStr">
        <is>
          <t>City Centre</t>
        </is>
      </c>
      <c r="D42" s="23" t="inlineStr">
        <is>
          <t>Northside</t>
        </is>
      </c>
      <c r="E42" s="23" t="inlineStr">
        <is>
          <t>Council</t>
        </is>
      </c>
      <c r="F42" s="23" t="inlineStr">
        <is>
          <t>City C</t>
        </is>
      </c>
      <c r="G42" s="23" t="inlineStr">
        <is>
          <t>Brownfield</t>
        </is>
      </c>
      <c r="H42" s="23" t="inlineStr">
        <is>
          <t>Undeveloped/Permission Sought</t>
        </is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inlineStr"/>
      <c r="U42" s="23" t="inlineStr">
        <is>
          <t>Unchanged</t>
        </is>
      </c>
    </row>
    <row r="43">
      <c r="A43" s="23" t="inlineStr">
        <is>
          <t>CITY-23</t>
        </is>
      </c>
      <c r="B43" s="23" t="n">
        <v>23</v>
      </c>
      <c r="C43" s="23" t="inlineStr">
        <is>
          <t>City Centre</t>
        </is>
      </c>
      <c r="D43" s="23" t="inlineStr">
        <is>
          <t>Northside</t>
        </is>
      </c>
      <c r="E43" s="23" t="inlineStr">
        <is>
          <t>Council</t>
        </is>
      </c>
      <c r="F43" s="23" t="inlineStr">
        <is>
          <t>New Resi</t>
        </is>
      </c>
      <c r="G43" s="23" t="inlineStr">
        <is>
          <t>Infill</t>
        </is>
      </c>
      <c r="H43" s="23" t="inlineStr">
        <is>
          <t>Undeveloped/Permission Sought</t>
        </is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 t="inlineStr"/>
      <c r="U43" s="23" t="inlineStr">
        <is>
          <t>Unchanged</t>
        </is>
      </c>
    </row>
    <row r="44">
      <c r="A44" s="23" t="inlineStr">
        <is>
          <t>CITY-86</t>
        </is>
      </c>
      <c r="B44" s="23" t="n">
        <v>86</v>
      </c>
      <c r="C44" s="23" t="inlineStr">
        <is>
          <t>City Centre</t>
        </is>
      </c>
      <c r="D44" s="23" t="inlineStr">
        <is>
          <t>City Centre</t>
        </is>
      </c>
      <c r="E44" s="23" t="inlineStr">
        <is>
          <t>Private</t>
        </is>
      </c>
      <c r="F44" s="23" t="inlineStr">
        <is>
          <t>City C</t>
        </is>
      </c>
      <c r="G44" s="23" t="inlineStr">
        <is>
          <t>Brownfield</t>
        </is>
      </c>
      <c r="H44" s="23" t="inlineStr">
        <is>
          <t>Undeveloped/Permission Sought</t>
        </is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 t="inlineStr"/>
      <c r="U44" s="23" t="inlineStr">
        <is>
          <t>Unchanged</t>
        </is>
      </c>
    </row>
    <row r="45">
      <c r="A45" s="23" t="inlineStr">
        <is>
          <t>CITY-87</t>
        </is>
      </c>
      <c r="B45" s="23" t="n">
        <v>87</v>
      </c>
      <c r="C45" s="23" t="inlineStr">
        <is>
          <t>City Centre</t>
        </is>
      </c>
      <c r="D45" s="23" t="inlineStr">
        <is>
          <t>City Centre</t>
        </is>
      </c>
      <c r="E45" s="23" t="inlineStr">
        <is>
          <t>Private</t>
        </is>
      </c>
      <c r="F45" s="23" t="inlineStr">
        <is>
          <t>City C</t>
        </is>
      </c>
      <c r="G45" s="23" t="inlineStr">
        <is>
          <t>Brownfield</t>
        </is>
      </c>
      <c r="H45" s="23" t="inlineStr">
        <is>
          <t>Undeveloped/Permission Sought</t>
        </is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 t="inlineStr"/>
      <c r="U45" s="23" t="inlineStr">
        <is>
          <t>Unchanged</t>
        </is>
      </c>
    </row>
    <row r="46">
      <c r="A46" s="23" t="inlineStr">
        <is>
          <t>CITY-88</t>
        </is>
      </c>
      <c r="B46" s="23" t="n">
        <v>88</v>
      </c>
      <c r="C46" s="23" t="inlineStr">
        <is>
          <t>City Centre</t>
        </is>
      </c>
      <c r="D46" s="23" t="inlineStr">
        <is>
          <t>City Centre</t>
        </is>
      </c>
      <c r="E46" s="23" t="inlineStr">
        <is>
          <t>Unknown</t>
        </is>
      </c>
      <c r="F46" s="23" t="inlineStr">
        <is>
          <t>City Centre</t>
        </is>
      </c>
      <c r="G46" s="23" t="inlineStr">
        <is>
          <t>Brownfield</t>
        </is>
      </c>
      <c r="H46" s="23" t="inlineStr">
        <is>
          <t>Undeveloped/Permission Sought</t>
        </is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 t="inlineStr"/>
      <c r="U46" s="23" t="inlineStr">
        <is>
          <t>Unchanged</t>
        </is>
      </c>
    </row>
    <row r="47">
      <c r="A47" s="23" t="inlineStr">
        <is>
          <t>CITY-89</t>
        </is>
      </c>
      <c r="B47" s="23" t="n">
        <v>89</v>
      </c>
      <c r="C47" s="23" t="inlineStr">
        <is>
          <t>City Centre</t>
        </is>
      </c>
      <c r="D47" s="23" t="inlineStr">
        <is>
          <t>City Centre</t>
        </is>
      </c>
      <c r="E47" s="23" t="inlineStr">
        <is>
          <t>Private</t>
        </is>
      </c>
      <c r="F47" s="23" t="inlineStr">
        <is>
          <t>City C</t>
        </is>
      </c>
      <c r="G47" s="23" t="inlineStr">
        <is>
          <t>Infill</t>
        </is>
      </c>
      <c r="H47" s="23" t="inlineStr">
        <is>
          <t>Undeveloped/Permission Sought</t>
        </is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inlineStr"/>
      <c r="U47" s="23" t="inlineStr">
        <is>
          <t>Unchanged</t>
        </is>
      </c>
    </row>
    <row r="48">
      <c r="A48" s="23" t="inlineStr">
        <is>
          <t>CITY-91</t>
        </is>
      </c>
      <c r="B48" s="23" t="n">
        <v>91</v>
      </c>
      <c r="C48" s="23" t="inlineStr">
        <is>
          <t>City Centre</t>
        </is>
      </c>
      <c r="D48" s="23" t="inlineStr">
        <is>
          <t>Dock Rd</t>
        </is>
      </c>
      <c r="E48" s="23" t="inlineStr">
        <is>
          <t>Council</t>
        </is>
      </c>
      <c r="F48" s="23" t="inlineStr">
        <is>
          <t>City C</t>
        </is>
      </c>
      <c r="G48" s="23" t="inlineStr">
        <is>
          <t>Brownfield</t>
        </is>
      </c>
      <c r="H48" s="23" t="inlineStr">
        <is>
          <t>Undeveloped/Permission Sought</t>
        </is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 t="inlineStr"/>
      <c r="U48" s="23" t="inlineStr">
        <is>
          <t>Unchanged</t>
        </is>
      </c>
    </row>
    <row r="49">
      <c r="A49" s="23" t="inlineStr">
        <is>
          <t>CITY-92</t>
        </is>
      </c>
      <c r="B49" s="23" t="n">
        <v>92</v>
      </c>
      <c r="C49" s="23" t="inlineStr">
        <is>
          <t>City Centre</t>
        </is>
      </c>
      <c r="D49" s="23" t="inlineStr">
        <is>
          <t>City Centre</t>
        </is>
      </c>
      <c r="E49" s="23" t="inlineStr">
        <is>
          <t>Private</t>
        </is>
      </c>
      <c r="F49" s="23" t="inlineStr">
        <is>
          <t>City C</t>
        </is>
      </c>
      <c r="G49" s="23" t="inlineStr">
        <is>
          <t>Infill</t>
        </is>
      </c>
      <c r="H49" s="23" t="inlineStr">
        <is>
          <t>Undeveloped/Permission Sought</t>
        </is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inlineStr">
        <is>
          <t>Edge match – check boundary</t>
        </is>
      </c>
      <c r="U49" s="23" t="inlineStr">
        <is>
          <t>Unchanged</t>
        </is>
      </c>
    </row>
    <row r="50">
      <c r="A50" s="23" t="inlineStr">
        <is>
          <t>CITY-93</t>
        </is>
      </c>
      <c r="B50" s="23" t="n">
        <v>93</v>
      </c>
      <c r="C50" s="23" t="inlineStr">
        <is>
          <t>City Centre</t>
        </is>
      </c>
      <c r="D50" s="23" t="inlineStr">
        <is>
          <t>City Centre</t>
        </is>
      </c>
      <c r="E50" s="23" t="inlineStr">
        <is>
          <t>Private</t>
        </is>
      </c>
      <c r="F50" s="23" t="inlineStr">
        <is>
          <t>City C</t>
        </is>
      </c>
      <c r="G50" s="23" t="inlineStr">
        <is>
          <t>Infill</t>
        </is>
      </c>
      <c r="H50" s="23" t="inlineStr">
        <is>
          <t>Undeveloped/Permission Sought</t>
        </is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inlineStr">
        <is>
          <t>Edge match – check boundary</t>
        </is>
      </c>
      <c r="U50" s="23" t="inlineStr">
        <is>
          <t>Unchanged</t>
        </is>
      </c>
    </row>
    <row r="51">
      <c r="A51" s="23" t="inlineStr">
        <is>
          <t>CITY-95</t>
        </is>
      </c>
      <c r="B51" s="23" t="n">
        <v>95</v>
      </c>
      <c r="C51" s="23" t="inlineStr">
        <is>
          <t>City Centre</t>
        </is>
      </c>
      <c r="D51" s="23" t="inlineStr">
        <is>
          <t>City Centre</t>
        </is>
      </c>
      <c r="E51" s="23" t="inlineStr">
        <is>
          <t>Private</t>
        </is>
      </c>
      <c r="F51" s="23" t="inlineStr">
        <is>
          <t>City C</t>
        </is>
      </c>
      <c r="G51" s="23" t="inlineStr">
        <is>
          <t>Infill</t>
        </is>
      </c>
      <c r="H51" s="23" t="inlineStr">
        <is>
          <t>Undeveloped/Permission Sought</t>
        </is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inlineStr">
        <is>
          <t>Edge match – check boundary</t>
        </is>
      </c>
      <c r="U51" s="23" t="inlineStr">
        <is>
          <t>Unchanged</t>
        </is>
      </c>
    </row>
    <row r="52">
      <c r="A52" s="23" t="inlineStr">
        <is>
          <t>CITY-97</t>
        </is>
      </c>
      <c r="B52" s="23" t="n">
        <v>97</v>
      </c>
      <c r="C52" s="23" t="inlineStr">
        <is>
          <t>City Centre</t>
        </is>
      </c>
      <c r="D52" s="23" t="inlineStr">
        <is>
          <t>City Centre</t>
        </is>
      </c>
      <c r="E52" s="23" t="inlineStr">
        <is>
          <t>Private</t>
        </is>
      </c>
      <c r="F52" s="23" t="inlineStr">
        <is>
          <t>City C</t>
        </is>
      </c>
      <c r="G52" s="23" t="inlineStr">
        <is>
          <t>Infill</t>
        </is>
      </c>
      <c r="H52" s="23" t="inlineStr">
        <is>
          <t>Undeveloped/Permission Sought</t>
        </is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inlineStr"/>
      <c r="U52" s="23" t="inlineStr">
        <is>
          <t>Unchanged</t>
        </is>
      </c>
    </row>
    <row r="53">
      <c r="A53" s="23" t="inlineStr">
        <is>
          <t>CITY-99</t>
        </is>
      </c>
      <c r="B53" s="23" t="n">
        <v>99</v>
      </c>
      <c r="C53" s="23" t="inlineStr">
        <is>
          <t>City Centre</t>
        </is>
      </c>
      <c r="D53" s="23" t="inlineStr">
        <is>
          <t>City Centre</t>
        </is>
      </c>
      <c r="E53" s="23" t="inlineStr">
        <is>
          <t>Private</t>
        </is>
      </c>
      <c r="F53" s="23" t="inlineStr">
        <is>
          <t>City C</t>
        </is>
      </c>
      <c r="G53" s="23" t="inlineStr">
        <is>
          <t>Infill</t>
        </is>
      </c>
      <c r="H53" s="23" t="inlineStr">
        <is>
          <t>Undeveloped/Permission Sought</t>
        </is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 t="inlineStr"/>
      <c r="U53" s="23" t="inlineStr">
        <is>
          <t>Unchanged</t>
        </is>
      </c>
    </row>
    <row r="54">
      <c r="A54" s="23" t="inlineStr">
        <is>
          <t>CITY-101</t>
        </is>
      </c>
      <c r="B54" s="23" t="n">
        <v>101</v>
      </c>
      <c r="C54" s="23" t="inlineStr">
        <is>
          <t>City Centre</t>
        </is>
      </c>
      <c r="D54" s="23" t="inlineStr">
        <is>
          <t>City Centre</t>
        </is>
      </c>
      <c r="E54" s="23" t="inlineStr">
        <is>
          <t>Private</t>
        </is>
      </c>
      <c r="F54" s="23" t="inlineStr">
        <is>
          <t>City C</t>
        </is>
      </c>
      <c r="G54" s="23" t="inlineStr">
        <is>
          <t>Brownfield</t>
        </is>
      </c>
      <c r="H54" s="23" t="n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 t="inlineStr"/>
      <c r="U54" s="23" t="inlineStr">
        <is>
          <t>Unchanged</t>
        </is>
      </c>
    </row>
    <row r="55">
      <c r="A55" s="23" t="inlineStr">
        <is>
          <t>CITY-102</t>
        </is>
      </c>
      <c r="B55" s="23" t="n">
        <v>102</v>
      </c>
      <c r="C55" s="23" t="inlineStr">
        <is>
          <t>City Centre</t>
        </is>
      </c>
      <c r="D55" s="23" t="inlineStr">
        <is>
          <t>City Centre</t>
        </is>
      </c>
      <c r="E55" s="23" t="inlineStr">
        <is>
          <t>Private</t>
        </is>
      </c>
      <c r="F55" s="23" t="inlineStr">
        <is>
          <t>City C</t>
        </is>
      </c>
      <c r="G55" s="23" t="inlineStr">
        <is>
          <t>Infill</t>
        </is>
      </c>
      <c r="H55" s="23" t="inlineStr">
        <is>
          <t>Undeveloped/Permission Sought</t>
        </is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inlineStr">
        <is>
          <t>Edge match – check boundary</t>
        </is>
      </c>
      <c r="U55" s="23" t="inlineStr">
        <is>
          <t>Unchanged</t>
        </is>
      </c>
    </row>
    <row r="56">
      <c r="A56" s="23" t="inlineStr">
        <is>
          <t>CITY-104</t>
        </is>
      </c>
      <c r="B56" s="23" t="n">
        <v>104</v>
      </c>
      <c r="C56" s="23" t="inlineStr">
        <is>
          <t>City Centre</t>
        </is>
      </c>
      <c r="D56" s="23" t="inlineStr">
        <is>
          <t>City Centre</t>
        </is>
      </c>
      <c r="E56" s="23" t="inlineStr">
        <is>
          <t>Private</t>
        </is>
      </c>
      <c r="F56" s="23" t="inlineStr">
        <is>
          <t>City C</t>
        </is>
      </c>
      <c r="G56" s="23" t="inlineStr">
        <is>
          <t>Infill</t>
        </is>
      </c>
      <c r="H56" s="23" t="inlineStr">
        <is>
          <t>Undeveloped/Permission Sought</t>
        </is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inlineStr">
        <is>
          <t>Edge match – check boundary</t>
        </is>
      </c>
      <c r="U56" s="23" t="inlineStr">
        <is>
          <t>Unchanged</t>
        </is>
      </c>
    </row>
    <row r="57">
      <c r="A57" s="23" t="inlineStr">
        <is>
          <t>CITY-105</t>
        </is>
      </c>
      <c r="B57" s="23" t="n">
        <v>105</v>
      </c>
      <c r="C57" s="23" t="inlineStr">
        <is>
          <t>City Centre</t>
        </is>
      </c>
      <c r="D57" s="23" t="inlineStr">
        <is>
          <t>City Centre</t>
        </is>
      </c>
      <c r="E57" s="23" t="inlineStr">
        <is>
          <t>Private</t>
        </is>
      </c>
      <c r="F57" s="23" t="inlineStr">
        <is>
          <t>City C</t>
        </is>
      </c>
      <c r="G57" s="23" t="inlineStr">
        <is>
          <t>Infill</t>
        </is>
      </c>
      <c r="H57" s="23" t="inlineStr">
        <is>
          <t>Undeveloped/Permission Sought</t>
        </is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inlineStr"/>
      <c r="U57" s="23" t="inlineStr">
        <is>
          <t>Unchanged</t>
        </is>
      </c>
    </row>
    <row r="58">
      <c r="A58" s="23" t="inlineStr">
        <is>
          <t>CITY-106</t>
        </is>
      </c>
      <c r="B58" s="23" t="n">
        <v>106</v>
      </c>
      <c r="C58" s="23" t="inlineStr">
        <is>
          <t>City Centre</t>
        </is>
      </c>
      <c r="D58" s="23" t="inlineStr">
        <is>
          <t>City Centre</t>
        </is>
      </c>
      <c r="E58" s="23" t="inlineStr">
        <is>
          <t>Council</t>
        </is>
      </c>
      <c r="F58" s="23" t="inlineStr">
        <is>
          <t>Exist Resi</t>
        </is>
      </c>
      <c r="G58" s="23" t="inlineStr">
        <is>
          <t>Brownfield</t>
        </is>
      </c>
      <c r="H58" s="23" t="inlineStr">
        <is>
          <t>Permission Granted</t>
        </is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 t="inlineStr"/>
      <c r="U58" s="23" t="inlineStr">
        <is>
          <t>Unchanged</t>
        </is>
      </c>
    </row>
    <row r="59">
      <c r="A59" s="23" t="inlineStr">
        <is>
          <t>CITY-107</t>
        </is>
      </c>
      <c r="B59" s="23" t="n">
        <v>107</v>
      </c>
      <c r="C59" s="23" t="inlineStr">
        <is>
          <t>City Centre</t>
        </is>
      </c>
      <c r="D59" s="23" t="inlineStr">
        <is>
          <t>City Centre</t>
        </is>
      </c>
      <c r="E59" s="23" t="inlineStr">
        <is>
          <t>Council</t>
        </is>
      </c>
      <c r="F59" s="23" t="inlineStr">
        <is>
          <t>City C</t>
        </is>
      </c>
      <c r="G59" s="23" t="inlineStr">
        <is>
          <t>Brownfield</t>
        </is>
      </c>
      <c r="H59" s="23" t="inlineStr">
        <is>
          <t>Undeveloped/Permission Sought</t>
        </is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inlineStr">
        <is>
          <t>Edge match – check boundary</t>
        </is>
      </c>
      <c r="U59" s="23" t="inlineStr">
        <is>
          <t>Unchanged</t>
        </is>
      </c>
    </row>
    <row r="60">
      <c r="A60" s="23" t="inlineStr">
        <is>
          <t>CITY-108</t>
        </is>
      </c>
      <c r="B60" s="23" t="n">
        <v>108</v>
      </c>
      <c r="C60" s="23" t="inlineStr">
        <is>
          <t>City Centre</t>
        </is>
      </c>
      <c r="D60" s="23" t="inlineStr">
        <is>
          <t>City Centre</t>
        </is>
      </c>
      <c r="E60" s="23" t="inlineStr">
        <is>
          <t>Private</t>
        </is>
      </c>
      <c r="F60" s="23" t="inlineStr">
        <is>
          <t>New Resi</t>
        </is>
      </c>
      <c r="G60" s="23" t="inlineStr">
        <is>
          <t>Infill</t>
        </is>
      </c>
      <c r="H60" s="23" t="inlineStr">
        <is>
          <t>Undeveloped/Permission Sought</t>
        </is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inlineStr">
        <is>
          <t>Edge match – check boundary</t>
        </is>
      </c>
      <c r="U60" s="23" t="inlineStr">
        <is>
          <t>Unchanged</t>
        </is>
      </c>
    </row>
    <row r="61">
      <c r="A61" s="23" t="inlineStr">
        <is>
          <t>CITY-162</t>
        </is>
      </c>
      <c r="B61" s="23" t="n">
        <v>162</v>
      </c>
      <c r="C61" s="23" t="inlineStr">
        <is>
          <t>City Centre</t>
        </is>
      </c>
      <c r="D61" s="23" t="n"/>
      <c r="E61" s="23" t="inlineStr">
        <is>
          <t>Unknown</t>
        </is>
      </c>
      <c r="F61" s="23" t="n"/>
      <c r="G61" s="23" t="n"/>
      <c r="H61" s="23" t="n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 t="inlineStr"/>
      <c r="U61" s="23" t="inlineStr">
        <is>
          <t>Addition</t>
        </is>
      </c>
    </row>
    <row r="62">
      <c r="A62" s="23" t="inlineStr">
        <is>
          <t>CITY-163</t>
        </is>
      </c>
      <c r="B62" s="23" t="n">
        <v>163</v>
      </c>
      <c r="C62" s="23" t="inlineStr">
        <is>
          <t>City Centre</t>
        </is>
      </c>
      <c r="D62" s="23" t="n"/>
      <c r="E62" s="23" t="inlineStr">
        <is>
          <t>Unknown</t>
        </is>
      </c>
      <c r="F62" s="23" t="n"/>
      <c r="G62" s="23" t="n"/>
      <c r="H62" s="23" t="n"/>
      <c r="I62" s="23" t="n">
        <v>0.5669999999999999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inlineStr"/>
      <c r="U62" s="23" t="inlineStr">
        <is>
          <t>Addition</t>
        </is>
      </c>
    </row>
    <row r="63">
      <c r="A63" s="23" t="inlineStr">
        <is>
          <t>CITY-26</t>
        </is>
      </c>
      <c r="B63" s="23" t="n">
        <v>26</v>
      </c>
      <c r="C63" s="23" t="inlineStr">
        <is>
          <t>Corbally/Grove Island</t>
        </is>
      </c>
      <c r="D63" s="23" t="inlineStr">
        <is>
          <t>Corbally</t>
        </is>
      </c>
      <c r="E63" s="23" t="inlineStr">
        <is>
          <t>Private</t>
        </is>
      </c>
      <c r="F63" s="23" t="inlineStr">
        <is>
          <t>New Resi</t>
        </is>
      </c>
      <c r="G63" s="23" t="inlineStr">
        <is>
          <t>Infill</t>
        </is>
      </c>
      <c r="H63" s="23" t="inlineStr">
        <is>
          <t>Undeveloped/Permission Sought</t>
        </is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 t="inlineStr"/>
      <c r="U63" s="23" t="inlineStr">
        <is>
          <t>Unchanged</t>
        </is>
      </c>
    </row>
    <row r="64">
      <c r="A64" s="23" t="inlineStr">
        <is>
          <t>CITY-27</t>
        </is>
      </c>
      <c r="B64" s="23" t="n">
        <v>27</v>
      </c>
      <c r="C64" s="23" t="inlineStr">
        <is>
          <t>Corbally/Grove Island</t>
        </is>
      </c>
      <c r="D64" s="23" t="inlineStr">
        <is>
          <t>Corbally</t>
        </is>
      </c>
      <c r="E64" s="23" t="inlineStr">
        <is>
          <t>Private</t>
        </is>
      </c>
      <c r="F64" s="23" t="inlineStr">
        <is>
          <t>New Resi</t>
        </is>
      </c>
      <c r="G64" s="23" t="inlineStr">
        <is>
          <t>Infill</t>
        </is>
      </c>
      <c r="H64" s="23" t="inlineStr">
        <is>
          <t>Undeveloped/Permission Sought</t>
        </is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 t="inlineStr"/>
      <c r="U64" s="23" t="inlineStr">
        <is>
          <t>Unchanged</t>
        </is>
      </c>
    </row>
    <row r="65">
      <c r="A65" s="23" t="inlineStr">
        <is>
          <t>CITY-28</t>
        </is>
      </c>
      <c r="B65" s="23" t="n">
        <v>28</v>
      </c>
      <c r="C65" s="23" t="inlineStr">
        <is>
          <t>Corbally/Grove Island</t>
        </is>
      </c>
      <c r="D65" s="23" t="inlineStr">
        <is>
          <t>Corbally</t>
        </is>
      </c>
      <c r="E65" s="23" t="inlineStr">
        <is>
          <t>Private</t>
        </is>
      </c>
      <c r="F65" s="23" t="inlineStr">
        <is>
          <t>New Resi</t>
        </is>
      </c>
      <c r="G65" s="23" t="inlineStr">
        <is>
          <t>Infill</t>
        </is>
      </c>
      <c r="H65" s="23" t="inlineStr">
        <is>
          <t>Undeveloped/Permission Sought</t>
        </is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 t="inlineStr"/>
      <c r="U65" s="23" t="inlineStr">
        <is>
          <t>Unchanged</t>
        </is>
      </c>
    </row>
    <row r="66">
      <c r="A66" s="23" t="inlineStr">
        <is>
          <t>CITY-29</t>
        </is>
      </c>
      <c r="B66" s="23" t="n">
        <v>29</v>
      </c>
      <c r="C66" s="23" t="inlineStr">
        <is>
          <t>Corbally/Grove Island</t>
        </is>
      </c>
      <c r="D66" s="23" t="inlineStr">
        <is>
          <t>Corbally</t>
        </is>
      </c>
      <c r="E66" s="23" t="inlineStr">
        <is>
          <t>Unknown</t>
        </is>
      </c>
      <c r="F66" s="23" t="inlineStr">
        <is>
          <t>New Resi</t>
        </is>
      </c>
      <c r="G66" s="23" t="inlineStr">
        <is>
          <t>Infill</t>
        </is>
      </c>
      <c r="H66" s="23" t="inlineStr">
        <is>
          <t>Undeveloped/Permission Sought</t>
        </is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 t="inlineStr"/>
      <c r="U66" s="23" t="inlineStr">
        <is>
          <t>Unchanged</t>
        </is>
      </c>
    </row>
    <row r="67">
      <c r="A67" s="23" t="inlineStr">
        <is>
          <t>CITY-30</t>
        </is>
      </c>
      <c r="B67" s="23" t="n">
        <v>30</v>
      </c>
      <c r="C67" s="23" t="inlineStr">
        <is>
          <t>Corbally/Grove Island</t>
        </is>
      </c>
      <c r="D67" s="23" t="inlineStr">
        <is>
          <t>Corbally</t>
        </is>
      </c>
      <c r="E67" s="23" t="inlineStr">
        <is>
          <t>Unknown</t>
        </is>
      </c>
      <c r="F67" s="23" t="inlineStr">
        <is>
          <t>New Resi</t>
        </is>
      </c>
      <c r="G67" s="23" t="inlineStr">
        <is>
          <t>Infill</t>
        </is>
      </c>
      <c r="H67" s="23" t="inlineStr">
        <is>
          <t>Undeveloped/Permission Sought</t>
        </is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inlineStr">
        <is>
          <t>Consented above capacity</t>
        </is>
      </c>
      <c r="U67" s="23" t="inlineStr">
        <is>
          <t>Unchanged</t>
        </is>
      </c>
    </row>
    <row r="68">
      <c r="A68" s="23" t="inlineStr">
        <is>
          <t>CITY-31</t>
        </is>
      </c>
      <c r="B68" s="23" t="n">
        <v>31</v>
      </c>
      <c r="C68" s="23" t="inlineStr">
        <is>
          <t>Corbally/Grove Island</t>
        </is>
      </c>
      <c r="D68" s="23" t="inlineStr">
        <is>
          <t>Corbally</t>
        </is>
      </c>
      <c r="E68" s="23" t="inlineStr">
        <is>
          <t>Private</t>
        </is>
      </c>
      <c r="F68" s="23" t="inlineStr">
        <is>
          <t>New Resi</t>
        </is>
      </c>
      <c r="G68" s="23" t="inlineStr">
        <is>
          <t>Infill</t>
        </is>
      </c>
      <c r="H68" s="23" t="inlineStr">
        <is>
          <t>Permission Granted</t>
        </is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 t="inlineStr"/>
      <c r="U68" s="23" t="inlineStr">
        <is>
          <t>Unchanged</t>
        </is>
      </c>
    </row>
    <row r="69">
      <c r="A69" s="23" t="inlineStr">
        <is>
          <t>CITY-32</t>
        </is>
      </c>
      <c r="B69" s="23" t="n">
        <v>32</v>
      </c>
      <c r="C69" s="23" t="inlineStr">
        <is>
          <t>Corbally/Grove Island</t>
        </is>
      </c>
      <c r="D69" s="23" t="inlineStr">
        <is>
          <t>Corbally</t>
        </is>
      </c>
      <c r="E69" s="23" t="inlineStr">
        <is>
          <t>Private</t>
        </is>
      </c>
      <c r="F69" s="23" t="inlineStr">
        <is>
          <t>New Resi</t>
        </is>
      </c>
      <c r="G69" s="23" t="inlineStr">
        <is>
          <t>Infill</t>
        </is>
      </c>
      <c r="H69" s="23" t="inlineStr">
        <is>
          <t>Undeveloped/Permission Sought</t>
        </is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 t="inlineStr"/>
      <c r="U69" s="23" t="inlineStr">
        <is>
          <t>Unchanged</t>
        </is>
      </c>
    </row>
    <row r="70">
      <c r="A70" s="23" t="inlineStr">
        <is>
          <t>CITY-33</t>
        </is>
      </c>
      <c r="B70" s="23" t="n">
        <v>33</v>
      </c>
      <c r="C70" s="23" t="inlineStr">
        <is>
          <t>Corbally/Grove Island</t>
        </is>
      </c>
      <c r="D70" s="23" t="inlineStr">
        <is>
          <t>Corbally</t>
        </is>
      </c>
      <c r="E70" s="23" t="inlineStr">
        <is>
          <t>Private</t>
        </is>
      </c>
      <c r="F70" s="23" t="inlineStr">
        <is>
          <t>New Resi</t>
        </is>
      </c>
      <c r="G70" s="23" t="inlineStr">
        <is>
          <t>Infill</t>
        </is>
      </c>
      <c r="H70" s="23" t="inlineStr">
        <is>
          <t>Undeveloped/Permission Sought</t>
        </is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 t="inlineStr"/>
      <c r="U70" s="23" t="inlineStr">
        <is>
          <t>Unchanged</t>
        </is>
      </c>
    </row>
    <row r="71">
      <c r="A71" s="23" t="inlineStr">
        <is>
          <t>CITY-34</t>
        </is>
      </c>
      <c r="B71" s="23" t="n">
        <v>34</v>
      </c>
      <c r="C71" s="23" t="inlineStr">
        <is>
          <t>Corbally/Grove Island</t>
        </is>
      </c>
      <c r="D71" s="23" t="inlineStr">
        <is>
          <t>Corbally</t>
        </is>
      </c>
      <c r="E71" s="23" t="inlineStr">
        <is>
          <t>Private</t>
        </is>
      </c>
      <c r="F71" s="23" t="inlineStr">
        <is>
          <t>New Resi</t>
        </is>
      </c>
      <c r="G71" s="23" t="inlineStr">
        <is>
          <t>Infill</t>
        </is>
      </c>
      <c r="H71" s="23" t="inlineStr">
        <is>
          <t>Permission Granted</t>
        </is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 t="inlineStr"/>
      <c r="U71" s="23" t="inlineStr">
        <is>
          <t>Unchanged</t>
        </is>
      </c>
    </row>
    <row r="72">
      <c r="A72" s="23" t="inlineStr">
        <is>
          <t>CITY-134</t>
        </is>
      </c>
      <c r="B72" s="23" t="n">
        <v>134</v>
      </c>
      <c r="C72" s="23" t="inlineStr">
        <is>
          <t>Dooradoyle</t>
        </is>
      </c>
      <c r="D72" s="23" t="inlineStr">
        <is>
          <t>Dooradoyle</t>
        </is>
      </c>
      <c r="E72" s="23" t="inlineStr">
        <is>
          <t>Private</t>
        </is>
      </c>
      <c r="F72" s="23" t="inlineStr">
        <is>
          <t>Exist Resi</t>
        </is>
      </c>
      <c r="G72" s="23" t="inlineStr">
        <is>
          <t>Infill</t>
        </is>
      </c>
      <c r="H72" s="23" t="inlineStr">
        <is>
          <t>Undeveloped/Permission Sought</t>
        </is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 t="inlineStr"/>
      <c r="U72" s="23" t="inlineStr">
        <is>
          <t>Unchanged</t>
        </is>
      </c>
    </row>
    <row r="73">
      <c r="A73" s="23" t="inlineStr">
        <is>
          <t>CITY-135</t>
        </is>
      </c>
      <c r="B73" s="23" t="n">
        <v>135</v>
      </c>
      <c r="C73" s="23" t="inlineStr">
        <is>
          <t>Dooradoyle</t>
        </is>
      </c>
      <c r="D73" s="23" t="inlineStr">
        <is>
          <t>Dooradoyle</t>
        </is>
      </c>
      <c r="E73" s="23" t="inlineStr">
        <is>
          <t>Private</t>
        </is>
      </c>
      <c r="F73" s="23" t="inlineStr">
        <is>
          <t>Exist Resi</t>
        </is>
      </c>
      <c r="G73" s="23" t="inlineStr">
        <is>
          <t>Infill</t>
        </is>
      </c>
      <c r="H73" s="23" t="inlineStr">
        <is>
          <t>Undeveloped/Permission Sought</t>
        </is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 t="inlineStr"/>
      <c r="U73" s="23" t="inlineStr">
        <is>
          <t>Unchanged</t>
        </is>
      </c>
    </row>
    <row r="74">
      <c r="A74" s="23" t="inlineStr">
        <is>
          <t>CITY-136</t>
        </is>
      </c>
      <c r="B74" s="23" t="n">
        <v>136</v>
      </c>
      <c r="C74" s="23" t="inlineStr">
        <is>
          <t>Dooradoyle</t>
        </is>
      </c>
      <c r="D74" s="23" t="inlineStr">
        <is>
          <t>Dooradoyle</t>
        </is>
      </c>
      <c r="E74" s="23" t="inlineStr">
        <is>
          <t>Private</t>
        </is>
      </c>
      <c r="F74" s="23" t="inlineStr">
        <is>
          <t>New Resi</t>
        </is>
      </c>
      <c r="G74" s="23" t="inlineStr">
        <is>
          <t>Greenfield</t>
        </is>
      </c>
      <c r="H74" s="23" t="inlineStr">
        <is>
          <t>Permission Granted</t>
        </is>
      </c>
      <c r="I74" s="23" t="n">
        <v>8.558999999999999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 t="inlineStr"/>
      <c r="U74" s="23" t="inlineStr">
        <is>
          <t>Unchanged</t>
        </is>
      </c>
    </row>
    <row r="75">
      <c r="A75" s="23" t="inlineStr">
        <is>
          <t>CITY-137</t>
        </is>
      </c>
      <c r="B75" s="23" t="n">
        <v>137</v>
      </c>
      <c r="C75" s="23" t="inlineStr">
        <is>
          <t>Dooradoyle</t>
        </is>
      </c>
      <c r="D75" s="23" t="inlineStr">
        <is>
          <t>Dooradoyle</t>
        </is>
      </c>
      <c r="E75" s="23" t="inlineStr">
        <is>
          <t>Private</t>
        </is>
      </c>
      <c r="F75" s="23" t="inlineStr">
        <is>
          <t>New Resi</t>
        </is>
      </c>
      <c r="G75" s="23" t="inlineStr">
        <is>
          <t>Infill</t>
        </is>
      </c>
      <c r="H75" s="23" t="inlineStr">
        <is>
          <t>Undeveloped/Permission Sought</t>
        </is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 t="inlineStr"/>
      <c r="U75" s="23" t="inlineStr">
        <is>
          <t>Unchanged</t>
        </is>
      </c>
    </row>
    <row r="76">
      <c r="A76" s="23" t="inlineStr">
        <is>
          <t>CITY-139</t>
        </is>
      </c>
      <c r="B76" s="23" t="n">
        <v>139</v>
      </c>
      <c r="C76" s="23" t="inlineStr">
        <is>
          <t>Dooradoyle</t>
        </is>
      </c>
      <c r="D76" s="23" t="inlineStr">
        <is>
          <t>Dooradoyle</t>
        </is>
      </c>
      <c r="E76" s="23" t="inlineStr">
        <is>
          <t>Council</t>
        </is>
      </c>
      <c r="F76" s="23" t="inlineStr">
        <is>
          <t>New Resi</t>
        </is>
      </c>
      <c r="G76" s="23" t="inlineStr">
        <is>
          <t>Brownfield</t>
        </is>
      </c>
      <c r="H76" s="23" t="inlineStr">
        <is>
          <t>Undeveloped/Permission Sought</t>
        </is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 t="inlineStr"/>
      <c r="U76" s="23" t="inlineStr">
        <is>
          <t>Unchanged</t>
        </is>
      </c>
    </row>
    <row r="77">
      <c r="A77" s="23" t="inlineStr">
        <is>
          <t>CITY-141</t>
        </is>
      </c>
      <c r="B77" s="23" t="n">
        <v>141</v>
      </c>
      <c r="C77" s="23" t="inlineStr">
        <is>
          <t>Dooradoyle</t>
        </is>
      </c>
      <c r="D77" s="23" t="inlineStr">
        <is>
          <t>Dooradoyle</t>
        </is>
      </c>
      <c r="E77" s="23" t="inlineStr">
        <is>
          <t>Private</t>
        </is>
      </c>
      <c r="F77" s="23" t="inlineStr">
        <is>
          <t>New Resi</t>
        </is>
      </c>
      <c r="G77" s="23" t="inlineStr">
        <is>
          <t>Greenfield</t>
        </is>
      </c>
      <c r="H77" s="23" t="inlineStr">
        <is>
          <t>Undeveloped/Permission Sought</t>
        </is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 t="inlineStr"/>
      <c r="U77" s="23" t="inlineStr">
        <is>
          <t>Unchanged</t>
        </is>
      </c>
    </row>
    <row r="78">
      <c r="A78" s="23" t="inlineStr">
        <is>
          <t>CITY-142</t>
        </is>
      </c>
      <c r="B78" s="23" t="n">
        <v>142</v>
      </c>
      <c r="C78" s="23" t="inlineStr">
        <is>
          <t>Dooradoyle</t>
        </is>
      </c>
      <c r="D78" s="23" t="inlineStr">
        <is>
          <t>Dooradoyle</t>
        </is>
      </c>
      <c r="E78" s="23" t="inlineStr">
        <is>
          <t>Private</t>
        </is>
      </c>
      <c r="F78" s="23" t="inlineStr">
        <is>
          <t>New Resi</t>
        </is>
      </c>
      <c r="G78" s="23" t="inlineStr">
        <is>
          <t>Infill</t>
        </is>
      </c>
      <c r="H78" s="23" t="inlineStr">
        <is>
          <t>Undeveloped/Permission Sought</t>
        </is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 t="inlineStr"/>
      <c r="U78" s="23" t="inlineStr">
        <is>
          <t>Unchanged</t>
        </is>
      </c>
    </row>
    <row r="79">
      <c r="A79" s="23" t="inlineStr">
        <is>
          <t>CITY-143</t>
        </is>
      </c>
      <c r="B79" s="23" t="n">
        <v>143</v>
      </c>
      <c r="C79" s="23" t="inlineStr">
        <is>
          <t>Dooradoyle</t>
        </is>
      </c>
      <c r="D79" s="23" t="inlineStr">
        <is>
          <t>Dooradoyle</t>
        </is>
      </c>
      <c r="E79" s="23" t="inlineStr">
        <is>
          <t>Private</t>
        </is>
      </c>
      <c r="F79" s="23" t="inlineStr">
        <is>
          <t>New Resi</t>
        </is>
      </c>
      <c r="G79" s="23" t="inlineStr">
        <is>
          <t>Infill</t>
        </is>
      </c>
      <c r="H79" s="23" t="inlineStr">
        <is>
          <t>Permission Granted</t>
        </is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 t="inlineStr"/>
      <c r="U79" s="23" t="inlineStr">
        <is>
          <t>Unchanged</t>
        </is>
      </c>
    </row>
    <row r="80">
      <c r="A80" s="23" t="inlineStr">
        <is>
          <t>CITY-144</t>
        </is>
      </c>
      <c r="B80" s="23" t="n">
        <v>144</v>
      </c>
      <c r="C80" s="23" t="inlineStr">
        <is>
          <t>Dooradoyle</t>
        </is>
      </c>
      <c r="D80" s="23" t="inlineStr">
        <is>
          <t>Dooradoyle</t>
        </is>
      </c>
      <c r="E80" s="23" t="inlineStr">
        <is>
          <t>Council</t>
        </is>
      </c>
      <c r="F80" s="23" t="inlineStr">
        <is>
          <t>New Resi</t>
        </is>
      </c>
      <c r="G80" s="23" t="inlineStr">
        <is>
          <t>Greenfield</t>
        </is>
      </c>
      <c r="H80" s="23" t="inlineStr">
        <is>
          <t>Undeveloped/Permission Sought</t>
        </is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 t="inlineStr"/>
      <c r="U80" s="23" t="inlineStr">
        <is>
          <t>Unchanged</t>
        </is>
      </c>
    </row>
    <row r="81">
      <c r="A81" s="23" t="inlineStr">
        <is>
          <t>CITY-145</t>
        </is>
      </c>
      <c r="B81" s="23" t="n">
        <v>145</v>
      </c>
      <c r="C81" s="23" t="inlineStr">
        <is>
          <t>Dooradoyle</t>
        </is>
      </c>
      <c r="D81" s="23" t="inlineStr">
        <is>
          <t>Dooradoyle</t>
        </is>
      </c>
      <c r="E81" s="23" t="inlineStr">
        <is>
          <t>Council</t>
        </is>
      </c>
      <c r="F81" s="23" t="inlineStr">
        <is>
          <t>New Resi</t>
        </is>
      </c>
      <c r="G81" s="23" t="inlineStr">
        <is>
          <t>Greenfield</t>
        </is>
      </c>
      <c r="H81" s="23" t="inlineStr">
        <is>
          <t>Undeveloped/Permission Sought</t>
        </is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 t="inlineStr"/>
      <c r="U81" s="23" t="inlineStr">
        <is>
          <t>Unchanged</t>
        </is>
      </c>
    </row>
    <row r="82">
      <c r="A82" s="23" t="inlineStr">
        <is>
          <t>CITY-146</t>
        </is>
      </c>
      <c r="B82" s="23" t="n">
        <v>146</v>
      </c>
      <c r="C82" s="23" t="inlineStr">
        <is>
          <t>Dooradoyle</t>
        </is>
      </c>
      <c r="D82" s="23" t="inlineStr">
        <is>
          <t>Dooradoyle</t>
        </is>
      </c>
      <c r="E82" s="23" t="inlineStr">
        <is>
          <t>Council</t>
        </is>
      </c>
      <c r="F82" s="23" t="inlineStr">
        <is>
          <t>New Resi</t>
        </is>
      </c>
      <c r="G82" s="23" t="inlineStr">
        <is>
          <t>Greenfield</t>
        </is>
      </c>
      <c r="H82" s="23" t="inlineStr">
        <is>
          <t>Undeveloped/Permission Sought</t>
        </is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 t="inlineStr"/>
      <c r="U82" s="23" t="inlineStr">
        <is>
          <t>Unchanged</t>
        </is>
      </c>
    </row>
    <row r="83">
      <c r="A83" s="23" t="inlineStr">
        <is>
          <t>CITY-147</t>
        </is>
      </c>
      <c r="B83" s="23" t="n">
        <v>147</v>
      </c>
      <c r="C83" s="23" t="inlineStr">
        <is>
          <t>Dooradoyle</t>
        </is>
      </c>
      <c r="D83" s="23" t="inlineStr">
        <is>
          <t>Dooradoyle</t>
        </is>
      </c>
      <c r="E83" s="23" t="inlineStr">
        <is>
          <t>Unknown</t>
        </is>
      </c>
      <c r="F83" s="23" t="inlineStr">
        <is>
          <t>Local Centre</t>
        </is>
      </c>
      <c r="G83" s="23" t="inlineStr">
        <is>
          <t>Infill</t>
        </is>
      </c>
      <c r="H83" s="23" t="inlineStr">
        <is>
          <t>Permission Granted</t>
        </is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inlineStr">
        <is>
          <t>Register says permitted/complete but no permission linked</t>
        </is>
      </c>
      <c r="U83" s="23" t="inlineStr">
        <is>
          <t>Unchanged</t>
        </is>
      </c>
    </row>
    <row r="84">
      <c r="A84" s="23" t="inlineStr">
        <is>
          <t>CITY-148</t>
        </is>
      </c>
      <c r="B84" s="23" t="n">
        <v>148</v>
      </c>
      <c r="C84" s="23" t="inlineStr">
        <is>
          <t>Dooradoyle</t>
        </is>
      </c>
      <c r="D84" s="23" t="inlineStr">
        <is>
          <t>Dooradoyle</t>
        </is>
      </c>
      <c r="E84" s="23" t="inlineStr">
        <is>
          <t>Council</t>
        </is>
      </c>
      <c r="F84" s="23" t="inlineStr">
        <is>
          <t>New Resi</t>
        </is>
      </c>
      <c r="G84" s="23" t="inlineStr">
        <is>
          <t>Greenfield</t>
        </is>
      </c>
      <c r="H84" s="23" t="inlineStr">
        <is>
          <t>Permission Granted</t>
        </is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 t="inlineStr"/>
      <c r="U84" s="23" t="inlineStr">
        <is>
          <t>Unchanged</t>
        </is>
      </c>
    </row>
    <row r="85">
      <c r="A85" s="23" t="inlineStr">
        <is>
          <t>CITY-149</t>
        </is>
      </c>
      <c r="B85" s="23" t="n">
        <v>149</v>
      </c>
      <c r="C85" s="23" t="inlineStr">
        <is>
          <t>Dooradoyle</t>
        </is>
      </c>
      <c r="D85" s="23" t="inlineStr">
        <is>
          <t>Dooradoyle</t>
        </is>
      </c>
      <c r="E85" s="23" t="inlineStr">
        <is>
          <t>Private</t>
        </is>
      </c>
      <c r="F85" s="23" t="inlineStr">
        <is>
          <t>Exist Resi</t>
        </is>
      </c>
      <c r="G85" s="23" t="inlineStr">
        <is>
          <t>Infill</t>
        </is>
      </c>
      <c r="H85" s="23" t="inlineStr">
        <is>
          <t>Permission Granted</t>
        </is>
      </c>
      <c r="I85" s="23" t="n">
        <v>0.9389999999999999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inlineStr">
        <is>
          <t>Register says permitted/complete but no permission linked</t>
        </is>
      </c>
      <c r="U85" s="23" t="inlineStr">
        <is>
          <t>Unchanged</t>
        </is>
      </c>
    </row>
    <row r="86">
      <c r="A86" s="23" t="inlineStr">
        <is>
          <t>CITY-151</t>
        </is>
      </c>
      <c r="B86" s="23" t="n">
        <v>151</v>
      </c>
      <c r="C86" s="23" t="inlineStr">
        <is>
          <t>Dooradoyle</t>
        </is>
      </c>
      <c r="D86" s="23" t="inlineStr">
        <is>
          <t>Dooradoyle</t>
        </is>
      </c>
      <c r="E86" s="23" t="inlineStr">
        <is>
          <t>Private</t>
        </is>
      </c>
      <c r="F86" s="23" t="inlineStr">
        <is>
          <t>New Resi</t>
        </is>
      </c>
      <c r="G86" s="23" t="inlineStr">
        <is>
          <t>Greenfield</t>
        </is>
      </c>
      <c r="H86" s="23" t="inlineStr">
        <is>
          <t>Complete/Commenced</t>
        </is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inlineStr">
        <is>
          <t>Edge match – check boundary</t>
        </is>
      </c>
      <c r="U86" s="23" t="inlineStr">
        <is>
          <t>Reduced Area</t>
        </is>
      </c>
    </row>
    <row r="87">
      <c r="A87" s="23" t="inlineStr">
        <is>
          <t>CITY-152</t>
        </is>
      </c>
      <c r="B87" s="23" t="n">
        <v>152</v>
      </c>
      <c r="C87" s="23" t="inlineStr">
        <is>
          <t>Dooradoyle</t>
        </is>
      </c>
      <c r="D87" s="23" t="inlineStr">
        <is>
          <t>Dooradoyle</t>
        </is>
      </c>
      <c r="E87" s="23" t="inlineStr">
        <is>
          <t>Private</t>
        </is>
      </c>
      <c r="F87" s="23" t="inlineStr">
        <is>
          <t>New Resi</t>
        </is>
      </c>
      <c r="G87" s="23" t="inlineStr">
        <is>
          <t>Greenfield</t>
        </is>
      </c>
      <c r="H87" s="23" t="inlineStr">
        <is>
          <t>Undeveloped/Permission Sought</t>
        </is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 t="inlineStr"/>
      <c r="U87" s="23" t="inlineStr">
        <is>
          <t>Reduced Area</t>
        </is>
      </c>
    </row>
    <row r="88">
      <c r="A88" s="23" t="inlineStr">
        <is>
          <t>CITY-153</t>
        </is>
      </c>
      <c r="B88" s="23" t="n">
        <v>153</v>
      </c>
      <c r="C88" s="23" t="inlineStr">
        <is>
          <t>Dooradoyle</t>
        </is>
      </c>
      <c r="D88" s="23" t="inlineStr">
        <is>
          <t>Dooradoyle</t>
        </is>
      </c>
      <c r="E88" s="23" t="inlineStr">
        <is>
          <t>Private</t>
        </is>
      </c>
      <c r="F88" s="23" t="inlineStr">
        <is>
          <t>New Resi</t>
        </is>
      </c>
      <c r="G88" s="23" t="inlineStr">
        <is>
          <t>Greenfield</t>
        </is>
      </c>
      <c r="H88" s="23" t="inlineStr">
        <is>
          <t>Complete/Commenced</t>
        </is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inlineStr">
        <is>
          <t>Edge match – check boundary</t>
        </is>
      </c>
      <c r="U88" s="23" t="inlineStr">
        <is>
          <t>Reduced Area</t>
        </is>
      </c>
    </row>
    <row r="89">
      <c r="A89" s="23" t="inlineStr">
        <is>
          <t>CITY-154</t>
        </is>
      </c>
      <c r="B89" s="23" t="n">
        <v>154</v>
      </c>
      <c r="C89" s="23" t="inlineStr">
        <is>
          <t>Dooradoyle</t>
        </is>
      </c>
      <c r="D89" s="23" t="inlineStr">
        <is>
          <t>Dooradoyle</t>
        </is>
      </c>
      <c r="E89" s="23" t="inlineStr">
        <is>
          <t>Private</t>
        </is>
      </c>
      <c r="F89" s="23" t="inlineStr">
        <is>
          <t>Exist Resi</t>
        </is>
      </c>
      <c r="G89" s="23" t="inlineStr">
        <is>
          <t>Infill</t>
        </is>
      </c>
      <c r="H89" s="23" t="inlineStr">
        <is>
          <t>Undeveloped/Permission Sought</t>
        </is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 t="inlineStr"/>
      <c r="U89" s="23" t="inlineStr">
        <is>
          <t>Unchanged</t>
        </is>
      </c>
    </row>
    <row r="90">
      <c r="A90" s="23" t="inlineStr">
        <is>
          <t>CITY-155</t>
        </is>
      </c>
      <c r="B90" s="23" t="n">
        <v>155</v>
      </c>
      <c r="C90" s="23" t="inlineStr">
        <is>
          <t>Dooradoyle</t>
        </is>
      </c>
      <c r="D90" s="23" t="inlineStr">
        <is>
          <t>Dooradoyle</t>
        </is>
      </c>
      <c r="E90" s="23" t="inlineStr">
        <is>
          <t>Council</t>
        </is>
      </c>
      <c r="F90" s="23" t="inlineStr">
        <is>
          <t>New Resi</t>
        </is>
      </c>
      <c r="G90" s="23" t="inlineStr">
        <is>
          <t>Infill</t>
        </is>
      </c>
      <c r="H90" s="23" t="inlineStr">
        <is>
          <t>Undeveloped/Permission Sought</t>
        </is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 t="inlineStr"/>
      <c r="U90" s="23" t="inlineStr">
        <is>
          <t>Unchanged</t>
        </is>
      </c>
    </row>
    <row r="91">
      <c r="A91" s="23" t="inlineStr">
        <is>
          <t>CITY-156</t>
        </is>
      </c>
      <c r="B91" s="23" t="n">
        <v>156</v>
      </c>
      <c r="C91" s="23" t="inlineStr">
        <is>
          <t>Dooradoyle</t>
        </is>
      </c>
      <c r="D91" s="23" t="inlineStr">
        <is>
          <t>Dooradoyle</t>
        </is>
      </c>
      <c r="E91" s="23" t="inlineStr">
        <is>
          <t>Private</t>
        </is>
      </c>
      <c r="F91" s="23" t="inlineStr">
        <is>
          <t>Exist Resi</t>
        </is>
      </c>
      <c r="G91" s="23" t="inlineStr">
        <is>
          <t>Infill</t>
        </is>
      </c>
      <c r="H91" s="23" t="inlineStr">
        <is>
          <t>Undeveloped/Permission Sought</t>
        </is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 t="inlineStr"/>
      <c r="U91" s="23" t="inlineStr">
        <is>
          <t>Unchanged</t>
        </is>
      </c>
    </row>
    <row r="92">
      <c r="A92" s="23" t="inlineStr">
        <is>
          <t>CITY-160</t>
        </is>
      </c>
      <c r="B92" s="23" t="n">
        <v>160</v>
      </c>
      <c r="C92" s="23" t="inlineStr">
        <is>
          <t>Dooradoyle</t>
        </is>
      </c>
      <c r="D92" s="23" t="inlineStr">
        <is>
          <t>Dooradoyle</t>
        </is>
      </c>
      <c r="E92" s="23" t="inlineStr">
        <is>
          <t>Private</t>
        </is>
      </c>
      <c r="F92" s="23" t="inlineStr">
        <is>
          <t>New Resi</t>
        </is>
      </c>
      <c r="G92" s="23" t="inlineStr">
        <is>
          <t>Greenfield</t>
        </is>
      </c>
      <c r="H92" s="23" t="inlineStr">
        <is>
          <t>Undeveloped/Permission Sought</t>
        </is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 t="inlineStr"/>
      <c r="U92" s="23" t="inlineStr">
        <is>
          <t>Unchanged</t>
        </is>
      </c>
    </row>
    <row r="93">
      <c r="A93" s="23" t="inlineStr">
        <is>
          <t>CITY-40</t>
        </is>
      </c>
      <c r="B93" s="23" t="n">
        <v>40</v>
      </c>
      <c r="C93" s="23" t="inlineStr">
        <is>
          <t>Kings Island</t>
        </is>
      </c>
      <c r="D93" s="23" t="inlineStr">
        <is>
          <t>Corbally</t>
        </is>
      </c>
      <c r="E93" s="23" t="inlineStr">
        <is>
          <t>Council</t>
        </is>
      </c>
      <c r="F93" s="23" t="inlineStr">
        <is>
          <t>City C</t>
        </is>
      </c>
      <c r="G93" s="23" t="inlineStr">
        <is>
          <t>Brownfield</t>
        </is>
      </c>
      <c r="H93" s="23" t="inlineStr">
        <is>
          <t>Undeveloped/Permission Sought</t>
        </is>
      </c>
      <c r="I93" s="23" t="n">
        <v>0.132</v>
      </c>
      <c r="J93" s="23" t="n">
        <v>13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13</v>
      </c>
      <c r="P93" s="23" t="n">
        <v>0</v>
      </c>
      <c r="Q93" s="23" t="n">
        <v>0</v>
      </c>
      <c r="R93" s="23" t="n">
        <v>0</v>
      </c>
      <c r="S93" s="23" t="n">
        <v>0</v>
      </c>
      <c r="T93" s="23" t="inlineStr"/>
      <c r="U93" s="23" t="inlineStr">
        <is>
          <t>Unchanged</t>
        </is>
      </c>
    </row>
    <row r="94">
      <c r="A94" s="23" t="inlineStr">
        <is>
          <t>CITY-41</t>
        </is>
      </c>
      <c r="B94" s="23" t="n">
        <v>41</v>
      </c>
      <c r="C94" s="23" t="inlineStr">
        <is>
          <t>Kings Island</t>
        </is>
      </c>
      <c r="D94" s="23" t="inlineStr">
        <is>
          <t>Corbally</t>
        </is>
      </c>
      <c r="E94" s="23" t="inlineStr">
        <is>
          <t>Council</t>
        </is>
      </c>
      <c r="F94" s="23" t="inlineStr">
        <is>
          <t>City C</t>
        </is>
      </c>
      <c r="G94" s="23" t="inlineStr">
        <is>
          <t>Brownfield</t>
        </is>
      </c>
      <c r="H94" s="23" t="inlineStr">
        <is>
          <t>Undeveloped/Permission Sought</t>
        </is>
      </c>
      <c r="I94" s="23" t="n">
        <v>0.106</v>
      </c>
      <c r="J94" s="23" t="n">
        <v>11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11</v>
      </c>
      <c r="P94" s="23" t="n">
        <v>0</v>
      </c>
      <c r="Q94" s="23" t="n">
        <v>30</v>
      </c>
      <c r="R94" s="23" t="n">
        <v>0</v>
      </c>
      <c r="S94" s="23" t="n">
        <v>1</v>
      </c>
      <c r="T94" s="23" t="inlineStr"/>
      <c r="U94" s="23" t="inlineStr">
        <is>
          <t>Unchanged</t>
        </is>
      </c>
    </row>
    <row r="95">
      <c r="A95" s="23" t="inlineStr">
        <is>
          <t>CITY-168</t>
        </is>
      </c>
      <c r="B95" s="23" t="n">
        <v>168</v>
      </c>
      <c r="C95" s="23" t="inlineStr">
        <is>
          <t>Kings Island</t>
        </is>
      </c>
      <c r="D95" s="23" t="n"/>
      <c r="E95" s="23" t="inlineStr">
        <is>
          <t>Unknown</t>
        </is>
      </c>
      <c r="F95" s="23" t="n"/>
      <c r="G95" s="23" t="n"/>
      <c r="H95" s="23" t="n"/>
      <c r="I95" s="23" t="n">
        <v>0.042</v>
      </c>
      <c r="J95" s="23" t="n">
        <v>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</v>
      </c>
      <c r="P95" s="23" t="n">
        <v>0</v>
      </c>
      <c r="Q95" s="23" t="n">
        <v>0</v>
      </c>
      <c r="R95" s="23" t="n">
        <v>0</v>
      </c>
      <c r="S95" s="23" t="n">
        <v>0</v>
      </c>
      <c r="T95" s="23" t="inlineStr"/>
      <c r="U95" s="23" t="inlineStr">
        <is>
          <t>Addition</t>
        </is>
      </c>
    </row>
    <row r="96">
      <c r="A96" s="23" t="inlineStr">
        <is>
          <t>CITY-43</t>
        </is>
      </c>
      <c r="B96" s="23" t="n">
        <v>43</v>
      </c>
      <c r="C96" s="23" t="inlineStr">
        <is>
          <t>Singland/Garryowen</t>
        </is>
      </c>
      <c r="D96" s="23" t="inlineStr">
        <is>
          <t>Garryowen</t>
        </is>
      </c>
      <c r="E96" s="23" t="inlineStr">
        <is>
          <t>Private</t>
        </is>
      </c>
      <c r="F96" s="23" t="inlineStr">
        <is>
          <t>New Resi</t>
        </is>
      </c>
      <c r="G96" s="23" t="inlineStr">
        <is>
          <t>Brownfield</t>
        </is>
      </c>
      <c r="H96" s="23" t="inlineStr">
        <is>
          <t>Undeveloped/Permission Sought</t>
        </is>
      </c>
      <c r="I96" s="23" t="n">
        <v>4.191</v>
      </c>
      <c r="J96" s="23" t="n">
        <v>188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188</v>
      </c>
      <c r="P96" s="23" t="n">
        <v>0</v>
      </c>
      <c r="Q96" s="23" t="n">
        <v>0</v>
      </c>
      <c r="R96" s="23" t="n">
        <v>0</v>
      </c>
      <c r="S96" s="23" t="n">
        <v>0</v>
      </c>
      <c r="T96" s="23" t="inlineStr"/>
      <c r="U96" s="23" t="inlineStr">
        <is>
          <t>Unchanged</t>
        </is>
      </c>
    </row>
    <row r="97">
      <c r="A97" s="23" t="inlineStr">
        <is>
          <t>CITY-45</t>
        </is>
      </c>
      <c r="B97" s="23" t="n">
        <v>45</v>
      </c>
      <c r="C97" s="23" t="inlineStr">
        <is>
          <t>Singland/Garryowen</t>
        </is>
      </c>
      <c r="D97" s="23" t="inlineStr">
        <is>
          <t>Garryowen</t>
        </is>
      </c>
      <c r="E97" s="23" t="inlineStr">
        <is>
          <t>Private</t>
        </is>
      </c>
      <c r="F97" s="23" t="inlineStr">
        <is>
          <t>New Resi</t>
        </is>
      </c>
      <c r="G97" s="23" t="inlineStr">
        <is>
          <t>Infill</t>
        </is>
      </c>
      <c r="H97" s="23" t="inlineStr">
        <is>
          <t>Undeveloped/Permission Sought</t>
        </is>
      </c>
      <c r="I97" s="23" t="n">
        <v>0.452</v>
      </c>
      <c r="J97" s="23" t="n">
        <v>20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20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inlineStr"/>
      <c r="U97" s="23" t="inlineStr">
        <is>
          <t>Unchanged</t>
        </is>
      </c>
    </row>
    <row r="98">
      <c r="A98" s="23" t="inlineStr">
        <is>
          <t>CITY-46</t>
        </is>
      </c>
      <c r="B98" s="23" t="n">
        <v>46</v>
      </c>
      <c r="C98" s="23" t="inlineStr">
        <is>
          <t>Singland/Garryowen</t>
        </is>
      </c>
      <c r="D98" s="23" t="inlineStr">
        <is>
          <t>Garryowen</t>
        </is>
      </c>
      <c r="E98" s="23" t="inlineStr">
        <is>
          <t>Private</t>
        </is>
      </c>
      <c r="F98" s="23" t="inlineStr">
        <is>
          <t>New Resi</t>
        </is>
      </c>
      <c r="G98" s="23" t="inlineStr">
        <is>
          <t>Infill</t>
        </is>
      </c>
      <c r="H98" s="23" t="inlineStr">
        <is>
          <t>Undeveloped/Permission Sought</t>
        </is>
      </c>
      <c r="I98" s="23" t="n">
        <v>0.912</v>
      </c>
      <c r="J98" s="23" t="n">
        <v>41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41</v>
      </c>
      <c r="P98" s="23" t="n">
        <v>0</v>
      </c>
      <c r="Q98" s="23" t="n">
        <v>0</v>
      </c>
      <c r="R98" s="23" t="n">
        <v>0</v>
      </c>
      <c r="S98" s="23" t="n">
        <v>0</v>
      </c>
      <c r="T98" s="23" t="inlineStr"/>
      <c r="U98" s="23" t="inlineStr">
        <is>
          <t>Unchanged</t>
        </is>
      </c>
    </row>
    <row r="99">
      <c r="A99" s="23" t="inlineStr">
        <is>
          <t>CITY-47</t>
        </is>
      </c>
      <c r="B99" s="23" t="n">
        <v>47</v>
      </c>
      <c r="C99" s="23" t="inlineStr">
        <is>
          <t>Singland/Garryowen</t>
        </is>
      </c>
      <c r="D99" s="23" t="inlineStr">
        <is>
          <t>Garryowen</t>
        </is>
      </c>
      <c r="E99" s="23" t="inlineStr">
        <is>
          <t>Private</t>
        </is>
      </c>
      <c r="F99" s="23" t="inlineStr">
        <is>
          <t>New Resi</t>
        </is>
      </c>
      <c r="G99" s="23" t="inlineStr">
        <is>
          <t>Infill</t>
        </is>
      </c>
      <c r="H99" s="23" t="inlineStr">
        <is>
          <t>Undeveloped/Permission Sought</t>
        </is>
      </c>
      <c r="I99" s="23" t="n">
        <v>0.373</v>
      </c>
      <c r="J99" s="23" t="n">
        <v>17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17</v>
      </c>
      <c r="P99" s="23" t="n">
        <v>0</v>
      </c>
      <c r="Q99" s="23" t="n">
        <v>0</v>
      </c>
      <c r="R99" s="23" t="n">
        <v>0</v>
      </c>
      <c r="S99" s="23" t="n">
        <v>0</v>
      </c>
      <c r="T99" s="23" t="inlineStr"/>
      <c r="U99" s="23" t="inlineStr">
        <is>
          <t>Unchanged</t>
        </is>
      </c>
    </row>
    <row r="100">
      <c r="A100" s="23" t="inlineStr">
        <is>
          <t>CITY-49</t>
        </is>
      </c>
      <c r="B100" s="23" t="n">
        <v>49</v>
      </c>
      <c r="C100" s="23" t="inlineStr">
        <is>
          <t>Singland/Garryowen</t>
        </is>
      </c>
      <c r="D100" s="23" t="inlineStr">
        <is>
          <t>Garryowen</t>
        </is>
      </c>
      <c r="E100" s="23" t="inlineStr">
        <is>
          <t>Private</t>
        </is>
      </c>
      <c r="F100" s="23" t="inlineStr">
        <is>
          <t>New Resi</t>
        </is>
      </c>
      <c r="G100" s="23" t="inlineStr">
        <is>
          <t>Infill</t>
        </is>
      </c>
      <c r="H100" s="23" t="inlineStr">
        <is>
          <t>Complete/Commenced</t>
        </is>
      </c>
      <c r="I100" s="23" t="n">
        <v>0.243</v>
      </c>
      <c r="J100" s="23" t="n">
        <v>11</v>
      </c>
      <c r="K100" s="23" t="n">
        <v>0</v>
      </c>
      <c r="L100" s="23" t="n">
        <v>0</v>
      </c>
      <c r="M100" s="23" t="n">
        <v>25</v>
      </c>
      <c r="N100" s="23" t="n">
        <v>25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1</v>
      </c>
      <c r="T100" s="23" t="inlineStr">
        <is>
          <t>Consented above capacity</t>
        </is>
      </c>
      <c r="U100" s="23" t="inlineStr">
        <is>
          <t>Reduced Area</t>
        </is>
      </c>
    </row>
    <row r="101">
      <c r="A101" s="23" t="inlineStr">
        <is>
          <t>CITY-50</t>
        </is>
      </c>
      <c r="B101" s="23" t="n">
        <v>50</v>
      </c>
      <c r="C101" s="23" t="inlineStr">
        <is>
          <t>Singland/Garryowen</t>
        </is>
      </c>
      <c r="D101" s="23" t="inlineStr">
        <is>
          <t>Garryowen</t>
        </is>
      </c>
      <c r="E101" s="23" t="inlineStr">
        <is>
          <t>Private</t>
        </is>
      </c>
      <c r="F101" s="23" t="inlineStr">
        <is>
          <t>New Resi</t>
        </is>
      </c>
      <c r="G101" s="23" t="inlineStr">
        <is>
          <t>Greenfield</t>
        </is>
      </c>
      <c r="H101" s="23" t="inlineStr">
        <is>
          <t>Permission Granted</t>
        </is>
      </c>
      <c r="I101" s="23" t="n">
        <v>0.704</v>
      </c>
      <c r="J101" s="23" t="n">
        <v>31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31</v>
      </c>
      <c r="P101" s="23" t="n">
        <v>4</v>
      </c>
      <c r="Q101" s="23" t="n">
        <v>0</v>
      </c>
      <c r="R101" s="23" t="n">
        <v>0</v>
      </c>
      <c r="S101" s="23" t="n">
        <v>1</v>
      </c>
      <c r="T101" s="23" t="inlineStr">
        <is>
          <t>Register says permitted/complete but no permission linked</t>
        </is>
      </c>
      <c r="U101" s="23" t="inlineStr">
        <is>
          <t>Unchanged</t>
        </is>
      </c>
    </row>
    <row r="102">
      <c r="A102" s="23" t="inlineStr">
        <is>
          <t>CITY-51</t>
        </is>
      </c>
      <c r="B102" s="23" t="n">
        <v>51</v>
      </c>
      <c r="C102" s="23" t="inlineStr">
        <is>
          <t>Singland/Garryowen</t>
        </is>
      </c>
      <c r="D102" s="23" t="inlineStr">
        <is>
          <t>Garryowen</t>
        </is>
      </c>
      <c r="E102" s="23" t="inlineStr">
        <is>
          <t>Private</t>
        </is>
      </c>
      <c r="F102" s="23" t="inlineStr">
        <is>
          <t>Exist Resi</t>
        </is>
      </c>
      <c r="G102" s="23" t="inlineStr">
        <is>
          <t>Infill</t>
        </is>
      </c>
      <c r="H102" s="23" t="inlineStr">
        <is>
          <t>Undeveloped/Permission Sought</t>
        </is>
      </c>
      <c r="I102" s="23" t="n">
        <v>0.272</v>
      </c>
      <c r="J102" s="23" t="n">
        <v>12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12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inlineStr"/>
      <c r="U102" s="23" t="inlineStr">
        <is>
          <t>Unchanged</t>
        </is>
      </c>
    </row>
    <row r="103">
      <c r="A103" s="23" t="inlineStr">
        <is>
          <t>CITY-52</t>
        </is>
      </c>
      <c r="B103" s="23" t="n">
        <v>52</v>
      </c>
      <c r="C103" s="23" t="inlineStr">
        <is>
          <t>Singland/Garryowen</t>
        </is>
      </c>
      <c r="D103" s="23" t="inlineStr">
        <is>
          <t>Garryowen</t>
        </is>
      </c>
      <c r="E103" s="23" t="inlineStr">
        <is>
          <t>Unknown</t>
        </is>
      </c>
      <c r="F103" s="23" t="inlineStr">
        <is>
          <t>New Resi</t>
        </is>
      </c>
      <c r="G103" s="23" t="inlineStr">
        <is>
          <t>Infill</t>
        </is>
      </c>
      <c r="H103" s="23" t="inlineStr">
        <is>
          <t>Permission Granted</t>
        </is>
      </c>
      <c r="I103" s="23" t="n">
        <v>0.548</v>
      </c>
      <c r="J103" s="23" t="n">
        <v>26</v>
      </c>
      <c r="K103" s="23" t="n">
        <v>0</v>
      </c>
      <c r="L103" s="23" t="n">
        <v>26</v>
      </c>
      <c r="M103" s="23" t="n">
        <v>0</v>
      </c>
      <c r="N103" s="23" t="n">
        <v>26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1</v>
      </c>
      <c r="T103" s="23" t="inlineStr"/>
      <c r="U103" s="23" t="inlineStr">
        <is>
          <t>Unchanged</t>
        </is>
      </c>
    </row>
    <row r="104">
      <c r="A104" s="23" t="inlineStr">
        <is>
          <t>CITY-75</t>
        </is>
      </c>
      <c r="B104" s="23" t="n">
        <v>75</v>
      </c>
      <c r="C104" s="23" t="inlineStr">
        <is>
          <t>Singland/Garryowen</t>
        </is>
      </c>
      <c r="D104" s="23" t="inlineStr">
        <is>
          <t>Garryowen</t>
        </is>
      </c>
      <c r="E104" s="23" t="inlineStr">
        <is>
          <t>Private</t>
        </is>
      </c>
      <c r="F104" s="23" t="inlineStr">
        <is>
          <t>New Resi</t>
        </is>
      </c>
      <c r="G104" s="23" t="inlineStr">
        <is>
          <t>Infill</t>
        </is>
      </c>
      <c r="H104" s="23" t="inlineStr">
        <is>
          <t>Permission Granted</t>
        </is>
      </c>
      <c r="I104" s="23" t="n">
        <v>0.227</v>
      </c>
      <c r="J104" s="23" t="n">
        <v>7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7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inlineStr">
        <is>
          <t>Register says permitted/complete but no permission linked</t>
        </is>
      </c>
      <c r="U104" s="23" t="inlineStr">
        <is>
          <t>Unchanged</t>
        </is>
      </c>
    </row>
    <row r="105">
      <c r="A105" s="23" t="inlineStr">
        <is>
          <t>CITY-77</t>
        </is>
      </c>
      <c r="B105" s="23" t="n">
        <v>77</v>
      </c>
      <c r="C105" s="23" t="inlineStr">
        <is>
          <t>Singland/Garryowen</t>
        </is>
      </c>
      <c r="D105" s="23" t="inlineStr">
        <is>
          <t>Garryowen</t>
        </is>
      </c>
      <c r="E105" s="23" t="inlineStr">
        <is>
          <t>Private</t>
        </is>
      </c>
      <c r="F105" s="23" t="inlineStr">
        <is>
          <t>New Resi</t>
        </is>
      </c>
      <c r="G105" s="23" t="inlineStr">
        <is>
          <t>Infill</t>
        </is>
      </c>
      <c r="H105" s="23" t="inlineStr">
        <is>
          <t>Undeveloped/Permission Sought</t>
        </is>
      </c>
      <c r="I105" s="23" t="n">
        <v>0.727</v>
      </c>
      <c r="J105" s="23" t="n">
        <v>33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33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inlineStr"/>
      <c r="U105" s="23" t="inlineStr">
        <is>
          <t>Unchanged</t>
        </is>
      </c>
    </row>
    <row r="106">
      <c r="A106" s="23" t="inlineStr">
        <is>
          <t>CITY-78</t>
        </is>
      </c>
      <c r="B106" s="23" t="n">
        <v>78</v>
      </c>
      <c r="C106" s="23" t="inlineStr">
        <is>
          <t>Singland/Garryowen</t>
        </is>
      </c>
      <c r="D106" s="23" t="inlineStr">
        <is>
          <t>Garryowen</t>
        </is>
      </c>
      <c r="E106" s="23" t="inlineStr">
        <is>
          <t>Private</t>
        </is>
      </c>
      <c r="F106" s="23" t="inlineStr">
        <is>
          <t>New Resi</t>
        </is>
      </c>
      <c r="G106" s="23" t="inlineStr">
        <is>
          <t>Infill</t>
        </is>
      </c>
      <c r="H106" s="23" t="inlineStr">
        <is>
          <t>Undeveloped/Permission Sought</t>
        </is>
      </c>
      <c r="I106" s="23" t="n">
        <v>0.919</v>
      </c>
      <c r="J106" s="23" t="n">
        <v>41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41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inlineStr"/>
      <c r="U106" s="23" t="inlineStr">
        <is>
          <t>Unchanged</t>
        </is>
      </c>
    </row>
    <row r="107">
      <c r="A107" s="23" t="inlineStr">
        <is>
          <t>CITY-79</t>
        </is>
      </c>
      <c r="B107" s="23" t="n">
        <v>79</v>
      </c>
      <c r="C107" s="23" t="inlineStr">
        <is>
          <t>Singland/Garryowen</t>
        </is>
      </c>
      <c r="D107" s="23" t="inlineStr">
        <is>
          <t>Garryowen</t>
        </is>
      </c>
      <c r="E107" s="23" t="inlineStr">
        <is>
          <t>Private</t>
        </is>
      </c>
      <c r="F107" s="23" t="inlineStr">
        <is>
          <t>New Resi</t>
        </is>
      </c>
      <c r="G107" s="23" t="inlineStr">
        <is>
          <t>Infill</t>
        </is>
      </c>
      <c r="H107" s="23" t="inlineStr">
        <is>
          <t>Undeveloped/Permission Sought</t>
        </is>
      </c>
      <c r="I107" s="23" t="n">
        <v>2.384</v>
      </c>
      <c r="J107" s="23" t="n">
        <v>107</v>
      </c>
      <c r="K107" s="23" t="n">
        <v>0</v>
      </c>
      <c r="L107" s="23" t="n">
        <v>0</v>
      </c>
      <c r="M107" s="23" t="n">
        <v>55</v>
      </c>
      <c r="N107" s="23" t="n">
        <v>55</v>
      </c>
      <c r="O107" s="23" t="n">
        <v>52</v>
      </c>
      <c r="P107" s="23" t="n">
        <v>0</v>
      </c>
      <c r="Q107" s="23" t="n">
        <v>0</v>
      </c>
      <c r="R107" s="23" t="n">
        <v>0</v>
      </c>
      <c r="S107" s="23" t="n">
        <v>1</v>
      </c>
      <c r="T107" s="23" t="inlineStr"/>
      <c r="U107" s="23" t="inlineStr">
        <is>
          <t>Unchanged</t>
        </is>
      </c>
    </row>
    <row r="108">
      <c r="A108" s="23" t="inlineStr">
        <is>
          <t>CITY-80</t>
        </is>
      </c>
      <c r="B108" s="23" t="n">
        <v>80</v>
      </c>
      <c r="C108" s="23" t="inlineStr">
        <is>
          <t>Singland/Garryowen</t>
        </is>
      </c>
      <c r="D108" s="23" t="inlineStr">
        <is>
          <t>Garryowen</t>
        </is>
      </c>
      <c r="E108" s="23" t="inlineStr">
        <is>
          <t>Private</t>
        </is>
      </c>
      <c r="F108" s="23" t="inlineStr">
        <is>
          <t>Exist Resi</t>
        </is>
      </c>
      <c r="G108" s="23" t="inlineStr">
        <is>
          <t>Brownfield</t>
        </is>
      </c>
      <c r="H108" s="23" t="inlineStr">
        <is>
          <t>Undeveloped/Permission Sought</t>
        </is>
      </c>
      <c r="I108" s="23" t="n">
        <v>0.077</v>
      </c>
      <c r="J108" s="23" t="n">
        <v>3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3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inlineStr"/>
      <c r="U108" s="23" t="inlineStr">
        <is>
          <t>Unchanged</t>
        </is>
      </c>
    </row>
    <row r="109">
      <c r="A109" s="23" t="inlineStr">
        <is>
          <t>CITY-81</t>
        </is>
      </c>
      <c r="B109" s="23" t="n">
        <v>81</v>
      </c>
      <c r="C109" s="23" t="inlineStr">
        <is>
          <t>Singland/Garryowen</t>
        </is>
      </c>
      <c r="D109" s="23" t="inlineStr">
        <is>
          <t>Garryowen</t>
        </is>
      </c>
      <c r="E109" s="23" t="inlineStr">
        <is>
          <t>Private</t>
        </is>
      </c>
      <c r="F109" s="23" t="inlineStr">
        <is>
          <t>New Resi</t>
        </is>
      </c>
      <c r="G109" s="23" t="inlineStr">
        <is>
          <t>Brownfield</t>
        </is>
      </c>
      <c r="H109" s="23" t="inlineStr">
        <is>
          <t>Permission Granted</t>
        </is>
      </c>
      <c r="I109" s="23" t="n">
        <v>0.156</v>
      </c>
      <c r="J109" s="23" t="n">
        <v>32</v>
      </c>
      <c r="K109" s="23" t="n">
        <v>0</v>
      </c>
      <c r="L109" s="23" t="n">
        <v>20</v>
      </c>
      <c r="M109" s="23" t="n">
        <v>0</v>
      </c>
      <c r="N109" s="23" t="n">
        <v>20</v>
      </c>
      <c r="O109" s="23" t="n">
        <v>12</v>
      </c>
      <c r="P109" s="23" t="n">
        <v>0</v>
      </c>
      <c r="Q109" s="23" t="n">
        <v>0</v>
      </c>
      <c r="R109" s="23" t="n">
        <v>0</v>
      </c>
      <c r="S109" s="23" t="n">
        <v>1</v>
      </c>
      <c r="T109" s="23" t="inlineStr"/>
      <c r="U109" s="23" t="inlineStr">
        <is>
          <t>Unchanged</t>
        </is>
      </c>
    </row>
    <row r="110">
      <c r="A110" s="23" t="inlineStr">
        <is>
          <t>CITY-82</t>
        </is>
      </c>
      <c r="B110" s="23" t="n">
        <v>82</v>
      </c>
      <c r="C110" s="23" t="inlineStr">
        <is>
          <t>Singland/Garryowen</t>
        </is>
      </c>
      <c r="D110" s="23" t="inlineStr">
        <is>
          <t>Garryowen</t>
        </is>
      </c>
      <c r="E110" s="23" t="inlineStr">
        <is>
          <t>Private</t>
        </is>
      </c>
      <c r="F110" s="23" t="inlineStr">
        <is>
          <t>City C</t>
        </is>
      </c>
      <c r="G110" s="23" t="inlineStr">
        <is>
          <t>Brownfield</t>
        </is>
      </c>
      <c r="H110" s="23" t="inlineStr">
        <is>
          <t>Undeveloped/Permission Sought</t>
        </is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inlineStr"/>
      <c r="U110" s="23" t="inlineStr">
        <is>
          <t>Unchanged</t>
        </is>
      </c>
    </row>
    <row r="111">
      <c r="A111" s="23" t="inlineStr">
        <is>
          <t>CITY-83</t>
        </is>
      </c>
      <c r="B111" s="23" t="n">
        <v>83</v>
      </c>
      <c r="C111" s="23" t="inlineStr">
        <is>
          <t>Singland/Garryowen</t>
        </is>
      </c>
      <c r="D111" s="23" t="inlineStr">
        <is>
          <t>Garryowen</t>
        </is>
      </c>
      <c r="E111" s="23" t="inlineStr">
        <is>
          <t>Private</t>
        </is>
      </c>
      <c r="F111" s="23" t="inlineStr">
        <is>
          <t>City C</t>
        </is>
      </c>
      <c r="G111" s="23" t="inlineStr">
        <is>
          <t>Brownfield</t>
        </is>
      </c>
      <c r="H111" s="23" t="inlineStr">
        <is>
          <t>Permission Granted</t>
        </is>
      </c>
      <c r="I111" s="23" t="n">
        <v>0.124</v>
      </c>
      <c r="J111" s="23" t="n">
        <v>14</v>
      </c>
      <c r="K111" s="23" t="n">
        <v>0</v>
      </c>
      <c r="L111" s="23" t="n">
        <v>0</v>
      </c>
      <c r="M111" s="23" t="n">
        <v>44</v>
      </c>
      <c r="N111" s="23" t="n">
        <v>44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2</v>
      </c>
      <c r="T111" s="23" t="inlineStr">
        <is>
          <t>Consented above capacity</t>
        </is>
      </c>
      <c r="U111" s="23" t="inlineStr">
        <is>
          <t>Unchanged</t>
        </is>
      </c>
    </row>
    <row r="112">
      <c r="A112" s="23" t="inlineStr">
        <is>
          <t>CITY-84</t>
        </is>
      </c>
      <c r="B112" s="23" t="n">
        <v>84</v>
      </c>
      <c r="C112" s="23" t="inlineStr">
        <is>
          <t>Singland/Garryowen</t>
        </is>
      </c>
      <c r="D112" s="23" t="inlineStr">
        <is>
          <t>Garryowen</t>
        </is>
      </c>
      <c r="E112" s="23" t="inlineStr">
        <is>
          <t>Private</t>
        </is>
      </c>
      <c r="F112" s="23" t="inlineStr">
        <is>
          <t>City C</t>
        </is>
      </c>
      <c r="G112" s="23" t="inlineStr">
        <is>
          <t>Brownfield</t>
        </is>
      </c>
      <c r="H112" s="23" t="inlineStr">
        <is>
          <t>Permission Granted</t>
        </is>
      </c>
      <c r="I112" s="23" t="n">
        <v>0.043</v>
      </c>
      <c r="J112" s="23" t="n">
        <v>20</v>
      </c>
      <c r="K112" s="23" t="n">
        <v>0</v>
      </c>
      <c r="L112" s="23" t="n">
        <v>30</v>
      </c>
      <c r="M112" s="23" t="n">
        <v>0</v>
      </c>
      <c r="N112" s="23" t="n">
        <v>30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1</v>
      </c>
      <c r="T112" s="23" t="inlineStr">
        <is>
          <t>Consented above capacity</t>
        </is>
      </c>
      <c r="U112" s="23" t="inlineStr">
        <is>
          <t>Unchanged</t>
        </is>
      </c>
    </row>
    <row r="113">
      <c r="A113" s="23" t="inlineStr">
        <is>
          <t>CITY-109</t>
        </is>
      </c>
      <c r="B113" s="23" t="n">
        <v>109</v>
      </c>
      <c r="C113" s="23" t="inlineStr">
        <is>
          <t>Singland/Garryowen</t>
        </is>
      </c>
      <c r="D113" s="23" t="inlineStr">
        <is>
          <t>Garryowen</t>
        </is>
      </c>
      <c r="E113" s="23" t="inlineStr">
        <is>
          <t>Council</t>
        </is>
      </c>
      <c r="F113" s="23" t="inlineStr">
        <is>
          <t>New Resi</t>
        </is>
      </c>
      <c r="G113" s="23" t="inlineStr">
        <is>
          <t>Infill</t>
        </is>
      </c>
      <c r="H113" s="23" t="inlineStr">
        <is>
          <t>Undeveloped/Permission Sought</t>
        </is>
      </c>
      <c r="I113" s="23" t="n">
        <v>0.26</v>
      </c>
      <c r="J113" s="23" t="n">
        <v>12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12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inlineStr"/>
      <c r="U113" s="23" t="inlineStr">
        <is>
          <t>Unchanged</t>
        </is>
      </c>
    </row>
    <row r="114">
      <c r="A114" s="23" t="inlineStr">
        <is>
          <t>CITY-169</t>
        </is>
      </c>
      <c r="B114" s="23" t="n">
        <v>169</v>
      </c>
      <c r="C114" s="23" t="inlineStr">
        <is>
          <t>Singland/Garryowen</t>
        </is>
      </c>
      <c r="D114" s="23" t="n"/>
      <c r="E114" s="23" t="inlineStr">
        <is>
          <t>Unknown</t>
        </is>
      </c>
      <c r="F114" s="23" t="n"/>
      <c r="G114" s="23" t="n"/>
      <c r="H114" s="23" t="n"/>
      <c r="I114" s="23" t="n">
        <v>0.424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inlineStr"/>
      <c r="U114" s="23" t="n"/>
    </row>
    <row r="115">
      <c r="A115" s="23" t="inlineStr">
        <is>
          <t>CITY-74</t>
        </is>
      </c>
      <c r="B115" s="23" t="n">
        <v>74</v>
      </c>
      <c r="C115" s="23" t="inlineStr">
        <is>
          <t>Southhill</t>
        </is>
      </c>
      <c r="D115" s="23" t="inlineStr">
        <is>
          <t>Garryowen</t>
        </is>
      </c>
      <c r="E115" s="23" t="inlineStr">
        <is>
          <t>Private</t>
        </is>
      </c>
      <c r="F115" s="23" t="inlineStr">
        <is>
          <t>New Resi</t>
        </is>
      </c>
      <c r="G115" s="23" t="inlineStr">
        <is>
          <t>Infill</t>
        </is>
      </c>
      <c r="H115" s="23" t="inlineStr">
        <is>
          <t>Undeveloped/Permission Sought</t>
        </is>
      </c>
      <c r="I115" s="23" t="n">
        <v>0.543</v>
      </c>
      <c r="J115" s="23" t="n">
        <v>19</v>
      </c>
      <c r="K115" s="23" t="n">
        <v>0</v>
      </c>
      <c r="L115" s="23" t="n">
        <v>31</v>
      </c>
      <c r="M115" s="23" t="n">
        <v>0</v>
      </c>
      <c r="N115" s="23" t="n">
        <v>31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1</v>
      </c>
      <c r="T115" s="23" t="inlineStr">
        <is>
          <t>Consented above capacity</t>
        </is>
      </c>
      <c r="U115" s="23" t="inlineStr">
        <is>
          <t>Unchanged</t>
        </is>
      </c>
    </row>
    <row r="116">
      <c r="A116" s="23" t="inlineStr">
        <is>
          <t>CITY-76</t>
        </is>
      </c>
      <c r="B116" s="23" t="n">
        <v>76</v>
      </c>
      <c r="C116" s="23" t="inlineStr">
        <is>
          <t>Southhill</t>
        </is>
      </c>
      <c r="D116" s="23" t="inlineStr">
        <is>
          <t>Garryowen</t>
        </is>
      </c>
      <c r="E116" s="23" t="inlineStr">
        <is>
          <t>Private</t>
        </is>
      </c>
      <c r="F116" s="23" t="inlineStr">
        <is>
          <t>Mixed Use</t>
        </is>
      </c>
      <c r="G116" s="23" t="inlineStr">
        <is>
          <t>Brownfield</t>
        </is>
      </c>
      <c r="H116" s="23" t="inlineStr">
        <is>
          <t>Undeveloped/Permission Sought</t>
        </is>
      </c>
      <c r="I116" s="23" t="n">
        <v>3.169</v>
      </c>
      <c r="J116" s="23" t="n">
        <v>245</v>
      </c>
      <c r="K116" s="23" t="n">
        <v>0</v>
      </c>
      <c r="L116" s="23" t="n">
        <v>0</v>
      </c>
      <c r="M116" s="23" t="n">
        <v>403</v>
      </c>
      <c r="N116" s="23" t="n">
        <v>403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inlineStr">
        <is>
          <t>Consented above capacity</t>
        </is>
      </c>
      <c r="U116" s="23" t="inlineStr">
        <is>
          <t>Unchanged</t>
        </is>
      </c>
    </row>
    <row r="117">
      <c r="A117" s="23" t="inlineStr">
        <is>
          <t>CITY-110</t>
        </is>
      </c>
      <c r="B117" s="23" t="n">
        <v>110</v>
      </c>
      <c r="C117" s="23" t="inlineStr">
        <is>
          <t>Southhill</t>
        </is>
      </c>
      <c r="D117" s="23" t="inlineStr">
        <is>
          <t>City Centre</t>
        </is>
      </c>
      <c r="E117" s="23" t="inlineStr">
        <is>
          <t>Council</t>
        </is>
      </c>
      <c r="F117" s="23" t="inlineStr">
        <is>
          <t>New Resi</t>
        </is>
      </c>
      <c r="G117" s="23" t="inlineStr">
        <is>
          <t>Infill</t>
        </is>
      </c>
      <c r="H117" s="23" t="inlineStr">
        <is>
          <t>Undeveloped/Permission Sought</t>
        </is>
      </c>
      <c r="I117" s="23" t="n">
        <v>0.126</v>
      </c>
      <c r="J117" s="23" t="n">
        <v>6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6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inlineStr"/>
      <c r="U117" s="23" t="inlineStr">
        <is>
          <t>Unchanged</t>
        </is>
      </c>
    </row>
    <row r="118">
      <c r="A118" s="23" t="inlineStr">
        <is>
          <t>CITY-111</t>
        </is>
      </c>
      <c r="B118" s="23" t="n">
        <v>111</v>
      </c>
      <c r="C118" s="23" t="inlineStr">
        <is>
          <t>Southhill</t>
        </is>
      </c>
      <c r="D118" s="23" t="inlineStr">
        <is>
          <t>City Centre</t>
        </is>
      </c>
      <c r="E118" s="23" t="inlineStr">
        <is>
          <t>Council</t>
        </is>
      </c>
      <c r="F118" s="23" t="inlineStr">
        <is>
          <t>New Resi</t>
        </is>
      </c>
      <c r="G118" s="23" t="inlineStr">
        <is>
          <t>Infill</t>
        </is>
      </c>
      <c r="H118" s="23" t="inlineStr">
        <is>
          <t>Undeveloped/Permission Sought</t>
        </is>
      </c>
      <c r="I118" s="23" t="n">
        <v>0.703</v>
      </c>
      <c r="J118" s="23" t="n">
        <v>32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32</v>
      </c>
      <c r="P118" s="23" t="n">
        <v>0</v>
      </c>
      <c r="Q118" s="23" t="n">
        <v>0</v>
      </c>
      <c r="R118" s="23" t="n">
        <v>5</v>
      </c>
      <c r="S118" s="23" t="n">
        <v>0</v>
      </c>
      <c r="T118" s="23" t="inlineStr">
        <is>
          <t>Edge match – check boundary</t>
        </is>
      </c>
      <c r="U118" s="23" t="inlineStr">
        <is>
          <t>Unchanged</t>
        </is>
      </c>
    </row>
    <row r="119">
      <c r="A119" s="23" t="inlineStr">
        <is>
          <t>CITY-112</t>
        </is>
      </c>
      <c r="B119" s="23" t="n">
        <v>112</v>
      </c>
      <c r="C119" s="23" t="inlineStr">
        <is>
          <t>Southhill</t>
        </is>
      </c>
      <c r="D119" s="23" t="inlineStr">
        <is>
          <t>City Centre</t>
        </is>
      </c>
      <c r="E119" s="23" t="inlineStr">
        <is>
          <t>Council</t>
        </is>
      </c>
      <c r="F119" s="23" t="inlineStr">
        <is>
          <t>New Resi</t>
        </is>
      </c>
      <c r="G119" s="23" t="inlineStr">
        <is>
          <t>Infill</t>
        </is>
      </c>
      <c r="H119" s="23" t="inlineStr">
        <is>
          <t>Undeveloped/Permission Sought</t>
        </is>
      </c>
      <c r="I119" s="23" t="n">
        <v>1.346</v>
      </c>
      <c r="J119" s="23" t="n">
        <v>61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61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inlineStr"/>
      <c r="U119" s="23" t="inlineStr">
        <is>
          <t>Reinstated: removed in council review with no reason recorded; council-owned, undeveloped, no permission. Irregular narrow shape, so the density-based capacity may overstate what fits</t>
        </is>
      </c>
    </row>
    <row r="120">
      <c r="A120" s="23" t="inlineStr">
        <is>
          <t>CITY-113</t>
        </is>
      </c>
      <c r="B120" s="23" t="n">
        <v>113</v>
      </c>
      <c r="C120" s="23" t="inlineStr">
        <is>
          <t>Southhill</t>
        </is>
      </c>
      <c r="D120" s="23" t="n"/>
      <c r="E120" s="23" t="inlineStr">
        <is>
          <t>Private</t>
        </is>
      </c>
      <c r="F120" s="23" t="inlineStr">
        <is>
          <t>Exist Resi</t>
        </is>
      </c>
      <c r="G120" s="23" t="inlineStr">
        <is>
          <t>Infill</t>
        </is>
      </c>
      <c r="H120" s="23" t="inlineStr">
        <is>
          <t>Undeveloped/Permission Sought</t>
        </is>
      </c>
      <c r="I120" s="23" t="n">
        <v>0.207</v>
      </c>
      <c r="J120" s="23" t="n">
        <v>9</v>
      </c>
      <c r="K120" s="23" t="n">
        <v>0</v>
      </c>
      <c r="L120" s="23" t="n">
        <v>0</v>
      </c>
      <c r="M120" s="23" t="n">
        <v>10</v>
      </c>
      <c r="N120" s="23" t="n">
        <v>10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1</v>
      </c>
      <c r="T120" s="23" t="inlineStr">
        <is>
          <t>Consented above capacity</t>
        </is>
      </c>
      <c r="U120" s="23" t="inlineStr">
        <is>
          <t>Unchanged</t>
        </is>
      </c>
    </row>
    <row r="121">
      <c r="A121" s="23" t="inlineStr">
        <is>
          <t>CITY-114</t>
        </is>
      </c>
      <c r="B121" s="23" t="n">
        <v>114</v>
      </c>
      <c r="C121" s="23" t="inlineStr">
        <is>
          <t>Southhill</t>
        </is>
      </c>
      <c r="D121" s="23" t="inlineStr">
        <is>
          <t>Garryowen</t>
        </is>
      </c>
      <c r="E121" s="23" t="inlineStr">
        <is>
          <t>Unknown</t>
        </is>
      </c>
      <c r="F121" s="23" t="inlineStr">
        <is>
          <t>Local Centre</t>
        </is>
      </c>
      <c r="G121" s="23" t="inlineStr">
        <is>
          <t>Infill</t>
        </is>
      </c>
      <c r="H121" s="23" t="inlineStr">
        <is>
          <t>Permission Granted</t>
        </is>
      </c>
      <c r="I121" s="23" t="n">
        <v>0.165</v>
      </c>
      <c r="J121" s="23" t="n">
        <v>6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6</v>
      </c>
      <c r="P121" s="23" t="n">
        <v>0</v>
      </c>
      <c r="Q121" s="23" t="n">
        <v>0</v>
      </c>
      <c r="R121" s="23" t="n">
        <v>12</v>
      </c>
      <c r="S121" s="23" t="n">
        <v>0</v>
      </c>
      <c r="T121" s="23" t="inlineStr">
        <is>
          <t>Edge match – check boundary</t>
        </is>
      </c>
      <c r="U121" s="23" t="inlineStr">
        <is>
          <t>Unchanged</t>
        </is>
      </c>
    </row>
    <row r="122">
      <c r="A122" s="23" t="inlineStr">
        <is>
          <t>CITY-115</t>
        </is>
      </c>
      <c r="B122" s="23" t="n">
        <v>115</v>
      </c>
      <c r="C122" s="23" t="inlineStr">
        <is>
          <t>Southhill</t>
        </is>
      </c>
      <c r="D122" s="23" t="inlineStr">
        <is>
          <t>Southill</t>
        </is>
      </c>
      <c r="E122" s="23" t="inlineStr">
        <is>
          <t>Council</t>
        </is>
      </c>
      <c r="F122" s="23" t="inlineStr">
        <is>
          <t>Exist Resi</t>
        </is>
      </c>
      <c r="G122" s="23" t="inlineStr">
        <is>
          <t>Infill</t>
        </is>
      </c>
      <c r="H122" s="23" t="inlineStr">
        <is>
          <t>Undeveloped/Permission Sought</t>
        </is>
      </c>
      <c r="I122" s="23" t="n">
        <v>0.952</v>
      </c>
      <c r="J122" s="23" t="n">
        <v>43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43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inlineStr"/>
      <c r="U122" s="23" t="inlineStr">
        <is>
          <t>Unchanged</t>
        </is>
      </c>
    </row>
    <row r="123">
      <c r="A123" s="23" t="inlineStr">
        <is>
          <t>CITY-116</t>
        </is>
      </c>
      <c r="B123" s="23" t="n">
        <v>116</v>
      </c>
      <c r="C123" s="23" t="inlineStr">
        <is>
          <t>Southhill</t>
        </is>
      </c>
      <c r="D123" s="23" t="inlineStr">
        <is>
          <t>Southill</t>
        </is>
      </c>
      <c r="E123" s="23" t="inlineStr">
        <is>
          <t>Council</t>
        </is>
      </c>
      <c r="F123" s="23" t="inlineStr">
        <is>
          <t>Exist Resi</t>
        </is>
      </c>
      <c r="G123" s="23" t="inlineStr">
        <is>
          <t>Infill</t>
        </is>
      </c>
      <c r="H123" s="23" t="inlineStr">
        <is>
          <t>Undeveloped/Permission Sought</t>
        </is>
      </c>
      <c r="I123" s="23" t="n">
        <v>0.133</v>
      </c>
      <c r="J123" s="23" t="n">
        <v>6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6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inlineStr"/>
      <c r="U123" s="23" t="inlineStr">
        <is>
          <t>Unchanged</t>
        </is>
      </c>
    </row>
    <row r="124">
      <c r="A124" s="23" t="inlineStr">
        <is>
          <t>CITY-117</t>
        </is>
      </c>
      <c r="B124" s="23" t="n">
        <v>117</v>
      </c>
      <c r="C124" s="23" t="inlineStr">
        <is>
          <t>Southhill</t>
        </is>
      </c>
      <c r="D124" s="23" t="inlineStr">
        <is>
          <t>Southill</t>
        </is>
      </c>
      <c r="E124" s="23" t="inlineStr">
        <is>
          <t>Council</t>
        </is>
      </c>
      <c r="F124" s="23" t="inlineStr">
        <is>
          <t>Exist Resi</t>
        </is>
      </c>
      <c r="G124" s="23" t="inlineStr">
        <is>
          <t>Infill</t>
        </is>
      </c>
      <c r="H124" s="23" t="inlineStr">
        <is>
          <t>Undeveloped/Permission Sought</t>
        </is>
      </c>
      <c r="I124" s="23" t="n">
        <v>0.181</v>
      </c>
      <c r="J124" s="23" t="n">
        <v>8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8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inlineStr"/>
      <c r="U124" s="23" t="inlineStr">
        <is>
          <t>Unchanged</t>
        </is>
      </c>
    </row>
    <row r="125">
      <c r="A125" s="23" t="inlineStr">
        <is>
          <t>CITY-118</t>
        </is>
      </c>
      <c r="B125" s="23" t="n">
        <v>118</v>
      </c>
      <c r="C125" s="23" t="inlineStr">
        <is>
          <t>Southhill</t>
        </is>
      </c>
      <c r="D125" s="23" t="inlineStr">
        <is>
          <t>Southill</t>
        </is>
      </c>
      <c r="E125" s="23" t="inlineStr">
        <is>
          <t>Council</t>
        </is>
      </c>
      <c r="F125" s="23" t="inlineStr">
        <is>
          <t>Exist Resi</t>
        </is>
      </c>
      <c r="G125" s="23" t="inlineStr">
        <is>
          <t>Infill</t>
        </is>
      </c>
      <c r="H125" s="23" t="inlineStr">
        <is>
          <t>Undeveloped/Permission Sought</t>
        </is>
      </c>
      <c r="I125" s="23" t="n">
        <v>0.506</v>
      </c>
      <c r="J125" s="23" t="n">
        <v>23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23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inlineStr"/>
      <c r="U125" s="23" t="inlineStr">
        <is>
          <t>Unchanged</t>
        </is>
      </c>
    </row>
    <row r="126">
      <c r="A126" s="23" t="inlineStr">
        <is>
          <t>CITY-119</t>
        </is>
      </c>
      <c r="B126" s="23" t="n">
        <v>119</v>
      </c>
      <c r="C126" s="23" t="inlineStr">
        <is>
          <t>Southhill</t>
        </is>
      </c>
      <c r="D126" s="23" t="inlineStr">
        <is>
          <t>Southill</t>
        </is>
      </c>
      <c r="E126" s="23" t="inlineStr">
        <is>
          <t>Council</t>
        </is>
      </c>
      <c r="F126" s="23" t="inlineStr">
        <is>
          <t>Exist Resi</t>
        </is>
      </c>
      <c r="G126" s="23" t="inlineStr">
        <is>
          <t>Infill</t>
        </is>
      </c>
      <c r="H126" s="23" t="inlineStr">
        <is>
          <t>Undeveloped/Permission Sought</t>
        </is>
      </c>
      <c r="I126" s="23" t="n">
        <v>1.074</v>
      </c>
      <c r="J126" s="23" t="n">
        <v>48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48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inlineStr"/>
      <c r="U126" s="23" t="inlineStr">
        <is>
          <t>Unchanged</t>
        </is>
      </c>
    </row>
    <row r="127">
      <c r="A127" s="23" t="inlineStr">
        <is>
          <t>CITY-120</t>
        </is>
      </c>
      <c r="B127" s="23" t="n">
        <v>120</v>
      </c>
      <c r="C127" s="23" t="inlineStr">
        <is>
          <t>Southhill</t>
        </is>
      </c>
      <c r="D127" s="23" t="inlineStr">
        <is>
          <t>Southill</t>
        </is>
      </c>
      <c r="E127" s="23" t="inlineStr">
        <is>
          <t>Council</t>
        </is>
      </c>
      <c r="F127" s="23" t="inlineStr">
        <is>
          <t>Exist Resi</t>
        </is>
      </c>
      <c r="G127" s="23" t="inlineStr">
        <is>
          <t>Infill</t>
        </is>
      </c>
      <c r="H127" s="23" t="inlineStr">
        <is>
          <t>Undeveloped/Permission Sought</t>
        </is>
      </c>
      <c r="I127" s="23" t="n">
        <v>0.755</v>
      </c>
      <c r="J127" s="23" t="n">
        <v>34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34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inlineStr"/>
      <c r="U127" s="23" t="inlineStr">
        <is>
          <t>Unchanged</t>
        </is>
      </c>
    </row>
    <row r="128">
      <c r="A128" s="23" t="inlineStr">
        <is>
          <t>CITY-121</t>
        </is>
      </c>
      <c r="B128" s="23" t="n">
        <v>121</v>
      </c>
      <c r="C128" s="23" t="inlineStr">
        <is>
          <t>Southhill</t>
        </is>
      </c>
      <c r="D128" s="23" t="inlineStr">
        <is>
          <t>Southill</t>
        </is>
      </c>
      <c r="E128" s="23" t="inlineStr">
        <is>
          <t>Council</t>
        </is>
      </c>
      <c r="F128" s="23" t="inlineStr">
        <is>
          <t>Exist Resi</t>
        </is>
      </c>
      <c r="G128" s="23" t="inlineStr">
        <is>
          <t>Infill</t>
        </is>
      </c>
      <c r="H128" s="23" t="inlineStr">
        <is>
          <t>Undeveloped/Permission Sought</t>
        </is>
      </c>
      <c r="I128" s="23" t="n">
        <v>0.5629999999999999</v>
      </c>
      <c r="J128" s="23" t="n">
        <v>25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25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inlineStr"/>
      <c r="U128" s="23" t="inlineStr">
        <is>
          <t>Unchanged</t>
        </is>
      </c>
    </row>
    <row r="129">
      <c r="A129" s="23" t="inlineStr">
        <is>
          <t>CITY-123</t>
        </is>
      </c>
      <c r="B129" s="23" t="n">
        <v>123</v>
      </c>
      <c r="C129" s="23" t="inlineStr">
        <is>
          <t>Southhill</t>
        </is>
      </c>
      <c r="D129" s="23" t="inlineStr">
        <is>
          <t>Southill</t>
        </is>
      </c>
      <c r="E129" s="23" t="inlineStr">
        <is>
          <t>Private</t>
        </is>
      </c>
      <c r="F129" s="23" t="inlineStr">
        <is>
          <t>New Resi</t>
        </is>
      </c>
      <c r="G129" s="23" t="inlineStr">
        <is>
          <t>Brownfield</t>
        </is>
      </c>
      <c r="H129" s="23" t="inlineStr">
        <is>
          <t>Undeveloped/Permission Sought</t>
        </is>
      </c>
      <c r="I129" s="23" t="n">
        <v>0.467</v>
      </c>
      <c r="J129" s="23" t="n">
        <v>21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21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inlineStr"/>
      <c r="U129" s="23" t="inlineStr">
        <is>
          <t>Unchanged</t>
        </is>
      </c>
    </row>
    <row r="130">
      <c r="A130" s="23" t="inlineStr">
        <is>
          <t>CITY-124</t>
        </is>
      </c>
      <c r="B130" s="23" t="n">
        <v>124</v>
      </c>
      <c r="C130" s="23" t="inlineStr">
        <is>
          <t>Southhill</t>
        </is>
      </c>
      <c r="D130" s="23" t="inlineStr">
        <is>
          <t>Southill</t>
        </is>
      </c>
      <c r="E130" s="23" t="inlineStr">
        <is>
          <t>Council</t>
        </is>
      </c>
      <c r="F130" s="23" t="inlineStr">
        <is>
          <t>Exist Resi</t>
        </is>
      </c>
      <c r="G130" s="23" t="inlineStr">
        <is>
          <t>Infill</t>
        </is>
      </c>
      <c r="H130" s="23" t="inlineStr">
        <is>
          <t>Permission Granted</t>
        </is>
      </c>
      <c r="I130" s="23" t="n">
        <v>0.139</v>
      </c>
      <c r="J130" s="23" t="n">
        <v>27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27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inlineStr">
        <is>
          <t>Register says permitted/complete but no permission linked</t>
        </is>
      </c>
      <c r="U130" s="23" t="inlineStr">
        <is>
          <t>Unchanged</t>
        </is>
      </c>
    </row>
    <row r="131">
      <c r="A131" s="23" t="inlineStr">
        <is>
          <t>CITY-125</t>
        </is>
      </c>
      <c r="B131" s="23" t="n">
        <v>125</v>
      </c>
      <c r="C131" s="23" t="inlineStr">
        <is>
          <t>Southhill</t>
        </is>
      </c>
      <c r="D131" s="23" t="inlineStr">
        <is>
          <t>Southill</t>
        </is>
      </c>
      <c r="E131" s="23" t="inlineStr">
        <is>
          <t>Council</t>
        </is>
      </c>
      <c r="F131" s="23" t="inlineStr">
        <is>
          <t>Exist Resi</t>
        </is>
      </c>
      <c r="G131" s="23" t="inlineStr">
        <is>
          <t>Infill</t>
        </is>
      </c>
      <c r="H131" s="23" t="inlineStr">
        <is>
          <t>Undeveloped/Permission Sought</t>
        </is>
      </c>
      <c r="I131" s="23" t="n">
        <v>1.413</v>
      </c>
      <c r="J131" s="23" t="n">
        <v>64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64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inlineStr"/>
      <c r="U131" s="23" t="inlineStr">
        <is>
          <t>Unchanged</t>
        </is>
      </c>
    </row>
    <row r="132">
      <c r="A132" s="23" t="inlineStr">
        <is>
          <t>CITY-127</t>
        </is>
      </c>
      <c r="B132" s="23" t="n">
        <v>127</v>
      </c>
      <c r="C132" s="23" t="inlineStr">
        <is>
          <t>Southhill</t>
        </is>
      </c>
      <c r="D132" s="23" t="inlineStr">
        <is>
          <t>Southill</t>
        </is>
      </c>
      <c r="E132" s="23" t="inlineStr">
        <is>
          <t>Council</t>
        </is>
      </c>
      <c r="F132" s="23" t="inlineStr">
        <is>
          <t>Exist Resi</t>
        </is>
      </c>
      <c r="G132" s="23" t="inlineStr">
        <is>
          <t>Infill</t>
        </is>
      </c>
      <c r="H132" s="23" t="inlineStr">
        <is>
          <t>Undeveloped/Permission Sought</t>
        </is>
      </c>
      <c r="I132" s="23" t="n">
        <v>0.508</v>
      </c>
      <c r="J132" s="23" t="n">
        <v>23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23</v>
      </c>
      <c r="P132" s="23" t="n">
        <v>0</v>
      </c>
      <c r="Q132" s="23" t="n">
        <v>0</v>
      </c>
      <c r="R132" s="23" t="n">
        <v>4</v>
      </c>
      <c r="S132" s="23" t="n">
        <v>0</v>
      </c>
      <c r="T132" s="23" t="inlineStr">
        <is>
          <t>Edge match – check boundary</t>
        </is>
      </c>
      <c r="U132" s="23" t="inlineStr">
        <is>
          <t>Unchanged</t>
        </is>
      </c>
    </row>
    <row r="133">
      <c r="A133" s="23" t="inlineStr">
        <is>
          <t>CITY-128</t>
        </is>
      </c>
      <c r="B133" s="23" t="n">
        <v>128</v>
      </c>
      <c r="C133" s="23" t="inlineStr">
        <is>
          <t>Southhill</t>
        </is>
      </c>
      <c r="D133" s="23" t="inlineStr">
        <is>
          <t>Southill</t>
        </is>
      </c>
      <c r="E133" s="23" t="inlineStr">
        <is>
          <t>Unknown</t>
        </is>
      </c>
      <c r="F133" s="23" t="inlineStr">
        <is>
          <t>New Resi</t>
        </is>
      </c>
      <c r="G133" s="23" t="inlineStr">
        <is>
          <t>Infill</t>
        </is>
      </c>
      <c r="H133" s="23" t="inlineStr">
        <is>
          <t>Undeveloped/Permission Sought</t>
        </is>
      </c>
      <c r="I133" s="23" t="n">
        <v>4.753</v>
      </c>
      <c r="J133" s="23" t="n">
        <v>214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214</v>
      </c>
      <c r="P133" s="23" t="n">
        <v>0</v>
      </c>
      <c r="Q133" s="23" t="n">
        <v>57</v>
      </c>
      <c r="R133" s="23" t="n">
        <v>0</v>
      </c>
      <c r="S133" s="23" t="n">
        <v>1</v>
      </c>
      <c r="T133" s="23" t="inlineStr"/>
      <c r="U133" s="23" t="inlineStr">
        <is>
          <t>Unchanged</t>
        </is>
      </c>
    </row>
    <row r="134">
      <c r="A134" s="23" t="inlineStr">
        <is>
          <t>CITY-158</t>
        </is>
      </c>
      <c r="B134" s="23" t="n">
        <v>158</v>
      </c>
      <c r="C134" s="23" t="inlineStr">
        <is>
          <t>Southhill</t>
        </is>
      </c>
      <c r="D134" s="23" t="inlineStr">
        <is>
          <t>Garryowen</t>
        </is>
      </c>
      <c r="E134" s="23" t="inlineStr">
        <is>
          <t>Private</t>
        </is>
      </c>
      <c r="F134" s="23" t="inlineStr">
        <is>
          <t>New Resi</t>
        </is>
      </c>
      <c r="G134" s="23" t="inlineStr">
        <is>
          <t>Infill</t>
        </is>
      </c>
      <c r="H134" s="23" t="inlineStr">
        <is>
          <t>Undeveloped/Permission Sought</t>
        </is>
      </c>
      <c r="I134" s="23" t="n">
        <v>0.9379999999999999</v>
      </c>
      <c r="J134" s="23" t="n">
        <v>42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42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inlineStr"/>
      <c r="U134" s="23" t="inlineStr">
        <is>
          <t>Unchanged</t>
        </is>
      </c>
    </row>
  </sheetData>
  <autoFilter ref="A1:U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8" customWidth="1" min="4" max="4"/>
    <col width="18" customWidth="1" min="5" max="5"/>
    <col width="26" customWidth="1" min="6" max="6"/>
    <col width="10" customWidth="1" min="7" max="7"/>
    <col width="20" customWidth="1" min="8" max="8"/>
    <col width="20" customWidth="1" min="9" max="9"/>
    <col width="22" customWidth="1" min="10" max="10"/>
    <col width="24" customWidth="1" min="11" max="11"/>
    <col width="20" customWidth="1" min="12" max="12"/>
    <col width="7" customWidth="1" min="13" max="13"/>
    <col width="9" customWidth="1" min="14" max="14"/>
    <col width="11" customWidth="1" min="15" max="15"/>
    <col width="11" customWidth="1" min="16" max="16"/>
    <col width="11" customWidth="1" min="17" max="17"/>
    <col width="10" customWidth="1" min="18" max="18"/>
    <col width="11" customWidth="1" min="19" max="19"/>
    <col width="12" customWidth="1" min="20" max="20"/>
    <col width="50" customWidth="1" min="21" max="21"/>
    <col width="9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10" customWidth="1" min="29" max="29"/>
  </cols>
  <sheetData>
    <row r="1">
      <c r="A1" s="3" t="inlineStr">
        <is>
          <t>Perm id</t>
        </is>
      </c>
      <c r="B1" s="4" t="inlineStr">
        <is>
          <t>Planning ref</t>
        </is>
      </c>
      <c r="C1" s="4" t="inlineStr">
        <is>
          <t>Scheme</t>
        </is>
      </c>
      <c r="D1" s="4" t="inlineStr">
        <is>
          <t>Neighbourhood</t>
        </is>
      </c>
      <c r="E1" s="4" t="inlineStr">
        <is>
          <t>Settlement</t>
        </is>
      </c>
      <c r="F1" s="4" t="inlineStr">
        <is>
          <t>Location</t>
        </is>
      </c>
      <c r="G1" s="4" t="inlineStr">
        <is>
          <t>Site id</t>
        </is>
      </c>
      <c r="H1" s="4" t="inlineStr">
        <is>
          <t>Sector</t>
        </is>
      </c>
      <c r="I1" s="4" t="inlineStr">
        <is>
          <t>Tenure</t>
        </is>
      </c>
      <c r="J1" s="4" t="inlineStr">
        <is>
          <t>Route</t>
        </is>
      </c>
      <c r="K1" s="4" t="inlineStr">
        <is>
          <t>Status</t>
        </is>
      </c>
      <c r="L1" s="4" t="inlineStr">
        <is>
          <t>CIS stage</t>
        </is>
      </c>
      <c r="M1" s="4" t="inlineStr">
        <is>
          <t>Units</t>
        </is>
      </c>
      <c r="N1" s="4" t="inlineStr">
        <is>
          <t>Student bedspaces</t>
        </is>
      </c>
      <c r="O1" s="4" t="inlineStr">
        <is>
          <t>Final grant</t>
        </is>
      </c>
      <c r="P1" s="4" t="inlineStr">
        <is>
          <t>Start on site</t>
        </is>
      </c>
      <c r="Q1" s="4" t="inlineStr">
        <is>
          <t>Expiry</t>
        </is>
      </c>
      <c r="R1" s="4" t="inlineStr">
        <is>
          <t>Est. start</t>
        </is>
      </c>
      <c r="S1" s="4" t="inlineStr">
        <is>
          <t>Est. last completions</t>
        </is>
      </c>
      <c r="T1" s="4" t="inlineStr">
        <is>
          <t>Confidence</t>
        </is>
      </c>
      <c r="U1" s="4" t="inlineStr">
        <is>
          <t>Basis for estimate</t>
        </is>
      </c>
      <c r="V1" s="4" t="inlineStr">
        <is>
          <t>Complete</t>
        </is>
      </c>
      <c r="W1" s="4" t="inlineStr">
        <is>
          <t>Q4 2026</t>
        </is>
      </c>
      <c r="X1" s="4" t="inlineStr">
        <is>
          <t>2027</t>
        </is>
      </c>
      <c r="Y1" s="4" t="inlineStr">
        <is>
          <t>2028</t>
        </is>
      </c>
      <c r="Z1" s="4" t="inlineStr">
        <is>
          <t>2029</t>
        </is>
      </c>
      <c r="AA1" s="4" t="inlineStr">
        <is>
          <t>2030</t>
        </is>
      </c>
      <c r="AB1" s="4" t="inlineStr">
        <is>
          <t>2031+</t>
        </is>
      </c>
      <c r="AC1" s="4" t="inlineStr">
        <is>
          <t>Not projected</t>
        </is>
      </c>
    </row>
    <row r="2">
      <c r="A2" s="23" t="inlineStr">
        <is>
          <t>1187172</t>
        </is>
      </c>
      <c r="B2" s="23" t="inlineStr">
        <is>
          <t>211216</t>
        </is>
      </c>
      <c r="C2" s="23" t="inlineStr">
        <is>
          <t>€21m - Residential Development, Mungret</t>
        </is>
      </c>
      <c r="D2" s="23" t="inlineStr">
        <is>
          <t>Dooradoyle</t>
        </is>
      </c>
      <c r="E2" s="23" t="inlineStr">
        <is>
          <t>Mungret</t>
        </is>
      </c>
      <c r="F2" s="23" t="inlineStr">
        <is>
          <t>Audit land – edge (check)</t>
        </is>
      </c>
      <c r="G2" s="23" t="inlineStr">
        <is>
          <t>CITY-151</t>
        </is>
      </c>
      <c r="H2" s="23" t="inlineStr">
        <is>
          <t>Private</t>
        </is>
      </c>
      <c r="I2" s="23" t="inlineStr">
        <is>
          <t>Market (incl. Part V)</t>
        </is>
      </c>
      <c r="J2" s="23" t="inlineStr">
        <is>
          <t>Standard planning application</t>
        </is>
      </c>
      <c r="K2" s="23" t="inlineStr">
        <is>
          <t>Under construction</t>
        </is>
      </c>
      <c r="L2" s="23" t="inlineStr">
        <is>
          <t>Part Complete</t>
        </is>
      </c>
      <c r="M2" s="23" t="n">
        <v>99</v>
      </c>
      <c r="N2" s="23" t="n"/>
      <c r="O2" s="23" t="inlineStr">
        <is>
          <t>2023-07-28</t>
        </is>
      </c>
      <c r="P2" s="23" t="inlineStr">
        <is>
          <t>2024-04-20</t>
        </is>
      </c>
      <c r="Q2" s="23" t="inlineStr">
        <is>
          <t>2028-07-27</t>
        </is>
      </c>
      <c r="R2" s="23" t="inlineStr">
        <is>
          <t>2024 Q2</t>
        </is>
      </c>
      <c r="S2" s="23" t="inlineStr">
        <is>
          <t>2027 Q4</t>
        </is>
      </c>
      <c r="T2" s="23" t="inlineStr">
        <is>
          <t>High</t>
        </is>
      </c>
      <c r="U2" s="23" t="inlineStr">
        <is>
          <t>On site: started 2024-04</t>
        </is>
      </c>
      <c r="V2" s="23" t="n">
        <v>0</v>
      </c>
      <c r="W2" s="23" t="n">
        <v>23.1</v>
      </c>
      <c r="X2" s="23" t="n">
        <v>75.90000000000001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</row>
    <row r="3">
      <c r="A3" s="23" t="inlineStr">
        <is>
          <t>1134847</t>
        </is>
      </c>
      <c r="B3" s="23" t="inlineStr">
        <is>
          <t>201195</t>
        </is>
      </c>
      <c r="C3" s="23" t="inlineStr">
        <is>
          <t>€9m - Residential Development, Mungret</t>
        </is>
      </c>
      <c r="D3" s="23" t="inlineStr">
        <is>
          <t>Dooradoyle</t>
        </is>
      </c>
      <c r="E3" s="23" t="inlineStr">
        <is>
          <t>Mungret</t>
        </is>
      </c>
      <c r="F3" s="23" t="inlineStr">
        <is>
          <t>Audit land – edge (check)</t>
        </is>
      </c>
      <c r="G3" s="23" t="inlineStr">
        <is>
          <t>CITY-153</t>
        </is>
      </c>
      <c r="H3" s="23" t="inlineStr">
        <is>
          <t>Private</t>
        </is>
      </c>
      <c r="I3" s="23" t="inlineStr">
        <is>
          <t>Market (incl. Part V)</t>
        </is>
      </c>
      <c r="J3" s="23" t="inlineStr">
        <is>
          <t>Standard planning application</t>
        </is>
      </c>
      <c r="K3" s="23" t="inlineStr">
        <is>
          <t>Complete</t>
        </is>
      </c>
      <c r="L3" s="23" t="inlineStr">
        <is>
          <t>Complete</t>
        </is>
      </c>
      <c r="M3" s="23" t="n">
        <v>66</v>
      </c>
      <c r="N3" s="23" t="n"/>
      <c r="O3" s="23" t="inlineStr">
        <is>
          <t>2021-06-23</t>
        </is>
      </c>
      <c r="P3" s="23" t="inlineStr">
        <is>
          <t>2022-04-08</t>
        </is>
      </c>
      <c r="Q3" s="23" t="inlineStr">
        <is>
          <t>2026-06-22</t>
        </is>
      </c>
      <c r="R3" s="23" t="n"/>
      <c r="S3" s="23" t="n"/>
      <c r="T3" s="23" t="inlineStr">
        <is>
          <t>Delivered</t>
        </is>
      </c>
      <c r="U3" s="23" t="inlineStr">
        <is>
          <t>Complete (CIS)</t>
        </is>
      </c>
      <c r="V3" s="23" t="n">
        <v>66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>
      <c r="A4" s="23" t="inlineStr">
        <is>
          <t>1350852</t>
        </is>
      </c>
      <c r="B4" s="23" t="inlineStr">
        <is>
          <t>2460570</t>
        </is>
      </c>
      <c r="C4" s="23" t="inlineStr">
        <is>
          <t>€4.5m - Apartment Development, Limerick City</t>
        </is>
      </c>
      <c r="D4" s="23" t="inlineStr">
        <is>
          <t>City Centre</t>
        </is>
      </c>
      <c r="E4" s="23" t="inlineStr">
        <is>
          <t>Limerick City and Suburbs</t>
        </is>
      </c>
      <c r="F4" s="23" t="inlineStr">
        <is>
          <t>Audit land – edge (check)</t>
        </is>
      </c>
      <c r="G4" s="23" t="inlineStr">
        <is>
          <t>CITY-102</t>
        </is>
      </c>
      <c r="H4" s="23" t="inlineStr">
        <is>
          <t>Private</t>
        </is>
      </c>
      <c r="I4" s="23" t="inlineStr">
        <is>
          <t>Market (incl. Part V)</t>
        </is>
      </c>
      <c r="J4" s="23" t="inlineStr">
        <is>
          <t>Standard planning application</t>
        </is>
      </c>
      <c r="K4" s="23" t="inlineStr">
        <is>
          <t>Not started – permission live</t>
        </is>
      </c>
      <c r="L4" s="23" t="inlineStr">
        <is>
          <t>Permission Granted</t>
        </is>
      </c>
      <c r="M4" s="23" t="n">
        <v>40</v>
      </c>
      <c r="N4" s="23" t="n"/>
      <c r="O4" s="23" t="inlineStr">
        <is>
          <t>2025-02-06</t>
        </is>
      </c>
      <c r="P4" s="23" t="n"/>
      <c r="Q4" s="23" t="inlineStr">
        <is>
          <t>2030-02-05</t>
        </is>
      </c>
      <c r="R4" s="23" t="inlineStr">
        <is>
          <t>2027 Q3</t>
        </is>
      </c>
      <c r="S4" s="23" t="inlineStr">
        <is>
          <t>2029 Q2</t>
        </is>
      </c>
      <c r="T4" s="23" t="inlineStr">
        <is>
          <t>Low</t>
        </is>
      </c>
      <c r="U4" s="23" t="inlineStr">
        <is>
          <t>Permitted 2025-02, past typical start date with no commencement: start assumed in 9 months</t>
        </is>
      </c>
      <c r="V4" s="23" t="n">
        <v>0</v>
      </c>
      <c r="W4" s="23" t="n">
        <v>0</v>
      </c>
      <c r="X4" s="23" t="n">
        <v>0</v>
      </c>
      <c r="Y4" s="23" t="n">
        <v>22</v>
      </c>
      <c r="Z4" s="23" t="n">
        <v>18</v>
      </c>
      <c r="AA4" s="23" t="n">
        <v>0</v>
      </c>
      <c r="AB4" s="23" t="n">
        <v>0</v>
      </c>
      <c r="AC4" s="23" t="n">
        <v>0</v>
      </c>
    </row>
    <row r="5">
      <c r="A5" s="23" t="inlineStr">
        <is>
          <t>1201033</t>
        </is>
      </c>
      <c r="B5" s="23" t="inlineStr">
        <is>
          <t>211598</t>
        </is>
      </c>
      <c r="C5" s="23" t="inlineStr">
        <is>
          <t xml:space="preserve">€5.8m - Apartment/Retail Development, Limerick </t>
        </is>
      </c>
      <c r="D5" s="23" t="inlineStr">
        <is>
          <t>City Centre</t>
        </is>
      </c>
      <c r="E5" s="23" t="inlineStr">
        <is>
          <t>Other County Limerick</t>
        </is>
      </c>
      <c r="F5" s="23" t="inlineStr">
        <is>
          <t>Audit land – edge (check)</t>
        </is>
      </c>
      <c r="G5" s="23" t="inlineStr">
        <is>
          <t>CITY-107</t>
        </is>
      </c>
      <c r="H5" s="23" t="inlineStr">
        <is>
          <t>Private</t>
        </is>
      </c>
      <c r="I5" s="23" t="inlineStr">
        <is>
          <t>Market (incl. Part V)</t>
        </is>
      </c>
      <c r="J5" s="23" t="inlineStr">
        <is>
          <t>Standard planning application</t>
        </is>
      </c>
      <c r="K5" s="23" t="inlineStr">
        <is>
          <t>Not started – permission live</t>
        </is>
      </c>
      <c r="L5" s="23" t="inlineStr">
        <is>
          <t>Permission Granted</t>
        </is>
      </c>
      <c r="M5" s="23" t="n">
        <v>37</v>
      </c>
      <c r="N5" s="23" t="n"/>
      <c r="O5" s="23" t="inlineStr">
        <is>
          <t>2022-05-25</t>
        </is>
      </c>
      <c r="P5" s="23" t="n"/>
      <c r="Q5" s="23" t="inlineStr">
        <is>
          <t>2027-05-24</t>
        </is>
      </c>
      <c r="R5" s="23" t="inlineStr">
        <is>
          <t>2027 Q3</t>
        </is>
      </c>
      <c r="S5" s="23" t="inlineStr">
        <is>
          <t>2029 Q2</t>
        </is>
      </c>
      <c r="T5" s="23" t="inlineStr">
        <is>
          <t>Low</t>
        </is>
      </c>
      <c r="U5" s="23" t="inlineStr">
        <is>
          <t>Permitted 2022-05, past typical start date with no commencement: start assumed in 9 months; expiry falls before assumed start</t>
        </is>
      </c>
      <c r="V5" s="23" t="n">
        <v>0</v>
      </c>
      <c r="W5" s="23" t="n">
        <v>0</v>
      </c>
      <c r="X5" s="23" t="n">
        <v>0</v>
      </c>
      <c r="Y5" s="23" t="n">
        <v>23</v>
      </c>
      <c r="Z5" s="23" t="n">
        <v>14</v>
      </c>
      <c r="AA5" s="23" t="n">
        <v>0</v>
      </c>
      <c r="AB5" s="23" t="n">
        <v>0</v>
      </c>
      <c r="AC5" s="23" t="n">
        <v>0</v>
      </c>
    </row>
    <row r="6">
      <c r="A6" s="23" t="inlineStr">
        <is>
          <t>1408496</t>
        </is>
      </c>
      <c r="B6" s="23" t="inlineStr">
        <is>
          <t>2560546</t>
        </is>
      </c>
      <c r="C6" s="23" t="inlineStr">
        <is>
          <t>€7m - Residential/Commercial Development, Limerick</t>
        </is>
      </c>
      <c r="D6" s="23" t="inlineStr">
        <is>
          <t>City Centre</t>
        </is>
      </c>
      <c r="E6" s="23" t="inlineStr">
        <is>
          <t>Other County Limerick</t>
        </is>
      </c>
      <c r="F6" s="23" t="inlineStr">
        <is>
          <t>Audit land – edge (check)</t>
        </is>
      </c>
      <c r="G6" s="23" t="inlineStr">
        <is>
          <t>CITY-107</t>
        </is>
      </c>
      <c r="H6" s="23" t="inlineStr">
        <is>
          <t>Private</t>
        </is>
      </c>
      <c r="I6" s="23" t="inlineStr">
        <is>
          <t>Market (incl. Part V)</t>
        </is>
      </c>
      <c r="J6" s="23" t="inlineStr">
        <is>
          <t>Standard planning application</t>
        </is>
      </c>
      <c r="K6" s="23" t="inlineStr">
        <is>
          <t>Not started – permission live</t>
        </is>
      </c>
      <c r="L6" s="23" t="inlineStr">
        <is>
          <t>Permission Granted</t>
        </is>
      </c>
      <c r="M6" s="23" t="n">
        <v>37</v>
      </c>
      <c r="N6" s="23" t="n"/>
      <c r="O6" s="23" t="inlineStr">
        <is>
          <t>2025-09-04</t>
        </is>
      </c>
      <c r="P6" s="23" t="n"/>
      <c r="Q6" s="23" t="inlineStr">
        <is>
          <t>2030-09-03</t>
        </is>
      </c>
      <c r="R6" s="23" t="inlineStr">
        <is>
          <t>2027 Q2</t>
        </is>
      </c>
      <c r="S6" s="23" t="inlineStr">
        <is>
          <t>2029 Q1</t>
        </is>
      </c>
      <c r="T6" s="23" t="inlineStr">
        <is>
          <t>Medium</t>
        </is>
      </c>
      <c r="U6" s="23" t="inlineStr">
        <is>
          <t>Permitted 2025-09; typical start 1.6 yrs after grant</t>
        </is>
      </c>
      <c r="V6" s="23" t="n">
        <v>0</v>
      </c>
      <c r="W6" s="23" t="n">
        <v>0</v>
      </c>
      <c r="X6" s="23" t="n">
        <v>0</v>
      </c>
      <c r="Y6" s="23" t="n">
        <v>31.4</v>
      </c>
      <c r="Z6" s="23" t="n">
        <v>5.6</v>
      </c>
      <c r="AA6" s="23" t="n">
        <v>0</v>
      </c>
      <c r="AB6" s="23" t="n">
        <v>0</v>
      </c>
      <c r="AC6" s="23" t="n">
        <v>0</v>
      </c>
    </row>
    <row r="7">
      <c r="A7" s="23" t="inlineStr">
        <is>
          <t>973082</t>
        </is>
      </c>
      <c r="B7" s="23" t="inlineStr">
        <is>
          <t>1855</t>
        </is>
      </c>
      <c r="C7" s="23" t="inlineStr">
        <is>
          <t>€4.8m - Residential Development, Castletroy</t>
        </is>
      </c>
      <c r="D7" s="23" t="inlineStr">
        <is>
          <t>Castletroy/Annacotty</t>
        </is>
      </c>
      <c r="E7" s="23" t="inlineStr">
        <is>
          <t>Limerick City and Suburbs</t>
        </is>
      </c>
      <c r="F7" s="23" t="inlineStr">
        <is>
          <t>Audit land – edge (check)</t>
        </is>
      </c>
      <c r="G7" s="23" t="inlineStr">
        <is>
          <t>CITY-56</t>
        </is>
      </c>
      <c r="H7" s="23" t="inlineStr">
        <is>
          <t>Private</t>
        </is>
      </c>
      <c r="I7" s="23" t="inlineStr">
        <is>
          <t>Market (incl. Part V)</t>
        </is>
      </c>
      <c r="J7" s="23" t="inlineStr">
        <is>
          <t>Standard planning application</t>
        </is>
      </c>
      <c r="K7" s="23" t="inlineStr">
        <is>
          <t>Under construction</t>
        </is>
      </c>
      <c r="L7" s="23" t="inlineStr">
        <is>
          <t>Commencement Expected</t>
        </is>
      </c>
      <c r="M7" s="23" t="n">
        <v>32</v>
      </c>
      <c r="N7" s="23" t="n"/>
      <c r="O7" s="23" t="inlineStr">
        <is>
          <t>2018-07-04</t>
        </is>
      </c>
      <c r="P7" s="23" t="inlineStr">
        <is>
          <t>2018-08-08</t>
        </is>
      </c>
      <c r="Q7" s="23" t="inlineStr">
        <is>
          <t>2023-07-03</t>
        </is>
      </c>
      <c r="R7" s="23" t="inlineStr">
        <is>
          <t>2018 Q3</t>
        </is>
      </c>
      <c r="S7" s="23" t="inlineStr">
        <is>
          <t>2027 Q4</t>
        </is>
      </c>
      <c r="T7" s="23" t="inlineStr">
        <is>
          <t>High</t>
        </is>
      </c>
      <c r="U7" s="23" t="inlineStr">
        <is>
          <t>On site: started 2018-08</t>
        </is>
      </c>
      <c r="V7" s="23" t="n">
        <v>0</v>
      </c>
      <c r="W7" s="23" t="n">
        <v>7.5</v>
      </c>
      <c r="X7" s="23" t="n">
        <v>24.5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</row>
    <row r="8">
      <c r="A8" s="23" t="inlineStr">
        <is>
          <t>1256924</t>
        </is>
      </c>
      <c r="B8" s="23" t="inlineStr">
        <is>
          <t>221172</t>
        </is>
      </c>
      <c r="C8" s="23" t="inlineStr">
        <is>
          <t xml:space="preserve">€5.9m - Student Accommodation Development </t>
        </is>
      </c>
      <c r="D8" s="23" t="inlineStr">
        <is>
          <t>City Centre</t>
        </is>
      </c>
      <c r="E8" s="23" t="inlineStr">
        <is>
          <t>Other County Limerick</t>
        </is>
      </c>
      <c r="F8" s="23" t="inlineStr">
        <is>
          <t>Audit land – edge (check)</t>
        </is>
      </c>
      <c r="G8" s="23" t="inlineStr">
        <is>
          <t>CITY-107</t>
        </is>
      </c>
      <c r="H8" s="23" t="inlineStr">
        <is>
          <t>Private</t>
        </is>
      </c>
      <c r="I8" s="23" t="inlineStr">
        <is>
          <t>Student (PBSA)</t>
        </is>
      </c>
      <c r="J8" s="23" t="inlineStr">
        <is>
          <t>Standard planning application</t>
        </is>
      </c>
      <c r="K8" s="23" t="inlineStr">
        <is>
          <t>Not started – permission live</t>
        </is>
      </c>
      <c r="L8" s="23" t="inlineStr">
        <is>
          <t>Permission Granted</t>
        </is>
      </c>
      <c r="M8" s="23" t="n">
        <v>25</v>
      </c>
      <c r="N8" s="23" t="n">
        <v>116</v>
      </c>
      <c r="O8" s="23" t="inlineStr">
        <is>
          <t>2024-05-30</t>
        </is>
      </c>
      <c r="P8" s="23" t="n"/>
      <c r="Q8" s="23" t="inlineStr">
        <is>
          <t>2029-05-29</t>
        </is>
      </c>
      <c r="R8" s="23" t="inlineStr">
        <is>
          <t>2027 Q3</t>
        </is>
      </c>
      <c r="S8" s="23" t="inlineStr">
        <is>
          <t>2028 Q4</t>
        </is>
      </c>
      <c r="T8" s="23" t="inlineStr">
        <is>
          <t>Low</t>
        </is>
      </c>
      <c r="U8" s="23" t="inlineStr">
        <is>
          <t>Permitted 2024-05, past typical start date with no commencement: start assumed in 9 months; student block completes in one go</t>
        </is>
      </c>
      <c r="V8" s="23" t="n">
        <v>0</v>
      </c>
      <c r="W8" s="23" t="n">
        <v>0</v>
      </c>
      <c r="X8" s="23" t="n">
        <v>0</v>
      </c>
      <c r="Y8" s="23" t="n">
        <v>25</v>
      </c>
      <c r="Z8" s="23" t="n">
        <v>0</v>
      </c>
      <c r="AA8" s="23" t="n">
        <v>0</v>
      </c>
      <c r="AB8" s="23" t="n">
        <v>0</v>
      </c>
      <c r="AC8" s="23" t="n">
        <v>0</v>
      </c>
    </row>
    <row r="9">
      <c r="A9" s="23" t="inlineStr">
        <is>
          <t>1263713</t>
        </is>
      </c>
      <c r="B9" s="23" t="inlineStr">
        <is>
          <t>221367</t>
        </is>
      </c>
      <c r="C9" s="23" t="inlineStr">
        <is>
          <t>€5.2m - Residential Development, Limerick</t>
        </is>
      </c>
      <c r="D9" s="23" t="inlineStr">
        <is>
          <t>City Centre</t>
        </is>
      </c>
      <c r="E9" s="23" t="inlineStr">
        <is>
          <t>Other County Limerick</t>
        </is>
      </c>
      <c r="F9" s="23" t="inlineStr">
        <is>
          <t>Audit land – edge (check)</t>
        </is>
      </c>
      <c r="G9" s="23" t="inlineStr">
        <is>
          <t>CITY-93</t>
        </is>
      </c>
      <c r="H9" s="23" t="inlineStr">
        <is>
          <t>Private</t>
        </is>
      </c>
      <c r="I9" s="23" t="inlineStr">
        <is>
          <t>Market (incl. Part V)</t>
        </is>
      </c>
      <c r="J9" s="23" t="inlineStr">
        <is>
          <t>Standard planning application</t>
        </is>
      </c>
      <c r="K9" s="23" t="inlineStr">
        <is>
          <t>Not started – permission live</t>
        </is>
      </c>
      <c r="L9" s="23" t="inlineStr">
        <is>
          <t>Permission Granted</t>
        </is>
      </c>
      <c r="M9" s="23" t="n">
        <v>24</v>
      </c>
      <c r="N9" s="23" t="n"/>
      <c r="O9" s="23" t="inlineStr">
        <is>
          <t>2023-09-13</t>
        </is>
      </c>
      <c r="P9" s="23" t="n"/>
      <c r="Q9" s="23" t="inlineStr">
        <is>
          <t>2028-09-12</t>
        </is>
      </c>
      <c r="R9" s="23" t="inlineStr">
        <is>
          <t>2027 Q3</t>
        </is>
      </c>
      <c r="S9" s="23" t="inlineStr">
        <is>
          <t>2030 Q2</t>
        </is>
      </c>
      <c r="T9" s="23" t="inlineStr">
        <is>
          <t>Low</t>
        </is>
      </c>
      <c r="U9" s="23" t="inlineStr">
        <is>
          <t>Permitted 2023-09, past typical start date with no commencement: start assumed in 9 months</t>
        </is>
      </c>
      <c r="V9" s="23" t="n">
        <v>0</v>
      </c>
      <c r="W9" s="23" t="n">
        <v>0</v>
      </c>
      <c r="X9" s="23" t="n">
        <v>0</v>
      </c>
      <c r="Y9" s="23" t="n">
        <v>6.2</v>
      </c>
      <c r="Z9" s="23" t="n">
        <v>12.8</v>
      </c>
      <c r="AA9" s="23" t="n">
        <v>5</v>
      </c>
      <c r="AB9" s="23" t="n">
        <v>0</v>
      </c>
      <c r="AC9" s="23" t="n">
        <v>0</v>
      </c>
    </row>
    <row r="10">
      <c r="A10" s="23" t="inlineStr">
        <is>
          <t>1347165</t>
        </is>
      </c>
      <c r="B10" s="23" t="inlineStr">
        <is>
          <t>2460468</t>
        </is>
      </c>
      <c r="C10" s="23" t="inlineStr">
        <is>
          <t>€3.6m - Housing/Creche Development, Crossagalla</t>
        </is>
      </c>
      <c r="D10" s="23" t="inlineStr">
        <is>
          <t>Southhill</t>
        </is>
      </c>
      <c r="E10" s="23" t="inlineStr">
        <is>
          <t>Kilmallock</t>
        </is>
      </c>
      <c r="F10" s="23" t="inlineStr">
        <is>
          <t>Audit land – edge (check)</t>
        </is>
      </c>
      <c r="G10" s="23" t="inlineStr">
        <is>
          <t>CITY-114</t>
        </is>
      </c>
      <c r="H10" s="23" t="inlineStr">
        <is>
          <t>Private</t>
        </is>
      </c>
      <c r="I10" s="23" t="inlineStr">
        <is>
          <t>Market (incl. Part V)</t>
        </is>
      </c>
      <c r="J10" s="23" t="inlineStr">
        <is>
          <t>Standard planning application</t>
        </is>
      </c>
      <c r="K10" s="23" t="inlineStr">
        <is>
          <t>Under construction</t>
        </is>
      </c>
      <c r="L10" s="23" t="inlineStr">
        <is>
          <t>On Site</t>
        </is>
      </c>
      <c r="M10" s="23" t="n">
        <v>12</v>
      </c>
      <c r="N10" s="23" t="n"/>
      <c r="O10" s="23" t="inlineStr">
        <is>
          <t>2024-10-24</t>
        </is>
      </c>
      <c r="P10" s="23" t="inlineStr">
        <is>
          <t>2025-01-08</t>
        </is>
      </c>
      <c r="Q10" s="23" t="inlineStr">
        <is>
          <t>2029-10-23</t>
        </is>
      </c>
      <c r="R10" s="23" t="inlineStr">
        <is>
          <t>2025 Q1</t>
        </is>
      </c>
      <c r="S10" s="23" t="inlineStr">
        <is>
          <t>2027 Q4</t>
        </is>
      </c>
      <c r="T10" s="23" t="inlineStr">
        <is>
          <t>High</t>
        </is>
      </c>
      <c r="U10" s="23" t="inlineStr">
        <is>
          <t>On site: started 2025-01</t>
        </is>
      </c>
      <c r="V10" s="23" t="n">
        <v>0</v>
      </c>
      <c r="W10" s="23" t="n">
        <v>2.8</v>
      </c>
      <c r="X10" s="23" t="n">
        <v>9.199999999999999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>
      <c r="A11" s="23" t="inlineStr">
        <is>
          <t>1072840</t>
        </is>
      </c>
      <c r="B11" s="23" t="inlineStr">
        <is>
          <t>191037</t>
        </is>
      </c>
      <c r="C11" s="23" t="inlineStr">
        <is>
          <t xml:space="preserve">€2.3m - 8 Residential Units </t>
        </is>
      </c>
      <c r="D11" s="23" t="inlineStr">
        <is>
          <t>Castletroy/Annacotty</t>
        </is>
      </c>
      <c r="E11" s="23" t="inlineStr">
        <is>
          <t>Limerick City and Suburbs</t>
        </is>
      </c>
      <c r="F11" s="23" t="inlineStr">
        <is>
          <t>Audit land – edge (check)</t>
        </is>
      </c>
      <c r="G11" s="23" t="inlineStr">
        <is>
          <t>CITY-70</t>
        </is>
      </c>
      <c r="H11" s="23" t="inlineStr">
        <is>
          <t>Private</t>
        </is>
      </c>
      <c r="I11" s="23" t="inlineStr">
        <is>
          <t>Market (incl. Part V)</t>
        </is>
      </c>
      <c r="J11" s="23" t="inlineStr">
        <is>
          <t>Standard planning application</t>
        </is>
      </c>
      <c r="K11" s="23" t="inlineStr">
        <is>
          <t>Under construction</t>
        </is>
      </c>
      <c r="L11" s="23" t="inlineStr">
        <is>
          <t>On Site</t>
        </is>
      </c>
      <c r="M11" s="23" t="n">
        <v>8</v>
      </c>
      <c r="N11" s="23" t="n"/>
      <c r="O11" s="23" t="inlineStr">
        <is>
          <t>2020-10-13</t>
        </is>
      </c>
      <c r="P11" s="23" t="inlineStr">
        <is>
          <t>2024-04-18</t>
        </is>
      </c>
      <c r="Q11" s="23" t="inlineStr">
        <is>
          <t>2025-10-12</t>
        </is>
      </c>
      <c r="R11" s="23" t="inlineStr">
        <is>
          <t>2024 Q2</t>
        </is>
      </c>
      <c r="S11" s="23" t="inlineStr">
        <is>
          <t>2027 Q4</t>
        </is>
      </c>
      <c r="T11" s="23" t="inlineStr">
        <is>
          <t>High</t>
        </is>
      </c>
      <c r="U11" s="23" t="inlineStr">
        <is>
          <t>On site: started 2024-04</t>
        </is>
      </c>
      <c r="V11" s="23" t="n">
        <v>0</v>
      </c>
      <c r="W11" s="23" t="n">
        <v>1.9</v>
      </c>
      <c r="X11" s="23" t="n">
        <v>6.1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</row>
    <row r="12">
      <c r="A12" s="23" t="inlineStr">
        <is>
          <t>1333345</t>
        </is>
      </c>
      <c r="B12" s="23" t="inlineStr">
        <is>
          <t>2460151</t>
        </is>
      </c>
      <c r="C12" s="23" t="inlineStr">
        <is>
          <t>€1.6m - Change of Use to 7 Apartments, Limerick</t>
        </is>
      </c>
      <c r="D12" s="23" t="inlineStr">
        <is>
          <t>City Centre</t>
        </is>
      </c>
      <c r="E12" s="23" t="inlineStr">
        <is>
          <t>Limerick City and Suburbs</t>
        </is>
      </c>
      <c r="F12" s="23" t="inlineStr">
        <is>
          <t>Audit land – edge (check)</t>
        </is>
      </c>
      <c r="G12" s="23" t="inlineStr">
        <is>
          <t>CITY-92</t>
        </is>
      </c>
      <c r="H12" s="23" t="inlineStr">
        <is>
          <t>Private</t>
        </is>
      </c>
      <c r="I12" s="23" t="inlineStr">
        <is>
          <t>Market (incl. Part V)</t>
        </is>
      </c>
      <c r="J12" s="23" t="inlineStr">
        <is>
          <t>Standard planning application</t>
        </is>
      </c>
      <c r="K12" s="23" t="inlineStr">
        <is>
          <t>Under construction</t>
        </is>
      </c>
      <c r="L12" s="23" t="inlineStr">
        <is>
          <t>On Site</t>
        </is>
      </c>
      <c r="M12" s="23" t="n">
        <v>7</v>
      </c>
      <c r="N12" s="23" t="n"/>
      <c r="O12" s="23" t="inlineStr">
        <is>
          <t>2024-08-20</t>
        </is>
      </c>
      <c r="P12" s="23" t="inlineStr">
        <is>
          <t>2026-04-24</t>
        </is>
      </c>
      <c r="Q12" s="23" t="inlineStr">
        <is>
          <t>2029-08-19</t>
        </is>
      </c>
      <c r="R12" s="23" t="inlineStr">
        <is>
          <t>2026 Q2</t>
        </is>
      </c>
      <c r="S12" s="23" t="inlineStr">
        <is>
          <t>2028 Q1</t>
        </is>
      </c>
      <c r="T12" s="23" t="inlineStr">
        <is>
          <t>High</t>
        </is>
      </c>
      <c r="U12" s="23" t="inlineStr">
        <is>
          <t>On site: started 2026-04</t>
        </is>
      </c>
      <c r="V12" s="23" t="n">
        <v>0</v>
      </c>
      <c r="W12" s="23" t="n">
        <v>0</v>
      </c>
      <c r="X12" s="23" t="n">
        <v>5.8</v>
      </c>
      <c r="Y12" s="23" t="n">
        <v>1.2</v>
      </c>
      <c r="Z12" s="23" t="n">
        <v>0</v>
      </c>
      <c r="AA12" s="23" t="n">
        <v>0</v>
      </c>
      <c r="AB12" s="23" t="n">
        <v>0</v>
      </c>
      <c r="AC12" s="23" t="n">
        <v>0</v>
      </c>
    </row>
    <row r="13">
      <c r="A13" s="23" t="inlineStr">
        <is>
          <t>1100331</t>
        </is>
      </c>
      <c r="B13" s="23" t="inlineStr">
        <is>
          <t>20361</t>
        </is>
      </c>
      <c r="C13" s="23" t="inlineStr">
        <is>
          <t xml:space="preserve">€648k - 3 Houses </t>
        </is>
      </c>
      <c r="D13" s="23" t="inlineStr">
        <is>
          <t>Castletroy/Annacotty</t>
        </is>
      </c>
      <c r="E13" s="23" t="inlineStr">
        <is>
          <t>Limerick City and Suburbs</t>
        </is>
      </c>
      <c r="F13" s="23" t="inlineStr">
        <is>
          <t>Audit land – edge (check)</t>
        </is>
      </c>
      <c r="G13" s="23" t="inlineStr">
        <is>
          <t>CITY-56</t>
        </is>
      </c>
      <c r="H13" s="23" t="inlineStr">
        <is>
          <t>Private</t>
        </is>
      </c>
      <c r="I13" s="23" t="inlineStr">
        <is>
          <t>Market (incl. Part V)</t>
        </is>
      </c>
      <c r="J13" s="23" t="inlineStr">
        <is>
          <t>Standard planning application</t>
        </is>
      </c>
      <c r="K13" s="23" t="inlineStr">
        <is>
          <t>Under construction</t>
        </is>
      </c>
      <c r="L13" s="23" t="inlineStr">
        <is>
          <t>On Site</t>
        </is>
      </c>
      <c r="M13" s="23" t="n">
        <v>3</v>
      </c>
      <c r="N13" s="23" t="n"/>
      <c r="O13" s="23" t="inlineStr">
        <is>
          <t>2021-06-15</t>
        </is>
      </c>
      <c r="P13" s="23" t="inlineStr">
        <is>
          <t>2022-09-26</t>
        </is>
      </c>
      <c r="Q13" s="23" t="inlineStr">
        <is>
          <t>2026-06-14</t>
        </is>
      </c>
      <c r="R13" s="23" t="inlineStr">
        <is>
          <t>2022 Q3</t>
        </is>
      </c>
      <c r="S13" s="23" t="inlineStr">
        <is>
          <t>2027 Q4</t>
        </is>
      </c>
      <c r="T13" s="23" t="inlineStr">
        <is>
          <t>High</t>
        </is>
      </c>
      <c r="U13" s="23" t="inlineStr">
        <is>
          <t>On site: started 2022-09</t>
        </is>
      </c>
      <c r="V13" s="23" t="n">
        <v>0</v>
      </c>
      <c r="W13" s="23" t="n">
        <v>0.7</v>
      </c>
      <c r="X13" s="23" t="n">
        <v>2.3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</row>
    <row r="14">
      <c r="A14" s="23" t="inlineStr">
        <is>
          <t>1326040</t>
        </is>
      </c>
      <c r="B14" s="23" t="inlineStr">
        <is>
          <t>2460004</t>
        </is>
      </c>
      <c r="C14" s="23" t="inlineStr">
        <is>
          <t xml:space="preserve">€755k - Change of Use to 3 Apartments </t>
        </is>
      </c>
      <c r="D14" s="23" t="inlineStr">
        <is>
          <t>City Centre</t>
        </is>
      </c>
      <c r="E14" s="23" t="inlineStr">
        <is>
          <t>Other County Limerick</t>
        </is>
      </c>
      <c r="F14" s="23" t="inlineStr">
        <is>
          <t>Audit land – edge (check)</t>
        </is>
      </c>
      <c r="G14" s="23" t="inlineStr">
        <is>
          <t>CITY-95</t>
        </is>
      </c>
      <c r="H14" s="23" t="inlineStr">
        <is>
          <t>Private</t>
        </is>
      </c>
      <c r="I14" s="23" t="inlineStr">
        <is>
          <t>Market (incl. Part V)</t>
        </is>
      </c>
      <c r="J14" s="23" t="inlineStr">
        <is>
          <t>Standard planning application</t>
        </is>
      </c>
      <c r="K14" s="23" t="inlineStr">
        <is>
          <t>Under construction</t>
        </is>
      </c>
      <c r="L14" s="23" t="inlineStr">
        <is>
          <t>On Site</t>
        </is>
      </c>
      <c r="M14" s="23" t="n">
        <v>3</v>
      </c>
      <c r="N14" s="23" t="n"/>
      <c r="O14" s="23" t="inlineStr">
        <is>
          <t>2024-03-27</t>
        </is>
      </c>
      <c r="P14" s="23" t="inlineStr">
        <is>
          <t>2024-12-30</t>
        </is>
      </c>
      <c r="Q14" s="23" t="inlineStr">
        <is>
          <t>2029-03-26</t>
        </is>
      </c>
      <c r="R14" s="23" t="inlineStr">
        <is>
          <t>2024 Q4</t>
        </is>
      </c>
      <c r="S14" s="23" t="inlineStr">
        <is>
          <t>2027 Q4</t>
        </is>
      </c>
      <c r="T14" s="23" t="inlineStr">
        <is>
          <t>High</t>
        </is>
      </c>
      <c r="U14" s="23" t="inlineStr">
        <is>
          <t>On site: started 2024-12</t>
        </is>
      </c>
      <c r="V14" s="23" t="n">
        <v>0</v>
      </c>
      <c r="W14" s="23" t="n">
        <v>0.7</v>
      </c>
      <c r="X14" s="23" t="n">
        <v>2.3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</row>
    <row r="15">
      <c r="A15" s="23" t="inlineStr">
        <is>
          <t>1292276</t>
        </is>
      </c>
      <c r="B15" s="23" t="inlineStr">
        <is>
          <t>23283</t>
        </is>
      </c>
      <c r="C15" s="23" t="inlineStr">
        <is>
          <t xml:space="preserve">€907k - Change of Use to 4 Apartments </t>
        </is>
      </c>
      <c r="D15" s="23" t="inlineStr">
        <is>
          <t>City Centre</t>
        </is>
      </c>
      <c r="E15" s="23" t="inlineStr">
        <is>
          <t>Other County Limerick</t>
        </is>
      </c>
      <c r="F15" s="23" t="inlineStr">
        <is>
          <t>Audit land – edge (check)</t>
        </is>
      </c>
      <c r="G15" s="23" t="inlineStr">
        <is>
          <t>CITY-104</t>
        </is>
      </c>
      <c r="H15" s="23" t="inlineStr">
        <is>
          <t>Public – AHB</t>
        </is>
      </c>
      <c r="I15" s="23" t="inlineStr">
        <is>
          <t>Social</t>
        </is>
      </c>
      <c r="J15" s="23" t="inlineStr">
        <is>
          <t>Standard planning application</t>
        </is>
      </c>
      <c r="K15" s="23" t="inlineStr">
        <is>
          <t>Not started – permission live</t>
        </is>
      </c>
      <c r="L15" s="23" t="inlineStr">
        <is>
          <t>Permission Granted</t>
        </is>
      </c>
      <c r="M15" s="23" t="n">
        <v>4</v>
      </c>
      <c r="N15" s="23" t="n"/>
      <c r="O15" s="23" t="inlineStr">
        <is>
          <t>2023-08-16</t>
        </is>
      </c>
      <c r="P15" s="23" t="n"/>
      <c r="Q15" s="23" t="inlineStr">
        <is>
          <t>2028-08-15</t>
        </is>
      </c>
      <c r="R15" s="23" t="inlineStr">
        <is>
          <t>2027 Q3</t>
        </is>
      </c>
      <c r="S15" s="23" t="inlineStr">
        <is>
          <t>2029 Q2</t>
        </is>
      </c>
      <c r="T15" s="23" t="inlineStr">
        <is>
          <t>Low</t>
        </is>
      </c>
      <c r="U15" s="23" t="inlineStr">
        <is>
          <t>Permitted 2023-08, past typical start date with no commencement: start assumed in 9 months</t>
        </is>
      </c>
      <c r="V15" s="23" t="n">
        <v>0</v>
      </c>
      <c r="W15" s="23" t="n">
        <v>0</v>
      </c>
      <c r="X15" s="23" t="n">
        <v>0</v>
      </c>
      <c r="Y15" s="23" t="n">
        <v>2.5</v>
      </c>
      <c r="Z15" s="23" t="n">
        <v>1.5</v>
      </c>
      <c r="AA15" s="23" t="n">
        <v>0</v>
      </c>
      <c r="AB15" s="23" t="n">
        <v>0</v>
      </c>
      <c r="AC15" s="23" t="n">
        <v>0</v>
      </c>
    </row>
    <row r="16">
      <c r="A16" s="23" t="inlineStr">
        <is>
          <t>1063948</t>
        </is>
      </c>
      <c r="B16" s="23" t="inlineStr">
        <is>
          <t>Part 8 - 1063948</t>
        </is>
      </c>
      <c r="C16" s="23" t="inlineStr">
        <is>
          <t>€9m - Rapid Housing Delivery</t>
        </is>
      </c>
      <c r="D16" s="23" t="inlineStr">
        <is>
          <t>Caherdavin</t>
        </is>
      </c>
      <c r="E16" s="23" t="inlineStr">
        <is>
          <t>Other County Limerick</t>
        </is>
      </c>
      <c r="F16" s="23" t="inlineStr">
        <is>
          <t>Audit land – edge (check)</t>
        </is>
      </c>
      <c r="G16" s="23" t="inlineStr">
        <is>
          <t>CITY-13</t>
        </is>
      </c>
      <c r="H16" s="23" t="inlineStr">
        <is>
          <t>Public – local authority</t>
        </is>
      </c>
      <c r="I16" s="23" t="inlineStr">
        <is>
          <t>Social</t>
        </is>
      </c>
      <c r="J16" s="23" t="inlineStr">
        <is>
          <t>Part 8 / council</t>
        </is>
      </c>
      <c r="K16" s="23" t="inlineStr">
        <is>
          <t>Under construction</t>
        </is>
      </c>
      <c r="L16" s="23" t="inlineStr">
        <is>
          <t>On Site</t>
        </is>
      </c>
      <c r="M16" s="23" t="n">
        <v>38</v>
      </c>
      <c r="N16" s="23" t="n"/>
      <c r="O16" s="23" t="inlineStr">
        <is>
          <t>2019-12-06</t>
        </is>
      </c>
      <c r="P16" s="23" t="inlineStr">
        <is>
          <t>2021-04-22</t>
        </is>
      </c>
      <c r="Q16" s="23" t="n"/>
      <c r="R16" s="23" t="inlineStr">
        <is>
          <t>2021 Q2</t>
        </is>
      </c>
      <c r="S16" s="23" t="inlineStr">
        <is>
          <t>2027 Q4</t>
        </is>
      </c>
      <c r="T16" s="23" t="inlineStr">
        <is>
          <t>High</t>
        </is>
      </c>
      <c r="U16" s="23" t="inlineStr">
        <is>
          <t>On site: started 2021-04</t>
        </is>
      </c>
      <c r="V16" s="23" t="n">
        <v>0</v>
      </c>
      <c r="W16" s="23" t="n">
        <v>8.800000000000001</v>
      </c>
      <c r="X16" s="23" t="n">
        <v>29.2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</row>
    <row r="17">
      <c r="A17" s="23" t="inlineStr">
        <is>
          <t>1045472</t>
        </is>
      </c>
      <c r="B17" s="23" t="inlineStr">
        <is>
          <t>188001</t>
        </is>
      </c>
      <c r="C17" s="23" t="inlineStr">
        <is>
          <t>€3m - Residential Development, Mulgrave Street</t>
        </is>
      </c>
      <c r="D17" s="23" t="inlineStr">
        <is>
          <t>City Centre</t>
        </is>
      </c>
      <c r="E17" s="23" t="inlineStr">
        <is>
          <t>Other County Limerick</t>
        </is>
      </c>
      <c r="F17" s="23" t="inlineStr">
        <is>
          <t>Audit land – edge (check)</t>
        </is>
      </c>
      <c r="G17" s="23" t="inlineStr">
        <is>
          <t>CITY-107</t>
        </is>
      </c>
      <c r="H17" s="23" t="inlineStr">
        <is>
          <t>Public – local authority</t>
        </is>
      </c>
      <c r="I17" s="23" t="inlineStr">
        <is>
          <t>Social</t>
        </is>
      </c>
      <c r="J17" s="23" t="inlineStr">
        <is>
          <t>Part 8 / council</t>
        </is>
      </c>
      <c r="K17" s="23" t="inlineStr">
        <is>
          <t>Complete</t>
        </is>
      </c>
      <c r="L17" s="23" t="inlineStr">
        <is>
          <t>Complete</t>
        </is>
      </c>
      <c r="M17" s="23" t="n">
        <v>14</v>
      </c>
      <c r="N17" s="23" t="n"/>
      <c r="O17" s="23" t="inlineStr">
        <is>
          <t>2018-05-16</t>
        </is>
      </c>
      <c r="P17" s="23" t="inlineStr">
        <is>
          <t>2020-02-10</t>
        </is>
      </c>
      <c r="Q17" s="23" t="n"/>
      <c r="R17" s="23" t="n"/>
      <c r="S17" s="23" t="n"/>
      <c r="T17" s="23" t="inlineStr">
        <is>
          <t>Delivered</t>
        </is>
      </c>
      <c r="U17" s="23" t="inlineStr">
        <is>
          <t>Complete (CIS)</t>
        </is>
      </c>
      <c r="V17" s="23" t="n">
        <v>14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</row>
    <row r="18">
      <c r="A18" s="23" t="inlineStr">
        <is>
          <t>REG-178017</t>
        </is>
      </c>
      <c r="B18" s="23" t="inlineStr">
        <is>
          <t>178017</t>
        </is>
      </c>
      <c r="C18" s="23" t="inlineStr">
        <is>
          <t xml:space="preserve">Part 8: (a) Provision of 13 no. residential terraced units (11 no. two storey </t>
        </is>
      </c>
      <c r="D18" s="23" t="inlineStr">
        <is>
          <t>City Centre</t>
        </is>
      </c>
      <c r="E18" s="23" t="inlineStr">
        <is>
          <t>Limerick City and Suburbs</t>
        </is>
      </c>
      <c r="F18" s="23" t="inlineStr">
        <is>
          <t>Audit land – edge (check)</t>
        </is>
      </c>
      <c r="G18" s="23" t="inlineStr">
        <is>
          <t>CITY-107</t>
        </is>
      </c>
      <c r="H18" s="23" t="inlineStr">
        <is>
          <t>Public – local authority</t>
        </is>
      </c>
      <c r="I18" s="23" t="inlineStr">
        <is>
          <t>Social</t>
        </is>
      </c>
      <c r="J18" s="23" t="inlineStr">
        <is>
          <t>Part 8 / council</t>
        </is>
      </c>
      <c r="K18" s="23" t="inlineStr">
        <is>
          <t>Under construction</t>
        </is>
      </c>
      <c r="L18" s="23" t="inlineStr">
        <is>
          <t>Commenced (building control)</t>
        </is>
      </c>
      <c r="M18" s="23" t="n">
        <v>13</v>
      </c>
      <c r="N18" s="23" t="n"/>
      <c r="O18" s="23" t="n"/>
      <c r="P18" s="23" t="inlineStr">
        <is>
          <t>2019-05-15</t>
        </is>
      </c>
      <c r="Q18" s="23" t="n"/>
      <c r="R18" s="23" t="inlineStr">
        <is>
          <t>2019 Q2</t>
        </is>
      </c>
      <c r="S18" s="23" t="inlineStr">
        <is>
          <t>2027 Q4</t>
        </is>
      </c>
      <c r="T18" s="23" t="inlineStr">
        <is>
          <t>High</t>
        </is>
      </c>
      <c r="U18" s="23" t="inlineStr">
        <is>
          <t>On site: started 2019-05</t>
        </is>
      </c>
      <c r="V18" s="23" t="n">
        <v>0</v>
      </c>
      <c r="W18" s="23" t="n">
        <v>3</v>
      </c>
      <c r="X18" s="23" t="n">
        <v>10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</row>
    <row r="19">
      <c r="A19" s="23" t="inlineStr">
        <is>
          <t>1264155</t>
        </is>
      </c>
      <c r="B19" s="23" t="inlineStr">
        <is>
          <t>Part 8 - 1264155</t>
        </is>
      </c>
      <c r="C19" s="23" t="inlineStr">
        <is>
          <t>€590k - Residential Development / Living Georgian Project, 58 O’Connell Street</t>
        </is>
      </c>
      <c r="D19" s="23" t="inlineStr">
        <is>
          <t>City Centre</t>
        </is>
      </c>
      <c r="E19" s="23" t="inlineStr">
        <is>
          <t>Other County Limerick</t>
        </is>
      </c>
      <c r="F19" s="23" t="inlineStr">
        <is>
          <t>Audit land – edge (check)</t>
        </is>
      </c>
      <c r="G19" s="23" t="inlineStr">
        <is>
          <t>CITY-93</t>
        </is>
      </c>
      <c r="H19" s="23" t="inlineStr">
        <is>
          <t>Public – local authority</t>
        </is>
      </c>
      <c r="I19" s="23" t="inlineStr">
        <is>
          <t>Social</t>
        </is>
      </c>
      <c r="J19" s="23" t="inlineStr">
        <is>
          <t>Part 8 / council</t>
        </is>
      </c>
      <c r="K19" s="23" t="inlineStr">
        <is>
          <t>Not started – permission live</t>
        </is>
      </c>
      <c r="L19" s="23" t="inlineStr">
        <is>
          <t>Permission Granted</t>
        </is>
      </c>
      <c r="M19" s="23" t="n">
        <v>8</v>
      </c>
      <c r="N19" s="23" t="n"/>
      <c r="O19" s="23" t="inlineStr">
        <is>
          <t>2022-04-08</t>
        </is>
      </c>
      <c r="P19" s="23" t="n"/>
      <c r="Q19" s="23" t="n"/>
      <c r="R19" s="23" t="inlineStr">
        <is>
          <t>2027 Q3</t>
        </is>
      </c>
      <c r="S19" s="23" t="inlineStr">
        <is>
          <t>2029 Q3</t>
        </is>
      </c>
      <c r="T19" s="23" t="inlineStr">
        <is>
          <t>Low</t>
        </is>
      </c>
      <c r="U19" s="23" t="inlineStr">
        <is>
          <t>Permitted 2022-04, past typical start date with no commencement: start assumed in 9 months</t>
        </is>
      </c>
      <c r="V19" s="23" t="n">
        <v>0</v>
      </c>
      <c r="W19" s="23" t="n">
        <v>0</v>
      </c>
      <c r="X19" s="23" t="n">
        <v>0</v>
      </c>
      <c r="Y19" s="23" t="n">
        <v>4</v>
      </c>
      <c r="Z19" s="23" t="n">
        <v>4</v>
      </c>
      <c r="AA19" s="23" t="n">
        <v>0</v>
      </c>
      <c r="AB19" s="23" t="n">
        <v>0</v>
      </c>
      <c r="AC19" s="23" t="n">
        <v>0</v>
      </c>
    </row>
    <row r="20">
      <c r="A20" s="23" t="inlineStr">
        <is>
          <t>1412368</t>
        </is>
      </c>
      <c r="B20" s="23" t="inlineStr">
        <is>
          <t>PT8LL277</t>
        </is>
      </c>
      <c r="C20" s="23" t="inlineStr">
        <is>
          <t>€1.5m - 5 Residential Units, Limerick</t>
        </is>
      </c>
      <c r="D20" s="23" t="inlineStr">
        <is>
          <t>Southhill</t>
        </is>
      </c>
      <c r="E20" s="23" t="inlineStr">
        <is>
          <t>Limerick City and Suburbs</t>
        </is>
      </c>
      <c r="F20" s="23" t="inlineStr">
        <is>
          <t>Audit land – edge (check)</t>
        </is>
      </c>
      <c r="G20" s="23" t="inlineStr">
        <is>
          <t>CITY-111</t>
        </is>
      </c>
      <c r="H20" s="23" t="inlineStr">
        <is>
          <t>Public – local authority</t>
        </is>
      </c>
      <c r="I20" s="23" t="inlineStr">
        <is>
          <t>Social</t>
        </is>
      </c>
      <c r="J20" s="23" t="inlineStr">
        <is>
          <t>Part 8 / council</t>
        </is>
      </c>
      <c r="K20" s="23" t="inlineStr">
        <is>
          <t>Not started – permission live</t>
        </is>
      </c>
      <c r="L20" s="23" t="inlineStr">
        <is>
          <t>Tender</t>
        </is>
      </c>
      <c r="M20" s="23" t="n">
        <v>5</v>
      </c>
      <c r="N20" s="23" t="n"/>
      <c r="O20" s="23" t="inlineStr">
        <is>
          <t>2025-12-15</t>
        </is>
      </c>
      <c r="P20" s="23" t="n"/>
      <c r="Q20" s="23" t="n"/>
      <c r="R20" s="23" t="inlineStr">
        <is>
          <t>2027 Q2</t>
        </is>
      </c>
      <c r="S20" s="23" t="inlineStr">
        <is>
          <t>2029 Q1</t>
        </is>
      </c>
      <c r="T20" s="23" t="inlineStr">
        <is>
          <t>Medium</t>
        </is>
      </c>
      <c r="U20" s="23" t="inlineStr">
        <is>
          <t>At tender (CIS): start assumed in 6–12 months</t>
        </is>
      </c>
      <c r="V20" s="23" t="n">
        <v>0</v>
      </c>
      <c r="W20" s="23" t="n">
        <v>0</v>
      </c>
      <c r="X20" s="23" t="n">
        <v>0</v>
      </c>
      <c r="Y20" s="23" t="n">
        <v>4.4</v>
      </c>
      <c r="Z20" s="23" t="n">
        <v>0.6</v>
      </c>
      <c r="AA20" s="23" t="n">
        <v>0</v>
      </c>
      <c r="AB20" s="23" t="n">
        <v>0</v>
      </c>
      <c r="AC20" s="23" t="n">
        <v>0</v>
      </c>
    </row>
    <row r="21">
      <c r="A21" s="23" t="inlineStr">
        <is>
          <t>1378081</t>
        </is>
      </c>
      <c r="B21" s="23" t="inlineStr">
        <is>
          <t>Part 8 - 1378081</t>
        </is>
      </c>
      <c r="C21" s="23" t="inlineStr">
        <is>
          <t>€879k - 4 Houses</t>
        </is>
      </c>
      <c r="D21" s="23" t="inlineStr">
        <is>
          <t>Southhill</t>
        </is>
      </c>
      <c r="E21" s="23" t="inlineStr">
        <is>
          <t>Limerick City and Suburbs</t>
        </is>
      </c>
      <c r="F21" s="23" t="inlineStr">
        <is>
          <t>Audit land – edge (check)</t>
        </is>
      </c>
      <c r="G21" s="23" t="inlineStr">
        <is>
          <t>CITY-127</t>
        </is>
      </c>
      <c r="H21" s="23" t="inlineStr">
        <is>
          <t>Public – local authority</t>
        </is>
      </c>
      <c r="I21" s="23" t="inlineStr">
        <is>
          <t>Social</t>
        </is>
      </c>
      <c r="J21" s="23" t="inlineStr">
        <is>
          <t>Part 8 / council</t>
        </is>
      </c>
      <c r="K21" s="23" t="inlineStr">
        <is>
          <t>In planning</t>
        </is>
      </c>
      <c r="L21" s="23" t="inlineStr">
        <is>
          <t>Plans Submitted</t>
        </is>
      </c>
      <c r="M21" s="23" t="n">
        <v>4</v>
      </c>
      <c r="N21" s="23" t="n"/>
      <c r="O21" s="23" t="n"/>
      <c r="P21" s="23" t="n"/>
      <c r="Q21" s="23" t="n"/>
      <c r="R21" s="23" t="n"/>
      <c r="S21" s="23" t="n"/>
      <c r="T21" s="23" t="inlineStr">
        <is>
          <t>Not projected</t>
        </is>
      </c>
      <c r="U21" s="23" t="inlineStr">
        <is>
          <t>Not yet decided – not projected</t>
        </is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4</v>
      </c>
    </row>
    <row r="22">
      <c r="A22" s="23" t="inlineStr">
        <is>
          <t>REG-198008</t>
        </is>
      </c>
      <c r="B22" s="23" t="inlineStr">
        <is>
          <t>198008</t>
        </is>
      </c>
      <c r="C22" s="23" t="inlineStr">
        <is>
          <t>Part 8: (a) provision of 3 no. residential two-storey terraced units comprisin</t>
        </is>
      </c>
      <c r="D22" s="23" t="inlineStr">
        <is>
          <t>City Centre</t>
        </is>
      </c>
      <c r="E22" s="23" t="inlineStr">
        <is>
          <t>Limerick City and Suburbs</t>
        </is>
      </c>
      <c r="F22" s="23" t="inlineStr">
        <is>
          <t>Audit land – edge (check)</t>
        </is>
      </c>
      <c r="G22" s="23" t="inlineStr">
        <is>
          <t>CITY-108</t>
        </is>
      </c>
      <c r="H22" s="23" t="inlineStr">
        <is>
          <t>Public – local authority</t>
        </is>
      </c>
      <c r="I22" s="23" t="inlineStr">
        <is>
          <t>Social</t>
        </is>
      </c>
      <c r="J22" s="23" t="inlineStr">
        <is>
          <t>Part 8 / council</t>
        </is>
      </c>
      <c r="K22" s="23" t="inlineStr">
        <is>
          <t>Under construction</t>
        </is>
      </c>
      <c r="L22" s="23" t="inlineStr">
        <is>
          <t>Commenced (building control)</t>
        </is>
      </c>
      <c r="M22" s="23" t="n">
        <v>3</v>
      </c>
      <c r="N22" s="23" t="n"/>
      <c r="O22" s="23" t="inlineStr">
        <is>
          <t>2019-12-12</t>
        </is>
      </c>
      <c r="P22" s="23" t="inlineStr">
        <is>
          <t>2020-04-21</t>
        </is>
      </c>
      <c r="Q22" s="23" t="n"/>
      <c r="R22" s="23" t="inlineStr">
        <is>
          <t>2020 Q2</t>
        </is>
      </c>
      <c r="S22" s="23" t="inlineStr">
        <is>
          <t>2027 Q4</t>
        </is>
      </c>
      <c r="T22" s="23" t="inlineStr">
        <is>
          <t>High</t>
        </is>
      </c>
      <c r="U22" s="23" t="inlineStr">
        <is>
          <t>On site: started 2020-04</t>
        </is>
      </c>
      <c r="V22" s="23" t="n">
        <v>0</v>
      </c>
      <c r="W22" s="23" t="n">
        <v>0.7</v>
      </c>
      <c r="X22" s="23" t="n">
        <v>2.3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</row>
    <row r="23">
      <c r="A23" s="23" t="inlineStr">
        <is>
          <t>1417205</t>
        </is>
      </c>
      <c r="B23" s="23" t="inlineStr"/>
      <c r="C23" s="23" t="inlineStr">
        <is>
          <t>€1.4m - Architect Led Integrated Design Team for College Avenue Infill Housing Scheme,  Moyross</t>
        </is>
      </c>
      <c r="D23" s="23" t="inlineStr">
        <is>
          <t>Caherdavin</t>
        </is>
      </c>
      <c r="E23" s="23" t="inlineStr">
        <is>
          <t>Limerick City and Suburbs</t>
        </is>
      </c>
      <c r="F23" s="23" t="inlineStr">
        <is>
          <t>Audit land – edge (check)</t>
        </is>
      </c>
      <c r="G23" s="23" t="inlineStr">
        <is>
          <t>CITY-14</t>
        </is>
      </c>
      <c r="H23" s="23" t="inlineStr">
        <is>
          <t>Public – local authority</t>
        </is>
      </c>
      <c r="I23" s="23" t="inlineStr">
        <is>
          <t>Social</t>
        </is>
      </c>
      <c r="J23" s="23" t="inlineStr">
        <is>
          <t>Standard planning application</t>
        </is>
      </c>
      <c r="K23" s="23" t="inlineStr">
        <is>
          <t>Not started – permission live</t>
        </is>
      </c>
      <c r="L23" s="23" t="inlineStr">
        <is>
          <t>Contract Awarded</t>
        </is>
      </c>
      <c r="M23" s="23" t="n">
        <v>0</v>
      </c>
      <c r="N23" s="23" t="n"/>
      <c r="O23" s="23" t="n"/>
      <c r="P23" s="23" t="n"/>
      <c r="Q23" s="23" t="n"/>
      <c r="R23" s="23" t="n"/>
      <c r="S23" s="23" t="n"/>
      <c r="T23" s="23" t="inlineStr">
        <is>
          <t>Not projected</t>
        </is>
      </c>
      <c r="U23" s="23" t="inlineStr">
        <is>
          <t>No units</t>
        </is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</row>
    <row r="24">
      <c r="A24" s="23" t="inlineStr">
        <is>
          <t>1446288</t>
        </is>
      </c>
      <c r="B24" s="23" t="inlineStr">
        <is>
          <t>2660241</t>
        </is>
      </c>
      <c r="C24" s="23" t="inlineStr">
        <is>
          <t>€125.6m - Large Residential Development, Castletroy</t>
        </is>
      </c>
      <c r="D24" s="23" t="inlineStr">
        <is>
          <t>Castletroy/Annacotty</t>
        </is>
      </c>
      <c r="E24" s="23" t="inlineStr">
        <is>
          <t>Limerick City and Suburbs</t>
        </is>
      </c>
      <c r="F24" s="23" t="inlineStr">
        <is>
          <t>Audit land – within site</t>
        </is>
      </c>
      <c r="G24" s="23" t="inlineStr">
        <is>
          <t>CITY-57</t>
        </is>
      </c>
      <c r="H24" s="23" t="inlineStr">
        <is>
          <t>Private</t>
        </is>
      </c>
      <c r="I24" s="23" t="inlineStr">
        <is>
          <t>Market (incl. Part V)</t>
        </is>
      </c>
      <c r="J24" s="23" t="inlineStr">
        <is>
          <t>LRD</t>
        </is>
      </c>
      <c r="K24" s="23" t="inlineStr">
        <is>
          <t>Not started – permission live</t>
        </is>
      </c>
      <c r="L24" s="23" t="inlineStr">
        <is>
          <t>Permission Granted</t>
        </is>
      </c>
      <c r="M24" s="23" t="n">
        <v>523</v>
      </c>
      <c r="N24" s="23" t="n"/>
      <c r="O24" s="23" t="inlineStr">
        <is>
          <t>2026-04-28</t>
        </is>
      </c>
      <c r="P24" s="23" t="n"/>
      <c r="Q24" s="23" t="inlineStr">
        <is>
          <t>2031-09-01</t>
        </is>
      </c>
      <c r="R24" s="23" t="inlineStr">
        <is>
          <t>2028 Q1</t>
        </is>
      </c>
      <c r="S24" s="23" t="inlineStr">
        <is>
          <t>2038 Q2</t>
        </is>
      </c>
      <c r="T24" s="23" t="inlineStr">
        <is>
          <t>Medium</t>
        </is>
      </c>
      <c r="U24" s="23" t="inlineStr">
        <is>
          <t>Permitted 2026-04; typical start 1.7 yrs after grant</t>
        </is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53.2</v>
      </c>
      <c r="AA24" s="23" t="n">
        <v>55.6</v>
      </c>
      <c r="AB24" s="23" t="n">
        <v>414.2</v>
      </c>
      <c r="AC24" s="23" t="n">
        <v>0</v>
      </c>
    </row>
    <row r="25">
      <c r="A25" s="23" t="inlineStr">
        <is>
          <t>1423228</t>
        </is>
      </c>
      <c r="B25" s="23" t="inlineStr">
        <is>
          <t>2660089</t>
        </is>
      </c>
      <c r="C25" s="23" t="inlineStr">
        <is>
          <t>€42m - Large Residential Development, Castletroy</t>
        </is>
      </c>
      <c r="D25" s="23" t="inlineStr">
        <is>
          <t>Castletroy/Annacotty</t>
        </is>
      </c>
      <c r="E25" s="23" t="inlineStr">
        <is>
          <t>Limerick City and Suburbs</t>
        </is>
      </c>
      <c r="F25" s="23" t="inlineStr">
        <is>
          <t>Audit land – within site</t>
        </is>
      </c>
      <c r="G25" s="23" t="inlineStr">
        <is>
          <t>CITY-71</t>
        </is>
      </c>
      <c r="H25" s="23" t="inlineStr">
        <is>
          <t>Private</t>
        </is>
      </c>
      <c r="I25" s="23" t="inlineStr">
        <is>
          <t>Student (PBSA)</t>
        </is>
      </c>
      <c r="J25" s="23" t="inlineStr">
        <is>
          <t>LRD</t>
        </is>
      </c>
      <c r="K25" s="23" t="inlineStr">
        <is>
          <t>Not started – permission live</t>
        </is>
      </c>
      <c r="L25" s="23" t="inlineStr">
        <is>
          <t>Permission Granted</t>
        </is>
      </c>
      <c r="M25" s="23" t="n">
        <v>465</v>
      </c>
      <c r="N25" s="23" t="n">
        <v>309</v>
      </c>
      <c r="O25" s="23" t="inlineStr">
        <is>
          <t>2026-07-22</t>
        </is>
      </c>
      <c r="P25" s="23" t="n"/>
      <c r="Q25" s="23" t="inlineStr">
        <is>
          <t>2031-07-21</t>
        </is>
      </c>
      <c r="R25" s="23" t="inlineStr">
        <is>
          <t>2028 Q2</t>
        </is>
      </c>
      <c r="S25" s="23" t="inlineStr">
        <is>
          <t>2037 Q3</t>
        </is>
      </c>
      <c r="T25" s="23" t="inlineStr">
        <is>
          <t>Medium</t>
        </is>
      </c>
      <c r="U25" s="23" t="inlineStr">
        <is>
          <t>Permitted 2026-07; typical start 1.7 yrs after grant</t>
        </is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40.8</v>
      </c>
      <c r="AA25" s="23" t="n">
        <v>56.4</v>
      </c>
      <c r="AB25" s="23" t="n">
        <v>367.8</v>
      </c>
      <c r="AC25" s="23" t="n">
        <v>0</v>
      </c>
    </row>
    <row r="26">
      <c r="A26" s="23" t="inlineStr">
        <is>
          <t>1437215</t>
        </is>
      </c>
      <c r="B26" s="23" t="inlineStr">
        <is>
          <t>2660603</t>
        </is>
      </c>
      <c r="C26" s="23" t="inlineStr">
        <is>
          <t>€84m - Parkway Valley LRD, Singland</t>
        </is>
      </c>
      <c r="D26" s="23" t="inlineStr">
        <is>
          <t>Southhill</t>
        </is>
      </c>
      <c r="E26" s="23" t="inlineStr">
        <is>
          <t>Other County Limerick</t>
        </is>
      </c>
      <c r="F26" s="23" t="inlineStr">
        <is>
          <t>Audit land – within site</t>
        </is>
      </c>
      <c r="G26" s="23" t="inlineStr">
        <is>
          <t>CITY-76</t>
        </is>
      </c>
      <c r="H26" s="23" t="inlineStr">
        <is>
          <t>Private</t>
        </is>
      </c>
      <c r="I26" s="23" t="inlineStr">
        <is>
          <t>Market (incl. Part V)</t>
        </is>
      </c>
      <c r="J26" s="23" t="inlineStr">
        <is>
          <t>LRD</t>
        </is>
      </c>
      <c r="K26" s="23" t="inlineStr">
        <is>
          <t>Not started – permission live</t>
        </is>
      </c>
      <c r="L26" s="23" t="inlineStr">
        <is>
          <t>Permission Granted</t>
        </is>
      </c>
      <c r="M26" s="23" t="n">
        <v>403</v>
      </c>
      <c r="N26" s="23" t="n"/>
      <c r="O26" s="23" t="inlineStr">
        <is>
          <t>2026-07-22</t>
        </is>
      </c>
      <c r="P26" s="23" t="n"/>
      <c r="Q26" s="23" t="inlineStr">
        <is>
          <t>2031-07-22</t>
        </is>
      </c>
      <c r="R26" s="23" t="inlineStr">
        <is>
          <t>2028 Q2</t>
        </is>
      </c>
      <c r="S26" s="23" t="inlineStr">
        <is>
          <t>2036 Q2</t>
        </is>
      </c>
      <c r="T26" s="23" t="inlineStr">
        <is>
          <t>Medium</t>
        </is>
      </c>
      <c r="U26" s="23" t="inlineStr">
        <is>
          <t>Permitted 2026-07; typical start 1.7 yrs after grant</t>
        </is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41.6</v>
      </c>
      <c r="AA26" s="23" t="n">
        <v>57.4</v>
      </c>
      <c r="AB26" s="23" t="n">
        <v>304</v>
      </c>
      <c r="AC26" s="23" t="n">
        <v>0</v>
      </c>
    </row>
    <row r="27">
      <c r="A27" s="23" t="inlineStr">
        <is>
          <t>1221693</t>
        </is>
      </c>
      <c r="B27" s="23" t="inlineStr">
        <is>
          <t>ABPREF313124</t>
        </is>
      </c>
      <c r="C27" s="23" t="inlineStr">
        <is>
          <t>€76m - Residential Development, Raheen</t>
        </is>
      </c>
      <c r="D27" s="23" t="inlineStr">
        <is>
          <t>Dooradoyle</t>
        </is>
      </c>
      <c r="E27" s="23" t="inlineStr">
        <is>
          <t>Limerick City and Suburbs</t>
        </is>
      </c>
      <c r="F27" s="23" t="inlineStr">
        <is>
          <t>Audit land – within site</t>
        </is>
      </c>
      <c r="G27" s="23" t="inlineStr">
        <is>
          <t>CITY-136</t>
        </is>
      </c>
      <c r="H27" s="23" t="inlineStr">
        <is>
          <t>Private</t>
        </is>
      </c>
      <c r="I27" s="23" t="inlineStr">
        <is>
          <t>Market (incl. Part V)</t>
        </is>
      </c>
      <c r="J27" s="23" t="inlineStr">
        <is>
          <t>SHD (An Bord Pleanála)</t>
        </is>
      </c>
      <c r="K27" s="23" t="inlineStr">
        <is>
          <t>Under construction</t>
        </is>
      </c>
      <c r="L27" s="23" t="inlineStr">
        <is>
          <t>Commencement Expected</t>
        </is>
      </c>
      <c r="M27" s="23" t="n">
        <v>384</v>
      </c>
      <c r="N27" s="23" t="n"/>
      <c r="O27" s="23" t="inlineStr">
        <is>
          <t>2022-06-30</t>
        </is>
      </c>
      <c r="P27" s="23" t="inlineStr">
        <is>
          <t>2024-04-24</t>
        </is>
      </c>
      <c r="Q27" s="23" t="inlineStr">
        <is>
          <t>2032-06-29</t>
        </is>
      </c>
      <c r="R27" s="23" t="inlineStr">
        <is>
          <t>2024 Q2</t>
        </is>
      </c>
      <c r="S27" s="23" t="inlineStr">
        <is>
          <t>2031 Q4</t>
        </is>
      </c>
      <c r="T27" s="23" t="inlineStr">
        <is>
          <t>High</t>
        </is>
      </c>
      <c r="U27" s="23" t="inlineStr">
        <is>
          <t>On site: started 2024-04</t>
        </is>
      </c>
      <c r="V27" s="23" t="n">
        <v>0</v>
      </c>
      <c r="W27" s="23" t="n">
        <v>17.2</v>
      </c>
      <c r="X27" s="23" t="n">
        <v>74.09999999999999</v>
      </c>
      <c r="Y27" s="23" t="n">
        <v>74.09999999999999</v>
      </c>
      <c r="Z27" s="23" t="n">
        <v>74.09999999999999</v>
      </c>
      <c r="AA27" s="23" t="n">
        <v>74.09999999999999</v>
      </c>
      <c r="AB27" s="23" t="n">
        <v>70.40000000000001</v>
      </c>
      <c r="AC27" s="23" t="n">
        <v>0</v>
      </c>
    </row>
    <row r="28">
      <c r="A28" s="23" t="inlineStr">
        <is>
          <t>1194302</t>
        </is>
      </c>
      <c r="B28" s="23" t="inlineStr">
        <is>
          <t>ABPREF311588</t>
        </is>
      </c>
      <c r="C28" s="23" t="inlineStr">
        <is>
          <t xml:space="preserve">€66m - Greenpark SHD Residential Development, Dock Road, Limerick </t>
        </is>
      </c>
      <c r="D28" s="23" t="inlineStr">
        <is>
          <t>Ballinacurra</t>
        </is>
      </c>
      <c r="E28" s="23" t="inlineStr">
        <is>
          <t>Other County Limerick</t>
        </is>
      </c>
      <c r="F28" s="23" t="inlineStr">
        <is>
          <t>Audit land – within site</t>
        </is>
      </c>
      <c r="G28" s="23" t="inlineStr">
        <is>
          <t>CITY-133</t>
        </is>
      </c>
      <c r="H28" s="23" t="inlineStr">
        <is>
          <t>Private</t>
        </is>
      </c>
      <c r="I28" s="23" t="inlineStr">
        <is>
          <t>Market (incl. Part V)</t>
        </is>
      </c>
      <c r="J28" s="23" t="inlineStr">
        <is>
          <t>SHD (An Bord Pleanála)</t>
        </is>
      </c>
      <c r="K28" s="23" t="inlineStr">
        <is>
          <t>Under construction</t>
        </is>
      </c>
      <c r="L28" s="23" t="inlineStr">
        <is>
          <t>On Site</t>
        </is>
      </c>
      <c r="M28" s="23" t="n">
        <v>371</v>
      </c>
      <c r="N28" s="23" t="n"/>
      <c r="O28" s="23" t="inlineStr">
        <is>
          <t>2022-03-30</t>
        </is>
      </c>
      <c r="P28" s="23" t="inlineStr">
        <is>
          <t>2023-07-31</t>
        </is>
      </c>
      <c r="Q28" s="23" t="inlineStr">
        <is>
          <t>2027-03-29</t>
        </is>
      </c>
      <c r="R28" s="23" t="inlineStr">
        <is>
          <t>2023 Q3</t>
        </is>
      </c>
      <c r="S28" s="23" t="inlineStr">
        <is>
          <t>2030 Q4</t>
        </is>
      </c>
      <c r="T28" s="23" t="inlineStr">
        <is>
          <t>High</t>
        </is>
      </c>
      <c r="U28" s="23" t="inlineStr">
        <is>
          <t>On site: started 2023-07</t>
        </is>
      </c>
      <c r="V28" s="23" t="n">
        <v>0</v>
      </c>
      <c r="W28" s="23" t="n">
        <v>20.6</v>
      </c>
      <c r="X28" s="23" t="n">
        <v>88.5</v>
      </c>
      <c r="Y28" s="23" t="n">
        <v>88.5</v>
      </c>
      <c r="Z28" s="23" t="n">
        <v>88.5</v>
      </c>
      <c r="AA28" s="23" t="n">
        <v>84.90000000000001</v>
      </c>
      <c r="AB28" s="23" t="n">
        <v>0</v>
      </c>
      <c r="AC28" s="23" t="n">
        <v>0</v>
      </c>
    </row>
    <row r="29">
      <c r="A29" s="23" t="inlineStr">
        <is>
          <t>1428325</t>
        </is>
      </c>
      <c r="B29" s="23" t="inlineStr">
        <is>
          <t>2660275</t>
        </is>
      </c>
      <c r="C29" s="23" t="inlineStr">
        <is>
          <t>€42m - Large Residential Development,Limerick</t>
        </is>
      </c>
      <c r="D29" s="23" t="inlineStr">
        <is>
          <t>Castletroy/Annacotty</t>
        </is>
      </c>
      <c r="E29" s="23" t="inlineStr">
        <is>
          <t>Limerick City and Suburbs</t>
        </is>
      </c>
      <c r="F29" s="23" t="inlineStr">
        <is>
          <t>Audit land – within site</t>
        </is>
      </c>
      <c r="G29" s="23" t="inlineStr">
        <is>
          <t>CITY-72</t>
        </is>
      </c>
      <c r="H29" s="23" t="inlineStr">
        <is>
          <t>Private</t>
        </is>
      </c>
      <c r="I29" s="23" t="inlineStr">
        <is>
          <t>Market (incl. Part V)</t>
        </is>
      </c>
      <c r="J29" s="23" t="inlineStr">
        <is>
          <t>LRD</t>
        </is>
      </c>
      <c r="K29" s="23" t="inlineStr">
        <is>
          <t>Not started – permission live</t>
        </is>
      </c>
      <c r="L29" s="23" t="inlineStr">
        <is>
          <t>Permission Granted</t>
        </is>
      </c>
      <c r="M29" s="23" t="n">
        <v>212</v>
      </c>
      <c r="N29" s="23" t="n"/>
      <c r="O29" s="23" t="inlineStr">
        <is>
          <t>2026-09-23</t>
        </is>
      </c>
      <c r="P29" s="23" t="n"/>
      <c r="Q29" s="23" t="inlineStr">
        <is>
          <t>2031-09-22</t>
        </is>
      </c>
      <c r="R29" s="23" t="inlineStr">
        <is>
          <t>2028 Q2</t>
        </is>
      </c>
      <c r="S29" s="23" t="inlineStr">
        <is>
          <t>2032 Q3</t>
        </is>
      </c>
      <c r="T29" s="23" t="inlineStr">
        <is>
          <t>Medium</t>
        </is>
      </c>
      <c r="U29" s="23" t="inlineStr">
        <is>
          <t>Permitted 2026-09; typical start 1.7 yrs after grant</t>
        </is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36.4</v>
      </c>
      <c r="AA29" s="23" t="n">
        <v>65.90000000000001</v>
      </c>
      <c r="AB29" s="23" t="n">
        <v>109.7</v>
      </c>
      <c r="AC29" s="23" t="n">
        <v>0</v>
      </c>
    </row>
    <row r="30">
      <c r="A30" s="23" t="inlineStr">
        <is>
          <t>1389800</t>
        </is>
      </c>
      <c r="B30" s="23" t="inlineStr">
        <is>
          <t>2560113</t>
        </is>
      </c>
      <c r="C30" s="23" t="inlineStr">
        <is>
          <t>€87m - Student Accommodation, Castletroy</t>
        </is>
      </c>
      <c r="D30" s="23" t="inlineStr">
        <is>
          <t>Castletroy/Annacotty</t>
        </is>
      </c>
      <c r="E30" s="23" t="inlineStr">
        <is>
          <t>Limerick City and Suburbs</t>
        </is>
      </c>
      <c r="F30" s="23" t="inlineStr">
        <is>
          <t>Audit land – within site</t>
        </is>
      </c>
      <c r="G30" s="23" t="inlineStr">
        <is>
          <t>CITY-53</t>
        </is>
      </c>
      <c r="H30" s="23" t="inlineStr">
        <is>
          <t>Private</t>
        </is>
      </c>
      <c r="I30" s="23" t="inlineStr">
        <is>
          <t>Student (PBSA)</t>
        </is>
      </c>
      <c r="J30" s="23" t="inlineStr">
        <is>
          <t>LRD</t>
        </is>
      </c>
      <c r="K30" s="23" t="inlineStr">
        <is>
          <t>Not started – permission live</t>
        </is>
      </c>
      <c r="L30" s="23" t="inlineStr">
        <is>
          <t>Commencement Expected</t>
        </is>
      </c>
      <c r="M30" s="23" t="n">
        <v>196</v>
      </c>
      <c r="N30" s="23" t="n">
        <v>1400</v>
      </c>
      <c r="O30" s="23" t="inlineStr">
        <is>
          <t>2025-10-29</t>
        </is>
      </c>
      <c r="P30" s="23" t="n"/>
      <c r="Q30" s="23" t="inlineStr">
        <is>
          <t>2030-10-28</t>
        </is>
      </c>
      <c r="R30" s="23" t="inlineStr">
        <is>
          <t>2027 Q2</t>
        </is>
      </c>
      <c r="S30" s="23" t="inlineStr">
        <is>
          <t>2029 Q2</t>
        </is>
      </c>
      <c r="T30" s="23" t="inlineStr">
        <is>
          <t>Medium</t>
        </is>
      </c>
      <c r="U30" s="23" t="inlineStr">
        <is>
          <t>Commencement Expected (CIS): start assumed within 6 months; student block completes in one go</t>
        </is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196</v>
      </c>
      <c r="AA30" s="23" t="n">
        <v>0</v>
      </c>
      <c r="AB30" s="23" t="n">
        <v>0</v>
      </c>
      <c r="AC30" s="23" t="n">
        <v>0</v>
      </c>
    </row>
    <row r="31">
      <c r="A31" s="23" t="inlineStr">
        <is>
          <t>1432711</t>
        </is>
      </c>
      <c r="B31" s="23" t="inlineStr">
        <is>
          <t>2660396</t>
        </is>
      </c>
      <c r="C31" s="23" t="inlineStr">
        <is>
          <t>€39m - Large Residential Development, Mungret</t>
        </is>
      </c>
      <c r="D31" s="23" t="inlineStr">
        <is>
          <t>Dooradoyle</t>
        </is>
      </c>
      <c r="E31" s="23" t="inlineStr">
        <is>
          <t>Mungret</t>
        </is>
      </c>
      <c r="F31" s="23" t="inlineStr">
        <is>
          <t>Audit land – within site</t>
        </is>
      </c>
      <c r="G31" s="23" t="inlineStr">
        <is>
          <t>CITY-144</t>
        </is>
      </c>
      <c r="H31" s="23" t="inlineStr">
        <is>
          <t>Private</t>
        </is>
      </c>
      <c r="I31" s="23" t="inlineStr">
        <is>
          <t>Market (incl. Part V)</t>
        </is>
      </c>
      <c r="J31" s="23" t="inlineStr">
        <is>
          <t>LRD</t>
        </is>
      </c>
      <c r="K31" s="23" t="inlineStr">
        <is>
          <t>Not started – permission live</t>
        </is>
      </c>
      <c r="L31" s="23" t="inlineStr">
        <is>
          <t>Permission Granted</t>
        </is>
      </c>
      <c r="M31" s="23" t="n">
        <v>182</v>
      </c>
      <c r="N31" s="23" t="n"/>
      <c r="O31" s="23" t="inlineStr">
        <is>
          <t>2026-09-15</t>
        </is>
      </c>
      <c r="P31" s="23" t="n"/>
      <c r="Q31" s="23" t="inlineStr">
        <is>
          <t>2031-09-15</t>
        </is>
      </c>
      <c r="R31" s="23" t="inlineStr">
        <is>
          <t>2028 Q2</t>
        </is>
      </c>
      <c r="S31" s="23" t="inlineStr">
        <is>
          <t>2032 Q1</t>
        </is>
      </c>
      <c r="T31" s="23" t="inlineStr">
        <is>
          <t>Medium</t>
        </is>
      </c>
      <c r="U31" s="23" t="inlineStr">
        <is>
          <t>Permitted 2026-09; typical start 1.7 yrs after grant</t>
        </is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39.8</v>
      </c>
      <c r="AA31" s="23" t="n">
        <v>69.40000000000001</v>
      </c>
      <c r="AB31" s="23" t="n">
        <v>72.8</v>
      </c>
      <c r="AC31" s="23" t="n">
        <v>0</v>
      </c>
    </row>
    <row r="32">
      <c r="A32" s="23" t="inlineStr">
        <is>
          <t>1417769</t>
        </is>
      </c>
      <c r="B32" s="23" t="inlineStr">
        <is>
          <t>2561231</t>
        </is>
      </c>
      <c r="C32" s="23" t="inlineStr">
        <is>
          <t>€32.5m - Large Residential Development, Mungret</t>
        </is>
      </c>
      <c r="D32" s="23" t="inlineStr">
        <is>
          <t>Dooradoyle</t>
        </is>
      </c>
      <c r="E32" s="23" t="inlineStr">
        <is>
          <t>Mungret</t>
        </is>
      </c>
      <c r="F32" s="23" t="inlineStr">
        <is>
          <t>Audit land – within site</t>
        </is>
      </c>
      <c r="G32" s="23" t="inlineStr">
        <is>
          <t>CITY-144</t>
        </is>
      </c>
      <c r="H32" s="23" t="inlineStr">
        <is>
          <t>Private</t>
        </is>
      </c>
      <c r="I32" s="23" t="inlineStr">
        <is>
          <t>Market (incl. Part V)</t>
        </is>
      </c>
      <c r="J32" s="23" t="inlineStr">
        <is>
          <t>LRD</t>
        </is>
      </c>
      <c r="K32" s="23" t="inlineStr">
        <is>
          <t>Not started – permission live</t>
        </is>
      </c>
      <c r="L32" s="23" t="inlineStr">
        <is>
          <t>Permission Granted</t>
        </is>
      </c>
      <c r="M32" s="23" t="n">
        <v>169</v>
      </c>
      <c r="N32" s="23" t="n"/>
      <c r="O32" s="23" t="inlineStr">
        <is>
          <t>2026-07-30</t>
        </is>
      </c>
      <c r="P32" s="23" t="n"/>
      <c r="Q32" s="23" t="inlineStr">
        <is>
          <t>2031-07-30</t>
        </is>
      </c>
      <c r="R32" s="23" t="inlineStr">
        <is>
          <t>2028 Q2</t>
        </is>
      </c>
      <c r="S32" s="23" t="inlineStr">
        <is>
          <t>2031 Q3</t>
        </is>
      </c>
      <c r="T32" s="23" t="inlineStr">
        <is>
          <t>Medium</t>
        </is>
      </c>
      <c r="U32" s="23" t="inlineStr">
        <is>
          <t>Permitted 2026-07; typical start 1.7 yrs after grant</t>
        </is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50.3</v>
      </c>
      <c r="AA32" s="23" t="n">
        <v>71.5</v>
      </c>
      <c r="AB32" s="23" t="n">
        <v>47.2</v>
      </c>
      <c r="AC32" s="23" t="n">
        <v>0</v>
      </c>
    </row>
    <row r="33">
      <c r="A33" s="23" t="inlineStr">
        <is>
          <t>1319462</t>
        </is>
      </c>
      <c r="B33" s="23" t="inlineStr">
        <is>
          <t>23557</t>
        </is>
      </c>
      <c r="C33" s="23" t="inlineStr">
        <is>
          <t>€33m - LRD Development, Limerick</t>
        </is>
      </c>
      <c r="D33" s="23" t="inlineStr">
        <is>
          <t>Caherdavin</t>
        </is>
      </c>
      <c r="E33" s="23" t="inlineStr">
        <is>
          <t>Other County Limerick</t>
        </is>
      </c>
      <c r="F33" s="23" t="inlineStr">
        <is>
          <t>Audit land – within site</t>
        </is>
      </c>
      <c r="G33" s="23" t="inlineStr">
        <is>
          <t>CITY-3</t>
        </is>
      </c>
      <c r="H33" s="23" t="inlineStr">
        <is>
          <t>Private</t>
        </is>
      </c>
      <c r="I33" s="23" t="inlineStr">
        <is>
          <t>Market (incl. Part V)</t>
        </is>
      </c>
      <c r="J33" s="23" t="inlineStr">
        <is>
          <t>LRD</t>
        </is>
      </c>
      <c r="K33" s="23" t="inlineStr">
        <is>
          <t>Under construction</t>
        </is>
      </c>
      <c r="L33" s="23" t="inlineStr">
        <is>
          <t>On Site</t>
        </is>
      </c>
      <c r="M33" s="23" t="n">
        <v>167</v>
      </c>
      <c r="N33" s="23" t="n"/>
      <c r="O33" s="23" t="inlineStr">
        <is>
          <t>2024-08-23</t>
        </is>
      </c>
      <c r="P33" s="23" t="inlineStr">
        <is>
          <t>2025-09-04</t>
        </is>
      </c>
      <c r="Q33" s="23" t="inlineStr">
        <is>
          <t>2029-08-22</t>
        </is>
      </c>
      <c r="R33" s="23" t="inlineStr">
        <is>
          <t>2025 Q3</t>
        </is>
      </c>
      <c r="S33" s="23" t="inlineStr">
        <is>
          <t>2029 Q1</t>
        </is>
      </c>
      <c r="T33" s="23" t="inlineStr">
        <is>
          <t>High</t>
        </is>
      </c>
      <c r="U33" s="23" t="inlineStr">
        <is>
          <t>On site: started 2025-09</t>
        </is>
      </c>
      <c r="V33" s="23" t="n">
        <v>0</v>
      </c>
      <c r="W33" s="23" t="n">
        <v>17.4</v>
      </c>
      <c r="X33" s="23" t="n">
        <v>74.90000000000001</v>
      </c>
      <c r="Y33" s="23" t="n">
        <v>74.59999999999999</v>
      </c>
      <c r="Z33" s="23" t="n">
        <v>0</v>
      </c>
      <c r="AA33" s="23" t="n">
        <v>0</v>
      </c>
      <c r="AB33" s="23" t="n">
        <v>0.1</v>
      </c>
      <c r="AC33" s="23" t="n">
        <v>0</v>
      </c>
    </row>
    <row r="34">
      <c r="A34" s="23" t="inlineStr">
        <is>
          <t>1214059</t>
        </is>
      </c>
      <c r="B34" s="23" t="inlineStr">
        <is>
          <t>ABPREF312683</t>
        </is>
      </c>
      <c r="C34" s="23" t="inlineStr">
        <is>
          <t>€27.5m - Clonmacken Gardens Housing Development, Limerick</t>
        </is>
      </c>
      <c r="D34" s="23" t="inlineStr">
        <is>
          <t>Caherdavin</t>
        </is>
      </c>
      <c r="E34" s="23" t="inlineStr">
        <is>
          <t>Other County Limerick</t>
        </is>
      </c>
      <c r="F34" s="23" t="inlineStr">
        <is>
          <t>Audit land – within site</t>
        </is>
      </c>
      <c r="G34" s="23" t="inlineStr">
        <is>
          <t>CITY-1</t>
        </is>
      </c>
      <c r="H34" s="23" t="inlineStr">
        <is>
          <t>Private</t>
        </is>
      </c>
      <c r="I34" s="23" t="inlineStr">
        <is>
          <t>Market (incl. Part V)</t>
        </is>
      </c>
      <c r="J34" s="23" t="inlineStr">
        <is>
          <t>SHD (An Bord Pleanála)</t>
        </is>
      </c>
      <c r="K34" s="23" t="inlineStr">
        <is>
          <t>Not started – permission live</t>
        </is>
      </c>
      <c r="L34" s="23" t="inlineStr">
        <is>
          <t>Permission Granted</t>
        </is>
      </c>
      <c r="M34" s="23" t="n">
        <v>165</v>
      </c>
      <c r="N34" s="23" t="n"/>
      <c r="O34" s="23" t="inlineStr">
        <is>
          <t>2022-05-26</t>
        </is>
      </c>
      <c r="P34" s="23" t="n"/>
      <c r="Q34" s="23" t="inlineStr">
        <is>
          <t>2027-05-25</t>
        </is>
      </c>
      <c r="R34" s="23" t="inlineStr">
        <is>
          <t>2027 Q3</t>
        </is>
      </c>
      <c r="S34" s="23" t="inlineStr">
        <is>
          <t>2030 Q4</t>
        </is>
      </c>
      <c r="T34" s="23" t="inlineStr">
        <is>
          <t>Low</t>
        </is>
      </c>
      <c r="U34" s="23" t="inlineStr">
        <is>
          <t>Permitted 2022-05, past typical start date with no commencement: start assumed in 9 months; expiry falls before assumed start</t>
        </is>
      </c>
      <c r="V34" s="23" t="n">
        <v>0</v>
      </c>
      <c r="W34" s="23" t="n">
        <v>0</v>
      </c>
      <c r="X34" s="23" t="n">
        <v>0</v>
      </c>
      <c r="Y34" s="23" t="n">
        <v>34.9</v>
      </c>
      <c r="Z34" s="23" t="n">
        <v>72.3</v>
      </c>
      <c r="AA34" s="23" t="n">
        <v>57.8</v>
      </c>
      <c r="AB34" s="23" t="n">
        <v>0</v>
      </c>
      <c r="AC34" s="23" t="n">
        <v>0</v>
      </c>
    </row>
    <row r="35">
      <c r="A35" s="23" t="inlineStr">
        <is>
          <t>1382991</t>
        </is>
      </c>
      <c r="B35" s="23" t="inlineStr">
        <is>
          <t>2461282</t>
        </is>
      </c>
      <c r="C35" s="23" t="inlineStr">
        <is>
          <t>€32m - LRD, Mungret</t>
        </is>
      </c>
      <c r="D35" s="23" t="inlineStr">
        <is>
          <t>Dooradoyle</t>
        </is>
      </c>
      <c r="E35" s="23" t="inlineStr">
        <is>
          <t>Mungret</t>
        </is>
      </c>
      <c r="F35" s="23" t="inlineStr">
        <is>
          <t>Audit land – within site</t>
        </is>
      </c>
      <c r="G35" s="23" t="inlineStr">
        <is>
          <t>CITY-143</t>
        </is>
      </c>
      <c r="H35" s="23" t="inlineStr">
        <is>
          <t>Private</t>
        </is>
      </c>
      <c r="I35" s="23" t="inlineStr">
        <is>
          <t>Market (incl. Part V)</t>
        </is>
      </c>
      <c r="J35" s="23" t="inlineStr">
        <is>
          <t>LRD</t>
        </is>
      </c>
      <c r="K35" s="23" t="inlineStr">
        <is>
          <t>Not started – permission live</t>
        </is>
      </c>
      <c r="L35" s="23" t="inlineStr">
        <is>
          <t>Permission Granted</t>
        </is>
      </c>
      <c r="M35" s="23" t="n">
        <v>139</v>
      </c>
      <c r="N35" s="23" t="n"/>
      <c r="O35" s="23" t="inlineStr">
        <is>
          <t>2025-09-24</t>
        </is>
      </c>
      <c r="P35" s="23" t="n"/>
      <c r="Q35" s="23" t="inlineStr">
        <is>
          <t>2030-09-23</t>
        </is>
      </c>
      <c r="R35" s="23" t="inlineStr">
        <is>
          <t>2027 Q2</t>
        </is>
      </c>
      <c r="S35" s="23" t="inlineStr">
        <is>
          <t>2030 Q1</t>
        </is>
      </c>
      <c r="T35" s="23" t="inlineStr">
        <is>
          <t>Medium</t>
        </is>
      </c>
      <c r="U35" s="23" t="inlineStr">
        <is>
          <t>Permitted 2025-09; typical start 1.7 yrs after grant</t>
        </is>
      </c>
      <c r="V35" s="23" t="n">
        <v>0</v>
      </c>
      <c r="W35" s="23" t="n">
        <v>0</v>
      </c>
      <c r="X35" s="23" t="n">
        <v>0</v>
      </c>
      <c r="Y35" s="23" t="n">
        <v>43.2</v>
      </c>
      <c r="Z35" s="23" t="n">
        <v>78.7</v>
      </c>
      <c r="AA35" s="23" t="n">
        <v>17</v>
      </c>
      <c r="AB35" s="23" t="n">
        <v>0.1</v>
      </c>
      <c r="AC35" s="23" t="n">
        <v>0</v>
      </c>
    </row>
    <row r="36">
      <c r="A36" s="23" t="inlineStr">
        <is>
          <t>1163033</t>
        </is>
      </c>
      <c r="B36" s="23" t="inlineStr">
        <is>
          <t>ABPREF309999</t>
        </is>
      </c>
      <c r="C36" s="23" t="inlineStr">
        <is>
          <t>€30m - Residential Development, Annacotty</t>
        </is>
      </c>
      <c r="D36" s="23" t="inlineStr">
        <is>
          <t>Castletroy/Annacotty</t>
        </is>
      </c>
      <c r="E36" s="23" t="inlineStr">
        <is>
          <t>Annacotty</t>
        </is>
      </c>
      <c r="F36" s="23" t="inlineStr">
        <is>
          <t>Audit land – within site</t>
        </is>
      </c>
      <c r="G36" s="23" t="inlineStr">
        <is>
          <t>CITY-61</t>
        </is>
      </c>
      <c r="H36" s="23" t="inlineStr">
        <is>
          <t>Private</t>
        </is>
      </c>
      <c r="I36" s="23" t="inlineStr">
        <is>
          <t>Market (incl. Part V)</t>
        </is>
      </c>
      <c r="J36" s="23" t="inlineStr">
        <is>
          <t>SHD (An Bord Pleanála)</t>
        </is>
      </c>
      <c r="K36" s="23" t="inlineStr">
        <is>
          <t>Not started – past expiry</t>
        </is>
      </c>
      <c r="L36" s="23" t="inlineStr">
        <is>
          <t>Permission Granted</t>
        </is>
      </c>
      <c r="M36" s="23" t="n">
        <v>137</v>
      </c>
      <c r="N36" s="23" t="n"/>
      <c r="O36" s="23" t="inlineStr">
        <is>
          <t>2021-08-05</t>
        </is>
      </c>
      <c r="P36" s="23" t="n"/>
      <c r="Q36" s="23" t="inlineStr">
        <is>
          <t>2026-08-04</t>
        </is>
      </c>
      <c r="R36" s="23" t="n"/>
      <c r="S36" s="23" t="n"/>
      <c r="T36" s="23" t="inlineStr">
        <is>
          <t>Not projected</t>
        </is>
      </c>
      <c r="U36" s="23" t="inlineStr">
        <is>
          <t>Permission expired – not projected</t>
        </is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137</v>
      </c>
    </row>
    <row r="37">
      <c r="A37" s="23" t="inlineStr">
        <is>
          <t>1397299</t>
        </is>
      </c>
      <c r="B37" s="23" t="inlineStr">
        <is>
          <t>2560271</t>
        </is>
      </c>
      <c r="C37" s="23" t="inlineStr">
        <is>
          <t>€21m - Residential Development, Castletroy</t>
        </is>
      </c>
      <c r="D37" s="23" t="inlineStr">
        <is>
          <t>Castletroy/Annacotty</t>
        </is>
      </c>
      <c r="E37" s="23" t="inlineStr">
        <is>
          <t>Limerick City and Suburbs</t>
        </is>
      </c>
      <c r="F37" s="23" t="inlineStr">
        <is>
          <t>Audit land – within site</t>
        </is>
      </c>
      <c r="G37" s="23" t="inlineStr">
        <is>
          <t>CITY-56</t>
        </is>
      </c>
      <c r="H37" s="23" t="inlineStr">
        <is>
          <t>Private</t>
        </is>
      </c>
      <c r="I37" s="23" t="inlineStr">
        <is>
          <t>Market (incl. Part V)</t>
        </is>
      </c>
      <c r="J37" s="23" t="inlineStr">
        <is>
          <t>LRD</t>
        </is>
      </c>
      <c r="K37" s="23" t="inlineStr">
        <is>
          <t>Not started – permission live</t>
        </is>
      </c>
      <c r="L37" s="23" t="inlineStr">
        <is>
          <t>Permission Granted</t>
        </is>
      </c>
      <c r="M37" s="23" t="n">
        <v>114</v>
      </c>
      <c r="N37" s="23" t="n"/>
      <c r="O37" s="23" t="inlineStr">
        <is>
          <t>2026-04-15</t>
        </is>
      </c>
      <c r="P37" s="23" t="n"/>
      <c r="Q37" s="23" t="inlineStr">
        <is>
          <t>2031-04-14</t>
        </is>
      </c>
      <c r="R37" s="23" t="inlineStr">
        <is>
          <t>2028 Q1</t>
        </is>
      </c>
      <c r="S37" s="23" t="inlineStr">
        <is>
          <t>2030 Q2</t>
        </is>
      </c>
      <c r="T37" s="23" t="inlineStr">
        <is>
          <t>Medium</t>
        </is>
      </c>
      <c r="U37" s="23" t="inlineStr">
        <is>
          <t>Permitted 2026-04; typical start 1.7 yrs after grant</t>
        </is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89.3</v>
      </c>
      <c r="AA37" s="23" t="n">
        <v>24.7</v>
      </c>
      <c r="AB37" s="23" t="n">
        <v>0</v>
      </c>
      <c r="AC37" s="23" t="n">
        <v>0</v>
      </c>
    </row>
    <row r="38">
      <c r="A38" s="23" t="inlineStr">
        <is>
          <t>1207014</t>
        </is>
      </c>
      <c r="B38" s="23" t="inlineStr">
        <is>
          <t>211800</t>
        </is>
      </c>
      <c r="C38" s="23" t="inlineStr">
        <is>
          <t>€21m - Residential Development, Old Cratloe Road</t>
        </is>
      </c>
      <c r="D38" s="23" t="inlineStr">
        <is>
          <t>Caherdavin</t>
        </is>
      </c>
      <c r="E38" s="23" t="inlineStr">
        <is>
          <t>Other County Limerick</t>
        </is>
      </c>
      <c r="F38" s="23" t="inlineStr">
        <is>
          <t>Audit land – within site</t>
        </is>
      </c>
      <c r="G38" s="23" t="inlineStr">
        <is>
          <t>CITY-7</t>
        </is>
      </c>
      <c r="H38" s="23" t="inlineStr">
        <is>
          <t>Private</t>
        </is>
      </c>
      <c r="I38" s="23" t="inlineStr">
        <is>
          <t>Market (incl. Part V)</t>
        </is>
      </c>
      <c r="J38" s="23" t="inlineStr">
        <is>
          <t>Standard planning application</t>
        </is>
      </c>
      <c r="K38" s="23" t="inlineStr">
        <is>
          <t>Not started – permission live</t>
        </is>
      </c>
      <c r="L38" s="23" t="inlineStr">
        <is>
          <t>Permission Granted</t>
        </is>
      </c>
      <c r="M38" s="23" t="n">
        <v>99</v>
      </c>
      <c r="N38" s="23" t="n"/>
      <c r="O38" s="23" t="inlineStr">
        <is>
          <t>2024-04-08</t>
        </is>
      </c>
      <c r="P38" s="23" t="n"/>
      <c r="Q38" s="23" t="inlineStr">
        <is>
          <t>2029-04-07</t>
        </is>
      </c>
      <c r="R38" s="23" t="inlineStr">
        <is>
          <t>2027 Q3</t>
        </is>
      </c>
      <c r="S38" s="23" t="inlineStr">
        <is>
          <t>2030 Q2</t>
        </is>
      </c>
      <c r="T38" s="23" t="inlineStr">
        <is>
          <t>Low</t>
        </is>
      </c>
      <c r="U38" s="23" t="inlineStr">
        <is>
          <t>Permitted 2024-04, past typical start date with no commencement: start assumed in 9 months</t>
        </is>
      </c>
      <c r="V38" s="23" t="n">
        <v>0</v>
      </c>
      <c r="W38" s="23" t="n">
        <v>0</v>
      </c>
      <c r="X38" s="23" t="n">
        <v>0</v>
      </c>
      <c r="Y38" s="23" t="n">
        <v>25.1</v>
      </c>
      <c r="Z38" s="23" t="n">
        <v>51.9</v>
      </c>
      <c r="AA38" s="23" t="n">
        <v>22</v>
      </c>
      <c r="AB38" s="23" t="n">
        <v>0</v>
      </c>
      <c r="AC38" s="23" t="n">
        <v>0</v>
      </c>
    </row>
    <row r="39">
      <c r="A39" s="23" t="inlineStr">
        <is>
          <t>1327848</t>
        </is>
      </c>
      <c r="B39" s="23" t="inlineStr">
        <is>
          <t>2460032</t>
        </is>
      </c>
      <c r="C39" s="23" t="inlineStr">
        <is>
          <t>€18.9m - Residential Development, Old Cratloe Road</t>
        </is>
      </c>
      <c r="D39" s="23" t="inlineStr">
        <is>
          <t>Caherdavin</t>
        </is>
      </c>
      <c r="E39" s="23" t="inlineStr">
        <is>
          <t>Other County Limerick</t>
        </is>
      </c>
      <c r="F39" s="23" t="inlineStr">
        <is>
          <t>Audit land – within site</t>
        </is>
      </c>
      <c r="G39" s="23" t="inlineStr">
        <is>
          <t>CITY-5</t>
        </is>
      </c>
      <c r="H39" s="23" t="inlineStr">
        <is>
          <t>Private</t>
        </is>
      </c>
      <c r="I39" s="23" t="inlineStr">
        <is>
          <t>Market (incl. Part V)</t>
        </is>
      </c>
      <c r="J39" s="23" t="inlineStr">
        <is>
          <t>Standard planning application</t>
        </is>
      </c>
      <c r="K39" s="23" t="inlineStr">
        <is>
          <t>Under construction</t>
        </is>
      </c>
      <c r="L39" s="23" t="inlineStr">
        <is>
          <t>On Site</t>
        </is>
      </c>
      <c r="M39" s="23" t="n">
        <v>99</v>
      </c>
      <c r="N39" s="23" t="n"/>
      <c r="O39" s="23" t="inlineStr">
        <is>
          <t>2024-08-20</t>
        </is>
      </c>
      <c r="P39" s="23" t="inlineStr">
        <is>
          <t>2025-08-20</t>
        </is>
      </c>
      <c r="Q39" s="23" t="inlineStr">
        <is>
          <t>2029-08-19</t>
        </is>
      </c>
      <c r="R39" s="23" t="inlineStr">
        <is>
          <t>2025 Q3</t>
        </is>
      </c>
      <c r="S39" s="23" t="inlineStr">
        <is>
          <t>2028 Q3</t>
        </is>
      </c>
      <c r="T39" s="23" t="inlineStr">
        <is>
          <t>High</t>
        </is>
      </c>
      <c r="U39" s="23" t="inlineStr">
        <is>
          <t>On site: started 2025-08</t>
        </is>
      </c>
      <c r="V39" s="23" t="n">
        <v>0</v>
      </c>
      <c r="W39" s="23" t="n">
        <v>13</v>
      </c>
      <c r="X39" s="23" t="n">
        <v>55.8</v>
      </c>
      <c r="Y39" s="23" t="n">
        <v>30.2</v>
      </c>
      <c r="Z39" s="23" t="n">
        <v>0</v>
      </c>
      <c r="AA39" s="23" t="n">
        <v>0</v>
      </c>
      <c r="AB39" s="23" t="n">
        <v>0</v>
      </c>
      <c r="AC39" s="23" t="n">
        <v>0</v>
      </c>
    </row>
    <row r="40">
      <c r="A40" s="23" t="inlineStr">
        <is>
          <t>1248019</t>
        </is>
      </c>
      <c r="B40" s="23" t="inlineStr">
        <is>
          <t>22959</t>
        </is>
      </c>
      <c r="C40" s="23" t="inlineStr">
        <is>
          <t>€20m - Residential Development, Limerick.</t>
        </is>
      </c>
      <c r="D40" s="23" t="inlineStr">
        <is>
          <t>Caherdavin</t>
        </is>
      </c>
      <c r="E40" s="23" t="inlineStr">
        <is>
          <t>Other County Limerick</t>
        </is>
      </c>
      <c r="F40" s="23" t="inlineStr">
        <is>
          <t>Audit land – within site</t>
        </is>
      </c>
      <c r="G40" s="23" t="inlineStr">
        <is>
          <t>CITY-7</t>
        </is>
      </c>
      <c r="H40" s="23" t="inlineStr">
        <is>
          <t>Private</t>
        </is>
      </c>
      <c r="I40" s="23" t="inlineStr">
        <is>
          <t>Market (incl. Part V)</t>
        </is>
      </c>
      <c r="J40" s="23" t="inlineStr">
        <is>
          <t>Standard planning application</t>
        </is>
      </c>
      <c r="K40" s="23" t="inlineStr">
        <is>
          <t>Not started – permission live</t>
        </is>
      </c>
      <c r="L40" s="23" t="inlineStr">
        <is>
          <t>Permission Granted</t>
        </is>
      </c>
      <c r="M40" s="23" t="n">
        <v>98</v>
      </c>
      <c r="N40" s="23" t="n"/>
      <c r="O40" s="23" t="inlineStr">
        <is>
          <t>2024-11-21</t>
        </is>
      </c>
      <c r="P40" s="23" t="n"/>
      <c r="Q40" s="23" t="inlineStr">
        <is>
          <t>2029-11-20</t>
        </is>
      </c>
      <c r="R40" s="23" t="inlineStr">
        <is>
          <t>2027 Q3</t>
        </is>
      </c>
      <c r="S40" s="23" t="inlineStr">
        <is>
          <t>2030 Q2</t>
        </is>
      </c>
      <c r="T40" s="23" t="inlineStr">
        <is>
          <t>Low</t>
        </is>
      </c>
      <c r="U40" s="23" t="inlineStr">
        <is>
          <t>Permitted 2024-11, past typical start date with no commencement: start assumed in 9 months</t>
        </is>
      </c>
      <c r="V40" s="23" t="n">
        <v>0</v>
      </c>
      <c r="W40" s="23" t="n">
        <v>0</v>
      </c>
      <c r="X40" s="23" t="n">
        <v>0</v>
      </c>
      <c r="Y40" s="23" t="n">
        <v>25.2</v>
      </c>
      <c r="Z40" s="23" t="n">
        <v>52.2</v>
      </c>
      <c r="AA40" s="23" t="n">
        <v>20.6</v>
      </c>
      <c r="AB40" s="23" t="n">
        <v>0</v>
      </c>
      <c r="AC40" s="23" t="n">
        <v>0</v>
      </c>
    </row>
    <row r="41">
      <c r="A41" s="23" t="inlineStr">
        <is>
          <t>1242233</t>
        </is>
      </c>
      <c r="B41" s="23" t="inlineStr">
        <is>
          <t>22817</t>
        </is>
      </c>
      <c r="C41" s="23" t="inlineStr">
        <is>
          <t>€11m - Residential Development, Limerick</t>
        </is>
      </c>
      <c r="D41" s="23" t="inlineStr">
        <is>
          <t>Caherdavin</t>
        </is>
      </c>
      <c r="E41" s="23" t="inlineStr">
        <is>
          <t>Other County Limerick</t>
        </is>
      </c>
      <c r="F41" s="23" t="inlineStr">
        <is>
          <t>Audit land – within site</t>
        </is>
      </c>
      <c r="G41" s="23" t="inlineStr">
        <is>
          <t>CITY-8</t>
        </is>
      </c>
      <c r="H41" s="23" t="inlineStr">
        <is>
          <t>Private</t>
        </is>
      </c>
      <c r="I41" s="23" t="inlineStr">
        <is>
          <t>Market (incl. Part V)</t>
        </is>
      </c>
      <c r="J41" s="23" t="inlineStr">
        <is>
          <t>Standard planning application</t>
        </is>
      </c>
      <c r="K41" s="23" t="inlineStr">
        <is>
          <t>Not started – permission live</t>
        </is>
      </c>
      <c r="L41" s="23" t="inlineStr">
        <is>
          <t>Permission Granted</t>
        </is>
      </c>
      <c r="M41" s="23" t="n">
        <v>86</v>
      </c>
      <c r="N41" s="23" t="n"/>
      <c r="O41" s="23" t="inlineStr">
        <is>
          <t>2023-07-04</t>
        </is>
      </c>
      <c r="P41" s="23" t="n"/>
      <c r="Q41" s="23" t="inlineStr">
        <is>
          <t>2028-07-03</t>
        </is>
      </c>
      <c r="R41" s="23" t="inlineStr">
        <is>
          <t>2027 Q3</t>
        </is>
      </c>
      <c r="S41" s="23" t="inlineStr">
        <is>
          <t>2030 Q1</t>
        </is>
      </c>
      <c r="T41" s="23" t="inlineStr">
        <is>
          <t>Low</t>
        </is>
      </c>
      <c r="U41" s="23" t="inlineStr">
        <is>
          <t>Permitted 2023-07, past typical start date with no commencement: start assumed in 9 months</t>
        </is>
      </c>
      <c r="V41" s="23" t="n">
        <v>0</v>
      </c>
      <c r="W41" s="23" t="n">
        <v>0</v>
      </c>
      <c r="X41" s="23" t="n">
        <v>0</v>
      </c>
      <c r="Y41" s="23" t="n">
        <v>27.2</v>
      </c>
      <c r="Z41" s="23" t="n">
        <v>56.4</v>
      </c>
      <c r="AA41" s="23" t="n">
        <v>2.4</v>
      </c>
      <c r="AB41" s="23" t="n">
        <v>0</v>
      </c>
      <c r="AC41" s="23" t="n">
        <v>0</v>
      </c>
    </row>
    <row r="42">
      <c r="A42" s="23" t="inlineStr">
        <is>
          <t>1402906</t>
        </is>
      </c>
      <c r="B42" s="23" t="inlineStr">
        <is>
          <t>2560399</t>
        </is>
      </c>
      <c r="C42" s="23" t="inlineStr">
        <is>
          <t xml:space="preserve">€16.4m - Residential Development </t>
        </is>
      </c>
      <c r="D42" s="23" t="inlineStr">
        <is>
          <t>Castletroy/Annacotty</t>
        </is>
      </c>
      <c r="E42" s="23" t="inlineStr">
        <is>
          <t>Annacotty</t>
        </is>
      </c>
      <c r="F42" s="23" t="inlineStr">
        <is>
          <t>Audit land – within site</t>
        </is>
      </c>
      <c r="G42" s="23" t="inlineStr">
        <is>
          <t>CITY-62</t>
        </is>
      </c>
      <c r="H42" s="23" t="inlineStr">
        <is>
          <t>Private</t>
        </is>
      </c>
      <c r="I42" s="23" t="inlineStr">
        <is>
          <t>Market (incl. Part V)</t>
        </is>
      </c>
      <c r="J42" s="23" t="inlineStr">
        <is>
          <t>Standard planning application</t>
        </is>
      </c>
      <c r="K42" s="23" t="inlineStr">
        <is>
          <t>Not started – permission live</t>
        </is>
      </c>
      <c r="L42" s="23" t="inlineStr">
        <is>
          <t>Permission Granted</t>
        </is>
      </c>
      <c r="M42" s="23" t="n">
        <v>76</v>
      </c>
      <c r="N42" s="23" t="n"/>
      <c r="O42" s="23" t="inlineStr">
        <is>
          <t>2026-07-13</t>
        </is>
      </c>
      <c r="P42" s="23" t="n"/>
      <c r="Q42" s="23" t="inlineStr">
        <is>
          <t>2031-07-12</t>
        </is>
      </c>
      <c r="R42" s="23" t="inlineStr">
        <is>
          <t>2027 Q3</t>
        </is>
      </c>
      <c r="S42" s="23" t="inlineStr">
        <is>
          <t>2029 Q4</t>
        </is>
      </c>
      <c r="T42" s="23" t="inlineStr">
        <is>
          <t>Medium</t>
        </is>
      </c>
      <c r="U42" s="23" t="inlineStr">
        <is>
          <t>Permitted 2026-07; typical start 1.1 yrs after grant</t>
        </is>
      </c>
      <c r="V42" s="23" t="n">
        <v>0</v>
      </c>
      <c r="W42" s="23" t="n">
        <v>0</v>
      </c>
      <c r="X42" s="23" t="n">
        <v>0</v>
      </c>
      <c r="Y42" s="23" t="n">
        <v>20.9</v>
      </c>
      <c r="Z42" s="23" t="n">
        <v>55.1</v>
      </c>
      <c r="AA42" s="23" t="n">
        <v>0</v>
      </c>
      <c r="AB42" s="23" t="n">
        <v>0</v>
      </c>
      <c r="AC42" s="23" t="n">
        <v>0</v>
      </c>
    </row>
    <row r="43">
      <c r="A43" s="23" t="inlineStr">
        <is>
          <t>1172151</t>
        </is>
      </c>
      <c r="B43" s="23" t="inlineStr">
        <is>
          <t>217025</t>
        </is>
      </c>
      <c r="C43" s="23" t="inlineStr">
        <is>
          <t>€3.7m - Ardhú Apartments Refurbishment, Ennis Road</t>
        </is>
      </c>
      <c r="D43" s="23" t="inlineStr">
        <is>
          <t>Caherdavin</t>
        </is>
      </c>
      <c r="E43" s="23" t="inlineStr">
        <is>
          <t>Other County Limerick</t>
        </is>
      </c>
      <c r="F43" s="23" t="inlineStr">
        <is>
          <t>Audit land – within site</t>
        </is>
      </c>
      <c r="G43" s="23" t="inlineStr">
        <is>
          <t>CITY-3</t>
        </is>
      </c>
      <c r="H43" s="23" t="inlineStr">
        <is>
          <t>Private</t>
        </is>
      </c>
      <c r="I43" s="23" t="inlineStr">
        <is>
          <t>Market (incl. Part V)</t>
        </is>
      </c>
      <c r="J43" s="23" t="inlineStr">
        <is>
          <t>Standard planning application</t>
        </is>
      </c>
      <c r="K43" s="23" t="inlineStr">
        <is>
          <t>Complete</t>
        </is>
      </c>
      <c r="L43" s="23" t="inlineStr">
        <is>
          <t>Complete</t>
        </is>
      </c>
      <c r="M43" s="23" t="n">
        <v>65</v>
      </c>
      <c r="N43" s="23" t="n"/>
      <c r="O43" s="23" t="inlineStr">
        <is>
          <t>2021-07-14</t>
        </is>
      </c>
      <c r="P43" s="23" t="inlineStr">
        <is>
          <t>2022-08-29</t>
        </is>
      </c>
      <c r="Q43" s="23" t="inlineStr">
        <is>
          <t>2026-11-19</t>
        </is>
      </c>
      <c r="R43" s="23" t="n"/>
      <c r="S43" s="23" t="n"/>
      <c r="T43" s="23" t="inlineStr">
        <is>
          <t>Delivered</t>
        </is>
      </c>
      <c r="U43" s="23" t="inlineStr">
        <is>
          <t>Complete (CIS)</t>
        </is>
      </c>
      <c r="V43" s="23" t="n">
        <v>65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</row>
    <row r="44">
      <c r="A44" s="23" t="inlineStr">
        <is>
          <t>1164424</t>
        </is>
      </c>
      <c r="B44" s="23" t="inlineStr">
        <is>
          <t>21580</t>
        </is>
      </c>
      <c r="C44" s="23" t="inlineStr">
        <is>
          <t xml:space="preserve">€9.6m - Residential Development </t>
        </is>
      </c>
      <c r="D44" s="23" t="inlineStr">
        <is>
          <t>Singland/Garryowen</t>
        </is>
      </c>
      <c r="E44" s="23" t="inlineStr">
        <is>
          <t>Limerick City and Suburbs</t>
        </is>
      </c>
      <c r="F44" s="23" t="inlineStr">
        <is>
          <t>Audit land – within site</t>
        </is>
      </c>
      <c r="G44" s="23" t="inlineStr">
        <is>
          <t>CITY-79</t>
        </is>
      </c>
      <c r="H44" s="23" t="inlineStr">
        <is>
          <t>Private</t>
        </is>
      </c>
      <c r="I44" s="23" t="inlineStr">
        <is>
          <t>Market (incl. Part V)</t>
        </is>
      </c>
      <c r="J44" s="23" t="inlineStr">
        <is>
          <t>Standard planning application</t>
        </is>
      </c>
      <c r="K44" s="23" t="inlineStr">
        <is>
          <t>Not started – permission live</t>
        </is>
      </c>
      <c r="L44" s="23" t="inlineStr">
        <is>
          <t>Contract Awarded</t>
        </is>
      </c>
      <c r="M44" s="23" t="n">
        <v>55</v>
      </c>
      <c r="N44" s="23" t="n"/>
      <c r="O44" s="23" t="inlineStr">
        <is>
          <t>2025-05-13</t>
        </is>
      </c>
      <c r="P44" s="23" t="n"/>
      <c r="Q44" s="23" t="inlineStr">
        <is>
          <t>2030-05-12</t>
        </is>
      </c>
      <c r="R44" s="23" t="inlineStr">
        <is>
          <t>2027 Q1</t>
        </is>
      </c>
      <c r="S44" s="23" t="inlineStr">
        <is>
          <t>2029 Q2</t>
        </is>
      </c>
      <c r="T44" s="23" t="inlineStr">
        <is>
          <t>Medium</t>
        </is>
      </c>
      <c r="U44" s="23" t="inlineStr">
        <is>
          <t>Contract Awarded (CIS): start assumed within 6 months</t>
        </is>
      </c>
      <c r="V44" s="23" t="n">
        <v>0</v>
      </c>
      <c r="W44" s="23" t="n">
        <v>0</v>
      </c>
      <c r="X44" s="23" t="n">
        <v>0</v>
      </c>
      <c r="Y44" s="23" t="n">
        <v>42.9</v>
      </c>
      <c r="Z44" s="23" t="n">
        <v>12.1</v>
      </c>
      <c r="AA44" s="23" t="n">
        <v>0</v>
      </c>
      <c r="AB44" s="23" t="n">
        <v>0</v>
      </c>
      <c r="AC44" s="23" t="n">
        <v>0</v>
      </c>
    </row>
    <row r="45">
      <c r="A45" s="23" t="inlineStr">
        <is>
          <t>1254544</t>
        </is>
      </c>
      <c r="B45" s="23" t="inlineStr">
        <is>
          <t>221114</t>
        </is>
      </c>
      <c r="C45" s="23" t="inlineStr">
        <is>
          <t>€12.2m - Residential Development, Limerick</t>
        </is>
      </c>
      <c r="D45" s="23" t="inlineStr">
        <is>
          <t>Caherdavin</t>
        </is>
      </c>
      <c r="E45" s="23" t="inlineStr">
        <is>
          <t>Other County Limerick</t>
        </is>
      </c>
      <c r="F45" s="23" t="inlineStr">
        <is>
          <t>Audit land – within site</t>
        </is>
      </c>
      <c r="G45" s="23" t="inlineStr">
        <is>
          <t>CITY-7</t>
        </is>
      </c>
      <c r="H45" s="23" t="inlineStr">
        <is>
          <t>Private</t>
        </is>
      </c>
      <c r="I45" s="23" t="inlineStr">
        <is>
          <t>Market (incl. Part V)</t>
        </is>
      </c>
      <c r="J45" s="23" t="inlineStr">
        <is>
          <t>Standard planning application</t>
        </is>
      </c>
      <c r="K45" s="23" t="inlineStr">
        <is>
          <t>Not started – permission live</t>
        </is>
      </c>
      <c r="L45" s="23" t="inlineStr">
        <is>
          <t>Permission Granted</t>
        </is>
      </c>
      <c r="M45" s="23" t="n">
        <v>54</v>
      </c>
      <c r="N45" s="23" t="n"/>
      <c r="O45" s="23" t="inlineStr">
        <is>
          <t>2024-10-18</t>
        </is>
      </c>
      <c r="P45" s="23" t="n"/>
      <c r="Q45" s="23" t="inlineStr">
        <is>
          <t>2029-10-17</t>
        </is>
      </c>
      <c r="R45" s="23" t="inlineStr">
        <is>
          <t>2027 Q3</t>
        </is>
      </c>
      <c r="S45" s="23" t="inlineStr">
        <is>
          <t>2029 Q4</t>
        </is>
      </c>
      <c r="T45" s="23" t="inlineStr">
        <is>
          <t>Low</t>
        </is>
      </c>
      <c r="U45" s="23" t="inlineStr">
        <is>
          <t>Permitted 2024-10, past typical start date with no commencement: start assumed in 9 months</t>
        </is>
      </c>
      <c r="V45" s="23" t="n">
        <v>0</v>
      </c>
      <c r="W45" s="23" t="n">
        <v>0</v>
      </c>
      <c r="X45" s="23" t="n">
        <v>0</v>
      </c>
      <c r="Y45" s="23" t="n">
        <v>20.7</v>
      </c>
      <c r="Z45" s="23" t="n">
        <v>33.3</v>
      </c>
      <c r="AA45" s="23" t="n">
        <v>0</v>
      </c>
      <c r="AB45" s="23" t="n">
        <v>0</v>
      </c>
      <c r="AC45" s="23" t="n">
        <v>0</v>
      </c>
    </row>
    <row r="46">
      <c r="A46" s="23" t="inlineStr">
        <is>
          <t>1247398</t>
        </is>
      </c>
      <c r="B46" s="23" t="inlineStr">
        <is>
          <t>22950</t>
        </is>
      </c>
      <c r="C46" s="23" t="inlineStr">
        <is>
          <t>€13.9m - Lidl Mixed Use Development , Ballysimon</t>
        </is>
      </c>
      <c r="D46" s="23" t="inlineStr">
        <is>
          <t>Castletroy/Annacotty</t>
        </is>
      </c>
      <c r="E46" s="23" t="inlineStr">
        <is>
          <t>Limerick City and Suburbs</t>
        </is>
      </c>
      <c r="F46" s="23" t="inlineStr">
        <is>
          <t>Audit land – within site</t>
        </is>
      </c>
      <c r="G46" s="23" t="inlineStr">
        <is>
          <t>CITY-72</t>
        </is>
      </c>
      <c r="H46" s="23" t="inlineStr">
        <is>
          <t>Private</t>
        </is>
      </c>
      <c r="I46" s="23" t="inlineStr">
        <is>
          <t>Market (incl. Part V)</t>
        </is>
      </c>
      <c r="J46" s="23" t="inlineStr">
        <is>
          <t>Standard planning application</t>
        </is>
      </c>
      <c r="K46" s="23" t="inlineStr">
        <is>
          <t>Under construction</t>
        </is>
      </c>
      <c r="L46" s="23" t="inlineStr">
        <is>
          <t>On Site</t>
        </is>
      </c>
      <c r="M46" s="23" t="n">
        <v>48</v>
      </c>
      <c r="N46" s="23" t="n"/>
      <c r="O46" s="23" t="inlineStr">
        <is>
          <t>2023-09-05</t>
        </is>
      </c>
      <c r="P46" s="23" t="inlineStr">
        <is>
          <t>2024-07-15</t>
        </is>
      </c>
      <c r="Q46" s="23" t="inlineStr">
        <is>
          <t>2028-09-04</t>
        </is>
      </c>
      <c r="R46" s="23" t="inlineStr">
        <is>
          <t>2024 Q3</t>
        </is>
      </c>
      <c r="S46" s="23" t="inlineStr">
        <is>
          <t>2027 Q4</t>
        </is>
      </c>
      <c r="T46" s="23" t="inlineStr">
        <is>
          <t>High</t>
        </is>
      </c>
      <c r="U46" s="23" t="inlineStr">
        <is>
          <t>On site: started 2024-07</t>
        </is>
      </c>
      <c r="V46" s="23" t="n">
        <v>0</v>
      </c>
      <c r="W46" s="23" t="n">
        <v>11.2</v>
      </c>
      <c r="X46" s="23" t="n">
        <v>36.8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</row>
    <row r="47">
      <c r="A47" s="23" t="inlineStr">
        <is>
          <t>1265188</t>
        </is>
      </c>
      <c r="B47" s="23" t="inlineStr">
        <is>
          <t>221400</t>
        </is>
      </c>
      <c r="C47" s="23" t="inlineStr">
        <is>
          <t>€10.4m - Residential Development, Thomondgate</t>
        </is>
      </c>
      <c r="D47" s="23" t="inlineStr">
        <is>
          <t>Caherdavin</t>
        </is>
      </c>
      <c r="E47" s="23" t="inlineStr">
        <is>
          <t>Other County Limerick</t>
        </is>
      </c>
      <c r="F47" s="23" t="inlineStr">
        <is>
          <t>Audit land – within site</t>
        </is>
      </c>
      <c r="G47" s="23" t="inlineStr">
        <is>
          <t>CITY-24</t>
        </is>
      </c>
      <c r="H47" s="23" t="inlineStr">
        <is>
          <t>Private</t>
        </is>
      </c>
      <c r="I47" s="23" t="inlineStr">
        <is>
          <t>Market (incl. Part V)</t>
        </is>
      </c>
      <c r="J47" s="23" t="inlineStr">
        <is>
          <t>Standard planning application</t>
        </is>
      </c>
      <c r="K47" s="23" t="inlineStr">
        <is>
          <t>Not started – permission live</t>
        </is>
      </c>
      <c r="L47" s="23" t="inlineStr">
        <is>
          <t>Permission Granted</t>
        </is>
      </c>
      <c r="M47" s="23" t="n">
        <v>46</v>
      </c>
      <c r="N47" s="23" t="n"/>
      <c r="O47" s="23" t="inlineStr">
        <is>
          <t>2024-07-26</t>
        </is>
      </c>
      <c r="P47" s="23" t="n"/>
      <c r="Q47" s="23" t="inlineStr">
        <is>
          <t>2029-07-25</t>
        </is>
      </c>
      <c r="R47" s="23" t="inlineStr">
        <is>
          <t>2027 Q3</t>
        </is>
      </c>
      <c r="S47" s="23" t="inlineStr">
        <is>
          <t>2029 Q3</t>
        </is>
      </c>
      <c r="T47" s="23" t="inlineStr">
        <is>
          <t>Low</t>
        </is>
      </c>
      <c r="U47" s="23" t="inlineStr">
        <is>
          <t>Permitted 2024-07, past typical start date with no commencement: start assumed in 9 months</t>
        </is>
      </c>
      <c r="V47" s="23" t="n">
        <v>0</v>
      </c>
      <c r="W47" s="23" t="n">
        <v>0</v>
      </c>
      <c r="X47" s="23" t="n">
        <v>0</v>
      </c>
      <c r="Y47" s="23" t="n">
        <v>19.4</v>
      </c>
      <c r="Z47" s="23" t="n">
        <v>26.6</v>
      </c>
      <c r="AA47" s="23" t="n">
        <v>0</v>
      </c>
      <c r="AB47" s="23" t="n">
        <v>0</v>
      </c>
      <c r="AC47" s="23" t="n">
        <v>0</v>
      </c>
    </row>
    <row r="48">
      <c r="A48" s="23" t="inlineStr">
        <is>
          <t>1058796</t>
        </is>
      </c>
      <c r="B48" s="23" t="inlineStr">
        <is>
          <t>19710</t>
        </is>
      </c>
      <c r="C48" s="23" t="inlineStr">
        <is>
          <t>€8.5m - Student Accommodation Development, Former Hassett’s Bar</t>
        </is>
      </c>
      <c r="D48" s="23" t="inlineStr">
        <is>
          <t>Caherdavin</t>
        </is>
      </c>
      <c r="E48" s="23" t="inlineStr">
        <is>
          <t>Other County Limerick</t>
        </is>
      </c>
      <c r="F48" s="23" t="inlineStr">
        <is>
          <t>Audit land – within site</t>
        </is>
      </c>
      <c r="G48" s="23" t="inlineStr">
        <is>
          <t>CITY-21</t>
        </is>
      </c>
      <c r="H48" s="23" t="inlineStr">
        <is>
          <t>Private</t>
        </is>
      </c>
      <c r="I48" s="23" t="inlineStr">
        <is>
          <t>Student (PBSA)</t>
        </is>
      </c>
      <c r="J48" s="23" t="inlineStr">
        <is>
          <t>Standard planning application</t>
        </is>
      </c>
      <c r="K48" s="23" t="inlineStr">
        <is>
          <t>Stalled (CIS)</t>
        </is>
      </c>
      <c r="L48" s="23" t="inlineStr">
        <is>
          <t>Stalled or Suspended</t>
        </is>
      </c>
      <c r="M48" s="23" t="n">
        <v>31</v>
      </c>
      <c r="N48" s="23" t="n"/>
      <c r="O48" s="23" t="inlineStr">
        <is>
          <t>2021-03-15</t>
        </is>
      </c>
      <c r="P48" s="23" t="n"/>
      <c r="Q48" s="23" t="inlineStr">
        <is>
          <t>2029-03-13</t>
        </is>
      </c>
      <c r="R48" s="23" t="n"/>
      <c r="S48" s="23" t="n"/>
      <c r="T48" s="23" t="inlineStr">
        <is>
          <t>Not projected</t>
        </is>
      </c>
      <c r="U48" s="23" t="inlineStr">
        <is>
          <t>Stalled – not projected</t>
        </is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31</v>
      </c>
    </row>
    <row r="49">
      <c r="A49" s="23" t="inlineStr">
        <is>
          <t>1391659</t>
        </is>
      </c>
      <c r="B49" s="23" t="inlineStr">
        <is>
          <t>2560151</t>
        </is>
      </c>
      <c r="C49" s="23" t="inlineStr">
        <is>
          <t>€6.2m - Residential Development, Limerick</t>
        </is>
      </c>
      <c r="D49" s="23" t="inlineStr">
        <is>
          <t>Singland/Garryowen</t>
        </is>
      </c>
      <c r="E49" s="23" t="inlineStr">
        <is>
          <t>Limerick City and Suburbs</t>
        </is>
      </c>
      <c r="F49" s="23" t="inlineStr">
        <is>
          <t>Audit land – within site</t>
        </is>
      </c>
      <c r="G49" s="23" t="inlineStr">
        <is>
          <t>CITY-74</t>
        </is>
      </c>
      <c r="H49" s="23" t="inlineStr">
        <is>
          <t>Private</t>
        </is>
      </c>
      <c r="I49" s="23" t="inlineStr">
        <is>
          <t>Market (incl. Part V)</t>
        </is>
      </c>
      <c r="J49" s="23" t="inlineStr">
        <is>
          <t>Standard planning application</t>
        </is>
      </c>
      <c r="K49" s="23" t="inlineStr">
        <is>
          <t>Under construction</t>
        </is>
      </c>
      <c r="L49" s="23" t="inlineStr">
        <is>
          <t>Contract Awarded</t>
        </is>
      </c>
      <c r="M49" s="23" t="n">
        <v>31</v>
      </c>
      <c r="N49" s="23" t="n"/>
      <c r="O49" s="23" t="inlineStr">
        <is>
          <t>2025-11-27</t>
        </is>
      </c>
      <c r="P49" s="23" t="inlineStr">
        <is>
          <t>2026-05-12</t>
        </is>
      </c>
      <c r="Q49" s="23" t="inlineStr">
        <is>
          <t>2030-11-26</t>
        </is>
      </c>
      <c r="R49" s="23" t="inlineStr">
        <is>
          <t>2026 Q2</t>
        </is>
      </c>
      <c r="S49" s="23" t="inlineStr">
        <is>
          <t>2028 Q1</t>
        </is>
      </c>
      <c r="T49" s="23" t="inlineStr">
        <is>
          <t>High</t>
        </is>
      </c>
      <c r="U49" s="23" t="inlineStr">
        <is>
          <t>On site: started 2026-05</t>
        </is>
      </c>
      <c r="V49" s="23" t="n">
        <v>0</v>
      </c>
      <c r="W49" s="23" t="n">
        <v>0</v>
      </c>
      <c r="X49" s="23" t="n">
        <v>28.5</v>
      </c>
      <c r="Y49" s="23" t="n">
        <v>2.5</v>
      </c>
      <c r="Z49" s="23" t="n">
        <v>0</v>
      </c>
      <c r="AA49" s="23" t="n">
        <v>0</v>
      </c>
      <c r="AB49" s="23" t="n">
        <v>0</v>
      </c>
      <c r="AC49" s="23" t="n">
        <v>0</v>
      </c>
    </row>
    <row r="50">
      <c r="A50" s="23" t="inlineStr">
        <is>
          <t>1393371</t>
        </is>
      </c>
      <c r="B50" s="23" t="inlineStr">
        <is>
          <t>2560169</t>
        </is>
      </c>
      <c r="C50" s="23" t="inlineStr">
        <is>
          <t>€4.8m - Mixed Use Development, Limerick</t>
        </is>
      </c>
      <c r="D50" s="23" t="inlineStr">
        <is>
          <t>Singland/Garryowen</t>
        </is>
      </c>
      <c r="E50" s="23" t="inlineStr">
        <is>
          <t>Limerick City and Suburbs</t>
        </is>
      </c>
      <c r="F50" s="23" t="inlineStr">
        <is>
          <t>Audit land – within site</t>
        </is>
      </c>
      <c r="G50" s="23" t="inlineStr">
        <is>
          <t>CITY-83</t>
        </is>
      </c>
      <c r="H50" s="23" t="inlineStr">
        <is>
          <t>Private</t>
        </is>
      </c>
      <c r="I50" s="23" t="inlineStr">
        <is>
          <t>Market (incl. Part V)</t>
        </is>
      </c>
      <c r="J50" s="23" t="inlineStr">
        <is>
          <t>Standard planning application</t>
        </is>
      </c>
      <c r="K50" s="23" t="inlineStr">
        <is>
          <t>Not started – permission live</t>
        </is>
      </c>
      <c r="L50" s="23" t="inlineStr">
        <is>
          <t>Permission Granted</t>
        </is>
      </c>
      <c r="M50" s="23" t="n">
        <v>30</v>
      </c>
      <c r="N50" s="23" t="n"/>
      <c r="O50" s="23" t="inlineStr">
        <is>
          <t>2025-08-13</t>
        </is>
      </c>
      <c r="P50" s="23" t="n"/>
      <c r="Q50" s="23" t="inlineStr">
        <is>
          <t>2030-08-12</t>
        </is>
      </c>
      <c r="R50" s="23" t="inlineStr">
        <is>
          <t>2027 Q1</t>
        </is>
      </c>
      <c r="S50" s="23" t="inlineStr">
        <is>
          <t>2028 Q4</t>
        </is>
      </c>
      <c r="T50" s="23" t="inlineStr">
        <is>
          <t>Medium</t>
        </is>
      </c>
      <c r="U50" s="23" t="inlineStr">
        <is>
          <t>Permitted 2025-08; typical start 1.6 yrs after grant</t>
        </is>
      </c>
      <c r="V50" s="23" t="n">
        <v>0</v>
      </c>
      <c r="W50" s="23" t="n">
        <v>0</v>
      </c>
      <c r="X50" s="23" t="n">
        <v>1.4</v>
      </c>
      <c r="Y50" s="23" t="n">
        <v>28.6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>
      <c r="A51" s="23" t="inlineStr">
        <is>
          <t>1162677</t>
        </is>
      </c>
      <c r="B51" s="23" t="inlineStr">
        <is>
          <t>21520</t>
        </is>
      </c>
      <c r="C51" s="23" t="inlineStr">
        <is>
          <t>€6.5m - Housing Development Limerick</t>
        </is>
      </c>
      <c r="D51" s="23" t="inlineStr">
        <is>
          <t>Corbally/Grove Island</t>
        </is>
      </c>
      <c r="E51" s="23" t="inlineStr">
        <is>
          <t>Limerick City and Suburbs</t>
        </is>
      </c>
      <c r="F51" s="23" t="inlineStr">
        <is>
          <t>Audit land – within site</t>
        </is>
      </c>
      <c r="G51" s="23" t="inlineStr">
        <is>
          <t>CITY-31</t>
        </is>
      </c>
      <c r="H51" s="23" t="inlineStr">
        <is>
          <t>Private</t>
        </is>
      </c>
      <c r="I51" s="23" t="inlineStr">
        <is>
          <t>Market (incl. Part V)</t>
        </is>
      </c>
      <c r="J51" s="23" t="inlineStr">
        <is>
          <t>Standard planning application</t>
        </is>
      </c>
      <c r="K51" s="23" t="inlineStr">
        <is>
          <t>Under construction</t>
        </is>
      </c>
      <c r="L51" s="23" t="inlineStr">
        <is>
          <t>On Site</t>
        </is>
      </c>
      <c r="M51" s="23" t="n">
        <v>26</v>
      </c>
      <c r="N51" s="23" t="n"/>
      <c r="O51" s="23" t="inlineStr">
        <is>
          <t>2023-12-04</t>
        </is>
      </c>
      <c r="P51" s="23" t="inlineStr">
        <is>
          <t>2024-07-17</t>
        </is>
      </c>
      <c r="Q51" s="23" t="inlineStr">
        <is>
          <t>2028-12-03</t>
        </is>
      </c>
      <c r="R51" s="23" t="inlineStr">
        <is>
          <t>2024 Q3</t>
        </is>
      </c>
      <c r="S51" s="23" t="inlineStr">
        <is>
          <t>2027 Q4</t>
        </is>
      </c>
      <c r="T51" s="23" t="inlineStr">
        <is>
          <t>High</t>
        </is>
      </c>
      <c r="U51" s="23" t="inlineStr">
        <is>
          <t>On site: started 2024-07</t>
        </is>
      </c>
      <c r="V51" s="23" t="n">
        <v>0</v>
      </c>
      <c r="W51" s="23" t="n">
        <v>6.1</v>
      </c>
      <c r="X51" s="23" t="n">
        <v>19.9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>
      <c r="A52" s="23" t="inlineStr">
        <is>
          <t>1259753</t>
        </is>
      </c>
      <c r="B52" s="23" t="inlineStr">
        <is>
          <t>221216</t>
        </is>
      </c>
      <c r="C52" s="23" t="inlineStr">
        <is>
          <t>€14m - Old Dublin Road Student Village LRD, Limerick City</t>
        </is>
      </c>
      <c r="D52" s="23" t="inlineStr">
        <is>
          <t>Singland/Garryowen</t>
        </is>
      </c>
      <c r="E52" s="23" t="inlineStr">
        <is>
          <t>Limerick City and Suburbs</t>
        </is>
      </c>
      <c r="F52" s="23" t="inlineStr">
        <is>
          <t>Audit land – within site</t>
        </is>
      </c>
      <c r="G52" s="23" t="inlineStr">
        <is>
          <t>CITY-52</t>
        </is>
      </c>
      <c r="H52" s="23" t="inlineStr">
        <is>
          <t>Private</t>
        </is>
      </c>
      <c r="I52" s="23" t="inlineStr">
        <is>
          <t>Student (PBSA)</t>
        </is>
      </c>
      <c r="J52" s="23" t="inlineStr">
        <is>
          <t>LRD</t>
        </is>
      </c>
      <c r="K52" s="23" t="inlineStr">
        <is>
          <t>Under construction</t>
        </is>
      </c>
      <c r="L52" s="23" t="inlineStr">
        <is>
          <t>On Site</t>
        </is>
      </c>
      <c r="M52" s="23" t="n">
        <v>26</v>
      </c>
      <c r="N52" s="23" t="n">
        <v>202</v>
      </c>
      <c r="O52" s="23" t="inlineStr">
        <is>
          <t>2023-05-17</t>
        </is>
      </c>
      <c r="P52" s="23" t="inlineStr">
        <is>
          <t>2024-12-27</t>
        </is>
      </c>
      <c r="Q52" s="23" t="inlineStr">
        <is>
          <t>2028-05-16</t>
        </is>
      </c>
      <c r="R52" s="23" t="inlineStr">
        <is>
          <t>2024 Q4</t>
        </is>
      </c>
      <c r="S52" s="23" t="inlineStr">
        <is>
          <t>2027 Q2</t>
        </is>
      </c>
      <c r="T52" s="23" t="inlineStr">
        <is>
          <t>High</t>
        </is>
      </c>
      <c r="U52" s="23" t="inlineStr">
        <is>
          <t>On site: started 2024-12; student block completes in one go</t>
        </is>
      </c>
      <c r="V52" s="23" t="n">
        <v>0</v>
      </c>
      <c r="W52" s="23" t="n">
        <v>0</v>
      </c>
      <c r="X52" s="23" t="n">
        <v>26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</row>
    <row r="53">
      <c r="A53" s="23" t="inlineStr">
        <is>
          <t>1357447</t>
        </is>
      </c>
      <c r="B53" s="23" t="inlineStr">
        <is>
          <t>2460713</t>
        </is>
      </c>
      <c r="C53" s="23" t="inlineStr">
        <is>
          <t>€4.2m - Apartment Development, Limerick City</t>
        </is>
      </c>
      <c r="D53" s="23" t="inlineStr">
        <is>
          <t>Singland/Garryowen</t>
        </is>
      </c>
      <c r="E53" s="23" t="inlineStr">
        <is>
          <t>Limerick City and Suburbs</t>
        </is>
      </c>
      <c r="F53" s="23" t="inlineStr">
        <is>
          <t>Audit land – within site</t>
        </is>
      </c>
      <c r="G53" s="23" t="inlineStr">
        <is>
          <t>CITY-49</t>
        </is>
      </c>
      <c r="H53" s="23" t="inlineStr">
        <is>
          <t>Private</t>
        </is>
      </c>
      <c r="I53" s="23" t="inlineStr">
        <is>
          <t>Market (incl. Part V)</t>
        </is>
      </c>
      <c r="J53" s="23" t="inlineStr">
        <is>
          <t>Standard planning application</t>
        </is>
      </c>
      <c r="K53" s="23" t="inlineStr">
        <is>
          <t>Not started – permission live</t>
        </is>
      </c>
      <c r="L53" s="23" t="inlineStr">
        <is>
          <t>Permission Granted</t>
        </is>
      </c>
      <c r="M53" s="23" t="n">
        <v>25</v>
      </c>
      <c r="N53" s="23" t="n"/>
      <c r="O53" s="23" t="inlineStr">
        <is>
          <t>2025-10-31</t>
        </is>
      </c>
      <c r="P53" s="23" t="n"/>
      <c r="Q53" s="23" t="inlineStr">
        <is>
          <t>2030-10-30</t>
        </is>
      </c>
      <c r="R53" s="23" t="inlineStr">
        <is>
          <t>2027 Q2</t>
        </is>
      </c>
      <c r="S53" s="23" t="inlineStr">
        <is>
          <t>2029 Q1</t>
        </is>
      </c>
      <c r="T53" s="23" t="inlineStr">
        <is>
          <t>Medium</t>
        </is>
      </c>
      <c r="U53" s="23" t="inlineStr">
        <is>
          <t>Permitted 2025-10; typical start 1.6 yrs after grant</t>
        </is>
      </c>
      <c r="V53" s="23" t="n">
        <v>0</v>
      </c>
      <c r="W53" s="23" t="n">
        <v>0</v>
      </c>
      <c r="X53" s="23" t="n">
        <v>0</v>
      </c>
      <c r="Y53" s="23" t="n">
        <v>20.8</v>
      </c>
      <c r="Z53" s="23" t="n">
        <v>4.2</v>
      </c>
      <c r="AA53" s="23" t="n">
        <v>0</v>
      </c>
      <c r="AB53" s="23" t="n">
        <v>0</v>
      </c>
      <c r="AC53" s="23" t="n">
        <v>0</v>
      </c>
    </row>
    <row r="54">
      <c r="A54" s="23" t="inlineStr">
        <is>
          <t>1414128</t>
        </is>
      </c>
      <c r="B54" s="23" t="inlineStr">
        <is>
          <t>2560953</t>
        </is>
      </c>
      <c r="C54" s="23" t="inlineStr">
        <is>
          <t>€4.8m - Residential Development, Limerick</t>
        </is>
      </c>
      <c r="D54" s="23" t="inlineStr">
        <is>
          <t>Corbally/Grove Island</t>
        </is>
      </c>
      <c r="E54" s="23" t="inlineStr">
        <is>
          <t>Limerick City and Suburbs</t>
        </is>
      </c>
      <c r="F54" s="23" t="inlineStr">
        <is>
          <t>Audit land – within site</t>
        </is>
      </c>
      <c r="G54" s="23" t="inlineStr">
        <is>
          <t>CITY-30</t>
        </is>
      </c>
      <c r="H54" s="23" t="inlineStr">
        <is>
          <t>Private</t>
        </is>
      </c>
      <c r="I54" s="23" t="inlineStr">
        <is>
          <t>Market (incl. Part V)</t>
        </is>
      </c>
      <c r="J54" s="23" t="inlineStr">
        <is>
          <t>Standard planning application</t>
        </is>
      </c>
      <c r="K54" s="23" t="inlineStr">
        <is>
          <t>Not started – permission live</t>
        </is>
      </c>
      <c r="L54" s="23" t="inlineStr">
        <is>
          <t>Permission Granted</t>
        </is>
      </c>
      <c r="M54" s="23" t="n">
        <v>25</v>
      </c>
      <c r="N54" s="23" t="n"/>
      <c r="O54" s="23" t="inlineStr">
        <is>
          <t>2026-04-29</t>
        </is>
      </c>
      <c r="P54" s="23" t="n"/>
      <c r="Q54" s="23" t="inlineStr">
        <is>
          <t>2031-04-28</t>
        </is>
      </c>
      <c r="R54" s="23" t="inlineStr">
        <is>
          <t>2027 Q4</t>
        </is>
      </c>
      <c r="S54" s="23" t="inlineStr">
        <is>
          <t>2029 Q3</t>
        </is>
      </c>
      <c r="T54" s="23" t="inlineStr">
        <is>
          <t>Medium</t>
        </is>
      </c>
      <c r="U54" s="23" t="inlineStr">
        <is>
          <t>Permitted 2026-04; typical start 1.6 yrs after grant</t>
        </is>
      </c>
      <c r="V54" s="23" t="n">
        <v>0</v>
      </c>
      <c r="W54" s="23" t="n">
        <v>0</v>
      </c>
      <c r="X54" s="23" t="n">
        <v>0</v>
      </c>
      <c r="Y54" s="23" t="n">
        <v>8.5</v>
      </c>
      <c r="Z54" s="23" t="n">
        <v>16.5</v>
      </c>
      <c r="AA54" s="23" t="n">
        <v>0</v>
      </c>
      <c r="AB54" s="23" t="n">
        <v>0</v>
      </c>
      <c r="AC54" s="23" t="n">
        <v>0</v>
      </c>
    </row>
    <row r="55">
      <c r="A55" s="23" t="inlineStr">
        <is>
          <t>1241529</t>
        </is>
      </c>
      <c r="B55" s="23" t="inlineStr">
        <is>
          <t>22793</t>
        </is>
      </c>
      <c r="C55" s="23" t="inlineStr">
        <is>
          <t>€4.5m - Housing Development, Limerick City</t>
        </is>
      </c>
      <c r="D55" s="23" t="inlineStr">
        <is>
          <t>Singland/Garryowen</t>
        </is>
      </c>
      <c r="E55" s="23" t="inlineStr">
        <is>
          <t>Limerick City and Suburbs</t>
        </is>
      </c>
      <c r="F55" s="23" t="inlineStr">
        <is>
          <t>Audit land – within site</t>
        </is>
      </c>
      <c r="G55" s="23" t="inlineStr">
        <is>
          <t>CITY-81</t>
        </is>
      </c>
      <c r="H55" s="23" t="inlineStr">
        <is>
          <t>Private</t>
        </is>
      </c>
      <c r="I55" s="23" t="inlineStr">
        <is>
          <t>Market (incl. Part V)</t>
        </is>
      </c>
      <c r="J55" s="23" t="inlineStr">
        <is>
          <t>Standard planning application</t>
        </is>
      </c>
      <c r="K55" s="23" t="inlineStr">
        <is>
          <t>Under construction</t>
        </is>
      </c>
      <c r="L55" s="23" t="inlineStr">
        <is>
          <t>Contract Awarded</t>
        </is>
      </c>
      <c r="M55" s="23" t="n">
        <v>20</v>
      </c>
      <c r="N55" s="23" t="n"/>
      <c r="O55" s="23" t="inlineStr">
        <is>
          <t>2024-02-01</t>
        </is>
      </c>
      <c r="P55" s="23" t="inlineStr">
        <is>
          <t>2024-12-31</t>
        </is>
      </c>
      <c r="Q55" s="23" t="inlineStr">
        <is>
          <t>2029-01-31</t>
        </is>
      </c>
      <c r="R55" s="23" t="inlineStr">
        <is>
          <t>2025 Q1</t>
        </is>
      </c>
      <c r="S55" s="23" t="inlineStr">
        <is>
          <t>2027 Q4</t>
        </is>
      </c>
      <c r="T55" s="23" t="inlineStr">
        <is>
          <t>High</t>
        </is>
      </c>
      <c r="U55" s="23" t="inlineStr">
        <is>
          <t>On site: started 2024-12</t>
        </is>
      </c>
      <c r="V55" s="23" t="n">
        <v>0</v>
      </c>
      <c r="W55" s="23" t="n">
        <v>4.7</v>
      </c>
      <c r="X55" s="23" t="n">
        <v>15.3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</row>
    <row r="56">
      <c r="A56" s="23" t="inlineStr">
        <is>
          <t>1363929</t>
        </is>
      </c>
      <c r="B56" s="23" t="inlineStr">
        <is>
          <t>2460864</t>
        </is>
      </c>
      <c r="C56" s="23" t="inlineStr">
        <is>
          <t>€4.2m - Residential Development</t>
        </is>
      </c>
      <c r="D56" s="23" t="inlineStr">
        <is>
          <t>Corbally/Grove Island</t>
        </is>
      </c>
      <c r="E56" s="23" t="inlineStr">
        <is>
          <t>Limerick City and Suburbs</t>
        </is>
      </c>
      <c r="F56" s="23" t="inlineStr">
        <is>
          <t>Audit land – within site</t>
        </is>
      </c>
      <c r="G56" s="23" t="inlineStr">
        <is>
          <t>CITY-34</t>
        </is>
      </c>
      <c r="H56" s="23" t="inlineStr">
        <is>
          <t>Private</t>
        </is>
      </c>
      <c r="I56" s="23" t="inlineStr">
        <is>
          <t>Market (incl. Part V)</t>
        </is>
      </c>
      <c r="J56" s="23" t="inlineStr">
        <is>
          <t>Standard planning application</t>
        </is>
      </c>
      <c r="K56" s="23" t="inlineStr">
        <is>
          <t>Not started – permission live</t>
        </is>
      </c>
      <c r="L56" s="23" t="inlineStr">
        <is>
          <t>Permission Granted</t>
        </is>
      </c>
      <c r="M56" s="23" t="n">
        <v>15</v>
      </c>
      <c r="N56" s="23" t="n"/>
      <c r="O56" s="23" t="inlineStr">
        <is>
          <t>2025-09-18</t>
        </is>
      </c>
      <c r="P56" s="23" t="n"/>
      <c r="Q56" s="23" t="inlineStr">
        <is>
          <t>2030-09-17</t>
        </is>
      </c>
      <c r="R56" s="23" t="inlineStr">
        <is>
          <t>2027 Q1</t>
        </is>
      </c>
      <c r="S56" s="23" t="inlineStr">
        <is>
          <t>2029 Q1</t>
        </is>
      </c>
      <c r="T56" s="23" t="inlineStr">
        <is>
          <t>Medium</t>
        </is>
      </c>
      <c r="U56" s="23" t="inlineStr">
        <is>
          <t>Permitted 2025-09; typical start 1.4 yrs after grant</t>
        </is>
      </c>
      <c r="V56" s="23" t="n">
        <v>0</v>
      </c>
      <c r="W56" s="23" t="n">
        <v>0</v>
      </c>
      <c r="X56" s="23" t="n">
        <v>0</v>
      </c>
      <c r="Y56" s="23" t="n">
        <v>15</v>
      </c>
      <c r="Z56" s="23" t="n">
        <v>0</v>
      </c>
      <c r="AA56" s="23" t="n">
        <v>0</v>
      </c>
      <c r="AB56" s="23" t="n">
        <v>0</v>
      </c>
      <c r="AC56" s="23" t="n">
        <v>0</v>
      </c>
    </row>
    <row r="57">
      <c r="A57" s="23" t="inlineStr">
        <is>
          <t>1173364</t>
        </is>
      </c>
      <c r="B57" s="23" t="inlineStr">
        <is>
          <t>21835</t>
        </is>
      </c>
      <c r="C57" s="23" t="inlineStr">
        <is>
          <t>€3.5m - Apartment Development, Limerick</t>
        </is>
      </c>
      <c r="D57" s="23" t="inlineStr">
        <is>
          <t>Singland/Garryowen</t>
        </is>
      </c>
      <c r="E57" s="23" t="inlineStr">
        <is>
          <t>Other County Limerick</t>
        </is>
      </c>
      <c r="F57" s="23" t="inlineStr">
        <is>
          <t>Audit land – within site</t>
        </is>
      </c>
      <c r="G57" s="23" t="inlineStr">
        <is>
          <t>CITY-83</t>
        </is>
      </c>
      <c r="H57" s="23" t="inlineStr">
        <is>
          <t>Private</t>
        </is>
      </c>
      <c r="I57" s="23" t="inlineStr">
        <is>
          <t>Market (incl. Part V)</t>
        </is>
      </c>
      <c r="J57" s="23" t="inlineStr">
        <is>
          <t>Standard planning application</t>
        </is>
      </c>
      <c r="K57" s="23" t="inlineStr">
        <is>
          <t>Not started – permission live</t>
        </is>
      </c>
      <c r="L57" s="23" t="inlineStr">
        <is>
          <t>Permission Granted</t>
        </is>
      </c>
      <c r="M57" s="23" t="n">
        <v>14</v>
      </c>
      <c r="N57" s="23" t="n"/>
      <c r="O57" s="23" t="inlineStr">
        <is>
          <t>2022-02-17</t>
        </is>
      </c>
      <c r="P57" s="23" t="n"/>
      <c r="Q57" s="23" t="inlineStr">
        <is>
          <t>2027-02-16</t>
        </is>
      </c>
      <c r="R57" s="23" t="inlineStr">
        <is>
          <t>2027 Q3</t>
        </is>
      </c>
      <c r="S57" s="23" t="inlineStr">
        <is>
          <t>2029 Q2</t>
        </is>
      </c>
      <c r="T57" s="23" t="inlineStr">
        <is>
          <t>Low</t>
        </is>
      </c>
      <c r="U57" s="23" t="inlineStr">
        <is>
          <t>Permitted 2022-02, past typical start date with no commencement: start assumed in 9 months; expiry falls before assumed start</t>
        </is>
      </c>
      <c r="V57" s="23" t="n">
        <v>0</v>
      </c>
      <c r="W57" s="23" t="n">
        <v>0</v>
      </c>
      <c r="X57" s="23" t="n">
        <v>0</v>
      </c>
      <c r="Y57" s="23" t="n">
        <v>8.199999999999999</v>
      </c>
      <c r="Z57" s="23" t="n">
        <v>5.8</v>
      </c>
      <c r="AA57" s="23" t="n">
        <v>0</v>
      </c>
      <c r="AB57" s="23" t="n">
        <v>0</v>
      </c>
      <c r="AC57" s="23" t="n">
        <v>0</v>
      </c>
    </row>
    <row r="58">
      <c r="A58" s="23" t="inlineStr">
        <is>
          <t>1245941</t>
        </is>
      </c>
      <c r="B58" s="23" t="inlineStr">
        <is>
          <t>22917</t>
        </is>
      </c>
      <c r="C58" s="23" t="inlineStr">
        <is>
          <t>€3.6m - Mixed Use Development, Limerick</t>
        </is>
      </c>
      <c r="D58" s="23" t="inlineStr">
        <is>
          <t>Caherdavin</t>
        </is>
      </c>
      <c r="E58" s="23" t="inlineStr">
        <is>
          <t>Other County Limerick</t>
        </is>
      </c>
      <c r="F58" s="23" t="inlineStr">
        <is>
          <t>Audit land – within site</t>
        </is>
      </c>
      <c r="G58" s="23" t="inlineStr">
        <is>
          <t>CITY-6</t>
        </is>
      </c>
      <c r="H58" s="23" t="inlineStr">
        <is>
          <t>Private</t>
        </is>
      </c>
      <c r="I58" s="23" t="inlineStr">
        <is>
          <t>Market (incl. Part V)</t>
        </is>
      </c>
      <c r="J58" s="23" t="inlineStr">
        <is>
          <t>Standard planning application</t>
        </is>
      </c>
      <c r="K58" s="23" t="inlineStr">
        <is>
          <t>Not started – permission live</t>
        </is>
      </c>
      <c r="L58" s="23" t="inlineStr">
        <is>
          <t>Permission Granted</t>
        </is>
      </c>
      <c r="M58" s="23" t="n">
        <v>12</v>
      </c>
      <c r="N58" s="23" t="n"/>
      <c r="O58" s="23" t="inlineStr">
        <is>
          <t>2023-10-03</t>
        </is>
      </c>
      <c r="P58" s="23" t="n"/>
      <c r="Q58" s="23" t="inlineStr">
        <is>
          <t>2028-10-02</t>
        </is>
      </c>
      <c r="R58" s="23" t="inlineStr">
        <is>
          <t>2027 Q3</t>
        </is>
      </c>
      <c r="S58" s="23" t="inlineStr">
        <is>
          <t>2029 Q2</t>
        </is>
      </c>
      <c r="T58" s="23" t="inlineStr">
        <is>
          <t>Low</t>
        </is>
      </c>
      <c r="U58" s="23" t="inlineStr">
        <is>
          <t>Permitted 2023-10, past typical start date with no commencement: start assumed in 9 months</t>
        </is>
      </c>
      <c r="V58" s="23" t="n">
        <v>0</v>
      </c>
      <c r="W58" s="23" t="n">
        <v>0</v>
      </c>
      <c r="X58" s="23" t="n">
        <v>0</v>
      </c>
      <c r="Y58" s="23" t="n">
        <v>7</v>
      </c>
      <c r="Z58" s="23" t="n">
        <v>5</v>
      </c>
      <c r="AA58" s="23" t="n">
        <v>0</v>
      </c>
      <c r="AB58" s="23" t="n">
        <v>0</v>
      </c>
      <c r="AC58" s="23" t="n">
        <v>0</v>
      </c>
    </row>
    <row r="59">
      <c r="A59" s="23" t="inlineStr">
        <is>
          <t>1412257</t>
        </is>
      </c>
      <c r="B59" s="23" t="inlineStr">
        <is>
          <t>2560778</t>
        </is>
      </c>
      <c r="C59" s="23" t="inlineStr">
        <is>
          <t>€1.2m - 10 Houses, Crossagalla</t>
        </is>
      </c>
      <c r="D59" s="23" t="inlineStr">
        <is>
          <t>Southhill</t>
        </is>
      </c>
      <c r="E59" s="23" t="inlineStr">
        <is>
          <t>Kilmallock</t>
        </is>
      </c>
      <c r="F59" s="23" t="inlineStr">
        <is>
          <t>Audit land – within site</t>
        </is>
      </c>
      <c r="G59" s="23" t="inlineStr">
        <is>
          <t>CITY-113</t>
        </is>
      </c>
      <c r="H59" s="23" t="inlineStr">
        <is>
          <t>Private</t>
        </is>
      </c>
      <c r="I59" s="23" t="inlineStr">
        <is>
          <t>Market (incl. Part V)</t>
        </is>
      </c>
      <c r="J59" s="23" t="inlineStr">
        <is>
          <t>Standard planning application</t>
        </is>
      </c>
      <c r="K59" s="23" t="inlineStr">
        <is>
          <t>Not started – permission live</t>
        </is>
      </c>
      <c r="L59" s="23" t="inlineStr">
        <is>
          <t>Contract Awarded</t>
        </is>
      </c>
      <c r="M59" s="23" t="n">
        <v>10</v>
      </c>
      <c r="N59" s="23" t="n"/>
      <c r="O59" s="23" t="inlineStr">
        <is>
          <t>2026-02-24</t>
        </is>
      </c>
      <c r="P59" s="23" t="n"/>
      <c r="Q59" s="23" t="inlineStr">
        <is>
          <t>2031-02-23</t>
        </is>
      </c>
      <c r="R59" s="23" t="inlineStr">
        <is>
          <t>2027 Q2</t>
        </is>
      </c>
      <c r="S59" s="23" t="inlineStr">
        <is>
          <t>2029 Q1</t>
        </is>
      </c>
      <c r="T59" s="23" t="inlineStr">
        <is>
          <t>Medium</t>
        </is>
      </c>
      <c r="U59" s="23" t="inlineStr">
        <is>
          <t>Contract Awarded (CIS): start assumed within 6 months</t>
        </is>
      </c>
      <c r="V59" s="23" t="n">
        <v>0</v>
      </c>
      <c r="W59" s="23" t="n">
        <v>0</v>
      </c>
      <c r="X59" s="23" t="n">
        <v>0</v>
      </c>
      <c r="Y59" s="23" t="n">
        <v>8.4</v>
      </c>
      <c r="Z59" s="23" t="n">
        <v>1.6</v>
      </c>
      <c r="AA59" s="23" t="n">
        <v>0</v>
      </c>
      <c r="AB59" s="23" t="n">
        <v>0</v>
      </c>
      <c r="AC59" s="23" t="n">
        <v>0</v>
      </c>
    </row>
    <row r="60">
      <c r="A60" s="23" t="inlineStr">
        <is>
          <t>978022</t>
        </is>
      </c>
      <c r="B60" s="23" t="inlineStr">
        <is>
          <t>18168</t>
        </is>
      </c>
      <c r="C60" s="23" t="inlineStr">
        <is>
          <t>€3m - Mixed Use Development</t>
        </is>
      </c>
      <c r="D60" s="23" t="inlineStr">
        <is>
          <t>City Centre</t>
        </is>
      </c>
      <c r="E60" s="23" t="inlineStr">
        <is>
          <t>Other County Limerick</t>
        </is>
      </c>
      <c r="F60" s="23" t="inlineStr">
        <is>
          <t>Audit land – within site</t>
        </is>
      </c>
      <c r="G60" s="23" t="inlineStr">
        <is>
          <t>CITY-101</t>
        </is>
      </c>
      <c r="H60" s="23" t="inlineStr">
        <is>
          <t>Private</t>
        </is>
      </c>
      <c r="I60" s="23" t="inlineStr">
        <is>
          <t>Market (incl. Part V)</t>
        </is>
      </c>
      <c r="J60" s="23" t="inlineStr">
        <is>
          <t>Standard planning application</t>
        </is>
      </c>
      <c r="K60" s="23" t="inlineStr">
        <is>
          <t>Not started – past expiry</t>
        </is>
      </c>
      <c r="L60" s="23" t="inlineStr">
        <is>
          <t>Permission Granted</t>
        </is>
      </c>
      <c r="M60" s="23" t="n">
        <v>8</v>
      </c>
      <c r="N60" s="23" t="n"/>
      <c r="O60" s="23" t="inlineStr">
        <is>
          <t>2018-07-19</t>
        </is>
      </c>
      <c r="P60" s="23" t="n"/>
      <c r="Q60" s="23" t="inlineStr">
        <is>
          <t>2023-07-18</t>
        </is>
      </c>
      <c r="R60" s="23" t="n"/>
      <c r="S60" s="23" t="n"/>
      <c r="T60" s="23" t="inlineStr">
        <is>
          <t>Not projected</t>
        </is>
      </c>
      <c r="U60" s="23" t="inlineStr">
        <is>
          <t>Permission expired – not projected</t>
        </is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8</v>
      </c>
    </row>
    <row r="61">
      <c r="A61" s="23" t="inlineStr">
        <is>
          <t>1120093</t>
        </is>
      </c>
      <c r="B61" s="23" t="inlineStr">
        <is>
          <t>20827</t>
        </is>
      </c>
      <c r="C61" s="23" t="inlineStr">
        <is>
          <t xml:space="preserve">€864k - 4 Houses </t>
        </is>
      </c>
      <c r="D61" s="23" t="inlineStr">
        <is>
          <t>Singland/Garryowen</t>
        </is>
      </c>
      <c r="E61" s="23" t="inlineStr">
        <is>
          <t>Other County Limerick</t>
        </is>
      </c>
      <c r="F61" s="23" t="inlineStr">
        <is>
          <t>Audit land – within site</t>
        </is>
      </c>
      <c r="G61" s="23" t="inlineStr">
        <is>
          <t>CITY-50</t>
        </is>
      </c>
      <c r="H61" s="23" t="inlineStr">
        <is>
          <t>Private</t>
        </is>
      </c>
      <c r="I61" s="23" t="inlineStr">
        <is>
          <t>Market (incl. Part V)</t>
        </is>
      </c>
      <c r="J61" s="23" t="inlineStr">
        <is>
          <t>Standard planning application</t>
        </is>
      </c>
      <c r="K61" s="23" t="inlineStr">
        <is>
          <t>Not started – past expiry</t>
        </is>
      </c>
      <c r="L61" s="23" t="inlineStr">
        <is>
          <t>Permission Granted</t>
        </is>
      </c>
      <c r="M61" s="23" t="n">
        <v>4</v>
      </c>
      <c r="N61" s="23" t="n"/>
      <c r="O61" s="23" t="inlineStr">
        <is>
          <t>2021-08-26</t>
        </is>
      </c>
      <c r="P61" s="23" t="n"/>
      <c r="Q61" s="23" t="inlineStr">
        <is>
          <t>2026-08-25</t>
        </is>
      </c>
      <c r="R61" s="23" t="n"/>
      <c r="S61" s="23" t="n"/>
      <c r="T61" s="23" t="inlineStr">
        <is>
          <t>Not projected</t>
        </is>
      </c>
      <c r="U61" s="23" t="inlineStr">
        <is>
          <t>Permission expired – not projected</t>
        </is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4</v>
      </c>
    </row>
    <row r="62">
      <c r="A62" s="23" t="inlineStr">
        <is>
          <t>1442414</t>
        </is>
      </c>
      <c r="B62" s="23" t="inlineStr">
        <is>
          <t>2660652</t>
        </is>
      </c>
      <c r="C62" s="23" t="inlineStr">
        <is>
          <t>€540k - 4 Apartments, Limerick</t>
        </is>
      </c>
      <c r="D62" s="23" t="inlineStr">
        <is>
          <t>City Centre</t>
        </is>
      </c>
      <c r="E62" s="23" t="inlineStr">
        <is>
          <t>Limerick City and Suburbs</t>
        </is>
      </c>
      <c r="F62" s="23" t="inlineStr">
        <is>
          <t>Audit land – within site</t>
        </is>
      </c>
      <c r="G62" s="23" t="inlineStr">
        <is>
          <t>CITY-107</t>
        </is>
      </c>
      <c r="H62" s="23" t="inlineStr">
        <is>
          <t>Private</t>
        </is>
      </c>
      <c r="I62" s="23" t="inlineStr">
        <is>
          <t>Market (incl. Part V)</t>
        </is>
      </c>
      <c r="J62" s="23" t="inlineStr">
        <is>
          <t>Standard planning application</t>
        </is>
      </c>
      <c r="K62" s="23" t="inlineStr">
        <is>
          <t>In planning</t>
        </is>
      </c>
      <c r="L62" s="23" t="inlineStr">
        <is>
          <t>Plans Submitted</t>
        </is>
      </c>
      <c r="M62" s="23" t="n">
        <v>4</v>
      </c>
      <c r="N62" s="23" t="n"/>
      <c r="O62" s="23" t="n"/>
      <c r="P62" s="23" t="n"/>
      <c r="Q62" s="23" t="n"/>
      <c r="R62" s="23" t="n"/>
      <c r="S62" s="23" t="n"/>
      <c r="T62" s="23" t="inlineStr">
        <is>
          <t>Not projected</t>
        </is>
      </c>
      <c r="U62" s="23" t="inlineStr">
        <is>
          <t>Not yet decided – not projected</t>
        </is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4</v>
      </c>
    </row>
    <row r="63">
      <c r="A63" s="23" t="inlineStr">
        <is>
          <t>1325143</t>
        </is>
      </c>
      <c r="B63" s="23" t="inlineStr">
        <is>
          <t>2360951</t>
        </is>
      </c>
      <c r="C63" s="23" t="inlineStr">
        <is>
          <t>€28m - Mixed Use Development, Moyross</t>
        </is>
      </c>
      <c r="D63" s="23" t="inlineStr">
        <is>
          <t>Caherdavin</t>
        </is>
      </c>
      <c r="E63" s="23" t="inlineStr">
        <is>
          <t>Other County Limerick</t>
        </is>
      </c>
      <c r="F63" s="23" t="inlineStr">
        <is>
          <t>Audit land – within site</t>
        </is>
      </c>
      <c r="G63" s="23" t="inlineStr">
        <is>
          <t>CITY-12</t>
        </is>
      </c>
      <c r="H63" s="23" t="inlineStr">
        <is>
          <t>Public – AHB</t>
        </is>
      </c>
      <c r="I63" s="23" t="inlineStr">
        <is>
          <t>Social</t>
        </is>
      </c>
      <c r="J63" s="23" t="inlineStr">
        <is>
          <t>Standard planning application</t>
        </is>
      </c>
      <c r="K63" s="23" t="inlineStr">
        <is>
          <t>Under construction</t>
        </is>
      </c>
      <c r="L63" s="23" t="inlineStr">
        <is>
          <t>On Site</t>
        </is>
      </c>
      <c r="M63" s="23" t="n">
        <v>115</v>
      </c>
      <c r="N63" s="23" t="n"/>
      <c r="O63" s="23" t="inlineStr">
        <is>
          <t>2024-03-27</t>
        </is>
      </c>
      <c r="P63" s="23" t="inlineStr">
        <is>
          <t>2026-06-04</t>
        </is>
      </c>
      <c r="Q63" s="23" t="inlineStr">
        <is>
          <t>2029-03-26</t>
        </is>
      </c>
      <c r="R63" s="23" t="inlineStr">
        <is>
          <t>2026 Q2</t>
        </is>
      </c>
      <c r="S63" s="23" t="inlineStr">
        <is>
          <t>2028 Q3</t>
        </is>
      </c>
      <c r="T63" s="23" t="inlineStr">
        <is>
          <t>High</t>
        </is>
      </c>
      <c r="U63" s="23" t="inlineStr">
        <is>
          <t>On site: started 2026-06</t>
        </is>
      </c>
      <c r="V63" s="23" t="n">
        <v>0</v>
      </c>
      <c r="W63" s="23" t="n">
        <v>0</v>
      </c>
      <c r="X63" s="23" t="n">
        <v>51.6</v>
      </c>
      <c r="Y63" s="23" t="n">
        <v>63.4</v>
      </c>
      <c r="Z63" s="23" t="n">
        <v>0</v>
      </c>
      <c r="AA63" s="23" t="n">
        <v>0</v>
      </c>
      <c r="AB63" s="23" t="n">
        <v>0</v>
      </c>
      <c r="AC63" s="23" t="n">
        <v>0</v>
      </c>
    </row>
    <row r="64">
      <c r="A64" s="23" t="inlineStr">
        <is>
          <t>1202244</t>
        </is>
      </c>
      <c r="B64" s="23" t="inlineStr">
        <is>
          <t>211640</t>
        </is>
      </c>
      <c r="C64" s="23" t="inlineStr">
        <is>
          <t>€3.8m - Residential Development, Curry Lane</t>
        </is>
      </c>
      <c r="D64" s="23" t="inlineStr">
        <is>
          <t>Singland/Garryowen</t>
        </is>
      </c>
      <c r="E64" s="23" t="inlineStr">
        <is>
          <t>Other County Limerick</t>
        </is>
      </c>
      <c r="F64" s="23" t="inlineStr">
        <is>
          <t>Audit land – within site</t>
        </is>
      </c>
      <c r="G64" s="23" t="inlineStr">
        <is>
          <t>CITY-84</t>
        </is>
      </c>
      <c r="H64" s="23" t="inlineStr">
        <is>
          <t>Public – AHB</t>
        </is>
      </c>
      <c r="I64" s="23" t="inlineStr">
        <is>
          <t>Social</t>
        </is>
      </c>
      <c r="J64" s="23" t="inlineStr">
        <is>
          <t>Standard planning application</t>
        </is>
      </c>
      <c r="K64" s="23" t="inlineStr">
        <is>
          <t>Under construction</t>
        </is>
      </c>
      <c r="L64" s="23" t="inlineStr">
        <is>
          <t>Commencement Expected</t>
        </is>
      </c>
      <c r="M64" s="23" t="n">
        <v>30</v>
      </c>
      <c r="N64" s="23" t="n"/>
      <c r="O64" s="23" t="inlineStr">
        <is>
          <t>2022-03-08</t>
        </is>
      </c>
      <c r="P64" s="23" t="inlineStr">
        <is>
          <t>2024-07-11</t>
        </is>
      </c>
      <c r="Q64" s="23" t="inlineStr">
        <is>
          <t>2027-03-07</t>
        </is>
      </c>
      <c r="R64" s="23" t="inlineStr">
        <is>
          <t>2024 Q3</t>
        </is>
      </c>
      <c r="S64" s="23" t="inlineStr">
        <is>
          <t>2027 Q4</t>
        </is>
      </c>
      <c r="T64" s="23" t="inlineStr">
        <is>
          <t>High</t>
        </is>
      </c>
      <c r="U64" s="23" t="inlineStr">
        <is>
          <t>On site: started 2024-07</t>
        </is>
      </c>
      <c r="V64" s="23" t="n">
        <v>0</v>
      </c>
      <c r="W64" s="23" t="n">
        <v>7</v>
      </c>
      <c r="X64" s="23" t="n">
        <v>23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</row>
    <row r="65">
      <c r="A65" s="23" t="inlineStr">
        <is>
          <t>1412002</t>
        </is>
      </c>
      <c r="B65" s="23" t="inlineStr">
        <is>
          <t>2560780</t>
        </is>
      </c>
      <c r="C65" s="23" t="inlineStr">
        <is>
          <t>€95m - Dock Road LRD, Limerick</t>
        </is>
      </c>
      <c r="D65" s="23" t="inlineStr">
        <is>
          <t>City Centre</t>
        </is>
      </c>
      <c r="E65" s="23" t="inlineStr">
        <is>
          <t>Limerick City and Suburbs</t>
        </is>
      </c>
      <c r="F65" s="23" t="inlineStr">
        <is>
          <t>Audit land – within site</t>
        </is>
      </c>
      <c r="G65" s="23" t="inlineStr">
        <is>
          <t>CITY-91</t>
        </is>
      </c>
      <c r="H65" s="23" t="inlineStr">
        <is>
          <t>Public – LDA</t>
        </is>
      </c>
      <c r="I65" s="23" t="inlineStr">
        <is>
          <t>Affordable / cost rental</t>
        </is>
      </c>
      <c r="J65" s="23" t="inlineStr">
        <is>
          <t>LRD</t>
        </is>
      </c>
      <c r="K65" s="23" t="inlineStr">
        <is>
          <t>Not started – permission live</t>
        </is>
      </c>
      <c r="L65" s="23" t="inlineStr">
        <is>
          <t>Tender</t>
        </is>
      </c>
      <c r="M65" s="23" t="n">
        <v>285</v>
      </c>
      <c r="N65" s="23" t="n"/>
      <c r="O65" s="23" t="inlineStr">
        <is>
          <t>2026-02-11</t>
        </is>
      </c>
      <c r="P65" s="23" t="n"/>
      <c r="Q65" s="23" t="inlineStr">
        <is>
          <t>2031-02-10</t>
        </is>
      </c>
      <c r="R65" s="23" t="inlineStr">
        <is>
          <t>2027 Q4</t>
        </is>
      </c>
      <c r="S65" s="23" t="inlineStr">
        <is>
          <t>2033 Q3</t>
        </is>
      </c>
      <c r="T65" s="23" t="inlineStr">
        <is>
          <t>Medium</t>
        </is>
      </c>
      <c r="U65" s="23" t="inlineStr">
        <is>
          <t>At tender (CIS): start assumed in 6–12 months</t>
        </is>
      </c>
      <c r="V65" s="23" t="n">
        <v>0</v>
      </c>
      <c r="W65" s="23" t="n">
        <v>0</v>
      </c>
      <c r="X65" s="23" t="n">
        <v>0</v>
      </c>
      <c r="Y65" s="23" t="n">
        <v>10.1</v>
      </c>
      <c r="Z65" s="23" t="n">
        <v>61</v>
      </c>
      <c r="AA65" s="23" t="n">
        <v>61</v>
      </c>
      <c r="AB65" s="23" t="n">
        <v>152.9</v>
      </c>
      <c r="AC65" s="23" t="n">
        <v>0</v>
      </c>
    </row>
    <row r="66">
      <c r="A66" s="23" t="inlineStr">
        <is>
          <t>1147240</t>
        </is>
      </c>
      <c r="B66" s="23" t="inlineStr">
        <is>
          <t>218000</t>
        </is>
      </c>
      <c r="C66" s="23" t="inlineStr">
        <is>
          <t>€47m - The Mungret Project</t>
        </is>
      </c>
      <c r="D66" s="23" t="inlineStr">
        <is>
          <t>Dooradoyle</t>
        </is>
      </c>
      <c r="E66" s="23" t="inlineStr">
        <is>
          <t>Mungret</t>
        </is>
      </c>
      <c r="F66" s="23" t="inlineStr">
        <is>
          <t>Audit land – within site</t>
        </is>
      </c>
      <c r="G66" s="23" t="inlineStr">
        <is>
          <t>CITY-148</t>
        </is>
      </c>
      <c r="H66" s="23" t="inlineStr">
        <is>
          <t>Public – local authority</t>
        </is>
      </c>
      <c r="I66" s="23" t="inlineStr">
        <is>
          <t>Social</t>
        </is>
      </c>
      <c r="J66" s="23" t="inlineStr">
        <is>
          <t>Part 8 / council</t>
        </is>
      </c>
      <c r="K66" s="23" t="inlineStr">
        <is>
          <t>Under construction</t>
        </is>
      </c>
      <c r="L66" s="23" t="inlineStr">
        <is>
          <t>On Site</t>
        </is>
      </c>
      <c r="M66" s="23" t="n">
        <v>250</v>
      </c>
      <c r="N66" s="23" t="n"/>
      <c r="O66" s="23" t="inlineStr">
        <is>
          <t>2021-07-13</t>
        </is>
      </c>
      <c r="P66" s="23" t="inlineStr">
        <is>
          <t>2026-07-29</t>
        </is>
      </c>
      <c r="Q66" s="23" t="n"/>
      <c r="R66" s="23" t="inlineStr">
        <is>
          <t>2026 Q3</t>
        </is>
      </c>
      <c r="S66" s="23" t="inlineStr">
        <is>
          <t>2031 Q3</t>
        </is>
      </c>
      <c r="T66" s="23" t="inlineStr">
        <is>
          <t>High</t>
        </is>
      </c>
      <c r="U66" s="23" t="inlineStr">
        <is>
          <t>On site: started 2026-07</t>
        </is>
      </c>
      <c r="V66" s="23" t="n">
        <v>0</v>
      </c>
      <c r="W66" s="23" t="n">
        <v>0</v>
      </c>
      <c r="X66" s="23" t="n">
        <v>26.9</v>
      </c>
      <c r="Y66" s="23" t="n">
        <v>62.9</v>
      </c>
      <c r="Z66" s="23" t="n">
        <v>62.9</v>
      </c>
      <c r="AA66" s="23" t="n">
        <v>62.9</v>
      </c>
      <c r="AB66" s="23" t="n">
        <v>34.4</v>
      </c>
      <c r="AC66" s="23" t="n">
        <v>0</v>
      </c>
    </row>
    <row r="67">
      <c r="A67" s="23" t="inlineStr">
        <is>
          <t>1425841</t>
        </is>
      </c>
      <c r="B67" s="23" t="inlineStr">
        <is>
          <t>258328</t>
        </is>
      </c>
      <c r="C67" s="23" t="inlineStr">
        <is>
          <t>€14m - Residential Development, Limerick</t>
        </is>
      </c>
      <c r="D67" s="23" t="inlineStr">
        <is>
          <t>Southhill</t>
        </is>
      </c>
      <c r="E67" s="23" t="inlineStr">
        <is>
          <t>Limerick City and Suburbs</t>
        </is>
      </c>
      <c r="F67" s="23" t="inlineStr">
        <is>
          <t>Audit land – within site</t>
        </is>
      </c>
      <c r="G67" s="23" t="inlineStr">
        <is>
          <t>CITY-128</t>
        </is>
      </c>
      <c r="H67" s="23" t="inlineStr">
        <is>
          <t>Public – local authority</t>
        </is>
      </c>
      <c r="I67" s="23" t="inlineStr">
        <is>
          <t>Social</t>
        </is>
      </c>
      <c r="J67" s="23" t="inlineStr">
        <is>
          <t>Part 8 / council</t>
        </is>
      </c>
      <c r="K67" s="23" t="inlineStr">
        <is>
          <t>In planning</t>
        </is>
      </c>
      <c r="L67" s="23" t="inlineStr">
        <is>
          <t>Plans Submitted</t>
        </is>
      </c>
      <c r="M67" s="23" t="n">
        <v>57</v>
      </c>
      <c r="N67" s="23" t="n"/>
      <c r="O67" s="23" t="n"/>
      <c r="P67" s="23" t="n"/>
      <c r="Q67" s="23" t="n"/>
      <c r="R67" s="23" t="n"/>
      <c r="S67" s="23" t="n"/>
      <c r="T67" s="23" t="inlineStr">
        <is>
          <t>Not projected</t>
        </is>
      </c>
      <c r="U67" s="23" t="inlineStr">
        <is>
          <t>Not yet decided – not projected</t>
        </is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57</v>
      </c>
    </row>
    <row r="68">
      <c r="A68" s="23" t="inlineStr">
        <is>
          <t>1245933</t>
        </is>
      </c>
      <c r="B68" s="23" t="inlineStr">
        <is>
          <t>228016</t>
        </is>
      </c>
      <c r="C68" s="23" t="inlineStr">
        <is>
          <t>€6m - Apartment Development, Limerick</t>
        </is>
      </c>
      <c r="D68" s="23" t="inlineStr">
        <is>
          <t>City Centre</t>
        </is>
      </c>
      <c r="E68" s="23" t="inlineStr">
        <is>
          <t>Other County Limerick</t>
        </is>
      </c>
      <c r="F68" s="23" t="inlineStr">
        <is>
          <t>Audit land – within site</t>
        </is>
      </c>
      <c r="G68" s="23" t="inlineStr">
        <is>
          <t>CITY-106</t>
        </is>
      </c>
      <c r="H68" s="23" t="inlineStr">
        <is>
          <t>Public – local authority</t>
        </is>
      </c>
      <c r="I68" s="23" t="inlineStr">
        <is>
          <t>Social</t>
        </is>
      </c>
      <c r="J68" s="23" t="inlineStr">
        <is>
          <t>Part 8 / council</t>
        </is>
      </c>
      <c r="K68" s="23" t="inlineStr">
        <is>
          <t>Under construction</t>
        </is>
      </c>
      <c r="L68" s="23" t="inlineStr">
        <is>
          <t>On Site</t>
        </is>
      </c>
      <c r="M68" s="23" t="n">
        <v>36</v>
      </c>
      <c r="N68" s="23" t="n"/>
      <c r="O68" s="23" t="inlineStr">
        <is>
          <t>2022-11-21</t>
        </is>
      </c>
      <c r="P68" s="23" t="inlineStr">
        <is>
          <t>2024-09-25</t>
        </is>
      </c>
      <c r="Q68" s="23" t="n"/>
      <c r="R68" s="23" t="inlineStr">
        <is>
          <t>2024 Q3</t>
        </is>
      </c>
      <c r="S68" s="23" t="inlineStr">
        <is>
          <t>2027 Q4</t>
        </is>
      </c>
      <c r="T68" s="23" t="inlineStr">
        <is>
          <t>High</t>
        </is>
      </c>
      <c r="U68" s="23" t="inlineStr">
        <is>
          <t>On site: started 2024-09</t>
        </is>
      </c>
      <c r="V68" s="23" t="n">
        <v>0</v>
      </c>
      <c r="W68" s="23" t="n">
        <v>8.4</v>
      </c>
      <c r="X68" s="23" t="n">
        <v>27.6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</row>
    <row r="69">
      <c r="A69" s="23" t="inlineStr">
        <is>
          <t>1419614</t>
        </is>
      </c>
      <c r="B69" s="23" t="inlineStr">
        <is>
          <t>258327</t>
        </is>
      </c>
      <c r="C69" s="23" t="inlineStr">
        <is>
          <t>€4.8m - Apartment Development, Limerick</t>
        </is>
      </c>
      <c r="D69" s="23" t="inlineStr">
        <is>
          <t>Kings Island</t>
        </is>
      </c>
      <c r="E69" s="23" t="inlineStr">
        <is>
          <t>Limerick City and Suburbs</t>
        </is>
      </c>
      <c r="F69" s="23" t="inlineStr">
        <is>
          <t>Audit land – within site</t>
        </is>
      </c>
      <c r="G69" s="23" t="inlineStr">
        <is>
          <t>CITY-41</t>
        </is>
      </c>
      <c r="H69" s="23" t="inlineStr">
        <is>
          <t>Public – local authority</t>
        </is>
      </c>
      <c r="I69" s="23" t="inlineStr">
        <is>
          <t>Social</t>
        </is>
      </c>
      <c r="J69" s="23" t="inlineStr">
        <is>
          <t>Part 8 / council</t>
        </is>
      </c>
      <c r="K69" s="23" t="inlineStr">
        <is>
          <t>In planning</t>
        </is>
      </c>
      <c r="L69" s="23" t="inlineStr">
        <is>
          <t>Plans Submitted</t>
        </is>
      </c>
      <c r="M69" s="23" t="n">
        <v>30</v>
      </c>
      <c r="N69" s="23" t="n"/>
      <c r="O69" s="23" t="n"/>
      <c r="P69" s="23" t="n"/>
      <c r="Q69" s="23" t="n"/>
      <c r="R69" s="23" t="n"/>
      <c r="S69" s="23" t="n"/>
      <c r="T69" s="23" t="inlineStr">
        <is>
          <t>Not projected</t>
        </is>
      </c>
      <c r="U69" s="23" t="inlineStr">
        <is>
          <t>Not yet decided – not projected</t>
        </is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30</v>
      </c>
    </row>
    <row r="70">
      <c r="A70" s="23" t="inlineStr">
        <is>
          <t>999958</t>
        </is>
      </c>
      <c r="B70" s="23" t="inlineStr">
        <is>
          <t>188010</t>
        </is>
      </c>
      <c r="C70" s="23" t="inlineStr">
        <is>
          <t xml:space="preserve">€2.2m - Residential Development </t>
        </is>
      </c>
      <c r="D70" s="23" t="inlineStr">
        <is>
          <t>City Centre</t>
        </is>
      </c>
      <c r="E70" s="23" t="inlineStr">
        <is>
          <t>Other County Limerick</t>
        </is>
      </c>
      <c r="F70" s="23" t="inlineStr">
        <is>
          <t>Audit land – within site</t>
        </is>
      </c>
      <c r="G70" s="23" t="inlineStr">
        <is>
          <t>CITY-107</t>
        </is>
      </c>
      <c r="H70" s="23" t="inlineStr">
        <is>
          <t>Public – local authority</t>
        </is>
      </c>
      <c r="I70" s="23" t="inlineStr">
        <is>
          <t>Social</t>
        </is>
      </c>
      <c r="J70" s="23" t="inlineStr">
        <is>
          <t>Part 8 / council</t>
        </is>
      </c>
      <c r="K70" s="23" t="inlineStr">
        <is>
          <t>Complete</t>
        </is>
      </c>
      <c r="L70" s="23" t="inlineStr">
        <is>
          <t>Complete</t>
        </is>
      </c>
      <c r="M70" s="23" t="n">
        <v>11</v>
      </c>
      <c r="N70" s="23" t="n"/>
      <c r="O70" s="23" t="inlineStr">
        <is>
          <t>2018-08-31</t>
        </is>
      </c>
      <c r="P70" s="23" t="inlineStr">
        <is>
          <t>2020-02-13</t>
        </is>
      </c>
      <c r="Q70" s="23" t="n"/>
      <c r="R70" s="23" t="n"/>
      <c r="S70" s="23" t="n"/>
      <c r="T70" s="23" t="inlineStr">
        <is>
          <t>Delivered</t>
        </is>
      </c>
      <c r="U70" s="23" t="inlineStr">
        <is>
          <t>Complete (CIS)</t>
        </is>
      </c>
      <c r="V70" s="23" t="n">
        <v>11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</row>
    <row r="71">
      <c r="A71" s="23" t="inlineStr">
        <is>
          <t>1447625</t>
        </is>
      </c>
      <c r="B71" s="23" t="inlineStr">
        <is>
          <t>248153</t>
        </is>
      </c>
      <c r="C71" s="23" t="inlineStr">
        <is>
          <t>€1.4m - Part 8 - 2 Houses &amp; 4 Apartments, Thomondghate</t>
        </is>
      </c>
      <c r="D71" s="23" t="inlineStr">
        <is>
          <t>Caherdavin</t>
        </is>
      </c>
      <c r="E71" s="23" t="inlineStr">
        <is>
          <t>Limerick City and Suburbs</t>
        </is>
      </c>
      <c r="F71" s="23" t="inlineStr">
        <is>
          <t>Audit land – within site</t>
        </is>
      </c>
      <c r="G71" s="23" t="inlineStr">
        <is>
          <t>CITY-25</t>
        </is>
      </c>
      <c r="H71" s="23" t="inlineStr">
        <is>
          <t>Public – local authority</t>
        </is>
      </c>
      <c r="I71" s="23" t="inlineStr">
        <is>
          <t>Social</t>
        </is>
      </c>
      <c r="J71" s="23" t="inlineStr">
        <is>
          <t>Part 8 / council</t>
        </is>
      </c>
      <c r="K71" s="23" t="inlineStr">
        <is>
          <t>In planning</t>
        </is>
      </c>
      <c r="L71" s="23" t="inlineStr">
        <is>
          <t>Plans Submitted</t>
        </is>
      </c>
      <c r="M71" s="23" t="n">
        <v>6</v>
      </c>
      <c r="N71" s="23" t="n"/>
      <c r="O71" s="23" t="n"/>
      <c r="P71" s="23" t="n"/>
      <c r="Q71" s="23" t="n"/>
      <c r="R71" s="23" t="n"/>
      <c r="S71" s="23" t="n"/>
      <c r="T71" s="23" t="inlineStr">
        <is>
          <t>Not projected</t>
        </is>
      </c>
      <c r="U71" s="23" t="inlineStr">
        <is>
          <t>Not yet decided – not projected</t>
        </is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6</v>
      </c>
    </row>
    <row r="72">
      <c r="A72" s="23" t="inlineStr">
        <is>
          <t>1114461</t>
        </is>
      </c>
      <c r="B72" s="23" t="inlineStr">
        <is>
          <t>ABPREF307631</t>
        </is>
      </c>
      <c r="C72" s="23" t="inlineStr">
        <is>
          <t>€44m - Residential Development, Castletroy</t>
        </is>
      </c>
      <c r="D72" s="23" t="inlineStr">
        <is>
          <t>Castletroy/Annacotty</t>
        </is>
      </c>
      <c r="E72" s="23" t="inlineStr">
        <is>
          <t>Limerick City and Suburbs</t>
        </is>
      </c>
      <c r="F72" s="23" t="inlineStr">
        <is>
          <t>City – outside audit land</t>
        </is>
      </c>
      <c r="G72" s="23" t="n"/>
      <c r="H72" s="23" t="inlineStr">
        <is>
          <t>Private</t>
        </is>
      </c>
      <c r="I72" s="23" t="inlineStr">
        <is>
          <t>Market (incl. Part V)</t>
        </is>
      </c>
      <c r="J72" s="23" t="inlineStr">
        <is>
          <t>SHD (An Bord Pleanála)</t>
        </is>
      </c>
      <c r="K72" s="23" t="inlineStr">
        <is>
          <t>Complete</t>
        </is>
      </c>
      <c r="L72" s="23" t="inlineStr">
        <is>
          <t>Complete</t>
        </is>
      </c>
      <c r="M72" s="23" t="n">
        <v>200</v>
      </c>
      <c r="N72" s="23" t="n"/>
      <c r="O72" s="23" t="inlineStr">
        <is>
          <t>2020-11-02</t>
        </is>
      </c>
      <c r="P72" s="23" t="inlineStr">
        <is>
          <t>2022-08-30</t>
        </is>
      </c>
      <c r="Q72" s="23" t="inlineStr">
        <is>
          <t>2025-11-01</t>
        </is>
      </c>
      <c r="R72" s="23" t="n"/>
      <c r="S72" s="23" t="n"/>
      <c r="T72" s="23" t="inlineStr">
        <is>
          <t>Delivered</t>
        </is>
      </c>
      <c r="U72" s="23" t="inlineStr">
        <is>
          <t>Complete (CIS)</t>
        </is>
      </c>
      <c r="V72" s="23" t="n">
        <v>200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>
      <c r="A73" s="23" t="inlineStr">
        <is>
          <t>990309</t>
        </is>
      </c>
      <c r="B73" s="23" t="inlineStr">
        <is>
          <t>18434</t>
        </is>
      </c>
      <c r="C73" s="23" t="inlineStr">
        <is>
          <t>€10m - Residential Development, Singland</t>
        </is>
      </c>
      <c r="D73" s="23" t="inlineStr">
        <is>
          <t>Southhill</t>
        </is>
      </c>
      <c r="E73" s="23" t="inlineStr">
        <is>
          <t>Other County Limerick</t>
        </is>
      </c>
      <c r="F73" s="23" t="inlineStr">
        <is>
          <t>City – outside audit land</t>
        </is>
      </c>
      <c r="G73" s="23" t="n"/>
      <c r="H73" s="23" t="inlineStr">
        <is>
          <t>Private</t>
        </is>
      </c>
      <c r="I73" s="23" t="inlineStr">
        <is>
          <t>Market (incl. Part V)</t>
        </is>
      </c>
      <c r="J73" s="23" t="inlineStr">
        <is>
          <t>Standard planning application</t>
        </is>
      </c>
      <c r="K73" s="23" t="inlineStr">
        <is>
          <t>Complete</t>
        </is>
      </c>
      <c r="L73" s="23" t="inlineStr">
        <is>
          <t>Complete</t>
        </is>
      </c>
      <c r="M73" s="23" t="n">
        <v>133</v>
      </c>
      <c r="N73" s="23" t="n"/>
      <c r="O73" s="23" t="inlineStr">
        <is>
          <t>2018-11-06</t>
        </is>
      </c>
      <c r="P73" s="23" t="inlineStr">
        <is>
          <t>2020-06-22</t>
        </is>
      </c>
      <c r="Q73" s="23" t="inlineStr">
        <is>
          <t>2023-11-05</t>
        </is>
      </c>
      <c r="R73" s="23" t="n"/>
      <c r="S73" s="23" t="n"/>
      <c r="T73" s="23" t="inlineStr">
        <is>
          <t>Delivered</t>
        </is>
      </c>
      <c r="U73" s="23" t="inlineStr">
        <is>
          <t>Complete (CIS)</t>
        </is>
      </c>
      <c r="V73" s="23" t="n">
        <v>133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</row>
    <row r="74">
      <c r="A74" s="23" t="inlineStr">
        <is>
          <t>1319159</t>
        </is>
      </c>
      <c r="B74" s="23" t="inlineStr">
        <is>
          <t>2360842</t>
        </is>
      </c>
      <c r="C74" s="23" t="inlineStr">
        <is>
          <t>€22m - Golf Links Road LRD, Monaleen</t>
        </is>
      </c>
      <c r="D74" s="23" t="inlineStr">
        <is>
          <t>Castletroy/Annacotty</t>
        </is>
      </c>
      <c r="E74" s="23" t="inlineStr">
        <is>
          <t>Limerick City and Suburbs</t>
        </is>
      </c>
      <c r="F74" s="23" t="inlineStr">
        <is>
          <t>City – outside audit land</t>
        </is>
      </c>
      <c r="G74" s="23" t="n"/>
      <c r="H74" s="23" t="inlineStr">
        <is>
          <t>Private</t>
        </is>
      </c>
      <c r="I74" s="23" t="inlineStr">
        <is>
          <t>Market (incl. Part V)</t>
        </is>
      </c>
      <c r="J74" s="23" t="inlineStr">
        <is>
          <t>LRD</t>
        </is>
      </c>
      <c r="K74" s="23" t="inlineStr">
        <is>
          <t>Under construction</t>
        </is>
      </c>
      <c r="L74" s="23" t="inlineStr">
        <is>
          <t>On Site</t>
        </is>
      </c>
      <c r="M74" s="23" t="n">
        <v>122</v>
      </c>
      <c r="N74" s="23" t="n"/>
      <c r="O74" s="23" t="inlineStr">
        <is>
          <t>2024-05-23</t>
        </is>
      </c>
      <c r="P74" s="23" t="inlineStr">
        <is>
          <t>2024-12-20</t>
        </is>
      </c>
      <c r="Q74" s="23" t="inlineStr">
        <is>
          <t>2029-05-22</t>
        </is>
      </c>
      <c r="R74" s="23" t="inlineStr">
        <is>
          <t>2024 Q4</t>
        </is>
      </c>
      <c r="S74" s="23" t="inlineStr">
        <is>
          <t>2027 Q4</t>
        </is>
      </c>
      <c r="T74" s="23" t="inlineStr">
        <is>
          <t>High</t>
        </is>
      </c>
      <c r="U74" s="23" t="inlineStr">
        <is>
          <t>On site: started 2024-12</t>
        </is>
      </c>
      <c r="V74" s="23" t="n">
        <v>0</v>
      </c>
      <c r="W74" s="23" t="n">
        <v>28.4</v>
      </c>
      <c r="X74" s="23" t="n">
        <v>93.59999999999999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</row>
    <row r="75">
      <c r="A75" s="23" t="inlineStr">
        <is>
          <t>1184347</t>
        </is>
      </c>
      <c r="B75" s="23" t="inlineStr">
        <is>
          <t>211152</t>
        </is>
      </c>
      <c r="C75" s="23" t="inlineStr">
        <is>
          <t>€16.6m - Residential Development, Castletroy</t>
        </is>
      </c>
      <c r="D75" s="23" t="inlineStr">
        <is>
          <t>Castletroy/Annacotty</t>
        </is>
      </c>
      <c r="E75" s="23" t="inlineStr">
        <is>
          <t>Limerick City and Suburbs</t>
        </is>
      </c>
      <c r="F75" s="23" t="inlineStr">
        <is>
          <t>City – outside audit land</t>
        </is>
      </c>
      <c r="G75" s="23" t="n"/>
      <c r="H75" s="23" t="inlineStr">
        <is>
          <t>Private</t>
        </is>
      </c>
      <c r="I75" s="23" t="inlineStr">
        <is>
          <t>Market (incl. Part V)</t>
        </is>
      </c>
      <c r="J75" s="23" t="inlineStr">
        <is>
          <t>Standard planning application</t>
        </is>
      </c>
      <c r="K75" s="23" t="inlineStr">
        <is>
          <t>Complete</t>
        </is>
      </c>
      <c r="L75" s="23" t="inlineStr">
        <is>
          <t>Complete</t>
        </is>
      </c>
      <c r="M75" s="23" t="n">
        <v>105</v>
      </c>
      <c r="N75" s="23" t="n"/>
      <c r="O75" s="23" t="inlineStr">
        <is>
          <t>2022-04-20</t>
        </is>
      </c>
      <c r="P75" s="23" t="inlineStr">
        <is>
          <t>2024-04-11</t>
        </is>
      </c>
      <c r="Q75" s="23" t="inlineStr">
        <is>
          <t>2027-04-19</t>
        </is>
      </c>
      <c r="R75" s="23" t="n"/>
      <c r="S75" s="23" t="n"/>
      <c r="T75" s="23" t="inlineStr">
        <is>
          <t>Delivered</t>
        </is>
      </c>
      <c r="U75" s="23" t="inlineStr">
        <is>
          <t>Complete (CIS)</t>
        </is>
      </c>
      <c r="V75" s="23" t="n">
        <v>105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>
      <c r="A76" s="23" t="inlineStr">
        <is>
          <t>1310780</t>
        </is>
      </c>
      <c r="B76" s="23" t="inlineStr">
        <is>
          <t>2360703</t>
        </is>
      </c>
      <c r="C76" s="23" t="inlineStr">
        <is>
          <t>€27m - Mixed Use Development, Dooradoyle</t>
        </is>
      </c>
      <c r="D76" s="23" t="inlineStr">
        <is>
          <t>Dooradoyle</t>
        </is>
      </c>
      <c r="E76" s="23" t="inlineStr">
        <is>
          <t>Limerick City and Suburbs</t>
        </is>
      </c>
      <c r="F76" s="23" t="inlineStr">
        <is>
          <t>City – outside audit land</t>
        </is>
      </c>
      <c r="G76" s="23" t="n"/>
      <c r="H76" s="23" t="inlineStr">
        <is>
          <t>Private</t>
        </is>
      </c>
      <c r="I76" s="23" t="inlineStr">
        <is>
          <t>Market (incl. Part V)</t>
        </is>
      </c>
      <c r="J76" s="23" t="inlineStr">
        <is>
          <t>Standard planning application</t>
        </is>
      </c>
      <c r="K76" s="23" t="inlineStr">
        <is>
          <t>Not started – permission live</t>
        </is>
      </c>
      <c r="L76" s="23" t="inlineStr">
        <is>
          <t>Tender</t>
        </is>
      </c>
      <c r="M76" s="23" t="n">
        <v>104</v>
      </c>
      <c r="N76" s="23" t="n"/>
      <c r="O76" s="23" t="inlineStr">
        <is>
          <t>2025-04-14</t>
        </is>
      </c>
      <c r="P76" s="23" t="n"/>
      <c r="Q76" s="23" t="inlineStr">
        <is>
          <t>2030-04-13</t>
        </is>
      </c>
      <c r="R76" s="23" t="inlineStr">
        <is>
          <t>2027 Q2</t>
        </is>
      </c>
      <c r="S76" s="23" t="inlineStr">
        <is>
          <t>2029 Q2</t>
        </is>
      </c>
      <c r="T76" s="23" t="inlineStr">
        <is>
          <t>Medium</t>
        </is>
      </c>
      <c r="U76" s="23" t="inlineStr">
        <is>
          <t>At tender (CIS): start assumed in 6–12 months</t>
        </is>
      </c>
      <c r="V76" s="23" t="n">
        <v>0</v>
      </c>
      <c r="W76" s="23" t="n">
        <v>0</v>
      </c>
      <c r="X76" s="23" t="n">
        <v>0</v>
      </c>
      <c r="Y76" s="23" t="n">
        <v>70</v>
      </c>
      <c r="Z76" s="23" t="n">
        <v>34</v>
      </c>
      <c r="AA76" s="23" t="n">
        <v>0</v>
      </c>
      <c r="AB76" s="23" t="n">
        <v>0</v>
      </c>
      <c r="AC76" s="23" t="n">
        <v>0</v>
      </c>
    </row>
    <row r="77">
      <c r="A77" s="23" t="inlineStr">
        <is>
          <t>1186980</t>
        </is>
      </c>
      <c r="B77" s="23" t="inlineStr">
        <is>
          <t>211217</t>
        </is>
      </c>
      <c r="C77" s="23" t="inlineStr">
        <is>
          <t>€15.2m - Residential Development Mungret</t>
        </is>
      </c>
      <c r="D77" s="23" t="inlineStr">
        <is>
          <t>Dooradoyle</t>
        </is>
      </c>
      <c r="E77" s="23" t="inlineStr">
        <is>
          <t>Mungret</t>
        </is>
      </c>
      <c r="F77" s="23" t="inlineStr">
        <is>
          <t>City – outside audit land</t>
        </is>
      </c>
      <c r="G77" s="23" t="n"/>
      <c r="H77" s="23" t="inlineStr">
        <is>
          <t>Private</t>
        </is>
      </c>
      <c r="I77" s="23" t="inlineStr">
        <is>
          <t>Market (incl. Part V)</t>
        </is>
      </c>
      <c r="J77" s="23" t="inlineStr">
        <is>
          <t>Standard planning application</t>
        </is>
      </c>
      <c r="K77" s="23" t="inlineStr">
        <is>
          <t>Under construction</t>
        </is>
      </c>
      <c r="L77" s="23" t="inlineStr">
        <is>
          <t>On Site</t>
        </is>
      </c>
      <c r="M77" s="23" t="n">
        <v>101</v>
      </c>
      <c r="N77" s="23" t="n"/>
      <c r="O77" s="23" t="inlineStr">
        <is>
          <t>2023-07-28</t>
        </is>
      </c>
      <c r="P77" s="23" t="inlineStr">
        <is>
          <t>2024-02-13</t>
        </is>
      </c>
      <c r="Q77" s="23" t="inlineStr">
        <is>
          <t>2028-07-27</t>
        </is>
      </c>
      <c r="R77" s="23" t="inlineStr">
        <is>
          <t>2024 Q1</t>
        </is>
      </c>
      <c r="S77" s="23" t="inlineStr">
        <is>
          <t>2027 Q4</t>
        </is>
      </c>
      <c r="T77" s="23" t="inlineStr">
        <is>
          <t>High</t>
        </is>
      </c>
      <c r="U77" s="23" t="inlineStr">
        <is>
          <t>On site: started 2024-02</t>
        </is>
      </c>
      <c r="V77" s="23" t="n">
        <v>0</v>
      </c>
      <c r="W77" s="23" t="n">
        <v>23.5</v>
      </c>
      <c r="X77" s="23" t="n">
        <v>77.5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>
      <c r="A78" s="23" t="inlineStr">
        <is>
          <t>1019118</t>
        </is>
      </c>
      <c r="B78" s="23" t="inlineStr">
        <is>
          <t>181104</t>
        </is>
      </c>
      <c r="C78" s="23" t="inlineStr">
        <is>
          <t>€11.8m - Residential Development, Castletroy</t>
        </is>
      </c>
      <c r="D78" s="23" t="inlineStr">
        <is>
          <t>Castletroy/Annacotty</t>
        </is>
      </c>
      <c r="E78" s="23" t="inlineStr">
        <is>
          <t>Limerick City and Suburbs</t>
        </is>
      </c>
      <c r="F78" s="23" t="inlineStr">
        <is>
          <t>City – outside audit land</t>
        </is>
      </c>
      <c r="G78" s="23" t="n"/>
      <c r="H78" s="23" t="inlineStr">
        <is>
          <t>Private</t>
        </is>
      </c>
      <c r="I78" s="23" t="inlineStr">
        <is>
          <t>Market (incl. Part V)</t>
        </is>
      </c>
      <c r="J78" s="23" t="inlineStr">
        <is>
          <t>Standard planning application</t>
        </is>
      </c>
      <c r="K78" s="23" t="inlineStr">
        <is>
          <t>Under construction</t>
        </is>
      </c>
      <c r="L78" s="23" t="inlineStr">
        <is>
          <t>Part Complete</t>
        </is>
      </c>
      <c r="M78" s="23" t="n">
        <v>99</v>
      </c>
      <c r="N78" s="23" t="n"/>
      <c r="O78" s="23" t="inlineStr">
        <is>
          <t>2019-06-04</t>
        </is>
      </c>
      <c r="P78" s="23" t="inlineStr">
        <is>
          <t>2023-07-07</t>
        </is>
      </c>
      <c r="Q78" s="23" t="inlineStr">
        <is>
          <t>2027-06-02</t>
        </is>
      </c>
      <c r="R78" s="23" t="inlineStr">
        <is>
          <t>2023 Q3</t>
        </is>
      </c>
      <c r="S78" s="23" t="inlineStr">
        <is>
          <t>2027 Q4</t>
        </is>
      </c>
      <c r="T78" s="23" t="inlineStr">
        <is>
          <t>High</t>
        </is>
      </c>
      <c r="U78" s="23" t="inlineStr">
        <is>
          <t>On site: started 2023-07</t>
        </is>
      </c>
      <c r="V78" s="23" t="n">
        <v>0</v>
      </c>
      <c r="W78" s="23" t="n">
        <v>23.1</v>
      </c>
      <c r="X78" s="23" t="n">
        <v>75.90000000000001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</row>
    <row r="79">
      <c r="A79" s="23" t="inlineStr">
        <is>
          <t>1193936</t>
        </is>
      </c>
      <c r="B79" s="23" t="inlineStr">
        <is>
          <t>211400</t>
        </is>
      </c>
      <c r="C79" s="23" t="inlineStr">
        <is>
          <t>€21m - Newtow Meadows Development, Phase 4, Castletroy</t>
        </is>
      </c>
      <c r="D79" s="23" t="inlineStr">
        <is>
          <t>Castletroy/Annacotty</t>
        </is>
      </c>
      <c r="E79" s="23" t="inlineStr">
        <is>
          <t>Limerick City and Suburbs</t>
        </is>
      </c>
      <c r="F79" s="23" t="inlineStr">
        <is>
          <t>City – outside audit land</t>
        </is>
      </c>
      <c r="G79" s="23" t="n"/>
      <c r="H79" s="23" t="inlineStr">
        <is>
          <t>Private</t>
        </is>
      </c>
      <c r="I79" s="23" t="inlineStr">
        <is>
          <t>Market (incl. Part V)</t>
        </is>
      </c>
      <c r="J79" s="23" t="inlineStr">
        <is>
          <t>Standard planning application</t>
        </is>
      </c>
      <c r="K79" s="23" t="inlineStr">
        <is>
          <t>Under construction</t>
        </is>
      </c>
      <c r="L79" s="23" t="inlineStr">
        <is>
          <t>Commencement Expected</t>
        </is>
      </c>
      <c r="M79" s="23" t="n">
        <v>98</v>
      </c>
      <c r="N79" s="23" t="n"/>
      <c r="O79" s="23" t="inlineStr">
        <is>
          <t>2022-06-09</t>
        </is>
      </c>
      <c r="P79" s="23" t="inlineStr">
        <is>
          <t>2024-07-01</t>
        </is>
      </c>
      <c r="Q79" s="23" t="inlineStr">
        <is>
          <t>2027-06-08</t>
        </is>
      </c>
      <c r="R79" s="23" t="inlineStr">
        <is>
          <t>2024 Q3</t>
        </is>
      </c>
      <c r="S79" s="23" t="inlineStr">
        <is>
          <t>2027 Q4</t>
        </is>
      </c>
      <c r="T79" s="23" t="inlineStr">
        <is>
          <t>High</t>
        </is>
      </c>
      <c r="U79" s="23" t="inlineStr">
        <is>
          <t>On site: started 2024-07</t>
        </is>
      </c>
      <c r="V79" s="23" t="n">
        <v>0</v>
      </c>
      <c r="W79" s="23" t="n">
        <v>22.8</v>
      </c>
      <c r="X79" s="23" t="n">
        <v>75.2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>
      <c r="A80" s="23" t="inlineStr">
        <is>
          <t>1131237</t>
        </is>
      </c>
      <c r="B80" s="23" t="inlineStr">
        <is>
          <t>201115</t>
        </is>
      </c>
      <c r="C80" s="23" t="inlineStr">
        <is>
          <t>€16.5m - Residential Development, Mungret</t>
        </is>
      </c>
      <c r="D80" s="23" t="inlineStr">
        <is>
          <t>Dooradoyle</t>
        </is>
      </c>
      <c r="E80" s="23" t="inlineStr">
        <is>
          <t>Mungret</t>
        </is>
      </c>
      <c r="F80" s="23" t="inlineStr">
        <is>
          <t>City – outside audit land</t>
        </is>
      </c>
      <c r="G80" s="23" t="n"/>
      <c r="H80" s="23" t="inlineStr">
        <is>
          <t>Private</t>
        </is>
      </c>
      <c r="I80" s="23" t="inlineStr">
        <is>
          <t>Market (incl. Part V)</t>
        </is>
      </c>
      <c r="J80" s="23" t="inlineStr">
        <is>
          <t>Standard planning application</t>
        </is>
      </c>
      <c r="K80" s="23" t="inlineStr">
        <is>
          <t>Under construction</t>
        </is>
      </c>
      <c r="L80" s="23" t="inlineStr">
        <is>
          <t>On Site</t>
        </is>
      </c>
      <c r="M80" s="23" t="n">
        <v>96</v>
      </c>
      <c r="N80" s="23" t="n"/>
      <c r="O80" s="23" t="inlineStr">
        <is>
          <t>2021-05-27</t>
        </is>
      </c>
      <c r="P80" s="23" t="inlineStr">
        <is>
          <t>2026-04-07</t>
        </is>
      </c>
      <c r="Q80" s="23" t="inlineStr">
        <is>
          <t>2029-07-09</t>
        </is>
      </c>
      <c r="R80" s="23" t="inlineStr">
        <is>
          <t>2026 Q2</t>
        </is>
      </c>
      <c r="S80" s="23" t="inlineStr">
        <is>
          <t>2029 Q1</t>
        </is>
      </c>
      <c r="T80" s="23" t="inlineStr">
        <is>
          <t>High</t>
        </is>
      </c>
      <c r="U80" s="23" t="inlineStr">
        <is>
          <t>On site: started 2026-04</t>
        </is>
      </c>
      <c r="V80" s="23" t="n">
        <v>0</v>
      </c>
      <c r="W80" s="23" t="n">
        <v>0</v>
      </c>
      <c r="X80" s="23" t="n">
        <v>38.9</v>
      </c>
      <c r="Y80" s="23" t="n">
        <v>52.8</v>
      </c>
      <c r="Z80" s="23" t="n">
        <v>4.3</v>
      </c>
      <c r="AA80" s="23" t="n">
        <v>0</v>
      </c>
      <c r="AB80" s="23" t="n">
        <v>0</v>
      </c>
      <c r="AC80" s="23" t="n">
        <v>0</v>
      </c>
    </row>
    <row r="81">
      <c r="A81" s="23" t="inlineStr">
        <is>
          <t>1136132</t>
        </is>
      </c>
      <c r="B81" s="23" t="inlineStr">
        <is>
          <t>201114</t>
        </is>
      </c>
      <c r="C81" s="23" t="inlineStr">
        <is>
          <t>€19.4m - Residential Development, Mungret</t>
        </is>
      </c>
      <c r="D81" s="23" t="inlineStr">
        <is>
          <t>Dooradoyle</t>
        </is>
      </c>
      <c r="E81" s="23" t="inlineStr">
        <is>
          <t>Mungret</t>
        </is>
      </c>
      <c r="F81" s="23" t="inlineStr">
        <is>
          <t>City – outside audit land</t>
        </is>
      </c>
      <c r="G81" s="23" t="n"/>
      <c r="H81" s="23" t="inlineStr">
        <is>
          <t>Private</t>
        </is>
      </c>
      <c r="I81" s="23" t="inlineStr">
        <is>
          <t>Market (incl. Part V)</t>
        </is>
      </c>
      <c r="J81" s="23" t="inlineStr">
        <is>
          <t>Standard planning application</t>
        </is>
      </c>
      <c r="K81" s="23" t="inlineStr">
        <is>
          <t>Under construction</t>
        </is>
      </c>
      <c r="L81" s="23" t="inlineStr">
        <is>
          <t>Commencement Expected</t>
        </is>
      </c>
      <c r="M81" s="23" t="n">
        <v>96</v>
      </c>
      <c r="N81" s="23" t="n"/>
      <c r="O81" s="23" t="inlineStr">
        <is>
          <t>2021-05-27</t>
        </is>
      </c>
      <c r="P81" s="23" t="inlineStr">
        <is>
          <t>2022-02-21</t>
        </is>
      </c>
      <c r="Q81" s="23" t="inlineStr">
        <is>
          <t>2026-05-26</t>
        </is>
      </c>
      <c r="R81" s="23" t="inlineStr">
        <is>
          <t>2022 Q1</t>
        </is>
      </c>
      <c r="S81" s="23" t="inlineStr">
        <is>
          <t>2027 Q4</t>
        </is>
      </c>
      <c r="T81" s="23" t="inlineStr">
        <is>
          <t>High</t>
        </is>
      </c>
      <c r="U81" s="23" t="inlineStr">
        <is>
          <t>On site: started 2022-02</t>
        </is>
      </c>
      <c r="V81" s="23" t="n">
        <v>0</v>
      </c>
      <c r="W81" s="23" t="n">
        <v>22.4</v>
      </c>
      <c r="X81" s="23" t="n">
        <v>73.59999999999999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</row>
    <row r="82">
      <c r="A82" s="23" t="inlineStr">
        <is>
          <t>1081200</t>
        </is>
      </c>
      <c r="B82" s="23" t="inlineStr">
        <is>
          <t>191236</t>
        </is>
      </c>
      <c r="C82" s="23" t="inlineStr">
        <is>
          <t>€16m - Housing Development</t>
        </is>
      </c>
      <c r="D82" s="23" t="inlineStr">
        <is>
          <t>Castletroy/Annacotty</t>
        </is>
      </c>
      <c r="E82" s="23" t="inlineStr">
        <is>
          <t>Limerick City and Suburbs</t>
        </is>
      </c>
      <c r="F82" s="23" t="inlineStr">
        <is>
          <t>City – outside audit land</t>
        </is>
      </c>
      <c r="G82" s="23" t="n"/>
      <c r="H82" s="23" t="inlineStr">
        <is>
          <t>Private</t>
        </is>
      </c>
      <c r="I82" s="23" t="inlineStr">
        <is>
          <t>Market (incl. Part V)</t>
        </is>
      </c>
      <c r="J82" s="23" t="inlineStr">
        <is>
          <t>Standard planning application</t>
        </is>
      </c>
      <c r="K82" s="23" t="inlineStr">
        <is>
          <t>Complete</t>
        </is>
      </c>
      <c r="L82" s="23" t="inlineStr">
        <is>
          <t>Complete</t>
        </is>
      </c>
      <c r="M82" s="23" t="n">
        <v>92</v>
      </c>
      <c r="N82" s="23" t="n"/>
      <c r="O82" s="23" t="inlineStr">
        <is>
          <t>2021-03-04</t>
        </is>
      </c>
      <c r="P82" s="23" t="inlineStr">
        <is>
          <t>2022-11-01</t>
        </is>
      </c>
      <c r="Q82" s="23" t="inlineStr">
        <is>
          <t>2026-03-03</t>
        </is>
      </c>
      <c r="R82" s="23" t="n"/>
      <c r="S82" s="23" t="n"/>
      <c r="T82" s="23" t="inlineStr">
        <is>
          <t>Delivered</t>
        </is>
      </c>
      <c r="U82" s="23" t="inlineStr">
        <is>
          <t>Complete (CIS)</t>
        </is>
      </c>
      <c r="V82" s="23" t="n">
        <v>92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  <c r="AC82" s="23" t="n">
        <v>0</v>
      </c>
    </row>
    <row r="83">
      <c r="A83" s="23" t="inlineStr">
        <is>
          <t>1069596</t>
        </is>
      </c>
      <c r="B83" s="23" t="inlineStr">
        <is>
          <t>19970</t>
        </is>
      </c>
      <c r="C83" s="23" t="inlineStr">
        <is>
          <t>€16m - Residential Development, Ennis Road</t>
        </is>
      </c>
      <c r="D83" s="23" t="inlineStr">
        <is>
          <t>Caherdavin</t>
        </is>
      </c>
      <c r="E83" s="23" t="inlineStr">
        <is>
          <t>Other County Limerick</t>
        </is>
      </c>
      <c r="F83" s="23" t="inlineStr">
        <is>
          <t>City – outside audit land</t>
        </is>
      </c>
      <c r="G83" s="23" t="n"/>
      <c r="H83" s="23" t="inlineStr">
        <is>
          <t>Private</t>
        </is>
      </c>
      <c r="I83" s="23" t="inlineStr">
        <is>
          <t>Market (incl. Part V)</t>
        </is>
      </c>
      <c r="J83" s="23" t="inlineStr">
        <is>
          <t>Standard planning application</t>
        </is>
      </c>
      <c r="K83" s="23" t="inlineStr">
        <is>
          <t>Under construction</t>
        </is>
      </c>
      <c r="L83" s="23" t="inlineStr">
        <is>
          <t>Commencement Expected</t>
        </is>
      </c>
      <c r="M83" s="23" t="n">
        <v>92</v>
      </c>
      <c r="N83" s="23" t="n"/>
      <c r="O83" s="23" t="inlineStr">
        <is>
          <t>2020-11-16</t>
        </is>
      </c>
      <c r="P83" s="23" t="inlineStr">
        <is>
          <t>2023-04-10</t>
        </is>
      </c>
      <c r="Q83" s="23" t="inlineStr">
        <is>
          <t>2028-11-14</t>
        </is>
      </c>
      <c r="R83" s="23" t="inlineStr">
        <is>
          <t>2023 Q2</t>
        </is>
      </c>
      <c r="S83" s="23" t="inlineStr">
        <is>
          <t>2027 Q4</t>
        </is>
      </c>
      <c r="T83" s="23" t="inlineStr">
        <is>
          <t>High</t>
        </is>
      </c>
      <c r="U83" s="23" t="inlineStr">
        <is>
          <t>On site: started 2023-04</t>
        </is>
      </c>
      <c r="V83" s="23" t="n">
        <v>0</v>
      </c>
      <c r="W83" s="23" t="n">
        <v>21.4</v>
      </c>
      <c r="X83" s="23" t="n">
        <v>70.59999999999999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>
      <c r="A84" s="23" t="inlineStr">
        <is>
          <t>1051816</t>
        </is>
      </c>
      <c r="B84" s="23" t="inlineStr">
        <is>
          <t>19547</t>
        </is>
      </c>
      <c r="C84" s="23" t="inlineStr">
        <is>
          <t>€18m - Residential Development, Castletroy</t>
        </is>
      </c>
      <c r="D84" s="23" t="inlineStr">
        <is>
          <t>Castletroy/Annacotty</t>
        </is>
      </c>
      <c r="E84" s="23" t="inlineStr">
        <is>
          <t>Limerick City and Suburbs</t>
        </is>
      </c>
      <c r="F84" s="23" t="inlineStr">
        <is>
          <t>City – outside audit land</t>
        </is>
      </c>
      <c r="G84" s="23" t="n"/>
      <c r="H84" s="23" t="inlineStr">
        <is>
          <t>Private</t>
        </is>
      </c>
      <c r="I84" s="23" t="inlineStr">
        <is>
          <t>Market (incl. Part V)</t>
        </is>
      </c>
      <c r="J84" s="23" t="inlineStr">
        <is>
          <t>Standard planning application</t>
        </is>
      </c>
      <c r="K84" s="23" t="inlineStr">
        <is>
          <t>Under construction</t>
        </is>
      </c>
      <c r="L84" s="23" t="inlineStr">
        <is>
          <t>Commencement Expected</t>
        </is>
      </c>
      <c r="M84" s="23" t="n">
        <v>90</v>
      </c>
      <c r="N84" s="23" t="n"/>
      <c r="O84" s="23" t="inlineStr">
        <is>
          <t>2020-05-28</t>
        </is>
      </c>
      <c r="P84" s="23" t="inlineStr">
        <is>
          <t>2022-05-26</t>
        </is>
      </c>
      <c r="Q84" s="23" t="inlineStr">
        <is>
          <t>2025-05-27</t>
        </is>
      </c>
      <c r="R84" s="23" t="inlineStr">
        <is>
          <t>2022 Q2</t>
        </is>
      </c>
      <c r="S84" s="23" t="inlineStr">
        <is>
          <t>2027 Q4</t>
        </is>
      </c>
      <c r="T84" s="23" t="inlineStr">
        <is>
          <t>High</t>
        </is>
      </c>
      <c r="U84" s="23" t="inlineStr">
        <is>
          <t>On site: started 2022-05</t>
        </is>
      </c>
      <c r="V84" s="23" t="n">
        <v>0</v>
      </c>
      <c r="W84" s="23" t="n">
        <v>21</v>
      </c>
      <c r="X84" s="23" t="n">
        <v>69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</row>
    <row r="85">
      <c r="A85" s="23" t="inlineStr">
        <is>
          <t>1417885</t>
        </is>
      </c>
      <c r="B85" s="23" t="inlineStr">
        <is>
          <t>2561242</t>
        </is>
      </c>
      <c r="C85" s="23" t="inlineStr">
        <is>
          <t>€14.5m - Residential Development, Limerick</t>
        </is>
      </c>
      <c r="D85" s="23" t="inlineStr">
        <is>
          <t>City Centre</t>
        </is>
      </c>
      <c r="E85" s="23" t="inlineStr">
        <is>
          <t>Other County Limerick</t>
        </is>
      </c>
      <c r="F85" s="23" t="inlineStr">
        <is>
          <t>City – outside audit land</t>
        </is>
      </c>
      <c r="G85" s="23" t="n"/>
      <c r="H85" s="23" t="inlineStr">
        <is>
          <t>Private</t>
        </is>
      </c>
      <c r="I85" s="23" t="inlineStr">
        <is>
          <t>Market (incl. Part V)</t>
        </is>
      </c>
      <c r="J85" s="23" t="inlineStr">
        <is>
          <t>Standard planning application</t>
        </is>
      </c>
      <c r="K85" s="23" t="inlineStr">
        <is>
          <t>Not started – permission live</t>
        </is>
      </c>
      <c r="L85" s="23" t="inlineStr">
        <is>
          <t>Permission Granted</t>
        </is>
      </c>
      <c r="M85" s="23" t="n">
        <v>76</v>
      </c>
      <c r="N85" s="23" t="n"/>
      <c r="O85" s="23" t="inlineStr">
        <is>
          <t>2026-06-10</t>
        </is>
      </c>
      <c r="P85" s="23" t="n"/>
      <c r="Q85" s="23" t="inlineStr">
        <is>
          <t>2031-06-09</t>
        </is>
      </c>
      <c r="R85" s="23" t="inlineStr">
        <is>
          <t>2027 Q3</t>
        </is>
      </c>
      <c r="S85" s="23" t="inlineStr">
        <is>
          <t>2029 Q4</t>
        </is>
      </c>
      <c r="T85" s="23" t="inlineStr">
        <is>
          <t>Medium</t>
        </is>
      </c>
      <c r="U85" s="23" t="inlineStr">
        <is>
          <t>Permitted 2026-06; typical start 1.1 yrs after grant</t>
        </is>
      </c>
      <c r="V85" s="23" t="n">
        <v>0</v>
      </c>
      <c r="W85" s="23" t="n">
        <v>0</v>
      </c>
      <c r="X85" s="23" t="n">
        <v>0</v>
      </c>
      <c r="Y85" s="23" t="n">
        <v>26.3</v>
      </c>
      <c r="Z85" s="23" t="n">
        <v>49.7</v>
      </c>
      <c r="AA85" s="23" t="n">
        <v>0</v>
      </c>
      <c r="AB85" s="23" t="n">
        <v>0</v>
      </c>
      <c r="AC85" s="23" t="n">
        <v>0</v>
      </c>
    </row>
    <row r="86">
      <c r="A86" s="23" t="inlineStr">
        <is>
          <t>1306162</t>
        </is>
      </c>
      <c r="B86" s="23" t="inlineStr">
        <is>
          <t>2360615</t>
        </is>
      </c>
      <c r="C86" s="23" t="inlineStr">
        <is>
          <t>€11.3m - Housing Development, Mungret</t>
        </is>
      </c>
      <c r="D86" s="23" t="inlineStr">
        <is>
          <t>Dooradoyle</t>
        </is>
      </c>
      <c r="E86" s="23" t="inlineStr">
        <is>
          <t>Limerick City and Suburbs</t>
        </is>
      </c>
      <c r="F86" s="23" t="inlineStr">
        <is>
          <t>City – outside audit land</t>
        </is>
      </c>
      <c r="G86" s="23" t="n"/>
      <c r="H86" s="23" t="inlineStr">
        <is>
          <t>Private</t>
        </is>
      </c>
      <c r="I86" s="23" t="inlineStr">
        <is>
          <t>Market (incl. Part V)</t>
        </is>
      </c>
      <c r="J86" s="23" t="inlineStr">
        <is>
          <t>Standard planning application</t>
        </is>
      </c>
      <c r="K86" s="23" t="inlineStr">
        <is>
          <t>Under construction</t>
        </is>
      </c>
      <c r="L86" s="23" t="inlineStr">
        <is>
          <t>On Site</t>
        </is>
      </c>
      <c r="M86" s="23" t="n">
        <v>66</v>
      </c>
      <c r="N86" s="23" t="n"/>
      <c r="O86" s="23" t="inlineStr">
        <is>
          <t>2024-01-15</t>
        </is>
      </c>
      <c r="P86" s="23" t="inlineStr">
        <is>
          <t>2024-04-22</t>
        </is>
      </c>
      <c r="Q86" s="23" t="inlineStr">
        <is>
          <t>2029-01-14</t>
        </is>
      </c>
      <c r="R86" s="23" t="inlineStr">
        <is>
          <t>2024 Q2</t>
        </is>
      </c>
      <c r="S86" s="23" t="inlineStr">
        <is>
          <t>2027 Q4</t>
        </is>
      </c>
      <c r="T86" s="23" t="inlineStr">
        <is>
          <t>High</t>
        </is>
      </c>
      <c r="U86" s="23" t="inlineStr">
        <is>
          <t>On site: started 2024-04</t>
        </is>
      </c>
      <c r="V86" s="23" t="n">
        <v>0</v>
      </c>
      <c r="W86" s="23" t="n">
        <v>15.4</v>
      </c>
      <c r="X86" s="23" t="n">
        <v>50.6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>
      <c r="A87" s="23" t="inlineStr">
        <is>
          <t>1129627</t>
        </is>
      </c>
      <c r="B87" s="23" t="inlineStr">
        <is>
          <t>201074</t>
        </is>
      </c>
      <c r="C87" s="23" t="inlineStr">
        <is>
          <t>€13m - Residential Development, Castletroy</t>
        </is>
      </c>
      <c r="D87" s="23" t="inlineStr">
        <is>
          <t>Castletroy/Annacotty</t>
        </is>
      </c>
      <c r="E87" s="23" t="inlineStr">
        <is>
          <t>Limerick City and Suburbs</t>
        </is>
      </c>
      <c r="F87" s="23" t="inlineStr">
        <is>
          <t>City – outside audit land</t>
        </is>
      </c>
      <c r="G87" s="23" t="n"/>
      <c r="H87" s="23" t="inlineStr">
        <is>
          <t>Private</t>
        </is>
      </c>
      <c r="I87" s="23" t="inlineStr">
        <is>
          <t>Market (incl. Part V)</t>
        </is>
      </c>
      <c r="J87" s="23" t="inlineStr">
        <is>
          <t>Standard planning application</t>
        </is>
      </c>
      <c r="K87" s="23" t="inlineStr">
        <is>
          <t>Under construction</t>
        </is>
      </c>
      <c r="L87" s="23" t="inlineStr">
        <is>
          <t>On Site</t>
        </is>
      </c>
      <c r="M87" s="23" t="n">
        <v>62</v>
      </c>
      <c r="N87" s="23" t="n"/>
      <c r="O87" s="23" t="inlineStr">
        <is>
          <t>2021-05-06</t>
        </is>
      </c>
      <c r="P87" s="23" t="inlineStr">
        <is>
          <t>2023-06-01</t>
        </is>
      </c>
      <c r="Q87" s="23" t="inlineStr">
        <is>
          <t>2026-05-05</t>
        </is>
      </c>
      <c r="R87" s="23" t="inlineStr">
        <is>
          <t>2023 Q2</t>
        </is>
      </c>
      <c r="S87" s="23" t="inlineStr">
        <is>
          <t>2027 Q4</t>
        </is>
      </c>
      <c r="T87" s="23" t="inlineStr">
        <is>
          <t>High</t>
        </is>
      </c>
      <c r="U87" s="23" t="inlineStr">
        <is>
          <t>On site: started 2023-06</t>
        </is>
      </c>
      <c r="V87" s="23" t="n">
        <v>0</v>
      </c>
      <c r="W87" s="23" t="n">
        <v>14.4</v>
      </c>
      <c r="X87" s="23" t="n">
        <v>47.6</v>
      </c>
      <c r="Y87" s="23" t="n">
        <v>0</v>
      </c>
      <c r="Z87" s="23" t="n">
        <v>0</v>
      </c>
      <c r="AA87" s="23" t="n">
        <v>0</v>
      </c>
      <c r="AB87" s="23" t="n">
        <v>0</v>
      </c>
      <c r="AC87" s="23" t="n">
        <v>0</v>
      </c>
    </row>
    <row r="88">
      <c r="A88" s="23" t="inlineStr">
        <is>
          <t>1157003</t>
        </is>
      </c>
      <c r="B88" s="23" t="inlineStr">
        <is>
          <t>21350</t>
        </is>
      </c>
      <c r="C88" s="23" t="inlineStr">
        <is>
          <t>€14m - Residential Development,Castletroy</t>
        </is>
      </c>
      <c r="D88" s="23" t="inlineStr">
        <is>
          <t>Castletroy/Annacotty</t>
        </is>
      </c>
      <c r="E88" s="23" t="inlineStr">
        <is>
          <t>Limerick City and Suburbs</t>
        </is>
      </c>
      <c r="F88" s="23" t="inlineStr">
        <is>
          <t>City – outside audit land</t>
        </is>
      </c>
      <c r="G88" s="23" t="n"/>
      <c r="H88" s="23" t="inlineStr">
        <is>
          <t>Private</t>
        </is>
      </c>
      <c r="I88" s="23" t="inlineStr">
        <is>
          <t>Market (incl. Part V)</t>
        </is>
      </c>
      <c r="J88" s="23" t="inlineStr">
        <is>
          <t>Standard planning application</t>
        </is>
      </c>
      <c r="K88" s="23" t="inlineStr">
        <is>
          <t>Under construction</t>
        </is>
      </c>
      <c r="L88" s="23" t="inlineStr">
        <is>
          <t>On Site</t>
        </is>
      </c>
      <c r="M88" s="23" t="n">
        <v>62</v>
      </c>
      <c r="N88" s="23" t="n"/>
      <c r="O88" s="23" t="inlineStr">
        <is>
          <t>2021-12-03</t>
        </is>
      </c>
      <c r="P88" s="23" t="inlineStr">
        <is>
          <t>2022-03-25</t>
        </is>
      </c>
      <c r="Q88" s="23" t="inlineStr">
        <is>
          <t>2026-12-02</t>
        </is>
      </c>
      <c r="R88" s="23" t="inlineStr">
        <is>
          <t>2022 Q1</t>
        </is>
      </c>
      <c r="S88" s="23" t="inlineStr">
        <is>
          <t>2027 Q4</t>
        </is>
      </c>
      <c r="T88" s="23" t="inlineStr">
        <is>
          <t>High</t>
        </is>
      </c>
      <c r="U88" s="23" t="inlineStr">
        <is>
          <t>On site: started 2022-03</t>
        </is>
      </c>
      <c r="V88" s="23" t="n">
        <v>0</v>
      </c>
      <c r="W88" s="23" t="n">
        <v>14.4</v>
      </c>
      <c r="X88" s="23" t="n">
        <v>47.6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>
      <c r="A89" s="23" t="inlineStr">
        <is>
          <t>1010675</t>
        </is>
      </c>
      <c r="B89" s="23" t="inlineStr">
        <is>
          <t>187031</t>
        </is>
      </c>
      <c r="C89" s="23" t="inlineStr">
        <is>
          <t>€11m - Residential Development, Castletroy</t>
        </is>
      </c>
      <c r="D89" s="23" t="inlineStr">
        <is>
          <t>Castletroy/Annacotty</t>
        </is>
      </c>
      <c r="E89" s="23" t="inlineStr">
        <is>
          <t>Limerick City and Suburbs</t>
        </is>
      </c>
      <c r="F89" s="23" t="inlineStr">
        <is>
          <t>City – outside audit land</t>
        </is>
      </c>
      <c r="G89" s="23" t="n"/>
      <c r="H89" s="23" t="inlineStr">
        <is>
          <t>Private</t>
        </is>
      </c>
      <c r="I89" s="23" t="inlineStr">
        <is>
          <t>Market (incl. Part V)</t>
        </is>
      </c>
      <c r="J89" s="23" t="inlineStr">
        <is>
          <t>Standard planning application</t>
        </is>
      </c>
      <c r="K89" s="23" t="inlineStr">
        <is>
          <t>Under construction</t>
        </is>
      </c>
      <c r="L89" s="23" t="inlineStr">
        <is>
          <t>On Site</t>
        </is>
      </c>
      <c r="M89" s="23" t="n">
        <v>54</v>
      </c>
      <c r="N89" s="23" t="n"/>
      <c r="O89" s="23" t="inlineStr">
        <is>
          <t>2018-10-23</t>
        </is>
      </c>
      <c r="P89" s="23" t="inlineStr">
        <is>
          <t>2021-04-12</t>
        </is>
      </c>
      <c r="Q89" s="23" t="inlineStr">
        <is>
          <t>2021-12-31</t>
        </is>
      </c>
      <c r="R89" s="23" t="inlineStr">
        <is>
          <t>2021 Q2</t>
        </is>
      </c>
      <c r="S89" s="23" t="inlineStr">
        <is>
          <t>2027 Q4</t>
        </is>
      </c>
      <c r="T89" s="23" t="inlineStr">
        <is>
          <t>High</t>
        </is>
      </c>
      <c r="U89" s="23" t="inlineStr">
        <is>
          <t>On site: started 2021-04</t>
        </is>
      </c>
      <c r="V89" s="23" t="n">
        <v>0</v>
      </c>
      <c r="W89" s="23" t="n">
        <v>12.6</v>
      </c>
      <c r="X89" s="23" t="n">
        <v>41.4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</row>
    <row r="90">
      <c r="A90" s="23" t="inlineStr">
        <is>
          <t>1024750</t>
        </is>
      </c>
      <c r="B90" s="23" t="inlineStr">
        <is>
          <t>181243</t>
        </is>
      </c>
      <c r="C90" s="23" t="inlineStr">
        <is>
          <t>€6.4m - Residential Development, Crossagalla</t>
        </is>
      </c>
      <c r="D90" s="23" t="inlineStr">
        <is>
          <t>Southhill</t>
        </is>
      </c>
      <c r="E90" s="23" t="inlineStr">
        <is>
          <t>Kilmallock</t>
        </is>
      </c>
      <c r="F90" s="23" t="inlineStr">
        <is>
          <t>City – outside audit land</t>
        </is>
      </c>
      <c r="G90" s="23" t="n"/>
      <c r="H90" s="23" t="inlineStr">
        <is>
          <t>Private</t>
        </is>
      </c>
      <c r="I90" s="23" t="inlineStr">
        <is>
          <t>Market (incl. Part V)</t>
        </is>
      </c>
      <c r="J90" s="23" t="inlineStr">
        <is>
          <t>Standard planning application</t>
        </is>
      </c>
      <c r="K90" s="23" t="inlineStr">
        <is>
          <t>Complete</t>
        </is>
      </c>
      <c r="L90" s="23" t="inlineStr">
        <is>
          <t>Complete</t>
        </is>
      </c>
      <c r="M90" s="23" t="n">
        <v>53</v>
      </c>
      <c r="N90" s="23" t="n"/>
      <c r="O90" s="23" t="inlineStr">
        <is>
          <t>2019-09-04</t>
        </is>
      </c>
      <c r="P90" s="23" t="inlineStr">
        <is>
          <t>2021-04-28</t>
        </is>
      </c>
      <c r="Q90" s="23" t="inlineStr">
        <is>
          <t>2024-09-03</t>
        </is>
      </c>
      <c r="R90" s="23" t="n"/>
      <c r="S90" s="23" t="n"/>
      <c r="T90" s="23" t="inlineStr">
        <is>
          <t>Delivered</t>
        </is>
      </c>
      <c r="U90" s="23" t="inlineStr">
        <is>
          <t>Complete (CIS)</t>
        </is>
      </c>
      <c r="V90" s="23" t="n">
        <v>53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>
      <c r="A91" s="23" t="inlineStr">
        <is>
          <t>1408292</t>
        </is>
      </c>
      <c r="B91" s="23" t="inlineStr">
        <is>
          <t>2560540</t>
        </is>
      </c>
      <c r="C91" s="23" t="inlineStr">
        <is>
          <t>€7m - Apartment Development, Limerick City</t>
        </is>
      </c>
      <c r="D91" s="23" t="inlineStr">
        <is>
          <t>City Centre</t>
        </is>
      </c>
      <c r="E91" s="23" t="inlineStr">
        <is>
          <t>Limerick City and Suburbs</t>
        </is>
      </c>
      <c r="F91" s="23" t="inlineStr">
        <is>
          <t>City – outside audit land</t>
        </is>
      </c>
      <c r="G91" s="23" t="n"/>
      <c r="H91" s="23" t="inlineStr">
        <is>
          <t>Private</t>
        </is>
      </c>
      <c r="I91" s="23" t="inlineStr">
        <is>
          <t>Market (incl. Part V)</t>
        </is>
      </c>
      <c r="J91" s="23" t="inlineStr">
        <is>
          <t>Standard planning application</t>
        </is>
      </c>
      <c r="K91" s="23" t="inlineStr">
        <is>
          <t>Not started – permission live</t>
        </is>
      </c>
      <c r="L91" s="23" t="inlineStr">
        <is>
          <t>Permission Granted</t>
        </is>
      </c>
      <c r="M91" s="23" t="n">
        <v>48</v>
      </c>
      <c r="N91" s="23" t="n"/>
      <c r="O91" s="23" t="inlineStr">
        <is>
          <t>2025-11-10</t>
        </is>
      </c>
      <c r="P91" s="23" t="n"/>
      <c r="Q91" s="23" t="inlineStr">
        <is>
          <t>2030-11-09</t>
        </is>
      </c>
      <c r="R91" s="23" t="inlineStr">
        <is>
          <t>2027 Q2</t>
        </is>
      </c>
      <c r="S91" s="23" t="inlineStr">
        <is>
          <t>2029 Q3</t>
        </is>
      </c>
      <c r="T91" s="23" t="inlineStr">
        <is>
          <t>Medium</t>
        </is>
      </c>
      <c r="U91" s="23" t="inlineStr">
        <is>
          <t>Permitted 2025-11; typical start 1.6 yrs after grant</t>
        </is>
      </c>
      <c r="V91" s="23" t="n">
        <v>0</v>
      </c>
      <c r="W91" s="23" t="n">
        <v>0</v>
      </c>
      <c r="X91" s="23" t="n">
        <v>0</v>
      </c>
      <c r="Y91" s="23" t="n">
        <v>20.5</v>
      </c>
      <c r="Z91" s="23" t="n">
        <v>27.5</v>
      </c>
      <c r="AA91" s="23" t="n">
        <v>0</v>
      </c>
      <c r="AB91" s="23" t="n">
        <v>0</v>
      </c>
      <c r="AC91" s="23" t="n">
        <v>0</v>
      </c>
    </row>
    <row r="92">
      <c r="A92" s="23" t="inlineStr">
        <is>
          <t>999946</t>
        </is>
      </c>
      <c r="B92" s="23" t="inlineStr">
        <is>
          <t>18698</t>
        </is>
      </c>
      <c r="C92" s="23" t="inlineStr">
        <is>
          <t xml:space="preserve">€4.6m - Residential Development </t>
        </is>
      </c>
      <c r="D92" s="23" t="inlineStr">
        <is>
          <t>Castletroy/Annacotty</t>
        </is>
      </c>
      <c r="E92" s="23" t="inlineStr">
        <is>
          <t>Limerick City and Suburbs</t>
        </is>
      </c>
      <c r="F92" s="23" t="inlineStr">
        <is>
          <t>City – outside audit land</t>
        </is>
      </c>
      <c r="G92" s="23" t="n"/>
      <c r="H92" s="23" t="inlineStr">
        <is>
          <t>Private</t>
        </is>
      </c>
      <c r="I92" s="23" t="inlineStr">
        <is>
          <t>Market (incl. Part V)</t>
        </is>
      </c>
      <c r="J92" s="23" t="inlineStr">
        <is>
          <t>Standard planning application</t>
        </is>
      </c>
      <c r="K92" s="23" t="inlineStr">
        <is>
          <t>Complete</t>
        </is>
      </c>
      <c r="L92" s="23" t="inlineStr">
        <is>
          <t>Complete</t>
        </is>
      </c>
      <c r="M92" s="23" t="n">
        <v>38</v>
      </c>
      <c r="N92" s="23" t="n"/>
      <c r="O92" s="23" t="inlineStr">
        <is>
          <t>2018-11-21</t>
        </is>
      </c>
      <c r="P92" s="23" t="inlineStr">
        <is>
          <t>2019-09-18</t>
        </is>
      </c>
      <c r="Q92" s="23" t="inlineStr">
        <is>
          <t>2029-01-23</t>
        </is>
      </c>
      <c r="R92" s="23" t="n"/>
      <c r="S92" s="23" t="n"/>
      <c r="T92" s="23" t="inlineStr">
        <is>
          <t>Delivered</t>
        </is>
      </c>
      <c r="U92" s="23" t="inlineStr">
        <is>
          <t>Complete (CIS)</t>
        </is>
      </c>
      <c r="V92" s="23" t="n">
        <v>38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>
      <c r="A93" s="23" t="inlineStr">
        <is>
          <t>895586</t>
        </is>
      </c>
      <c r="B93" s="23" t="inlineStr">
        <is>
          <t>191060</t>
        </is>
      </c>
      <c r="C93" s="23" t="inlineStr">
        <is>
          <t>€50m - 1 BQ Development, Limerick City</t>
        </is>
      </c>
      <c r="D93" s="23" t="inlineStr">
        <is>
          <t>City Centre</t>
        </is>
      </c>
      <c r="E93" s="23" t="inlineStr">
        <is>
          <t>Limerick City and Suburbs</t>
        </is>
      </c>
      <c r="F93" s="23" t="inlineStr">
        <is>
          <t>City – outside audit land</t>
        </is>
      </c>
      <c r="G93" s="23" t="n"/>
      <c r="H93" s="23" t="inlineStr">
        <is>
          <t>Private</t>
        </is>
      </c>
      <c r="I93" s="23" t="inlineStr">
        <is>
          <t>Market (incl. Part V)</t>
        </is>
      </c>
      <c r="J93" s="23" t="inlineStr">
        <is>
          <t>Standard planning application</t>
        </is>
      </c>
      <c r="K93" s="23" t="inlineStr">
        <is>
          <t>Complete</t>
        </is>
      </c>
      <c r="L93" s="23" t="inlineStr">
        <is>
          <t>Complete</t>
        </is>
      </c>
      <c r="M93" s="23" t="n">
        <v>35</v>
      </c>
      <c r="N93" s="23" t="n"/>
      <c r="O93" s="23" t="inlineStr">
        <is>
          <t>2020-03-04</t>
        </is>
      </c>
      <c r="P93" s="23" t="inlineStr">
        <is>
          <t>2022-06-20</t>
        </is>
      </c>
      <c r="Q93" s="23" t="inlineStr">
        <is>
          <t>2022-06-18</t>
        </is>
      </c>
      <c r="R93" s="23" t="n"/>
      <c r="S93" s="23" t="n"/>
      <c r="T93" s="23" t="inlineStr">
        <is>
          <t>Delivered</t>
        </is>
      </c>
      <c r="U93" s="23" t="inlineStr">
        <is>
          <t>Complete (CIS)</t>
        </is>
      </c>
      <c r="V93" s="23" t="n">
        <v>35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</row>
    <row r="94">
      <c r="A94" s="23" t="inlineStr">
        <is>
          <t>1254537</t>
        </is>
      </c>
      <c r="B94" s="23" t="inlineStr">
        <is>
          <t>221107</t>
        </is>
      </c>
      <c r="C94" s="23" t="inlineStr">
        <is>
          <t>€5m - Apartment/Retail Development, Dooradoyle</t>
        </is>
      </c>
      <c r="D94" s="23" t="inlineStr">
        <is>
          <t>Dooradoyle</t>
        </is>
      </c>
      <c r="E94" s="23" t="inlineStr">
        <is>
          <t>Limerick City and Suburbs</t>
        </is>
      </c>
      <c r="F94" s="23" t="inlineStr">
        <is>
          <t>City – outside audit land</t>
        </is>
      </c>
      <c r="G94" s="23" t="n"/>
      <c r="H94" s="23" t="inlineStr">
        <is>
          <t>Private</t>
        </is>
      </c>
      <c r="I94" s="23" t="inlineStr">
        <is>
          <t>Market (incl. Part V)</t>
        </is>
      </c>
      <c r="J94" s="23" t="inlineStr">
        <is>
          <t>Standard planning application</t>
        </is>
      </c>
      <c r="K94" s="23" t="inlineStr">
        <is>
          <t>Not started – permission live</t>
        </is>
      </c>
      <c r="L94" s="23" t="inlineStr">
        <is>
          <t>Permission Granted</t>
        </is>
      </c>
      <c r="M94" s="23" t="n">
        <v>30</v>
      </c>
      <c r="N94" s="23" t="n"/>
      <c r="O94" s="23" t="inlineStr">
        <is>
          <t>2023-06-14</t>
        </is>
      </c>
      <c r="P94" s="23" t="n"/>
      <c r="Q94" s="23" t="inlineStr">
        <is>
          <t>2028-06-13</t>
        </is>
      </c>
      <c r="R94" s="23" t="inlineStr">
        <is>
          <t>2027 Q3</t>
        </is>
      </c>
      <c r="S94" s="23" t="inlineStr">
        <is>
          <t>2029 Q1</t>
        </is>
      </c>
      <c r="T94" s="23" t="inlineStr">
        <is>
          <t>Low</t>
        </is>
      </c>
      <c r="U94" s="23" t="inlineStr">
        <is>
          <t>Permitted 2023-06, past typical start date with no commencement: start assumed in 9 months</t>
        </is>
      </c>
      <c r="V94" s="23" t="n">
        <v>0</v>
      </c>
      <c r="W94" s="23" t="n">
        <v>0</v>
      </c>
      <c r="X94" s="23" t="n">
        <v>0</v>
      </c>
      <c r="Y94" s="23" t="n">
        <v>22.8</v>
      </c>
      <c r="Z94" s="23" t="n">
        <v>7.2</v>
      </c>
      <c r="AA94" s="23" t="n">
        <v>0</v>
      </c>
      <c r="AB94" s="23" t="n">
        <v>0</v>
      </c>
      <c r="AC94" s="23" t="n">
        <v>0</v>
      </c>
    </row>
    <row r="95">
      <c r="A95" s="23" t="inlineStr">
        <is>
          <t>1103803</t>
        </is>
      </c>
      <c r="B95" s="23" t="inlineStr">
        <is>
          <t>20467</t>
        </is>
      </c>
      <c r="C95" s="23" t="inlineStr">
        <is>
          <t>€5.4m - Patricks Well Housing Development, Mungret</t>
        </is>
      </c>
      <c r="D95" s="23" t="inlineStr">
        <is>
          <t>Dooradoyle</t>
        </is>
      </c>
      <c r="E95" s="23" t="inlineStr">
        <is>
          <t>Mungret</t>
        </is>
      </c>
      <c r="F95" s="23" t="inlineStr">
        <is>
          <t>City – outside audit land</t>
        </is>
      </c>
      <c r="G95" s="23" t="n"/>
      <c r="H95" s="23" t="inlineStr">
        <is>
          <t>Private</t>
        </is>
      </c>
      <c r="I95" s="23" t="inlineStr">
        <is>
          <t>Market (incl. Part V)</t>
        </is>
      </c>
      <c r="J95" s="23" t="inlineStr">
        <is>
          <t>Standard planning application</t>
        </is>
      </c>
      <c r="K95" s="23" t="inlineStr">
        <is>
          <t>Under construction</t>
        </is>
      </c>
      <c r="L95" s="23" t="inlineStr">
        <is>
          <t>On Site</t>
        </is>
      </c>
      <c r="M95" s="23" t="n">
        <v>29</v>
      </c>
      <c r="N95" s="23" t="n"/>
      <c r="O95" s="23" t="inlineStr">
        <is>
          <t>2021-01-29</t>
        </is>
      </c>
      <c r="P95" s="23" t="inlineStr">
        <is>
          <t>2021-10-11</t>
        </is>
      </c>
      <c r="Q95" s="23" t="inlineStr">
        <is>
          <t>2029-03-12</t>
        </is>
      </c>
      <c r="R95" s="23" t="inlineStr">
        <is>
          <t>2021 Q4</t>
        </is>
      </c>
      <c r="S95" s="23" t="inlineStr">
        <is>
          <t>2027 Q4</t>
        </is>
      </c>
      <c r="T95" s="23" t="inlineStr">
        <is>
          <t>High</t>
        </is>
      </c>
      <c r="U95" s="23" t="inlineStr">
        <is>
          <t>On site: started 2021-10</t>
        </is>
      </c>
      <c r="V95" s="23" t="n">
        <v>0</v>
      </c>
      <c r="W95" s="23" t="n">
        <v>6.8</v>
      </c>
      <c r="X95" s="23" t="n">
        <v>22.2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</row>
    <row r="96">
      <c r="A96" s="23" t="inlineStr">
        <is>
          <t>1250272</t>
        </is>
      </c>
      <c r="B96" s="23" t="inlineStr">
        <is>
          <t>221003</t>
        </is>
      </c>
      <c r="C96" s="23" t="inlineStr">
        <is>
          <t>€6.5m - Apartment Development, Limerick</t>
        </is>
      </c>
      <c r="D96" s="23" t="inlineStr">
        <is>
          <t>City Centre</t>
        </is>
      </c>
      <c r="E96" s="23" t="inlineStr">
        <is>
          <t>Limerick City and Suburbs</t>
        </is>
      </c>
      <c r="F96" s="23" t="inlineStr">
        <is>
          <t>City – outside audit land</t>
        </is>
      </c>
      <c r="G96" s="23" t="n"/>
      <c r="H96" s="23" t="inlineStr">
        <is>
          <t>Private</t>
        </is>
      </c>
      <c r="I96" s="23" t="inlineStr">
        <is>
          <t>Market (incl. Part V)</t>
        </is>
      </c>
      <c r="J96" s="23" t="inlineStr">
        <is>
          <t>Standard planning application</t>
        </is>
      </c>
      <c r="K96" s="23" t="inlineStr">
        <is>
          <t>Not started – permission live</t>
        </is>
      </c>
      <c r="L96" s="23" t="inlineStr">
        <is>
          <t>Permission Granted</t>
        </is>
      </c>
      <c r="M96" s="23" t="n">
        <v>29</v>
      </c>
      <c r="N96" s="23" t="n"/>
      <c r="O96" s="23" t="inlineStr">
        <is>
          <t>2023-07-12</t>
        </is>
      </c>
      <c r="P96" s="23" t="n"/>
      <c r="Q96" s="23" t="inlineStr">
        <is>
          <t>2028-07-11</t>
        </is>
      </c>
      <c r="R96" s="23" t="inlineStr">
        <is>
          <t>2027 Q3</t>
        </is>
      </c>
      <c r="S96" s="23" t="inlineStr">
        <is>
          <t>2029 Q1</t>
        </is>
      </c>
      <c r="T96" s="23" t="inlineStr">
        <is>
          <t>Low</t>
        </is>
      </c>
      <c r="U96" s="23" t="inlineStr">
        <is>
          <t>Permitted 2023-07, past typical start date with no commencement: start assumed in 9 months</t>
        </is>
      </c>
      <c r="V96" s="23" t="n">
        <v>0</v>
      </c>
      <c r="W96" s="23" t="n">
        <v>0</v>
      </c>
      <c r="X96" s="23" t="n">
        <v>0</v>
      </c>
      <c r="Y96" s="23" t="n">
        <v>22</v>
      </c>
      <c r="Z96" s="23" t="n">
        <v>7</v>
      </c>
      <c r="AA96" s="23" t="n">
        <v>0</v>
      </c>
      <c r="AB96" s="23" t="n">
        <v>0</v>
      </c>
      <c r="AC96" s="23" t="n">
        <v>0</v>
      </c>
    </row>
    <row r="97">
      <c r="A97" s="23" t="inlineStr">
        <is>
          <t>1258052</t>
        </is>
      </c>
      <c r="B97" s="23" t="inlineStr">
        <is>
          <t>221189</t>
        </is>
      </c>
      <c r="C97" s="23" t="inlineStr">
        <is>
          <t>€6.3m - Apartment Development, Limerick</t>
        </is>
      </c>
      <c r="D97" s="23" t="inlineStr">
        <is>
          <t>Caherdavin</t>
        </is>
      </c>
      <c r="E97" s="23" t="inlineStr">
        <is>
          <t>Other County Limerick</t>
        </is>
      </c>
      <c r="F97" s="23" t="inlineStr">
        <is>
          <t>City – outside audit land</t>
        </is>
      </c>
      <c r="G97" s="23" t="n"/>
      <c r="H97" s="23" t="inlineStr">
        <is>
          <t>Private</t>
        </is>
      </c>
      <c r="I97" s="23" t="inlineStr">
        <is>
          <t>Market (incl. Part V)</t>
        </is>
      </c>
      <c r="J97" s="23" t="inlineStr">
        <is>
          <t>Standard planning application</t>
        </is>
      </c>
      <c r="K97" s="23" t="inlineStr">
        <is>
          <t>Under construction</t>
        </is>
      </c>
      <c r="L97" s="23" t="inlineStr">
        <is>
          <t>On Site</t>
        </is>
      </c>
      <c r="M97" s="23" t="n">
        <v>28</v>
      </c>
      <c r="N97" s="23" t="n"/>
      <c r="O97" s="23" t="inlineStr">
        <is>
          <t>2024-12-19</t>
        </is>
      </c>
      <c r="P97" s="23" t="inlineStr">
        <is>
          <t>2026-02-20</t>
        </is>
      </c>
      <c r="Q97" s="23" t="inlineStr">
        <is>
          <t>2029-12-18</t>
        </is>
      </c>
      <c r="R97" s="23" t="inlineStr">
        <is>
          <t>2026 Q1</t>
        </is>
      </c>
      <c r="S97" s="23" t="inlineStr">
        <is>
          <t>2027 Q4</t>
        </is>
      </c>
      <c r="T97" s="23" t="inlineStr">
        <is>
          <t>High</t>
        </is>
      </c>
      <c r="U97" s="23" t="inlineStr">
        <is>
          <t>On site: started 2026-02</t>
        </is>
      </c>
      <c r="V97" s="23" t="n">
        <v>0</v>
      </c>
      <c r="W97" s="23" t="n">
        <v>3.9</v>
      </c>
      <c r="X97" s="23" t="n">
        <v>24.1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</row>
    <row r="98">
      <c r="A98" s="23" t="inlineStr">
        <is>
          <t>1022341</t>
        </is>
      </c>
      <c r="B98" s="23" t="inlineStr">
        <is>
          <t>187040</t>
        </is>
      </c>
      <c r="C98" s="23" t="inlineStr">
        <is>
          <t>€5.7m - Residential Development, Rhebogue</t>
        </is>
      </c>
      <c r="D98" s="23" t="inlineStr">
        <is>
          <t>Singland/Garryowen</t>
        </is>
      </c>
      <c r="E98" s="23" t="inlineStr">
        <is>
          <t>Other County Limerick</t>
        </is>
      </c>
      <c r="F98" s="23" t="inlineStr">
        <is>
          <t>City – outside audit land</t>
        </is>
      </c>
      <c r="G98" s="23" t="n"/>
      <c r="H98" s="23" t="inlineStr">
        <is>
          <t>Private</t>
        </is>
      </c>
      <c r="I98" s="23" t="inlineStr">
        <is>
          <t>Market (incl. Part V)</t>
        </is>
      </c>
      <c r="J98" s="23" t="inlineStr">
        <is>
          <t>Standard planning application</t>
        </is>
      </c>
      <c r="K98" s="23" t="inlineStr">
        <is>
          <t>Under construction</t>
        </is>
      </c>
      <c r="L98" s="23" t="inlineStr">
        <is>
          <t>Commencement Expected</t>
        </is>
      </c>
      <c r="M98" s="23" t="n">
        <v>26</v>
      </c>
      <c r="N98" s="23" t="n"/>
      <c r="O98" s="23" t="inlineStr">
        <is>
          <t>2018-12-14</t>
        </is>
      </c>
      <c r="P98" s="23" t="inlineStr">
        <is>
          <t>2020-10-21</t>
        </is>
      </c>
      <c r="Q98" s="23" t="inlineStr">
        <is>
          <t>2023-12-30</t>
        </is>
      </c>
      <c r="R98" s="23" t="inlineStr">
        <is>
          <t>2020 Q4</t>
        </is>
      </c>
      <c r="S98" s="23" t="inlineStr">
        <is>
          <t>2027 Q4</t>
        </is>
      </c>
      <c r="T98" s="23" t="inlineStr">
        <is>
          <t>High</t>
        </is>
      </c>
      <c r="U98" s="23" t="inlineStr">
        <is>
          <t>On site: started 2020-10</t>
        </is>
      </c>
      <c r="V98" s="23" t="n">
        <v>0</v>
      </c>
      <c r="W98" s="23" t="n">
        <v>6.1</v>
      </c>
      <c r="X98" s="23" t="n">
        <v>19.9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</row>
    <row r="99">
      <c r="A99" s="23" t="inlineStr">
        <is>
          <t>990340</t>
        </is>
      </c>
      <c r="B99" s="23" t="inlineStr">
        <is>
          <t>18465</t>
        </is>
      </c>
      <c r="C99" s="23" t="inlineStr">
        <is>
          <t>€3.4m - Residential Development, Mungret</t>
        </is>
      </c>
      <c r="D99" s="23" t="inlineStr">
        <is>
          <t>Dooradoyle</t>
        </is>
      </c>
      <c r="E99" s="23" t="inlineStr">
        <is>
          <t>Mungret</t>
        </is>
      </c>
      <c r="F99" s="23" t="inlineStr">
        <is>
          <t>City – outside audit land</t>
        </is>
      </c>
      <c r="G99" s="23" t="n"/>
      <c r="H99" s="23" t="inlineStr">
        <is>
          <t>Private</t>
        </is>
      </c>
      <c r="I99" s="23" t="inlineStr">
        <is>
          <t>Market (incl. Part V)</t>
        </is>
      </c>
      <c r="J99" s="23" t="inlineStr">
        <is>
          <t>Standard planning application</t>
        </is>
      </c>
      <c r="K99" s="23" t="inlineStr">
        <is>
          <t>Complete</t>
        </is>
      </c>
      <c r="L99" s="23" t="inlineStr">
        <is>
          <t>Complete</t>
        </is>
      </c>
      <c r="M99" s="23" t="n">
        <v>25</v>
      </c>
      <c r="N99" s="23" t="n"/>
      <c r="O99" s="23" t="inlineStr">
        <is>
          <t>2018-09-18</t>
        </is>
      </c>
      <c r="P99" s="23" t="inlineStr">
        <is>
          <t>2020-07-16</t>
        </is>
      </c>
      <c r="Q99" s="23" t="inlineStr">
        <is>
          <t>2023-09-17</t>
        </is>
      </c>
      <c r="R99" s="23" t="n"/>
      <c r="S99" s="23" t="n"/>
      <c r="T99" s="23" t="inlineStr">
        <is>
          <t>Delivered</t>
        </is>
      </c>
      <c r="U99" s="23" t="inlineStr">
        <is>
          <t>Complete (CIS)</t>
        </is>
      </c>
      <c r="V99" s="23" t="n">
        <v>25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>
      <c r="A100" s="23" t="inlineStr">
        <is>
          <t>1005377</t>
        </is>
      </c>
      <c r="B100" s="23" t="inlineStr">
        <is>
          <t>187029</t>
        </is>
      </c>
      <c r="C100" s="23" t="inlineStr">
        <is>
          <t xml:space="preserve">€1.9m - Housing Development </t>
        </is>
      </c>
      <c r="D100" s="23" t="inlineStr">
        <is>
          <t>Corbally/Grove Island</t>
        </is>
      </c>
      <c r="E100" s="23" t="inlineStr">
        <is>
          <t>Limerick City and Suburbs</t>
        </is>
      </c>
      <c r="F100" s="23" t="inlineStr">
        <is>
          <t>City – outside audit land</t>
        </is>
      </c>
      <c r="G100" s="23" t="n"/>
      <c r="H100" s="23" t="inlineStr">
        <is>
          <t>Private</t>
        </is>
      </c>
      <c r="I100" s="23" t="inlineStr">
        <is>
          <t>Market (incl. Part V)</t>
        </is>
      </c>
      <c r="J100" s="23" t="inlineStr">
        <is>
          <t>Standard planning application</t>
        </is>
      </c>
      <c r="K100" s="23" t="inlineStr">
        <is>
          <t>Complete</t>
        </is>
      </c>
      <c r="L100" s="23" t="inlineStr">
        <is>
          <t>Complete</t>
        </is>
      </c>
      <c r="M100" s="23" t="n">
        <v>24</v>
      </c>
      <c r="N100" s="23" t="n"/>
      <c r="O100" s="23" t="inlineStr">
        <is>
          <t>2018-10-04</t>
        </is>
      </c>
      <c r="P100" s="23" t="inlineStr">
        <is>
          <t>2018-03-13</t>
        </is>
      </c>
      <c r="Q100" s="23" t="inlineStr">
        <is>
          <t>2021-12-31</t>
        </is>
      </c>
      <c r="R100" s="23" t="n"/>
      <c r="S100" s="23" t="n"/>
      <c r="T100" s="23" t="inlineStr">
        <is>
          <t>Delivered</t>
        </is>
      </c>
      <c r="U100" s="23" t="inlineStr">
        <is>
          <t>Complete (CIS)</t>
        </is>
      </c>
      <c r="V100" s="23" t="n">
        <v>24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>
      <c r="A101" s="23" t="inlineStr">
        <is>
          <t>1094519</t>
        </is>
      </c>
      <c r="B101" s="23" t="inlineStr">
        <is>
          <t>20222</t>
        </is>
      </c>
      <c r="C101" s="23" t="inlineStr">
        <is>
          <t>€8.9m - Mixed Use Development, 34-41 Catherine Street</t>
        </is>
      </c>
      <c r="D101" s="23" t="inlineStr">
        <is>
          <t>City Centre</t>
        </is>
      </c>
      <c r="E101" s="23" t="inlineStr">
        <is>
          <t>Other County Limerick</t>
        </is>
      </c>
      <c r="F101" s="23" t="inlineStr">
        <is>
          <t>City – outside audit land</t>
        </is>
      </c>
      <c r="G101" s="23" t="n"/>
      <c r="H101" s="23" t="inlineStr">
        <is>
          <t>Private</t>
        </is>
      </c>
      <c r="I101" s="23" t="inlineStr">
        <is>
          <t>Market (incl. Part V)</t>
        </is>
      </c>
      <c r="J101" s="23" t="inlineStr">
        <is>
          <t>Standard planning application</t>
        </is>
      </c>
      <c r="K101" s="23" t="inlineStr">
        <is>
          <t>Not started – past expiry</t>
        </is>
      </c>
      <c r="L101" s="23" t="inlineStr">
        <is>
          <t>Permission Granted</t>
        </is>
      </c>
      <c r="M101" s="23" t="n">
        <v>24</v>
      </c>
      <c r="N101" s="23" t="n"/>
      <c r="O101" s="23" t="inlineStr">
        <is>
          <t>2021-01-06</t>
        </is>
      </c>
      <c r="P101" s="23" t="n"/>
      <c r="Q101" s="23" t="inlineStr">
        <is>
          <t>2026-01-05</t>
        </is>
      </c>
      <c r="R101" s="23" t="n"/>
      <c r="S101" s="23" t="n"/>
      <c r="T101" s="23" t="inlineStr">
        <is>
          <t>Not projected</t>
        </is>
      </c>
      <c r="U101" s="23" t="inlineStr">
        <is>
          <t>Permission expired – not projected</t>
        </is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24</v>
      </c>
    </row>
    <row r="102">
      <c r="A102" s="23" t="inlineStr">
        <is>
          <t>1403973</t>
        </is>
      </c>
      <c r="B102" s="23" t="inlineStr">
        <is>
          <t>2560425</t>
        </is>
      </c>
      <c r="C102" s="23" t="inlineStr">
        <is>
          <t xml:space="preserve">€4.4m - Apartment Development </t>
        </is>
      </c>
      <c r="D102" s="23" t="inlineStr">
        <is>
          <t>Dooradoyle</t>
        </is>
      </c>
      <c r="E102" s="23" t="inlineStr">
        <is>
          <t>Limerick City and Suburbs</t>
        </is>
      </c>
      <c r="F102" s="23" t="inlineStr">
        <is>
          <t>City – outside audit land</t>
        </is>
      </c>
      <c r="G102" s="23" t="n"/>
      <c r="H102" s="23" t="inlineStr">
        <is>
          <t>Private</t>
        </is>
      </c>
      <c r="I102" s="23" t="inlineStr">
        <is>
          <t>Market (incl. Part V)</t>
        </is>
      </c>
      <c r="J102" s="23" t="inlineStr">
        <is>
          <t>Standard planning application</t>
        </is>
      </c>
      <c r="K102" s="23" t="inlineStr">
        <is>
          <t>Not started – permission live</t>
        </is>
      </c>
      <c r="L102" s="23" t="inlineStr">
        <is>
          <t>Permission Granted</t>
        </is>
      </c>
      <c r="M102" s="23" t="n">
        <v>24</v>
      </c>
      <c r="N102" s="23" t="n"/>
      <c r="O102" s="23" t="inlineStr">
        <is>
          <t>2026-04-14</t>
        </is>
      </c>
      <c r="P102" s="23" t="n"/>
      <c r="Q102" s="23" t="inlineStr">
        <is>
          <t>2031-04-13</t>
        </is>
      </c>
      <c r="R102" s="23" t="inlineStr">
        <is>
          <t>2027 Q3</t>
        </is>
      </c>
      <c r="S102" s="23" t="inlineStr">
        <is>
          <t>2030 Q3</t>
        </is>
      </c>
      <c r="T102" s="23" t="inlineStr">
        <is>
          <t>Medium</t>
        </is>
      </c>
      <c r="U102" s="23" t="inlineStr">
        <is>
          <t>Permitted 2026-04; typical start 1.4 yrs after grant</t>
        </is>
      </c>
      <c r="V102" s="23" t="n">
        <v>0</v>
      </c>
      <c r="W102" s="23" t="n">
        <v>0</v>
      </c>
      <c r="X102" s="23" t="n">
        <v>0</v>
      </c>
      <c r="Y102" s="23" t="n">
        <v>4.2</v>
      </c>
      <c r="Z102" s="23" t="n">
        <v>12.8</v>
      </c>
      <c r="AA102" s="23" t="n">
        <v>7</v>
      </c>
      <c r="AB102" s="23" t="n">
        <v>0</v>
      </c>
      <c r="AC102" s="23" t="n">
        <v>0</v>
      </c>
    </row>
    <row r="103">
      <c r="A103" s="23" t="inlineStr">
        <is>
          <t>1278374</t>
        </is>
      </c>
      <c r="B103" s="23" t="inlineStr">
        <is>
          <t>2360150</t>
        </is>
      </c>
      <c r="C103" s="23" t="inlineStr">
        <is>
          <t>€3m - Apartment Development, Limerick</t>
        </is>
      </c>
      <c r="D103" s="23" t="inlineStr">
        <is>
          <t>City Centre</t>
        </is>
      </c>
      <c r="E103" s="23" t="inlineStr">
        <is>
          <t>Limerick City and Suburbs</t>
        </is>
      </c>
      <c r="F103" s="23" t="inlineStr">
        <is>
          <t>City – outside audit land</t>
        </is>
      </c>
      <c r="G103" s="23" t="n"/>
      <c r="H103" s="23" t="inlineStr">
        <is>
          <t>Private</t>
        </is>
      </c>
      <c r="I103" s="23" t="inlineStr">
        <is>
          <t>Market (incl. Part V)</t>
        </is>
      </c>
      <c r="J103" s="23" t="inlineStr">
        <is>
          <t>Standard planning application</t>
        </is>
      </c>
      <c r="K103" s="23" t="inlineStr">
        <is>
          <t>Under construction</t>
        </is>
      </c>
      <c r="L103" s="23" t="inlineStr">
        <is>
          <t>On Site</t>
        </is>
      </c>
      <c r="M103" s="23" t="n">
        <v>24</v>
      </c>
      <c r="N103" s="23" t="n"/>
      <c r="O103" s="23" t="inlineStr">
        <is>
          <t>2023-08-22</t>
        </is>
      </c>
      <c r="P103" s="23" t="inlineStr">
        <is>
          <t>2025-12-01</t>
        </is>
      </c>
      <c r="Q103" s="23" t="inlineStr">
        <is>
          <t>2028-08-21</t>
        </is>
      </c>
      <c r="R103" s="23" t="inlineStr">
        <is>
          <t>2025 Q4</t>
        </is>
      </c>
      <c r="S103" s="23" t="inlineStr">
        <is>
          <t>2028 Q4</t>
        </is>
      </c>
      <c r="T103" s="23" t="inlineStr">
        <is>
          <t>High</t>
        </is>
      </c>
      <c r="U103" s="23" t="inlineStr">
        <is>
          <t>On site: started 2025-12</t>
        </is>
      </c>
      <c r="V103" s="23" t="n">
        <v>0</v>
      </c>
      <c r="W103" s="23" t="n">
        <v>1.1</v>
      </c>
      <c r="X103" s="23" t="n">
        <v>12.8</v>
      </c>
      <c r="Y103" s="23" t="n">
        <v>10.1</v>
      </c>
      <c r="Z103" s="23" t="n">
        <v>0</v>
      </c>
      <c r="AA103" s="23" t="n">
        <v>0</v>
      </c>
      <c r="AB103" s="23" t="n">
        <v>0</v>
      </c>
      <c r="AC103" s="23" t="n">
        <v>0</v>
      </c>
    </row>
    <row r="104">
      <c r="A104" s="23" t="inlineStr">
        <is>
          <t>1019119</t>
        </is>
      </c>
      <c r="B104" s="23" t="inlineStr">
        <is>
          <t>181105</t>
        </is>
      </c>
      <c r="C104" s="23" t="inlineStr">
        <is>
          <t>€2.3m - Housing Development</t>
        </is>
      </c>
      <c r="D104" s="23" t="inlineStr">
        <is>
          <t>Castletroy/Annacotty</t>
        </is>
      </c>
      <c r="E104" s="23" t="inlineStr">
        <is>
          <t>Limerick City and Suburbs</t>
        </is>
      </c>
      <c r="F104" s="23" t="inlineStr">
        <is>
          <t>City – outside audit land</t>
        </is>
      </c>
      <c r="G104" s="23" t="n"/>
      <c r="H104" s="23" t="inlineStr">
        <is>
          <t>Private</t>
        </is>
      </c>
      <c r="I104" s="23" t="inlineStr">
        <is>
          <t>Market (incl. Part V)</t>
        </is>
      </c>
      <c r="J104" s="23" t="inlineStr">
        <is>
          <t>Standard planning application</t>
        </is>
      </c>
      <c r="K104" s="23" t="inlineStr">
        <is>
          <t>Under construction</t>
        </is>
      </c>
      <c r="L104" s="23" t="inlineStr">
        <is>
          <t>Part Complete</t>
        </is>
      </c>
      <c r="M104" s="23" t="n">
        <v>23</v>
      </c>
      <c r="N104" s="23" t="n"/>
      <c r="O104" s="23" t="inlineStr">
        <is>
          <t>2019-09-19</t>
        </is>
      </c>
      <c r="P104" s="23" t="inlineStr">
        <is>
          <t>2023-07-06</t>
        </is>
      </c>
      <c r="Q104" s="23" t="inlineStr">
        <is>
          <t>2024-09-18</t>
        </is>
      </c>
      <c r="R104" s="23" t="inlineStr">
        <is>
          <t>2023 Q3</t>
        </is>
      </c>
      <c r="S104" s="23" t="inlineStr">
        <is>
          <t>2027 Q4</t>
        </is>
      </c>
      <c r="T104" s="23" t="inlineStr">
        <is>
          <t>High</t>
        </is>
      </c>
      <c r="U104" s="23" t="inlineStr">
        <is>
          <t>On site: started 2023-07</t>
        </is>
      </c>
      <c r="V104" s="23" t="n">
        <v>0</v>
      </c>
      <c r="W104" s="23" t="n">
        <v>5.4</v>
      </c>
      <c r="X104" s="23" t="n">
        <v>17.6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</row>
    <row r="105">
      <c r="A105" s="23" t="inlineStr">
        <is>
          <t>1196488</t>
        </is>
      </c>
      <c r="B105" s="23" t="inlineStr">
        <is>
          <t>211475</t>
        </is>
      </c>
      <c r="C105" s="23" t="inlineStr">
        <is>
          <t>€4.9m - Residential Development, Castletroy</t>
        </is>
      </c>
      <c r="D105" s="23" t="inlineStr">
        <is>
          <t>Castletroy/Annacotty</t>
        </is>
      </c>
      <c r="E105" s="23" t="inlineStr">
        <is>
          <t>Limerick City and Suburbs</t>
        </is>
      </c>
      <c r="F105" s="23" t="inlineStr">
        <is>
          <t>City – outside audit land</t>
        </is>
      </c>
      <c r="G105" s="23" t="n"/>
      <c r="H105" s="23" t="inlineStr">
        <is>
          <t>Private</t>
        </is>
      </c>
      <c r="I105" s="23" t="inlineStr">
        <is>
          <t>Market (incl. Part V)</t>
        </is>
      </c>
      <c r="J105" s="23" t="inlineStr">
        <is>
          <t>Standard planning application</t>
        </is>
      </c>
      <c r="K105" s="23" t="inlineStr">
        <is>
          <t>Under construction</t>
        </is>
      </c>
      <c r="L105" s="23" t="inlineStr">
        <is>
          <t>On Site</t>
        </is>
      </c>
      <c r="M105" s="23" t="n">
        <v>23</v>
      </c>
      <c r="N105" s="23" t="n"/>
      <c r="O105" s="23" t="inlineStr">
        <is>
          <t>2022-05-03</t>
        </is>
      </c>
      <c r="P105" s="23" t="inlineStr">
        <is>
          <t>2022-08-15</t>
        </is>
      </c>
      <c r="Q105" s="23" t="inlineStr">
        <is>
          <t>2027-05-02</t>
        </is>
      </c>
      <c r="R105" s="23" t="inlineStr">
        <is>
          <t>2022 Q3</t>
        </is>
      </c>
      <c r="S105" s="23" t="inlineStr">
        <is>
          <t>2027 Q4</t>
        </is>
      </c>
      <c r="T105" s="23" t="inlineStr">
        <is>
          <t>High</t>
        </is>
      </c>
      <c r="U105" s="23" t="inlineStr">
        <is>
          <t>On site: started 2022-08</t>
        </is>
      </c>
      <c r="V105" s="23" t="n">
        <v>0</v>
      </c>
      <c r="W105" s="23" t="n">
        <v>5.4</v>
      </c>
      <c r="X105" s="23" t="n">
        <v>17.6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</row>
    <row r="106">
      <c r="A106" s="23" t="inlineStr">
        <is>
          <t>1411773</t>
        </is>
      </c>
      <c r="B106" s="23" t="inlineStr">
        <is>
          <t>2560771</t>
        </is>
      </c>
      <c r="C106" s="23" t="inlineStr">
        <is>
          <t>€4.5m - Mixed Use Development</t>
        </is>
      </c>
      <c r="D106" s="23" t="inlineStr">
        <is>
          <t>City Centre</t>
        </is>
      </c>
      <c r="E106" s="23" t="inlineStr">
        <is>
          <t>Limerick City and Suburbs</t>
        </is>
      </c>
      <c r="F106" s="23" t="inlineStr">
        <is>
          <t>City – outside audit land</t>
        </is>
      </c>
      <c r="G106" s="23" t="n"/>
      <c r="H106" s="23" t="inlineStr">
        <is>
          <t>Private</t>
        </is>
      </c>
      <c r="I106" s="23" t="inlineStr">
        <is>
          <t>Market (incl. Part V)</t>
        </is>
      </c>
      <c r="J106" s="23" t="inlineStr">
        <is>
          <t>Standard planning application</t>
        </is>
      </c>
      <c r="K106" s="23" t="inlineStr">
        <is>
          <t>Not started – permission live</t>
        </is>
      </c>
      <c r="L106" s="23" t="inlineStr">
        <is>
          <t>Permission Granted</t>
        </is>
      </c>
      <c r="M106" s="23" t="n">
        <v>22</v>
      </c>
      <c r="N106" s="23" t="n"/>
      <c r="O106" s="23" t="inlineStr">
        <is>
          <t>2026-06-08</t>
        </is>
      </c>
      <c r="P106" s="23" t="n"/>
      <c r="Q106" s="23" t="inlineStr">
        <is>
          <t>2031-06-07</t>
        </is>
      </c>
      <c r="R106" s="23" t="inlineStr">
        <is>
          <t>2027 Q4</t>
        </is>
      </c>
      <c r="S106" s="23" t="inlineStr">
        <is>
          <t>2030 Q2</t>
        </is>
      </c>
      <c r="T106" s="23" t="inlineStr">
        <is>
          <t>Medium</t>
        </is>
      </c>
      <c r="U106" s="23" t="inlineStr">
        <is>
          <t>Permitted 2026-06; typical start 1.4 yrs after grant</t>
        </is>
      </c>
      <c r="V106" s="23" t="n">
        <v>0</v>
      </c>
      <c r="W106" s="23" t="n">
        <v>0</v>
      </c>
      <c r="X106" s="23" t="n">
        <v>0</v>
      </c>
      <c r="Y106" s="23" t="n">
        <v>2.4</v>
      </c>
      <c r="Z106" s="23" t="n">
        <v>13.5</v>
      </c>
      <c r="AA106" s="23" t="n">
        <v>6.2</v>
      </c>
      <c r="AB106" s="23" t="n">
        <v>-0.1</v>
      </c>
      <c r="AC106" s="23" t="n">
        <v>0</v>
      </c>
    </row>
    <row r="107">
      <c r="A107" s="23" t="inlineStr">
        <is>
          <t>1290708</t>
        </is>
      </c>
      <c r="B107" s="23" t="inlineStr">
        <is>
          <t>2360345</t>
        </is>
      </c>
      <c r="C107" s="23" t="inlineStr">
        <is>
          <t>€3.7m - Residential Development, Limerick City</t>
        </is>
      </c>
      <c r="D107" s="23" t="inlineStr">
        <is>
          <t>City Centre</t>
        </is>
      </c>
      <c r="E107" s="23" t="inlineStr">
        <is>
          <t>Limerick City and Suburbs</t>
        </is>
      </c>
      <c r="F107" s="23" t="inlineStr">
        <is>
          <t>City – outside audit land</t>
        </is>
      </c>
      <c r="G107" s="23" t="n"/>
      <c r="H107" s="23" t="inlineStr">
        <is>
          <t>Private</t>
        </is>
      </c>
      <c r="I107" s="23" t="inlineStr">
        <is>
          <t>Market (incl. Part V)</t>
        </is>
      </c>
      <c r="J107" s="23" t="inlineStr">
        <is>
          <t>Standard planning application</t>
        </is>
      </c>
      <c r="K107" s="23" t="inlineStr">
        <is>
          <t>Not started – permission live</t>
        </is>
      </c>
      <c r="L107" s="23" t="inlineStr">
        <is>
          <t>Permission Granted</t>
        </is>
      </c>
      <c r="M107" s="23" t="n">
        <v>21</v>
      </c>
      <c r="N107" s="23" t="n"/>
      <c r="O107" s="23" t="inlineStr">
        <is>
          <t>2024-07-09</t>
        </is>
      </c>
      <c r="P107" s="23" t="n"/>
      <c r="Q107" s="23" t="inlineStr">
        <is>
          <t>2029-07-08</t>
        </is>
      </c>
      <c r="R107" s="23" t="inlineStr">
        <is>
          <t>2027 Q3</t>
        </is>
      </c>
      <c r="S107" s="23" t="inlineStr">
        <is>
          <t>2030 Q1</t>
        </is>
      </c>
      <c r="T107" s="23" t="inlineStr">
        <is>
          <t>Low</t>
        </is>
      </c>
      <c r="U107" s="23" t="inlineStr">
        <is>
          <t>Permitted 2024-07, past typical start date with no commencement: start assumed in 9 months</t>
        </is>
      </c>
      <c r="V107" s="23" t="n">
        <v>0</v>
      </c>
      <c r="W107" s="23" t="n">
        <v>0</v>
      </c>
      <c r="X107" s="23" t="n">
        <v>0</v>
      </c>
      <c r="Y107" s="23" t="n">
        <v>6.7</v>
      </c>
      <c r="Z107" s="23" t="n">
        <v>13.9</v>
      </c>
      <c r="AA107" s="23" t="n">
        <v>0.5</v>
      </c>
      <c r="AB107" s="23" t="n">
        <v>-0.1</v>
      </c>
      <c r="AC107" s="23" t="n">
        <v>0</v>
      </c>
    </row>
    <row r="108">
      <c r="A108" s="23" t="inlineStr">
        <is>
          <t>1139440</t>
        </is>
      </c>
      <c r="B108" s="23" t="inlineStr">
        <is>
          <t>201320</t>
        </is>
      </c>
      <c r="C108" s="23" t="inlineStr">
        <is>
          <t>€3.7m - Residential Development, Newcastle</t>
        </is>
      </c>
      <c r="D108" s="23" t="inlineStr">
        <is>
          <t>Castletroy/Annacotty</t>
        </is>
      </c>
      <c r="E108" s="23" t="inlineStr">
        <is>
          <t>Limerick City and Suburbs</t>
        </is>
      </c>
      <c r="F108" s="23" t="inlineStr">
        <is>
          <t>City – outside audit land</t>
        </is>
      </c>
      <c r="G108" s="23" t="n"/>
      <c r="H108" s="23" t="inlineStr">
        <is>
          <t>Private</t>
        </is>
      </c>
      <c r="I108" s="23" t="inlineStr">
        <is>
          <t>Market (incl. Part V)</t>
        </is>
      </c>
      <c r="J108" s="23" t="inlineStr">
        <is>
          <t>Standard planning application</t>
        </is>
      </c>
      <c r="K108" s="23" t="inlineStr">
        <is>
          <t>Complete</t>
        </is>
      </c>
      <c r="L108" s="23" t="inlineStr">
        <is>
          <t>Complete</t>
        </is>
      </c>
      <c r="M108" s="23" t="n">
        <v>21</v>
      </c>
      <c r="N108" s="23" t="n"/>
      <c r="O108" s="23" t="inlineStr">
        <is>
          <t>2021-04-27</t>
        </is>
      </c>
      <c r="P108" s="23" t="inlineStr">
        <is>
          <t>2022-01-26</t>
        </is>
      </c>
      <c r="Q108" s="23" t="inlineStr">
        <is>
          <t>2026-04-26</t>
        </is>
      </c>
      <c r="R108" s="23" t="n"/>
      <c r="S108" s="23" t="n"/>
      <c r="T108" s="23" t="inlineStr">
        <is>
          <t>Delivered</t>
        </is>
      </c>
      <c r="U108" s="23" t="inlineStr">
        <is>
          <t>Complete (CIS)</t>
        </is>
      </c>
      <c r="V108" s="23" t="n">
        <v>21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</row>
    <row r="109">
      <c r="A109" s="23" t="inlineStr">
        <is>
          <t>1227182</t>
        </is>
      </c>
      <c r="B109" s="23" t="inlineStr">
        <is>
          <t>22471</t>
        </is>
      </c>
      <c r="C109" s="23" t="inlineStr">
        <is>
          <t>€4.5m - Housing Development, Mungret</t>
        </is>
      </c>
      <c r="D109" s="23" t="inlineStr">
        <is>
          <t>Dooradoyle</t>
        </is>
      </c>
      <c r="E109" s="23" t="inlineStr">
        <is>
          <t>Mungret</t>
        </is>
      </c>
      <c r="F109" s="23" t="inlineStr">
        <is>
          <t>City – outside audit land</t>
        </is>
      </c>
      <c r="G109" s="23" t="n"/>
      <c r="H109" s="23" t="inlineStr">
        <is>
          <t>Private</t>
        </is>
      </c>
      <c r="I109" s="23" t="inlineStr">
        <is>
          <t>Market (incl. Part V)</t>
        </is>
      </c>
      <c r="J109" s="23" t="inlineStr">
        <is>
          <t>Standard planning application</t>
        </is>
      </c>
      <c r="K109" s="23" t="inlineStr">
        <is>
          <t>Not started – permission live</t>
        </is>
      </c>
      <c r="L109" s="23" t="inlineStr">
        <is>
          <t>Permission Granted</t>
        </is>
      </c>
      <c r="M109" s="23" t="n">
        <v>21</v>
      </c>
      <c r="N109" s="23" t="n"/>
      <c r="O109" s="23" t="inlineStr">
        <is>
          <t>2024-01-22</t>
        </is>
      </c>
      <c r="P109" s="23" t="n"/>
      <c r="Q109" s="23" t="inlineStr">
        <is>
          <t>2029-01-21</t>
        </is>
      </c>
      <c r="R109" s="23" t="inlineStr">
        <is>
          <t>2027 Q3</t>
        </is>
      </c>
      <c r="S109" s="23" t="inlineStr">
        <is>
          <t>2030 Q1</t>
        </is>
      </c>
      <c r="T109" s="23" t="inlineStr">
        <is>
          <t>Low</t>
        </is>
      </c>
      <c r="U109" s="23" t="inlineStr">
        <is>
          <t>Permitted 2024-01, past typical start date with no commencement: start assumed in 9 months</t>
        </is>
      </c>
      <c r="V109" s="23" t="n">
        <v>0</v>
      </c>
      <c r="W109" s="23" t="n">
        <v>0</v>
      </c>
      <c r="X109" s="23" t="n">
        <v>0</v>
      </c>
      <c r="Y109" s="23" t="n">
        <v>6.7</v>
      </c>
      <c r="Z109" s="23" t="n">
        <v>13.9</v>
      </c>
      <c r="AA109" s="23" t="n">
        <v>0.5</v>
      </c>
      <c r="AB109" s="23" t="n">
        <v>-0.1</v>
      </c>
      <c r="AC109" s="23" t="n">
        <v>0</v>
      </c>
    </row>
    <row r="110">
      <c r="A110" s="23" t="inlineStr">
        <is>
          <t>1401743</t>
        </is>
      </c>
      <c r="B110" s="23" t="inlineStr">
        <is>
          <t>2560365</t>
        </is>
      </c>
      <c r="C110" s="23" t="inlineStr">
        <is>
          <t>€2.4m - Apartment Development</t>
        </is>
      </c>
      <c r="D110" s="23" t="inlineStr">
        <is>
          <t>City Centre</t>
        </is>
      </c>
      <c r="E110" s="23" t="inlineStr">
        <is>
          <t>Other County Limerick</t>
        </is>
      </c>
      <c r="F110" s="23" t="inlineStr">
        <is>
          <t>City – outside audit land</t>
        </is>
      </c>
      <c r="G110" s="23" t="n"/>
      <c r="H110" s="23" t="inlineStr">
        <is>
          <t>Private</t>
        </is>
      </c>
      <c r="I110" s="23" t="inlineStr">
        <is>
          <t>Market (incl. Part V)</t>
        </is>
      </c>
      <c r="J110" s="23" t="inlineStr">
        <is>
          <t>Standard planning application</t>
        </is>
      </c>
      <c r="K110" s="23" t="inlineStr">
        <is>
          <t>Not started – permission live</t>
        </is>
      </c>
      <c r="L110" s="23" t="inlineStr">
        <is>
          <t>Permission Granted</t>
        </is>
      </c>
      <c r="M110" s="23" t="n">
        <v>16</v>
      </c>
      <c r="N110" s="23" t="n"/>
      <c r="O110" s="23" t="inlineStr">
        <is>
          <t>2026-06-16</t>
        </is>
      </c>
      <c r="P110" s="23" t="n"/>
      <c r="Q110" s="23" t="inlineStr">
        <is>
          <t>2031-06-15</t>
        </is>
      </c>
      <c r="R110" s="23" t="inlineStr">
        <is>
          <t>2027 Q4</t>
        </is>
      </c>
      <c r="S110" s="23" t="inlineStr">
        <is>
          <t>2029 Q4</t>
        </is>
      </c>
      <c r="T110" s="23" t="inlineStr">
        <is>
          <t>Medium</t>
        </is>
      </c>
      <c r="U110" s="23" t="inlineStr">
        <is>
          <t>Permitted 2026-06; typical start 1.4 yrs after grant</t>
        </is>
      </c>
      <c r="V110" s="23" t="n">
        <v>0</v>
      </c>
      <c r="W110" s="23" t="n">
        <v>0</v>
      </c>
      <c r="X110" s="23" t="n">
        <v>0</v>
      </c>
      <c r="Y110" s="23" t="n">
        <v>3.1</v>
      </c>
      <c r="Z110" s="23" t="n">
        <v>12.9</v>
      </c>
      <c r="AA110" s="23" t="n">
        <v>0</v>
      </c>
      <c r="AB110" s="23" t="n">
        <v>0</v>
      </c>
      <c r="AC110" s="23" t="n">
        <v>0</v>
      </c>
    </row>
    <row r="111">
      <c r="A111" s="23" t="inlineStr">
        <is>
          <t>1112715</t>
        </is>
      </c>
      <c r="B111" s="23" t="inlineStr">
        <is>
          <t>20622</t>
        </is>
      </c>
      <c r="C111" s="23" t="inlineStr">
        <is>
          <t xml:space="preserve">€3.2m - Change of Use to Apartment Development </t>
        </is>
      </c>
      <c r="D111" s="23" t="inlineStr">
        <is>
          <t>City Centre</t>
        </is>
      </c>
      <c r="E111" s="23" t="inlineStr">
        <is>
          <t>Other County Limerick</t>
        </is>
      </c>
      <c r="F111" s="23" t="inlineStr">
        <is>
          <t>City – outside audit land</t>
        </is>
      </c>
      <c r="G111" s="23" t="n"/>
      <c r="H111" s="23" t="inlineStr">
        <is>
          <t>Private</t>
        </is>
      </c>
      <c r="I111" s="23" t="inlineStr">
        <is>
          <t>Market (incl. Part V)</t>
        </is>
      </c>
      <c r="J111" s="23" t="inlineStr">
        <is>
          <t>Standard planning application</t>
        </is>
      </c>
      <c r="K111" s="23" t="inlineStr">
        <is>
          <t>Not started – past expiry</t>
        </is>
      </c>
      <c r="L111" s="23" t="inlineStr">
        <is>
          <t>Permission Granted</t>
        </is>
      </c>
      <c r="M111" s="23" t="n">
        <v>15</v>
      </c>
      <c r="N111" s="23" t="n"/>
      <c r="O111" s="23" t="inlineStr">
        <is>
          <t>2020-10-07</t>
        </is>
      </c>
      <c r="P111" s="23" t="n"/>
      <c r="Q111" s="23" t="inlineStr">
        <is>
          <t>2025-10-06</t>
        </is>
      </c>
      <c r="R111" s="23" t="n"/>
      <c r="S111" s="23" t="n"/>
      <c r="T111" s="23" t="inlineStr">
        <is>
          <t>Not projected</t>
        </is>
      </c>
      <c r="U111" s="23" t="inlineStr">
        <is>
          <t>Permission expired – not projected</t>
        </is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15</v>
      </c>
    </row>
    <row r="112">
      <c r="A112" s="23" t="inlineStr">
        <is>
          <t>1353358</t>
        </is>
      </c>
      <c r="B112" s="23" t="inlineStr">
        <is>
          <t>2460633</t>
        </is>
      </c>
      <c r="C112" s="23" t="inlineStr">
        <is>
          <t>€2.7m - Residential Development, Limerick</t>
        </is>
      </c>
      <c r="D112" s="23" t="inlineStr">
        <is>
          <t>City Centre</t>
        </is>
      </c>
      <c r="E112" s="23" t="inlineStr">
        <is>
          <t>Limerick City and Suburbs</t>
        </is>
      </c>
      <c r="F112" s="23" t="inlineStr">
        <is>
          <t>City – outside audit land</t>
        </is>
      </c>
      <c r="G112" s="23" t="n"/>
      <c r="H112" s="23" t="inlineStr">
        <is>
          <t>Private</t>
        </is>
      </c>
      <c r="I112" s="23" t="inlineStr">
        <is>
          <t>Market (incl. Part V)</t>
        </is>
      </c>
      <c r="J112" s="23" t="inlineStr">
        <is>
          <t>Standard planning application</t>
        </is>
      </c>
      <c r="K112" s="23" t="inlineStr">
        <is>
          <t>Not started – permission live</t>
        </is>
      </c>
      <c r="L112" s="23" t="inlineStr">
        <is>
          <t>Permission Granted</t>
        </is>
      </c>
      <c r="M112" s="23" t="n">
        <v>15</v>
      </c>
      <c r="N112" s="23" t="n"/>
      <c r="O112" s="23" t="inlineStr">
        <is>
          <t>2025-04-24</t>
        </is>
      </c>
      <c r="P112" s="23" t="n"/>
      <c r="Q112" s="23" t="inlineStr">
        <is>
          <t>2030-04-23</t>
        </is>
      </c>
      <c r="R112" s="23" t="inlineStr">
        <is>
          <t>2027 Q3</t>
        </is>
      </c>
      <c r="S112" s="23" t="inlineStr">
        <is>
          <t>2029 Q2</t>
        </is>
      </c>
      <c r="T112" s="23" t="inlineStr">
        <is>
          <t>Low</t>
        </is>
      </c>
      <c r="U112" s="23" t="inlineStr">
        <is>
          <t>Permitted 2025-04, past typical start date with no commencement: start assumed in 9 months</t>
        </is>
      </c>
      <c r="V112" s="23" t="n">
        <v>0</v>
      </c>
      <c r="W112" s="23" t="n">
        <v>0</v>
      </c>
      <c r="X112" s="23" t="n">
        <v>0</v>
      </c>
      <c r="Y112" s="23" t="n">
        <v>8.800000000000001</v>
      </c>
      <c r="Z112" s="23" t="n">
        <v>6.2</v>
      </c>
      <c r="AA112" s="23" t="n">
        <v>0</v>
      </c>
      <c r="AB112" s="23" t="n">
        <v>0</v>
      </c>
      <c r="AC112" s="23" t="n">
        <v>0</v>
      </c>
    </row>
    <row r="113">
      <c r="A113" s="23" t="inlineStr">
        <is>
          <t>1195465</t>
        </is>
      </c>
      <c r="B113" s="23" t="inlineStr">
        <is>
          <t>211454</t>
        </is>
      </c>
      <c r="C113" s="23" t="inlineStr">
        <is>
          <t xml:space="preserve">€2.1m - Apartment Development </t>
        </is>
      </c>
      <c r="D113" s="23" t="inlineStr">
        <is>
          <t>City Centre</t>
        </is>
      </c>
      <c r="E113" s="23" t="inlineStr">
        <is>
          <t>Other County Limerick</t>
        </is>
      </c>
      <c r="F113" s="23" t="inlineStr">
        <is>
          <t>City – outside audit land</t>
        </is>
      </c>
      <c r="G113" s="23" t="n"/>
      <c r="H113" s="23" t="inlineStr">
        <is>
          <t>Private</t>
        </is>
      </c>
      <c r="I113" s="23" t="inlineStr">
        <is>
          <t>Market (incl. Part V)</t>
        </is>
      </c>
      <c r="J113" s="23" t="inlineStr">
        <is>
          <t>Standard planning application</t>
        </is>
      </c>
      <c r="K113" s="23" t="inlineStr">
        <is>
          <t>Not started – permission live</t>
        </is>
      </c>
      <c r="L113" s="23" t="inlineStr">
        <is>
          <t>Permission Granted</t>
        </is>
      </c>
      <c r="M113" s="23" t="n">
        <v>14</v>
      </c>
      <c r="N113" s="23" t="n"/>
      <c r="O113" s="23" t="inlineStr">
        <is>
          <t>2022-09-21</t>
        </is>
      </c>
      <c r="P113" s="23" t="n"/>
      <c r="Q113" s="23" t="inlineStr">
        <is>
          <t>2027-09-20</t>
        </is>
      </c>
      <c r="R113" s="23" t="inlineStr">
        <is>
          <t>2027 Q3</t>
        </is>
      </c>
      <c r="S113" s="23" t="inlineStr">
        <is>
          <t>2029 Q2</t>
        </is>
      </c>
      <c r="T113" s="23" t="inlineStr">
        <is>
          <t>Low</t>
        </is>
      </c>
      <c r="U113" s="23" t="inlineStr">
        <is>
          <t>Permitted 2022-09, past typical start date with no commencement: start assumed in 9 months</t>
        </is>
      </c>
      <c r="V113" s="23" t="n">
        <v>0</v>
      </c>
      <c r="W113" s="23" t="n">
        <v>0</v>
      </c>
      <c r="X113" s="23" t="n">
        <v>0</v>
      </c>
      <c r="Y113" s="23" t="n">
        <v>8.199999999999999</v>
      </c>
      <c r="Z113" s="23" t="n">
        <v>5.8</v>
      </c>
      <c r="AA113" s="23" t="n">
        <v>0</v>
      </c>
      <c r="AB113" s="23" t="n">
        <v>0</v>
      </c>
      <c r="AC113" s="23" t="n">
        <v>0</v>
      </c>
    </row>
    <row r="114">
      <c r="A114" s="23" t="inlineStr">
        <is>
          <t>1286254</t>
        </is>
      </c>
      <c r="B114" s="23" t="inlineStr">
        <is>
          <t>2360263</t>
        </is>
      </c>
      <c r="C114" s="23" t="inlineStr">
        <is>
          <t>€3.8m - Housing Development, Castletroy</t>
        </is>
      </c>
      <c r="D114" s="23" t="inlineStr">
        <is>
          <t>Castletroy/Annacotty</t>
        </is>
      </c>
      <c r="E114" s="23" t="inlineStr">
        <is>
          <t>Limerick City and Suburbs</t>
        </is>
      </c>
      <c r="F114" s="23" t="inlineStr">
        <is>
          <t>City – outside audit land</t>
        </is>
      </c>
      <c r="G114" s="23" t="n"/>
      <c r="H114" s="23" t="inlineStr">
        <is>
          <t>Private</t>
        </is>
      </c>
      <c r="I114" s="23" t="inlineStr">
        <is>
          <t>Market (incl. Part V)</t>
        </is>
      </c>
      <c r="J114" s="23" t="inlineStr">
        <is>
          <t>Standard planning application</t>
        </is>
      </c>
      <c r="K114" s="23" t="inlineStr">
        <is>
          <t>Under construction</t>
        </is>
      </c>
      <c r="L114" s="23" t="inlineStr">
        <is>
          <t>Part Complete</t>
        </is>
      </c>
      <c r="M114" s="23" t="n">
        <v>14</v>
      </c>
      <c r="N114" s="23" t="n"/>
      <c r="O114" s="23" t="inlineStr">
        <is>
          <t>2023-10-24</t>
        </is>
      </c>
      <c r="P114" s="23" t="inlineStr">
        <is>
          <t>2024-02-26</t>
        </is>
      </c>
      <c r="Q114" s="23" t="inlineStr">
        <is>
          <t>2028-10-23</t>
        </is>
      </c>
      <c r="R114" s="23" t="inlineStr">
        <is>
          <t>2024 Q1</t>
        </is>
      </c>
      <c r="S114" s="23" t="inlineStr">
        <is>
          <t>2027 Q4</t>
        </is>
      </c>
      <c r="T114" s="23" t="inlineStr">
        <is>
          <t>High</t>
        </is>
      </c>
      <c r="U114" s="23" t="inlineStr">
        <is>
          <t>On site: started 2024-02</t>
        </is>
      </c>
      <c r="V114" s="23" t="n">
        <v>0</v>
      </c>
      <c r="W114" s="23" t="n">
        <v>3.3</v>
      </c>
      <c r="X114" s="23" t="n">
        <v>10.7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</row>
    <row r="115">
      <c r="A115" s="23" t="inlineStr">
        <is>
          <t>980328</t>
        </is>
      </c>
      <c r="B115" s="23" t="inlineStr">
        <is>
          <t>18219</t>
        </is>
      </c>
      <c r="C115" s="23" t="inlineStr">
        <is>
          <t xml:space="preserve">€2m - Apartment Development </t>
        </is>
      </c>
      <c r="D115" s="23" t="inlineStr">
        <is>
          <t>City Centre</t>
        </is>
      </c>
      <c r="E115" s="23" t="inlineStr">
        <is>
          <t>Other County Limerick</t>
        </is>
      </c>
      <c r="F115" s="23" t="inlineStr">
        <is>
          <t>City – outside audit land</t>
        </is>
      </c>
      <c r="G115" s="23" t="n"/>
      <c r="H115" s="23" t="inlineStr">
        <is>
          <t>Private</t>
        </is>
      </c>
      <c r="I115" s="23" t="inlineStr">
        <is>
          <t>Market (incl. Part V)</t>
        </is>
      </c>
      <c r="J115" s="23" t="inlineStr">
        <is>
          <t>Standard planning application</t>
        </is>
      </c>
      <c r="K115" s="23" t="inlineStr">
        <is>
          <t>Complete</t>
        </is>
      </c>
      <c r="L115" s="23" t="inlineStr">
        <is>
          <t>Complete</t>
        </is>
      </c>
      <c r="M115" s="23" t="n">
        <v>14</v>
      </c>
      <c r="N115" s="23" t="n"/>
      <c r="O115" s="23" t="inlineStr">
        <is>
          <t>2018-09-11</t>
        </is>
      </c>
      <c r="P115" s="23" t="inlineStr">
        <is>
          <t>2019-05-28</t>
        </is>
      </c>
      <c r="Q115" s="23" t="inlineStr">
        <is>
          <t>2023-09-10</t>
        </is>
      </c>
      <c r="R115" s="23" t="n"/>
      <c r="S115" s="23" t="n"/>
      <c r="T115" s="23" t="inlineStr">
        <is>
          <t>Delivered</t>
        </is>
      </c>
      <c r="U115" s="23" t="inlineStr">
        <is>
          <t>Complete (CIS)</t>
        </is>
      </c>
      <c r="V115" s="23" t="n">
        <v>14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</row>
    <row r="116">
      <c r="A116" s="23" t="inlineStr">
        <is>
          <t>991834</t>
        </is>
      </c>
      <c r="B116" s="23" t="inlineStr">
        <is>
          <t>18496</t>
        </is>
      </c>
      <c r="C116" s="23" t="inlineStr">
        <is>
          <t>€1.3m - Housing Development</t>
        </is>
      </c>
      <c r="D116" s="23" t="inlineStr">
        <is>
          <t>Castletroy/Annacotty</t>
        </is>
      </c>
      <c r="E116" s="23" t="inlineStr">
        <is>
          <t>Annacotty</t>
        </is>
      </c>
      <c r="F116" s="23" t="inlineStr">
        <is>
          <t>City – outside audit land</t>
        </is>
      </c>
      <c r="G116" s="23" t="n"/>
      <c r="H116" s="23" t="inlineStr">
        <is>
          <t>Private</t>
        </is>
      </c>
      <c r="I116" s="23" t="inlineStr">
        <is>
          <t>Market (incl. Part V)</t>
        </is>
      </c>
      <c r="J116" s="23" t="inlineStr">
        <is>
          <t>Standard planning application</t>
        </is>
      </c>
      <c r="K116" s="23" t="inlineStr">
        <is>
          <t>Complete</t>
        </is>
      </c>
      <c r="L116" s="23" t="inlineStr">
        <is>
          <t>Complete</t>
        </is>
      </c>
      <c r="M116" s="23" t="n">
        <v>12</v>
      </c>
      <c r="N116" s="23" t="n"/>
      <c r="O116" s="23" t="inlineStr">
        <is>
          <t>2019-01-22</t>
        </is>
      </c>
      <c r="P116" s="23" t="inlineStr">
        <is>
          <t>2019-08-12</t>
        </is>
      </c>
      <c r="Q116" s="23" t="inlineStr">
        <is>
          <t>2024-01-21</t>
        </is>
      </c>
      <c r="R116" s="23" t="n"/>
      <c r="S116" s="23" t="n"/>
      <c r="T116" s="23" t="inlineStr">
        <is>
          <t>Delivered</t>
        </is>
      </c>
      <c r="U116" s="23" t="inlineStr">
        <is>
          <t>Complete (CIS)</t>
        </is>
      </c>
      <c r="V116" s="23" t="n">
        <v>12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</row>
    <row r="117">
      <c r="A117" s="23" t="inlineStr">
        <is>
          <t>1075116</t>
        </is>
      </c>
      <c r="B117" s="23" t="inlineStr">
        <is>
          <t>197025</t>
        </is>
      </c>
      <c r="C117" s="23" t="inlineStr">
        <is>
          <t xml:space="preserve">Housing Development </t>
        </is>
      </c>
      <c r="D117" s="23" t="inlineStr">
        <is>
          <t>Castletroy/Annacotty</t>
        </is>
      </c>
      <c r="E117" s="23" t="inlineStr">
        <is>
          <t>Limerick City and Suburbs</t>
        </is>
      </c>
      <c r="F117" s="23" t="inlineStr">
        <is>
          <t>City – outside audit land</t>
        </is>
      </c>
      <c r="G117" s="23" t="n"/>
      <c r="H117" s="23" t="inlineStr">
        <is>
          <t>Private</t>
        </is>
      </c>
      <c r="I117" s="23" t="inlineStr">
        <is>
          <t>Market (incl. Part V)</t>
        </is>
      </c>
      <c r="J117" s="23" t="inlineStr">
        <is>
          <t>Standard planning application</t>
        </is>
      </c>
      <c r="K117" s="23" t="inlineStr">
        <is>
          <t>Not started – past expiry</t>
        </is>
      </c>
      <c r="L117" s="23" t="inlineStr">
        <is>
          <t>Permission Granted</t>
        </is>
      </c>
      <c r="M117" s="23" t="n">
        <v>12</v>
      </c>
      <c r="N117" s="23" t="n"/>
      <c r="O117" s="23" t="inlineStr">
        <is>
          <t>2020-02-07</t>
        </is>
      </c>
      <c r="P117" s="23" t="n"/>
      <c r="Q117" s="23" t="inlineStr">
        <is>
          <t>2024-12-01</t>
        </is>
      </c>
      <c r="R117" s="23" t="n"/>
      <c r="S117" s="23" t="n"/>
      <c r="T117" s="23" t="inlineStr">
        <is>
          <t>Not projected</t>
        </is>
      </c>
      <c r="U117" s="23" t="inlineStr">
        <is>
          <t>Permission expired – not projected</t>
        </is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12</v>
      </c>
    </row>
    <row r="118">
      <c r="A118" s="23" t="inlineStr">
        <is>
          <t>1157017</t>
        </is>
      </c>
      <c r="B118" s="23" t="inlineStr">
        <is>
          <t>21364</t>
        </is>
      </c>
      <c r="C118" s="23" t="inlineStr">
        <is>
          <t>€2.5m - Residential Development, Mungret</t>
        </is>
      </c>
      <c r="D118" s="23" t="inlineStr">
        <is>
          <t>Dooradoyle</t>
        </is>
      </c>
      <c r="E118" s="23" t="inlineStr">
        <is>
          <t>Mungret</t>
        </is>
      </c>
      <c r="F118" s="23" t="inlineStr">
        <is>
          <t>City – outside audit land</t>
        </is>
      </c>
      <c r="G118" s="23" t="n"/>
      <c r="H118" s="23" t="inlineStr">
        <is>
          <t>Private</t>
        </is>
      </c>
      <c r="I118" s="23" t="inlineStr">
        <is>
          <t>Market (incl. Part V)</t>
        </is>
      </c>
      <c r="J118" s="23" t="inlineStr">
        <is>
          <t>Standard planning application</t>
        </is>
      </c>
      <c r="K118" s="23" t="inlineStr">
        <is>
          <t>Under construction</t>
        </is>
      </c>
      <c r="L118" s="23" t="inlineStr">
        <is>
          <t>On Site</t>
        </is>
      </c>
      <c r="M118" s="23" t="n">
        <v>12</v>
      </c>
      <c r="N118" s="23" t="n"/>
      <c r="O118" s="23" t="inlineStr">
        <is>
          <t>2023-06-22</t>
        </is>
      </c>
      <c r="P118" s="23" t="inlineStr">
        <is>
          <t>2024-04-24</t>
        </is>
      </c>
      <c r="Q118" s="23" t="inlineStr">
        <is>
          <t>2028-06-21</t>
        </is>
      </c>
      <c r="R118" s="23" t="inlineStr">
        <is>
          <t>2024 Q2</t>
        </is>
      </c>
      <c r="S118" s="23" t="inlineStr">
        <is>
          <t>2027 Q4</t>
        </is>
      </c>
      <c r="T118" s="23" t="inlineStr">
        <is>
          <t>High</t>
        </is>
      </c>
      <c r="U118" s="23" t="inlineStr">
        <is>
          <t>On site: started 2024-04</t>
        </is>
      </c>
      <c r="V118" s="23" t="n">
        <v>0</v>
      </c>
      <c r="W118" s="23" t="n">
        <v>2.8</v>
      </c>
      <c r="X118" s="23" t="n">
        <v>9.199999999999999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</row>
    <row r="119">
      <c r="A119" s="23" t="inlineStr">
        <is>
          <t>1148944</t>
        </is>
      </c>
      <c r="B119" s="23" t="inlineStr">
        <is>
          <t>21147</t>
        </is>
      </c>
      <c r="C119" s="23" t="inlineStr">
        <is>
          <t xml:space="preserve">€1.4m - Housing Development </t>
        </is>
      </c>
      <c r="D119" s="23" t="inlineStr">
        <is>
          <t>Caherdavin</t>
        </is>
      </c>
      <c r="E119" s="23" t="inlineStr">
        <is>
          <t>Limerick City and Suburbs</t>
        </is>
      </c>
      <c r="F119" s="23" t="inlineStr">
        <is>
          <t>City – outside audit land</t>
        </is>
      </c>
      <c r="G119" s="23" t="n"/>
      <c r="H119" s="23" t="inlineStr">
        <is>
          <t>Private</t>
        </is>
      </c>
      <c r="I119" s="23" t="inlineStr">
        <is>
          <t>Market (incl. Part V)</t>
        </is>
      </c>
      <c r="J119" s="23" t="inlineStr">
        <is>
          <t>Standard planning application</t>
        </is>
      </c>
      <c r="K119" s="23" t="inlineStr">
        <is>
          <t>Not started – permission live</t>
        </is>
      </c>
      <c r="L119" s="23" t="inlineStr">
        <is>
          <t>Permission Granted</t>
        </is>
      </c>
      <c r="M119" s="23" t="n">
        <v>11</v>
      </c>
      <c r="N119" s="23" t="n"/>
      <c r="O119" s="23" t="inlineStr">
        <is>
          <t>2022-02-07</t>
        </is>
      </c>
      <c r="P119" s="23" t="n"/>
      <c r="Q119" s="23" t="inlineStr">
        <is>
          <t>2027-02-06</t>
        </is>
      </c>
      <c r="R119" s="23" t="inlineStr">
        <is>
          <t>2027 Q3</t>
        </is>
      </c>
      <c r="S119" s="23" t="inlineStr">
        <is>
          <t>2029 Q2</t>
        </is>
      </c>
      <c r="T119" s="23" t="inlineStr">
        <is>
          <t>Low</t>
        </is>
      </c>
      <c r="U119" s="23" t="inlineStr">
        <is>
          <t>Permitted 2022-02, past typical start date with no commencement: start assumed in 9 months; expiry falls before assumed start</t>
        </is>
      </c>
      <c r="V119" s="23" t="n">
        <v>0</v>
      </c>
      <c r="W119" s="23" t="n">
        <v>0</v>
      </c>
      <c r="X119" s="23" t="n">
        <v>0</v>
      </c>
      <c r="Y119" s="23" t="n">
        <v>6.4</v>
      </c>
      <c r="Z119" s="23" t="n">
        <v>4.6</v>
      </c>
      <c r="AA119" s="23" t="n">
        <v>0</v>
      </c>
      <c r="AB119" s="23" t="n">
        <v>0</v>
      </c>
      <c r="AC119" s="23" t="n">
        <v>0</v>
      </c>
    </row>
    <row r="120">
      <c r="A120" s="23" t="inlineStr">
        <is>
          <t>1264538</t>
        </is>
      </c>
      <c r="B120" s="23" t="inlineStr">
        <is>
          <t>221381</t>
        </is>
      </c>
      <c r="C120" s="23" t="inlineStr">
        <is>
          <t>€2m - 9 Apartments</t>
        </is>
      </c>
      <c r="D120" s="23" t="inlineStr">
        <is>
          <t>City Centre</t>
        </is>
      </c>
      <c r="E120" s="23" t="inlineStr">
        <is>
          <t>Other County Limerick</t>
        </is>
      </c>
      <c r="F120" s="23" t="inlineStr">
        <is>
          <t>City – outside audit land</t>
        </is>
      </c>
      <c r="G120" s="23" t="n"/>
      <c r="H120" s="23" t="inlineStr">
        <is>
          <t>Private</t>
        </is>
      </c>
      <c r="I120" s="23" t="inlineStr">
        <is>
          <t>Market (incl. Part V)</t>
        </is>
      </c>
      <c r="J120" s="23" t="inlineStr">
        <is>
          <t>Standard planning application</t>
        </is>
      </c>
      <c r="K120" s="23" t="inlineStr">
        <is>
          <t>Complete</t>
        </is>
      </c>
      <c r="L120" s="23" t="inlineStr">
        <is>
          <t>Complete</t>
        </is>
      </c>
      <c r="M120" s="23" t="n">
        <v>9</v>
      </c>
      <c r="N120" s="23" t="n"/>
      <c r="O120" s="23" t="inlineStr">
        <is>
          <t>2023-08-29</t>
        </is>
      </c>
      <c r="P120" s="23" t="inlineStr">
        <is>
          <t>2024-04-15</t>
        </is>
      </c>
      <c r="Q120" s="23" t="inlineStr">
        <is>
          <t>2028-08-28</t>
        </is>
      </c>
      <c r="R120" s="23" t="n"/>
      <c r="S120" s="23" t="n"/>
      <c r="T120" s="23" t="inlineStr">
        <is>
          <t>Delivered</t>
        </is>
      </c>
      <c r="U120" s="23" t="inlineStr">
        <is>
          <t>Complete (CIS)</t>
        </is>
      </c>
      <c r="V120" s="23" t="n">
        <v>9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>
      <c r="A121" s="23" t="inlineStr">
        <is>
          <t>1329797</t>
        </is>
      </c>
      <c r="B121" s="23" t="inlineStr">
        <is>
          <t>2460075</t>
        </is>
      </c>
      <c r="C121" s="23" t="inlineStr">
        <is>
          <t xml:space="preserve">€816k - 8 Apartment </t>
        </is>
      </c>
      <c r="D121" s="23" t="inlineStr">
        <is>
          <t>City Centre</t>
        </is>
      </c>
      <c r="E121" s="23" t="inlineStr">
        <is>
          <t>Other County Limerick</t>
        </is>
      </c>
      <c r="F121" s="23" t="inlineStr">
        <is>
          <t>City – outside audit land</t>
        </is>
      </c>
      <c r="G121" s="23" t="n"/>
      <c r="H121" s="23" t="inlineStr">
        <is>
          <t>Private</t>
        </is>
      </c>
      <c r="I121" s="23" t="inlineStr">
        <is>
          <t>Market (incl. Part V)</t>
        </is>
      </c>
      <c r="J121" s="23" t="inlineStr">
        <is>
          <t>Standard planning application</t>
        </is>
      </c>
      <c r="K121" s="23" t="inlineStr">
        <is>
          <t>Not started – permission live</t>
        </is>
      </c>
      <c r="L121" s="23" t="inlineStr">
        <is>
          <t>Permission Granted</t>
        </is>
      </c>
      <c r="M121" s="23" t="n">
        <v>8</v>
      </c>
      <c r="N121" s="23" t="n"/>
      <c r="O121" s="23" t="inlineStr">
        <is>
          <t>2024-07-17</t>
        </is>
      </c>
      <c r="P121" s="23" t="n"/>
      <c r="Q121" s="23" t="inlineStr">
        <is>
          <t>2029-07-16</t>
        </is>
      </c>
      <c r="R121" s="23" t="inlineStr">
        <is>
          <t>2027 Q3</t>
        </is>
      </c>
      <c r="S121" s="23" t="inlineStr">
        <is>
          <t>2029 Q3</t>
        </is>
      </c>
      <c r="T121" s="23" t="inlineStr">
        <is>
          <t>Low</t>
        </is>
      </c>
      <c r="U121" s="23" t="inlineStr">
        <is>
          <t>Permitted 2024-07, past typical start date with no commencement: start assumed in 9 months</t>
        </is>
      </c>
      <c r="V121" s="23" t="n">
        <v>0</v>
      </c>
      <c r="W121" s="23" t="n">
        <v>0</v>
      </c>
      <c r="X121" s="23" t="n">
        <v>0</v>
      </c>
      <c r="Y121" s="23" t="n">
        <v>4</v>
      </c>
      <c r="Z121" s="23" t="n">
        <v>4</v>
      </c>
      <c r="AA121" s="23" t="n">
        <v>0</v>
      </c>
      <c r="AB121" s="23" t="n">
        <v>0</v>
      </c>
      <c r="AC121" s="23" t="n">
        <v>0</v>
      </c>
    </row>
    <row r="122">
      <c r="A122" s="23" t="inlineStr">
        <is>
          <t>1103802</t>
        </is>
      </c>
      <c r="B122" s="23" t="inlineStr">
        <is>
          <t>20466</t>
        </is>
      </c>
      <c r="C122" s="23" t="inlineStr">
        <is>
          <t>€1.7m - 8 Apartments</t>
        </is>
      </c>
      <c r="D122" s="23" t="inlineStr">
        <is>
          <t>City Centre</t>
        </is>
      </c>
      <c r="E122" s="23" t="inlineStr">
        <is>
          <t>Other County Limerick</t>
        </is>
      </c>
      <c r="F122" s="23" t="inlineStr">
        <is>
          <t>City – outside audit land</t>
        </is>
      </c>
      <c r="G122" s="23" t="n"/>
      <c r="H122" s="23" t="inlineStr">
        <is>
          <t>Private</t>
        </is>
      </c>
      <c r="I122" s="23" t="inlineStr">
        <is>
          <t>Market (incl. Part V)</t>
        </is>
      </c>
      <c r="J122" s="23" t="inlineStr">
        <is>
          <t>Standard planning application</t>
        </is>
      </c>
      <c r="K122" s="23" t="inlineStr">
        <is>
          <t>Not started – past expiry</t>
        </is>
      </c>
      <c r="L122" s="23" t="inlineStr">
        <is>
          <t>Permission Granted</t>
        </is>
      </c>
      <c r="M122" s="23" t="n">
        <v>8</v>
      </c>
      <c r="N122" s="23" t="n"/>
      <c r="O122" s="23" t="inlineStr">
        <is>
          <t>2021-04-20</t>
        </is>
      </c>
      <c r="P122" s="23" t="n"/>
      <c r="Q122" s="23" t="inlineStr">
        <is>
          <t>2026-04-19</t>
        </is>
      </c>
      <c r="R122" s="23" t="n"/>
      <c r="S122" s="23" t="n"/>
      <c r="T122" s="23" t="inlineStr">
        <is>
          <t>Not projected</t>
        </is>
      </c>
      <c r="U122" s="23" t="inlineStr">
        <is>
          <t>Permission expired – not projected</t>
        </is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8</v>
      </c>
    </row>
    <row r="123">
      <c r="A123" s="23" t="inlineStr">
        <is>
          <t>1314456</t>
        </is>
      </c>
      <c r="B123" s="23" t="inlineStr">
        <is>
          <t>2360759</t>
        </is>
      </c>
      <c r="C123" s="23" t="inlineStr">
        <is>
          <t>€1.4m - Retail Units/Apartments</t>
        </is>
      </c>
      <c r="D123" s="23" t="inlineStr">
        <is>
          <t>Singland/Garryowen</t>
        </is>
      </c>
      <c r="E123" s="23" t="inlineStr">
        <is>
          <t>Other County Limerick</t>
        </is>
      </c>
      <c r="F123" s="23" t="inlineStr">
        <is>
          <t>City – outside audit land</t>
        </is>
      </c>
      <c r="G123" s="23" t="n"/>
      <c r="H123" s="23" t="inlineStr">
        <is>
          <t>Private</t>
        </is>
      </c>
      <c r="I123" s="23" t="inlineStr">
        <is>
          <t>Market (incl. Part V)</t>
        </is>
      </c>
      <c r="J123" s="23" t="inlineStr">
        <is>
          <t>Standard planning application</t>
        </is>
      </c>
      <c r="K123" s="23" t="inlineStr">
        <is>
          <t>Not started – permission live</t>
        </is>
      </c>
      <c r="L123" s="23" t="inlineStr">
        <is>
          <t>Permission Granted</t>
        </is>
      </c>
      <c r="M123" s="23" t="n">
        <v>8</v>
      </c>
      <c r="N123" s="23" t="n"/>
      <c r="O123" s="23" t="inlineStr">
        <is>
          <t>2024-07-17</t>
        </is>
      </c>
      <c r="P123" s="23" t="n"/>
      <c r="Q123" s="23" t="inlineStr">
        <is>
          <t>2029-07-16</t>
        </is>
      </c>
      <c r="R123" s="23" t="inlineStr">
        <is>
          <t>2027 Q3</t>
        </is>
      </c>
      <c r="S123" s="23" t="inlineStr">
        <is>
          <t>2029 Q3</t>
        </is>
      </c>
      <c r="T123" s="23" t="inlineStr">
        <is>
          <t>Low</t>
        </is>
      </c>
      <c r="U123" s="23" t="inlineStr">
        <is>
          <t>Permitted 2024-07, past typical start date with no commencement: start assumed in 9 months</t>
        </is>
      </c>
      <c r="V123" s="23" t="n">
        <v>0</v>
      </c>
      <c r="W123" s="23" t="n">
        <v>0</v>
      </c>
      <c r="X123" s="23" t="n">
        <v>0</v>
      </c>
      <c r="Y123" s="23" t="n">
        <v>4</v>
      </c>
      <c r="Z123" s="23" t="n">
        <v>4</v>
      </c>
      <c r="AA123" s="23" t="n">
        <v>0</v>
      </c>
      <c r="AB123" s="23" t="n">
        <v>0</v>
      </c>
      <c r="AC123" s="23" t="n">
        <v>0</v>
      </c>
    </row>
    <row r="124">
      <c r="A124" s="23" t="inlineStr">
        <is>
          <t>1327311</t>
        </is>
      </c>
      <c r="B124" s="23" t="inlineStr">
        <is>
          <t>2460020</t>
        </is>
      </c>
      <c r="C124" s="23" t="inlineStr">
        <is>
          <t xml:space="preserve">€200k - Change of Use to 8 Apartments </t>
        </is>
      </c>
      <c r="D124" s="23" t="inlineStr">
        <is>
          <t>City Centre</t>
        </is>
      </c>
      <c r="E124" s="23" t="inlineStr">
        <is>
          <t>Other County Limerick</t>
        </is>
      </c>
      <c r="F124" s="23" t="inlineStr">
        <is>
          <t>City – outside audit land</t>
        </is>
      </c>
      <c r="G124" s="23" t="n"/>
      <c r="H124" s="23" t="inlineStr">
        <is>
          <t>Private</t>
        </is>
      </c>
      <c r="I124" s="23" t="inlineStr">
        <is>
          <t>Market (incl. Part V)</t>
        </is>
      </c>
      <c r="J124" s="23" t="inlineStr">
        <is>
          <t>Standard planning application</t>
        </is>
      </c>
      <c r="K124" s="23" t="inlineStr">
        <is>
          <t>Under construction</t>
        </is>
      </c>
      <c r="L124" s="23" t="inlineStr">
        <is>
          <t>On Site</t>
        </is>
      </c>
      <c r="M124" s="23" t="n">
        <v>8</v>
      </c>
      <c r="N124" s="23" t="n"/>
      <c r="O124" s="23" t="inlineStr">
        <is>
          <t>2024-04-04</t>
        </is>
      </c>
      <c r="P124" s="23" t="inlineStr">
        <is>
          <t>2025-05-07</t>
        </is>
      </c>
      <c r="Q124" s="23" t="inlineStr">
        <is>
          <t>2029-04-03</t>
        </is>
      </c>
      <c r="R124" s="23" t="inlineStr">
        <is>
          <t>2025 Q2</t>
        </is>
      </c>
      <c r="S124" s="23" t="inlineStr">
        <is>
          <t>2027 Q4</t>
        </is>
      </c>
      <c r="T124" s="23" t="inlineStr">
        <is>
          <t>High</t>
        </is>
      </c>
      <c r="U124" s="23" t="inlineStr">
        <is>
          <t>On site: started 2025-05</t>
        </is>
      </c>
      <c r="V124" s="23" t="n">
        <v>0</v>
      </c>
      <c r="W124" s="23" t="n">
        <v>1.9</v>
      </c>
      <c r="X124" s="23" t="n">
        <v>6.1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</row>
    <row r="125">
      <c r="A125" s="23" t="inlineStr">
        <is>
          <t>1384661</t>
        </is>
      </c>
      <c r="B125" s="23" t="inlineStr">
        <is>
          <t>2560001</t>
        </is>
      </c>
      <c r="C125" s="23" t="inlineStr">
        <is>
          <t>€1.3m - 6 Apartments, Thomondgate</t>
        </is>
      </c>
      <c r="D125" s="23" t="inlineStr">
        <is>
          <t>City Centre</t>
        </is>
      </c>
      <c r="E125" s="23" t="inlineStr">
        <is>
          <t>Other County Limerick</t>
        </is>
      </c>
      <c r="F125" s="23" t="inlineStr">
        <is>
          <t>City – outside audit land</t>
        </is>
      </c>
      <c r="G125" s="23" t="n"/>
      <c r="H125" s="23" t="inlineStr">
        <is>
          <t>Private</t>
        </is>
      </c>
      <c r="I125" s="23" t="inlineStr">
        <is>
          <t>Market (incl. Part V)</t>
        </is>
      </c>
      <c r="J125" s="23" t="inlineStr">
        <is>
          <t>Standard planning application</t>
        </is>
      </c>
      <c r="K125" s="23" t="inlineStr">
        <is>
          <t>Under construction</t>
        </is>
      </c>
      <c r="L125" s="23" t="inlineStr">
        <is>
          <t>On Site</t>
        </is>
      </c>
      <c r="M125" s="23" t="n">
        <v>7</v>
      </c>
      <c r="N125" s="23" t="n"/>
      <c r="O125" s="23" t="inlineStr">
        <is>
          <t>2025-12-03</t>
        </is>
      </c>
      <c r="P125" s="23" t="inlineStr">
        <is>
          <t>2026-03-16</t>
        </is>
      </c>
      <c r="Q125" s="23" t="inlineStr">
        <is>
          <t>2030-12-02</t>
        </is>
      </c>
      <c r="R125" s="23" t="inlineStr">
        <is>
          <t>2026 Q1</t>
        </is>
      </c>
      <c r="S125" s="23" t="inlineStr">
        <is>
          <t>2028 Q1</t>
        </is>
      </c>
      <c r="T125" s="23" t="inlineStr">
        <is>
          <t>High</t>
        </is>
      </c>
      <c r="U125" s="23" t="inlineStr">
        <is>
          <t>On site: started 2026-03</t>
        </is>
      </c>
      <c r="V125" s="23" t="n">
        <v>0</v>
      </c>
      <c r="W125" s="23" t="n">
        <v>0</v>
      </c>
      <c r="X125" s="23" t="n">
        <v>6.6</v>
      </c>
      <c r="Y125" s="23" t="n">
        <v>0.4</v>
      </c>
      <c r="Z125" s="23" t="n">
        <v>0</v>
      </c>
      <c r="AA125" s="23" t="n">
        <v>0</v>
      </c>
      <c r="AB125" s="23" t="n">
        <v>0</v>
      </c>
      <c r="AC125" s="23" t="n">
        <v>0</v>
      </c>
    </row>
    <row r="126">
      <c r="A126" s="23" t="inlineStr">
        <is>
          <t>1163125</t>
        </is>
      </c>
      <c r="B126" s="23" t="inlineStr">
        <is>
          <t>21532</t>
        </is>
      </c>
      <c r="C126" s="23" t="inlineStr">
        <is>
          <t>€858k - Residential Development, Mungret</t>
        </is>
      </c>
      <c r="D126" s="23" t="inlineStr">
        <is>
          <t>Dooradoyle</t>
        </is>
      </c>
      <c r="E126" s="23" t="inlineStr">
        <is>
          <t>Mungret</t>
        </is>
      </c>
      <c r="F126" s="23" t="inlineStr">
        <is>
          <t>City – outside audit land</t>
        </is>
      </c>
      <c r="G126" s="23" t="n"/>
      <c r="H126" s="23" t="inlineStr">
        <is>
          <t>Private</t>
        </is>
      </c>
      <c r="I126" s="23" t="inlineStr">
        <is>
          <t>Market (incl. Part V)</t>
        </is>
      </c>
      <c r="J126" s="23" t="inlineStr">
        <is>
          <t>Standard planning application</t>
        </is>
      </c>
      <c r="K126" s="23" t="inlineStr">
        <is>
          <t>Complete</t>
        </is>
      </c>
      <c r="L126" s="23" t="inlineStr">
        <is>
          <t>Complete</t>
        </is>
      </c>
      <c r="M126" s="23" t="n">
        <v>7</v>
      </c>
      <c r="N126" s="23" t="n"/>
      <c r="O126" s="23" t="inlineStr">
        <is>
          <t>2022-01-13</t>
        </is>
      </c>
      <c r="P126" s="23" t="inlineStr">
        <is>
          <t>2022-03-30</t>
        </is>
      </c>
      <c r="Q126" s="23" t="inlineStr">
        <is>
          <t>2027-01-12</t>
        </is>
      </c>
      <c r="R126" s="23" t="n"/>
      <c r="S126" s="23" t="n"/>
      <c r="T126" s="23" t="inlineStr">
        <is>
          <t>Delivered</t>
        </is>
      </c>
      <c r="U126" s="23" t="inlineStr">
        <is>
          <t>Complete (CIS)</t>
        </is>
      </c>
      <c r="V126" s="23" t="n">
        <v>7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>
      <c r="A127" s="23" t="inlineStr">
        <is>
          <t>1009370</t>
        </is>
      </c>
      <c r="B127" s="23" t="inlineStr">
        <is>
          <t>18892</t>
        </is>
      </c>
      <c r="C127" s="23" t="inlineStr">
        <is>
          <t xml:space="preserve">€870k - Apartments  </t>
        </is>
      </c>
      <c r="D127" s="23" t="inlineStr">
        <is>
          <t>Ballinacurra</t>
        </is>
      </c>
      <c r="E127" s="23" t="inlineStr">
        <is>
          <t>Other County Limerick</t>
        </is>
      </c>
      <c r="F127" s="23" t="inlineStr">
        <is>
          <t>City – outside audit land</t>
        </is>
      </c>
      <c r="G127" s="23" t="n"/>
      <c r="H127" s="23" t="inlineStr">
        <is>
          <t>Private</t>
        </is>
      </c>
      <c r="I127" s="23" t="inlineStr">
        <is>
          <t>Market (incl. Part V)</t>
        </is>
      </c>
      <c r="J127" s="23" t="inlineStr">
        <is>
          <t>Standard planning application</t>
        </is>
      </c>
      <c r="K127" s="23" t="inlineStr">
        <is>
          <t>Under construction</t>
        </is>
      </c>
      <c r="L127" s="23" t="inlineStr">
        <is>
          <t>On Site</t>
        </is>
      </c>
      <c r="M127" s="23" t="n">
        <v>6</v>
      </c>
      <c r="N127" s="23" t="n"/>
      <c r="O127" s="23" t="inlineStr">
        <is>
          <t>2019-02-26</t>
        </is>
      </c>
      <c r="P127" s="23" t="inlineStr">
        <is>
          <t>2019-08-30</t>
        </is>
      </c>
      <c r="Q127" s="23" t="inlineStr">
        <is>
          <t>2024-02-25</t>
        </is>
      </c>
      <c r="R127" s="23" t="inlineStr">
        <is>
          <t>2019 Q3</t>
        </is>
      </c>
      <c r="S127" s="23" t="inlineStr">
        <is>
          <t>2027 Q4</t>
        </is>
      </c>
      <c r="T127" s="23" t="inlineStr">
        <is>
          <t>High</t>
        </is>
      </c>
      <c r="U127" s="23" t="inlineStr">
        <is>
          <t>On site: started 2019-08</t>
        </is>
      </c>
      <c r="V127" s="23" t="n">
        <v>0</v>
      </c>
      <c r="W127" s="23" t="n">
        <v>1.4</v>
      </c>
      <c r="X127" s="23" t="n">
        <v>4.6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>
      <c r="A128" s="23" t="inlineStr">
        <is>
          <t>1156999</t>
        </is>
      </c>
      <c r="B128" s="23" t="inlineStr">
        <is>
          <t>21342</t>
        </is>
      </c>
      <c r="C128" s="23" t="inlineStr">
        <is>
          <t>€864k - 6 Dwellings</t>
        </is>
      </c>
      <c r="D128" s="23" t="inlineStr">
        <is>
          <t>Caherdavin</t>
        </is>
      </c>
      <c r="E128" s="23" t="inlineStr">
        <is>
          <t>Limerick City and Suburbs</t>
        </is>
      </c>
      <c r="F128" s="23" t="inlineStr">
        <is>
          <t>City – outside audit land</t>
        </is>
      </c>
      <c r="G128" s="23" t="n"/>
      <c r="H128" s="23" t="inlineStr">
        <is>
          <t>Private</t>
        </is>
      </c>
      <c r="I128" s="23" t="inlineStr">
        <is>
          <t>Market (incl. Part V)</t>
        </is>
      </c>
      <c r="J128" s="23" t="inlineStr">
        <is>
          <t>Standard planning application</t>
        </is>
      </c>
      <c r="K128" s="23" t="inlineStr">
        <is>
          <t>Complete</t>
        </is>
      </c>
      <c r="L128" s="23" t="inlineStr">
        <is>
          <t>Complete</t>
        </is>
      </c>
      <c r="M128" s="23" t="n">
        <v>6</v>
      </c>
      <c r="N128" s="23" t="n"/>
      <c r="O128" s="23" t="inlineStr">
        <is>
          <t>2022-04-13</t>
        </is>
      </c>
      <c r="P128" s="23" t="inlineStr">
        <is>
          <t>2023-03-20</t>
        </is>
      </c>
      <c r="Q128" s="23" t="inlineStr">
        <is>
          <t>2027-04-12</t>
        </is>
      </c>
      <c r="R128" s="23" t="n"/>
      <c r="S128" s="23" t="n"/>
      <c r="T128" s="23" t="inlineStr">
        <is>
          <t>Delivered</t>
        </is>
      </c>
      <c r="U128" s="23" t="inlineStr">
        <is>
          <t>Complete (CIS)</t>
        </is>
      </c>
      <c r="V128" s="23" t="n">
        <v>6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>
      <c r="A129" s="23" t="inlineStr">
        <is>
          <t>1193931</t>
        </is>
      </c>
      <c r="B129" s="23" t="inlineStr">
        <is>
          <t>211395</t>
        </is>
      </c>
      <c r="C129" s="23" t="inlineStr">
        <is>
          <t xml:space="preserve">€1.3m - 6 Houses </t>
        </is>
      </c>
      <c r="D129" s="23" t="inlineStr">
        <is>
          <t>Singland/Garryowen</t>
        </is>
      </c>
      <c r="E129" s="23" t="inlineStr">
        <is>
          <t>Other County Limerick</t>
        </is>
      </c>
      <c r="F129" s="23" t="inlineStr">
        <is>
          <t>City – outside audit land</t>
        </is>
      </c>
      <c r="G129" s="23" t="n"/>
      <c r="H129" s="23" t="inlineStr">
        <is>
          <t>Private</t>
        </is>
      </c>
      <c r="I129" s="23" t="inlineStr">
        <is>
          <t>Market (incl. Part V)</t>
        </is>
      </c>
      <c r="J129" s="23" t="inlineStr">
        <is>
          <t>Standard planning application</t>
        </is>
      </c>
      <c r="K129" s="23" t="inlineStr">
        <is>
          <t>Under construction</t>
        </is>
      </c>
      <c r="L129" s="23" t="inlineStr">
        <is>
          <t>On Site</t>
        </is>
      </c>
      <c r="M129" s="23" t="n">
        <v>6</v>
      </c>
      <c r="N129" s="23" t="n"/>
      <c r="O129" s="23" t="inlineStr">
        <is>
          <t>2022-06-21</t>
        </is>
      </c>
      <c r="P129" s="23" t="inlineStr">
        <is>
          <t>2026-02-13</t>
        </is>
      </c>
      <c r="Q129" s="23" t="inlineStr">
        <is>
          <t>2027-06-20</t>
        </is>
      </c>
      <c r="R129" s="23" t="inlineStr">
        <is>
          <t>2026 Q1</t>
        </is>
      </c>
      <c r="S129" s="23" t="inlineStr">
        <is>
          <t>2027 Q4</t>
        </is>
      </c>
      <c r="T129" s="23" t="inlineStr">
        <is>
          <t>High</t>
        </is>
      </c>
      <c r="U129" s="23" t="inlineStr">
        <is>
          <t>On site: started 2026-02</t>
        </is>
      </c>
      <c r="V129" s="23" t="n">
        <v>0</v>
      </c>
      <c r="W129" s="23" t="n">
        <v>0.2</v>
      </c>
      <c r="X129" s="23" t="n">
        <v>5.8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</row>
    <row r="130">
      <c r="A130" s="23" t="inlineStr">
        <is>
          <t>1383405</t>
        </is>
      </c>
      <c r="B130" s="23" t="inlineStr">
        <is>
          <t>2461298</t>
        </is>
      </c>
      <c r="C130" s="23" t="inlineStr">
        <is>
          <t>€975k - Change of Use to Restaurant/Apartments</t>
        </is>
      </c>
      <c r="D130" s="23" t="inlineStr">
        <is>
          <t>City Centre</t>
        </is>
      </c>
      <c r="E130" s="23" t="inlineStr">
        <is>
          <t>Other County Limerick</t>
        </is>
      </c>
      <c r="F130" s="23" t="inlineStr">
        <is>
          <t>City – outside audit land</t>
        </is>
      </c>
      <c r="G130" s="23" t="n"/>
      <c r="H130" s="23" t="inlineStr">
        <is>
          <t>Private</t>
        </is>
      </c>
      <c r="I130" s="23" t="inlineStr">
        <is>
          <t>Market (incl. Part V)</t>
        </is>
      </c>
      <c r="J130" s="23" t="inlineStr">
        <is>
          <t>Standard planning application</t>
        </is>
      </c>
      <c r="K130" s="23" t="inlineStr">
        <is>
          <t>Under construction</t>
        </is>
      </c>
      <c r="L130" s="23" t="inlineStr">
        <is>
          <t>On Site</t>
        </is>
      </c>
      <c r="M130" s="23" t="n">
        <v>6</v>
      </c>
      <c r="N130" s="23" t="n"/>
      <c r="O130" s="23" t="inlineStr">
        <is>
          <t>2025-06-24</t>
        </is>
      </c>
      <c r="P130" s="23" t="inlineStr">
        <is>
          <t>2026-02-23</t>
        </is>
      </c>
      <c r="Q130" s="23" t="inlineStr">
        <is>
          <t>2030-06-23</t>
        </is>
      </c>
      <c r="R130" s="23" t="inlineStr">
        <is>
          <t>2026 Q1</t>
        </is>
      </c>
      <c r="S130" s="23" t="inlineStr">
        <is>
          <t>2028 Q1</t>
        </is>
      </c>
      <c r="T130" s="23" t="inlineStr">
        <is>
          <t>High</t>
        </is>
      </c>
      <c r="U130" s="23" t="inlineStr">
        <is>
          <t>On site: started 2026-02</t>
        </is>
      </c>
      <c r="V130" s="23" t="n">
        <v>0</v>
      </c>
      <c r="W130" s="23" t="n">
        <v>0</v>
      </c>
      <c r="X130" s="23" t="n">
        <v>6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>
      <c r="A131" s="23" t="inlineStr">
        <is>
          <t>997576</t>
        </is>
      </c>
      <c r="B131" s="23" t="inlineStr">
        <is>
          <t>187020</t>
        </is>
      </c>
      <c r="C131" s="23" t="inlineStr">
        <is>
          <t>€1m - Residential Development</t>
        </is>
      </c>
      <c r="D131" s="23" t="inlineStr">
        <is>
          <t>Castletroy/Annacotty</t>
        </is>
      </c>
      <c r="E131" s="23" t="inlineStr">
        <is>
          <t>Limerick City and Suburbs</t>
        </is>
      </c>
      <c r="F131" s="23" t="inlineStr">
        <is>
          <t>City – outside audit land</t>
        </is>
      </c>
      <c r="G131" s="23" t="n"/>
      <c r="H131" s="23" t="inlineStr">
        <is>
          <t>Private</t>
        </is>
      </c>
      <c r="I131" s="23" t="inlineStr">
        <is>
          <t>Market (incl. Part V)</t>
        </is>
      </c>
      <c r="J131" s="23" t="inlineStr">
        <is>
          <t>Standard planning application</t>
        </is>
      </c>
      <c r="K131" s="23" t="inlineStr">
        <is>
          <t>Complete</t>
        </is>
      </c>
      <c r="L131" s="23" t="inlineStr">
        <is>
          <t>Complete</t>
        </is>
      </c>
      <c r="M131" s="23" t="n">
        <v>6</v>
      </c>
      <c r="N131" s="23" t="n"/>
      <c r="O131" s="23" t="inlineStr">
        <is>
          <t>2018-08-08</t>
        </is>
      </c>
      <c r="P131" s="23" t="inlineStr">
        <is>
          <t>2019-04-05</t>
        </is>
      </c>
      <c r="Q131" s="23" t="inlineStr">
        <is>
          <t>2023-05-13</t>
        </is>
      </c>
      <c r="R131" s="23" t="n"/>
      <c r="S131" s="23" t="n"/>
      <c r="T131" s="23" t="inlineStr">
        <is>
          <t>Delivered</t>
        </is>
      </c>
      <c r="U131" s="23" t="inlineStr">
        <is>
          <t>Complete (CIS)</t>
        </is>
      </c>
      <c r="V131" s="23" t="n">
        <v>6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>
      <c r="A132" s="23" t="inlineStr">
        <is>
          <t>1409292</t>
        </is>
      </c>
      <c r="B132" s="23" t="inlineStr">
        <is>
          <t>2560595</t>
        </is>
      </c>
      <c r="C132" s="23" t="inlineStr">
        <is>
          <t>€819k - 6 Apartments</t>
        </is>
      </c>
      <c r="D132" s="23" t="inlineStr">
        <is>
          <t>City Centre</t>
        </is>
      </c>
      <c r="E132" s="23" t="inlineStr">
        <is>
          <t>Other County Limerick</t>
        </is>
      </c>
      <c r="F132" s="23" t="inlineStr">
        <is>
          <t>City – outside audit land</t>
        </is>
      </c>
      <c r="G132" s="23" t="n"/>
      <c r="H132" s="23" t="inlineStr">
        <is>
          <t>Private</t>
        </is>
      </c>
      <c r="I132" s="23" t="inlineStr">
        <is>
          <t>Market (incl. Part V)</t>
        </is>
      </c>
      <c r="J132" s="23" t="inlineStr">
        <is>
          <t>Standard planning application</t>
        </is>
      </c>
      <c r="K132" s="23" t="inlineStr">
        <is>
          <t>Not started – permission live</t>
        </is>
      </c>
      <c r="L132" s="23" t="inlineStr">
        <is>
          <t>Permission Granted</t>
        </is>
      </c>
      <c r="M132" s="23" t="n">
        <v>6</v>
      </c>
      <c r="N132" s="23" t="n"/>
      <c r="O132" s="23" t="inlineStr">
        <is>
          <t>2026-02-11</t>
        </is>
      </c>
      <c r="P132" s="23" t="n"/>
      <c r="Q132" s="23" t="inlineStr">
        <is>
          <t>2031-02-10</t>
        </is>
      </c>
      <c r="R132" s="23" t="inlineStr">
        <is>
          <t>2027 Q2</t>
        </is>
      </c>
      <c r="S132" s="23" t="inlineStr">
        <is>
          <t>2029 Q2</t>
        </is>
      </c>
      <c r="T132" s="23" t="inlineStr">
        <is>
          <t>Medium</t>
        </is>
      </c>
      <c r="U132" s="23" t="inlineStr">
        <is>
          <t>Permitted 2026-02; typical start 1.3 yrs after grant</t>
        </is>
      </c>
      <c r="V132" s="23" t="n">
        <v>0</v>
      </c>
      <c r="W132" s="23" t="n">
        <v>0</v>
      </c>
      <c r="X132" s="23" t="n">
        <v>0</v>
      </c>
      <c r="Y132" s="23" t="n">
        <v>4.5</v>
      </c>
      <c r="Z132" s="23" t="n">
        <v>1.5</v>
      </c>
      <c r="AA132" s="23" t="n">
        <v>0</v>
      </c>
      <c r="AB132" s="23" t="n">
        <v>0</v>
      </c>
      <c r="AC132" s="23" t="n">
        <v>0</v>
      </c>
    </row>
    <row r="133">
      <c r="A133" s="23" t="inlineStr">
        <is>
          <t>974045</t>
        </is>
      </c>
      <c r="B133" s="23" t="inlineStr">
        <is>
          <t>1872</t>
        </is>
      </c>
      <c r="C133" s="23" t="inlineStr">
        <is>
          <t xml:space="preserve">€554k - 4 Houses </t>
        </is>
      </c>
      <c r="D133" s="23" t="inlineStr">
        <is>
          <t>Southhill</t>
        </is>
      </c>
      <c r="E133" s="23" t="inlineStr">
        <is>
          <t>Other County Limerick</t>
        </is>
      </c>
      <c r="F133" s="23" t="inlineStr">
        <is>
          <t>City – outside audit land</t>
        </is>
      </c>
      <c r="G133" s="23" t="n"/>
      <c r="H133" s="23" t="inlineStr">
        <is>
          <t>Private</t>
        </is>
      </c>
      <c r="I133" s="23" t="inlineStr">
        <is>
          <t>Market (incl. Part V)</t>
        </is>
      </c>
      <c r="J133" s="23" t="inlineStr">
        <is>
          <t>Standard planning application</t>
        </is>
      </c>
      <c r="K133" s="23" t="inlineStr">
        <is>
          <t>Complete</t>
        </is>
      </c>
      <c r="L133" s="23" t="inlineStr">
        <is>
          <t>Complete</t>
        </is>
      </c>
      <c r="M133" s="23" t="n">
        <v>4</v>
      </c>
      <c r="N133" s="23" t="n"/>
      <c r="O133" s="23" t="inlineStr">
        <is>
          <t>2019-01-18</t>
        </is>
      </c>
      <c r="P133" s="23" t="inlineStr">
        <is>
          <t>2020-08-07</t>
        </is>
      </c>
      <c r="Q133" s="23" t="inlineStr">
        <is>
          <t>2024-01-17</t>
        </is>
      </c>
      <c r="R133" s="23" t="n"/>
      <c r="S133" s="23" t="n"/>
      <c r="T133" s="23" t="inlineStr">
        <is>
          <t>Delivered</t>
        </is>
      </c>
      <c r="U133" s="23" t="inlineStr">
        <is>
          <t>Complete (CIS)</t>
        </is>
      </c>
      <c r="V133" s="23" t="n">
        <v>4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>
      <c r="A134" s="23" t="inlineStr">
        <is>
          <t>997554</t>
        </is>
      </c>
      <c r="B134" s="23" t="inlineStr">
        <is>
          <t>18618</t>
        </is>
      </c>
      <c r="C134" s="23" t="inlineStr">
        <is>
          <t xml:space="preserve">€529k - 4 Houses </t>
        </is>
      </c>
      <c r="D134" s="23" t="inlineStr">
        <is>
          <t>Southhill</t>
        </is>
      </c>
      <c r="E134" s="23" t="inlineStr">
        <is>
          <t>Kilmallock</t>
        </is>
      </c>
      <c r="F134" s="23" t="inlineStr">
        <is>
          <t>City – outside audit land</t>
        </is>
      </c>
      <c r="G134" s="23" t="n"/>
      <c r="H134" s="23" t="inlineStr">
        <is>
          <t>Private</t>
        </is>
      </c>
      <c r="I134" s="23" t="inlineStr">
        <is>
          <t>Market (incl. Part V)</t>
        </is>
      </c>
      <c r="J134" s="23" t="inlineStr">
        <is>
          <t>Standard planning application</t>
        </is>
      </c>
      <c r="K134" s="23" t="inlineStr">
        <is>
          <t>Under construction</t>
        </is>
      </c>
      <c r="L134" s="23" t="inlineStr">
        <is>
          <t>Permission Granted</t>
        </is>
      </c>
      <c r="M134" s="23" t="n">
        <v>4</v>
      </c>
      <c r="N134" s="23" t="n"/>
      <c r="O134" s="23" t="inlineStr">
        <is>
          <t>2018-11-27</t>
        </is>
      </c>
      <c r="P134" s="23" t="inlineStr">
        <is>
          <t>2019-07-19</t>
        </is>
      </c>
      <c r="Q134" s="23" t="inlineStr">
        <is>
          <t>2023-11-26</t>
        </is>
      </c>
      <c r="R134" s="23" t="inlineStr">
        <is>
          <t>2019 Q3</t>
        </is>
      </c>
      <c r="S134" s="23" t="inlineStr">
        <is>
          <t>2027 Q4</t>
        </is>
      </c>
      <c r="T134" s="23" t="inlineStr">
        <is>
          <t>High</t>
        </is>
      </c>
      <c r="U134" s="23" t="inlineStr">
        <is>
          <t>On site: started 2019-07</t>
        </is>
      </c>
      <c r="V134" s="23" t="n">
        <v>0</v>
      </c>
      <c r="W134" s="23" t="n">
        <v>0.9</v>
      </c>
      <c r="X134" s="23" t="n">
        <v>3.1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</row>
    <row r="135">
      <c r="A135" s="23" t="inlineStr">
        <is>
          <t>1419374</t>
        </is>
      </c>
      <c r="B135" s="23" t="inlineStr">
        <is>
          <t>2561323</t>
        </is>
      </c>
      <c r="C135" s="23" t="inlineStr">
        <is>
          <t>€757k - 4 Apartments, Castletroy</t>
        </is>
      </c>
      <c r="D135" s="23" t="inlineStr">
        <is>
          <t>Castletroy/Annacotty</t>
        </is>
      </c>
      <c r="E135" s="23" t="inlineStr">
        <is>
          <t>Limerick City and Suburbs</t>
        </is>
      </c>
      <c r="F135" s="23" t="inlineStr">
        <is>
          <t>City – outside audit land</t>
        </is>
      </c>
      <c r="G135" s="23" t="n"/>
      <c r="H135" s="23" t="inlineStr">
        <is>
          <t>Private</t>
        </is>
      </c>
      <c r="I135" s="23" t="inlineStr">
        <is>
          <t>Market (incl. Part V)</t>
        </is>
      </c>
      <c r="J135" s="23" t="inlineStr">
        <is>
          <t>Standard planning application</t>
        </is>
      </c>
      <c r="K135" s="23" t="inlineStr">
        <is>
          <t>Not started – permission live</t>
        </is>
      </c>
      <c r="L135" s="23" t="inlineStr">
        <is>
          <t>Permission Granted</t>
        </is>
      </c>
      <c r="M135" s="23" t="n">
        <v>4</v>
      </c>
      <c r="N135" s="23" t="n"/>
      <c r="O135" s="23" t="inlineStr">
        <is>
          <t>2026-07-30</t>
        </is>
      </c>
      <c r="P135" s="23" t="n"/>
      <c r="Q135" s="23" t="inlineStr">
        <is>
          <t>2031-07-30</t>
        </is>
      </c>
      <c r="R135" s="23" t="inlineStr">
        <is>
          <t>2027 Q4</t>
        </is>
      </c>
      <c r="S135" s="23" t="inlineStr">
        <is>
          <t>2029 Q3</t>
        </is>
      </c>
      <c r="T135" s="23" t="inlineStr">
        <is>
          <t>Medium</t>
        </is>
      </c>
      <c r="U135" s="23" t="inlineStr">
        <is>
          <t>Permitted 2026-07; typical start 1.3 yrs after grant</t>
        </is>
      </c>
      <c r="V135" s="23" t="n">
        <v>0</v>
      </c>
      <c r="W135" s="23" t="n">
        <v>0</v>
      </c>
      <c r="X135" s="23" t="n">
        <v>0</v>
      </c>
      <c r="Y135" s="23" t="n">
        <v>1.2</v>
      </c>
      <c r="Z135" s="23" t="n">
        <v>2.8</v>
      </c>
      <c r="AA135" s="23" t="n">
        <v>0</v>
      </c>
      <c r="AB135" s="23" t="n">
        <v>0</v>
      </c>
      <c r="AC135" s="23" t="n">
        <v>0</v>
      </c>
    </row>
    <row r="136">
      <c r="A136" s="23" t="inlineStr">
        <is>
          <t>1064271</t>
        </is>
      </c>
      <c r="B136" s="23" t="inlineStr">
        <is>
          <t>19841</t>
        </is>
      </c>
      <c r="C136" s="23" t="inlineStr">
        <is>
          <t xml:space="preserve">€618k - 2 Apartments </t>
        </is>
      </c>
      <c r="D136" s="23" t="inlineStr">
        <is>
          <t>City Centre</t>
        </is>
      </c>
      <c r="E136" s="23" t="inlineStr">
        <is>
          <t>Other County Limerick</t>
        </is>
      </c>
      <c r="F136" s="23" t="inlineStr">
        <is>
          <t>City – outside audit land</t>
        </is>
      </c>
      <c r="G136" s="23" t="n"/>
      <c r="H136" s="23" t="inlineStr">
        <is>
          <t>Private</t>
        </is>
      </c>
      <c r="I136" s="23" t="inlineStr">
        <is>
          <t>Market (incl. Part V)</t>
        </is>
      </c>
      <c r="J136" s="23" t="inlineStr">
        <is>
          <t>Standard planning application</t>
        </is>
      </c>
      <c r="K136" s="23" t="inlineStr">
        <is>
          <t>Under construction</t>
        </is>
      </c>
      <c r="L136" s="23" t="inlineStr">
        <is>
          <t>On Site</t>
        </is>
      </c>
      <c r="M136" s="23" t="n">
        <v>2</v>
      </c>
      <c r="N136" s="23" t="n"/>
      <c r="O136" s="23" t="inlineStr">
        <is>
          <t>2020-09-16</t>
        </is>
      </c>
      <c r="P136" s="23" t="inlineStr">
        <is>
          <t>2023-09-05</t>
        </is>
      </c>
      <c r="Q136" s="23" t="inlineStr">
        <is>
          <t>2025-09-15</t>
        </is>
      </c>
      <c r="R136" s="23" t="inlineStr">
        <is>
          <t>2023 Q3</t>
        </is>
      </c>
      <c r="S136" s="23" t="inlineStr">
        <is>
          <t>2027 Q4</t>
        </is>
      </c>
      <c r="T136" s="23" t="inlineStr">
        <is>
          <t>High</t>
        </is>
      </c>
      <c r="U136" s="23" t="inlineStr">
        <is>
          <t>On site: started 2023-09</t>
        </is>
      </c>
      <c r="V136" s="23" t="n">
        <v>0</v>
      </c>
      <c r="W136" s="23" t="n">
        <v>0.5</v>
      </c>
      <c r="X136" s="23" t="n">
        <v>1.5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>
      <c r="A137" s="23" t="inlineStr">
        <is>
          <t>1174250</t>
        </is>
      </c>
      <c r="B137" s="23" t="inlineStr">
        <is>
          <t>21853</t>
        </is>
      </c>
      <c r="C137" s="23" t="inlineStr">
        <is>
          <t>€622k - 2 Houses</t>
        </is>
      </c>
      <c r="D137" s="23" t="inlineStr">
        <is>
          <t>Castletroy/Annacotty</t>
        </is>
      </c>
      <c r="E137" s="23" t="inlineStr">
        <is>
          <t>Limerick City and Suburbs</t>
        </is>
      </c>
      <c r="F137" s="23" t="inlineStr">
        <is>
          <t>City – outside audit land</t>
        </is>
      </c>
      <c r="G137" s="23" t="n"/>
      <c r="H137" s="23" t="inlineStr">
        <is>
          <t>Private</t>
        </is>
      </c>
      <c r="I137" s="23" t="inlineStr">
        <is>
          <t>Market (incl. Part V)</t>
        </is>
      </c>
      <c r="J137" s="23" t="inlineStr">
        <is>
          <t>Standard planning application</t>
        </is>
      </c>
      <c r="K137" s="23" t="inlineStr">
        <is>
          <t>Under construction</t>
        </is>
      </c>
      <c r="L137" s="23" t="inlineStr">
        <is>
          <t>Commencement Expected</t>
        </is>
      </c>
      <c r="M137" s="23" t="n">
        <v>2</v>
      </c>
      <c r="N137" s="23" t="n"/>
      <c r="O137" s="23" t="inlineStr">
        <is>
          <t>2021-12-15</t>
        </is>
      </c>
      <c r="P137" s="23" t="inlineStr">
        <is>
          <t>2023-09-25</t>
        </is>
      </c>
      <c r="Q137" s="23" t="inlineStr">
        <is>
          <t>2026-12-14</t>
        </is>
      </c>
      <c r="R137" s="23" t="inlineStr">
        <is>
          <t>2023 Q3</t>
        </is>
      </c>
      <c r="S137" s="23" t="inlineStr">
        <is>
          <t>2027 Q4</t>
        </is>
      </c>
      <c r="T137" s="23" t="inlineStr">
        <is>
          <t>High</t>
        </is>
      </c>
      <c r="U137" s="23" t="inlineStr">
        <is>
          <t>On site: started 2023-09</t>
        </is>
      </c>
      <c r="V137" s="23" t="n">
        <v>0</v>
      </c>
      <c r="W137" s="23" t="n">
        <v>0.5</v>
      </c>
      <c r="X137" s="23" t="n">
        <v>1.5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</row>
    <row r="138">
      <c r="A138" s="23" t="inlineStr">
        <is>
          <t>1132789</t>
        </is>
      </c>
      <c r="B138" s="23" t="inlineStr">
        <is>
          <t>201142</t>
        </is>
      </c>
      <c r="C138" s="23" t="inlineStr">
        <is>
          <t>€919k - Student Accommodation Development, Saint Gerard Street</t>
        </is>
      </c>
      <c r="D138" s="23" t="inlineStr">
        <is>
          <t>City Centre</t>
        </is>
      </c>
      <c r="E138" s="23" t="inlineStr">
        <is>
          <t>Other County Limerick</t>
        </is>
      </c>
      <c r="F138" s="23" t="inlineStr">
        <is>
          <t>City – outside audit land</t>
        </is>
      </c>
      <c r="G138" s="23" t="n"/>
      <c r="H138" s="23" t="inlineStr">
        <is>
          <t>Private</t>
        </is>
      </c>
      <c r="I138" s="23" t="inlineStr">
        <is>
          <t>Student (PBSA)</t>
        </is>
      </c>
      <c r="J138" s="23" t="inlineStr">
        <is>
          <t>Standard planning application</t>
        </is>
      </c>
      <c r="K138" s="23" t="inlineStr">
        <is>
          <t>Not started – past expiry</t>
        </is>
      </c>
      <c r="L138" s="23" t="inlineStr">
        <is>
          <t>Permission Granted</t>
        </is>
      </c>
      <c r="M138" s="23" t="n">
        <v>0</v>
      </c>
      <c r="N138" s="23" t="n"/>
      <c r="O138" s="23" t="inlineStr">
        <is>
          <t>2021-09-21</t>
        </is>
      </c>
      <c r="P138" s="23" t="n"/>
      <c r="Q138" s="23" t="inlineStr">
        <is>
          <t>2026-09-20</t>
        </is>
      </c>
      <c r="R138" s="23" t="n"/>
      <c r="S138" s="23" t="n"/>
      <c r="T138" s="23" t="inlineStr">
        <is>
          <t>Not projected</t>
        </is>
      </c>
      <c r="U138" s="23" t="inlineStr">
        <is>
          <t>Permission expired – not projected</t>
        </is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>
      <c r="A139" s="23" t="inlineStr">
        <is>
          <t>1417746</t>
        </is>
      </c>
      <c r="B139" s="23" t="inlineStr">
        <is>
          <t>2561232</t>
        </is>
      </c>
      <c r="C139" s="23" t="inlineStr">
        <is>
          <t>€9.4m - Student Accommodation Development, Limerick</t>
        </is>
      </c>
      <c r="D139" s="23" t="inlineStr">
        <is>
          <t>Singland/Garryowen</t>
        </is>
      </c>
      <c r="E139" s="23" t="inlineStr">
        <is>
          <t>Other County Limerick</t>
        </is>
      </c>
      <c r="F139" s="23" t="inlineStr">
        <is>
          <t>City – outside audit land</t>
        </is>
      </c>
      <c r="G139" s="23" t="n"/>
      <c r="H139" s="23" t="inlineStr">
        <is>
          <t>Private</t>
        </is>
      </c>
      <c r="I139" s="23" t="inlineStr">
        <is>
          <t>Student (PBSA)</t>
        </is>
      </c>
      <c r="J139" s="23" t="inlineStr">
        <is>
          <t>Standard planning application</t>
        </is>
      </c>
      <c r="K139" s="23" t="inlineStr">
        <is>
          <t>Not started – permission live</t>
        </is>
      </c>
      <c r="L139" s="23" t="inlineStr">
        <is>
          <t>Permission Granted</t>
        </is>
      </c>
      <c r="M139" s="23" t="n">
        <v>0</v>
      </c>
      <c r="N139" s="23" t="n">
        <v>115</v>
      </c>
      <c r="O139" s="23" t="inlineStr">
        <is>
          <t>2026-07-28</t>
        </is>
      </c>
      <c r="P139" s="23" t="n"/>
      <c r="Q139" s="23" t="inlineStr">
        <is>
          <t>2031-07-27</t>
        </is>
      </c>
      <c r="R139" s="23" t="inlineStr">
        <is>
          <t>2027 Q4</t>
        </is>
      </c>
      <c r="S139" s="23" t="inlineStr">
        <is>
          <t>2029 Q3</t>
        </is>
      </c>
      <c r="T139" s="23" t="inlineStr">
        <is>
          <t>Medium</t>
        </is>
      </c>
      <c r="U139" s="23" t="inlineStr">
        <is>
          <t>Permitted 2026-07; typical start 1.3 yrs after grant; student block completes in one go</t>
        </is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>
      <c r="A140" s="23" t="inlineStr">
        <is>
          <t>971158</t>
        </is>
      </c>
      <c r="B140" s="23" t="inlineStr">
        <is>
          <t>187001</t>
        </is>
      </c>
      <c r="C140" s="23" t="inlineStr">
        <is>
          <t xml:space="preserve">€18.9m - Housing Development </t>
        </is>
      </c>
      <c r="D140" s="23" t="inlineStr">
        <is>
          <t>Dooradoyle</t>
        </is>
      </c>
      <c r="E140" s="23" t="inlineStr">
        <is>
          <t>Mungret</t>
        </is>
      </c>
      <c r="F140" s="23" t="inlineStr">
        <is>
          <t>City – outside audit land</t>
        </is>
      </c>
      <c r="G140" s="23" t="n"/>
      <c r="H140" s="23" t="inlineStr">
        <is>
          <t>Private</t>
        </is>
      </c>
      <c r="I140" s="23" t="inlineStr">
        <is>
          <t>Market (incl. Part V)</t>
        </is>
      </c>
      <c r="J140" s="23" t="inlineStr">
        <is>
          <t>Standard planning application</t>
        </is>
      </c>
      <c r="K140" s="23" t="inlineStr">
        <is>
          <t>Not started – permission live</t>
        </is>
      </c>
      <c r="L140" s="23" t="inlineStr">
        <is>
          <t>Permission Granted</t>
        </is>
      </c>
      <c r="M140" s="23" t="n">
        <v>0</v>
      </c>
      <c r="N140" s="23" t="n"/>
      <c r="O140" s="23" t="inlineStr">
        <is>
          <t>2018-04-10</t>
        </is>
      </c>
      <c r="P140" s="23" t="n"/>
      <c r="Q140" s="23" t="inlineStr">
        <is>
          <t>2029-03-12</t>
        </is>
      </c>
      <c r="R140" s="23" t="n"/>
      <c r="S140" s="23" t="n"/>
      <c r="T140" s="23" t="inlineStr">
        <is>
          <t>Not projected</t>
        </is>
      </c>
      <c r="U140" s="23" t="inlineStr">
        <is>
          <t>No units</t>
        </is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>
      <c r="A141" s="23" t="inlineStr">
        <is>
          <t>1070656</t>
        </is>
      </c>
      <c r="B141" s="23" t="inlineStr">
        <is>
          <t>19990</t>
        </is>
      </c>
      <c r="C141" s="23" t="inlineStr">
        <is>
          <t xml:space="preserve">€521k - 8 Houses </t>
        </is>
      </c>
      <c r="D141" s="23" t="inlineStr">
        <is>
          <t>Dooradoyle</t>
        </is>
      </c>
      <c r="E141" s="23" t="inlineStr">
        <is>
          <t>Mungret</t>
        </is>
      </c>
      <c r="F141" s="23" t="inlineStr">
        <is>
          <t>City – outside audit land</t>
        </is>
      </c>
      <c r="G141" s="23" t="n"/>
      <c r="H141" s="23" t="inlineStr">
        <is>
          <t>Private</t>
        </is>
      </c>
      <c r="I141" s="23" t="inlineStr">
        <is>
          <t>Market (incl. Part V)</t>
        </is>
      </c>
      <c r="J141" s="23" t="inlineStr">
        <is>
          <t>Standard planning application</t>
        </is>
      </c>
      <c r="K141" s="23" t="inlineStr">
        <is>
          <t>Complete</t>
        </is>
      </c>
      <c r="L141" s="23" t="inlineStr">
        <is>
          <t>Complete</t>
        </is>
      </c>
      <c r="M141" s="23" t="n">
        <v>0</v>
      </c>
      <c r="N141" s="23" t="n"/>
      <c r="O141" s="23" t="inlineStr">
        <is>
          <t>2020-01-10</t>
        </is>
      </c>
      <c r="P141" s="23" t="inlineStr">
        <is>
          <t>2020-12-04</t>
        </is>
      </c>
      <c r="Q141" s="23" t="inlineStr">
        <is>
          <t>2023-02-26</t>
        </is>
      </c>
      <c r="R141" s="23" t="n"/>
      <c r="S141" s="23" t="n"/>
      <c r="T141" s="23" t="inlineStr">
        <is>
          <t>Delivered</t>
        </is>
      </c>
      <c r="U141" s="23" t="inlineStr">
        <is>
          <t>Complete (CIS)</t>
        </is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>
      <c r="A142" s="23" t="inlineStr">
        <is>
          <t>1025215</t>
        </is>
      </c>
      <c r="B142" s="23" t="inlineStr">
        <is>
          <t>181270</t>
        </is>
      </c>
      <c r="C142" s="23" t="inlineStr">
        <is>
          <t>€5.8m - Housing Development</t>
        </is>
      </c>
      <c r="D142" s="23" t="inlineStr">
        <is>
          <t>Southhill</t>
        </is>
      </c>
      <c r="E142" s="23" t="inlineStr">
        <is>
          <t>Other County Limerick</t>
        </is>
      </c>
      <c r="F142" s="23" t="inlineStr">
        <is>
          <t>City – outside audit land</t>
        </is>
      </c>
      <c r="G142" s="23" t="n"/>
      <c r="H142" s="23" t="inlineStr">
        <is>
          <t>Public – AHB</t>
        </is>
      </c>
      <c r="I142" s="23" t="inlineStr">
        <is>
          <t>Social</t>
        </is>
      </c>
      <c r="J142" s="23" t="inlineStr">
        <is>
          <t>Standard planning application</t>
        </is>
      </c>
      <c r="K142" s="23" t="inlineStr">
        <is>
          <t>Complete</t>
        </is>
      </c>
      <c r="L142" s="23" t="inlineStr">
        <is>
          <t>Complete</t>
        </is>
      </c>
      <c r="M142" s="23" t="n">
        <v>37</v>
      </c>
      <c r="N142" s="23" t="n"/>
      <c r="O142" s="23" t="inlineStr">
        <is>
          <t>2019-05-29</t>
        </is>
      </c>
      <c r="P142" s="23" t="inlineStr">
        <is>
          <t>2021-05-25</t>
        </is>
      </c>
      <c r="Q142" s="23" t="inlineStr">
        <is>
          <t>2024-05-28</t>
        </is>
      </c>
      <c r="R142" s="23" t="n"/>
      <c r="S142" s="23" t="n"/>
      <c r="T142" s="23" t="inlineStr">
        <is>
          <t>Delivered</t>
        </is>
      </c>
      <c r="U142" s="23" t="inlineStr">
        <is>
          <t>Complete (CIS)</t>
        </is>
      </c>
      <c r="V142" s="23" t="n">
        <v>37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</row>
    <row r="143">
      <c r="A143" s="23" t="inlineStr">
        <is>
          <t>1270045</t>
        </is>
      </c>
      <c r="B143" s="23" t="inlineStr">
        <is>
          <t>2360025</t>
        </is>
      </c>
      <c r="C143" s="23" t="inlineStr">
        <is>
          <t>€3.8m - Apartment Development, Limerick</t>
        </is>
      </c>
      <c r="D143" s="23" t="inlineStr">
        <is>
          <t>Ballinacurra</t>
        </is>
      </c>
      <c r="E143" s="23" t="inlineStr">
        <is>
          <t>Other County Limerick</t>
        </is>
      </c>
      <c r="F143" s="23" t="inlineStr">
        <is>
          <t>City – outside audit land</t>
        </is>
      </c>
      <c r="G143" s="23" t="n"/>
      <c r="H143" s="23" t="inlineStr">
        <is>
          <t>Public – AHB</t>
        </is>
      </c>
      <c r="I143" s="23" t="inlineStr">
        <is>
          <t>Social</t>
        </is>
      </c>
      <c r="J143" s="23" t="inlineStr">
        <is>
          <t>Standard planning application</t>
        </is>
      </c>
      <c r="K143" s="23" t="inlineStr">
        <is>
          <t>Under construction</t>
        </is>
      </c>
      <c r="L143" s="23" t="inlineStr">
        <is>
          <t>On Site</t>
        </is>
      </c>
      <c r="M143" s="23" t="n">
        <v>21</v>
      </c>
      <c r="N143" s="23" t="n"/>
      <c r="O143" s="23" t="inlineStr">
        <is>
          <t>2024-08-28</t>
        </is>
      </c>
      <c r="P143" s="23" t="inlineStr">
        <is>
          <t>2025-10-23</t>
        </is>
      </c>
      <c r="Q143" s="23" t="inlineStr">
        <is>
          <t>2029-08-27</t>
        </is>
      </c>
      <c r="R143" s="23" t="inlineStr">
        <is>
          <t>2025 Q4</t>
        </is>
      </c>
      <c r="S143" s="23" t="inlineStr">
        <is>
          <t>2028 Q2</t>
        </is>
      </c>
      <c r="T143" s="23" t="inlineStr">
        <is>
          <t>High</t>
        </is>
      </c>
      <c r="U143" s="23" t="inlineStr">
        <is>
          <t>On site: started 2025-10</t>
        </is>
      </c>
      <c r="V143" s="23" t="n">
        <v>0</v>
      </c>
      <c r="W143" s="23" t="n">
        <v>2.7</v>
      </c>
      <c r="X143" s="23" t="n">
        <v>13.9</v>
      </c>
      <c r="Y143" s="23" t="n">
        <v>4.5</v>
      </c>
      <c r="Z143" s="23" t="n">
        <v>0</v>
      </c>
      <c r="AA143" s="23" t="n">
        <v>0</v>
      </c>
      <c r="AB143" s="23" t="n">
        <v>-0.1</v>
      </c>
      <c r="AC143" s="23" t="n">
        <v>0</v>
      </c>
    </row>
    <row r="144">
      <c r="A144" s="23" t="inlineStr">
        <is>
          <t>1188558</t>
        </is>
      </c>
      <c r="B144" s="23" t="inlineStr">
        <is>
          <t>211257</t>
        </is>
      </c>
      <c r="C144" s="23" t="inlineStr">
        <is>
          <t>€1.8m - Social Housing Development, Limerick</t>
        </is>
      </c>
      <c r="D144" s="23" t="inlineStr">
        <is>
          <t>Singland/Garryowen</t>
        </is>
      </c>
      <c r="E144" s="23" t="inlineStr">
        <is>
          <t>Limerick City and Suburbs</t>
        </is>
      </c>
      <c r="F144" s="23" t="inlineStr">
        <is>
          <t>City – outside audit land</t>
        </is>
      </c>
      <c r="G144" s="23" t="n"/>
      <c r="H144" s="23" t="inlineStr">
        <is>
          <t>Public – AHB</t>
        </is>
      </c>
      <c r="I144" s="23" t="inlineStr">
        <is>
          <t>Social</t>
        </is>
      </c>
      <c r="J144" s="23" t="inlineStr">
        <is>
          <t>Standard planning application</t>
        </is>
      </c>
      <c r="K144" s="23" t="inlineStr">
        <is>
          <t>Complete</t>
        </is>
      </c>
      <c r="L144" s="23" t="inlineStr">
        <is>
          <t>Complete</t>
        </is>
      </c>
      <c r="M144" s="23" t="n">
        <v>15</v>
      </c>
      <c r="N144" s="23" t="n"/>
      <c r="O144" s="23" t="inlineStr">
        <is>
          <t>2023-09-25</t>
        </is>
      </c>
      <c r="P144" s="23" t="inlineStr">
        <is>
          <t>2024-02-21</t>
        </is>
      </c>
      <c r="Q144" s="23" t="inlineStr">
        <is>
          <t>2028-09-24</t>
        </is>
      </c>
      <c r="R144" s="23" t="n"/>
      <c r="S144" s="23" t="n"/>
      <c r="T144" s="23" t="inlineStr">
        <is>
          <t>Delivered</t>
        </is>
      </c>
      <c r="U144" s="23" t="inlineStr">
        <is>
          <t>Complete (CIS)</t>
        </is>
      </c>
      <c r="V144" s="23" t="n">
        <v>15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</row>
    <row r="145">
      <c r="A145" s="23" t="inlineStr">
        <is>
          <t>1040199</t>
        </is>
      </c>
      <c r="B145" s="23" t="inlineStr">
        <is>
          <t>19302</t>
        </is>
      </c>
      <c r="C145" s="23" t="inlineStr">
        <is>
          <t>€2.6m - Apartments</t>
        </is>
      </c>
      <c r="D145" s="23" t="inlineStr">
        <is>
          <t>Caherdavin</t>
        </is>
      </c>
      <c r="E145" s="23" t="inlineStr">
        <is>
          <t>Limerick City and Suburbs</t>
        </is>
      </c>
      <c r="F145" s="23" t="inlineStr">
        <is>
          <t>City – outside audit land</t>
        </is>
      </c>
      <c r="G145" s="23" t="n"/>
      <c r="H145" s="23" t="inlineStr">
        <is>
          <t>Public – AHB</t>
        </is>
      </c>
      <c r="I145" s="23" t="inlineStr">
        <is>
          <t>Social</t>
        </is>
      </c>
      <c r="J145" s="23" t="inlineStr">
        <is>
          <t>Standard planning application</t>
        </is>
      </c>
      <c r="K145" s="23" t="inlineStr">
        <is>
          <t>Not started – past expiry</t>
        </is>
      </c>
      <c r="L145" s="23" t="inlineStr">
        <is>
          <t>Tender</t>
        </is>
      </c>
      <c r="M145" s="23" t="n">
        <v>12</v>
      </c>
      <c r="N145" s="23" t="n"/>
      <c r="O145" s="23" t="inlineStr">
        <is>
          <t>2019-06-19</t>
        </is>
      </c>
      <c r="P145" s="23" t="n"/>
      <c r="Q145" s="23" t="inlineStr">
        <is>
          <t>2024-06-18</t>
        </is>
      </c>
      <c r="R145" s="23" t="n"/>
      <c r="S145" s="23" t="n"/>
      <c r="T145" s="23" t="inlineStr">
        <is>
          <t>Not projected</t>
        </is>
      </c>
      <c r="U145" s="23" t="inlineStr">
        <is>
          <t>Permission expired – not projected</t>
        </is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12</v>
      </c>
    </row>
    <row r="146">
      <c r="A146" s="23" t="inlineStr">
        <is>
          <t>1061120</t>
        </is>
      </c>
      <c r="B146" s="23" t="inlineStr">
        <is>
          <t>19769</t>
        </is>
      </c>
      <c r="C146" s="23" t="inlineStr">
        <is>
          <t>€782k - Apartment Change of Use, Henry Street</t>
        </is>
      </c>
      <c r="D146" s="23" t="inlineStr">
        <is>
          <t>City Centre</t>
        </is>
      </c>
      <c r="E146" s="23" t="inlineStr">
        <is>
          <t>Other County Limerick</t>
        </is>
      </c>
      <c r="F146" s="23" t="inlineStr">
        <is>
          <t>City – outside audit land</t>
        </is>
      </c>
      <c r="G146" s="23" t="n"/>
      <c r="H146" s="23" t="inlineStr">
        <is>
          <t>Public – AHB</t>
        </is>
      </c>
      <c r="I146" s="23" t="inlineStr">
        <is>
          <t>Social</t>
        </is>
      </c>
      <c r="J146" s="23" t="inlineStr">
        <is>
          <t>Standard planning application</t>
        </is>
      </c>
      <c r="K146" s="23" t="inlineStr">
        <is>
          <t>Under construction</t>
        </is>
      </c>
      <c r="L146" s="23" t="inlineStr">
        <is>
          <t>On Site</t>
        </is>
      </c>
      <c r="M146" s="23" t="n">
        <v>5</v>
      </c>
      <c r="N146" s="23" t="n"/>
      <c r="O146" s="23" t="inlineStr">
        <is>
          <t>2019-10-30</t>
        </is>
      </c>
      <c r="P146" s="23" t="inlineStr">
        <is>
          <t>2021-03-22</t>
        </is>
      </c>
      <c r="Q146" s="23" t="inlineStr">
        <is>
          <t>2025-10-28</t>
        </is>
      </c>
      <c r="R146" s="23" t="inlineStr">
        <is>
          <t>2021 Q1</t>
        </is>
      </c>
      <c r="S146" s="23" t="inlineStr">
        <is>
          <t>2027 Q4</t>
        </is>
      </c>
      <c r="T146" s="23" t="inlineStr">
        <is>
          <t>High</t>
        </is>
      </c>
      <c r="U146" s="23" t="inlineStr">
        <is>
          <t>On site: started 2021-03</t>
        </is>
      </c>
      <c r="V146" s="23" t="n">
        <v>0</v>
      </c>
      <c r="W146" s="23" t="n">
        <v>1.2</v>
      </c>
      <c r="X146" s="23" t="n">
        <v>3.8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>
      <c r="A147" s="23" t="inlineStr">
        <is>
          <t>998747</t>
        </is>
      </c>
      <c r="B147" s="23" t="inlineStr">
        <is>
          <t>188007</t>
        </is>
      </c>
      <c r="C147" s="23" t="inlineStr">
        <is>
          <t xml:space="preserve">€8.9m - Residential Development </t>
        </is>
      </c>
      <c r="D147" s="23" t="inlineStr">
        <is>
          <t>Southhill</t>
        </is>
      </c>
      <c r="E147" s="23" t="inlineStr">
        <is>
          <t>Other County Limerick</t>
        </is>
      </c>
      <c r="F147" s="23" t="inlineStr">
        <is>
          <t>City – outside audit land</t>
        </is>
      </c>
      <c r="G147" s="23" t="n"/>
      <c r="H147" s="23" t="inlineStr">
        <is>
          <t>Public – local authority</t>
        </is>
      </c>
      <c r="I147" s="23" t="inlineStr">
        <is>
          <t>Social</t>
        </is>
      </c>
      <c r="J147" s="23" t="inlineStr">
        <is>
          <t>Part 8 / council</t>
        </is>
      </c>
      <c r="K147" s="23" t="inlineStr">
        <is>
          <t>Complete</t>
        </is>
      </c>
      <c r="L147" s="23" t="inlineStr">
        <is>
          <t>Complete</t>
        </is>
      </c>
      <c r="M147" s="23" t="n">
        <v>43</v>
      </c>
      <c r="N147" s="23" t="n"/>
      <c r="O147" s="23" t="inlineStr">
        <is>
          <t>2018-09-12</t>
        </is>
      </c>
      <c r="P147" s="23" t="inlineStr">
        <is>
          <t>2020-04-30</t>
        </is>
      </c>
      <c r="Q147" s="23" t="n"/>
      <c r="R147" s="23" t="n"/>
      <c r="S147" s="23" t="n"/>
      <c r="T147" s="23" t="inlineStr">
        <is>
          <t>Delivered</t>
        </is>
      </c>
      <c r="U147" s="23" t="inlineStr">
        <is>
          <t>Complete (CIS)</t>
        </is>
      </c>
      <c r="V147" s="23" t="n">
        <v>43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</row>
    <row r="148">
      <c r="A148" s="23" t="inlineStr">
        <is>
          <t>999956</t>
        </is>
      </c>
      <c r="B148" s="23" t="inlineStr">
        <is>
          <t>188008</t>
        </is>
      </c>
      <c r="C148" s="23" t="inlineStr">
        <is>
          <t>€7m - Residential Development, Condell Road</t>
        </is>
      </c>
      <c r="D148" s="23" t="inlineStr">
        <is>
          <t>Caherdavin</t>
        </is>
      </c>
      <c r="E148" s="23" t="inlineStr">
        <is>
          <t>Other County Limerick</t>
        </is>
      </c>
      <c r="F148" s="23" t="inlineStr">
        <is>
          <t>City – outside audit land</t>
        </is>
      </c>
      <c r="G148" s="23" t="n"/>
      <c r="H148" s="23" t="inlineStr">
        <is>
          <t>Public – local authority</t>
        </is>
      </c>
      <c r="I148" s="23" t="inlineStr">
        <is>
          <t>Social</t>
        </is>
      </c>
      <c r="J148" s="23" t="inlineStr">
        <is>
          <t>Part 8 / council</t>
        </is>
      </c>
      <c r="K148" s="23" t="inlineStr">
        <is>
          <t>Complete</t>
        </is>
      </c>
      <c r="L148" s="23" t="inlineStr">
        <is>
          <t>Complete</t>
        </is>
      </c>
      <c r="M148" s="23" t="n">
        <v>43</v>
      </c>
      <c r="N148" s="23" t="n"/>
      <c r="O148" s="23" t="inlineStr">
        <is>
          <t>2018-09-12</t>
        </is>
      </c>
      <c r="P148" s="23" t="inlineStr">
        <is>
          <t>2019-09-24</t>
        </is>
      </c>
      <c r="Q148" s="23" t="n"/>
      <c r="R148" s="23" t="n"/>
      <c r="S148" s="23" t="n"/>
      <c r="T148" s="23" t="inlineStr">
        <is>
          <t>Delivered</t>
        </is>
      </c>
      <c r="U148" s="23" t="inlineStr">
        <is>
          <t>Complete (CIS)</t>
        </is>
      </c>
      <c r="V148" s="23" t="n">
        <v>43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>
      <c r="A149" s="23" t="inlineStr">
        <is>
          <t>1050624</t>
        </is>
      </c>
      <c r="B149" s="23" t="inlineStr">
        <is>
          <t>198003</t>
        </is>
      </c>
      <c r="C149" s="23" t="inlineStr">
        <is>
          <t>€3.9m - Residential Development, Moyross</t>
        </is>
      </c>
      <c r="D149" s="23" t="inlineStr">
        <is>
          <t>Caherdavin</t>
        </is>
      </c>
      <c r="E149" s="23" t="inlineStr">
        <is>
          <t>Other County Limerick</t>
        </is>
      </c>
      <c r="F149" s="23" t="inlineStr">
        <is>
          <t>City – outside audit land</t>
        </is>
      </c>
      <c r="G149" s="23" t="n"/>
      <c r="H149" s="23" t="inlineStr">
        <is>
          <t>Public – local authority</t>
        </is>
      </c>
      <c r="I149" s="23" t="inlineStr">
        <is>
          <t>Social</t>
        </is>
      </c>
      <c r="J149" s="23" t="inlineStr">
        <is>
          <t>Part 8 / council</t>
        </is>
      </c>
      <c r="K149" s="23" t="inlineStr">
        <is>
          <t>Under construction</t>
        </is>
      </c>
      <c r="L149" s="23" t="inlineStr">
        <is>
          <t>On Site</t>
        </is>
      </c>
      <c r="M149" s="23" t="n">
        <v>27</v>
      </c>
      <c r="N149" s="23" t="n"/>
      <c r="O149" s="23" t="inlineStr">
        <is>
          <t>2019-09-10</t>
        </is>
      </c>
      <c r="P149" s="23" t="inlineStr">
        <is>
          <t>2022-07-18</t>
        </is>
      </c>
      <c r="Q149" s="23" t="n"/>
      <c r="R149" s="23" t="inlineStr">
        <is>
          <t>2022 Q3</t>
        </is>
      </c>
      <c r="S149" s="23" t="inlineStr">
        <is>
          <t>2027 Q4</t>
        </is>
      </c>
      <c r="T149" s="23" t="inlineStr">
        <is>
          <t>High</t>
        </is>
      </c>
      <c r="U149" s="23" t="inlineStr">
        <is>
          <t>On site: started 2022-07</t>
        </is>
      </c>
      <c r="V149" s="23" t="n">
        <v>0</v>
      </c>
      <c r="W149" s="23" t="n">
        <v>6.3</v>
      </c>
      <c r="X149" s="23" t="n">
        <v>20.7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</row>
    <row r="150">
      <c r="A150" s="23" t="inlineStr">
        <is>
          <t>1054214</t>
        </is>
      </c>
      <c r="B150" s="23" t="inlineStr">
        <is>
          <t>198004</t>
        </is>
      </c>
      <c r="C150" s="23" t="inlineStr">
        <is>
          <t>€6m - Residential Development, King's Island</t>
        </is>
      </c>
      <c r="D150" s="23" t="inlineStr">
        <is>
          <t>Kings Island</t>
        </is>
      </c>
      <c r="E150" s="23" t="inlineStr">
        <is>
          <t>Other County Limerick</t>
        </is>
      </c>
      <c r="F150" s="23" t="inlineStr">
        <is>
          <t>City – outside audit land</t>
        </is>
      </c>
      <c r="G150" s="23" t="n"/>
      <c r="H150" s="23" t="inlineStr">
        <is>
          <t>Public – local authority</t>
        </is>
      </c>
      <c r="I150" s="23" t="inlineStr">
        <is>
          <t>Social</t>
        </is>
      </c>
      <c r="J150" s="23" t="inlineStr">
        <is>
          <t>Part 8 / council</t>
        </is>
      </c>
      <c r="K150" s="23" t="inlineStr">
        <is>
          <t>Not started – permission live</t>
        </is>
      </c>
      <c r="L150" s="23" t="inlineStr">
        <is>
          <t>Permission Granted</t>
        </is>
      </c>
      <c r="M150" s="23" t="n">
        <v>27</v>
      </c>
      <c r="N150" s="23" t="n"/>
      <c r="O150" s="23" t="inlineStr">
        <is>
          <t>2019-10-02</t>
        </is>
      </c>
      <c r="P150" s="23" t="n"/>
      <c r="Q150" s="23" t="n"/>
      <c r="R150" s="23" t="inlineStr">
        <is>
          <t>2027 Q3</t>
        </is>
      </c>
      <c r="S150" s="23" t="inlineStr">
        <is>
          <t>2029 Q1</t>
        </is>
      </c>
      <c r="T150" s="23" t="inlineStr">
        <is>
          <t>Low</t>
        </is>
      </c>
      <c r="U150" s="23" t="inlineStr">
        <is>
          <t>Permitted 2019-10, past typical start date with no commencement: start assumed in 9 months</t>
        </is>
      </c>
      <c r="V150" s="23" t="n">
        <v>0</v>
      </c>
      <c r="W150" s="23" t="n">
        <v>0</v>
      </c>
      <c r="X150" s="23" t="n">
        <v>0</v>
      </c>
      <c r="Y150" s="23" t="n">
        <v>20.5</v>
      </c>
      <c r="Z150" s="23" t="n">
        <v>6.5</v>
      </c>
      <c r="AA150" s="23" t="n">
        <v>0</v>
      </c>
      <c r="AB150" s="23" t="n">
        <v>0</v>
      </c>
      <c r="AC150" s="23" t="n">
        <v>0</v>
      </c>
    </row>
    <row r="151">
      <c r="A151" s="23" t="inlineStr">
        <is>
          <t>1422145</t>
        </is>
      </c>
      <c r="B151" s="23" t="inlineStr"/>
      <c r="C151" s="23" t="inlineStr">
        <is>
          <t>€719k - Architect Led Integrated Design Team Services for 23 Residential Units, Limerick</t>
        </is>
      </c>
      <c r="D151" s="23" t="inlineStr">
        <is>
          <t>Kings Island</t>
        </is>
      </c>
      <c r="E151" s="23" t="inlineStr">
        <is>
          <t>Limerick City and Suburbs</t>
        </is>
      </c>
      <c r="F151" s="23" t="inlineStr">
        <is>
          <t>City – outside audit land</t>
        </is>
      </c>
      <c r="G151" s="23" t="n"/>
      <c r="H151" s="23" t="inlineStr">
        <is>
          <t>Public – local authority</t>
        </is>
      </c>
      <c r="I151" s="23" t="inlineStr">
        <is>
          <t>Social</t>
        </is>
      </c>
      <c r="J151" s="23" t="inlineStr">
        <is>
          <t>Standard planning application</t>
        </is>
      </c>
      <c r="K151" s="23" t="inlineStr">
        <is>
          <t>Not started – permission live</t>
        </is>
      </c>
      <c r="L151" s="23" t="inlineStr">
        <is>
          <t>Contract Awarded</t>
        </is>
      </c>
      <c r="M151" s="23" t="n">
        <v>23</v>
      </c>
      <c r="N151" s="23" t="n"/>
      <c r="O151" s="23" t="n"/>
      <c r="P151" s="23" t="n"/>
      <c r="Q151" s="23" t="n"/>
      <c r="R151" s="23" t="inlineStr">
        <is>
          <t>2027 Q2</t>
        </is>
      </c>
      <c r="S151" s="23" t="inlineStr">
        <is>
          <t>2030 Q1</t>
        </is>
      </c>
      <c r="T151" s="23" t="inlineStr">
        <is>
          <t>Medium</t>
        </is>
      </c>
      <c r="U151" s="23" t="inlineStr">
        <is>
          <t>Contract Awarded (CIS): start assumed within 6 months</t>
        </is>
      </c>
      <c r="V151" s="23" t="n">
        <v>0</v>
      </c>
      <c r="W151" s="23" t="n">
        <v>0</v>
      </c>
      <c r="X151" s="23" t="n">
        <v>0</v>
      </c>
      <c r="Y151" s="23" t="n">
        <v>9.6</v>
      </c>
      <c r="Z151" s="23" t="n">
        <v>13.1</v>
      </c>
      <c r="AA151" s="23" t="n">
        <v>0.3</v>
      </c>
      <c r="AB151" s="23" t="n">
        <v>0</v>
      </c>
      <c r="AC151" s="23" t="n">
        <v>0</v>
      </c>
    </row>
    <row r="152">
      <c r="A152" s="23" t="inlineStr">
        <is>
          <t>1412942</t>
        </is>
      </c>
      <c r="B152" s="23" t="inlineStr">
        <is>
          <t>PT8LL283</t>
        </is>
      </c>
      <c r="C152" s="23" t="inlineStr">
        <is>
          <t>€5.4m - Cosgrave Park Phase 2, Moyross</t>
        </is>
      </c>
      <c r="D152" s="23" t="inlineStr">
        <is>
          <t>Caherdavin</t>
        </is>
      </c>
      <c r="E152" s="23" t="inlineStr">
        <is>
          <t>Limerick City and Suburbs</t>
        </is>
      </c>
      <c r="F152" s="23" t="inlineStr">
        <is>
          <t>City – outside audit land</t>
        </is>
      </c>
      <c r="G152" s="23" t="n"/>
      <c r="H152" s="23" t="inlineStr">
        <is>
          <t>Public – local authority</t>
        </is>
      </c>
      <c r="I152" s="23" t="inlineStr">
        <is>
          <t>Social</t>
        </is>
      </c>
      <c r="J152" s="23" t="inlineStr">
        <is>
          <t>Part 8 / council</t>
        </is>
      </c>
      <c r="K152" s="23" t="inlineStr">
        <is>
          <t>In planning</t>
        </is>
      </c>
      <c r="L152" s="23" t="inlineStr">
        <is>
          <t>Plans Submitted</t>
        </is>
      </c>
      <c r="M152" s="23" t="n">
        <v>22</v>
      </c>
      <c r="N152" s="23" t="n"/>
      <c r="O152" s="23" t="n"/>
      <c r="P152" s="23" t="n"/>
      <c r="Q152" s="23" t="n"/>
      <c r="R152" s="23" t="n"/>
      <c r="S152" s="23" t="n"/>
      <c r="T152" s="23" t="inlineStr">
        <is>
          <t>Not projected</t>
        </is>
      </c>
      <c r="U152" s="23" t="inlineStr">
        <is>
          <t>Not yet decided – not projected</t>
        </is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22</v>
      </c>
    </row>
    <row r="153">
      <c r="A153" s="23" t="inlineStr">
        <is>
          <t>1371977</t>
        </is>
      </c>
      <c r="B153" s="23" t="inlineStr">
        <is>
          <t>Part 8 - 1371977</t>
        </is>
      </c>
      <c r="C153" s="23" t="inlineStr">
        <is>
          <t>€3.4m - Residential Development</t>
        </is>
      </c>
      <c r="D153" s="23" t="inlineStr">
        <is>
          <t>Dooradoyle</t>
        </is>
      </c>
      <c r="E153" s="23" t="inlineStr">
        <is>
          <t>Limerick City and Suburbs</t>
        </is>
      </c>
      <c r="F153" s="23" t="inlineStr">
        <is>
          <t>City – outside audit land</t>
        </is>
      </c>
      <c r="G153" s="23" t="n"/>
      <c r="H153" s="23" t="inlineStr">
        <is>
          <t>Public – local authority</t>
        </is>
      </c>
      <c r="I153" s="23" t="inlineStr">
        <is>
          <t>Social</t>
        </is>
      </c>
      <c r="J153" s="23" t="inlineStr">
        <is>
          <t>Part 8 / council</t>
        </is>
      </c>
      <c r="K153" s="23" t="inlineStr">
        <is>
          <t>Not started – permission live</t>
        </is>
      </c>
      <c r="L153" s="23" t="inlineStr">
        <is>
          <t>Permission Granted</t>
        </is>
      </c>
      <c r="M153" s="23" t="n">
        <v>20</v>
      </c>
      <c r="N153" s="23" t="n"/>
      <c r="O153" s="23" t="inlineStr">
        <is>
          <t>2025-01-20</t>
        </is>
      </c>
      <c r="P153" s="23" t="n"/>
      <c r="Q153" s="23" t="n"/>
      <c r="R153" s="23" t="inlineStr">
        <is>
          <t>2027 Q3</t>
        </is>
      </c>
      <c r="S153" s="23" t="inlineStr">
        <is>
          <t>2029 Q4</t>
        </is>
      </c>
      <c r="T153" s="23" t="inlineStr">
        <is>
          <t>Low</t>
        </is>
      </c>
      <c r="U153" s="23" t="inlineStr">
        <is>
          <t>Permitted 2025-01, past typical start date with no commencement: start assumed in 9 months</t>
        </is>
      </c>
      <c r="V153" s="23" t="n">
        <v>0</v>
      </c>
      <c r="W153" s="23" t="n">
        <v>0</v>
      </c>
      <c r="X153" s="23" t="n">
        <v>0</v>
      </c>
      <c r="Y153" s="23" t="n">
        <v>6.9</v>
      </c>
      <c r="Z153" s="23" t="n">
        <v>13.1</v>
      </c>
      <c r="AA153" s="23" t="n">
        <v>0</v>
      </c>
      <c r="AB153" s="23" t="n">
        <v>0</v>
      </c>
      <c r="AC153" s="23" t="n">
        <v>0</v>
      </c>
    </row>
    <row r="154">
      <c r="A154" s="23" t="inlineStr">
        <is>
          <t>1015932</t>
        </is>
      </c>
      <c r="B154" s="23" t="inlineStr">
        <is>
          <t>188014</t>
        </is>
      </c>
      <c r="C154" s="23" t="inlineStr">
        <is>
          <t>€1.7m - Residential Development, Rosbrien Road</t>
        </is>
      </c>
      <c r="D154" s="23" t="inlineStr">
        <is>
          <t>Ballinacurra</t>
        </is>
      </c>
      <c r="E154" s="23" t="inlineStr">
        <is>
          <t>Other County Limerick</t>
        </is>
      </c>
      <c r="F154" s="23" t="inlineStr">
        <is>
          <t>City – outside audit land</t>
        </is>
      </c>
      <c r="G154" s="23" t="n"/>
      <c r="H154" s="23" t="inlineStr">
        <is>
          <t>Public – local authority</t>
        </is>
      </c>
      <c r="I154" s="23" t="inlineStr">
        <is>
          <t>Social</t>
        </is>
      </c>
      <c r="J154" s="23" t="inlineStr">
        <is>
          <t>Part 8 / council</t>
        </is>
      </c>
      <c r="K154" s="23" t="inlineStr">
        <is>
          <t>Complete</t>
        </is>
      </c>
      <c r="L154" s="23" t="inlineStr">
        <is>
          <t>Complete</t>
        </is>
      </c>
      <c r="M154" s="23" t="n">
        <v>17</v>
      </c>
      <c r="N154" s="23" t="n"/>
      <c r="O154" s="23" t="inlineStr">
        <is>
          <t>2018-12-11</t>
        </is>
      </c>
      <c r="P154" s="23" t="inlineStr">
        <is>
          <t>2020-11-06</t>
        </is>
      </c>
      <c r="Q154" s="23" t="n"/>
      <c r="R154" s="23" t="n"/>
      <c r="S154" s="23" t="n"/>
      <c r="T154" s="23" t="inlineStr">
        <is>
          <t>Delivered</t>
        </is>
      </c>
      <c r="U154" s="23" t="inlineStr">
        <is>
          <t>Complete (CIS)</t>
        </is>
      </c>
      <c r="V154" s="23" t="n">
        <v>17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>
      <c r="A155" s="23" t="inlineStr">
        <is>
          <t>1363543</t>
        </is>
      </c>
      <c r="B155" s="23" t="inlineStr">
        <is>
          <t>Part 8 - 1363543</t>
        </is>
      </c>
      <c r="C155" s="23" t="inlineStr">
        <is>
          <t>€4m - Housing Development</t>
        </is>
      </c>
      <c r="D155" s="23" t="inlineStr">
        <is>
          <t>Southhill</t>
        </is>
      </c>
      <c r="E155" s="23" t="inlineStr">
        <is>
          <t>Other County Limerick</t>
        </is>
      </c>
      <c r="F155" s="23" t="inlineStr">
        <is>
          <t>City – outside audit land</t>
        </is>
      </c>
      <c r="G155" s="23" t="n"/>
      <c r="H155" s="23" t="inlineStr">
        <is>
          <t>Public – local authority</t>
        </is>
      </c>
      <c r="I155" s="23" t="inlineStr">
        <is>
          <t>Social</t>
        </is>
      </c>
      <c r="J155" s="23" t="inlineStr">
        <is>
          <t>Part 8 / council</t>
        </is>
      </c>
      <c r="K155" s="23" t="inlineStr">
        <is>
          <t>Complete</t>
        </is>
      </c>
      <c r="L155" s="23" t="inlineStr">
        <is>
          <t>Complete</t>
        </is>
      </c>
      <c r="M155" s="23" t="n">
        <v>14</v>
      </c>
      <c r="N155" s="23" t="n"/>
      <c r="O155" s="23" t="inlineStr">
        <is>
          <t>2024-05-01</t>
        </is>
      </c>
      <c r="P155" s="23" t="inlineStr">
        <is>
          <t>2024-08-23</t>
        </is>
      </c>
      <c r="Q155" s="23" t="n"/>
      <c r="R155" s="23" t="n"/>
      <c r="S155" s="23" t="n"/>
      <c r="T155" s="23" t="inlineStr">
        <is>
          <t>Delivered</t>
        </is>
      </c>
      <c r="U155" s="23" t="inlineStr">
        <is>
          <t>Complete (CIS)</t>
        </is>
      </c>
      <c r="V155" s="23" t="n">
        <v>14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</row>
    <row r="156">
      <c r="A156" s="23" t="inlineStr">
        <is>
          <t>1265040</t>
        </is>
      </c>
      <c r="B156" s="23" t="inlineStr">
        <is>
          <t>228023</t>
        </is>
      </c>
      <c r="C156" s="23" t="inlineStr">
        <is>
          <t>€5.45m - Apartment Development, Limerick</t>
        </is>
      </c>
      <c r="D156" s="23" t="inlineStr">
        <is>
          <t>City Centre</t>
        </is>
      </c>
      <c r="E156" s="23" t="inlineStr">
        <is>
          <t>Other County Limerick</t>
        </is>
      </c>
      <c r="F156" s="23" t="inlineStr">
        <is>
          <t>City – outside audit land</t>
        </is>
      </c>
      <c r="G156" s="23" t="n"/>
      <c r="H156" s="23" t="inlineStr">
        <is>
          <t>Public – local authority</t>
        </is>
      </c>
      <c r="I156" s="23" t="inlineStr">
        <is>
          <t>Social</t>
        </is>
      </c>
      <c r="J156" s="23" t="inlineStr">
        <is>
          <t>Part 8 / council</t>
        </is>
      </c>
      <c r="K156" s="23" t="inlineStr">
        <is>
          <t>Under construction</t>
        </is>
      </c>
      <c r="L156" s="23" t="inlineStr">
        <is>
          <t>On Site</t>
        </is>
      </c>
      <c r="M156" s="23" t="n">
        <v>13</v>
      </c>
      <c r="N156" s="23" t="n"/>
      <c r="O156" s="23" t="inlineStr">
        <is>
          <t>2023-03-20</t>
        </is>
      </c>
      <c r="P156" s="23" t="inlineStr">
        <is>
          <t>2026-02-09</t>
        </is>
      </c>
      <c r="Q156" s="23" t="n"/>
      <c r="R156" s="23" t="inlineStr">
        <is>
          <t>2026 Q1</t>
        </is>
      </c>
      <c r="S156" s="23" t="inlineStr">
        <is>
          <t>2028 Q1</t>
        </is>
      </c>
      <c r="T156" s="23" t="inlineStr">
        <is>
          <t>High</t>
        </is>
      </c>
      <c r="U156" s="23" t="inlineStr">
        <is>
          <t>On site: started 2026-02</t>
        </is>
      </c>
      <c r="V156" s="23" t="n">
        <v>0</v>
      </c>
      <c r="W156" s="23" t="n">
        <v>0</v>
      </c>
      <c r="X156" s="23" t="n">
        <v>13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</row>
    <row r="157">
      <c r="A157" s="23" t="inlineStr">
        <is>
          <t>1431510</t>
        </is>
      </c>
      <c r="B157" s="23" t="inlineStr">
        <is>
          <t>268371</t>
        </is>
      </c>
      <c r="C157" s="23" t="inlineStr">
        <is>
          <t>€3.2m - Residential Development, Thomondgate</t>
        </is>
      </c>
      <c r="D157" s="23" t="inlineStr">
        <is>
          <t>City Centre</t>
        </is>
      </c>
      <c r="E157" s="23" t="inlineStr">
        <is>
          <t>Limerick City and Suburbs</t>
        </is>
      </c>
      <c r="F157" s="23" t="inlineStr">
        <is>
          <t>City – outside audit land</t>
        </is>
      </c>
      <c r="G157" s="23" t="n"/>
      <c r="H157" s="23" t="inlineStr">
        <is>
          <t>Public – local authority</t>
        </is>
      </c>
      <c r="I157" s="23" t="inlineStr">
        <is>
          <t>Social</t>
        </is>
      </c>
      <c r="J157" s="23" t="inlineStr">
        <is>
          <t>Part 8 / council</t>
        </is>
      </c>
      <c r="K157" s="23" t="inlineStr">
        <is>
          <t>In planning</t>
        </is>
      </c>
      <c r="L157" s="23" t="inlineStr">
        <is>
          <t>Plans Submitted</t>
        </is>
      </c>
      <c r="M157" s="23" t="n">
        <v>13</v>
      </c>
      <c r="N157" s="23" t="n"/>
      <c r="O157" s="23" t="n"/>
      <c r="P157" s="23" t="n"/>
      <c r="Q157" s="23" t="n"/>
      <c r="R157" s="23" t="n"/>
      <c r="S157" s="23" t="n"/>
      <c r="T157" s="23" t="inlineStr">
        <is>
          <t>Not projected</t>
        </is>
      </c>
      <c r="U157" s="23" t="inlineStr">
        <is>
          <t>Not yet decided – not projected</t>
        </is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13</v>
      </c>
    </row>
    <row r="158">
      <c r="A158" s="23" t="inlineStr">
        <is>
          <t>1433772</t>
        </is>
      </c>
      <c r="B158" s="23" t="inlineStr">
        <is>
          <t>Part 8-  26255726</t>
        </is>
      </c>
      <c r="C158" s="23" t="inlineStr">
        <is>
          <t>€3m - Part 8 Residential Development, Limerick</t>
        </is>
      </c>
      <c r="D158" s="23" t="inlineStr">
        <is>
          <t>City Centre</t>
        </is>
      </c>
      <c r="E158" s="23" t="inlineStr">
        <is>
          <t>Limerick City and Suburbs</t>
        </is>
      </c>
      <c r="F158" s="23" t="inlineStr">
        <is>
          <t>City – outside audit land</t>
        </is>
      </c>
      <c r="G158" s="23" t="n"/>
      <c r="H158" s="23" t="inlineStr">
        <is>
          <t>Public – local authority</t>
        </is>
      </c>
      <c r="I158" s="23" t="inlineStr">
        <is>
          <t>Social</t>
        </is>
      </c>
      <c r="J158" s="23" t="inlineStr">
        <is>
          <t>Part 8 / council</t>
        </is>
      </c>
      <c r="K158" s="23" t="inlineStr">
        <is>
          <t>In planning</t>
        </is>
      </c>
      <c r="L158" s="23" t="inlineStr">
        <is>
          <t>Plans Submitted</t>
        </is>
      </c>
      <c r="M158" s="23" t="n">
        <v>13</v>
      </c>
      <c r="N158" s="23" t="n"/>
      <c r="O158" s="23" t="n"/>
      <c r="P158" s="23" t="n"/>
      <c r="Q158" s="23" t="n"/>
      <c r="R158" s="23" t="n"/>
      <c r="S158" s="23" t="n"/>
      <c r="T158" s="23" t="inlineStr">
        <is>
          <t>Not projected</t>
        </is>
      </c>
      <c r="U158" s="23" t="inlineStr">
        <is>
          <t>Not yet decided – not projected</t>
        </is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13</v>
      </c>
    </row>
    <row r="159">
      <c r="A159" s="23" t="inlineStr">
        <is>
          <t>1419395</t>
        </is>
      </c>
      <c r="B159" s="23" t="inlineStr"/>
      <c r="C159" s="23" t="inlineStr">
        <is>
          <t>€2.1m - Part 8 Residential Development, Limerick</t>
        </is>
      </c>
      <c r="D159" s="23" t="inlineStr">
        <is>
          <t>Southhill</t>
        </is>
      </c>
      <c r="E159" s="23" t="inlineStr">
        <is>
          <t>Kilmallock</t>
        </is>
      </c>
      <c r="F159" s="23" t="inlineStr">
        <is>
          <t>City – outside audit land</t>
        </is>
      </c>
      <c r="G159" s="23" t="n"/>
      <c r="H159" s="23" t="inlineStr">
        <is>
          <t>Public – local authority</t>
        </is>
      </c>
      <c r="I159" s="23" t="inlineStr">
        <is>
          <t>Social</t>
        </is>
      </c>
      <c r="J159" s="23" t="inlineStr">
        <is>
          <t>Part 8 / council</t>
        </is>
      </c>
      <c r="K159" s="23" t="inlineStr">
        <is>
          <t>In planning</t>
        </is>
      </c>
      <c r="L159" s="23" t="inlineStr">
        <is>
          <t>Plans Submitted</t>
        </is>
      </c>
      <c r="M159" s="23" t="n">
        <v>12</v>
      </c>
      <c r="N159" s="23" t="n"/>
      <c r="O159" s="23" t="n"/>
      <c r="P159" s="23" t="n"/>
      <c r="Q159" s="23" t="n"/>
      <c r="R159" s="23" t="n"/>
      <c r="S159" s="23" t="n"/>
      <c r="T159" s="23" t="inlineStr">
        <is>
          <t>Not projected</t>
        </is>
      </c>
      <c r="U159" s="23" t="inlineStr">
        <is>
          <t>Not yet decided – not projected</t>
        </is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12</v>
      </c>
    </row>
    <row r="160">
      <c r="A160" s="23" t="inlineStr">
        <is>
          <t>REG-178001</t>
        </is>
      </c>
      <c r="B160" s="23" t="inlineStr">
        <is>
          <t>178001</t>
        </is>
      </c>
      <c r="C160" s="23" t="inlineStr">
        <is>
          <t>Part 8: (1)Provision of 7no. residential units, 2no. two storey and 5no. singl</t>
        </is>
      </c>
      <c r="D160" s="23" t="inlineStr">
        <is>
          <t>Singland/Garryowen</t>
        </is>
      </c>
      <c r="E160" s="23" t="inlineStr">
        <is>
          <t>Limerick City and Suburbs</t>
        </is>
      </c>
      <c r="F160" s="23" t="inlineStr">
        <is>
          <t>City – outside audit land</t>
        </is>
      </c>
      <c r="G160" s="23" t="n"/>
      <c r="H160" s="23" t="inlineStr">
        <is>
          <t>Public – local authority</t>
        </is>
      </c>
      <c r="I160" s="23" t="inlineStr">
        <is>
          <t>Social</t>
        </is>
      </c>
      <c r="J160" s="23" t="inlineStr">
        <is>
          <t>Part 8 / council</t>
        </is>
      </c>
      <c r="K160" s="23" t="inlineStr">
        <is>
          <t>Under construction</t>
        </is>
      </c>
      <c r="L160" s="23" t="inlineStr">
        <is>
          <t>Commenced (building control)</t>
        </is>
      </c>
      <c r="M160" s="23" t="n">
        <v>7</v>
      </c>
      <c r="N160" s="23" t="n"/>
      <c r="O160" s="23" t="n"/>
      <c r="P160" s="23" t="inlineStr">
        <is>
          <t>2018-09-24</t>
        </is>
      </c>
      <c r="Q160" s="23" t="n"/>
      <c r="R160" s="23" t="inlineStr">
        <is>
          <t>2018 Q3</t>
        </is>
      </c>
      <c r="S160" s="23" t="inlineStr">
        <is>
          <t>2027 Q4</t>
        </is>
      </c>
      <c r="T160" s="23" t="inlineStr">
        <is>
          <t>High</t>
        </is>
      </c>
      <c r="U160" s="23" t="inlineStr">
        <is>
          <t>On site: started 2018-09</t>
        </is>
      </c>
      <c r="V160" s="23" t="n">
        <v>0</v>
      </c>
      <c r="W160" s="23" t="n">
        <v>1.6</v>
      </c>
      <c r="X160" s="23" t="n">
        <v>5.4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>
      <c r="A161" s="23" t="inlineStr">
        <is>
          <t>REG-178012</t>
        </is>
      </c>
      <c r="B161" s="23" t="inlineStr">
        <is>
          <t>178012</t>
        </is>
      </c>
      <c r="C161" s="23" t="inlineStr">
        <is>
          <t>Part 8: (i) provision of 7 no. residential units (2 no. three-storey, 3 bedroo</t>
        </is>
      </c>
      <c r="D161" s="23" t="inlineStr">
        <is>
          <t>Singland/Garryowen</t>
        </is>
      </c>
      <c r="E161" s="23" t="inlineStr">
        <is>
          <t>Limerick City and Suburbs</t>
        </is>
      </c>
      <c r="F161" s="23" t="inlineStr">
        <is>
          <t>City – outside audit land</t>
        </is>
      </c>
      <c r="G161" s="23" t="n"/>
      <c r="H161" s="23" t="inlineStr">
        <is>
          <t>Public – local authority</t>
        </is>
      </c>
      <c r="I161" s="23" t="inlineStr">
        <is>
          <t>Social</t>
        </is>
      </c>
      <c r="J161" s="23" t="inlineStr">
        <is>
          <t>Part 8 / council</t>
        </is>
      </c>
      <c r="K161" s="23" t="inlineStr">
        <is>
          <t>Complete</t>
        </is>
      </c>
      <c r="L161" s="23" t="inlineStr">
        <is>
          <t>Complete</t>
        </is>
      </c>
      <c r="M161" s="23" t="n">
        <v>7</v>
      </c>
      <c r="N161" s="23" t="n"/>
      <c r="O161" s="23" t="n"/>
      <c r="P161" s="23" t="inlineStr">
        <is>
          <t>2024-12-31</t>
        </is>
      </c>
      <c r="Q161" s="23" t="n"/>
      <c r="R161" s="23" t="n"/>
      <c r="S161" s="23" t="n"/>
      <c r="T161" s="23" t="inlineStr">
        <is>
          <t>Delivered</t>
        </is>
      </c>
      <c r="U161" s="23" t="inlineStr">
        <is>
          <t>Complete (CIS)</t>
        </is>
      </c>
      <c r="V161" s="23" t="n">
        <v>7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>
      <c r="A162" s="23" t="inlineStr">
        <is>
          <t>1360553</t>
        </is>
      </c>
      <c r="B162" s="23" t="inlineStr">
        <is>
          <t>248132</t>
        </is>
      </c>
      <c r="C162" s="23" t="inlineStr">
        <is>
          <t>€1.4m - 6 Houses, Annacotty</t>
        </is>
      </c>
      <c r="D162" s="23" t="inlineStr">
        <is>
          <t>Castletroy/Annacotty</t>
        </is>
      </c>
      <c r="E162" s="23" t="inlineStr">
        <is>
          <t>Annacotty</t>
        </is>
      </c>
      <c r="F162" s="23" t="inlineStr">
        <is>
          <t>City – outside audit land</t>
        </is>
      </c>
      <c r="G162" s="23" t="n"/>
      <c r="H162" s="23" t="inlineStr">
        <is>
          <t>Public – local authority</t>
        </is>
      </c>
      <c r="I162" s="23" t="inlineStr">
        <is>
          <t>Social</t>
        </is>
      </c>
      <c r="J162" s="23" t="inlineStr">
        <is>
          <t>Part 8 / council</t>
        </is>
      </c>
      <c r="K162" s="23" t="inlineStr">
        <is>
          <t>Under construction</t>
        </is>
      </c>
      <c r="L162" s="23" t="inlineStr">
        <is>
          <t>On Site</t>
        </is>
      </c>
      <c r="M162" s="23" t="n">
        <v>6</v>
      </c>
      <c r="N162" s="23" t="n"/>
      <c r="O162" s="23" t="inlineStr">
        <is>
          <t>2024-12-04</t>
        </is>
      </c>
      <c r="P162" s="23" t="inlineStr">
        <is>
          <t>2026-05-13</t>
        </is>
      </c>
      <c r="Q162" s="23" t="n"/>
      <c r="R162" s="23" t="inlineStr">
        <is>
          <t>2026 Q2</t>
        </is>
      </c>
      <c r="S162" s="23" t="inlineStr">
        <is>
          <t>2028 Q1</t>
        </is>
      </c>
      <c r="T162" s="23" t="inlineStr">
        <is>
          <t>High</t>
        </is>
      </c>
      <c r="U162" s="23" t="inlineStr">
        <is>
          <t>On site: started 2026-05</t>
        </is>
      </c>
      <c r="V162" s="23" t="n">
        <v>0</v>
      </c>
      <c r="W162" s="23" t="n">
        <v>0</v>
      </c>
      <c r="X162" s="23" t="n">
        <v>4.7</v>
      </c>
      <c r="Y162" s="23" t="n">
        <v>1.3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>
      <c r="A163" s="23" t="inlineStr">
        <is>
          <t>1363541</t>
        </is>
      </c>
      <c r="B163" s="23" t="inlineStr">
        <is>
          <t>CE/2019/087</t>
        </is>
      </c>
      <c r="C163" s="23" t="inlineStr">
        <is>
          <t>€1.5m - Housing Development</t>
        </is>
      </c>
      <c r="D163" s="23" t="inlineStr">
        <is>
          <t>Caherdavin</t>
        </is>
      </c>
      <c r="E163" s="23" t="inlineStr">
        <is>
          <t>Other County Limerick</t>
        </is>
      </c>
      <c r="F163" s="23" t="inlineStr">
        <is>
          <t>City – outside audit land</t>
        </is>
      </c>
      <c r="G163" s="23" t="n"/>
      <c r="H163" s="23" t="inlineStr">
        <is>
          <t>Public – local authority</t>
        </is>
      </c>
      <c r="I163" s="23" t="inlineStr">
        <is>
          <t>Social</t>
        </is>
      </c>
      <c r="J163" s="23" t="inlineStr">
        <is>
          <t>Part 8 / council</t>
        </is>
      </c>
      <c r="K163" s="23" t="inlineStr">
        <is>
          <t>Complete</t>
        </is>
      </c>
      <c r="L163" s="23" t="inlineStr">
        <is>
          <t>Complete</t>
        </is>
      </c>
      <c r="M163" s="23" t="n">
        <v>6</v>
      </c>
      <c r="N163" s="23" t="n"/>
      <c r="O163" s="23" t="inlineStr">
        <is>
          <t>2024-05-04</t>
        </is>
      </c>
      <c r="P163" s="23" t="inlineStr">
        <is>
          <t>2024-08-19</t>
        </is>
      </c>
      <c r="Q163" s="23" t="n"/>
      <c r="R163" s="23" t="n"/>
      <c r="S163" s="23" t="n"/>
      <c r="T163" s="23" t="inlineStr">
        <is>
          <t>Delivered</t>
        </is>
      </c>
      <c r="U163" s="23" t="inlineStr">
        <is>
          <t>Complete (CIS)</t>
        </is>
      </c>
      <c r="V163" s="23" t="n">
        <v>6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</row>
    <row r="164">
      <c r="A164" s="23" t="inlineStr">
        <is>
          <t>1438136</t>
        </is>
      </c>
      <c r="B164" s="23" t="inlineStr">
        <is>
          <t>268364</t>
        </is>
      </c>
      <c r="C164" s="23" t="inlineStr">
        <is>
          <t>€883k - Part 8 - 6 Apartments, Corbally</t>
        </is>
      </c>
      <c r="D164" s="23" t="inlineStr">
        <is>
          <t>Corbally/Grove Island</t>
        </is>
      </c>
      <c r="E164" s="23" t="inlineStr">
        <is>
          <t>Limerick City and Suburbs</t>
        </is>
      </c>
      <c r="F164" s="23" t="inlineStr">
        <is>
          <t>City – outside audit land</t>
        </is>
      </c>
      <c r="G164" s="23" t="n"/>
      <c r="H164" s="23" t="inlineStr">
        <is>
          <t>Public – local authority</t>
        </is>
      </c>
      <c r="I164" s="23" t="inlineStr">
        <is>
          <t>Social</t>
        </is>
      </c>
      <c r="J164" s="23" t="inlineStr">
        <is>
          <t>Part 8 / council</t>
        </is>
      </c>
      <c r="K164" s="23" t="inlineStr">
        <is>
          <t>In planning</t>
        </is>
      </c>
      <c r="L164" s="23" t="inlineStr">
        <is>
          <t>Plans Submitted</t>
        </is>
      </c>
      <c r="M164" s="23" t="n">
        <v>6</v>
      </c>
      <c r="N164" s="23" t="n"/>
      <c r="O164" s="23" t="n"/>
      <c r="P164" s="23" t="n"/>
      <c r="Q164" s="23" t="n"/>
      <c r="R164" s="23" t="n"/>
      <c r="S164" s="23" t="n"/>
      <c r="T164" s="23" t="inlineStr">
        <is>
          <t>Not projected</t>
        </is>
      </c>
      <c r="U164" s="23" t="inlineStr">
        <is>
          <t>Not yet decided – not projected</t>
        </is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>
      <c r="A165" s="23" t="inlineStr">
        <is>
          <t>1439022</t>
        </is>
      </c>
      <c r="B165" s="23" t="inlineStr">
        <is>
          <t>268363</t>
        </is>
      </c>
      <c r="C165" s="23" t="inlineStr">
        <is>
          <t>€1.4m - 6 Houses, Caherdavin</t>
        </is>
      </c>
      <c r="D165" s="23" t="inlineStr">
        <is>
          <t>Caherdavin</t>
        </is>
      </c>
      <c r="E165" s="23" t="inlineStr">
        <is>
          <t>Limerick City and Suburbs</t>
        </is>
      </c>
      <c r="F165" s="23" t="inlineStr">
        <is>
          <t>City – outside audit land</t>
        </is>
      </c>
      <c r="G165" s="23" t="n"/>
      <c r="H165" s="23" t="inlineStr">
        <is>
          <t>Public – local authority</t>
        </is>
      </c>
      <c r="I165" s="23" t="inlineStr">
        <is>
          <t>Social</t>
        </is>
      </c>
      <c r="J165" s="23" t="inlineStr">
        <is>
          <t>Part 8 / council</t>
        </is>
      </c>
      <c r="K165" s="23" t="inlineStr">
        <is>
          <t>In planning</t>
        </is>
      </c>
      <c r="L165" s="23" t="inlineStr">
        <is>
          <t>Plans Submitted</t>
        </is>
      </c>
      <c r="M165" s="23" t="n">
        <v>6</v>
      </c>
      <c r="N165" s="23" t="n"/>
      <c r="O165" s="23" t="n"/>
      <c r="P165" s="23" t="n"/>
      <c r="Q165" s="23" t="n"/>
      <c r="R165" s="23" t="n"/>
      <c r="S165" s="23" t="n"/>
      <c r="T165" s="23" t="inlineStr">
        <is>
          <t>Not projected</t>
        </is>
      </c>
      <c r="U165" s="23" t="inlineStr">
        <is>
          <t>Not yet decided – not projected</t>
        </is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6</v>
      </c>
    </row>
    <row r="166">
      <c r="A166" s="23" t="inlineStr">
        <is>
          <t>999957</t>
        </is>
      </c>
      <c r="B166" s="23" t="inlineStr">
        <is>
          <t>188009</t>
        </is>
      </c>
      <c r="C166" s="23" t="inlineStr">
        <is>
          <t xml:space="preserve">€1.1m - Residential Units </t>
        </is>
      </c>
      <c r="D166" s="23" t="inlineStr">
        <is>
          <t>Caherdavin</t>
        </is>
      </c>
      <c r="E166" s="23" t="inlineStr">
        <is>
          <t>Other County Limerick</t>
        </is>
      </c>
      <c r="F166" s="23" t="inlineStr">
        <is>
          <t>City – outside audit land</t>
        </is>
      </c>
      <c r="G166" s="23" t="n"/>
      <c r="H166" s="23" t="inlineStr">
        <is>
          <t>Public – local authority</t>
        </is>
      </c>
      <c r="I166" s="23" t="inlineStr">
        <is>
          <t>Social</t>
        </is>
      </c>
      <c r="J166" s="23" t="inlineStr">
        <is>
          <t>Part 8 / council</t>
        </is>
      </c>
      <c r="K166" s="23" t="inlineStr">
        <is>
          <t>Complete</t>
        </is>
      </c>
      <c r="L166" s="23" t="inlineStr">
        <is>
          <t>Complete</t>
        </is>
      </c>
      <c r="M166" s="23" t="n">
        <v>5</v>
      </c>
      <c r="N166" s="23" t="n"/>
      <c r="O166" s="23" t="inlineStr">
        <is>
          <t>2018-08-31</t>
        </is>
      </c>
      <c r="P166" s="23" t="inlineStr">
        <is>
          <t>2020-07-20</t>
        </is>
      </c>
      <c r="Q166" s="23" t="n"/>
      <c r="R166" s="23" t="n"/>
      <c r="S166" s="23" t="n"/>
      <c r="T166" s="23" t="inlineStr">
        <is>
          <t>Delivered</t>
        </is>
      </c>
      <c r="U166" s="23" t="inlineStr">
        <is>
          <t>Complete (CIS)</t>
        </is>
      </c>
      <c r="V166" s="23" t="n">
        <v>5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>
      <c r="A167" s="23" t="inlineStr">
        <is>
          <t>REG-178015</t>
        </is>
      </c>
      <c r="B167" s="23" t="inlineStr">
        <is>
          <t>178015</t>
        </is>
      </c>
      <c r="C167" s="23" t="inlineStr">
        <is>
          <t>Part 8: provision of 5 no. residential terraced units (all two storey) and all</t>
        </is>
      </c>
      <c r="D167" s="23" t="inlineStr">
        <is>
          <t>Southhill</t>
        </is>
      </c>
      <c r="E167" s="23" t="inlineStr">
        <is>
          <t>Limerick City and Suburbs</t>
        </is>
      </c>
      <c r="F167" s="23" t="inlineStr">
        <is>
          <t>City – outside audit land</t>
        </is>
      </c>
      <c r="G167" s="23" t="n"/>
      <c r="H167" s="23" t="inlineStr">
        <is>
          <t>Public – local authority</t>
        </is>
      </c>
      <c r="I167" s="23" t="inlineStr">
        <is>
          <t>Social</t>
        </is>
      </c>
      <c r="J167" s="23" t="inlineStr">
        <is>
          <t>Part 8 / council</t>
        </is>
      </c>
      <c r="K167" s="23" t="inlineStr">
        <is>
          <t>Under construction</t>
        </is>
      </c>
      <c r="L167" s="23" t="inlineStr">
        <is>
          <t>Commenced (building control)</t>
        </is>
      </c>
      <c r="M167" s="23" t="n">
        <v>5</v>
      </c>
      <c r="N167" s="23" t="n"/>
      <c r="O167" s="23" t="n"/>
      <c r="P167" s="23" t="inlineStr">
        <is>
          <t>2019-01-07</t>
        </is>
      </c>
      <c r="Q167" s="23" t="n"/>
      <c r="R167" s="23" t="inlineStr">
        <is>
          <t>2019 Q1</t>
        </is>
      </c>
      <c r="S167" s="23" t="inlineStr">
        <is>
          <t>2027 Q4</t>
        </is>
      </c>
      <c r="T167" s="23" t="inlineStr">
        <is>
          <t>High</t>
        </is>
      </c>
      <c r="U167" s="23" t="inlineStr">
        <is>
          <t>On site: started 2019-01</t>
        </is>
      </c>
      <c r="V167" s="23" t="n">
        <v>0</v>
      </c>
      <c r="W167" s="23" t="n">
        <v>1.2</v>
      </c>
      <c r="X167" s="23" t="n">
        <v>3.8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</row>
    <row r="168">
      <c r="A168" s="23" t="inlineStr">
        <is>
          <t>REG-188004</t>
        </is>
      </c>
      <c r="B168" s="23" t="inlineStr">
        <is>
          <t>188004</t>
        </is>
      </c>
      <c r="C168" s="23" t="inlineStr">
        <is>
          <t>Part 8: (i) provision of 5 no. residential units (3 no. 2 bedroom houses and 2</t>
        </is>
      </c>
      <c r="D168" s="23" t="inlineStr">
        <is>
          <t>Caherdavin</t>
        </is>
      </c>
      <c r="E168" s="23" t="inlineStr">
        <is>
          <t>Limerick City and Suburbs</t>
        </is>
      </c>
      <c r="F168" s="23" t="inlineStr">
        <is>
          <t>City – outside audit land</t>
        </is>
      </c>
      <c r="G168" s="23" t="n"/>
      <c r="H168" s="23" t="inlineStr">
        <is>
          <t>Public – local authority</t>
        </is>
      </c>
      <c r="I168" s="23" t="inlineStr">
        <is>
          <t>Social</t>
        </is>
      </c>
      <c r="J168" s="23" t="inlineStr">
        <is>
          <t>Part 8 / council</t>
        </is>
      </c>
      <c r="K168" s="23" t="inlineStr">
        <is>
          <t>Not started – permission live</t>
        </is>
      </c>
      <c r="L168" s="23" t="inlineStr">
        <is>
          <t>Permission Granted</t>
        </is>
      </c>
      <c r="M168" s="23" t="n">
        <v>5</v>
      </c>
      <c r="N168" s="23" t="n"/>
      <c r="O168" s="23" t="inlineStr">
        <is>
          <t>2018-06-13</t>
        </is>
      </c>
      <c r="P168" s="23" t="n"/>
      <c r="Q168" s="23" t="n"/>
      <c r="R168" s="23" t="inlineStr">
        <is>
          <t>2027 Q3</t>
        </is>
      </c>
      <c r="S168" s="23" t="inlineStr">
        <is>
          <t>2029 Q2</t>
        </is>
      </c>
      <c r="T168" s="23" t="inlineStr">
        <is>
          <t>Low</t>
        </is>
      </c>
      <c r="U168" s="23" t="inlineStr">
        <is>
          <t>Permitted 2018-06, past typical start date with no commencement: start assumed in 9 months</t>
        </is>
      </c>
      <c r="V168" s="23" t="n">
        <v>0</v>
      </c>
      <c r="W168" s="23" t="n">
        <v>0</v>
      </c>
      <c r="X168" s="23" t="n">
        <v>0</v>
      </c>
      <c r="Y168" s="23" t="n">
        <v>3.2</v>
      </c>
      <c r="Z168" s="23" t="n">
        <v>1.8</v>
      </c>
      <c r="AA168" s="23" t="n">
        <v>0</v>
      </c>
      <c r="AB168" s="23" t="n">
        <v>0</v>
      </c>
      <c r="AC168" s="23" t="n">
        <v>0</v>
      </c>
    </row>
    <row r="169">
      <c r="A169" s="23" t="inlineStr">
        <is>
          <t>1250091</t>
        </is>
      </c>
      <c r="B169" s="23" t="inlineStr">
        <is>
          <t>22990</t>
        </is>
      </c>
      <c r="C169" s="23" t="inlineStr">
        <is>
          <t>€22m - Residential Development, Adare</t>
        </is>
      </c>
      <c r="D169" s="23" t="inlineStr">
        <is>
          <t>Outside city neighbourhoods</t>
        </is>
      </c>
      <c r="E169" s="23" t="inlineStr">
        <is>
          <t>Rathkeale</t>
        </is>
      </c>
      <c r="F169" s="23" t="inlineStr">
        <is>
          <t>County – audit not yet supplied</t>
        </is>
      </c>
      <c r="G169" s="23" t="n"/>
      <c r="H169" s="23" t="inlineStr">
        <is>
          <t>Private</t>
        </is>
      </c>
      <c r="I169" s="23" t="inlineStr">
        <is>
          <t>Market (incl. Part V)</t>
        </is>
      </c>
      <c r="J169" s="23" t="inlineStr">
        <is>
          <t>Standard planning application</t>
        </is>
      </c>
      <c r="K169" s="23" t="inlineStr">
        <is>
          <t>Not started – permission live</t>
        </is>
      </c>
      <c r="L169" s="23" t="inlineStr">
        <is>
          <t>Permission Granted</t>
        </is>
      </c>
      <c r="M169" s="23" t="n">
        <v>99</v>
      </c>
      <c r="N169" s="23" t="n"/>
      <c r="O169" s="23" t="inlineStr">
        <is>
          <t>2025-02-25</t>
        </is>
      </c>
      <c r="P169" s="23" t="n"/>
      <c r="Q169" s="23" t="inlineStr">
        <is>
          <t>2030-02-24</t>
        </is>
      </c>
      <c r="R169" s="23" t="inlineStr">
        <is>
          <t>2027 Q3</t>
        </is>
      </c>
      <c r="S169" s="23" t="inlineStr">
        <is>
          <t>2030 Q2</t>
        </is>
      </c>
      <c r="T169" s="23" t="inlineStr">
        <is>
          <t>Low</t>
        </is>
      </c>
      <c r="U169" s="23" t="inlineStr">
        <is>
          <t>Permitted 2025-02, past typical start date with no commencement: start assumed in 9 months</t>
        </is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>
      <c r="A170" s="23" t="inlineStr">
        <is>
          <t>1243349</t>
        </is>
      </c>
      <c r="B170" s="23" t="inlineStr">
        <is>
          <t>22840</t>
        </is>
      </c>
      <c r="C170" s="23" t="inlineStr">
        <is>
          <t>€21m - Residential Development, Newcastle West</t>
        </is>
      </c>
      <c r="D170" s="23" t="inlineStr">
        <is>
          <t>Outside city neighbourhoods</t>
        </is>
      </c>
      <c r="E170" s="23" t="inlineStr">
        <is>
          <t>Newcastle West</t>
        </is>
      </c>
      <c r="F170" s="23" t="inlineStr">
        <is>
          <t>County – audit not yet supplied</t>
        </is>
      </c>
      <c r="G170" s="23" t="n"/>
      <c r="H170" s="23" t="inlineStr">
        <is>
          <t>Private</t>
        </is>
      </c>
      <c r="I170" s="23" t="inlineStr">
        <is>
          <t>Market (incl. Part V)</t>
        </is>
      </c>
      <c r="J170" s="23" t="inlineStr">
        <is>
          <t>Standard planning application</t>
        </is>
      </c>
      <c r="K170" s="23" t="inlineStr">
        <is>
          <t>Under construction</t>
        </is>
      </c>
      <c r="L170" s="23" t="inlineStr">
        <is>
          <t>Part Complete</t>
        </is>
      </c>
      <c r="M170" s="23" t="n">
        <v>93</v>
      </c>
      <c r="N170" s="23" t="n"/>
      <c r="O170" s="23" t="inlineStr">
        <is>
          <t>2023-06-26</t>
        </is>
      </c>
      <c r="P170" s="23" t="inlineStr">
        <is>
          <t>2024-01-31</t>
        </is>
      </c>
      <c r="Q170" s="23" t="inlineStr">
        <is>
          <t>2028-06-25</t>
        </is>
      </c>
      <c r="R170" s="23" t="inlineStr">
        <is>
          <t>2024 Q1</t>
        </is>
      </c>
      <c r="S170" s="23" t="inlineStr">
        <is>
          <t>2027 Q4</t>
        </is>
      </c>
      <c r="T170" s="23" t="inlineStr">
        <is>
          <t>High</t>
        </is>
      </c>
      <c r="U170" s="23" t="inlineStr">
        <is>
          <t>On site: started 2024-01</t>
        </is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>
      <c r="A171" s="23" t="inlineStr">
        <is>
          <t>1316492</t>
        </is>
      </c>
      <c r="B171" s="23" t="inlineStr">
        <is>
          <t>2360794</t>
        </is>
      </c>
      <c r="C171" s="23" t="inlineStr">
        <is>
          <t>€15.3m - Residential Development, Bruff</t>
        </is>
      </c>
      <c r="D171" s="23" t="inlineStr">
        <is>
          <t>Outside city neighbourhoods</t>
        </is>
      </c>
      <c r="E171" s="23" t="inlineStr">
        <is>
          <t>Bruff</t>
        </is>
      </c>
      <c r="F171" s="23" t="inlineStr">
        <is>
          <t>County – audit not yet supplied</t>
        </is>
      </c>
      <c r="G171" s="23" t="n"/>
      <c r="H171" s="23" t="inlineStr">
        <is>
          <t>Private</t>
        </is>
      </c>
      <c r="I171" s="23" t="inlineStr">
        <is>
          <t>Market (incl. Part V)</t>
        </is>
      </c>
      <c r="J171" s="23" t="inlineStr">
        <is>
          <t>Standard planning application</t>
        </is>
      </c>
      <c r="K171" s="23" t="inlineStr">
        <is>
          <t>Not started – permission live</t>
        </is>
      </c>
      <c r="L171" s="23" t="inlineStr">
        <is>
          <t>Permission Granted</t>
        </is>
      </c>
      <c r="M171" s="23" t="n">
        <v>74</v>
      </c>
      <c r="N171" s="23" t="n"/>
      <c r="O171" s="23" t="inlineStr">
        <is>
          <t>2024-05-07</t>
        </is>
      </c>
      <c r="P171" s="23" t="n"/>
      <c r="Q171" s="23" t="inlineStr">
        <is>
          <t>2029-05-06</t>
        </is>
      </c>
      <c r="R171" s="23" t="inlineStr">
        <is>
          <t>2027 Q3</t>
        </is>
      </c>
      <c r="S171" s="23" t="inlineStr">
        <is>
          <t>2029 Q4</t>
        </is>
      </c>
      <c r="T171" s="23" t="inlineStr">
        <is>
          <t>Low</t>
        </is>
      </c>
      <c r="U171" s="23" t="inlineStr">
        <is>
          <t>Permitted 2024-05, past typical start date with no commencement: start assumed in 9 months</t>
        </is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>
      <c r="A172" s="23" t="inlineStr">
        <is>
          <t>1320420</t>
        </is>
      </c>
      <c r="B172" s="23" t="inlineStr">
        <is>
          <t>2360866</t>
        </is>
      </c>
      <c r="C172" s="23" t="inlineStr">
        <is>
          <t>€16.8m - Residential Development, Castleconnell</t>
        </is>
      </c>
      <c r="D172" s="23" t="inlineStr">
        <is>
          <t>Outside city neighbourhoods</t>
        </is>
      </c>
      <c r="E172" s="23" t="inlineStr">
        <is>
          <t>Castleconnell</t>
        </is>
      </c>
      <c r="F172" s="23" t="inlineStr">
        <is>
          <t>County – audit not yet supplied</t>
        </is>
      </c>
      <c r="G172" s="23" t="n"/>
      <c r="H172" s="23" t="inlineStr">
        <is>
          <t>Private</t>
        </is>
      </c>
      <c r="I172" s="23" t="inlineStr">
        <is>
          <t>Market (incl. Part V)</t>
        </is>
      </c>
      <c r="J172" s="23" t="inlineStr">
        <is>
          <t>Standard planning application</t>
        </is>
      </c>
      <c r="K172" s="23" t="inlineStr">
        <is>
          <t>Under construction</t>
        </is>
      </c>
      <c r="L172" s="23" t="inlineStr">
        <is>
          <t>On Site</t>
        </is>
      </c>
      <c r="M172" s="23" t="n">
        <v>74</v>
      </c>
      <c r="N172" s="23" t="n"/>
      <c r="O172" s="23" t="inlineStr">
        <is>
          <t>2024-06-12</t>
        </is>
      </c>
      <c r="P172" s="23" t="inlineStr">
        <is>
          <t>2024-12-31</t>
        </is>
      </c>
      <c r="Q172" s="23" t="inlineStr">
        <is>
          <t>2029-06-11</t>
        </is>
      </c>
      <c r="R172" s="23" t="inlineStr">
        <is>
          <t>2025 Q1</t>
        </is>
      </c>
      <c r="S172" s="23" t="inlineStr">
        <is>
          <t>2027 Q4</t>
        </is>
      </c>
      <c r="T172" s="23" t="inlineStr">
        <is>
          <t>High</t>
        </is>
      </c>
      <c r="U172" s="23" t="inlineStr">
        <is>
          <t>On site: started 2024-12</t>
        </is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>
      <c r="A173" s="23" t="inlineStr">
        <is>
          <t>1165485</t>
        </is>
      </c>
      <c r="B173" s="23" t="inlineStr">
        <is>
          <t>21594</t>
        </is>
      </c>
      <c r="C173" s="23" t="inlineStr">
        <is>
          <t xml:space="preserve">€11.3m - Residential Development </t>
        </is>
      </c>
      <c r="D173" s="23" t="inlineStr">
        <is>
          <t>Outside city neighbourhoods</t>
        </is>
      </c>
      <c r="E173" s="23" t="inlineStr">
        <is>
          <t>Abbeyfeale</t>
        </is>
      </c>
      <c r="F173" s="23" t="inlineStr">
        <is>
          <t>County – audit not yet supplied</t>
        </is>
      </c>
      <c r="G173" s="23" t="n"/>
      <c r="H173" s="23" t="inlineStr">
        <is>
          <t>Private</t>
        </is>
      </c>
      <c r="I173" s="23" t="inlineStr">
        <is>
          <t>Market (incl. Part V)</t>
        </is>
      </c>
      <c r="J173" s="23" t="inlineStr">
        <is>
          <t>Standard planning application</t>
        </is>
      </c>
      <c r="K173" s="23" t="inlineStr">
        <is>
          <t>Not started – permission live</t>
        </is>
      </c>
      <c r="L173" s="23" t="inlineStr">
        <is>
          <t>Contract Awarded</t>
        </is>
      </c>
      <c r="M173" s="23" t="n">
        <v>68</v>
      </c>
      <c r="N173" s="23" t="n"/>
      <c r="O173" s="23" t="inlineStr">
        <is>
          <t>2022-09-06</t>
        </is>
      </c>
      <c r="P173" s="23" t="n"/>
      <c r="Q173" s="23" t="inlineStr">
        <is>
          <t>2027-09-05</t>
        </is>
      </c>
      <c r="R173" s="23" t="inlineStr">
        <is>
          <t>2027 Q1</t>
        </is>
      </c>
      <c r="S173" s="23" t="inlineStr">
        <is>
          <t>2029 Q2</t>
        </is>
      </c>
      <c r="T173" s="23" t="inlineStr">
        <is>
          <t>Medium</t>
        </is>
      </c>
      <c r="U173" s="23" t="inlineStr">
        <is>
          <t>Contract Awarded (CIS): start assumed within 6 months</t>
        </is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>
      <c r="A174" s="23" t="inlineStr">
        <is>
          <t>1391914</t>
        </is>
      </c>
      <c r="B174" s="23" t="inlineStr">
        <is>
          <t>2560156</t>
        </is>
      </c>
      <c r="C174" s="23" t="inlineStr">
        <is>
          <t>€15.9m - Residential Development, Patrickswell</t>
        </is>
      </c>
      <c r="D174" s="23" t="inlineStr">
        <is>
          <t>Outside city neighbourhoods</t>
        </is>
      </c>
      <c r="E174" s="23" t="inlineStr">
        <is>
          <t>Patrickswell</t>
        </is>
      </c>
      <c r="F174" s="23" t="inlineStr">
        <is>
          <t>County – audit not yet supplied</t>
        </is>
      </c>
      <c r="G174" s="23" t="n"/>
      <c r="H174" s="23" t="inlineStr">
        <is>
          <t>Private</t>
        </is>
      </c>
      <c r="I174" s="23" t="inlineStr">
        <is>
          <t>Market (incl. Part V)</t>
        </is>
      </c>
      <c r="J174" s="23" t="inlineStr">
        <is>
          <t>Standard planning application</t>
        </is>
      </c>
      <c r="K174" s="23" t="inlineStr">
        <is>
          <t>Not started – permission live</t>
        </is>
      </c>
      <c r="L174" s="23" t="inlineStr">
        <is>
          <t>Permission Granted</t>
        </is>
      </c>
      <c r="M174" s="23" t="n">
        <v>63</v>
      </c>
      <c r="N174" s="23" t="n"/>
      <c r="O174" s="23" t="inlineStr">
        <is>
          <t>2025-11-11</t>
        </is>
      </c>
      <c r="P174" s="23" t="n"/>
      <c r="Q174" s="23" t="inlineStr">
        <is>
          <t>2030-11-10</t>
        </is>
      </c>
      <c r="R174" s="23" t="inlineStr">
        <is>
          <t>2027 Q3</t>
        </is>
      </c>
      <c r="S174" s="23" t="inlineStr">
        <is>
          <t>2029 Q4</t>
        </is>
      </c>
      <c r="T174" s="23" t="inlineStr">
        <is>
          <t>Low</t>
        </is>
      </c>
      <c r="U174" s="23" t="inlineStr">
        <is>
          <t>Permitted 2025-11, past typical start date with no commencement: start assumed in 9 months</t>
        </is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>
      <c r="A175" s="23" t="inlineStr">
        <is>
          <t>1163124</t>
        </is>
      </c>
      <c r="B175" s="23" t="inlineStr">
        <is>
          <t>21531</t>
        </is>
      </c>
      <c r="C175" s="23" t="inlineStr">
        <is>
          <t>€9.7m - Housing Development, Newcastle West</t>
        </is>
      </c>
      <c r="D175" s="23" t="inlineStr">
        <is>
          <t>Outside city neighbourhoods</t>
        </is>
      </c>
      <c r="E175" s="23" t="inlineStr">
        <is>
          <t>Newcastle West</t>
        </is>
      </c>
      <c r="F175" s="23" t="inlineStr">
        <is>
          <t>County – audit not yet supplied</t>
        </is>
      </c>
      <c r="G175" s="23" t="n"/>
      <c r="H175" s="23" t="inlineStr">
        <is>
          <t>Private</t>
        </is>
      </c>
      <c r="I175" s="23" t="inlineStr">
        <is>
          <t>Market (incl. Part V)</t>
        </is>
      </c>
      <c r="J175" s="23" t="inlineStr">
        <is>
          <t>Standard planning application</t>
        </is>
      </c>
      <c r="K175" s="23" t="inlineStr">
        <is>
          <t>Under construction</t>
        </is>
      </c>
      <c r="L175" s="23" t="inlineStr">
        <is>
          <t>Commencement Expected</t>
        </is>
      </c>
      <c r="M175" s="23" t="n">
        <v>61</v>
      </c>
      <c r="N175" s="23" t="n"/>
      <c r="O175" s="23" t="inlineStr">
        <is>
          <t>2022-05-03</t>
        </is>
      </c>
      <c r="P175" s="23" t="inlineStr">
        <is>
          <t>2022-09-16</t>
        </is>
      </c>
      <c r="Q175" s="23" t="inlineStr">
        <is>
          <t>2027-05-02</t>
        </is>
      </c>
      <c r="R175" s="23" t="inlineStr">
        <is>
          <t>2022 Q3</t>
        </is>
      </c>
      <c r="S175" s="23" t="inlineStr">
        <is>
          <t>2027 Q4</t>
        </is>
      </c>
      <c r="T175" s="23" t="inlineStr">
        <is>
          <t>High</t>
        </is>
      </c>
      <c r="U175" s="23" t="inlineStr">
        <is>
          <t>On site: started 2022-09</t>
        </is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>
      <c r="A176" s="23" t="inlineStr">
        <is>
          <t>1023413</t>
        </is>
      </c>
      <c r="B176" s="23" t="inlineStr">
        <is>
          <t>181193</t>
        </is>
      </c>
      <c r="C176" s="23" t="inlineStr">
        <is>
          <t>€9m - Housing Development</t>
        </is>
      </c>
      <c r="D176" s="23" t="inlineStr">
        <is>
          <t>Outside city neighbourhoods</t>
        </is>
      </c>
      <c r="E176" s="23" t="inlineStr">
        <is>
          <t>Patrickswell</t>
        </is>
      </c>
      <c r="F176" s="23" t="inlineStr">
        <is>
          <t>County – audit not yet supplied</t>
        </is>
      </c>
      <c r="G176" s="23" t="n"/>
      <c r="H176" s="23" t="inlineStr">
        <is>
          <t>Private</t>
        </is>
      </c>
      <c r="I176" s="23" t="inlineStr">
        <is>
          <t>Market (incl. Part V)</t>
        </is>
      </c>
      <c r="J176" s="23" t="inlineStr">
        <is>
          <t>Standard planning application</t>
        </is>
      </c>
      <c r="K176" s="23" t="inlineStr">
        <is>
          <t>Under construction</t>
        </is>
      </c>
      <c r="L176" s="23" t="inlineStr">
        <is>
          <t>Part Complete</t>
        </is>
      </c>
      <c r="M176" s="23" t="n">
        <v>58</v>
      </c>
      <c r="N176" s="23" t="n"/>
      <c r="O176" s="23" t="inlineStr">
        <is>
          <t>2019-05-28</t>
        </is>
      </c>
      <c r="P176" s="23" t="inlineStr">
        <is>
          <t>2024-04-24</t>
        </is>
      </c>
      <c r="Q176" s="23" t="inlineStr">
        <is>
          <t>2027-05-26</t>
        </is>
      </c>
      <c r="R176" s="23" t="inlineStr">
        <is>
          <t>2024 Q2</t>
        </is>
      </c>
      <c r="S176" s="23" t="inlineStr">
        <is>
          <t>2027 Q4</t>
        </is>
      </c>
      <c r="T176" s="23" t="inlineStr">
        <is>
          <t>High</t>
        </is>
      </c>
      <c r="U176" s="23" t="inlineStr">
        <is>
          <t>On site: started 2024-04</t>
        </is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>
      <c r="A177" s="23" t="inlineStr">
        <is>
          <t>1417511</t>
        </is>
      </c>
      <c r="B177" s="23" t="inlineStr">
        <is>
          <t>2561228</t>
        </is>
      </c>
      <c r="C177" s="23" t="inlineStr">
        <is>
          <t>€18.4m - Residential Development, Patrickswell</t>
        </is>
      </c>
      <c r="D177" s="23" t="inlineStr">
        <is>
          <t>Outside city neighbourhoods</t>
        </is>
      </c>
      <c r="E177" s="23" t="inlineStr">
        <is>
          <t>Patrickswell</t>
        </is>
      </c>
      <c r="F177" s="23" t="inlineStr">
        <is>
          <t>County – audit not yet supplied</t>
        </is>
      </c>
      <c r="G177" s="23" t="n"/>
      <c r="H177" s="23" t="inlineStr">
        <is>
          <t>Private</t>
        </is>
      </c>
      <c r="I177" s="23" t="inlineStr">
        <is>
          <t>Market (incl. Part V)</t>
        </is>
      </c>
      <c r="J177" s="23" t="inlineStr">
        <is>
          <t>Standard planning application</t>
        </is>
      </c>
      <c r="K177" s="23" t="inlineStr">
        <is>
          <t>Under construction</t>
        </is>
      </c>
      <c r="L177" s="23" t="inlineStr">
        <is>
          <t>On Site</t>
        </is>
      </c>
      <c r="M177" s="23" t="n">
        <v>54</v>
      </c>
      <c r="N177" s="23" t="n"/>
      <c r="O177" s="23" t="inlineStr">
        <is>
          <t>2026-05-06</t>
        </is>
      </c>
      <c r="P177" s="23" t="inlineStr">
        <is>
          <t>2026-07-14</t>
        </is>
      </c>
      <c r="Q177" s="23" t="inlineStr">
        <is>
          <t>2031-05-05</t>
        </is>
      </c>
      <c r="R177" s="23" t="inlineStr">
        <is>
          <t>2026 Q3</t>
        </is>
      </c>
      <c r="S177" s="23" t="inlineStr">
        <is>
          <t>2028 Q4</t>
        </is>
      </c>
      <c r="T177" s="23" t="inlineStr">
        <is>
          <t>High</t>
        </is>
      </c>
      <c r="U177" s="23" t="inlineStr">
        <is>
          <t>On site: started 2026-07</t>
        </is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>
      <c r="A178" s="23" t="inlineStr">
        <is>
          <t>1310783</t>
        </is>
      </c>
      <c r="B178" s="23" t="inlineStr">
        <is>
          <t>2360706</t>
        </is>
      </c>
      <c r="C178" s="23" t="inlineStr">
        <is>
          <t>€8.9m - Housing Development, Newcastle West</t>
        </is>
      </c>
      <c r="D178" s="23" t="inlineStr">
        <is>
          <t>Outside city neighbourhoods</t>
        </is>
      </c>
      <c r="E178" s="23" t="inlineStr">
        <is>
          <t>Newcastle West</t>
        </is>
      </c>
      <c r="F178" s="23" t="inlineStr">
        <is>
          <t>County – audit not yet supplied</t>
        </is>
      </c>
      <c r="G178" s="23" t="n"/>
      <c r="H178" s="23" t="inlineStr">
        <is>
          <t>Private</t>
        </is>
      </c>
      <c r="I178" s="23" t="inlineStr">
        <is>
          <t>Market (incl. Part V)</t>
        </is>
      </c>
      <c r="J178" s="23" t="inlineStr">
        <is>
          <t>Standard planning application</t>
        </is>
      </c>
      <c r="K178" s="23" t="inlineStr">
        <is>
          <t>Stalled (CIS)</t>
        </is>
      </c>
      <c r="L178" s="23" t="inlineStr">
        <is>
          <t>Stalled or Suspended</t>
        </is>
      </c>
      <c r="M178" s="23" t="n">
        <v>53</v>
      </c>
      <c r="N178" s="23" t="n"/>
      <c r="O178" s="23" t="inlineStr">
        <is>
          <t>2024-07-09</t>
        </is>
      </c>
      <c r="P178" s="23" t="n"/>
      <c r="Q178" s="23" t="inlineStr">
        <is>
          <t>2029-07-08</t>
        </is>
      </c>
      <c r="R178" s="23" t="n"/>
      <c r="S178" s="23" t="n"/>
      <c r="T178" s="23" t="inlineStr">
        <is>
          <t>Not projected</t>
        </is>
      </c>
      <c r="U178" s="23" t="inlineStr">
        <is>
          <t>Stalled – not projected</t>
        </is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>
      <c r="A179" s="23" t="inlineStr">
        <is>
          <t>1262614</t>
        </is>
      </c>
      <c r="B179" s="23" t="inlineStr">
        <is>
          <t>221318</t>
        </is>
      </c>
      <c r="C179" s="23" t="inlineStr">
        <is>
          <t>€10.9m - Residential Development, Patrickswell</t>
        </is>
      </c>
      <c r="D179" s="23" t="inlineStr">
        <is>
          <t>Outside city neighbourhoods</t>
        </is>
      </c>
      <c r="E179" s="23" t="inlineStr">
        <is>
          <t>Patrickswell</t>
        </is>
      </c>
      <c r="F179" s="23" t="inlineStr">
        <is>
          <t>County – audit not yet supplied</t>
        </is>
      </c>
      <c r="G179" s="23" t="n"/>
      <c r="H179" s="23" t="inlineStr">
        <is>
          <t>Private</t>
        </is>
      </c>
      <c r="I179" s="23" t="inlineStr">
        <is>
          <t>Market (incl. Part V)</t>
        </is>
      </c>
      <c r="J179" s="23" t="inlineStr">
        <is>
          <t>Standard planning application</t>
        </is>
      </c>
      <c r="K179" s="23" t="inlineStr">
        <is>
          <t>Under construction</t>
        </is>
      </c>
      <c r="L179" s="23" t="inlineStr">
        <is>
          <t>On Site</t>
        </is>
      </c>
      <c r="M179" s="23" t="n">
        <v>52</v>
      </c>
      <c r="N179" s="23" t="n"/>
      <c r="O179" s="23" t="inlineStr">
        <is>
          <t>2023-10-24</t>
        </is>
      </c>
      <c r="P179" s="23" t="inlineStr">
        <is>
          <t>2025-02-05</t>
        </is>
      </c>
      <c r="Q179" s="23" t="inlineStr">
        <is>
          <t>2028-10-23</t>
        </is>
      </c>
      <c r="R179" s="23" t="inlineStr">
        <is>
          <t>2025 Q1</t>
        </is>
      </c>
      <c r="S179" s="23" t="inlineStr">
        <is>
          <t>2027 Q4</t>
        </is>
      </c>
      <c r="T179" s="23" t="inlineStr">
        <is>
          <t>High</t>
        </is>
      </c>
      <c r="U179" s="23" t="inlineStr">
        <is>
          <t>On site: started 2025-02</t>
        </is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>
      <c r="A180" s="23" t="inlineStr">
        <is>
          <t>1049430</t>
        </is>
      </c>
      <c r="B180" s="23" t="inlineStr">
        <is>
          <t>19518</t>
        </is>
      </c>
      <c r="C180" s="23" t="inlineStr">
        <is>
          <t>€11m - Mixed Use Development, Castleconnell</t>
        </is>
      </c>
      <c r="D180" s="23" t="inlineStr">
        <is>
          <t>Outside city neighbourhoods</t>
        </is>
      </c>
      <c r="E180" s="23" t="inlineStr">
        <is>
          <t>Castleconnell</t>
        </is>
      </c>
      <c r="F180" s="23" t="inlineStr">
        <is>
          <t>County – audit not yet supplied</t>
        </is>
      </c>
      <c r="G180" s="23" t="n"/>
      <c r="H180" s="23" t="inlineStr">
        <is>
          <t>Private</t>
        </is>
      </c>
      <c r="I180" s="23" t="inlineStr">
        <is>
          <t>Market (incl. Part V)</t>
        </is>
      </c>
      <c r="J180" s="23" t="inlineStr">
        <is>
          <t>Standard planning application</t>
        </is>
      </c>
      <c r="K180" s="23" t="inlineStr">
        <is>
          <t>Under construction</t>
        </is>
      </c>
      <c r="L180" s="23" t="inlineStr">
        <is>
          <t>On Site</t>
        </is>
      </c>
      <c r="M180" s="23" t="n">
        <v>51</v>
      </c>
      <c r="N180" s="23" t="n"/>
      <c r="O180" s="23" t="inlineStr">
        <is>
          <t>2020-12-21</t>
        </is>
      </c>
      <c r="P180" s="23" t="inlineStr">
        <is>
          <t>2022-01-14</t>
        </is>
      </c>
      <c r="Q180" s="23" t="inlineStr">
        <is>
          <t>2025-12-20</t>
        </is>
      </c>
      <c r="R180" s="23" t="inlineStr">
        <is>
          <t>2022 Q1</t>
        </is>
      </c>
      <c r="S180" s="23" t="inlineStr">
        <is>
          <t>2027 Q4</t>
        </is>
      </c>
      <c r="T180" s="23" t="inlineStr">
        <is>
          <t>High</t>
        </is>
      </c>
      <c r="U180" s="23" t="inlineStr">
        <is>
          <t>On site: started 2022-01</t>
        </is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>
      <c r="A181" s="23" t="inlineStr">
        <is>
          <t>1166991</t>
        </is>
      </c>
      <c r="B181" s="23" t="inlineStr">
        <is>
          <t>21630</t>
        </is>
      </c>
      <c r="C181" s="23" t="inlineStr">
        <is>
          <t>€10.8m - Residential Development, Croom</t>
        </is>
      </c>
      <c r="D181" s="23" t="inlineStr">
        <is>
          <t>Outside city neighbourhoods</t>
        </is>
      </c>
      <c r="E181" s="23" t="inlineStr">
        <is>
          <t>Other County Limerick</t>
        </is>
      </c>
      <c r="F181" s="23" t="inlineStr">
        <is>
          <t>County – audit not yet supplied</t>
        </is>
      </c>
      <c r="G181" s="23" t="n"/>
      <c r="H181" s="23" t="inlineStr">
        <is>
          <t>Private</t>
        </is>
      </c>
      <c r="I181" s="23" t="inlineStr">
        <is>
          <t>Market (incl. Part V)</t>
        </is>
      </c>
      <c r="J181" s="23" t="inlineStr">
        <is>
          <t>Standard planning application</t>
        </is>
      </c>
      <c r="K181" s="23" t="inlineStr">
        <is>
          <t>Not started – permission live</t>
        </is>
      </c>
      <c r="L181" s="23" t="inlineStr">
        <is>
          <t>Contract Awarded</t>
        </is>
      </c>
      <c r="M181" s="23" t="n">
        <v>51</v>
      </c>
      <c r="N181" s="23" t="n"/>
      <c r="O181" s="23" t="inlineStr">
        <is>
          <t>2022-05-12</t>
        </is>
      </c>
      <c r="P181" s="23" t="n"/>
      <c r="Q181" s="23" t="inlineStr">
        <is>
          <t>2027-05-11</t>
        </is>
      </c>
      <c r="R181" s="23" t="inlineStr">
        <is>
          <t>2027 Q1</t>
        </is>
      </c>
      <c r="S181" s="23" t="inlineStr">
        <is>
          <t>2029 Q2</t>
        </is>
      </c>
      <c r="T181" s="23" t="inlineStr">
        <is>
          <t>Medium</t>
        </is>
      </c>
      <c r="U181" s="23" t="inlineStr">
        <is>
          <t>Contract Awarded (CIS): start assumed within 6 months</t>
        </is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>
      <c r="A182" s="23" t="inlineStr">
        <is>
          <t>979081</t>
        </is>
      </c>
      <c r="B182" s="23" t="inlineStr">
        <is>
          <t>18200</t>
        </is>
      </c>
      <c r="C182" s="23" t="inlineStr">
        <is>
          <t>€5.9m - Residential Development, Patrickswell</t>
        </is>
      </c>
      <c r="D182" s="23" t="inlineStr">
        <is>
          <t>Outside city neighbourhoods</t>
        </is>
      </c>
      <c r="E182" s="23" t="inlineStr">
        <is>
          <t>Patrickswell</t>
        </is>
      </c>
      <c r="F182" s="23" t="inlineStr">
        <is>
          <t>County – audit not yet supplied</t>
        </is>
      </c>
      <c r="G182" s="23" t="n"/>
      <c r="H182" s="23" t="inlineStr">
        <is>
          <t>Private</t>
        </is>
      </c>
      <c r="I182" s="23" t="inlineStr">
        <is>
          <t>Market (incl. Part V)</t>
        </is>
      </c>
      <c r="J182" s="23" t="inlineStr">
        <is>
          <t>Standard planning application</t>
        </is>
      </c>
      <c r="K182" s="23" t="inlineStr">
        <is>
          <t>Under construction</t>
        </is>
      </c>
      <c r="L182" s="23" t="inlineStr">
        <is>
          <t>On Site</t>
        </is>
      </c>
      <c r="M182" s="23" t="n">
        <v>49</v>
      </c>
      <c r="N182" s="23" t="n"/>
      <c r="O182" s="23" t="inlineStr">
        <is>
          <t>2018-12-11</t>
        </is>
      </c>
      <c r="P182" s="23" t="inlineStr">
        <is>
          <t>2022-12-09</t>
        </is>
      </c>
      <c r="Q182" s="23" t="inlineStr">
        <is>
          <t>2026-12-08</t>
        </is>
      </c>
      <c r="R182" s="23" t="inlineStr">
        <is>
          <t>2022 Q4</t>
        </is>
      </c>
      <c r="S182" s="23" t="inlineStr">
        <is>
          <t>2027 Q4</t>
        </is>
      </c>
      <c r="T182" s="23" t="inlineStr">
        <is>
          <t>High</t>
        </is>
      </c>
      <c r="U182" s="23" t="inlineStr">
        <is>
          <t>On site: started 2022-12</t>
        </is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>
      <c r="A183" s="23" t="inlineStr">
        <is>
          <t>985986</t>
        </is>
      </c>
      <c r="B183" s="23" t="inlineStr">
        <is>
          <t>18346</t>
        </is>
      </c>
      <c r="C183" s="23" t="inlineStr">
        <is>
          <t>€6.3m - Residential Development, Patrickswell</t>
        </is>
      </c>
      <c r="D183" s="23" t="inlineStr">
        <is>
          <t>Outside city neighbourhoods</t>
        </is>
      </c>
      <c r="E183" s="23" t="inlineStr">
        <is>
          <t>Patrickswell</t>
        </is>
      </c>
      <c r="F183" s="23" t="inlineStr">
        <is>
          <t>County – audit not yet supplied</t>
        </is>
      </c>
      <c r="G183" s="23" t="n"/>
      <c r="H183" s="23" t="inlineStr">
        <is>
          <t>Private</t>
        </is>
      </c>
      <c r="I183" s="23" t="inlineStr">
        <is>
          <t>Market (incl. Part V)</t>
        </is>
      </c>
      <c r="J183" s="23" t="inlineStr">
        <is>
          <t>Standard planning application</t>
        </is>
      </c>
      <c r="K183" s="23" t="inlineStr">
        <is>
          <t>Not started – past expiry</t>
        </is>
      </c>
      <c r="L183" s="23" t="inlineStr">
        <is>
          <t>Permission Granted</t>
        </is>
      </c>
      <c r="M183" s="23" t="n">
        <v>49</v>
      </c>
      <c r="N183" s="23" t="n"/>
      <c r="O183" s="23" t="inlineStr">
        <is>
          <t>2018-10-23</t>
        </is>
      </c>
      <c r="P183" s="23" t="n"/>
      <c r="Q183" s="23" t="inlineStr">
        <is>
          <t>2023-10-22</t>
        </is>
      </c>
      <c r="R183" s="23" t="n"/>
      <c r="S183" s="23" t="n"/>
      <c r="T183" s="23" t="inlineStr">
        <is>
          <t>Not projected</t>
        </is>
      </c>
      <c r="U183" s="23" t="inlineStr">
        <is>
          <t>Permission expired – not projected</t>
        </is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>
      <c r="A184" s="23" t="inlineStr">
        <is>
          <t>1446285</t>
        </is>
      </c>
      <c r="B184" s="23" t="inlineStr">
        <is>
          <t>2660232</t>
        </is>
      </c>
      <c r="C184" s="23" t="inlineStr">
        <is>
          <t>€7.8m - Residential Development, Abbeyfeale</t>
        </is>
      </c>
      <c r="D184" s="23" t="inlineStr">
        <is>
          <t>Outside city neighbourhoods</t>
        </is>
      </c>
      <c r="E184" s="23" t="inlineStr">
        <is>
          <t>Abbeyfeale</t>
        </is>
      </c>
      <c r="F184" s="23" t="inlineStr">
        <is>
          <t>County – audit not yet supplied</t>
        </is>
      </c>
      <c r="G184" s="23" t="n"/>
      <c r="H184" s="23" t="inlineStr">
        <is>
          <t>Private</t>
        </is>
      </c>
      <c r="I184" s="23" t="inlineStr">
        <is>
          <t>Market (incl. Part V)</t>
        </is>
      </c>
      <c r="J184" s="23" t="inlineStr">
        <is>
          <t>Standard planning application</t>
        </is>
      </c>
      <c r="K184" s="23" t="inlineStr">
        <is>
          <t>In planning</t>
        </is>
      </c>
      <c r="L184" s="23" t="inlineStr">
        <is>
          <t>Plans Submitted</t>
        </is>
      </c>
      <c r="M184" s="23" t="n">
        <v>48</v>
      </c>
      <c r="N184" s="23" t="n"/>
      <c r="O184" s="23" t="n"/>
      <c r="P184" s="23" t="n"/>
      <c r="Q184" s="23" t="n"/>
      <c r="R184" s="23" t="n"/>
      <c r="S184" s="23" t="n"/>
      <c r="T184" s="23" t="inlineStr">
        <is>
          <t>Not projected</t>
        </is>
      </c>
      <c r="U184" s="23" t="inlineStr">
        <is>
          <t>Not yet decided – not projected</t>
        </is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>
      <c r="A185" s="23" t="inlineStr">
        <is>
          <t>1360674</t>
        </is>
      </c>
      <c r="B185" s="23" t="inlineStr">
        <is>
          <t>2460788</t>
        </is>
      </c>
      <c r="C185" s="23" t="inlineStr">
        <is>
          <t>€7.4m - Residential Development, Kilmallock</t>
        </is>
      </c>
      <c r="D185" s="23" t="inlineStr">
        <is>
          <t>Outside city neighbourhoods</t>
        </is>
      </c>
      <c r="E185" s="23" t="inlineStr">
        <is>
          <t>Kilmallock</t>
        </is>
      </c>
      <c r="F185" s="23" t="inlineStr">
        <is>
          <t>County – audit not yet supplied</t>
        </is>
      </c>
      <c r="G185" s="23" t="n"/>
      <c r="H185" s="23" t="inlineStr">
        <is>
          <t>Private</t>
        </is>
      </c>
      <c r="I185" s="23" t="inlineStr">
        <is>
          <t>Market (incl. Part V)</t>
        </is>
      </c>
      <c r="J185" s="23" t="inlineStr">
        <is>
          <t>Standard planning application</t>
        </is>
      </c>
      <c r="K185" s="23" t="inlineStr">
        <is>
          <t>Under construction</t>
        </is>
      </c>
      <c r="L185" s="23" t="inlineStr">
        <is>
          <t>On Site</t>
        </is>
      </c>
      <c r="M185" s="23" t="n">
        <v>42</v>
      </c>
      <c r="N185" s="23" t="n"/>
      <c r="O185" s="23" t="inlineStr">
        <is>
          <t>2025-07-15</t>
        </is>
      </c>
      <c r="P185" s="23" t="inlineStr">
        <is>
          <t>2026-04-06</t>
        </is>
      </c>
      <c r="Q185" s="23" t="inlineStr">
        <is>
          <t>2030-07-14</t>
        </is>
      </c>
      <c r="R185" s="23" t="inlineStr">
        <is>
          <t>2026 Q2</t>
        </is>
      </c>
      <c r="S185" s="23" t="inlineStr">
        <is>
          <t>2028 Q1</t>
        </is>
      </c>
      <c r="T185" s="23" t="inlineStr">
        <is>
          <t>High</t>
        </is>
      </c>
      <c r="U185" s="23" t="inlineStr">
        <is>
          <t>On site: started 2026-04</t>
        </is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>
      <c r="A186" s="23" t="inlineStr">
        <is>
          <t>1277663</t>
        </is>
      </c>
      <c r="B186" s="23" t="inlineStr">
        <is>
          <t>2360144</t>
        </is>
      </c>
      <c r="C186" s="23" t="inlineStr">
        <is>
          <t>€9m - Housing Development, Patrickswell</t>
        </is>
      </c>
      <c r="D186" s="23" t="inlineStr">
        <is>
          <t>Outside city neighbourhoods</t>
        </is>
      </c>
      <c r="E186" s="23" t="inlineStr">
        <is>
          <t>Patrickswell</t>
        </is>
      </c>
      <c r="F186" s="23" t="inlineStr">
        <is>
          <t>County – audit not yet supplied</t>
        </is>
      </c>
      <c r="G186" s="23" t="n"/>
      <c r="H186" s="23" t="inlineStr">
        <is>
          <t>Private</t>
        </is>
      </c>
      <c r="I186" s="23" t="inlineStr">
        <is>
          <t>Market (incl. Part V)</t>
        </is>
      </c>
      <c r="J186" s="23" t="inlineStr">
        <is>
          <t>Standard planning application</t>
        </is>
      </c>
      <c r="K186" s="23" t="inlineStr">
        <is>
          <t>Not started – permission live</t>
        </is>
      </c>
      <c r="L186" s="23" t="inlineStr">
        <is>
          <t>Contract Awarded</t>
        </is>
      </c>
      <c r="M186" s="23" t="n">
        <v>41</v>
      </c>
      <c r="N186" s="23" t="n"/>
      <c r="O186" s="23" t="inlineStr">
        <is>
          <t>2023-11-15</t>
        </is>
      </c>
      <c r="P186" s="23" t="n"/>
      <c r="Q186" s="23" t="inlineStr">
        <is>
          <t>2028-11-14</t>
        </is>
      </c>
      <c r="R186" s="23" t="inlineStr">
        <is>
          <t>2027 Q1</t>
        </is>
      </c>
      <c r="S186" s="23" t="inlineStr">
        <is>
          <t>2028 Q4</t>
        </is>
      </c>
      <c r="T186" s="23" t="inlineStr">
        <is>
          <t>Medium</t>
        </is>
      </c>
      <c r="U186" s="23" t="inlineStr">
        <is>
          <t>Contract Awarded (CIS): start assumed within 6 months</t>
        </is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>
      <c r="A187" s="23" t="inlineStr">
        <is>
          <t>1409934</t>
        </is>
      </c>
      <c r="B187" s="23" t="inlineStr">
        <is>
          <t>2560653</t>
        </is>
      </c>
      <c r="C187" s="23" t="inlineStr">
        <is>
          <t>€9.4m - Residential Development</t>
        </is>
      </c>
      <c r="D187" s="23" t="inlineStr">
        <is>
          <t>Outside city neighbourhoods</t>
        </is>
      </c>
      <c r="E187" s="23" t="inlineStr">
        <is>
          <t>Patrickswell</t>
        </is>
      </c>
      <c r="F187" s="23" t="inlineStr">
        <is>
          <t>County – audit not yet supplied</t>
        </is>
      </c>
      <c r="G187" s="23" t="n"/>
      <c r="H187" s="23" t="inlineStr">
        <is>
          <t>Private</t>
        </is>
      </c>
      <c r="I187" s="23" t="inlineStr">
        <is>
          <t>Market (incl. Part V)</t>
        </is>
      </c>
      <c r="J187" s="23" t="inlineStr">
        <is>
          <t>Standard planning application</t>
        </is>
      </c>
      <c r="K187" s="23" t="inlineStr">
        <is>
          <t>Stalled (CIS)</t>
        </is>
      </c>
      <c r="L187" s="23" t="inlineStr">
        <is>
          <t>Stalled or Suspended</t>
        </is>
      </c>
      <c r="M187" s="23" t="n">
        <v>40</v>
      </c>
      <c r="N187" s="23" t="n"/>
      <c r="O187" s="23" t="inlineStr">
        <is>
          <t>2026-01-20</t>
        </is>
      </c>
      <c r="P187" s="23" t="n"/>
      <c r="Q187" s="23" t="inlineStr">
        <is>
          <t>2031-01-19</t>
        </is>
      </c>
      <c r="R187" s="23" t="n"/>
      <c r="S187" s="23" t="n"/>
      <c r="T187" s="23" t="inlineStr">
        <is>
          <t>Not projected</t>
        </is>
      </c>
      <c r="U187" s="23" t="inlineStr">
        <is>
          <t>Stalled – not projected</t>
        </is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>
      <c r="A188" s="23" t="inlineStr">
        <is>
          <t>1097151</t>
        </is>
      </c>
      <c r="B188" s="23" t="inlineStr">
        <is>
          <t>20281</t>
        </is>
      </c>
      <c r="C188" s="23" t="inlineStr">
        <is>
          <t>€12m - Residential Development, Patrickswell</t>
        </is>
      </c>
      <c r="D188" s="23" t="inlineStr">
        <is>
          <t>Outside city neighbourhoods</t>
        </is>
      </c>
      <c r="E188" s="23" t="inlineStr">
        <is>
          <t>Patrickswell</t>
        </is>
      </c>
      <c r="F188" s="23" t="inlineStr">
        <is>
          <t>County – audit not yet supplied</t>
        </is>
      </c>
      <c r="G188" s="23" t="n"/>
      <c r="H188" s="23" t="inlineStr">
        <is>
          <t>Private</t>
        </is>
      </c>
      <c r="I188" s="23" t="inlineStr">
        <is>
          <t>Market (incl. Part V)</t>
        </is>
      </c>
      <c r="J188" s="23" t="inlineStr">
        <is>
          <t>Standard planning application</t>
        </is>
      </c>
      <c r="K188" s="23" t="inlineStr">
        <is>
          <t>Under construction</t>
        </is>
      </c>
      <c r="L188" s="23" t="inlineStr">
        <is>
          <t>Commencement Expected</t>
        </is>
      </c>
      <c r="M188" s="23" t="n">
        <v>36</v>
      </c>
      <c r="N188" s="23" t="n"/>
      <c r="O188" s="23" t="inlineStr">
        <is>
          <t>2021-01-15</t>
        </is>
      </c>
      <c r="P188" s="23" t="inlineStr">
        <is>
          <t>2023-06-09</t>
        </is>
      </c>
      <c r="Q188" s="23" t="inlineStr">
        <is>
          <t>2025-12-01</t>
        </is>
      </c>
      <c r="R188" s="23" t="inlineStr">
        <is>
          <t>2023 Q2</t>
        </is>
      </c>
      <c r="S188" s="23" t="inlineStr">
        <is>
          <t>2027 Q4</t>
        </is>
      </c>
      <c r="T188" s="23" t="inlineStr">
        <is>
          <t>High</t>
        </is>
      </c>
      <c r="U188" s="23" t="inlineStr">
        <is>
          <t>On site: started 2023-06</t>
        </is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>
      <c r="A189" s="23" t="inlineStr">
        <is>
          <t>1084266</t>
        </is>
      </c>
      <c r="B189" s="23" t="inlineStr">
        <is>
          <t>191298</t>
        </is>
      </c>
      <c r="C189" s="23" t="inlineStr">
        <is>
          <t>€5.6m - Housing Development</t>
        </is>
      </c>
      <c r="D189" s="23" t="inlineStr">
        <is>
          <t>Outside city neighbourhoods</t>
        </is>
      </c>
      <c r="E189" s="23" t="inlineStr">
        <is>
          <t>Other County Limerick</t>
        </is>
      </c>
      <c r="F189" s="23" t="inlineStr">
        <is>
          <t>County – audit not yet supplied</t>
        </is>
      </c>
      <c r="G189" s="23" t="n"/>
      <c r="H189" s="23" t="inlineStr">
        <is>
          <t>Private</t>
        </is>
      </c>
      <c r="I189" s="23" t="inlineStr">
        <is>
          <t>Market (incl. Part V)</t>
        </is>
      </c>
      <c r="J189" s="23" t="inlineStr">
        <is>
          <t>Standard planning application</t>
        </is>
      </c>
      <c r="K189" s="23" t="inlineStr">
        <is>
          <t>Stalled (CIS)</t>
        </is>
      </c>
      <c r="L189" s="23" t="inlineStr">
        <is>
          <t>Stalled or Suspended</t>
        </is>
      </c>
      <c r="M189" s="23" t="n">
        <v>32</v>
      </c>
      <c r="N189" s="23" t="n"/>
      <c r="O189" s="23" t="inlineStr">
        <is>
          <t>2020-11-26</t>
        </is>
      </c>
      <c r="P189" s="23" t="n"/>
      <c r="Q189" s="23" t="inlineStr">
        <is>
          <t>2028-11-25</t>
        </is>
      </c>
      <c r="R189" s="23" t="n"/>
      <c r="S189" s="23" t="n"/>
      <c r="T189" s="23" t="inlineStr">
        <is>
          <t>Not projected</t>
        </is>
      </c>
      <c r="U189" s="23" t="inlineStr">
        <is>
          <t>Stalled – not projected</t>
        </is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>
      <c r="A190" s="23" t="inlineStr">
        <is>
          <t>1225380</t>
        </is>
      </c>
      <c r="B190" s="23" t="inlineStr">
        <is>
          <t>22410</t>
        </is>
      </c>
      <c r="C190" s="23" t="inlineStr">
        <is>
          <t>€18.8m - Nursing Home Development, Croom</t>
        </is>
      </c>
      <c r="D190" s="23" t="inlineStr">
        <is>
          <t>Outside city neighbourhoods</t>
        </is>
      </c>
      <c r="E190" s="23" t="inlineStr">
        <is>
          <t>Other County Limerick</t>
        </is>
      </c>
      <c r="F190" s="23" t="inlineStr">
        <is>
          <t>County – audit not yet supplied</t>
        </is>
      </c>
      <c r="G190" s="23" t="n"/>
      <c r="H190" s="23" t="inlineStr">
        <is>
          <t>Private</t>
        </is>
      </c>
      <c r="I190" s="23" t="inlineStr">
        <is>
          <t>Market (incl. Part V)</t>
        </is>
      </c>
      <c r="J190" s="23" t="inlineStr">
        <is>
          <t>Standard planning application</t>
        </is>
      </c>
      <c r="K190" s="23" t="inlineStr">
        <is>
          <t>Not started – permission live</t>
        </is>
      </c>
      <c r="L190" s="23" t="inlineStr">
        <is>
          <t>Permission Granted</t>
        </is>
      </c>
      <c r="M190" s="23" t="n">
        <v>32</v>
      </c>
      <c r="N190" s="23" t="n"/>
      <c r="O190" s="23" t="inlineStr">
        <is>
          <t>2023-02-20</t>
        </is>
      </c>
      <c r="P190" s="23" t="n"/>
      <c r="Q190" s="23" t="inlineStr">
        <is>
          <t>2028-02-19</t>
        </is>
      </c>
      <c r="R190" s="23" t="inlineStr">
        <is>
          <t>2027 Q3</t>
        </is>
      </c>
      <c r="S190" s="23" t="inlineStr">
        <is>
          <t>2029 Q2</t>
        </is>
      </c>
      <c r="T190" s="23" t="inlineStr">
        <is>
          <t>Low</t>
        </is>
      </c>
      <c r="U190" s="23" t="inlineStr">
        <is>
          <t>Permitted 2023-02, past typical start date with no commencement: start assumed in 9 months</t>
        </is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>
      <c r="A191" s="23" t="inlineStr">
        <is>
          <t>1366163</t>
        </is>
      </c>
      <c r="B191" s="23" t="inlineStr">
        <is>
          <t>24352</t>
        </is>
      </c>
      <c r="C191" s="23" t="inlineStr">
        <is>
          <t>€7.3m - Residential Development</t>
        </is>
      </c>
      <c r="D191" s="23" t="inlineStr">
        <is>
          <t>Outside city neighbourhoods</t>
        </is>
      </c>
      <c r="E191" s="23" t="inlineStr">
        <is>
          <t>Other County Limerick</t>
        </is>
      </c>
      <c r="F191" s="23" t="inlineStr">
        <is>
          <t>County – audit not yet supplied</t>
        </is>
      </c>
      <c r="G191" s="23" t="n"/>
      <c r="H191" s="23" t="inlineStr">
        <is>
          <t>Private</t>
        </is>
      </c>
      <c r="I191" s="23" t="inlineStr">
        <is>
          <t>Market (incl. Part V)</t>
        </is>
      </c>
      <c r="J191" s="23" t="inlineStr">
        <is>
          <t>Standard planning application</t>
        </is>
      </c>
      <c r="K191" s="23" t="inlineStr">
        <is>
          <t>Under construction</t>
        </is>
      </c>
      <c r="L191" s="23" t="inlineStr">
        <is>
          <t>On Site</t>
        </is>
      </c>
      <c r="M191" s="23" t="n">
        <v>30</v>
      </c>
      <c r="N191" s="23" t="n"/>
      <c r="O191" s="23" t="inlineStr">
        <is>
          <t>2025-09-17</t>
        </is>
      </c>
      <c r="P191" s="23" t="inlineStr">
        <is>
          <t>2025-12-22</t>
        </is>
      </c>
      <c r="Q191" s="23" t="inlineStr">
        <is>
          <t>2030-09-16</t>
        </is>
      </c>
      <c r="R191" s="23" t="inlineStr">
        <is>
          <t>2025 Q4</t>
        </is>
      </c>
      <c r="S191" s="23" t="inlineStr">
        <is>
          <t>2027 Q4</t>
        </is>
      </c>
      <c r="T191" s="23" t="inlineStr">
        <is>
          <t>High</t>
        </is>
      </c>
      <c r="U191" s="23" t="inlineStr">
        <is>
          <t>On site: started 2025-12</t>
        </is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>
      <c r="A192" s="23" t="inlineStr">
        <is>
          <t>1360912</t>
        </is>
      </c>
      <c r="B192" s="23" t="inlineStr">
        <is>
          <t>2660575</t>
        </is>
      </c>
      <c r="C192" s="23" t="inlineStr">
        <is>
          <t>€4.3m - Apartment Development, Newcastle West</t>
        </is>
      </c>
      <c r="D192" s="23" t="inlineStr">
        <is>
          <t>Outside city neighbourhoods</t>
        </is>
      </c>
      <c r="E192" s="23" t="inlineStr">
        <is>
          <t>Newcastle West</t>
        </is>
      </c>
      <c r="F192" s="23" t="inlineStr">
        <is>
          <t>County – audit not yet supplied</t>
        </is>
      </c>
      <c r="G192" s="23" t="n"/>
      <c r="H192" s="23" t="inlineStr">
        <is>
          <t>Private</t>
        </is>
      </c>
      <c r="I192" s="23" t="inlineStr">
        <is>
          <t>Market (incl. Part V)</t>
        </is>
      </c>
      <c r="J192" s="23" t="inlineStr">
        <is>
          <t>Standard planning application</t>
        </is>
      </c>
      <c r="K192" s="23" t="inlineStr">
        <is>
          <t>In planning</t>
        </is>
      </c>
      <c r="L192" s="23" t="inlineStr">
        <is>
          <t>Plans Submitted</t>
        </is>
      </c>
      <c r="M192" s="23" t="n">
        <v>30</v>
      </c>
      <c r="N192" s="23" t="n"/>
      <c r="O192" s="23" t="n"/>
      <c r="P192" s="23" t="n"/>
      <c r="Q192" s="23" t="n"/>
      <c r="R192" s="23" t="n"/>
      <c r="S192" s="23" t="n"/>
      <c r="T192" s="23" t="inlineStr">
        <is>
          <t>Not projected</t>
        </is>
      </c>
      <c r="U192" s="23" t="inlineStr">
        <is>
          <t>Not yet decided – not projected</t>
        </is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>
      <c r="A193" s="23" t="inlineStr">
        <is>
          <t>1266613</t>
        </is>
      </c>
      <c r="B193" s="23" t="inlineStr">
        <is>
          <t>2326</t>
        </is>
      </c>
      <c r="C193" s="23" t="inlineStr">
        <is>
          <t>€6.3m - Housing Development, Kilmallock</t>
        </is>
      </c>
      <c r="D193" s="23" t="inlineStr">
        <is>
          <t>Outside city neighbourhoods</t>
        </is>
      </c>
      <c r="E193" s="23" t="inlineStr">
        <is>
          <t>Kilmallock</t>
        </is>
      </c>
      <c r="F193" s="23" t="inlineStr">
        <is>
          <t>County – audit not yet supplied</t>
        </is>
      </c>
      <c r="G193" s="23" t="n"/>
      <c r="H193" s="23" t="inlineStr">
        <is>
          <t>Private</t>
        </is>
      </c>
      <c r="I193" s="23" t="inlineStr">
        <is>
          <t>Market (incl. Part V)</t>
        </is>
      </c>
      <c r="J193" s="23" t="inlineStr">
        <is>
          <t>Standard planning application</t>
        </is>
      </c>
      <c r="K193" s="23" t="inlineStr">
        <is>
          <t>Under construction</t>
        </is>
      </c>
      <c r="L193" s="23" t="inlineStr">
        <is>
          <t>On Site</t>
        </is>
      </c>
      <c r="M193" s="23" t="n">
        <v>28</v>
      </c>
      <c r="N193" s="23" t="n"/>
      <c r="O193" s="23" t="inlineStr">
        <is>
          <t>2024-01-29</t>
        </is>
      </c>
      <c r="P193" s="23" t="inlineStr">
        <is>
          <t>2026-03-28</t>
        </is>
      </c>
      <c r="Q193" s="23" t="inlineStr">
        <is>
          <t>2029-01-28</t>
        </is>
      </c>
      <c r="R193" s="23" t="inlineStr">
        <is>
          <t>2026 Q1</t>
        </is>
      </c>
      <c r="S193" s="23" t="inlineStr">
        <is>
          <t>2027 Q4</t>
        </is>
      </c>
      <c r="T193" s="23" t="inlineStr">
        <is>
          <t>High</t>
        </is>
      </c>
      <c r="U193" s="23" t="inlineStr">
        <is>
          <t>On site: started 2026-03</t>
        </is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>
      <c r="A194" s="23" t="inlineStr">
        <is>
          <t>1444384</t>
        </is>
      </c>
      <c r="B194" s="23" t="inlineStr">
        <is>
          <t>2660779</t>
        </is>
      </c>
      <c r="C194" s="23" t="inlineStr">
        <is>
          <t>€8.6m - Staff Accommodation/8Apartments, Adare</t>
        </is>
      </c>
      <c r="D194" s="23" t="inlineStr">
        <is>
          <t>Outside city neighbourhoods</t>
        </is>
      </c>
      <c r="E194" s="23" t="inlineStr">
        <is>
          <t>Adare</t>
        </is>
      </c>
      <c r="F194" s="23" t="inlineStr">
        <is>
          <t>County – audit not yet supplied</t>
        </is>
      </c>
      <c r="G194" s="23" t="n"/>
      <c r="H194" s="23" t="inlineStr">
        <is>
          <t>Private</t>
        </is>
      </c>
      <c r="I194" s="23" t="inlineStr">
        <is>
          <t>Market (incl. Part V)</t>
        </is>
      </c>
      <c r="J194" s="23" t="inlineStr">
        <is>
          <t>Standard planning application</t>
        </is>
      </c>
      <c r="K194" s="23" t="inlineStr">
        <is>
          <t>Not started – permission live</t>
        </is>
      </c>
      <c r="L194" s="23" t="inlineStr">
        <is>
          <t>Permission Granted</t>
        </is>
      </c>
      <c r="M194" s="23" t="n">
        <v>28</v>
      </c>
      <c r="N194" s="23" t="n"/>
      <c r="O194" s="23" t="inlineStr">
        <is>
          <t>2026-09-02</t>
        </is>
      </c>
      <c r="P194" s="23" t="n"/>
      <c r="Q194" s="23" t="inlineStr">
        <is>
          <t>2031-09-02</t>
        </is>
      </c>
      <c r="R194" s="23" t="inlineStr">
        <is>
          <t>2028 Q2</t>
        </is>
      </c>
      <c r="S194" s="23" t="inlineStr">
        <is>
          <t>2030 Q1</t>
        </is>
      </c>
      <c r="T194" s="23" t="inlineStr">
        <is>
          <t>Medium</t>
        </is>
      </c>
      <c r="U194" s="23" t="inlineStr">
        <is>
          <t>Permitted 2026-09; typical start 1.6 yrs after grant</t>
        </is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>
      <c r="A195" s="23" t="inlineStr">
        <is>
          <t>1316491</t>
        </is>
      </c>
      <c r="B195" s="23" t="inlineStr">
        <is>
          <t>2360793</t>
        </is>
      </c>
      <c r="C195" s="23" t="inlineStr">
        <is>
          <t>€6.1m - Residential Development, Adare</t>
        </is>
      </c>
      <c r="D195" s="23" t="inlineStr">
        <is>
          <t>Outside city neighbourhoods</t>
        </is>
      </c>
      <c r="E195" s="23" t="inlineStr">
        <is>
          <t>Rathkeale</t>
        </is>
      </c>
      <c r="F195" s="23" t="inlineStr">
        <is>
          <t>County – audit not yet supplied</t>
        </is>
      </c>
      <c r="G195" s="23" t="n"/>
      <c r="H195" s="23" t="inlineStr">
        <is>
          <t>Private</t>
        </is>
      </c>
      <c r="I195" s="23" t="inlineStr">
        <is>
          <t>Market (incl. Part V)</t>
        </is>
      </c>
      <c r="J195" s="23" t="inlineStr">
        <is>
          <t>Standard planning application</t>
        </is>
      </c>
      <c r="K195" s="23" t="inlineStr">
        <is>
          <t>Not started – permission live</t>
        </is>
      </c>
      <c r="L195" s="23" t="inlineStr">
        <is>
          <t>Permission Granted</t>
        </is>
      </c>
      <c r="M195" s="23" t="n">
        <v>28</v>
      </c>
      <c r="N195" s="23" t="n"/>
      <c r="O195" s="23" t="inlineStr">
        <is>
          <t>2025-03-21</t>
        </is>
      </c>
      <c r="P195" s="23" t="n"/>
      <c r="Q195" s="23" t="inlineStr">
        <is>
          <t>2030-03-20</t>
        </is>
      </c>
      <c r="R195" s="23" t="inlineStr">
        <is>
          <t>2027 Q3</t>
        </is>
      </c>
      <c r="S195" s="23" t="inlineStr">
        <is>
          <t>2029 Q1</t>
        </is>
      </c>
      <c r="T195" s="23" t="inlineStr">
        <is>
          <t>Low</t>
        </is>
      </c>
      <c r="U195" s="23" t="inlineStr">
        <is>
          <t>Permitted 2025-03, past typical start date with no commencement: start assumed in 9 months</t>
        </is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>
      <c r="A196" s="23" t="inlineStr">
        <is>
          <t>1379266</t>
        </is>
      </c>
      <c r="B196" s="23" t="inlineStr">
        <is>
          <t>2461182</t>
        </is>
      </c>
      <c r="C196" s="23" t="inlineStr">
        <is>
          <t xml:space="preserve">€5.4m - Residential Development </t>
        </is>
      </c>
      <c r="D196" s="23" t="inlineStr">
        <is>
          <t>Outside city neighbourhoods</t>
        </is>
      </c>
      <c r="E196" s="23" t="inlineStr">
        <is>
          <t>Other County Limerick</t>
        </is>
      </c>
      <c r="F196" s="23" t="inlineStr">
        <is>
          <t>County – audit not yet supplied</t>
        </is>
      </c>
      <c r="G196" s="23" t="n"/>
      <c r="H196" s="23" t="inlineStr">
        <is>
          <t>Private</t>
        </is>
      </c>
      <c r="I196" s="23" t="inlineStr">
        <is>
          <t>Market (incl. Part V)</t>
        </is>
      </c>
      <c r="J196" s="23" t="inlineStr">
        <is>
          <t>Standard planning application</t>
        </is>
      </c>
      <c r="K196" s="23" t="inlineStr">
        <is>
          <t>Not started – permission live</t>
        </is>
      </c>
      <c r="L196" s="23" t="inlineStr">
        <is>
          <t>Permission Granted</t>
        </is>
      </c>
      <c r="M196" s="23" t="n">
        <v>27</v>
      </c>
      <c r="N196" s="23" t="n"/>
      <c r="O196" s="23" t="inlineStr">
        <is>
          <t>2026-03-30</t>
        </is>
      </c>
      <c r="P196" s="23" t="n"/>
      <c r="Q196" s="23" t="inlineStr">
        <is>
          <t>2031-03-29</t>
        </is>
      </c>
      <c r="R196" s="23" t="inlineStr">
        <is>
          <t>2027 Q4</t>
        </is>
      </c>
      <c r="S196" s="23" t="inlineStr">
        <is>
          <t>2029 Q3</t>
        </is>
      </c>
      <c r="T196" s="23" t="inlineStr">
        <is>
          <t>Medium</t>
        </is>
      </c>
      <c r="U196" s="23" t="inlineStr">
        <is>
          <t>Permitted 2026-03; typical start 1.6 yrs after grant</t>
        </is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>
      <c r="A197" s="23" t="inlineStr">
        <is>
          <t>1340202</t>
        </is>
      </c>
      <c r="B197" s="23" t="inlineStr">
        <is>
          <t>2460304</t>
        </is>
      </c>
      <c r="C197" s="23" t="inlineStr">
        <is>
          <t>€6.2m - Residential Development,  Adare</t>
        </is>
      </c>
      <c r="D197" s="23" t="inlineStr">
        <is>
          <t>Outside city neighbourhoods</t>
        </is>
      </c>
      <c r="E197" s="23" t="inlineStr">
        <is>
          <t>Rathkeale</t>
        </is>
      </c>
      <c r="F197" s="23" t="inlineStr">
        <is>
          <t>County – audit not yet supplied</t>
        </is>
      </c>
      <c r="G197" s="23" t="n"/>
      <c r="H197" s="23" t="inlineStr">
        <is>
          <t>Private</t>
        </is>
      </c>
      <c r="I197" s="23" t="inlineStr">
        <is>
          <t>Market (incl. Part V)</t>
        </is>
      </c>
      <c r="J197" s="23" t="inlineStr">
        <is>
          <t>Standard planning application</t>
        </is>
      </c>
      <c r="K197" s="23" t="inlineStr">
        <is>
          <t>Not started – permission live</t>
        </is>
      </c>
      <c r="L197" s="23" t="inlineStr">
        <is>
          <t>Permission Granted</t>
        </is>
      </c>
      <c r="M197" s="23" t="n">
        <v>25</v>
      </c>
      <c r="N197" s="23" t="n"/>
      <c r="O197" s="23" t="inlineStr">
        <is>
          <t>2025-03-21</t>
        </is>
      </c>
      <c r="P197" s="23" t="n"/>
      <c r="Q197" s="23" t="inlineStr">
        <is>
          <t>2030-03-20</t>
        </is>
      </c>
      <c r="R197" s="23" t="inlineStr">
        <is>
          <t>2027 Q3</t>
        </is>
      </c>
      <c r="S197" s="23" t="inlineStr">
        <is>
          <t>2029 Q1</t>
        </is>
      </c>
      <c r="T197" s="23" t="inlineStr">
        <is>
          <t>Low</t>
        </is>
      </c>
      <c r="U197" s="23" t="inlineStr">
        <is>
          <t>Permitted 2025-03, past typical start date with no commencement: start assumed in 9 months</t>
        </is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>
      <c r="A198" s="23" t="inlineStr">
        <is>
          <t>1317302</t>
        </is>
      </c>
      <c r="B198" s="23" t="inlineStr">
        <is>
          <t>23529</t>
        </is>
      </c>
      <c r="C198" s="23" t="inlineStr">
        <is>
          <t>€4.4m - Housing Development</t>
        </is>
      </c>
      <c r="D198" s="23" t="inlineStr">
        <is>
          <t>Outside city neighbourhoods</t>
        </is>
      </c>
      <c r="E198" s="23" t="inlineStr">
        <is>
          <t>Cappamore</t>
        </is>
      </c>
      <c r="F198" s="23" t="inlineStr">
        <is>
          <t>County – audit not yet supplied</t>
        </is>
      </c>
      <c r="G198" s="23" t="n"/>
      <c r="H198" s="23" t="inlineStr">
        <is>
          <t>Private</t>
        </is>
      </c>
      <c r="I198" s="23" t="inlineStr">
        <is>
          <t>Market (incl. Part V)</t>
        </is>
      </c>
      <c r="J198" s="23" t="inlineStr">
        <is>
          <t>Standard planning application</t>
        </is>
      </c>
      <c r="K198" s="23" t="inlineStr">
        <is>
          <t>Under construction</t>
        </is>
      </c>
      <c r="L198" s="23" t="inlineStr">
        <is>
          <t>On Site</t>
        </is>
      </c>
      <c r="M198" s="23" t="n">
        <v>22</v>
      </c>
      <c r="N198" s="23" t="n"/>
      <c r="O198" s="23" t="inlineStr">
        <is>
          <t>2024-09-03</t>
        </is>
      </c>
      <c r="P198" s="23" t="inlineStr">
        <is>
          <t>2025-10-09</t>
        </is>
      </c>
      <c r="Q198" s="23" t="inlineStr">
        <is>
          <t>2029-09-02</t>
        </is>
      </c>
      <c r="R198" s="23" t="inlineStr">
        <is>
          <t>2025 Q4</t>
        </is>
      </c>
      <c r="S198" s="23" t="inlineStr">
        <is>
          <t>2028 Q2</t>
        </is>
      </c>
      <c r="T198" s="23" t="inlineStr">
        <is>
          <t>High</t>
        </is>
      </c>
      <c r="U198" s="23" t="inlineStr">
        <is>
          <t>On site: started 2025-10</t>
        </is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>
      <c r="A199" s="23" t="inlineStr">
        <is>
          <t>1350850</t>
        </is>
      </c>
      <c r="B199" s="23" t="inlineStr">
        <is>
          <t>2460568</t>
        </is>
      </c>
      <c r="C199" s="23" t="inlineStr">
        <is>
          <t>€3.9m - Residential Development, Castlemahon</t>
        </is>
      </c>
      <c r="D199" s="23" t="inlineStr">
        <is>
          <t>Outside city neighbourhoods</t>
        </is>
      </c>
      <c r="E199" s="23" t="inlineStr">
        <is>
          <t>Other County Limerick</t>
        </is>
      </c>
      <c r="F199" s="23" t="inlineStr">
        <is>
          <t>County – audit not yet supplied</t>
        </is>
      </c>
      <c r="G199" s="23" t="n"/>
      <c r="H199" s="23" t="inlineStr">
        <is>
          <t>Private</t>
        </is>
      </c>
      <c r="I199" s="23" t="inlineStr">
        <is>
          <t>Market (incl. Part V)</t>
        </is>
      </c>
      <c r="J199" s="23" t="inlineStr">
        <is>
          <t>Standard planning application</t>
        </is>
      </c>
      <c r="K199" s="23" t="inlineStr">
        <is>
          <t>Under construction</t>
        </is>
      </c>
      <c r="L199" s="23" t="inlineStr">
        <is>
          <t>Commencement Expected</t>
        </is>
      </c>
      <c r="M199" s="23" t="n">
        <v>18</v>
      </c>
      <c r="N199" s="23" t="n"/>
      <c r="O199" s="23" t="inlineStr">
        <is>
          <t>2025-03-07</t>
        </is>
      </c>
      <c r="P199" s="23" t="inlineStr">
        <is>
          <t>2025-10-09</t>
        </is>
      </c>
      <c r="Q199" s="23" t="inlineStr">
        <is>
          <t>2030-03-06</t>
        </is>
      </c>
      <c r="R199" s="23" t="inlineStr">
        <is>
          <t>2025 Q4</t>
        </is>
      </c>
      <c r="S199" s="23" t="inlineStr">
        <is>
          <t>2027 Q4</t>
        </is>
      </c>
      <c r="T199" s="23" t="inlineStr">
        <is>
          <t>High</t>
        </is>
      </c>
      <c r="U199" s="23" t="inlineStr">
        <is>
          <t>On site: started 2025-10</t>
        </is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>
      <c r="A200" s="23" t="inlineStr">
        <is>
          <t>1015929</t>
        </is>
      </c>
      <c r="B200" s="23" t="inlineStr"/>
      <c r="C200" s="23" t="inlineStr">
        <is>
          <t xml:space="preserve">€2m - Housing Development </t>
        </is>
      </c>
      <c r="D200" s="23" t="inlineStr">
        <is>
          <t>Outside city neighbourhoods</t>
        </is>
      </c>
      <c r="E200" s="23" t="inlineStr">
        <is>
          <t>Other County Limerick</t>
        </is>
      </c>
      <c r="F200" s="23" t="inlineStr">
        <is>
          <t>County – audit not yet supplied</t>
        </is>
      </c>
      <c r="G200" s="23" t="n"/>
      <c r="H200" s="23" t="inlineStr">
        <is>
          <t>Private</t>
        </is>
      </c>
      <c r="I200" s="23" t="inlineStr">
        <is>
          <t>Market (incl. Part V)</t>
        </is>
      </c>
      <c r="J200" s="23" t="inlineStr">
        <is>
          <t>Standard planning application</t>
        </is>
      </c>
      <c r="K200" s="23" t="inlineStr">
        <is>
          <t>Not started – past expiry</t>
        </is>
      </c>
      <c r="L200" s="23" t="inlineStr">
        <is>
          <t>Permission Granted</t>
        </is>
      </c>
      <c r="M200" s="23" t="n">
        <v>17</v>
      </c>
      <c r="N200" s="23" t="n"/>
      <c r="O200" s="23" t="inlineStr">
        <is>
          <t>2019-09-27</t>
        </is>
      </c>
      <c r="P200" s="23" t="n"/>
      <c r="Q200" s="23" t="inlineStr">
        <is>
          <t>2024-09-27</t>
        </is>
      </c>
      <c r="R200" s="23" t="n"/>
      <c r="S200" s="23" t="n"/>
      <c r="T200" s="23" t="inlineStr">
        <is>
          <t>Not projected</t>
        </is>
      </c>
      <c r="U200" s="23" t="inlineStr">
        <is>
          <t>Permission expired – not projected</t>
        </is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>
      <c r="A201" s="23" t="inlineStr">
        <is>
          <t>1051821</t>
        </is>
      </c>
      <c r="B201" s="23" t="inlineStr">
        <is>
          <t>19552</t>
        </is>
      </c>
      <c r="C201" s="23" t="inlineStr">
        <is>
          <t xml:space="preserve">€2m - Apartment Development </t>
        </is>
      </c>
      <c r="D201" s="23" t="inlineStr">
        <is>
          <t>Outside city neighbourhoods</t>
        </is>
      </c>
      <c r="E201" s="23" t="inlineStr">
        <is>
          <t>Other County Limerick</t>
        </is>
      </c>
      <c r="F201" s="23" t="inlineStr">
        <is>
          <t>County – audit not yet supplied</t>
        </is>
      </c>
      <c r="G201" s="23" t="n"/>
      <c r="H201" s="23" t="inlineStr">
        <is>
          <t>Private</t>
        </is>
      </c>
      <c r="I201" s="23" t="inlineStr">
        <is>
          <t>Market (incl. Part V)</t>
        </is>
      </c>
      <c r="J201" s="23" t="inlineStr">
        <is>
          <t>Standard planning application</t>
        </is>
      </c>
      <c r="K201" s="23" t="inlineStr">
        <is>
          <t>Not started – permission live</t>
        </is>
      </c>
      <c r="L201" s="23" t="inlineStr">
        <is>
          <t>Permission Granted</t>
        </is>
      </c>
      <c r="M201" s="23" t="n">
        <v>14</v>
      </c>
      <c r="N201" s="23" t="n"/>
      <c r="O201" s="23" t="inlineStr">
        <is>
          <t>2020-11-13</t>
        </is>
      </c>
      <c r="P201" s="23" t="n"/>
      <c r="Q201" s="23" t="inlineStr">
        <is>
          <t>2028-11-13</t>
        </is>
      </c>
      <c r="R201" s="23" t="inlineStr">
        <is>
          <t>2027 Q3</t>
        </is>
      </c>
      <c r="S201" s="23" t="inlineStr">
        <is>
          <t>2029 Q2</t>
        </is>
      </c>
      <c r="T201" s="23" t="inlineStr">
        <is>
          <t>Low</t>
        </is>
      </c>
      <c r="U201" s="23" t="inlineStr">
        <is>
          <t>Permitted 2020-11, past typical start date with no commencement: start assumed in 9 months</t>
        </is>
      </c>
      <c r="V201" s="23" t="n">
        <v>0</v>
      </c>
      <c r="W201" s="23" t="n">
        <v>0</v>
      </c>
      <c r="X201" s="23" t="n">
        <v>0</v>
      </c>
      <c r="Y201" s="23" t="n">
        <v>8.199999999999999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>
      <c r="A202" s="23" t="inlineStr">
        <is>
          <t>1318536</t>
        </is>
      </c>
      <c r="B202" s="23" t="inlineStr">
        <is>
          <t>2360826</t>
        </is>
      </c>
      <c r="C202" s="23" t="inlineStr">
        <is>
          <t>€2.2m - Residential Development, Newcastle West</t>
        </is>
      </c>
      <c r="D202" s="23" t="inlineStr">
        <is>
          <t>Outside city neighbourhoods</t>
        </is>
      </c>
      <c r="E202" s="23" t="inlineStr">
        <is>
          <t>Newcastle West</t>
        </is>
      </c>
      <c r="F202" s="23" t="inlineStr">
        <is>
          <t>County – audit not yet supplied</t>
        </is>
      </c>
      <c r="G202" s="23" t="n"/>
      <c r="H202" s="23" t="inlineStr">
        <is>
          <t>Private</t>
        </is>
      </c>
      <c r="I202" s="23" t="inlineStr">
        <is>
          <t>Market (incl. Part V)</t>
        </is>
      </c>
      <c r="J202" s="23" t="inlineStr">
        <is>
          <t>Standard planning application</t>
        </is>
      </c>
      <c r="K202" s="23" t="inlineStr">
        <is>
          <t>Not started – permission live</t>
        </is>
      </c>
      <c r="L202" s="23" t="inlineStr">
        <is>
          <t>Permission Granted</t>
        </is>
      </c>
      <c r="M202" s="23" t="n">
        <v>14</v>
      </c>
      <c r="N202" s="23" t="n"/>
      <c r="O202" s="23" t="inlineStr">
        <is>
          <t>2024-05-15</t>
        </is>
      </c>
      <c r="P202" s="23" t="n"/>
      <c r="Q202" s="23" t="inlineStr">
        <is>
          <t>2029-05-14</t>
        </is>
      </c>
      <c r="R202" s="23" t="inlineStr">
        <is>
          <t>2027 Q3</t>
        </is>
      </c>
      <c r="S202" s="23" t="inlineStr">
        <is>
          <t>2029 Q2</t>
        </is>
      </c>
      <c r="T202" s="23" t="inlineStr">
        <is>
          <t>Low</t>
        </is>
      </c>
      <c r="U202" s="23" t="inlineStr">
        <is>
          <t>Permitted 2024-05, past typical start date with no commencement: start assumed in 9 months</t>
        </is>
      </c>
      <c r="V202" s="23" t="n">
        <v>0</v>
      </c>
      <c r="W202" s="23" t="n">
        <v>0</v>
      </c>
      <c r="X202" s="23" t="n">
        <v>0</v>
      </c>
      <c r="Y202" s="23" t="n">
        <v>8.199999999999999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>
      <c r="A203" s="23" t="inlineStr">
        <is>
          <t>1327846</t>
        </is>
      </c>
      <c r="B203" s="23" t="inlineStr">
        <is>
          <t>2460030</t>
        </is>
      </c>
      <c r="C203" s="23" t="inlineStr">
        <is>
          <t>€2.9m - Residential Development</t>
        </is>
      </c>
      <c r="D203" s="23" t="inlineStr">
        <is>
          <t>Outside city neighbourhoods</t>
        </is>
      </c>
      <c r="E203" s="23" t="inlineStr">
        <is>
          <t>Castleconnell</t>
        </is>
      </c>
      <c r="F203" s="23" t="inlineStr">
        <is>
          <t>County – audit not yet supplied</t>
        </is>
      </c>
      <c r="G203" s="23" t="n"/>
      <c r="H203" s="23" t="inlineStr">
        <is>
          <t>Private</t>
        </is>
      </c>
      <c r="I203" s="23" t="inlineStr">
        <is>
          <t>Market (incl. Part V)</t>
        </is>
      </c>
      <c r="J203" s="23" t="inlineStr">
        <is>
          <t>Standard planning application</t>
        </is>
      </c>
      <c r="K203" s="23" t="inlineStr">
        <is>
          <t>Not started – permission live</t>
        </is>
      </c>
      <c r="L203" s="23" t="inlineStr">
        <is>
          <t>Permission Granted</t>
        </is>
      </c>
      <c r="M203" s="23" t="n">
        <v>14</v>
      </c>
      <c r="N203" s="23" t="n"/>
      <c r="O203" s="23" t="inlineStr">
        <is>
          <t>2025-03-12</t>
        </is>
      </c>
      <c r="P203" s="23" t="n"/>
      <c r="Q203" s="23" t="inlineStr">
        <is>
          <t>2030-03-11</t>
        </is>
      </c>
      <c r="R203" s="23" t="inlineStr">
        <is>
          <t>2027 Q3</t>
        </is>
      </c>
      <c r="S203" s="23" t="inlineStr">
        <is>
          <t>2029 Q2</t>
        </is>
      </c>
      <c r="T203" s="23" t="inlineStr">
        <is>
          <t>Low</t>
        </is>
      </c>
      <c r="U203" s="23" t="inlineStr">
        <is>
          <t>Permitted 2025-03, past typical start date with no commencement: start assumed in 9 months</t>
        </is>
      </c>
      <c r="V203" s="23" t="n">
        <v>0</v>
      </c>
      <c r="W203" s="23" t="n">
        <v>0</v>
      </c>
      <c r="X203" s="23" t="n">
        <v>0</v>
      </c>
      <c r="Y203" s="23" t="n">
        <v>8.199999999999999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>
      <c r="A204" s="23" t="inlineStr">
        <is>
          <t>1223809</t>
        </is>
      </c>
      <c r="B204" s="23" t="inlineStr">
        <is>
          <t>22394</t>
        </is>
      </c>
      <c r="C204" s="23" t="inlineStr">
        <is>
          <t>€2.9m - Housing Development, Castleconnell</t>
        </is>
      </c>
      <c r="D204" s="23" t="inlineStr">
        <is>
          <t>Outside city neighbourhoods</t>
        </is>
      </c>
      <c r="E204" s="23" t="inlineStr">
        <is>
          <t>Other County Limerick</t>
        </is>
      </c>
      <c r="F204" s="23" t="inlineStr">
        <is>
          <t>County – audit not yet supplied</t>
        </is>
      </c>
      <c r="G204" s="23" t="n"/>
      <c r="H204" s="23" t="inlineStr">
        <is>
          <t>Private</t>
        </is>
      </c>
      <c r="I204" s="23" t="inlineStr">
        <is>
          <t>Market (incl. Part V)</t>
        </is>
      </c>
      <c r="J204" s="23" t="inlineStr">
        <is>
          <t>Standard planning application</t>
        </is>
      </c>
      <c r="K204" s="23" t="inlineStr">
        <is>
          <t>Complete</t>
        </is>
      </c>
      <c r="L204" s="23" t="inlineStr">
        <is>
          <t>Complete</t>
        </is>
      </c>
      <c r="M204" s="23" t="n">
        <v>13</v>
      </c>
      <c r="N204" s="23" t="n"/>
      <c r="O204" s="23" t="inlineStr">
        <is>
          <t>2022-10-27</t>
        </is>
      </c>
      <c r="P204" s="23" t="inlineStr">
        <is>
          <t>2022-12-07</t>
        </is>
      </c>
      <c r="Q204" s="23" t="inlineStr">
        <is>
          <t>2027-10-26</t>
        </is>
      </c>
      <c r="R204" s="23" t="n"/>
      <c r="S204" s="23" t="n"/>
      <c r="T204" s="23" t="inlineStr">
        <is>
          <t>Delivered</t>
        </is>
      </c>
      <c r="U204" s="23" t="inlineStr">
        <is>
          <t>Complete (CIS)</t>
        </is>
      </c>
      <c r="V204" s="23" t="n">
        <v>13</v>
      </c>
      <c r="W204" s="23" t="n">
        <v>0</v>
      </c>
      <c r="X204" s="23" t="n">
        <v>0</v>
      </c>
      <c r="Y204" s="23" t="n">
        <v>0</v>
      </c>
      <c r="Z204" s="23" t="n">
        <v>0</v>
      </c>
      <c r="AA204" s="23" t="n">
        <v>0</v>
      </c>
      <c r="AB204" s="23" t="n">
        <v>0</v>
      </c>
      <c r="AC204" s="23" t="n">
        <v>0</v>
      </c>
    </row>
    <row r="205">
      <c r="A205" s="23" t="inlineStr">
        <is>
          <t>1330186</t>
        </is>
      </c>
      <c r="B205" s="23" t="inlineStr">
        <is>
          <t>2460082</t>
        </is>
      </c>
      <c r="C205" s="23" t="inlineStr">
        <is>
          <t xml:space="preserve">€1.9m - Apartment Development </t>
        </is>
      </c>
      <c r="D205" s="23" t="inlineStr">
        <is>
          <t>Outside city neighbourhoods</t>
        </is>
      </c>
      <c r="E205" s="23" t="inlineStr">
        <is>
          <t>Newcastle West</t>
        </is>
      </c>
      <c r="F205" s="23" t="inlineStr">
        <is>
          <t>County – audit not yet supplied</t>
        </is>
      </c>
      <c r="G205" s="23" t="n"/>
      <c r="H205" s="23" t="inlineStr">
        <is>
          <t>Private</t>
        </is>
      </c>
      <c r="I205" s="23" t="inlineStr">
        <is>
          <t>Market (incl. Part V)</t>
        </is>
      </c>
      <c r="J205" s="23" t="inlineStr">
        <is>
          <t>Standard planning application</t>
        </is>
      </c>
      <c r="K205" s="23" t="inlineStr">
        <is>
          <t>Under construction</t>
        </is>
      </c>
      <c r="L205" s="23" t="inlineStr">
        <is>
          <t>On Site</t>
        </is>
      </c>
      <c r="M205" s="23" t="n">
        <v>12</v>
      </c>
      <c r="N205" s="23" t="n"/>
      <c r="O205" s="23" t="inlineStr">
        <is>
          <t>2024-05-01</t>
        </is>
      </c>
      <c r="P205" s="23" t="inlineStr">
        <is>
          <t>2024-09-30</t>
        </is>
      </c>
      <c r="Q205" s="23" t="inlineStr">
        <is>
          <t>2027-05-02</t>
        </is>
      </c>
      <c r="R205" s="23" t="inlineStr">
        <is>
          <t>2024 Q4</t>
        </is>
      </c>
      <c r="S205" s="23" t="inlineStr">
        <is>
          <t>2027 Q4</t>
        </is>
      </c>
      <c r="T205" s="23" t="inlineStr">
        <is>
          <t>High</t>
        </is>
      </c>
      <c r="U205" s="23" t="inlineStr">
        <is>
          <t>On site: started 2024-09</t>
        </is>
      </c>
      <c r="V205" s="23" t="n">
        <v>0</v>
      </c>
      <c r="W205" s="23" t="n">
        <v>2.8</v>
      </c>
      <c r="X205" s="23" t="n">
        <v>9.199999999999999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>
      <c r="A206" s="23" t="inlineStr">
        <is>
          <t>1065293</t>
        </is>
      </c>
      <c r="B206" s="23" t="inlineStr">
        <is>
          <t>19872</t>
        </is>
      </c>
      <c r="C206" s="23" t="inlineStr">
        <is>
          <t xml:space="preserve">€1.3m - Care Residential Units </t>
        </is>
      </c>
      <c r="D206" s="23" t="inlineStr">
        <is>
          <t>Outside city neighbourhoods</t>
        </is>
      </c>
      <c r="E206" s="23" t="inlineStr">
        <is>
          <t>Cappamore</t>
        </is>
      </c>
      <c r="F206" s="23" t="inlineStr">
        <is>
          <t>County – audit not yet supplied</t>
        </is>
      </c>
      <c r="G206" s="23" t="n"/>
      <c r="H206" s="23" t="inlineStr">
        <is>
          <t>Private</t>
        </is>
      </c>
      <c r="I206" s="23" t="inlineStr">
        <is>
          <t>Market (incl. Part V)</t>
        </is>
      </c>
      <c r="J206" s="23" t="inlineStr">
        <is>
          <t>Standard planning application</t>
        </is>
      </c>
      <c r="K206" s="23" t="inlineStr">
        <is>
          <t>Under construction</t>
        </is>
      </c>
      <c r="L206" s="23" t="inlineStr">
        <is>
          <t>On Site</t>
        </is>
      </c>
      <c r="M206" s="23" t="n">
        <v>10</v>
      </c>
      <c r="N206" s="23" t="n"/>
      <c r="O206" s="23" t="inlineStr">
        <is>
          <t>2020-02-25</t>
        </is>
      </c>
      <c r="P206" s="23" t="inlineStr">
        <is>
          <t>2024-05-08</t>
        </is>
      </c>
      <c r="Q206" s="23" t="inlineStr">
        <is>
          <t>2025-02-24</t>
        </is>
      </c>
      <c r="R206" s="23" t="inlineStr">
        <is>
          <t>2024 Q2</t>
        </is>
      </c>
      <c r="S206" s="23" t="inlineStr">
        <is>
          <t>2027 Q4</t>
        </is>
      </c>
      <c r="T206" s="23" t="inlineStr">
        <is>
          <t>High</t>
        </is>
      </c>
      <c r="U206" s="23" t="inlineStr">
        <is>
          <t>On site: started 2024-05</t>
        </is>
      </c>
      <c r="V206" s="23" t="n">
        <v>0</v>
      </c>
      <c r="W206" s="23" t="n">
        <v>2.3</v>
      </c>
      <c r="X206" s="23" t="n">
        <v>7.7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>
      <c r="A207" s="23" t="inlineStr">
        <is>
          <t>1424781</t>
        </is>
      </c>
      <c r="B207" s="23" t="inlineStr">
        <is>
          <t>2560977</t>
        </is>
      </c>
      <c r="C207" s="23" t="inlineStr">
        <is>
          <t>€2.7m - Self Catering Accommodation Lodges, Adare</t>
        </is>
      </c>
      <c r="D207" s="23" t="inlineStr">
        <is>
          <t>Outside city neighbourhoods</t>
        </is>
      </c>
      <c r="E207" s="23" t="inlineStr">
        <is>
          <t>Rathkeale</t>
        </is>
      </c>
      <c r="F207" s="23" t="inlineStr">
        <is>
          <t>County – audit not yet supplied</t>
        </is>
      </c>
      <c r="G207" s="23" t="n"/>
      <c r="H207" s="23" t="inlineStr">
        <is>
          <t>Private</t>
        </is>
      </c>
      <c r="I207" s="23" t="inlineStr">
        <is>
          <t>Market (incl. Part V)</t>
        </is>
      </c>
      <c r="J207" s="23" t="inlineStr">
        <is>
          <t>Standard planning application</t>
        </is>
      </c>
      <c r="K207" s="23" t="inlineStr">
        <is>
          <t>Under construction</t>
        </is>
      </c>
      <c r="L207" s="23" t="inlineStr">
        <is>
          <t>On Site</t>
        </is>
      </c>
      <c r="M207" s="23" t="n">
        <v>10</v>
      </c>
      <c r="N207" s="23" t="n"/>
      <c r="O207" s="23" t="inlineStr">
        <is>
          <t>2026-03-23</t>
        </is>
      </c>
      <c r="P207" s="23" t="inlineStr">
        <is>
          <t>2026-06-01</t>
        </is>
      </c>
      <c r="Q207" s="23" t="inlineStr">
        <is>
          <t>2031-03-22</t>
        </is>
      </c>
      <c r="R207" s="23" t="inlineStr">
        <is>
          <t>2026 Q2</t>
        </is>
      </c>
      <c r="S207" s="23" t="inlineStr">
        <is>
          <t>2028 Q2</t>
        </is>
      </c>
      <c r="T207" s="23" t="inlineStr">
        <is>
          <t>High</t>
        </is>
      </c>
      <c r="U207" s="23" t="inlineStr">
        <is>
          <t>On site: started 2026-06</t>
        </is>
      </c>
      <c r="V207" s="23" t="n">
        <v>0</v>
      </c>
      <c r="W207" s="23" t="n">
        <v>0</v>
      </c>
      <c r="X207" s="23" t="n">
        <v>6.9</v>
      </c>
      <c r="Y207" s="23" t="n">
        <v>3.1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>
      <c r="A208" s="23" t="inlineStr">
        <is>
          <t>1417331</t>
        </is>
      </c>
      <c r="B208" s="23" t="inlineStr">
        <is>
          <t>2561211</t>
        </is>
      </c>
      <c r="C208" s="23" t="inlineStr">
        <is>
          <t>€1.8m - Residential Development, Newcastle West</t>
        </is>
      </c>
      <c r="D208" s="23" t="inlineStr">
        <is>
          <t>Outside city neighbourhoods</t>
        </is>
      </c>
      <c r="E208" s="23" t="inlineStr">
        <is>
          <t>Newcastle West</t>
        </is>
      </c>
      <c r="F208" s="23" t="inlineStr">
        <is>
          <t>County – audit not yet supplied</t>
        </is>
      </c>
      <c r="G208" s="23" t="n"/>
      <c r="H208" s="23" t="inlineStr">
        <is>
          <t>Private</t>
        </is>
      </c>
      <c r="I208" s="23" t="inlineStr">
        <is>
          <t>Market (incl. Part V)</t>
        </is>
      </c>
      <c r="J208" s="23" t="inlineStr">
        <is>
          <t>Standard planning application</t>
        </is>
      </c>
      <c r="K208" s="23" t="inlineStr">
        <is>
          <t>Not started – permission live</t>
        </is>
      </c>
      <c r="L208" s="23" t="inlineStr">
        <is>
          <t>Contract Awarded</t>
        </is>
      </c>
      <c r="M208" s="23" t="n">
        <v>10</v>
      </c>
      <c r="N208" s="23" t="n"/>
      <c r="O208" s="23" t="inlineStr">
        <is>
          <t>2026-02-26</t>
        </is>
      </c>
      <c r="P208" s="23" t="n"/>
      <c r="Q208" s="23" t="inlineStr">
        <is>
          <t>2031-02-25</t>
        </is>
      </c>
      <c r="R208" s="23" t="inlineStr">
        <is>
          <t>2027 Q2</t>
        </is>
      </c>
      <c r="S208" s="23" t="inlineStr">
        <is>
          <t>2029 Q1</t>
        </is>
      </c>
      <c r="T208" s="23" t="inlineStr">
        <is>
          <t>Medium</t>
        </is>
      </c>
      <c r="U208" s="23" t="inlineStr">
        <is>
          <t>Contract Awarded (CIS): start assumed within 6 months</t>
        </is>
      </c>
      <c r="V208" s="23" t="n">
        <v>0</v>
      </c>
      <c r="W208" s="23" t="n">
        <v>0</v>
      </c>
      <c r="X208" s="23" t="n">
        <v>0</v>
      </c>
      <c r="Y208" s="23" t="n">
        <v>8.4</v>
      </c>
      <c r="Z208" s="23" t="n">
        <v>1.6</v>
      </c>
      <c r="AA208" s="23" t="n">
        <v>0</v>
      </c>
      <c r="AB208" s="23" t="n">
        <v>0</v>
      </c>
      <c r="AC208" s="23" t="n">
        <v>0</v>
      </c>
    </row>
    <row r="209">
      <c r="A209" s="23" t="inlineStr">
        <is>
          <t>1164066</t>
        </is>
      </c>
      <c r="B209" s="23" t="inlineStr">
        <is>
          <t>21550</t>
        </is>
      </c>
      <c r="C209" s="23" t="inlineStr">
        <is>
          <t xml:space="preserve">€1.9m - 9 Houses </t>
        </is>
      </c>
      <c r="D209" s="23" t="inlineStr">
        <is>
          <t>Outside city neighbourhoods</t>
        </is>
      </c>
      <c r="E209" s="23" t="inlineStr">
        <is>
          <t>Caherconlish</t>
        </is>
      </c>
      <c r="F209" s="23" t="inlineStr">
        <is>
          <t>County – audit not yet supplied</t>
        </is>
      </c>
      <c r="G209" s="23" t="n"/>
      <c r="H209" s="23" t="inlineStr">
        <is>
          <t>Private</t>
        </is>
      </c>
      <c r="I209" s="23" t="inlineStr">
        <is>
          <t>Market (incl. Part V)</t>
        </is>
      </c>
      <c r="J209" s="23" t="inlineStr">
        <is>
          <t>Standard planning application</t>
        </is>
      </c>
      <c r="K209" s="23" t="inlineStr">
        <is>
          <t>Complete</t>
        </is>
      </c>
      <c r="L209" s="23" t="inlineStr">
        <is>
          <t>Complete</t>
        </is>
      </c>
      <c r="M209" s="23" t="n">
        <v>9</v>
      </c>
      <c r="N209" s="23" t="n"/>
      <c r="O209" s="23" t="inlineStr">
        <is>
          <t>2022-02-23</t>
        </is>
      </c>
      <c r="P209" s="23" t="inlineStr">
        <is>
          <t>2024-04-11</t>
        </is>
      </c>
      <c r="Q209" s="23" t="inlineStr">
        <is>
          <t>2027-02-22</t>
        </is>
      </c>
      <c r="R209" s="23" t="n"/>
      <c r="S209" s="23" t="n"/>
      <c r="T209" s="23" t="inlineStr">
        <is>
          <t>Delivered</t>
        </is>
      </c>
      <c r="U209" s="23" t="inlineStr">
        <is>
          <t>Complete (CIS)</t>
        </is>
      </c>
      <c r="V209" s="23" t="n">
        <v>9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0</v>
      </c>
      <c r="AB209" s="23" t="n">
        <v>0</v>
      </c>
      <c r="AC209" s="23" t="n">
        <v>0</v>
      </c>
    </row>
    <row r="210">
      <c r="A210" s="23" t="inlineStr">
        <is>
          <t>1057729</t>
        </is>
      </c>
      <c r="B210" s="23" t="inlineStr">
        <is>
          <t>19689</t>
        </is>
      </c>
      <c r="C210" s="23" t="inlineStr">
        <is>
          <t xml:space="preserve">€2.2m - 9 Houses </t>
        </is>
      </c>
      <c r="D210" s="23" t="inlineStr">
        <is>
          <t>Outside city neighbourhoods</t>
        </is>
      </c>
      <c r="E210" s="23" t="inlineStr">
        <is>
          <t>Patrickswell</t>
        </is>
      </c>
      <c r="F210" s="23" t="inlineStr">
        <is>
          <t>County – audit not yet supplied</t>
        </is>
      </c>
      <c r="G210" s="23" t="n"/>
      <c r="H210" s="23" t="inlineStr">
        <is>
          <t>Private</t>
        </is>
      </c>
      <c r="I210" s="23" t="inlineStr">
        <is>
          <t>Market (incl. Part V)</t>
        </is>
      </c>
      <c r="J210" s="23" t="inlineStr">
        <is>
          <t>Standard planning application</t>
        </is>
      </c>
      <c r="K210" s="23" t="inlineStr">
        <is>
          <t>Under construction</t>
        </is>
      </c>
      <c r="L210" s="23" t="inlineStr">
        <is>
          <t>On Site</t>
        </is>
      </c>
      <c r="M210" s="23" t="n">
        <v>9</v>
      </c>
      <c r="N210" s="23" t="n"/>
      <c r="O210" s="23" t="inlineStr">
        <is>
          <t>2020-02-27</t>
        </is>
      </c>
      <c r="P210" s="23" t="inlineStr">
        <is>
          <t>2024-03-21</t>
        </is>
      </c>
      <c r="Q210" s="23" t="inlineStr">
        <is>
          <t>2026-09-05</t>
        </is>
      </c>
      <c r="R210" s="23" t="inlineStr">
        <is>
          <t>2024 Q1</t>
        </is>
      </c>
      <c r="S210" s="23" t="inlineStr">
        <is>
          <t>2027 Q4</t>
        </is>
      </c>
      <c r="T210" s="23" t="inlineStr">
        <is>
          <t>High</t>
        </is>
      </c>
      <c r="U210" s="23" t="inlineStr">
        <is>
          <t>On site: started 2024-03</t>
        </is>
      </c>
      <c r="V210" s="23" t="n">
        <v>0</v>
      </c>
      <c r="W210" s="23" t="n">
        <v>2.1</v>
      </c>
      <c r="X210" s="23" t="n">
        <v>6.9</v>
      </c>
      <c r="Y210" s="23" t="n">
        <v>0</v>
      </c>
      <c r="Z210" s="23" t="n">
        <v>0</v>
      </c>
      <c r="AA210" s="23" t="n">
        <v>0</v>
      </c>
      <c r="AB210" s="23" t="n">
        <v>0</v>
      </c>
      <c r="AC210" s="23" t="n">
        <v>0</v>
      </c>
    </row>
    <row r="211">
      <c r="A211" s="23" t="inlineStr">
        <is>
          <t>1174682</t>
        </is>
      </c>
      <c r="B211" s="23" t="inlineStr">
        <is>
          <t>21873</t>
        </is>
      </c>
      <c r="C211" s="23" t="inlineStr">
        <is>
          <t>€1.7 - 9 Houses, Patrickswell</t>
        </is>
      </c>
      <c r="D211" s="23" t="inlineStr">
        <is>
          <t>Outside city neighbourhoods</t>
        </is>
      </c>
      <c r="E211" s="23" t="inlineStr">
        <is>
          <t>Patrickswell</t>
        </is>
      </c>
      <c r="F211" s="23" t="inlineStr">
        <is>
          <t>County – audit not yet supplied</t>
        </is>
      </c>
      <c r="G211" s="23" t="n"/>
      <c r="H211" s="23" t="inlineStr">
        <is>
          <t>Private</t>
        </is>
      </c>
      <c r="I211" s="23" t="inlineStr">
        <is>
          <t>Market (incl. Part V)</t>
        </is>
      </c>
      <c r="J211" s="23" t="inlineStr">
        <is>
          <t>Standard planning application</t>
        </is>
      </c>
      <c r="K211" s="23" t="inlineStr">
        <is>
          <t>Complete</t>
        </is>
      </c>
      <c r="L211" s="23" t="inlineStr">
        <is>
          <t>Complete</t>
        </is>
      </c>
      <c r="M211" s="23" t="n">
        <v>9</v>
      </c>
      <c r="N211" s="23" t="n"/>
      <c r="O211" s="23" t="inlineStr">
        <is>
          <t>2022-07-14</t>
        </is>
      </c>
      <c r="P211" s="23" t="inlineStr">
        <is>
          <t>2024-03-18</t>
        </is>
      </c>
      <c r="Q211" s="23" t="inlineStr">
        <is>
          <t>2027-07-13</t>
        </is>
      </c>
      <c r="R211" s="23" t="n"/>
      <c r="S211" s="23" t="n"/>
      <c r="T211" s="23" t="inlineStr">
        <is>
          <t>Delivered</t>
        </is>
      </c>
      <c r="U211" s="23" t="inlineStr">
        <is>
          <t>Complete (CIS)</t>
        </is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>
      <c r="A212" s="23" t="inlineStr">
        <is>
          <t>1414007</t>
        </is>
      </c>
      <c r="B212" s="23" t="inlineStr">
        <is>
          <t>2560947</t>
        </is>
      </c>
      <c r="C212" s="23" t="inlineStr">
        <is>
          <t>€1m - 8 Houses, Bruff</t>
        </is>
      </c>
      <c r="D212" s="23" t="inlineStr">
        <is>
          <t>Outside city neighbourhoods</t>
        </is>
      </c>
      <c r="E212" s="23" t="inlineStr">
        <is>
          <t>Bruff</t>
        </is>
      </c>
      <c r="F212" s="23" t="inlineStr">
        <is>
          <t>County – audit not yet supplied</t>
        </is>
      </c>
      <c r="G212" s="23" t="n"/>
      <c r="H212" s="23" t="inlineStr">
        <is>
          <t>Private</t>
        </is>
      </c>
      <c r="I212" s="23" t="inlineStr">
        <is>
          <t>Market (incl. Part V)</t>
        </is>
      </c>
      <c r="J212" s="23" t="inlineStr">
        <is>
          <t>Standard planning application</t>
        </is>
      </c>
      <c r="K212" s="23" t="inlineStr">
        <is>
          <t>Not started – permission live</t>
        </is>
      </c>
      <c r="L212" s="23" t="inlineStr">
        <is>
          <t>Permission Granted</t>
        </is>
      </c>
      <c r="M212" s="23" t="n">
        <v>8</v>
      </c>
      <c r="N212" s="23" t="n"/>
      <c r="O212" s="23" t="inlineStr">
        <is>
          <t>2026-09-02</t>
        </is>
      </c>
      <c r="P212" s="23" t="n"/>
      <c r="Q212" s="23" t="inlineStr">
        <is>
          <t>2031-09-02</t>
        </is>
      </c>
      <c r="R212" s="23" t="inlineStr">
        <is>
          <t>2027 Q4</t>
        </is>
      </c>
      <c r="S212" s="23" t="inlineStr">
        <is>
          <t>2029 Q4</t>
        </is>
      </c>
      <c r="T212" s="23" t="inlineStr">
        <is>
          <t>Medium</t>
        </is>
      </c>
      <c r="U212" s="23" t="inlineStr">
        <is>
          <t>Permitted 2026-09; typical start 1.3 yrs after grant</t>
        </is>
      </c>
      <c r="V212" s="23" t="n">
        <v>0</v>
      </c>
      <c r="W212" s="23" t="n">
        <v>0</v>
      </c>
      <c r="X212" s="23" t="n">
        <v>0</v>
      </c>
      <c r="Y212" s="23" t="n">
        <v>0.5</v>
      </c>
      <c r="Z212" s="23" t="n">
        <v>7.5</v>
      </c>
      <c r="AA212" s="23" t="n">
        <v>0</v>
      </c>
      <c r="AB212" s="23" t="n">
        <v>0</v>
      </c>
      <c r="AC212" s="23" t="n">
        <v>0</v>
      </c>
    </row>
    <row r="213">
      <c r="A213" s="23" t="inlineStr">
        <is>
          <t>1293390</t>
        </is>
      </c>
      <c r="B213" s="23" t="inlineStr">
        <is>
          <t>2360393</t>
        </is>
      </c>
      <c r="C213" s="23" t="inlineStr">
        <is>
          <t xml:space="preserve">€604k - 8 Residential Units </t>
        </is>
      </c>
      <c r="D213" s="23" t="inlineStr">
        <is>
          <t>Outside city neighbourhoods</t>
        </is>
      </c>
      <c r="E213" s="23" t="inlineStr">
        <is>
          <t>Other County Limerick</t>
        </is>
      </c>
      <c r="F213" s="23" t="inlineStr">
        <is>
          <t>County – audit not yet supplied</t>
        </is>
      </c>
      <c r="G213" s="23" t="n"/>
      <c r="H213" s="23" t="inlineStr">
        <is>
          <t>Private</t>
        </is>
      </c>
      <c r="I213" s="23" t="inlineStr">
        <is>
          <t>Market (incl. Part V)</t>
        </is>
      </c>
      <c r="J213" s="23" t="inlineStr">
        <is>
          <t>Standard planning application</t>
        </is>
      </c>
      <c r="K213" s="23" t="inlineStr">
        <is>
          <t>Complete</t>
        </is>
      </c>
      <c r="L213" s="23" t="inlineStr">
        <is>
          <t>Complete</t>
        </is>
      </c>
      <c r="M213" s="23" t="n">
        <v>8</v>
      </c>
      <c r="N213" s="23" t="n"/>
      <c r="O213" s="23" t="inlineStr">
        <is>
          <t>2023-12-05</t>
        </is>
      </c>
      <c r="P213" s="23" t="inlineStr">
        <is>
          <t>2024-09-30</t>
        </is>
      </c>
      <c r="Q213" s="23" t="inlineStr">
        <is>
          <t>2028-12-04</t>
        </is>
      </c>
      <c r="R213" s="23" t="n"/>
      <c r="S213" s="23" t="n"/>
      <c r="T213" s="23" t="inlineStr">
        <is>
          <t>Delivered</t>
        </is>
      </c>
      <c r="U213" s="23" t="inlineStr">
        <is>
          <t>Complete (CIS)</t>
        </is>
      </c>
      <c r="V213" s="23" t="n">
        <v>8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>
      <c r="A214" s="23" t="inlineStr">
        <is>
          <t>1375398</t>
        </is>
      </c>
      <c r="B214" s="23" t="inlineStr">
        <is>
          <t>2461101</t>
        </is>
      </c>
      <c r="C214" s="23" t="inlineStr">
        <is>
          <t>€1.4m - 7 Houses</t>
        </is>
      </c>
      <c r="D214" s="23" t="inlineStr">
        <is>
          <t>Outside city neighbourhoods</t>
        </is>
      </c>
      <c r="E214" s="23" t="inlineStr">
        <is>
          <t>Cappamore</t>
        </is>
      </c>
      <c r="F214" s="23" t="inlineStr">
        <is>
          <t>County – audit not yet supplied</t>
        </is>
      </c>
      <c r="G214" s="23" t="n"/>
      <c r="H214" s="23" t="inlineStr">
        <is>
          <t>Private</t>
        </is>
      </c>
      <c r="I214" s="23" t="inlineStr">
        <is>
          <t>Market (incl. Part V)</t>
        </is>
      </c>
      <c r="J214" s="23" t="inlineStr">
        <is>
          <t>Standard planning application</t>
        </is>
      </c>
      <c r="K214" s="23" t="inlineStr">
        <is>
          <t>Not started – permission live</t>
        </is>
      </c>
      <c r="L214" s="23" t="inlineStr">
        <is>
          <t>Permission Granted</t>
        </is>
      </c>
      <c r="M214" s="23" t="n">
        <v>7</v>
      </c>
      <c r="N214" s="23" t="n"/>
      <c r="O214" s="23" t="inlineStr">
        <is>
          <t>2025-07-30</t>
        </is>
      </c>
      <c r="P214" s="23" t="n"/>
      <c r="Q214" s="23" t="inlineStr">
        <is>
          <t>2028-10-16</t>
        </is>
      </c>
      <c r="R214" s="23" t="inlineStr">
        <is>
          <t>2027 Q3</t>
        </is>
      </c>
      <c r="S214" s="23" t="inlineStr">
        <is>
          <t>2029 Q2</t>
        </is>
      </c>
      <c r="T214" s="23" t="inlineStr">
        <is>
          <t>Low</t>
        </is>
      </c>
      <c r="U214" s="23" t="inlineStr">
        <is>
          <t>Permitted 2025-07, past typical start date with no commencement: start assumed in 9 months</t>
        </is>
      </c>
      <c r="V214" s="23" t="n">
        <v>0</v>
      </c>
      <c r="W214" s="23" t="n">
        <v>0</v>
      </c>
      <c r="X214" s="23" t="n">
        <v>0</v>
      </c>
      <c r="Y214" s="23" t="n">
        <v>4.4</v>
      </c>
      <c r="Z214" s="23" t="n">
        <v>2.6</v>
      </c>
      <c r="AA214" s="23" t="n">
        <v>0</v>
      </c>
      <c r="AB214" s="23" t="n">
        <v>0</v>
      </c>
      <c r="AC214" s="23" t="n">
        <v>0</v>
      </c>
    </row>
    <row r="215">
      <c r="A215" s="23" t="inlineStr">
        <is>
          <t>1014706</t>
        </is>
      </c>
      <c r="B215" s="23" t="inlineStr">
        <is>
          <t>18994</t>
        </is>
      </c>
      <c r="C215" s="23" t="inlineStr">
        <is>
          <t>€553k - 6 Houses</t>
        </is>
      </c>
      <c r="D215" s="23" t="inlineStr">
        <is>
          <t>Outside city neighbourhoods</t>
        </is>
      </c>
      <c r="E215" s="23" t="inlineStr">
        <is>
          <t>Newcastle West</t>
        </is>
      </c>
      <c r="F215" s="23" t="inlineStr">
        <is>
          <t>County – audit not yet supplied</t>
        </is>
      </c>
      <c r="G215" s="23" t="n"/>
      <c r="H215" s="23" t="inlineStr">
        <is>
          <t>Private</t>
        </is>
      </c>
      <c r="I215" s="23" t="inlineStr">
        <is>
          <t>Market (incl. Part V)</t>
        </is>
      </c>
      <c r="J215" s="23" t="inlineStr">
        <is>
          <t>Standard planning application</t>
        </is>
      </c>
      <c r="K215" s="23" t="inlineStr">
        <is>
          <t>Complete</t>
        </is>
      </c>
      <c r="L215" s="23" t="inlineStr">
        <is>
          <t>Complete</t>
        </is>
      </c>
      <c r="M215" s="23" t="n">
        <v>6</v>
      </c>
      <c r="N215" s="23" t="n"/>
      <c r="O215" s="23" t="inlineStr">
        <is>
          <t>2019-11-13</t>
        </is>
      </c>
      <c r="P215" s="23" t="inlineStr">
        <is>
          <t>2023-07-12</t>
        </is>
      </c>
      <c r="Q215" s="23" t="inlineStr">
        <is>
          <t>2024-11-12</t>
        </is>
      </c>
      <c r="R215" s="23" t="n"/>
      <c r="S215" s="23" t="n"/>
      <c r="T215" s="23" t="inlineStr">
        <is>
          <t>Delivered</t>
        </is>
      </c>
      <c r="U215" s="23" t="inlineStr">
        <is>
          <t>Complete (CIS)</t>
        </is>
      </c>
      <c r="V215" s="23" t="n">
        <v>6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>
      <c r="A216" s="23" t="inlineStr">
        <is>
          <t>1098119</t>
        </is>
      </c>
      <c r="B216" s="23" t="inlineStr">
        <is>
          <t>20314</t>
        </is>
      </c>
      <c r="C216" s="23" t="inlineStr">
        <is>
          <t xml:space="preserve">€1.1m - 6 Houses </t>
        </is>
      </c>
      <c r="D216" s="23" t="inlineStr">
        <is>
          <t>Outside city neighbourhoods</t>
        </is>
      </c>
      <c r="E216" s="23" t="inlineStr">
        <is>
          <t>Adare</t>
        </is>
      </c>
      <c r="F216" s="23" t="inlineStr">
        <is>
          <t>County – audit not yet supplied</t>
        </is>
      </c>
      <c r="G216" s="23" t="n"/>
      <c r="H216" s="23" t="inlineStr">
        <is>
          <t>Private</t>
        </is>
      </c>
      <c r="I216" s="23" t="inlineStr">
        <is>
          <t>Market (incl. Part V)</t>
        </is>
      </c>
      <c r="J216" s="23" t="inlineStr">
        <is>
          <t>Standard planning application</t>
        </is>
      </c>
      <c r="K216" s="23" t="inlineStr">
        <is>
          <t>Under construction</t>
        </is>
      </c>
      <c r="L216" s="23" t="inlineStr">
        <is>
          <t>On Site</t>
        </is>
      </c>
      <c r="M216" s="23" t="n">
        <v>6</v>
      </c>
      <c r="N216" s="23" t="n"/>
      <c r="O216" s="23" t="inlineStr">
        <is>
          <t>2020-08-11</t>
        </is>
      </c>
      <c r="P216" s="23" t="inlineStr">
        <is>
          <t>2021-12-09</t>
        </is>
      </c>
      <c r="Q216" s="23" t="inlineStr">
        <is>
          <t>2025-08-10</t>
        </is>
      </c>
      <c r="R216" s="23" t="inlineStr">
        <is>
          <t>2021 Q4</t>
        </is>
      </c>
      <c r="S216" s="23" t="inlineStr">
        <is>
          <t>2027 Q4</t>
        </is>
      </c>
      <c r="T216" s="23" t="inlineStr">
        <is>
          <t>High</t>
        </is>
      </c>
      <c r="U216" s="23" t="inlineStr">
        <is>
          <t>On site: started 2021-12</t>
        </is>
      </c>
      <c r="V216" s="23" t="n">
        <v>0</v>
      </c>
      <c r="W216" s="23" t="n">
        <v>1.4</v>
      </c>
      <c r="X216" s="23" t="n">
        <v>4.6</v>
      </c>
      <c r="Y216" s="23" t="n">
        <v>0</v>
      </c>
      <c r="Z216" s="23" t="n">
        <v>0</v>
      </c>
      <c r="AA216" s="23" t="n">
        <v>0</v>
      </c>
      <c r="AB216" s="23" t="n">
        <v>0</v>
      </c>
      <c r="AC216" s="23" t="n">
        <v>0</v>
      </c>
    </row>
    <row r="217">
      <c r="A217" s="23" t="inlineStr">
        <is>
          <t>1409727</t>
        </is>
      </c>
      <c r="B217" s="23" t="inlineStr">
        <is>
          <t>2560633</t>
        </is>
      </c>
      <c r="C217" s="23" t="inlineStr">
        <is>
          <t>€2.4m - 6 Houses</t>
        </is>
      </c>
      <c r="D217" s="23" t="inlineStr">
        <is>
          <t>Outside city neighbourhoods</t>
        </is>
      </c>
      <c r="E217" s="23" t="inlineStr">
        <is>
          <t>Patrickswell</t>
        </is>
      </c>
      <c r="F217" s="23" t="inlineStr">
        <is>
          <t>County – audit not yet supplied</t>
        </is>
      </c>
      <c r="G217" s="23" t="n"/>
      <c r="H217" s="23" t="inlineStr">
        <is>
          <t>Private</t>
        </is>
      </c>
      <c r="I217" s="23" t="inlineStr">
        <is>
          <t>Market (incl. Part V)</t>
        </is>
      </c>
      <c r="J217" s="23" t="inlineStr">
        <is>
          <t>Standard planning application</t>
        </is>
      </c>
      <c r="K217" s="23" t="inlineStr">
        <is>
          <t>Not started – permission live</t>
        </is>
      </c>
      <c r="L217" s="23" t="inlineStr">
        <is>
          <t>Permission Granted</t>
        </is>
      </c>
      <c r="M217" s="23" t="n">
        <v>6</v>
      </c>
      <c r="N217" s="23" t="n"/>
      <c r="O217" s="23" t="inlineStr">
        <is>
          <t>2026-04-01</t>
        </is>
      </c>
      <c r="P217" s="23" t="n"/>
      <c r="Q217" s="23" t="inlineStr">
        <is>
          <t>2031-03-31</t>
        </is>
      </c>
      <c r="R217" s="23" t="inlineStr">
        <is>
          <t>2027 Q3</t>
        </is>
      </c>
      <c r="S217" s="23" t="inlineStr">
        <is>
          <t>2029 Q2</t>
        </is>
      </c>
      <c r="T217" s="23" t="inlineStr">
        <is>
          <t>Medium</t>
        </is>
      </c>
      <c r="U217" s="23" t="inlineStr">
        <is>
          <t>Permitted 2026-04; typical start 1.3 yrs after grant</t>
        </is>
      </c>
      <c r="V217" s="23" t="n">
        <v>0</v>
      </c>
      <c r="W217" s="23" t="n">
        <v>0</v>
      </c>
      <c r="X217" s="23" t="n">
        <v>0</v>
      </c>
      <c r="Y217" s="23" t="n">
        <v>3.7</v>
      </c>
      <c r="Z217" s="23" t="n">
        <v>2.3</v>
      </c>
      <c r="AA217" s="23" t="n">
        <v>0</v>
      </c>
      <c r="AB217" s="23" t="n">
        <v>0</v>
      </c>
      <c r="AC217" s="23" t="n">
        <v>0</v>
      </c>
    </row>
    <row r="218">
      <c r="A218" s="23" t="inlineStr">
        <is>
          <t>1316698</t>
        </is>
      </c>
      <c r="B218" s="23" t="inlineStr">
        <is>
          <t>2360798</t>
        </is>
      </c>
      <c r="C218" s="23" t="inlineStr">
        <is>
          <t xml:space="preserve">€1.2m - 6 Houses </t>
        </is>
      </c>
      <c r="D218" s="23" t="inlineStr">
        <is>
          <t>Outside city neighbourhoods</t>
        </is>
      </c>
      <c r="E218" s="23" t="inlineStr">
        <is>
          <t>Other County Limerick</t>
        </is>
      </c>
      <c r="F218" s="23" t="inlineStr">
        <is>
          <t>County – audit not yet supplied</t>
        </is>
      </c>
      <c r="G218" s="23" t="n"/>
      <c r="H218" s="23" t="inlineStr">
        <is>
          <t>Private</t>
        </is>
      </c>
      <c r="I218" s="23" t="inlineStr">
        <is>
          <t>Market (incl. Part V)</t>
        </is>
      </c>
      <c r="J218" s="23" t="inlineStr">
        <is>
          <t>Standard planning application</t>
        </is>
      </c>
      <c r="K218" s="23" t="inlineStr">
        <is>
          <t>Under construction</t>
        </is>
      </c>
      <c r="L218" s="23" t="inlineStr">
        <is>
          <t>On Site</t>
        </is>
      </c>
      <c r="M218" s="23" t="n">
        <v>6</v>
      </c>
      <c r="N218" s="23" t="n"/>
      <c r="O218" s="23" t="inlineStr">
        <is>
          <t>2024-10-31</t>
        </is>
      </c>
      <c r="P218" s="23" t="inlineStr">
        <is>
          <t>2025-07-07</t>
        </is>
      </c>
      <c r="Q218" s="23" t="inlineStr">
        <is>
          <t>2029-10-30</t>
        </is>
      </c>
      <c r="R218" s="23" t="inlineStr">
        <is>
          <t>2025 Q3</t>
        </is>
      </c>
      <c r="S218" s="23" t="inlineStr">
        <is>
          <t>2027 Q4</t>
        </is>
      </c>
      <c r="T218" s="23" t="inlineStr">
        <is>
          <t>High</t>
        </is>
      </c>
      <c r="U218" s="23" t="inlineStr">
        <is>
          <t>On site: started 2025-07</t>
        </is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>
      <c r="A219" s="23" t="inlineStr">
        <is>
          <t>1036712</t>
        </is>
      </c>
      <c r="B219" s="23" t="inlineStr">
        <is>
          <t>19233</t>
        </is>
      </c>
      <c r="C219" s="23" t="inlineStr">
        <is>
          <t xml:space="preserve">€931k - 5 Houses </t>
        </is>
      </c>
      <c r="D219" s="23" t="inlineStr">
        <is>
          <t>Outside city neighbourhoods</t>
        </is>
      </c>
      <c r="E219" s="23" t="inlineStr">
        <is>
          <t>Kilmallock</t>
        </is>
      </c>
      <c r="F219" s="23" t="inlineStr">
        <is>
          <t>County – audit not yet supplied</t>
        </is>
      </c>
      <c r="G219" s="23" t="n"/>
      <c r="H219" s="23" t="inlineStr">
        <is>
          <t>Private</t>
        </is>
      </c>
      <c r="I219" s="23" t="inlineStr">
        <is>
          <t>Market (incl. Part V)</t>
        </is>
      </c>
      <c r="J219" s="23" t="inlineStr">
        <is>
          <t>Standard planning application</t>
        </is>
      </c>
      <c r="K219" s="23" t="inlineStr">
        <is>
          <t>Complete</t>
        </is>
      </c>
      <c r="L219" s="23" t="inlineStr">
        <is>
          <t>Complete</t>
        </is>
      </c>
      <c r="M219" s="23" t="n">
        <v>5</v>
      </c>
      <c r="N219" s="23" t="n"/>
      <c r="O219" s="23" t="inlineStr">
        <is>
          <t>2020-03-02</t>
        </is>
      </c>
      <c r="P219" s="23" t="inlineStr">
        <is>
          <t>2024-04-19</t>
        </is>
      </c>
      <c r="Q219" s="23" t="inlineStr">
        <is>
          <t>2025-03-01</t>
        </is>
      </c>
      <c r="R219" s="23" t="n"/>
      <c r="S219" s="23" t="n"/>
      <c r="T219" s="23" t="inlineStr">
        <is>
          <t>Delivered</t>
        </is>
      </c>
      <c r="U219" s="23" t="inlineStr">
        <is>
          <t>Complete (CIS)</t>
        </is>
      </c>
      <c r="V219" s="23" t="n">
        <v>5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0</v>
      </c>
      <c r="AB219" s="23" t="n">
        <v>0</v>
      </c>
      <c r="AC219" s="23" t="n">
        <v>0</v>
      </c>
    </row>
    <row r="220">
      <c r="A220" s="23" t="inlineStr">
        <is>
          <t>1130829</t>
        </is>
      </c>
      <c r="B220" s="23" t="inlineStr">
        <is>
          <t>201101</t>
        </is>
      </c>
      <c r="C220" s="23" t="inlineStr">
        <is>
          <t xml:space="preserve">€1m - 5 Houses </t>
        </is>
      </c>
      <c r="D220" s="23" t="inlineStr">
        <is>
          <t>Outside city neighbourhoods</t>
        </is>
      </c>
      <c r="E220" s="23" t="inlineStr">
        <is>
          <t>Adare</t>
        </is>
      </c>
      <c r="F220" s="23" t="inlineStr">
        <is>
          <t>County – audit not yet supplied</t>
        </is>
      </c>
      <c r="G220" s="23" t="n"/>
      <c r="H220" s="23" t="inlineStr">
        <is>
          <t>Private</t>
        </is>
      </c>
      <c r="I220" s="23" t="inlineStr">
        <is>
          <t>Market (incl. Part V)</t>
        </is>
      </c>
      <c r="J220" s="23" t="inlineStr">
        <is>
          <t>Standard planning application</t>
        </is>
      </c>
      <c r="K220" s="23" t="inlineStr">
        <is>
          <t>Under construction</t>
        </is>
      </c>
      <c r="L220" s="23" t="inlineStr">
        <is>
          <t>On Site</t>
        </is>
      </c>
      <c r="M220" s="23" t="n">
        <v>5</v>
      </c>
      <c r="N220" s="23" t="n"/>
      <c r="O220" s="23" t="inlineStr">
        <is>
          <t>2021-05-17</t>
        </is>
      </c>
      <c r="P220" s="23" t="inlineStr">
        <is>
          <t>2024-09-19</t>
        </is>
      </c>
      <c r="Q220" s="23" t="inlineStr">
        <is>
          <t>2024-05-16</t>
        </is>
      </c>
      <c r="R220" s="23" t="inlineStr">
        <is>
          <t>2024 Q3</t>
        </is>
      </c>
      <c r="S220" s="23" t="inlineStr">
        <is>
          <t>2027 Q4</t>
        </is>
      </c>
      <c r="T220" s="23" t="inlineStr">
        <is>
          <t>High</t>
        </is>
      </c>
      <c r="U220" s="23" t="inlineStr">
        <is>
          <t>On site: started 2024-09</t>
        </is>
      </c>
      <c r="V220" s="23" t="n">
        <v>0</v>
      </c>
      <c r="W220" s="23" t="n">
        <v>1.2</v>
      </c>
      <c r="X220" s="23" t="n">
        <v>3.8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>
      <c r="A221" s="23" t="inlineStr">
        <is>
          <t>1045778</t>
        </is>
      </c>
      <c r="B221" s="23" t="inlineStr">
        <is>
          <t>19444</t>
        </is>
      </c>
      <c r="C221" s="23" t="inlineStr">
        <is>
          <t xml:space="preserve">€2.2m - Housing Development </t>
        </is>
      </c>
      <c r="D221" s="23" t="inlineStr">
        <is>
          <t>Outside city neighbourhoods</t>
        </is>
      </c>
      <c r="E221" s="23" t="inlineStr">
        <is>
          <t>Patrickswell</t>
        </is>
      </c>
      <c r="F221" s="23" t="inlineStr">
        <is>
          <t>County – audit not yet supplied</t>
        </is>
      </c>
      <c r="G221" s="23" t="n"/>
      <c r="H221" s="23" t="inlineStr">
        <is>
          <t>Private</t>
        </is>
      </c>
      <c r="I221" s="23" t="inlineStr">
        <is>
          <t>Market (incl. Part V)</t>
        </is>
      </c>
      <c r="J221" s="23" t="inlineStr">
        <is>
          <t>Standard planning application</t>
        </is>
      </c>
      <c r="K221" s="23" t="inlineStr">
        <is>
          <t>Under construction</t>
        </is>
      </c>
      <c r="L221" s="23" t="inlineStr">
        <is>
          <t>On Site</t>
        </is>
      </c>
      <c r="M221" s="23" t="n">
        <v>5</v>
      </c>
      <c r="N221" s="23" t="n"/>
      <c r="O221" s="23" t="inlineStr">
        <is>
          <t>2019-11-05</t>
        </is>
      </c>
      <c r="P221" s="23" t="inlineStr">
        <is>
          <t>2024-04-24</t>
        </is>
      </c>
      <c r="Q221" s="23" t="inlineStr">
        <is>
          <t>2024-11-04</t>
        </is>
      </c>
      <c r="R221" s="23" t="inlineStr">
        <is>
          <t>2024 Q2</t>
        </is>
      </c>
      <c r="S221" s="23" t="inlineStr">
        <is>
          <t>2027 Q4</t>
        </is>
      </c>
      <c r="T221" s="23" t="inlineStr">
        <is>
          <t>High</t>
        </is>
      </c>
      <c r="U221" s="23" t="inlineStr">
        <is>
          <t>On site: started 2024-04</t>
        </is>
      </c>
      <c r="V221" s="23" t="n">
        <v>0</v>
      </c>
      <c r="W221" s="23" t="n">
        <v>1.2</v>
      </c>
      <c r="X221" s="23" t="n">
        <v>3.8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>
      <c r="A222" s="23" t="inlineStr">
        <is>
          <t>1079275</t>
        </is>
      </c>
      <c r="B222" s="23" t="inlineStr">
        <is>
          <t>191184</t>
        </is>
      </c>
      <c r="C222" s="23" t="inlineStr">
        <is>
          <t xml:space="preserve">€790k -  5 Houses </t>
        </is>
      </c>
      <c r="D222" s="23" t="inlineStr">
        <is>
          <t>Outside city neighbourhoods</t>
        </is>
      </c>
      <c r="E222" s="23" t="inlineStr">
        <is>
          <t>Other County Limerick</t>
        </is>
      </c>
      <c r="F222" s="23" t="inlineStr">
        <is>
          <t>County – audit not yet supplied</t>
        </is>
      </c>
      <c r="G222" s="23" t="n"/>
      <c r="H222" s="23" t="inlineStr">
        <is>
          <t>Private</t>
        </is>
      </c>
      <c r="I222" s="23" t="inlineStr">
        <is>
          <t>Market (incl. Part V)</t>
        </is>
      </c>
      <c r="J222" s="23" t="inlineStr">
        <is>
          <t>Standard planning application</t>
        </is>
      </c>
      <c r="K222" s="23" t="inlineStr">
        <is>
          <t>Under construction</t>
        </is>
      </c>
      <c r="L222" s="23" t="inlineStr">
        <is>
          <t>Commencement Expected</t>
        </is>
      </c>
      <c r="M222" s="23" t="n">
        <v>5</v>
      </c>
      <c r="N222" s="23" t="n"/>
      <c r="O222" s="23" t="inlineStr">
        <is>
          <t>2020-07-28</t>
        </is>
      </c>
      <c r="P222" s="23" t="inlineStr">
        <is>
          <t>2021-05-05</t>
        </is>
      </c>
      <c r="Q222" s="23" t="inlineStr">
        <is>
          <t>2025-07-27</t>
        </is>
      </c>
      <c r="R222" s="23" t="inlineStr">
        <is>
          <t>2021 Q2</t>
        </is>
      </c>
      <c r="S222" s="23" t="inlineStr">
        <is>
          <t>2027 Q4</t>
        </is>
      </c>
      <c r="T222" s="23" t="inlineStr">
        <is>
          <t>High</t>
        </is>
      </c>
      <c r="U222" s="23" t="inlineStr">
        <is>
          <t>On site: started 2021-05</t>
        </is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>
      <c r="A223" s="23" t="inlineStr">
        <is>
          <t>1053166</t>
        </is>
      </c>
      <c r="B223" s="23" t="inlineStr">
        <is>
          <t>197016</t>
        </is>
      </c>
      <c r="C223" s="23" t="inlineStr">
        <is>
          <t>€800k - Residential Development, Ballingarry</t>
        </is>
      </c>
      <c r="D223" s="23" t="inlineStr">
        <is>
          <t>Outside city neighbourhoods</t>
        </is>
      </c>
      <c r="E223" s="23" t="inlineStr">
        <is>
          <t>Other County Limerick</t>
        </is>
      </c>
      <c r="F223" s="23" t="inlineStr">
        <is>
          <t>County – audit not yet supplied</t>
        </is>
      </c>
      <c r="G223" s="23" t="n"/>
      <c r="H223" s="23" t="inlineStr">
        <is>
          <t>Private</t>
        </is>
      </c>
      <c r="I223" s="23" t="inlineStr">
        <is>
          <t>Market (incl. Part V)</t>
        </is>
      </c>
      <c r="J223" s="23" t="inlineStr">
        <is>
          <t>Standard planning application</t>
        </is>
      </c>
      <c r="K223" s="23" t="inlineStr">
        <is>
          <t>Under construction</t>
        </is>
      </c>
      <c r="L223" s="23" t="inlineStr">
        <is>
          <t>On Site</t>
        </is>
      </c>
      <c r="M223" s="23" t="n">
        <v>4</v>
      </c>
      <c r="N223" s="23" t="n"/>
      <c r="O223" s="23" t="inlineStr">
        <is>
          <t>2019-09-03</t>
        </is>
      </c>
      <c r="P223" s="23" t="inlineStr">
        <is>
          <t>2021-08-19</t>
        </is>
      </c>
      <c r="Q223" s="23" t="inlineStr">
        <is>
          <t>2024-07-28</t>
        </is>
      </c>
      <c r="R223" s="23" t="inlineStr">
        <is>
          <t>2021 Q3</t>
        </is>
      </c>
      <c r="S223" s="23" t="inlineStr">
        <is>
          <t>2027 Q4</t>
        </is>
      </c>
      <c r="T223" s="23" t="inlineStr">
        <is>
          <t>High</t>
        </is>
      </c>
      <c r="U223" s="23" t="inlineStr">
        <is>
          <t>On site: started 2021-08</t>
        </is>
      </c>
      <c r="V223" s="23" t="n">
        <v>0</v>
      </c>
      <c r="W223" s="23" t="n">
        <v>0.9</v>
      </c>
      <c r="X223" s="23" t="n">
        <v>3.1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>
      <c r="A224" s="23" t="inlineStr">
        <is>
          <t>1114096</t>
        </is>
      </c>
      <c r="B224" s="23" t="inlineStr">
        <is>
          <t>20678</t>
        </is>
      </c>
      <c r="C224" s="23" t="inlineStr">
        <is>
          <t>€864k - Residential Development, Tournafulla</t>
        </is>
      </c>
      <c r="D224" s="23" t="inlineStr">
        <is>
          <t>Outside city neighbourhoods</t>
        </is>
      </c>
      <c r="E224" s="23" t="inlineStr">
        <is>
          <t>Other County Limerick</t>
        </is>
      </c>
      <c r="F224" s="23" t="inlineStr">
        <is>
          <t>County – audit not yet supplied</t>
        </is>
      </c>
      <c r="G224" s="23" t="n"/>
      <c r="H224" s="23" t="inlineStr">
        <is>
          <t>Private</t>
        </is>
      </c>
      <c r="I224" s="23" t="inlineStr">
        <is>
          <t>Market (incl. Part V)</t>
        </is>
      </c>
      <c r="J224" s="23" t="inlineStr">
        <is>
          <t>Standard planning application</t>
        </is>
      </c>
      <c r="K224" s="23" t="inlineStr">
        <is>
          <t>Under construction</t>
        </is>
      </c>
      <c r="L224" s="23" t="inlineStr">
        <is>
          <t>On Site</t>
        </is>
      </c>
      <c r="M224" s="23" t="n">
        <v>4</v>
      </c>
      <c r="N224" s="23" t="n"/>
      <c r="O224" s="23" t="inlineStr">
        <is>
          <t>2021-07-22</t>
        </is>
      </c>
      <c r="P224" s="23" t="inlineStr">
        <is>
          <t>2021-11-06</t>
        </is>
      </c>
      <c r="Q224" s="23" t="inlineStr">
        <is>
          <t>2026-07-21</t>
        </is>
      </c>
      <c r="R224" s="23" t="inlineStr">
        <is>
          <t>2021 Q4</t>
        </is>
      </c>
      <c r="S224" s="23" t="inlineStr">
        <is>
          <t>2027 Q4</t>
        </is>
      </c>
      <c r="T224" s="23" t="inlineStr">
        <is>
          <t>High</t>
        </is>
      </c>
      <c r="U224" s="23" t="inlineStr">
        <is>
          <t>On site: started 2021-11</t>
        </is>
      </c>
      <c r="V224" s="23" t="n">
        <v>0</v>
      </c>
      <c r="W224" s="23" t="n">
        <v>0.9</v>
      </c>
      <c r="X224" s="23" t="n">
        <v>3.1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>
      <c r="A225" s="23" t="inlineStr">
        <is>
          <t>1395070</t>
        </is>
      </c>
      <c r="B225" s="23" t="inlineStr">
        <is>
          <t>2560211</t>
        </is>
      </c>
      <c r="C225" s="23" t="inlineStr">
        <is>
          <t xml:space="preserve">€800k - 4 Apartments </t>
        </is>
      </c>
      <c r="D225" s="23" t="inlineStr">
        <is>
          <t>Outside city neighbourhoods</t>
        </is>
      </c>
      <c r="E225" s="23" t="inlineStr">
        <is>
          <t>Other County Limerick</t>
        </is>
      </c>
      <c r="F225" s="23" t="inlineStr">
        <is>
          <t>County – audit not yet supplied</t>
        </is>
      </c>
      <c r="G225" s="23" t="n"/>
      <c r="H225" s="23" t="inlineStr">
        <is>
          <t>Private</t>
        </is>
      </c>
      <c r="I225" s="23" t="inlineStr">
        <is>
          <t>Market (incl. Part V)</t>
        </is>
      </c>
      <c r="J225" s="23" t="inlineStr">
        <is>
          <t>Standard planning application</t>
        </is>
      </c>
      <c r="K225" s="23" t="inlineStr">
        <is>
          <t>Under construction</t>
        </is>
      </c>
      <c r="L225" s="23" t="inlineStr">
        <is>
          <t>On Site</t>
        </is>
      </c>
      <c r="M225" s="23" t="n">
        <v>4</v>
      </c>
      <c r="N225" s="23" t="n"/>
      <c r="O225" s="23" t="inlineStr">
        <is>
          <t>2025-06-10</t>
        </is>
      </c>
      <c r="P225" s="23" t="inlineStr">
        <is>
          <t>2026-03-21</t>
        </is>
      </c>
      <c r="Q225" s="23" t="inlineStr">
        <is>
          <t>2030-06-09</t>
        </is>
      </c>
      <c r="R225" s="23" t="inlineStr">
        <is>
          <t>2026 Q1</t>
        </is>
      </c>
      <c r="S225" s="23" t="inlineStr">
        <is>
          <t>2028 Q1</t>
        </is>
      </c>
      <c r="T225" s="23" t="inlineStr">
        <is>
          <t>High</t>
        </is>
      </c>
      <c r="U225" s="23" t="inlineStr">
        <is>
          <t>On site: started 2026-03</t>
        </is>
      </c>
      <c r="V225" s="23" t="n">
        <v>0</v>
      </c>
      <c r="W225" s="23" t="n">
        <v>0</v>
      </c>
      <c r="X225" s="23" t="n">
        <v>3.7</v>
      </c>
      <c r="Y225" s="23" t="n">
        <v>0.3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>
      <c r="A226" s="23" t="inlineStr">
        <is>
          <t>1302251</t>
        </is>
      </c>
      <c r="B226" s="23" t="inlineStr">
        <is>
          <t>2360546</t>
        </is>
      </c>
      <c r="C226" s="23" t="inlineStr">
        <is>
          <t>€686k - 4 Dwellings</t>
        </is>
      </c>
      <c r="D226" s="23" t="inlineStr">
        <is>
          <t>Outside city neighbourhoods</t>
        </is>
      </c>
      <c r="E226" s="23" t="inlineStr">
        <is>
          <t>Other County Limerick</t>
        </is>
      </c>
      <c r="F226" s="23" t="inlineStr">
        <is>
          <t>County – audit not yet supplied</t>
        </is>
      </c>
      <c r="G226" s="23" t="n"/>
      <c r="H226" s="23" t="inlineStr">
        <is>
          <t>Private</t>
        </is>
      </c>
      <c r="I226" s="23" t="inlineStr">
        <is>
          <t>Market (incl. Part V)</t>
        </is>
      </c>
      <c r="J226" s="23" t="inlineStr">
        <is>
          <t>Standard planning application</t>
        </is>
      </c>
      <c r="K226" s="23" t="inlineStr">
        <is>
          <t>Complete</t>
        </is>
      </c>
      <c r="L226" s="23" t="inlineStr">
        <is>
          <t>Complete</t>
        </is>
      </c>
      <c r="M226" s="23" t="n">
        <v>4</v>
      </c>
      <c r="N226" s="23" t="n"/>
      <c r="O226" s="23" t="inlineStr">
        <is>
          <t>2023-10-24</t>
        </is>
      </c>
      <c r="P226" s="23" t="inlineStr">
        <is>
          <t>2024-01-24</t>
        </is>
      </c>
      <c r="Q226" s="23" t="inlineStr">
        <is>
          <t>2028-10-23</t>
        </is>
      </c>
      <c r="R226" s="23" t="n"/>
      <c r="S226" s="23" t="n"/>
      <c r="T226" s="23" t="inlineStr">
        <is>
          <t>Delivered</t>
        </is>
      </c>
      <c r="U226" s="23" t="inlineStr">
        <is>
          <t>Complete (CIS)</t>
        </is>
      </c>
      <c r="V226" s="23" t="n">
        <v>4</v>
      </c>
      <c r="W226" s="23" t="n">
        <v>0</v>
      </c>
      <c r="X226" s="23" t="n">
        <v>0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>
      <c r="A227" s="23" t="inlineStr">
        <is>
          <t>1278179</t>
        </is>
      </c>
      <c r="B227" s="23" t="inlineStr">
        <is>
          <t>2360148</t>
        </is>
      </c>
      <c r="C227" s="23" t="inlineStr">
        <is>
          <t>€1.5m - 3 Community Houses</t>
        </is>
      </c>
      <c r="D227" s="23" t="inlineStr">
        <is>
          <t>Outside city neighbourhoods</t>
        </is>
      </c>
      <c r="E227" s="23" t="inlineStr">
        <is>
          <t>Other County Limerick</t>
        </is>
      </c>
      <c r="F227" s="23" t="inlineStr">
        <is>
          <t>County – audit not yet supplied</t>
        </is>
      </c>
      <c r="G227" s="23" t="n"/>
      <c r="H227" s="23" t="inlineStr">
        <is>
          <t>Private</t>
        </is>
      </c>
      <c r="I227" s="23" t="inlineStr">
        <is>
          <t>Market (incl. Part V)</t>
        </is>
      </c>
      <c r="J227" s="23" t="inlineStr">
        <is>
          <t>Standard planning application</t>
        </is>
      </c>
      <c r="K227" s="23" t="inlineStr">
        <is>
          <t>Complete</t>
        </is>
      </c>
      <c r="L227" s="23" t="inlineStr">
        <is>
          <t>Complete</t>
        </is>
      </c>
      <c r="M227" s="23" t="n">
        <v>3</v>
      </c>
      <c r="N227" s="23" t="n"/>
      <c r="O227" s="23" t="inlineStr">
        <is>
          <t>2023-11-02</t>
        </is>
      </c>
      <c r="P227" s="23" t="inlineStr">
        <is>
          <t>2024-08-26</t>
        </is>
      </c>
      <c r="Q227" s="23" t="inlineStr">
        <is>
          <t>2028-11-01</t>
        </is>
      </c>
      <c r="R227" s="23" t="n"/>
      <c r="S227" s="23" t="n"/>
      <c r="T227" s="23" t="inlineStr">
        <is>
          <t>Delivered</t>
        </is>
      </c>
      <c r="U227" s="23" t="inlineStr">
        <is>
          <t>Complete (CIS)</t>
        </is>
      </c>
      <c r="V227" s="23" t="n">
        <v>3</v>
      </c>
      <c r="W227" s="23" t="n">
        <v>0</v>
      </c>
      <c r="X227" s="23" t="n">
        <v>0</v>
      </c>
      <c r="Y227" s="23" t="n">
        <v>0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>
      <c r="A228" s="23" t="inlineStr">
        <is>
          <t>1283723</t>
        </is>
      </c>
      <c r="B228" s="23" t="inlineStr">
        <is>
          <t>2360207</t>
        </is>
      </c>
      <c r="C228" s="23" t="inlineStr">
        <is>
          <t xml:space="preserve">€680k - 3 Houses </t>
        </is>
      </c>
      <c r="D228" s="23" t="inlineStr">
        <is>
          <t>Outside city neighbourhoods</t>
        </is>
      </c>
      <c r="E228" s="23" t="inlineStr">
        <is>
          <t>Other County Limerick</t>
        </is>
      </c>
      <c r="F228" s="23" t="inlineStr">
        <is>
          <t>County – audit not yet supplied</t>
        </is>
      </c>
      <c r="G228" s="23" t="n"/>
      <c r="H228" s="23" t="inlineStr">
        <is>
          <t>Private</t>
        </is>
      </c>
      <c r="I228" s="23" t="inlineStr">
        <is>
          <t>Market (incl. Part V)</t>
        </is>
      </c>
      <c r="J228" s="23" t="inlineStr">
        <is>
          <t>Standard planning application</t>
        </is>
      </c>
      <c r="K228" s="23" t="inlineStr">
        <is>
          <t>Not started – past expiry</t>
        </is>
      </c>
      <c r="L228" s="23" t="inlineStr">
        <is>
          <t>Permission Granted</t>
        </is>
      </c>
      <c r="M228" s="23" t="n">
        <v>3</v>
      </c>
      <c r="N228" s="23" t="n"/>
      <c r="O228" s="23" t="inlineStr">
        <is>
          <t>2023-09-18</t>
        </is>
      </c>
      <c r="P228" s="23" t="n"/>
      <c r="Q228" s="23" t="inlineStr">
        <is>
          <t>2026-09-17</t>
        </is>
      </c>
      <c r="R228" s="23" t="n"/>
      <c r="S228" s="23" t="n"/>
      <c r="T228" s="23" t="inlineStr">
        <is>
          <t>Not projected</t>
        </is>
      </c>
      <c r="U228" s="23" t="inlineStr">
        <is>
          <t>Permission expired – not projected</t>
        </is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3</v>
      </c>
    </row>
    <row r="229">
      <c r="A229" s="23" t="inlineStr">
        <is>
          <t>1299520</t>
        </is>
      </c>
      <c r="B229" s="23" t="inlineStr">
        <is>
          <t>2360493</t>
        </is>
      </c>
      <c r="C229" s="23" t="inlineStr">
        <is>
          <t xml:space="preserve">€1.4m - 3 Houses </t>
        </is>
      </c>
      <c r="D229" s="23" t="inlineStr">
        <is>
          <t>Outside city neighbourhoods</t>
        </is>
      </c>
      <c r="E229" s="23" t="inlineStr">
        <is>
          <t>Other County Limerick</t>
        </is>
      </c>
      <c r="F229" s="23" t="inlineStr">
        <is>
          <t>County – audit not yet supplied</t>
        </is>
      </c>
      <c r="G229" s="23" t="n"/>
      <c r="H229" s="23" t="inlineStr">
        <is>
          <t>Private</t>
        </is>
      </c>
      <c r="I229" s="23" t="inlineStr">
        <is>
          <t>Market (incl. Part V)</t>
        </is>
      </c>
      <c r="J229" s="23" t="inlineStr">
        <is>
          <t>Standard planning application</t>
        </is>
      </c>
      <c r="K229" s="23" t="inlineStr">
        <is>
          <t>Under construction</t>
        </is>
      </c>
      <c r="L229" s="23" t="inlineStr">
        <is>
          <t>Commencement Expected</t>
        </is>
      </c>
      <c r="M229" s="23" t="n">
        <v>3</v>
      </c>
      <c r="N229" s="23" t="n"/>
      <c r="O229" s="23" t="inlineStr">
        <is>
          <t>2024-01-02</t>
        </is>
      </c>
      <c r="P229" s="23" t="inlineStr">
        <is>
          <t>2024-04-01</t>
        </is>
      </c>
      <c r="Q229" s="23" t="inlineStr">
        <is>
          <t>2029-01-01</t>
        </is>
      </c>
      <c r="R229" s="23" t="inlineStr">
        <is>
          <t>2024 Q2</t>
        </is>
      </c>
      <c r="S229" s="23" t="inlineStr">
        <is>
          <t>2027 Q4</t>
        </is>
      </c>
      <c r="T229" s="23" t="inlineStr">
        <is>
          <t>High</t>
        </is>
      </c>
      <c r="U229" s="23" t="inlineStr">
        <is>
          <t>On site: started 2024-04</t>
        </is>
      </c>
      <c r="V229" s="23" t="n">
        <v>0</v>
      </c>
      <c r="W229" s="23" t="n">
        <v>0.7</v>
      </c>
      <c r="X229" s="23" t="n">
        <v>2.3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>
      <c r="A230" s="23" t="inlineStr">
        <is>
          <t>1339954</t>
        </is>
      </c>
      <c r="B230" s="23" t="inlineStr">
        <is>
          <t>2460299</t>
        </is>
      </c>
      <c r="C230" s="23" t="inlineStr">
        <is>
          <t>€884k - 3 Houses</t>
        </is>
      </c>
      <c r="D230" s="23" t="inlineStr">
        <is>
          <t>Outside city neighbourhoods</t>
        </is>
      </c>
      <c r="E230" s="23" t="inlineStr">
        <is>
          <t>Other County Limerick</t>
        </is>
      </c>
      <c r="F230" s="23" t="inlineStr">
        <is>
          <t>County – audit not yet supplied</t>
        </is>
      </c>
      <c r="G230" s="23" t="n"/>
      <c r="H230" s="23" t="inlineStr">
        <is>
          <t>Private</t>
        </is>
      </c>
      <c r="I230" s="23" t="inlineStr">
        <is>
          <t>Market (incl. Part V)</t>
        </is>
      </c>
      <c r="J230" s="23" t="inlineStr">
        <is>
          <t>Standard planning application</t>
        </is>
      </c>
      <c r="K230" s="23" t="inlineStr">
        <is>
          <t>Not started – permission live</t>
        </is>
      </c>
      <c r="L230" s="23" t="inlineStr">
        <is>
          <t>Permission Granted</t>
        </is>
      </c>
      <c r="M230" s="23" t="n">
        <v>3</v>
      </c>
      <c r="N230" s="23" t="n"/>
      <c r="O230" s="23" t="inlineStr">
        <is>
          <t>2024-07-02</t>
        </is>
      </c>
      <c r="P230" s="23" t="n"/>
      <c r="Q230" s="23" t="inlineStr">
        <is>
          <t>2029-07-01</t>
        </is>
      </c>
      <c r="R230" s="23" t="inlineStr">
        <is>
          <t>2027 Q3</t>
        </is>
      </c>
      <c r="S230" s="23" t="inlineStr">
        <is>
          <t>2029 Q2</t>
        </is>
      </c>
      <c r="T230" s="23" t="inlineStr">
        <is>
          <t>Low</t>
        </is>
      </c>
      <c r="U230" s="23" t="inlineStr">
        <is>
          <t>Permitted 2024-07, past typical start date with no commencement: start assumed in 9 months</t>
        </is>
      </c>
      <c r="V230" s="23" t="n">
        <v>0</v>
      </c>
      <c r="W230" s="23" t="n">
        <v>0</v>
      </c>
      <c r="X230" s="23" t="n">
        <v>0</v>
      </c>
      <c r="Y230" s="23" t="n">
        <v>1.9</v>
      </c>
      <c r="Z230" s="23" t="n">
        <v>1.1</v>
      </c>
      <c r="AA230" s="23" t="n">
        <v>0</v>
      </c>
      <c r="AB230" s="23" t="n">
        <v>0</v>
      </c>
      <c r="AC230" s="23" t="n">
        <v>0</v>
      </c>
    </row>
    <row r="231">
      <c r="A231" s="23" t="inlineStr">
        <is>
          <t>1081912</t>
        </is>
      </c>
      <c r="B231" s="23" t="inlineStr">
        <is>
          <t>191255</t>
        </is>
      </c>
      <c r="C231" s="23" t="inlineStr">
        <is>
          <t>€572k - Residential Development, Kilmallock</t>
        </is>
      </c>
      <c r="D231" s="23" t="inlineStr">
        <is>
          <t>Outside city neighbourhoods</t>
        </is>
      </c>
      <c r="E231" s="23" t="inlineStr">
        <is>
          <t>Kilmallock</t>
        </is>
      </c>
      <c r="F231" s="23" t="inlineStr">
        <is>
          <t>County – audit not yet supplied</t>
        </is>
      </c>
      <c r="G231" s="23" t="n"/>
      <c r="H231" s="23" t="inlineStr">
        <is>
          <t>Private</t>
        </is>
      </c>
      <c r="I231" s="23" t="inlineStr">
        <is>
          <t>Market (incl. Part V)</t>
        </is>
      </c>
      <c r="J231" s="23" t="inlineStr">
        <is>
          <t>Standard planning application</t>
        </is>
      </c>
      <c r="K231" s="23" t="inlineStr">
        <is>
          <t>Complete</t>
        </is>
      </c>
      <c r="L231" s="23" t="inlineStr">
        <is>
          <t>Complete</t>
        </is>
      </c>
      <c r="M231" s="23" t="n">
        <v>2</v>
      </c>
      <c r="N231" s="23" t="n"/>
      <c r="O231" s="23" t="inlineStr">
        <is>
          <t>2020-03-18</t>
        </is>
      </c>
      <c r="P231" s="23" t="inlineStr">
        <is>
          <t>2022-04-27</t>
        </is>
      </c>
      <c r="Q231" s="23" t="inlineStr">
        <is>
          <t>2025-03-17</t>
        </is>
      </c>
      <c r="R231" s="23" t="n"/>
      <c r="S231" s="23" t="n"/>
      <c r="T231" s="23" t="inlineStr">
        <is>
          <t>Delivered</t>
        </is>
      </c>
      <c r="U231" s="23" t="inlineStr">
        <is>
          <t>Complete (CIS)</t>
        </is>
      </c>
      <c r="V231" s="23" t="n">
        <v>2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>
      <c r="A232" s="23" t="inlineStr">
        <is>
          <t>1121263</t>
        </is>
      </c>
      <c r="B232" s="23" t="inlineStr">
        <is>
          <t>20857</t>
        </is>
      </c>
      <c r="C232" s="23" t="inlineStr">
        <is>
          <t xml:space="preserve">€543k - 2 Houses </t>
        </is>
      </c>
      <c r="D232" s="23" t="inlineStr">
        <is>
          <t>Outside city neighbourhoods</t>
        </is>
      </c>
      <c r="E232" s="23" t="inlineStr">
        <is>
          <t>Other County Limerick</t>
        </is>
      </c>
      <c r="F232" s="23" t="inlineStr">
        <is>
          <t>County – audit not yet supplied</t>
        </is>
      </c>
      <c r="G232" s="23" t="n"/>
      <c r="H232" s="23" t="inlineStr">
        <is>
          <t>Private</t>
        </is>
      </c>
      <c r="I232" s="23" t="inlineStr">
        <is>
          <t>Market (incl. Part V)</t>
        </is>
      </c>
      <c r="J232" s="23" t="inlineStr">
        <is>
          <t>Standard planning application</t>
        </is>
      </c>
      <c r="K232" s="23" t="inlineStr">
        <is>
          <t>Under construction</t>
        </is>
      </c>
      <c r="L232" s="23" t="inlineStr">
        <is>
          <t>Commencement Expected</t>
        </is>
      </c>
      <c r="M232" s="23" t="n">
        <v>2</v>
      </c>
      <c r="N232" s="23" t="n"/>
      <c r="O232" s="23" t="inlineStr">
        <is>
          <t>2020-11-25</t>
        </is>
      </c>
      <c r="P232" s="23" t="inlineStr">
        <is>
          <t>2022-11-04</t>
        </is>
      </c>
      <c r="Q232" s="23" t="inlineStr">
        <is>
          <t>2025-11-24</t>
        </is>
      </c>
      <c r="R232" s="23" t="inlineStr">
        <is>
          <t>2022 Q4</t>
        </is>
      </c>
      <c r="S232" s="23" t="inlineStr">
        <is>
          <t>2027 Q4</t>
        </is>
      </c>
      <c r="T232" s="23" t="inlineStr">
        <is>
          <t>High</t>
        </is>
      </c>
      <c r="U232" s="23" t="inlineStr">
        <is>
          <t>On site: started 2022-11</t>
        </is>
      </c>
      <c r="V232" s="23" t="n">
        <v>0</v>
      </c>
      <c r="W232" s="23" t="n">
        <v>0.5</v>
      </c>
      <c r="X232" s="23" t="n">
        <v>1.5</v>
      </c>
      <c r="Y232" s="23" t="n">
        <v>0</v>
      </c>
      <c r="Z232" s="23" t="n">
        <v>0</v>
      </c>
      <c r="AA232" s="23" t="n">
        <v>0</v>
      </c>
      <c r="AB232" s="23" t="n">
        <v>0</v>
      </c>
      <c r="AC232" s="23" t="n">
        <v>0</v>
      </c>
    </row>
    <row r="233">
      <c r="A233" s="23" t="inlineStr">
        <is>
          <t>1099323</t>
        </is>
      </c>
      <c r="B233" s="23" t="inlineStr">
        <is>
          <t>20341</t>
        </is>
      </c>
      <c r="C233" s="23" t="inlineStr">
        <is>
          <t xml:space="preserve">€574k - Extension to Pub </t>
        </is>
      </c>
      <c r="D233" s="23" t="inlineStr">
        <is>
          <t>Outside city neighbourhoods</t>
        </is>
      </c>
      <c r="E233" s="23" t="inlineStr">
        <is>
          <t>Other County Limerick</t>
        </is>
      </c>
      <c r="F233" s="23" t="inlineStr">
        <is>
          <t>County – audit not yet supplied</t>
        </is>
      </c>
      <c r="G233" s="23" t="n"/>
      <c r="H233" s="23" t="inlineStr">
        <is>
          <t>Private</t>
        </is>
      </c>
      <c r="I233" s="23" t="inlineStr">
        <is>
          <t>Market (incl. Part V)</t>
        </is>
      </c>
      <c r="J233" s="23" t="inlineStr">
        <is>
          <t>Standard planning application</t>
        </is>
      </c>
      <c r="K233" s="23" t="inlineStr">
        <is>
          <t>Not started – past expiry</t>
        </is>
      </c>
      <c r="L233" s="23" t="inlineStr">
        <is>
          <t>Permission Granted</t>
        </is>
      </c>
      <c r="M233" s="23" t="n">
        <v>1</v>
      </c>
      <c r="N233" s="23" t="n"/>
      <c r="O233" s="23" t="inlineStr">
        <is>
          <t>2020-09-24</t>
        </is>
      </c>
      <c r="P233" s="23" t="n"/>
      <c r="Q233" s="23" t="inlineStr">
        <is>
          <t>2025-09-23</t>
        </is>
      </c>
      <c r="R233" s="23" t="n"/>
      <c r="S233" s="23" t="n"/>
      <c r="T233" s="23" t="inlineStr">
        <is>
          <t>Not projected</t>
        </is>
      </c>
      <c r="U233" s="23" t="inlineStr">
        <is>
          <t>Permission expired – not projected</t>
        </is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1</v>
      </c>
    </row>
    <row r="234">
      <c r="A234" s="23" t="inlineStr">
        <is>
          <t>1034286</t>
        </is>
      </c>
      <c r="B234" s="23" t="inlineStr">
        <is>
          <t>19149</t>
        </is>
      </c>
      <c r="C234" s="23" t="inlineStr">
        <is>
          <t xml:space="preserve">€567k - Change of Use to Care Residential Units </t>
        </is>
      </c>
      <c r="D234" s="23" t="inlineStr">
        <is>
          <t>Outside city neighbourhoods</t>
        </is>
      </c>
      <c r="E234" s="23" t="inlineStr">
        <is>
          <t>Other County Limerick</t>
        </is>
      </c>
      <c r="F234" s="23" t="inlineStr">
        <is>
          <t>County – audit not yet supplied</t>
        </is>
      </c>
      <c r="G234" s="23" t="n"/>
      <c r="H234" s="23" t="inlineStr">
        <is>
          <t>Public – AHB</t>
        </is>
      </c>
      <c r="I234" s="23" t="inlineStr">
        <is>
          <t>Social</t>
        </is>
      </c>
      <c r="J234" s="23" t="inlineStr">
        <is>
          <t>Standard planning application</t>
        </is>
      </c>
      <c r="K234" s="23" t="inlineStr">
        <is>
          <t>Not started – past expiry</t>
        </is>
      </c>
      <c r="L234" s="23" t="inlineStr">
        <is>
          <t>Tender</t>
        </is>
      </c>
      <c r="M234" s="23" t="n">
        <v>21</v>
      </c>
      <c r="N234" s="23" t="n"/>
      <c r="O234" s="23" t="inlineStr">
        <is>
          <t>2019-09-11</t>
        </is>
      </c>
      <c r="P234" s="23" t="n"/>
      <c r="Q234" s="23" t="inlineStr">
        <is>
          <t>2024-09-10</t>
        </is>
      </c>
      <c r="R234" s="23" t="n"/>
      <c r="S234" s="23" t="n"/>
      <c r="T234" s="23" t="inlineStr">
        <is>
          <t>Not projected</t>
        </is>
      </c>
      <c r="U234" s="23" t="inlineStr">
        <is>
          <t>Permission expired – not projected</t>
        </is>
      </c>
      <c r="V234" s="23" t="n">
        <v>0</v>
      </c>
      <c r="W234" s="23" t="n">
        <v>0</v>
      </c>
      <c r="X234" s="23" t="n">
        <v>0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21</v>
      </c>
    </row>
    <row r="235">
      <c r="A235" s="23" t="inlineStr">
        <is>
          <t>1263448</t>
        </is>
      </c>
      <c r="B235" s="23" t="inlineStr">
        <is>
          <t>221352</t>
        </is>
      </c>
      <c r="C235" s="23" t="inlineStr">
        <is>
          <t>€5.5m - Housing Development, Cappamore</t>
        </is>
      </c>
      <c r="D235" s="23" t="inlineStr">
        <is>
          <t>Outside city neighbourhoods</t>
        </is>
      </c>
      <c r="E235" s="23" t="inlineStr">
        <is>
          <t>Cappamore</t>
        </is>
      </c>
      <c r="F235" s="23" t="inlineStr">
        <is>
          <t>County – audit not yet supplied</t>
        </is>
      </c>
      <c r="G235" s="23" t="n"/>
      <c r="H235" s="23" t="inlineStr">
        <is>
          <t>Public – AHB</t>
        </is>
      </c>
      <c r="I235" s="23" t="inlineStr">
        <is>
          <t>Social</t>
        </is>
      </c>
      <c r="J235" s="23" t="inlineStr">
        <is>
          <t>Standard planning application</t>
        </is>
      </c>
      <c r="K235" s="23" t="inlineStr">
        <is>
          <t>Complete</t>
        </is>
      </c>
      <c r="L235" s="23" t="inlineStr">
        <is>
          <t>Complete</t>
        </is>
      </c>
      <c r="M235" s="23" t="n">
        <v>17</v>
      </c>
      <c r="N235" s="23" t="n"/>
      <c r="O235" s="23" t="inlineStr">
        <is>
          <t>2023-07-11</t>
        </is>
      </c>
      <c r="P235" s="23" t="inlineStr">
        <is>
          <t>2025-03-18</t>
        </is>
      </c>
      <c r="Q235" s="23" t="inlineStr">
        <is>
          <t>2028-07-10</t>
        </is>
      </c>
      <c r="R235" s="23" t="n"/>
      <c r="S235" s="23" t="n"/>
      <c r="T235" s="23" t="inlineStr">
        <is>
          <t>Delivered</t>
        </is>
      </c>
      <c r="U235" s="23" t="inlineStr">
        <is>
          <t>Complete (CIS)</t>
        </is>
      </c>
      <c r="V235" s="23" t="n">
        <v>17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0</v>
      </c>
    </row>
    <row r="236">
      <c r="A236" s="23" t="inlineStr">
        <is>
          <t>1058813</t>
        </is>
      </c>
      <c r="B236" s="23" t="inlineStr">
        <is>
          <t>198005</t>
        </is>
      </c>
      <c r="C236" s="23" t="inlineStr">
        <is>
          <t xml:space="preserve">€1.7m - Residential Development </t>
        </is>
      </c>
      <c r="D236" s="23" t="inlineStr">
        <is>
          <t>Outside city neighbourhoods</t>
        </is>
      </c>
      <c r="E236" s="23" t="inlineStr">
        <is>
          <t>Other County Limerick</t>
        </is>
      </c>
      <c r="F236" s="23" t="inlineStr">
        <is>
          <t>County – audit not yet supplied</t>
        </is>
      </c>
      <c r="G236" s="23" t="n"/>
      <c r="H236" s="23" t="inlineStr">
        <is>
          <t>Public – AHB</t>
        </is>
      </c>
      <c r="I236" s="23" t="inlineStr">
        <is>
          <t>Social</t>
        </is>
      </c>
      <c r="J236" s="23" t="inlineStr">
        <is>
          <t>Part 8 / council</t>
        </is>
      </c>
      <c r="K236" s="23" t="inlineStr">
        <is>
          <t>Complete</t>
        </is>
      </c>
      <c r="L236" s="23" t="inlineStr">
        <is>
          <t>Complete</t>
        </is>
      </c>
      <c r="M236" s="23" t="n">
        <v>16</v>
      </c>
      <c r="N236" s="23" t="n"/>
      <c r="O236" s="23" t="inlineStr">
        <is>
          <t>2021-10-29</t>
        </is>
      </c>
      <c r="P236" s="23" t="inlineStr">
        <is>
          <t>2024-01-22</t>
        </is>
      </c>
      <c r="Q236" s="23" t="n"/>
      <c r="R236" s="23" t="n"/>
      <c r="S236" s="23" t="n"/>
      <c r="T236" s="23" t="inlineStr">
        <is>
          <t>Delivered</t>
        </is>
      </c>
      <c r="U236" s="23" t="inlineStr">
        <is>
          <t>Complete (CIS)</t>
        </is>
      </c>
      <c r="V236" s="23" t="n">
        <v>16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0</v>
      </c>
    </row>
    <row r="237">
      <c r="A237" s="23" t="inlineStr">
        <is>
          <t>1414882</t>
        </is>
      </c>
      <c r="B237" s="23" t="inlineStr">
        <is>
          <t>258297</t>
        </is>
      </c>
      <c r="C237" s="23" t="inlineStr">
        <is>
          <t>€4.5m - Residential Development, Abbeyfeale</t>
        </is>
      </c>
      <c r="D237" s="23" t="inlineStr">
        <is>
          <t>Outside city neighbourhoods</t>
        </is>
      </c>
      <c r="E237" s="23" t="inlineStr">
        <is>
          <t>Abbeyfeale</t>
        </is>
      </c>
      <c r="F237" s="23" t="inlineStr">
        <is>
          <t>County – audit not yet supplied</t>
        </is>
      </c>
      <c r="G237" s="23" t="n"/>
      <c r="H237" s="23" t="inlineStr">
        <is>
          <t>Public – AHB</t>
        </is>
      </c>
      <c r="I237" s="23" t="inlineStr">
        <is>
          <t>Social</t>
        </is>
      </c>
      <c r="J237" s="23" t="inlineStr">
        <is>
          <t>Part 8 / council</t>
        </is>
      </c>
      <c r="K237" s="23" t="inlineStr">
        <is>
          <t>Not started – permission live</t>
        </is>
      </c>
      <c r="L237" s="23" t="inlineStr">
        <is>
          <t>Tender</t>
        </is>
      </c>
      <c r="M237" s="23" t="n">
        <v>12</v>
      </c>
      <c r="N237" s="23" t="n"/>
      <c r="O237" s="23" t="n"/>
      <c r="P237" s="23" t="n"/>
      <c r="Q237" s="23" t="n"/>
      <c r="R237" s="23" t="inlineStr">
        <is>
          <t>2028 Q1</t>
        </is>
      </c>
      <c r="S237" s="23" t="inlineStr">
        <is>
          <t>2030 Q1</t>
        </is>
      </c>
      <c r="T237" s="23" t="inlineStr">
        <is>
          <t>Medium</t>
        </is>
      </c>
      <c r="U237" s="23" t="inlineStr">
        <is>
          <t>At tender (CIS): start assumed in 6–12 months</t>
        </is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11.3</v>
      </c>
      <c r="AA237" s="23" t="n">
        <v>0.7</v>
      </c>
      <c r="AB237" s="23" t="n">
        <v>0</v>
      </c>
      <c r="AC237" s="23" t="n">
        <v>0</v>
      </c>
    </row>
    <row r="238">
      <c r="A238" s="23" t="inlineStr">
        <is>
          <t>1327665</t>
        </is>
      </c>
      <c r="B238" s="23" t="inlineStr">
        <is>
          <t>2460028</t>
        </is>
      </c>
      <c r="C238" s="23" t="inlineStr">
        <is>
          <t>€2.5m - Assisted Living Dwelling Units, Glin</t>
        </is>
      </c>
      <c r="D238" s="23" t="inlineStr">
        <is>
          <t>Outside city neighbourhoods</t>
        </is>
      </c>
      <c r="E238" s="23" t="inlineStr">
        <is>
          <t>Other County Limerick</t>
        </is>
      </c>
      <c r="F238" s="23" t="inlineStr">
        <is>
          <t>County – audit not yet supplied</t>
        </is>
      </c>
      <c r="G238" s="23" t="n"/>
      <c r="H238" s="23" t="inlineStr">
        <is>
          <t>Public – AHB</t>
        </is>
      </c>
      <c r="I238" s="23" t="inlineStr">
        <is>
          <t>Social</t>
        </is>
      </c>
      <c r="J238" s="23" t="inlineStr">
        <is>
          <t>Standard planning application</t>
        </is>
      </c>
      <c r="K238" s="23" t="inlineStr">
        <is>
          <t>Not started – permission live</t>
        </is>
      </c>
      <c r="L238" s="23" t="inlineStr">
        <is>
          <t>Tender</t>
        </is>
      </c>
      <c r="M238" s="23" t="n">
        <v>10</v>
      </c>
      <c r="N238" s="23" t="n"/>
      <c r="O238" s="23" t="inlineStr">
        <is>
          <t>2024-09-02</t>
        </is>
      </c>
      <c r="P238" s="23" t="n"/>
      <c r="Q238" s="23" t="inlineStr">
        <is>
          <t>2029-09-01</t>
        </is>
      </c>
      <c r="R238" s="23" t="inlineStr">
        <is>
          <t>2027 Q2</t>
        </is>
      </c>
      <c r="S238" s="23" t="inlineStr">
        <is>
          <t>2029 Q1</t>
        </is>
      </c>
      <c r="T238" s="23" t="inlineStr">
        <is>
          <t>Medium</t>
        </is>
      </c>
      <c r="U238" s="23" t="inlineStr">
        <is>
          <t>At tender (CIS): start assumed in 6–12 months</t>
        </is>
      </c>
      <c r="V238" s="23" t="n">
        <v>0</v>
      </c>
      <c r="W238" s="23" t="n">
        <v>0</v>
      </c>
      <c r="X238" s="23" t="n">
        <v>0</v>
      </c>
      <c r="Y238" s="23" t="n">
        <v>8.4</v>
      </c>
      <c r="Z238" s="23" t="n">
        <v>1.6</v>
      </c>
      <c r="AA238" s="23" t="n">
        <v>0</v>
      </c>
      <c r="AB238" s="23" t="n">
        <v>0</v>
      </c>
      <c r="AC238" s="23" t="n">
        <v>0</v>
      </c>
    </row>
    <row r="239">
      <c r="A239" s="23" t="inlineStr">
        <is>
          <t>1144674</t>
        </is>
      </c>
      <c r="B239" s="23" t="inlineStr">
        <is>
          <t>2148</t>
        </is>
      </c>
      <c r="C239" s="23" t="inlineStr">
        <is>
          <t>€1.9m - Change of Use to 9 Apartments, St. Paul's Convent</t>
        </is>
      </c>
      <c r="D239" s="23" t="inlineStr">
        <is>
          <t>Outside city neighbourhoods</t>
        </is>
      </c>
      <c r="E239" s="23" t="inlineStr">
        <is>
          <t>Other County Limerick</t>
        </is>
      </c>
      <c r="F239" s="23" t="inlineStr">
        <is>
          <t>County – audit not yet supplied</t>
        </is>
      </c>
      <c r="G239" s="23" t="n"/>
      <c r="H239" s="23" t="inlineStr">
        <is>
          <t>Public – AHB</t>
        </is>
      </c>
      <c r="I239" s="23" t="inlineStr">
        <is>
          <t>Social</t>
        </is>
      </c>
      <c r="J239" s="23" t="inlineStr">
        <is>
          <t>Standard planning application</t>
        </is>
      </c>
      <c r="K239" s="23" t="inlineStr">
        <is>
          <t>Complete</t>
        </is>
      </c>
      <c r="L239" s="23" t="inlineStr">
        <is>
          <t>Complete</t>
        </is>
      </c>
      <c r="M239" s="23" t="n">
        <v>9</v>
      </c>
      <c r="N239" s="23" t="n"/>
      <c r="O239" s="23" t="inlineStr">
        <is>
          <t>2021-10-06</t>
        </is>
      </c>
      <c r="P239" s="23" t="inlineStr">
        <is>
          <t>2023-11-20</t>
        </is>
      </c>
      <c r="Q239" s="23" t="inlineStr">
        <is>
          <t>2026-10-05</t>
        </is>
      </c>
      <c r="R239" s="23" t="n"/>
      <c r="S239" s="23" t="n"/>
      <c r="T239" s="23" t="inlineStr">
        <is>
          <t>Delivered</t>
        </is>
      </c>
      <c r="U239" s="23" t="inlineStr">
        <is>
          <t>Complete (CIS)</t>
        </is>
      </c>
      <c r="V239" s="23" t="n">
        <v>9</v>
      </c>
      <c r="W239" s="23" t="n">
        <v>0</v>
      </c>
      <c r="X239" s="23" t="n">
        <v>0</v>
      </c>
      <c r="Y239" s="23" t="n">
        <v>0</v>
      </c>
      <c r="Z239" s="23" t="n">
        <v>0</v>
      </c>
      <c r="AA239" s="23" t="n">
        <v>0</v>
      </c>
      <c r="AB239" s="23" t="n">
        <v>0</v>
      </c>
      <c r="AC239" s="23" t="n">
        <v>0</v>
      </c>
    </row>
    <row r="240">
      <c r="A240" s="23" t="inlineStr">
        <is>
          <t>1422361</t>
        </is>
      </c>
      <c r="B240" s="23" t="inlineStr">
        <is>
          <t>2660063</t>
        </is>
      </c>
      <c r="C240" s="23" t="inlineStr">
        <is>
          <t>€1.8m - 7 House/Apartment/Community Office, Feenagh</t>
        </is>
      </c>
      <c r="D240" s="23" t="inlineStr">
        <is>
          <t>Outside city neighbourhoods</t>
        </is>
      </c>
      <c r="E240" s="23" t="inlineStr">
        <is>
          <t>Other County Limerick</t>
        </is>
      </c>
      <c r="F240" s="23" t="inlineStr">
        <is>
          <t>County – audit not yet supplied</t>
        </is>
      </c>
      <c r="G240" s="23" t="n"/>
      <c r="H240" s="23" t="inlineStr">
        <is>
          <t>Public – AHB</t>
        </is>
      </c>
      <c r="I240" s="23" t="inlineStr">
        <is>
          <t>Social</t>
        </is>
      </c>
      <c r="J240" s="23" t="inlineStr">
        <is>
          <t>Standard planning application</t>
        </is>
      </c>
      <c r="K240" s="23" t="inlineStr">
        <is>
          <t>In planning</t>
        </is>
      </c>
      <c r="L240" s="23" t="inlineStr">
        <is>
          <t>Plans Submitted</t>
        </is>
      </c>
      <c r="M240" s="23" t="n">
        <v>8</v>
      </c>
      <c r="N240" s="23" t="n"/>
      <c r="O240" s="23" t="n"/>
      <c r="P240" s="23" t="n"/>
      <c r="Q240" s="23" t="n"/>
      <c r="R240" s="23" t="n"/>
      <c r="S240" s="23" t="n"/>
      <c r="T240" s="23" t="inlineStr">
        <is>
          <t>Not projected</t>
        </is>
      </c>
      <c r="U240" s="23" t="inlineStr">
        <is>
          <t>Not yet decided – not projected</t>
        </is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0</v>
      </c>
      <c r="AB240" s="23" t="n">
        <v>0</v>
      </c>
      <c r="AC240" s="23" t="n">
        <v>8</v>
      </c>
    </row>
    <row r="241">
      <c r="A241" s="23" t="inlineStr">
        <is>
          <t>1328561</t>
        </is>
      </c>
      <c r="B241" s="23" t="inlineStr">
        <is>
          <t>2460046</t>
        </is>
      </c>
      <c r="C241" s="23" t="inlineStr">
        <is>
          <t>€2m - 7 Houses, Broadford</t>
        </is>
      </c>
      <c r="D241" s="23" t="inlineStr">
        <is>
          <t>Outside city neighbourhoods</t>
        </is>
      </c>
      <c r="E241" s="23" t="inlineStr">
        <is>
          <t>Other County Limerick</t>
        </is>
      </c>
      <c r="F241" s="23" t="inlineStr">
        <is>
          <t>County – audit not yet supplied</t>
        </is>
      </c>
      <c r="G241" s="23" t="n"/>
      <c r="H241" s="23" t="inlineStr">
        <is>
          <t>Public – AHB</t>
        </is>
      </c>
      <c r="I241" s="23" t="inlineStr">
        <is>
          <t>Social</t>
        </is>
      </c>
      <c r="J241" s="23" t="inlineStr">
        <is>
          <t>Standard planning application</t>
        </is>
      </c>
      <c r="K241" s="23" t="inlineStr">
        <is>
          <t>Not started – permission live</t>
        </is>
      </c>
      <c r="L241" s="23" t="inlineStr">
        <is>
          <t>Tender</t>
        </is>
      </c>
      <c r="M241" s="23" t="n">
        <v>7</v>
      </c>
      <c r="N241" s="23" t="n"/>
      <c r="O241" s="23" t="inlineStr">
        <is>
          <t>2024-08-16</t>
        </is>
      </c>
      <c r="P241" s="23" t="n"/>
      <c r="Q241" s="23" t="inlineStr">
        <is>
          <t>2029-08-15</t>
        </is>
      </c>
      <c r="R241" s="23" t="inlineStr">
        <is>
          <t>2027 Q2</t>
        </is>
      </c>
      <c r="S241" s="23" t="inlineStr">
        <is>
          <t>2029 Q1</t>
        </is>
      </c>
      <c r="T241" s="23" t="inlineStr">
        <is>
          <t>Medium</t>
        </is>
      </c>
      <c r="U241" s="23" t="inlineStr">
        <is>
          <t>At tender (CIS): start assumed in 6–12 months</t>
        </is>
      </c>
      <c r="V241" s="23" t="n">
        <v>0</v>
      </c>
      <c r="W241" s="23" t="n">
        <v>0</v>
      </c>
      <c r="X241" s="23" t="n">
        <v>0</v>
      </c>
      <c r="Y241" s="23" t="n">
        <v>6.1</v>
      </c>
      <c r="Z241" s="23" t="n">
        <v>0.9</v>
      </c>
      <c r="AA241" s="23" t="n">
        <v>0</v>
      </c>
      <c r="AB241" s="23" t="n">
        <v>0</v>
      </c>
      <c r="AC241" s="23" t="n">
        <v>0</v>
      </c>
    </row>
    <row r="242">
      <c r="A242" s="23" t="inlineStr">
        <is>
          <t>1258895</t>
        </is>
      </c>
      <c r="B242" s="23" t="inlineStr">
        <is>
          <t>228020</t>
        </is>
      </c>
      <c r="C242" s="23" t="inlineStr">
        <is>
          <t>€4.9m - Residential Development, Newcastle West</t>
        </is>
      </c>
      <c r="D242" s="23" t="inlineStr">
        <is>
          <t>Outside city neighbourhoods</t>
        </is>
      </c>
      <c r="E242" s="23" t="inlineStr">
        <is>
          <t>Newcastle West</t>
        </is>
      </c>
      <c r="F242" s="23" t="inlineStr">
        <is>
          <t>County – audit not yet supplied</t>
        </is>
      </c>
      <c r="G242" s="23" t="n"/>
      <c r="H242" s="23" t="inlineStr">
        <is>
          <t>Public – local authority</t>
        </is>
      </c>
      <c r="I242" s="23" t="inlineStr">
        <is>
          <t>Social</t>
        </is>
      </c>
      <c r="J242" s="23" t="inlineStr">
        <is>
          <t>Part 8 / council</t>
        </is>
      </c>
      <c r="K242" s="23" t="inlineStr">
        <is>
          <t>Not started – permission live</t>
        </is>
      </c>
      <c r="L242" s="23" t="inlineStr">
        <is>
          <t>Permission Granted</t>
        </is>
      </c>
      <c r="M242" s="23" t="n">
        <v>31</v>
      </c>
      <c r="N242" s="23" t="n"/>
      <c r="O242" s="23" t="inlineStr">
        <is>
          <t>2023-02-10</t>
        </is>
      </c>
      <c r="P242" s="23" t="n"/>
      <c r="Q242" s="23" t="n"/>
      <c r="R242" s="23" t="inlineStr">
        <is>
          <t>2027 Q3</t>
        </is>
      </c>
      <c r="S242" s="23" t="inlineStr">
        <is>
          <t>2029 Q1</t>
        </is>
      </c>
      <c r="T242" s="23" t="inlineStr">
        <is>
          <t>Low</t>
        </is>
      </c>
      <c r="U242" s="23" t="inlineStr">
        <is>
          <t>Permitted 2023-02, past typical start date with no commencement: start assumed in 9 months</t>
        </is>
      </c>
      <c r="V242" s="23" t="n">
        <v>0</v>
      </c>
      <c r="W242" s="23" t="n">
        <v>0</v>
      </c>
      <c r="X242" s="23" t="n">
        <v>0</v>
      </c>
      <c r="Y242" s="23" t="n">
        <v>23.6</v>
      </c>
      <c r="Z242" s="23" t="n">
        <v>7.4</v>
      </c>
      <c r="AA242" s="23" t="n">
        <v>0</v>
      </c>
      <c r="AB242" s="23" t="n">
        <v>0</v>
      </c>
      <c r="AC242" s="23" t="n">
        <v>0</v>
      </c>
    </row>
    <row r="243">
      <c r="A243" s="23" t="inlineStr">
        <is>
          <t>1073938</t>
        </is>
      </c>
      <c r="B243" s="23" t="inlineStr">
        <is>
          <t>198010</t>
        </is>
      </c>
      <c r="C243" s="23" t="inlineStr">
        <is>
          <t xml:space="preserve">€5m - Housing Development </t>
        </is>
      </c>
      <c r="D243" s="23" t="inlineStr">
        <is>
          <t>Outside city neighbourhoods</t>
        </is>
      </c>
      <c r="E243" s="23" t="inlineStr">
        <is>
          <t>Rathkeale</t>
        </is>
      </c>
      <c r="F243" s="23" t="inlineStr">
        <is>
          <t>County – audit not yet supplied</t>
        </is>
      </c>
      <c r="G243" s="23" t="n"/>
      <c r="H243" s="23" t="inlineStr">
        <is>
          <t>Public – local authority</t>
        </is>
      </c>
      <c r="I243" s="23" t="inlineStr">
        <is>
          <t>Affordable / cost rental</t>
        </is>
      </c>
      <c r="J243" s="23" t="inlineStr">
        <is>
          <t>Part 8 / council</t>
        </is>
      </c>
      <c r="K243" s="23" t="inlineStr">
        <is>
          <t>Not started – permission live</t>
        </is>
      </c>
      <c r="L243" s="23" t="inlineStr">
        <is>
          <t>Permission Granted</t>
        </is>
      </c>
      <c r="M243" s="23" t="n">
        <v>31</v>
      </c>
      <c r="N243" s="23" t="n"/>
      <c r="O243" s="23" t="inlineStr">
        <is>
          <t>2020-01-27</t>
        </is>
      </c>
      <c r="P243" s="23" t="n"/>
      <c r="Q243" s="23" t="n"/>
      <c r="R243" s="23" t="inlineStr">
        <is>
          <t>2027 Q3</t>
        </is>
      </c>
      <c r="S243" s="23" t="inlineStr">
        <is>
          <t>2029 Q1</t>
        </is>
      </c>
      <c r="T243" s="23" t="inlineStr">
        <is>
          <t>Low</t>
        </is>
      </c>
      <c r="U243" s="23" t="inlineStr">
        <is>
          <t>Permitted 2020-01, past typical start date with no commencement: start assumed in 9 months</t>
        </is>
      </c>
      <c r="V243" s="23" t="n">
        <v>0</v>
      </c>
      <c r="W243" s="23" t="n">
        <v>0</v>
      </c>
      <c r="X243" s="23" t="n">
        <v>0</v>
      </c>
      <c r="Y243" s="23" t="n">
        <v>23.6</v>
      </c>
      <c r="Z243" s="23" t="n">
        <v>7.4</v>
      </c>
      <c r="AA243" s="23" t="n">
        <v>0</v>
      </c>
      <c r="AB243" s="23" t="n">
        <v>0</v>
      </c>
      <c r="AC243" s="23" t="n">
        <v>0</v>
      </c>
    </row>
    <row r="244">
      <c r="A244" s="23" t="inlineStr">
        <is>
          <t>1248017</t>
        </is>
      </c>
      <c r="B244" s="23" t="inlineStr">
        <is>
          <t>228017</t>
        </is>
      </c>
      <c r="C244" s="23" t="inlineStr">
        <is>
          <t>€4.4m - Residential Development, Patrickswell</t>
        </is>
      </c>
      <c r="D244" s="23" t="inlineStr">
        <is>
          <t>Outside city neighbourhoods</t>
        </is>
      </c>
      <c r="E244" s="23" t="inlineStr">
        <is>
          <t>Patrickswell</t>
        </is>
      </c>
      <c r="F244" s="23" t="inlineStr">
        <is>
          <t>County – audit not yet supplied</t>
        </is>
      </c>
      <c r="G244" s="23" t="n"/>
      <c r="H244" s="23" t="inlineStr">
        <is>
          <t>Public – local authority</t>
        </is>
      </c>
      <c r="I244" s="23" t="inlineStr">
        <is>
          <t>Social</t>
        </is>
      </c>
      <c r="J244" s="23" t="inlineStr">
        <is>
          <t>Part 8 / council</t>
        </is>
      </c>
      <c r="K244" s="23" t="inlineStr">
        <is>
          <t>Under construction</t>
        </is>
      </c>
      <c r="L244" s="23" t="inlineStr">
        <is>
          <t>On Site</t>
        </is>
      </c>
      <c r="M244" s="23" t="n">
        <v>24</v>
      </c>
      <c r="N244" s="23" t="n"/>
      <c r="O244" s="23" t="inlineStr">
        <is>
          <t>2022-12-12</t>
        </is>
      </c>
      <c r="P244" s="23" t="inlineStr">
        <is>
          <t>2026-07-17</t>
        </is>
      </c>
      <c r="Q244" s="23" t="n"/>
      <c r="R244" s="23" t="inlineStr">
        <is>
          <t>2026 Q3</t>
        </is>
      </c>
      <c r="S244" s="23" t="inlineStr">
        <is>
          <t>2029 Q2</t>
        </is>
      </c>
      <c r="T244" s="23" t="inlineStr">
        <is>
          <t>High</t>
        </is>
      </c>
      <c r="U244" s="23" t="inlineStr">
        <is>
          <t>On site: started 2026-07</t>
        </is>
      </c>
      <c r="V244" s="23" t="n">
        <v>0</v>
      </c>
      <c r="W244" s="23" t="n">
        <v>0</v>
      </c>
      <c r="X244" s="23" t="n">
        <v>5.9</v>
      </c>
      <c r="Y244" s="23" t="n">
        <v>12.8</v>
      </c>
      <c r="Z244" s="23" t="n">
        <v>5.3</v>
      </c>
      <c r="AA244" s="23" t="n">
        <v>0</v>
      </c>
      <c r="AB244" s="23" t="n">
        <v>-0</v>
      </c>
      <c r="AC244" s="23" t="n">
        <v>0</v>
      </c>
    </row>
    <row r="245">
      <c r="A245" s="23" t="inlineStr">
        <is>
          <t>1248404</t>
        </is>
      </c>
      <c r="B245" s="23" t="inlineStr">
        <is>
          <t>Part 8 - 1248404</t>
        </is>
      </c>
      <c r="C245" s="23" t="inlineStr">
        <is>
          <t>€4.6m - Residential Development, Patrickswell</t>
        </is>
      </c>
      <c r="D245" s="23" t="inlineStr">
        <is>
          <t>Outside city neighbourhoods</t>
        </is>
      </c>
      <c r="E245" s="23" t="inlineStr">
        <is>
          <t>Patrickswell</t>
        </is>
      </c>
      <c r="F245" s="23" t="inlineStr">
        <is>
          <t>County – audit not yet supplied</t>
        </is>
      </c>
      <c r="G245" s="23" t="n"/>
      <c r="H245" s="23" t="inlineStr">
        <is>
          <t>Public – local authority</t>
        </is>
      </c>
      <c r="I245" s="23" t="inlineStr">
        <is>
          <t>Social</t>
        </is>
      </c>
      <c r="J245" s="23" t="inlineStr">
        <is>
          <t>Part 8 / council</t>
        </is>
      </c>
      <c r="K245" s="23" t="inlineStr">
        <is>
          <t>Not started – permission live</t>
        </is>
      </c>
      <c r="L245" s="23" t="inlineStr">
        <is>
          <t>Permission Granted</t>
        </is>
      </c>
      <c r="M245" s="23" t="n">
        <v>24</v>
      </c>
      <c r="N245" s="23" t="n"/>
      <c r="O245" s="23" t="inlineStr">
        <is>
          <t>2023-01-24</t>
        </is>
      </c>
      <c r="P245" s="23" t="n"/>
      <c r="Q245" s="23" t="n"/>
      <c r="R245" s="23" t="inlineStr">
        <is>
          <t>2027 Q3</t>
        </is>
      </c>
      <c r="S245" s="23" t="inlineStr">
        <is>
          <t>2030 Q2</t>
        </is>
      </c>
      <c r="T245" s="23" t="inlineStr">
        <is>
          <t>Low</t>
        </is>
      </c>
      <c r="U245" s="23" t="inlineStr">
        <is>
          <t>Permitted 2023-01, past typical start date with no commencement: start assumed in 9 months</t>
        </is>
      </c>
      <c r="V245" s="23" t="n">
        <v>0</v>
      </c>
      <c r="W245" s="23" t="n">
        <v>0</v>
      </c>
      <c r="X245" s="23" t="n">
        <v>0</v>
      </c>
      <c r="Y245" s="23" t="n">
        <v>6.2</v>
      </c>
      <c r="Z245" s="23" t="n">
        <v>12.8</v>
      </c>
      <c r="AA245" s="23" t="n">
        <v>5</v>
      </c>
      <c r="AB245" s="23" t="n">
        <v>0</v>
      </c>
      <c r="AC245" s="23" t="n">
        <v>0</v>
      </c>
    </row>
    <row r="246">
      <c r="A246" s="23" t="inlineStr">
        <is>
          <t>REG-188012</t>
        </is>
      </c>
      <c r="B246" s="23" t="inlineStr">
        <is>
          <t>188012</t>
        </is>
      </c>
      <c r="C246" s="23" t="inlineStr">
        <is>
          <t>Part 8: (a) provision of 24 no. two storey residential housing units. The unit</t>
        </is>
      </c>
      <c r="D246" s="23" t="inlineStr">
        <is>
          <t>Outside city neighbourhoods</t>
        </is>
      </c>
      <c r="E246" s="23" t="inlineStr">
        <is>
          <t>Patrickswell</t>
        </is>
      </c>
      <c r="F246" s="23" t="inlineStr">
        <is>
          <t>County – audit not yet supplied</t>
        </is>
      </c>
      <c r="G246" s="23" t="n"/>
      <c r="H246" s="23" t="inlineStr">
        <is>
          <t>Public – local authority</t>
        </is>
      </c>
      <c r="I246" s="23" t="inlineStr">
        <is>
          <t>Social</t>
        </is>
      </c>
      <c r="J246" s="23" t="inlineStr">
        <is>
          <t>Part 8 / council</t>
        </is>
      </c>
      <c r="K246" s="23" t="inlineStr">
        <is>
          <t>Under construction</t>
        </is>
      </c>
      <c r="L246" s="23" t="inlineStr">
        <is>
          <t>On Site</t>
        </is>
      </c>
      <c r="M246" s="23" t="n">
        <v>24</v>
      </c>
      <c r="N246" s="23" t="n"/>
      <c r="O246" s="23" t="inlineStr">
        <is>
          <t>2018-10-11</t>
        </is>
      </c>
      <c r="P246" s="23" t="n"/>
      <c r="Q246" s="23" t="n"/>
      <c r="R246" s="23" t="inlineStr">
        <is>
          <t>2026 Q4</t>
        </is>
      </c>
      <c r="S246" s="23" t="inlineStr">
        <is>
          <t>2029 Q3</t>
        </is>
      </c>
      <c r="T246" s="23" t="inlineStr">
        <is>
          <t>High</t>
        </is>
      </c>
      <c r="U246" s="23" t="inlineStr">
        <is>
          <t>On site: started date unknown</t>
        </is>
      </c>
      <c r="V246" s="23" t="n">
        <v>0</v>
      </c>
      <c r="W246" s="23" t="n">
        <v>0</v>
      </c>
      <c r="X246" s="23" t="n">
        <v>3</v>
      </c>
      <c r="Y246" s="23" t="n">
        <v>12.8</v>
      </c>
      <c r="Z246" s="23" t="n">
        <v>8.199999999999999</v>
      </c>
      <c r="AA246" s="23" t="n">
        <v>0</v>
      </c>
      <c r="AB246" s="23" t="n">
        <v>0</v>
      </c>
      <c r="AC246" s="23" t="n">
        <v>0</v>
      </c>
    </row>
    <row r="247">
      <c r="A247" s="23" t="inlineStr">
        <is>
          <t>981494</t>
        </is>
      </c>
      <c r="B247" s="23" t="inlineStr">
        <is>
          <t>188002</t>
        </is>
      </c>
      <c r="C247" s="23" t="inlineStr">
        <is>
          <t xml:space="preserve">€1.9m - Residential Development </t>
        </is>
      </c>
      <c r="D247" s="23" t="inlineStr">
        <is>
          <t>Outside city neighbourhoods</t>
        </is>
      </c>
      <c r="E247" s="23" t="inlineStr">
        <is>
          <t>Other County Limerick</t>
        </is>
      </c>
      <c r="F247" s="23" t="inlineStr">
        <is>
          <t>County – audit not yet supplied</t>
        </is>
      </c>
      <c r="G247" s="23" t="n"/>
      <c r="H247" s="23" t="inlineStr">
        <is>
          <t>Public – local authority</t>
        </is>
      </c>
      <c r="I247" s="23" t="inlineStr">
        <is>
          <t>Social</t>
        </is>
      </c>
      <c r="J247" s="23" t="inlineStr">
        <is>
          <t>Part 8 / council</t>
        </is>
      </c>
      <c r="K247" s="23" t="inlineStr">
        <is>
          <t>Complete</t>
        </is>
      </c>
      <c r="L247" s="23" t="inlineStr">
        <is>
          <t>Complete</t>
        </is>
      </c>
      <c r="M247" s="23" t="n">
        <v>20</v>
      </c>
      <c r="N247" s="23" t="n"/>
      <c r="O247" s="23" t="inlineStr">
        <is>
          <t>2018-05-14</t>
        </is>
      </c>
      <c r="P247" s="23" t="inlineStr">
        <is>
          <t>2020-03-18</t>
        </is>
      </c>
      <c r="Q247" s="23" t="n"/>
      <c r="R247" s="23" t="n"/>
      <c r="S247" s="23" t="n"/>
      <c r="T247" s="23" t="inlineStr">
        <is>
          <t>Delivered</t>
        </is>
      </c>
      <c r="U247" s="23" t="inlineStr">
        <is>
          <t>Complete (CIS)</t>
        </is>
      </c>
      <c r="V247" s="23" t="n">
        <v>20</v>
      </c>
      <c r="W247" s="23" t="n">
        <v>0</v>
      </c>
      <c r="X247" s="23" t="n">
        <v>0</v>
      </c>
      <c r="Y247" s="23" t="n">
        <v>0</v>
      </c>
      <c r="Z247" s="23" t="n">
        <v>0</v>
      </c>
      <c r="AA247" s="23" t="n">
        <v>0</v>
      </c>
      <c r="AB247" s="23" t="n">
        <v>0</v>
      </c>
      <c r="AC247" s="23" t="n">
        <v>0</v>
      </c>
    </row>
    <row r="248">
      <c r="A248" s="23" t="inlineStr">
        <is>
          <t>1201358</t>
        </is>
      </c>
      <c r="B248" s="23" t="inlineStr">
        <is>
          <t>Part 8 - 1201358</t>
        </is>
      </c>
      <c r="C248" s="23" t="inlineStr">
        <is>
          <t xml:space="preserve">€2.4m - Residential Development, Broadford </t>
        </is>
      </c>
      <c r="D248" s="23" t="inlineStr">
        <is>
          <t>Outside city neighbourhoods</t>
        </is>
      </c>
      <c r="E248" s="23" t="inlineStr">
        <is>
          <t>Other County Limerick</t>
        </is>
      </c>
      <c r="F248" s="23" t="inlineStr">
        <is>
          <t>County – audit not yet supplied</t>
        </is>
      </c>
      <c r="G248" s="23" t="n"/>
      <c r="H248" s="23" t="inlineStr">
        <is>
          <t>Public – local authority</t>
        </is>
      </c>
      <c r="I248" s="23" t="inlineStr">
        <is>
          <t>Social</t>
        </is>
      </c>
      <c r="J248" s="23" t="inlineStr">
        <is>
          <t>Part 8 / council</t>
        </is>
      </c>
      <c r="K248" s="23" t="inlineStr">
        <is>
          <t>Not started – permission live</t>
        </is>
      </c>
      <c r="L248" s="23" t="inlineStr">
        <is>
          <t>Permission Granted</t>
        </is>
      </c>
      <c r="M248" s="23" t="n">
        <v>18</v>
      </c>
      <c r="N248" s="23" t="n"/>
      <c r="O248" s="23" t="inlineStr">
        <is>
          <t>2022-02-22</t>
        </is>
      </c>
      <c r="P248" s="23" t="n"/>
      <c r="Q248" s="23" t="n"/>
      <c r="R248" s="23" t="inlineStr">
        <is>
          <t>2027 Q3</t>
        </is>
      </c>
      <c r="S248" s="23" t="inlineStr">
        <is>
          <t>2029 Q3</t>
        </is>
      </c>
      <c r="T248" s="23" t="inlineStr">
        <is>
          <t>Low</t>
        </is>
      </c>
      <c r="U248" s="23" t="inlineStr">
        <is>
          <t>Permitted 2022-02, past typical start date with no commencement: start assumed in 9 months</t>
        </is>
      </c>
      <c r="V248" s="23" t="n">
        <v>0</v>
      </c>
      <c r="W248" s="23" t="n">
        <v>0</v>
      </c>
      <c r="X248" s="23" t="n">
        <v>0</v>
      </c>
      <c r="Y248" s="23" t="n">
        <v>7.5</v>
      </c>
      <c r="Z248" s="23" t="n">
        <v>10.5</v>
      </c>
      <c r="AA248" s="23" t="n">
        <v>0</v>
      </c>
      <c r="AB248" s="23" t="n">
        <v>0</v>
      </c>
      <c r="AC248" s="23" t="n">
        <v>0</v>
      </c>
    </row>
    <row r="249">
      <c r="A249" s="23" t="inlineStr">
        <is>
          <t>1392454</t>
        </is>
      </c>
      <c r="B249" s="23" t="inlineStr">
        <is>
          <t>Part 8 - 1392454</t>
        </is>
      </c>
      <c r="C249" s="23" t="inlineStr">
        <is>
          <t>€5.9m - Residential Development, Bruff</t>
        </is>
      </c>
      <c r="D249" s="23" t="inlineStr">
        <is>
          <t>Outside city neighbourhoods</t>
        </is>
      </c>
      <c r="E249" s="23" t="inlineStr">
        <is>
          <t>Bruff</t>
        </is>
      </c>
      <c r="F249" s="23" t="inlineStr">
        <is>
          <t>County – audit not yet supplied</t>
        </is>
      </c>
      <c r="G249" s="23" t="n"/>
      <c r="H249" s="23" t="inlineStr">
        <is>
          <t>Public – local authority</t>
        </is>
      </c>
      <c r="I249" s="23" t="inlineStr">
        <is>
          <t>Social</t>
        </is>
      </c>
      <c r="J249" s="23" t="inlineStr">
        <is>
          <t>Part 8 / council</t>
        </is>
      </c>
      <c r="K249" s="23" t="inlineStr">
        <is>
          <t>Under construction</t>
        </is>
      </c>
      <c r="L249" s="23" t="inlineStr">
        <is>
          <t>On Site</t>
        </is>
      </c>
      <c r="M249" s="23" t="n">
        <v>18</v>
      </c>
      <c r="N249" s="23" t="n"/>
      <c r="O249" s="23" t="inlineStr">
        <is>
          <t>2024-10-04</t>
        </is>
      </c>
      <c r="P249" s="23" t="inlineStr">
        <is>
          <t>2026-05-08</t>
        </is>
      </c>
      <c r="Q249" s="23" t="n"/>
      <c r="R249" s="23" t="inlineStr">
        <is>
          <t>2026 Q2</t>
        </is>
      </c>
      <c r="S249" s="23" t="inlineStr">
        <is>
          <t>2028 Q3</t>
        </is>
      </c>
      <c r="T249" s="23" t="inlineStr">
        <is>
          <t>High</t>
        </is>
      </c>
      <c r="U249" s="23" t="inlineStr">
        <is>
          <t>On site: started 2026-05</t>
        </is>
      </c>
      <c r="V249" s="23" t="n">
        <v>0</v>
      </c>
      <c r="W249" s="23" t="n">
        <v>0</v>
      </c>
      <c r="X249" s="23" t="n">
        <v>10.2</v>
      </c>
      <c r="Y249" s="23" t="n">
        <v>7.8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>
      <c r="A250" s="23" t="inlineStr">
        <is>
          <t>1203836</t>
        </is>
      </c>
      <c r="B250" s="23" t="inlineStr">
        <is>
          <t>218012</t>
        </is>
      </c>
      <c r="C250" s="23" t="inlineStr">
        <is>
          <t>€2.4m - Residential Development</t>
        </is>
      </c>
      <c r="D250" s="23" t="inlineStr">
        <is>
          <t>Outside city neighbourhoods</t>
        </is>
      </c>
      <c r="E250" s="23" t="inlineStr">
        <is>
          <t>Other County Limerick</t>
        </is>
      </c>
      <c r="F250" s="23" t="inlineStr">
        <is>
          <t>County – audit not yet supplied</t>
        </is>
      </c>
      <c r="G250" s="23" t="n"/>
      <c r="H250" s="23" t="inlineStr">
        <is>
          <t>Public – local authority</t>
        </is>
      </c>
      <c r="I250" s="23" t="inlineStr">
        <is>
          <t>Social</t>
        </is>
      </c>
      <c r="J250" s="23" t="inlineStr">
        <is>
          <t>Part 8 / council</t>
        </is>
      </c>
      <c r="K250" s="23" t="inlineStr">
        <is>
          <t>Under construction</t>
        </is>
      </c>
      <c r="L250" s="23" t="inlineStr">
        <is>
          <t>Part Complete</t>
        </is>
      </c>
      <c r="M250" s="23" t="n">
        <v>18</v>
      </c>
      <c r="N250" s="23" t="n"/>
      <c r="O250" s="23" t="inlineStr">
        <is>
          <t>2022-02-25</t>
        </is>
      </c>
      <c r="P250" s="23" t="inlineStr">
        <is>
          <t>2025-06-26</t>
        </is>
      </c>
      <c r="Q250" s="23" t="n"/>
      <c r="R250" s="23" t="inlineStr">
        <is>
          <t>2025 Q2</t>
        </is>
      </c>
      <c r="S250" s="23" t="inlineStr">
        <is>
          <t>2027 Q4</t>
        </is>
      </c>
      <c r="T250" s="23" t="inlineStr">
        <is>
          <t>High</t>
        </is>
      </c>
      <c r="U250" s="23" t="inlineStr">
        <is>
          <t>On site: started 2025-06</t>
        </is>
      </c>
      <c r="V250" s="23" t="n">
        <v>0</v>
      </c>
      <c r="W250" s="23" t="n">
        <v>4.2</v>
      </c>
      <c r="X250" s="23" t="n">
        <v>13.8</v>
      </c>
      <c r="Y250" s="23" t="n">
        <v>0</v>
      </c>
      <c r="Z250" s="23" t="n">
        <v>0</v>
      </c>
      <c r="AA250" s="23" t="n">
        <v>0</v>
      </c>
      <c r="AB250" s="23" t="n">
        <v>0</v>
      </c>
      <c r="AC250" s="23" t="n">
        <v>0</v>
      </c>
    </row>
    <row r="251">
      <c r="A251" s="23" t="inlineStr">
        <is>
          <t>REG-178013</t>
        </is>
      </c>
      <c r="B251" s="23" t="inlineStr">
        <is>
          <t>178013</t>
        </is>
      </c>
      <c r="C251" s="23" t="inlineStr">
        <is>
          <t>Part 8: (i) Provision of 16no. residential terraced units (15no. two storey an</t>
        </is>
      </c>
      <c r="D251" s="23" t="inlineStr">
        <is>
          <t>Outside city neighbourhoods</t>
        </is>
      </c>
      <c r="E251" s="23" t="inlineStr">
        <is>
          <t>Patrickswell</t>
        </is>
      </c>
      <c r="F251" s="23" t="inlineStr">
        <is>
          <t>County – audit not yet supplied</t>
        </is>
      </c>
      <c r="G251" s="23" t="n"/>
      <c r="H251" s="23" t="inlineStr">
        <is>
          <t>Public – local authority</t>
        </is>
      </c>
      <c r="I251" s="23" t="inlineStr">
        <is>
          <t>Social</t>
        </is>
      </c>
      <c r="J251" s="23" t="inlineStr">
        <is>
          <t>Part 8 / council</t>
        </is>
      </c>
      <c r="K251" s="23" t="inlineStr">
        <is>
          <t>Under construction</t>
        </is>
      </c>
      <c r="L251" s="23" t="inlineStr">
        <is>
          <t>Commenced (building control)</t>
        </is>
      </c>
      <c r="M251" s="23" t="n">
        <v>16</v>
      </c>
      <c r="N251" s="23" t="n"/>
      <c r="O251" s="23" t="inlineStr">
        <is>
          <t>2017-12-13</t>
        </is>
      </c>
      <c r="P251" s="23" t="inlineStr">
        <is>
          <t>2019-04-12</t>
        </is>
      </c>
      <c r="Q251" s="23" t="n"/>
      <c r="R251" s="23" t="inlineStr">
        <is>
          <t>2019 Q2</t>
        </is>
      </c>
      <c r="S251" s="23" t="inlineStr">
        <is>
          <t>2027 Q4</t>
        </is>
      </c>
      <c r="T251" s="23" t="inlineStr">
        <is>
          <t>High</t>
        </is>
      </c>
      <c r="U251" s="23" t="inlineStr">
        <is>
          <t>On site: started 2019-04</t>
        </is>
      </c>
      <c r="V251" s="23" t="n">
        <v>0</v>
      </c>
      <c r="W251" s="23" t="n">
        <v>3.7</v>
      </c>
      <c r="X251" s="23" t="n">
        <v>12.3</v>
      </c>
      <c r="Y251" s="23" t="n">
        <v>0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>
      <c r="A252" s="23" t="inlineStr">
        <is>
          <t>1184979</t>
        </is>
      </c>
      <c r="B252" s="23" t="inlineStr">
        <is>
          <t>211170</t>
        </is>
      </c>
      <c r="C252" s="23" t="inlineStr">
        <is>
          <t>€3m - Modifications to Housing Development, Kilfinane</t>
        </is>
      </c>
      <c r="D252" s="23" t="inlineStr">
        <is>
          <t>Outside city neighbourhoods</t>
        </is>
      </c>
      <c r="E252" s="23" t="inlineStr">
        <is>
          <t>Other County Limerick</t>
        </is>
      </c>
      <c r="F252" s="23" t="inlineStr">
        <is>
          <t>County – audit not yet supplied</t>
        </is>
      </c>
      <c r="G252" s="23" t="n"/>
      <c r="H252" s="23" t="inlineStr">
        <is>
          <t>Public – local authority</t>
        </is>
      </c>
      <c r="I252" s="23" t="inlineStr">
        <is>
          <t>Social</t>
        </is>
      </c>
      <c r="J252" s="23" t="inlineStr">
        <is>
          <t>Standard planning application</t>
        </is>
      </c>
      <c r="K252" s="23" t="inlineStr">
        <is>
          <t>Under construction</t>
        </is>
      </c>
      <c r="L252" s="23" t="inlineStr">
        <is>
          <t>On Site</t>
        </is>
      </c>
      <c r="M252" s="23" t="n">
        <v>14</v>
      </c>
      <c r="N252" s="23" t="n"/>
      <c r="O252" s="23" t="inlineStr">
        <is>
          <t>2022-09-16</t>
        </is>
      </c>
      <c r="P252" s="23" t="inlineStr">
        <is>
          <t>2024-04-22</t>
        </is>
      </c>
      <c r="Q252" s="23" t="inlineStr">
        <is>
          <t>2027-09-15</t>
        </is>
      </c>
      <c r="R252" s="23" t="inlineStr">
        <is>
          <t>2024 Q2</t>
        </is>
      </c>
      <c r="S252" s="23" t="inlineStr">
        <is>
          <t>2027 Q4</t>
        </is>
      </c>
      <c r="T252" s="23" t="inlineStr">
        <is>
          <t>High</t>
        </is>
      </c>
      <c r="U252" s="23" t="inlineStr">
        <is>
          <t>On site: started 2024-04</t>
        </is>
      </c>
      <c r="V252" s="23" t="n">
        <v>0</v>
      </c>
      <c r="W252" s="23" t="n">
        <v>3.3</v>
      </c>
      <c r="X252" s="23" t="n">
        <v>10.7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>
      <c r="A253" s="23" t="inlineStr">
        <is>
          <t>1065269</t>
        </is>
      </c>
      <c r="B253" s="23" t="inlineStr">
        <is>
          <t>198007</t>
        </is>
      </c>
      <c r="C253" s="23" t="inlineStr">
        <is>
          <t xml:space="preserve">€1.4m - Housing Development </t>
        </is>
      </c>
      <c r="D253" s="23" t="inlineStr">
        <is>
          <t>Outside city neighbourhoods</t>
        </is>
      </c>
      <c r="E253" s="23" t="inlineStr">
        <is>
          <t>Other County Limerick</t>
        </is>
      </c>
      <c r="F253" s="23" t="inlineStr">
        <is>
          <t>County – audit not yet supplied</t>
        </is>
      </c>
      <c r="G253" s="23" t="n"/>
      <c r="H253" s="23" t="inlineStr">
        <is>
          <t>Public – local authority</t>
        </is>
      </c>
      <c r="I253" s="23" t="inlineStr">
        <is>
          <t>Social</t>
        </is>
      </c>
      <c r="J253" s="23" t="inlineStr">
        <is>
          <t>Part 8 / council</t>
        </is>
      </c>
      <c r="K253" s="23" t="inlineStr">
        <is>
          <t>Complete</t>
        </is>
      </c>
      <c r="L253" s="23" t="inlineStr">
        <is>
          <t>Complete</t>
        </is>
      </c>
      <c r="M253" s="23" t="n">
        <v>12</v>
      </c>
      <c r="N253" s="23" t="n"/>
      <c r="O253" s="23" t="inlineStr">
        <is>
          <t>2019-11-15</t>
        </is>
      </c>
      <c r="P253" s="23" t="inlineStr">
        <is>
          <t>2021-08-13</t>
        </is>
      </c>
      <c r="Q253" s="23" t="n"/>
      <c r="R253" s="23" t="n"/>
      <c r="S253" s="23" t="n"/>
      <c r="T253" s="23" t="inlineStr">
        <is>
          <t>Delivered</t>
        </is>
      </c>
      <c r="U253" s="23" t="inlineStr">
        <is>
          <t>Complete (CIS)</t>
        </is>
      </c>
      <c r="V253" s="23" t="n">
        <v>12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>
      <c r="A254" s="23" t="inlineStr">
        <is>
          <t>1071780</t>
        </is>
      </c>
      <c r="B254" s="23" t="inlineStr">
        <is>
          <t>198009</t>
        </is>
      </c>
      <c r="C254" s="23" t="inlineStr">
        <is>
          <t xml:space="preserve">€1.8m - Housing Development </t>
        </is>
      </c>
      <c r="D254" s="23" t="inlineStr">
        <is>
          <t>Outside city neighbourhoods</t>
        </is>
      </c>
      <c r="E254" s="23" t="inlineStr">
        <is>
          <t>Other County Limerick</t>
        </is>
      </c>
      <c r="F254" s="23" t="inlineStr">
        <is>
          <t>County – audit not yet supplied</t>
        </is>
      </c>
      <c r="G254" s="23" t="n"/>
      <c r="H254" s="23" t="inlineStr">
        <is>
          <t>Public – local authority</t>
        </is>
      </c>
      <c r="I254" s="23" t="inlineStr">
        <is>
          <t>Social</t>
        </is>
      </c>
      <c r="J254" s="23" t="inlineStr">
        <is>
          <t>Part 8 / council</t>
        </is>
      </c>
      <c r="K254" s="23" t="inlineStr">
        <is>
          <t>Not started – permission live</t>
        </is>
      </c>
      <c r="L254" s="23" t="inlineStr">
        <is>
          <t>Permission Granted</t>
        </is>
      </c>
      <c r="M254" s="23" t="n">
        <v>12</v>
      </c>
      <c r="N254" s="23" t="n"/>
      <c r="O254" s="23" t="inlineStr">
        <is>
          <t>2019-12-12</t>
        </is>
      </c>
      <c r="P254" s="23" t="n"/>
      <c r="Q254" s="23" t="n"/>
      <c r="R254" s="23" t="inlineStr">
        <is>
          <t>2027 Q3</t>
        </is>
      </c>
      <c r="S254" s="23" t="inlineStr">
        <is>
          <t>2029 Q2</t>
        </is>
      </c>
      <c r="T254" s="23" t="inlineStr">
        <is>
          <t>Low</t>
        </is>
      </c>
      <c r="U254" s="23" t="inlineStr">
        <is>
          <t>Permitted 2019-12, past typical start date with no commencement: start assumed in 9 months</t>
        </is>
      </c>
      <c r="V254" s="23" t="n">
        <v>0</v>
      </c>
      <c r="W254" s="23" t="n">
        <v>0</v>
      </c>
      <c r="X254" s="23" t="n">
        <v>0</v>
      </c>
      <c r="Y254" s="23" t="n">
        <v>7</v>
      </c>
      <c r="Z254" s="23" t="n">
        <v>5</v>
      </c>
      <c r="AA254" s="23" t="n">
        <v>0</v>
      </c>
      <c r="AB254" s="23" t="n">
        <v>0</v>
      </c>
      <c r="AC254" s="23" t="n">
        <v>0</v>
      </c>
    </row>
    <row r="255">
      <c r="A255" s="23" t="inlineStr">
        <is>
          <t>1345677</t>
        </is>
      </c>
      <c r="B255" s="23" t="inlineStr">
        <is>
          <t>Part 8 - 1345677</t>
        </is>
      </c>
      <c r="C255" s="23" t="inlineStr">
        <is>
          <t>€1.5m - New Traveller Welfare Units, Hillview Park</t>
        </is>
      </c>
      <c r="D255" s="23" t="inlineStr">
        <is>
          <t>Outside city neighbourhoods</t>
        </is>
      </c>
      <c r="E255" s="23" t="inlineStr">
        <is>
          <t>Rathkeale</t>
        </is>
      </c>
      <c r="F255" s="23" t="inlineStr">
        <is>
          <t>County – audit not yet supplied</t>
        </is>
      </c>
      <c r="G255" s="23" t="n"/>
      <c r="H255" s="23" t="inlineStr">
        <is>
          <t>Public – local authority</t>
        </is>
      </c>
      <c r="I255" s="23" t="inlineStr">
        <is>
          <t>Social</t>
        </is>
      </c>
      <c r="J255" s="23" t="inlineStr">
        <is>
          <t>Part 8 / council</t>
        </is>
      </c>
      <c r="K255" s="23" t="inlineStr">
        <is>
          <t>Under construction</t>
        </is>
      </c>
      <c r="L255" s="23" t="inlineStr">
        <is>
          <t>On Site</t>
        </is>
      </c>
      <c r="M255" s="23" t="n">
        <v>11</v>
      </c>
      <c r="N255" s="23" t="n"/>
      <c r="O255" s="23" t="n"/>
      <c r="P255" s="23" t="inlineStr">
        <is>
          <t>2024-11-18</t>
        </is>
      </c>
      <c r="Q255" s="23" t="n"/>
      <c r="R255" s="23" t="inlineStr">
        <is>
          <t>2024 Q4</t>
        </is>
      </c>
      <c r="S255" s="23" t="inlineStr">
        <is>
          <t>2027 Q4</t>
        </is>
      </c>
      <c r="T255" s="23" t="inlineStr">
        <is>
          <t>High</t>
        </is>
      </c>
      <c r="U255" s="23" t="inlineStr">
        <is>
          <t>On site: started 2024-11</t>
        </is>
      </c>
      <c r="V255" s="23" t="n">
        <v>0</v>
      </c>
      <c r="W255" s="23" t="n">
        <v>2.6</v>
      </c>
      <c r="X255" s="23" t="n">
        <v>8.4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>
      <c r="A256" s="23" t="inlineStr">
        <is>
          <t>1205019</t>
        </is>
      </c>
      <c r="B256" s="23" t="inlineStr">
        <is>
          <t>218013</t>
        </is>
      </c>
      <c r="C256" s="23" t="inlineStr">
        <is>
          <t>€3m - Housing Development</t>
        </is>
      </c>
      <c r="D256" s="23" t="inlineStr">
        <is>
          <t>Outside city neighbourhoods</t>
        </is>
      </c>
      <c r="E256" s="23" t="inlineStr">
        <is>
          <t>Other County Limerick</t>
        </is>
      </c>
      <c r="F256" s="23" t="inlineStr">
        <is>
          <t>County – audit not yet supplied</t>
        </is>
      </c>
      <c r="G256" s="23" t="n"/>
      <c r="H256" s="23" t="inlineStr">
        <is>
          <t>Public – local authority</t>
        </is>
      </c>
      <c r="I256" s="23" t="inlineStr">
        <is>
          <t>Social</t>
        </is>
      </c>
      <c r="J256" s="23" t="inlineStr">
        <is>
          <t>Part 8 / council</t>
        </is>
      </c>
      <c r="K256" s="23" t="inlineStr">
        <is>
          <t>Complete</t>
        </is>
      </c>
      <c r="L256" s="23" t="inlineStr">
        <is>
          <t>Complete</t>
        </is>
      </c>
      <c r="M256" s="23" t="n">
        <v>10</v>
      </c>
      <c r="N256" s="23" t="n"/>
      <c r="O256" s="23" t="inlineStr">
        <is>
          <t>2022-03-09</t>
        </is>
      </c>
      <c r="P256" s="23" t="inlineStr">
        <is>
          <t>2024-03-19</t>
        </is>
      </c>
      <c r="Q256" s="23" t="n"/>
      <c r="R256" s="23" t="n"/>
      <c r="S256" s="23" t="n"/>
      <c r="T256" s="23" t="inlineStr">
        <is>
          <t>Delivered</t>
        </is>
      </c>
      <c r="U256" s="23" t="inlineStr">
        <is>
          <t>Complete (CIS)</t>
        </is>
      </c>
      <c r="V256" s="23" t="n">
        <v>10</v>
      </c>
      <c r="W256" s="23" t="n">
        <v>0</v>
      </c>
      <c r="X256" s="23" t="n">
        <v>0</v>
      </c>
      <c r="Y256" s="23" t="n">
        <v>0</v>
      </c>
      <c r="Z256" s="23" t="n">
        <v>0</v>
      </c>
      <c r="AA256" s="23" t="n">
        <v>0</v>
      </c>
      <c r="AB256" s="23" t="n">
        <v>0</v>
      </c>
      <c r="AC256" s="23" t="n">
        <v>0</v>
      </c>
    </row>
    <row r="257">
      <c r="A257" s="23" t="inlineStr">
        <is>
          <t>1237333</t>
        </is>
      </c>
      <c r="B257" s="23" t="inlineStr">
        <is>
          <t>228013</t>
        </is>
      </c>
      <c r="C257" s="23" t="inlineStr">
        <is>
          <t>€2.2m - Housing Development, Ardagh</t>
        </is>
      </c>
      <c r="D257" s="23" t="inlineStr">
        <is>
          <t>Outside city neighbourhoods</t>
        </is>
      </c>
      <c r="E257" s="23" t="inlineStr">
        <is>
          <t>Other County Limerick</t>
        </is>
      </c>
      <c r="F257" s="23" t="inlineStr">
        <is>
          <t>County – audit not yet supplied</t>
        </is>
      </c>
      <c r="G257" s="23" t="n"/>
      <c r="H257" s="23" t="inlineStr">
        <is>
          <t>Public – local authority</t>
        </is>
      </c>
      <c r="I257" s="23" t="inlineStr">
        <is>
          <t>Social</t>
        </is>
      </c>
      <c r="J257" s="23" t="inlineStr">
        <is>
          <t>Part 8 / council</t>
        </is>
      </c>
      <c r="K257" s="23" t="inlineStr">
        <is>
          <t>Under construction</t>
        </is>
      </c>
      <c r="L257" s="23" t="inlineStr">
        <is>
          <t>On Site</t>
        </is>
      </c>
      <c r="M257" s="23" t="n">
        <v>10</v>
      </c>
      <c r="N257" s="23" t="n"/>
      <c r="O257" s="23" t="inlineStr">
        <is>
          <t>2022-08-29</t>
        </is>
      </c>
      <c r="P257" s="23" t="inlineStr">
        <is>
          <t>2025-10-13</t>
        </is>
      </c>
      <c r="Q257" s="23" t="n"/>
      <c r="R257" s="23" t="inlineStr">
        <is>
          <t>2025 Q4</t>
        </is>
      </c>
      <c r="S257" s="23" t="inlineStr">
        <is>
          <t>2027 Q4</t>
        </is>
      </c>
      <c r="T257" s="23" t="inlineStr">
        <is>
          <t>High</t>
        </is>
      </c>
      <c r="U257" s="23" t="inlineStr">
        <is>
          <t>On site: started 2025-10</t>
        </is>
      </c>
      <c r="V257" s="23" t="n">
        <v>0</v>
      </c>
      <c r="W257" s="23" t="n">
        <v>2.3</v>
      </c>
      <c r="X257" s="23" t="n">
        <v>7.7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>
      <c r="A258" s="23" t="inlineStr">
        <is>
          <t>1213266</t>
        </is>
      </c>
      <c r="B258" s="23" t="inlineStr">
        <is>
          <t>228000</t>
        </is>
      </c>
      <c r="C258" s="23" t="inlineStr">
        <is>
          <t>€2.5m - 9 Houses</t>
        </is>
      </c>
      <c r="D258" s="23" t="inlineStr">
        <is>
          <t>Outside city neighbourhoods</t>
        </is>
      </c>
      <c r="E258" s="23" t="inlineStr">
        <is>
          <t>Other County Limerick</t>
        </is>
      </c>
      <c r="F258" s="23" t="inlineStr">
        <is>
          <t>County – audit not yet supplied</t>
        </is>
      </c>
      <c r="G258" s="23" t="n"/>
      <c r="H258" s="23" t="inlineStr">
        <is>
          <t>Public – local authority</t>
        </is>
      </c>
      <c r="I258" s="23" t="inlineStr">
        <is>
          <t>Social</t>
        </is>
      </c>
      <c r="J258" s="23" t="inlineStr">
        <is>
          <t>Part 8 / council</t>
        </is>
      </c>
      <c r="K258" s="23" t="inlineStr">
        <is>
          <t>Under construction</t>
        </is>
      </c>
      <c r="L258" s="23" t="inlineStr">
        <is>
          <t>On Site</t>
        </is>
      </c>
      <c r="M258" s="23" t="n">
        <v>9</v>
      </c>
      <c r="N258" s="23" t="n"/>
      <c r="O258" s="23" t="inlineStr">
        <is>
          <t>2022-04-07</t>
        </is>
      </c>
      <c r="P258" s="23" t="inlineStr">
        <is>
          <t>2025-04-22</t>
        </is>
      </c>
      <c r="Q258" s="23" t="n"/>
      <c r="R258" s="23" t="inlineStr">
        <is>
          <t>2025 Q2</t>
        </is>
      </c>
      <c r="S258" s="23" t="inlineStr">
        <is>
          <t>2027 Q4</t>
        </is>
      </c>
      <c r="T258" s="23" t="inlineStr">
        <is>
          <t>High</t>
        </is>
      </c>
      <c r="U258" s="23" t="inlineStr">
        <is>
          <t>On site: started 2025-04</t>
        </is>
      </c>
      <c r="V258" s="23" t="n">
        <v>0</v>
      </c>
      <c r="W258" s="23" t="n">
        <v>2.1</v>
      </c>
      <c r="X258" s="23" t="n">
        <v>6.9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>
      <c r="A259" s="23" t="inlineStr">
        <is>
          <t>1007351</t>
        </is>
      </c>
      <c r="B259" s="23" t="inlineStr">
        <is>
          <t>188013</t>
        </is>
      </c>
      <c r="C259" s="23" t="inlineStr">
        <is>
          <t xml:space="preserve">€701k - 7 Houses </t>
        </is>
      </c>
      <c r="D259" s="23" t="inlineStr">
        <is>
          <t>Outside city neighbourhoods</t>
        </is>
      </c>
      <c r="E259" s="23" t="inlineStr">
        <is>
          <t>Abbeyfeale</t>
        </is>
      </c>
      <c r="F259" s="23" t="inlineStr">
        <is>
          <t>County – audit not yet supplied</t>
        </is>
      </c>
      <c r="G259" s="23" t="n"/>
      <c r="H259" s="23" t="inlineStr">
        <is>
          <t>Public – local authority</t>
        </is>
      </c>
      <c r="I259" s="23" t="inlineStr">
        <is>
          <t>Social</t>
        </is>
      </c>
      <c r="J259" s="23" t="inlineStr">
        <is>
          <t>Part 8 / council</t>
        </is>
      </c>
      <c r="K259" s="23" t="inlineStr">
        <is>
          <t>Not started – permission live</t>
        </is>
      </c>
      <c r="L259" s="23" t="inlineStr">
        <is>
          <t>Permission Granted</t>
        </is>
      </c>
      <c r="M259" s="23" t="n">
        <v>7</v>
      </c>
      <c r="N259" s="23" t="n"/>
      <c r="O259" s="23" t="inlineStr">
        <is>
          <t>2018-09-25</t>
        </is>
      </c>
      <c r="P259" s="23" t="n"/>
      <c r="Q259" s="23" t="n"/>
      <c r="R259" s="23" t="inlineStr">
        <is>
          <t>2027 Q3</t>
        </is>
      </c>
      <c r="S259" s="23" t="inlineStr">
        <is>
          <t>2029 Q2</t>
        </is>
      </c>
      <c r="T259" s="23" t="inlineStr">
        <is>
          <t>Low</t>
        </is>
      </c>
      <c r="U259" s="23" t="inlineStr">
        <is>
          <t>Permitted 2018-09, past typical start date with no commencement: start assumed in 9 months</t>
        </is>
      </c>
      <c r="V259" s="23" t="n">
        <v>0</v>
      </c>
      <c r="W259" s="23" t="n">
        <v>0</v>
      </c>
      <c r="X259" s="23" t="n">
        <v>0</v>
      </c>
      <c r="Y259" s="23" t="n">
        <v>4.4</v>
      </c>
      <c r="Z259" s="23" t="n">
        <v>2.6</v>
      </c>
      <c r="AA259" s="23" t="n">
        <v>0</v>
      </c>
      <c r="AB259" s="23" t="n">
        <v>0</v>
      </c>
      <c r="AC259" s="23" t="n">
        <v>0</v>
      </c>
    </row>
    <row r="260">
      <c r="A260" s="23" t="inlineStr">
        <is>
          <t>1152091</t>
        </is>
      </c>
      <c r="B260" s="23" t="inlineStr">
        <is>
          <t>21240</t>
        </is>
      </c>
      <c r="C260" s="23" t="inlineStr">
        <is>
          <t xml:space="preserve">€561k - Main Street Housing Development, Ballylanders </t>
        </is>
      </c>
      <c r="D260" s="23" t="inlineStr">
        <is>
          <t>Outside city neighbourhoods</t>
        </is>
      </c>
      <c r="E260" s="23" t="inlineStr">
        <is>
          <t>Other County Limerick</t>
        </is>
      </c>
      <c r="F260" s="23" t="inlineStr">
        <is>
          <t>County – audit not yet supplied</t>
        </is>
      </c>
      <c r="G260" s="23" t="n"/>
      <c r="H260" s="23" t="inlineStr">
        <is>
          <t>Public – local authority</t>
        </is>
      </c>
      <c r="I260" s="23" t="inlineStr">
        <is>
          <t>Social</t>
        </is>
      </c>
      <c r="J260" s="23" t="inlineStr">
        <is>
          <t>Standard planning application</t>
        </is>
      </c>
      <c r="K260" s="23" t="inlineStr">
        <is>
          <t>Complete</t>
        </is>
      </c>
      <c r="L260" s="23" t="inlineStr">
        <is>
          <t>Complete</t>
        </is>
      </c>
      <c r="M260" s="23" t="n">
        <v>5</v>
      </c>
      <c r="N260" s="23" t="n"/>
      <c r="O260" s="23" t="inlineStr">
        <is>
          <t>2022-05-17</t>
        </is>
      </c>
      <c r="P260" s="23" t="inlineStr">
        <is>
          <t>2023-07-21</t>
        </is>
      </c>
      <c r="Q260" s="23" t="inlineStr">
        <is>
          <t>2027-05-16</t>
        </is>
      </c>
      <c r="R260" s="23" t="n"/>
      <c r="S260" s="23" t="n"/>
      <c r="T260" s="23" t="inlineStr">
        <is>
          <t>Delivered</t>
        </is>
      </c>
      <c r="U260" s="23" t="inlineStr">
        <is>
          <t>Complete (CIS)</t>
        </is>
      </c>
      <c r="V260" s="23" t="n">
        <v>5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>
      <c r="A261" s="23" t="inlineStr">
        <is>
          <t>1033981</t>
        </is>
      </c>
      <c r="B261" s="23" t="inlineStr">
        <is>
          <t>Part 8 / 1033981</t>
        </is>
      </c>
      <c r="C261" s="23" t="inlineStr">
        <is>
          <t>€960k - Residential Development</t>
        </is>
      </c>
      <c r="D261" s="23" t="inlineStr">
        <is>
          <t>Outside city neighbourhoods</t>
        </is>
      </c>
      <c r="E261" s="23" t="inlineStr">
        <is>
          <t>Castleconnell</t>
        </is>
      </c>
      <c r="F261" s="23" t="inlineStr">
        <is>
          <t>County – audit not yet supplied</t>
        </is>
      </c>
      <c r="G261" s="23" t="n"/>
      <c r="H261" s="23" t="inlineStr">
        <is>
          <t>Public – local authority</t>
        </is>
      </c>
      <c r="I261" s="23" t="inlineStr">
        <is>
          <t>Social</t>
        </is>
      </c>
      <c r="J261" s="23" t="inlineStr">
        <is>
          <t>Part 8 / council</t>
        </is>
      </c>
      <c r="K261" s="23" t="inlineStr">
        <is>
          <t>Under construction</t>
        </is>
      </c>
      <c r="L261" s="23" t="inlineStr">
        <is>
          <t>Tender</t>
        </is>
      </c>
      <c r="M261" s="23" t="n">
        <v>4</v>
      </c>
      <c r="N261" s="23" t="n"/>
      <c r="O261" s="23" t="inlineStr">
        <is>
          <t>2018-06-13</t>
        </is>
      </c>
      <c r="P261" s="23" t="inlineStr">
        <is>
          <t>2019-08-27</t>
        </is>
      </c>
      <c r="Q261" s="23" t="n"/>
      <c r="R261" s="23" t="inlineStr">
        <is>
          <t>2019 Q3</t>
        </is>
      </c>
      <c r="S261" s="23" t="inlineStr">
        <is>
          <t>2027 Q4</t>
        </is>
      </c>
      <c r="T261" s="23" t="inlineStr">
        <is>
          <t>High</t>
        </is>
      </c>
      <c r="U261" s="23" t="inlineStr">
        <is>
          <t>On site: started 2019-08</t>
        </is>
      </c>
      <c r="V261" s="23" t="n">
        <v>0</v>
      </c>
      <c r="W261" s="23" t="n">
        <v>0.9</v>
      </c>
      <c r="X261" s="23" t="n">
        <v>3.1</v>
      </c>
      <c r="Y261" s="23" t="n">
        <v>0</v>
      </c>
      <c r="Z261" s="23" t="n">
        <v>0</v>
      </c>
      <c r="AA261" s="23" t="n">
        <v>0</v>
      </c>
      <c r="AB261" s="23" t="n">
        <v>0</v>
      </c>
      <c r="AC261" s="23" t="n">
        <v>0</v>
      </c>
    </row>
    <row r="262">
      <c r="A262" s="23" t="inlineStr">
        <is>
          <t>1316160</t>
        </is>
      </c>
      <c r="B262" s="23" t="inlineStr">
        <is>
          <t>Part 8 - 1316160</t>
        </is>
      </c>
      <c r="C262" s="23" t="inlineStr">
        <is>
          <t>€705k - Radharc an Ghleanna Residential Development, Mountcollins</t>
        </is>
      </c>
      <c r="D262" s="23" t="inlineStr">
        <is>
          <t>Outside city neighbourhoods</t>
        </is>
      </c>
      <c r="E262" s="23" t="inlineStr">
        <is>
          <t>Other County Limerick</t>
        </is>
      </c>
      <c r="F262" s="23" t="inlineStr">
        <is>
          <t>County – audit not yet supplied</t>
        </is>
      </c>
      <c r="G262" s="23" t="n"/>
      <c r="H262" s="23" t="inlineStr">
        <is>
          <t>Public – local authority</t>
        </is>
      </c>
      <c r="I262" s="23" t="inlineStr">
        <is>
          <t>Social</t>
        </is>
      </c>
      <c r="J262" s="23" t="inlineStr">
        <is>
          <t>Part 8 / council</t>
        </is>
      </c>
      <c r="K262" s="23" t="inlineStr">
        <is>
          <t>Not started – permission live</t>
        </is>
      </c>
      <c r="L262" s="23" t="inlineStr">
        <is>
          <t>Tender</t>
        </is>
      </c>
      <c r="M262" s="23" t="n">
        <v>4</v>
      </c>
      <c r="N262" s="23" t="n"/>
      <c r="O262" s="23" t="inlineStr">
        <is>
          <t>2024-02-13</t>
        </is>
      </c>
      <c r="P262" s="23" t="n"/>
      <c r="Q262" s="23" t="n"/>
      <c r="R262" s="23" t="inlineStr">
        <is>
          <t>2027 Q2</t>
        </is>
      </c>
      <c r="S262" s="23" t="inlineStr">
        <is>
          <t>2029 Q1</t>
        </is>
      </c>
      <c r="T262" s="23" t="inlineStr">
        <is>
          <t>Medium</t>
        </is>
      </c>
      <c r="U262" s="23" t="inlineStr">
        <is>
          <t>At tender (CIS): start assumed in 6–12 months</t>
        </is>
      </c>
      <c r="V262" s="23" t="n">
        <v>0</v>
      </c>
      <c r="W262" s="23" t="n">
        <v>0</v>
      </c>
      <c r="X262" s="23" t="n">
        <v>0</v>
      </c>
      <c r="Y262" s="23" t="n">
        <v>3.5</v>
      </c>
      <c r="Z262" s="23" t="n">
        <v>0.5</v>
      </c>
      <c r="AA262" s="23" t="n">
        <v>0</v>
      </c>
      <c r="AB262" s="23" t="n">
        <v>0</v>
      </c>
      <c r="AC262" s="23" t="n">
        <v>0</v>
      </c>
    </row>
    <row r="263">
      <c r="A263" s="23" t="inlineStr">
        <is>
          <t>1378805</t>
        </is>
      </c>
      <c r="B263" s="23" t="inlineStr">
        <is>
          <t>Part 8 - 1378805</t>
        </is>
      </c>
      <c r="C263" s="23" t="inlineStr">
        <is>
          <t>€800k - Housing Development</t>
        </is>
      </c>
      <c r="D263" s="23" t="inlineStr">
        <is>
          <t>Outside city neighbourhoods</t>
        </is>
      </c>
      <c r="E263" s="23" t="inlineStr">
        <is>
          <t>Other County Limerick</t>
        </is>
      </c>
      <c r="F263" s="23" t="inlineStr">
        <is>
          <t>County – audit not yet supplied</t>
        </is>
      </c>
      <c r="G263" s="23" t="n"/>
      <c r="H263" s="23" t="inlineStr">
        <is>
          <t>Public – local authority</t>
        </is>
      </c>
      <c r="I263" s="23" t="inlineStr">
        <is>
          <t>Social</t>
        </is>
      </c>
      <c r="J263" s="23" t="inlineStr">
        <is>
          <t>Part 8 / council</t>
        </is>
      </c>
      <c r="K263" s="23" t="inlineStr">
        <is>
          <t>In planning</t>
        </is>
      </c>
      <c r="L263" s="23" t="inlineStr">
        <is>
          <t>Plans Submitted</t>
        </is>
      </c>
      <c r="M263" s="23" t="n">
        <v>4</v>
      </c>
      <c r="N263" s="23" t="n"/>
      <c r="O263" s="23" t="n"/>
      <c r="P263" s="23" t="n"/>
      <c r="Q263" s="23" t="n"/>
      <c r="R263" s="23" t="n"/>
      <c r="S263" s="23" t="n"/>
      <c r="T263" s="23" t="inlineStr">
        <is>
          <t>Not projected</t>
        </is>
      </c>
      <c r="U263" s="23" t="inlineStr">
        <is>
          <t>Not yet decided – not projected</t>
        </is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4</v>
      </c>
    </row>
    <row r="264">
      <c r="A264" s="23" t="inlineStr">
        <is>
          <t>837963</t>
        </is>
      </c>
      <c r="B264" s="23" t="inlineStr">
        <is>
          <t>15577</t>
        </is>
      </c>
      <c r="C264" s="23" t="inlineStr">
        <is>
          <t>€588k - 3 Houses</t>
        </is>
      </c>
      <c r="D264" s="23" t="inlineStr">
        <is>
          <t>Outside city neighbourhoods</t>
        </is>
      </c>
      <c r="E264" s="23" t="inlineStr">
        <is>
          <t>Other County Limerick</t>
        </is>
      </c>
      <c r="F264" s="23" t="inlineStr">
        <is>
          <t>County – audit not yet supplied</t>
        </is>
      </c>
      <c r="G264" s="23" t="n"/>
      <c r="H264" s="23" t="inlineStr">
        <is>
          <t>Public – local authority</t>
        </is>
      </c>
      <c r="I264" s="23" t="inlineStr">
        <is>
          <t>Social</t>
        </is>
      </c>
      <c r="J264" s="23" t="inlineStr">
        <is>
          <t>Part 8 / council</t>
        </is>
      </c>
      <c r="K264" s="23" t="inlineStr">
        <is>
          <t>Not started – permission live</t>
        </is>
      </c>
      <c r="L264" s="23" t="inlineStr">
        <is>
          <t>Tender</t>
        </is>
      </c>
      <c r="M264" s="23" t="n">
        <v>3</v>
      </c>
      <c r="N264" s="23" t="n"/>
      <c r="O264" s="23" t="inlineStr">
        <is>
          <t>2015-09-09</t>
        </is>
      </c>
      <c r="P264" s="23" t="n"/>
      <c r="Q264" s="23" t="n"/>
      <c r="R264" s="23" t="inlineStr">
        <is>
          <t>2027 Q2</t>
        </is>
      </c>
      <c r="S264" s="23" t="inlineStr">
        <is>
          <t>2029 Q1</t>
        </is>
      </c>
      <c r="T264" s="23" t="inlineStr">
        <is>
          <t>Medium</t>
        </is>
      </c>
      <c r="U264" s="23" t="inlineStr">
        <is>
          <t>At tender (CIS): start assumed in 6–12 months</t>
        </is>
      </c>
      <c r="V264" s="23" t="n">
        <v>0</v>
      </c>
      <c r="W264" s="23" t="n">
        <v>0</v>
      </c>
      <c r="X264" s="23" t="n">
        <v>0</v>
      </c>
      <c r="Y264" s="23" t="n">
        <v>2.6</v>
      </c>
      <c r="Z264" s="23" t="n">
        <v>0.4</v>
      </c>
      <c r="AA264" s="23" t="n">
        <v>0</v>
      </c>
      <c r="AB264" s="23" t="n">
        <v>0</v>
      </c>
      <c r="AC264" s="23" t="n">
        <v>0</v>
      </c>
    </row>
  </sheetData>
  <autoFilter ref="A1:AC26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  <col width="10" customWidth="1" min="3" max="3"/>
    <col width="22" customWidth="1" min="4" max="4"/>
    <col width="10" customWidth="1" min="5" max="5"/>
    <col width="22" customWidth="1" min="6" max="6"/>
  </cols>
  <sheetData>
    <row r="1">
      <c r="A1" s="1" t="inlineStr">
        <is>
          <t>Method and assumptions</t>
        </is>
      </c>
    </row>
    <row r="3">
      <c r="A3" s="24" t="inlineStr">
        <is>
          <t>Audit land</t>
        </is>
      </c>
      <c r="B3" s="22" t="inlineStr">
        <is>
          <t>Council city sites audit (in_sca/sca.gpkg): sites drawn twice under one reference merged; rsca 2 and 112 reinstated (removed in the council’s 04/12/25 review with no reason recorded; checked as still developable). County audit not yet supplied.</t>
        </is>
      </c>
    </row>
    <row r="4">
      <c r="A4" s="24" t="inlineStr">
        <is>
          <t>Capacity</t>
        </is>
      </c>
      <c r="B4" s="22" t="inlineStr">
        <is>
          <t>The council’s estimate per site (area × density band). Not a design-led figure. rsca 112 has a narrow, irregular shape, so its capacity is likely an upper figure.</t>
        </is>
      </c>
    </row>
    <row r="5">
      <c r="A5" s="24" t="inlineStr">
        <is>
          <t>Permissions</t>
        </is>
      </c>
      <c r="B5" s="22" t="inlineStr">
        <is>
          <t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      </is>
      </c>
    </row>
    <row r="6">
      <c r="A6" s="24" t="inlineStr">
        <is>
          <t>Location</t>
        </is>
      </c>
      <c r="B6" s="22" t="inlineStr">
        <is>
          <t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      </is>
      </c>
    </row>
    <row r="7">
      <c r="A7" s="24" t="inlineStr">
        <is>
          <t>Consented</t>
        </is>
      </c>
      <c r="B7" s="22" t="inlineStr">
        <is>
          <t>Complete + under construction + permitted not started (live) + stalled. Expired permissions and applications still in planning are shown separately and not counted as consent.</t>
        </is>
      </c>
    </row>
    <row r="8">
      <c r="A8" s="24" t="inlineStr">
        <is>
          <t>Sector</t>
        </is>
      </c>
      <c r="B8" s="22" t="inlineStr">
        <is>
          <t>Private; Public – local authority (incl. Part 8 and council own-build); Public – AHB; Public – LDA. From the tracker’s owner classification.</t>
        </is>
      </c>
    </row>
    <row r="9">
      <c r="A9" s="24" t="inlineStr">
        <is>
          <t>Delivery year: on site</t>
        </is>
      </c>
      <c r="B9" s="22" t="inlineStr">
        <is>
          <t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      </is>
      </c>
    </row>
    <row r="10">
      <c r="A10" s="24" t="inlineStr">
        <is>
          <t>Delivery year: student (PBSA)</t>
        </is>
      </c>
      <c r="B10" s="22" t="inlineStr">
        <is>
          <t>Purpose-built student schemes finish as one block: all units placed in the year the build ends (start + median build period for the size band). The Castletroy mixed scheme (26/60089) is phased like housing.</t>
        </is>
      </c>
    </row>
    <row r="11">
      <c r="A11" s="24" t="inlineStr">
        <is>
          <t>Delivery year: permitted</t>
        </is>
      </c>
      <c r="B11" s="22" t="inlineStr">
        <is>
          <t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      </is>
      </c>
    </row>
    <row r="12">
      <c r="A12" s="24" t="inlineStr">
        <is>
          <t>Not projected</t>
        </is>
      </c>
      <c r="B12" s="22" t="inlineStr">
        <is>
          <t>Stalled (CIS), expired and in-planning units are not placed in a year.</t>
        </is>
      </c>
    </row>
    <row r="13">
      <c r="A13" s="24" t="inlineStr">
        <is>
          <t>No probability weighting</t>
        </is>
      </c>
      <c r="B13" s="22" t="inlineStr">
        <is>
          <t>Every permitted unit is assumed to be built. In practice some live permissions will lapse; the study found a share of permissions never start. Read Medium and Low rows as upper figures.</t>
        </is>
      </c>
    </row>
    <row r="14">
      <c r="A14" s="24" t="inlineStr">
        <is>
          <t>Timings used</t>
        </is>
      </c>
      <c r="B14" s="22" t="inlineStr">
        <is>
          <t>Medians from Limerick schemes with recorded dates (building control commencements and CIS completions):</t>
        </is>
      </c>
    </row>
    <row r="16">
      <c r="A16" s="3" t="inlineStr">
        <is>
          <t>Size band</t>
        </is>
      </c>
      <c r="B16" s="4" t="inlineStr">
        <is>
          <t>Grant to start (yrs)</t>
        </is>
      </c>
      <c r="C16" s="4" t="inlineStr">
        <is>
          <t>Schemes</t>
        </is>
      </c>
      <c r="D16" s="4" t="inlineStr">
        <is>
          <t>Start to completion (yrs)</t>
        </is>
      </c>
      <c r="E16" s="4" t="inlineStr">
        <is>
          <t>Schemes</t>
        </is>
      </c>
      <c r="F16" s="4" t="inlineStr">
        <is>
          <t>Build rate (homes / yr)</t>
        </is>
      </c>
    </row>
    <row r="17">
      <c r="A17" s="25" t="inlineStr">
        <is>
          <t>1–9</t>
        </is>
      </c>
      <c r="B17" s="25" t="n">
        <v>1.28</v>
      </c>
      <c r="C17" s="25" t="n">
        <v>45</v>
      </c>
      <c r="D17" s="25" t="n">
        <v>1.7</v>
      </c>
      <c r="E17" s="25" t="n">
        <v>18</v>
      </c>
      <c r="F17" s="25" t="n">
        <v>4.1</v>
      </c>
    </row>
    <row r="18">
      <c r="A18" s="25" t="inlineStr">
        <is>
          <t>10–24</t>
        </is>
      </c>
      <c r="B18" s="25" t="n">
        <v>1.39</v>
      </c>
      <c r="C18" s="25" t="n">
        <v>34</v>
      </c>
      <c r="D18" s="25" t="n">
        <v>1.79</v>
      </c>
      <c r="E18" s="25" t="n">
        <v>15</v>
      </c>
      <c r="F18" s="25" t="n">
        <v>8.300000000000001</v>
      </c>
    </row>
    <row r="19">
      <c r="A19" s="25" t="inlineStr">
        <is>
          <t>25–49</t>
        </is>
      </c>
      <c r="B19" s="25" t="n">
        <v>1.62</v>
      </c>
      <c r="C19" s="25" t="n">
        <v>23</v>
      </c>
      <c r="D19" s="25" t="n">
        <v>1.45</v>
      </c>
      <c r="E19" s="25" t="n">
        <v>6</v>
      </c>
      <c r="F19" s="25" t="n">
        <v>21.5</v>
      </c>
    </row>
    <row r="20">
      <c r="A20" s="25" t="inlineStr">
        <is>
          <t>50–99</t>
        </is>
      </c>
      <c r="B20" s="25" t="n">
        <v>1.13</v>
      </c>
      <c r="C20" s="25" t="n">
        <v>23</v>
      </c>
      <c r="D20" s="25" t="n">
        <v>2.26</v>
      </c>
      <c r="E20" s="25" t="n">
        <v>4</v>
      </c>
      <c r="F20" s="25" t="n">
        <v>34</v>
      </c>
    </row>
    <row r="21">
      <c r="A21" s="25" t="inlineStr">
        <is>
          <t>100+</t>
        </is>
      </c>
      <c r="B21" s="25" t="n">
        <v>1.72</v>
      </c>
      <c r="C21" s="25" t="n">
        <v>10</v>
      </c>
      <c r="D21" s="25" t="n">
        <v>2.09</v>
      </c>
      <c r="E21" s="25" t="n">
        <v>3</v>
      </c>
      <c r="F21" s="25" t="n">
        <v>50.3</v>
      </c>
    </row>
    <row r="22">
      <c r="A22" s="9" t="inlineStr">
        <is>
          <t>Start-to-completion medians for 50–99 and 100+ rest on few schemes, so the build-rate rule usually sets the build period for large schemes.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2026-10-08T16:03:53Z</dcterms:created>
  <dcterms:modified xsi:type="dcterms:W3CDTF">2026-10-08T16:03:53Z</dcterms:modified>
</cp:coreProperties>
</file>